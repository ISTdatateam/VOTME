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agrosuper.sharepoint.com/sites/GestionSalud/Documentos compartidos/1.-ERGONOMIA/2024 - 2025/1.-Protocolo TMERT 2024/7.7.- Vigilancia Salud TMERT/2.- Procesos/"/>
    </mc:Choice>
  </mc:AlternateContent>
  <xr:revisionPtr revIDLastSave="2089" documentId="13_ncr:1_{14C753CB-A3F9-4C48-BBC9-936A65824216}" xr6:coauthVersionLast="47" xr6:coauthVersionMax="47" xr10:uidLastSave="{84D70123-C9A7-47E3-AE7E-ADB405635FEB}"/>
  <bookViews>
    <workbookView xWindow="-108" yWindow="-108" windowWidth="23256" windowHeight="12576" tabRatio="828" firstSheet="1" activeTab="3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Postura estatica" sheetId="4" r:id="rId5"/>
    <sheet name="MMC Levantamiento-Descenso" sheetId="5" r:id="rId6"/>
    <sheet name="MMC Empuje-Arrastre " sheetId="6" r:id="rId7"/>
    <sheet name="Manejo manual PCTS" sheetId="7" r:id="rId8"/>
    <sheet name="Vibración Mano-Brazo" sheetId="8" r:id="rId9"/>
    <sheet name="Vibración Cuerpo completo" sheetId="9" r:id="rId10"/>
  </sheets>
  <definedNames>
    <definedName name="_xlnm._FilterDatabase" localSheetId="1" hidden="1">Datos!$A$1:$T$69</definedName>
    <definedName name="_xlnm._FilterDatabase" localSheetId="2" hidden="1">Inicial!$A$1:$Q$69</definedName>
    <definedName name="_xlnm._FilterDatabase" localSheetId="3" hidden="1">'Mov. Rep.'!$A$2:$AC$2</definedName>
    <definedName name="_xlnm._FilterDatabase" localSheetId="5" hidden="1">'MMC Levantamiento-Descenso'!$A$2:$BJ$2</definedName>
    <definedName name="_xlnm._FilterDatabase" localSheetId="6" hidden="1">'MMC Empuje-Arrastre '!$A$2:$AT$2</definedName>
    <definedName name="_xlnm._FilterDatabase" localSheetId="4" hidden="1">'Postura estatica'!$A$2:$BB$2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B71" i="1"/>
  <c r="C71" i="1"/>
  <c r="D71" i="1"/>
  <c r="E71" i="1"/>
  <c r="F71" i="1"/>
  <c r="G71" i="1"/>
  <c r="H71" i="1"/>
  <c r="I71" i="1"/>
  <c r="Q70" i="1"/>
  <c r="C70" i="1"/>
  <c r="D70" i="1"/>
  <c r="E70" i="1"/>
  <c r="F70" i="1"/>
  <c r="G70" i="1"/>
  <c r="H70" i="1"/>
  <c r="I70" i="1"/>
  <c r="B70" i="1"/>
  <c r="B69" i="1"/>
  <c r="W88" i="2"/>
  <c r="P88" i="2"/>
  <c r="W87" i="2"/>
  <c r="P87" i="2"/>
  <c r="AV88" i="4" a="1"/>
  <c r="AV88" i="4" s="1"/>
  <c r="AV89" i="4" a="1"/>
  <c r="AV89" i="4" s="1"/>
  <c r="AV90" i="4" a="1"/>
  <c r="AV90" i="4" s="1"/>
  <c r="AD88" i="4"/>
  <c r="AD89" i="4"/>
  <c r="AD90" i="4"/>
  <c r="E88" i="4"/>
  <c r="F88" i="4"/>
  <c r="G88" i="4"/>
  <c r="H88" i="4"/>
  <c r="I88" i="4"/>
  <c r="E90" i="4"/>
  <c r="F90" i="4"/>
  <c r="G90" i="4"/>
  <c r="H90" i="4"/>
  <c r="I90" i="4"/>
  <c r="Q66" i="1"/>
  <c r="Q67" i="1"/>
  <c r="Q68" i="1"/>
  <c r="Q69" i="1"/>
  <c r="A86" i="2"/>
  <c r="A87" i="2"/>
  <c r="A90" i="4"/>
  <c r="A89" i="2"/>
  <c r="B66" i="1"/>
  <c r="B86" i="2" s="1"/>
  <c r="C66" i="1"/>
  <c r="C88" i="4" s="1"/>
  <c r="D66" i="1"/>
  <c r="D88" i="4" s="1"/>
  <c r="E66" i="1"/>
  <c r="E86" i="2" s="1"/>
  <c r="F66" i="1"/>
  <c r="F86" i="2" s="1"/>
  <c r="G66" i="1"/>
  <c r="G86" i="2" s="1"/>
  <c r="H66" i="1"/>
  <c r="H86" i="2" s="1"/>
  <c r="I66" i="1"/>
  <c r="I86" i="2" s="1"/>
  <c r="B67" i="1"/>
  <c r="B89" i="4" s="1"/>
  <c r="C67" i="1"/>
  <c r="C89" i="4" s="1"/>
  <c r="D67" i="1"/>
  <c r="D89" i="4" s="1"/>
  <c r="E67" i="1"/>
  <c r="E89" i="4" s="1"/>
  <c r="F67" i="1"/>
  <c r="F89" i="4" s="1"/>
  <c r="G67" i="1"/>
  <c r="G87" i="2" s="1"/>
  <c r="H67" i="1"/>
  <c r="H87" i="2" s="1"/>
  <c r="I67" i="1"/>
  <c r="I89" i="4" s="1"/>
  <c r="B68" i="1"/>
  <c r="B90" i="4" s="1"/>
  <c r="C68" i="1"/>
  <c r="C88" i="2" s="1"/>
  <c r="D68" i="1"/>
  <c r="D90" i="4" s="1"/>
  <c r="E68" i="1"/>
  <c r="E88" i="2" s="1"/>
  <c r="F68" i="1"/>
  <c r="F88" i="2" s="1"/>
  <c r="G68" i="1"/>
  <c r="G88" i="2" s="1"/>
  <c r="H68" i="1"/>
  <c r="H88" i="2" s="1"/>
  <c r="I68" i="1"/>
  <c r="I88" i="2" s="1"/>
  <c r="B89" i="2"/>
  <c r="C69" i="1"/>
  <c r="C89" i="2" s="1"/>
  <c r="D69" i="1"/>
  <c r="D89" i="2" s="1"/>
  <c r="E69" i="1"/>
  <c r="F69" i="1"/>
  <c r="G69" i="1"/>
  <c r="H69" i="1"/>
  <c r="I69" i="1"/>
  <c r="E38" i="2"/>
  <c r="F38" i="2"/>
  <c r="G38" i="2"/>
  <c r="H38" i="2"/>
  <c r="I38" i="2"/>
  <c r="E39" i="2"/>
  <c r="F39" i="2"/>
  <c r="G39" i="2"/>
  <c r="H39" i="2"/>
  <c r="I39" i="2"/>
  <c r="E41" i="2"/>
  <c r="F41" i="2"/>
  <c r="G41" i="2"/>
  <c r="H41" i="2"/>
  <c r="I41" i="2"/>
  <c r="E43" i="2"/>
  <c r="F43" i="2"/>
  <c r="G43" i="2"/>
  <c r="H43" i="2"/>
  <c r="I43" i="2"/>
  <c r="E51" i="2"/>
  <c r="F51" i="2"/>
  <c r="G51" i="2"/>
  <c r="H51" i="2"/>
  <c r="I51" i="2"/>
  <c r="E52" i="2"/>
  <c r="F52" i="2"/>
  <c r="G52" i="2"/>
  <c r="H52" i="2"/>
  <c r="I52" i="2"/>
  <c r="E54" i="2"/>
  <c r="F54" i="2"/>
  <c r="G54" i="2"/>
  <c r="H54" i="2"/>
  <c r="I54" i="2"/>
  <c r="E56" i="2"/>
  <c r="F56" i="2"/>
  <c r="G56" i="2"/>
  <c r="H56" i="2"/>
  <c r="I56" i="2"/>
  <c r="E58" i="2"/>
  <c r="F58" i="2"/>
  <c r="G58" i="2"/>
  <c r="H58" i="2"/>
  <c r="I58" i="2"/>
  <c r="E61" i="2"/>
  <c r="F61" i="2"/>
  <c r="G61" i="2"/>
  <c r="H61" i="2"/>
  <c r="I61" i="2"/>
  <c r="E64" i="2"/>
  <c r="F64" i="2"/>
  <c r="G64" i="2"/>
  <c r="H64" i="2"/>
  <c r="I64" i="2"/>
  <c r="E65" i="2"/>
  <c r="F65" i="2"/>
  <c r="G65" i="2"/>
  <c r="H65" i="2"/>
  <c r="I65" i="2"/>
  <c r="E67" i="2"/>
  <c r="F67" i="2"/>
  <c r="G67" i="2"/>
  <c r="H67" i="2"/>
  <c r="I67" i="2"/>
  <c r="E68" i="2"/>
  <c r="F68" i="2"/>
  <c r="G68" i="2"/>
  <c r="H68" i="2"/>
  <c r="I68" i="2"/>
  <c r="E69" i="2"/>
  <c r="F69" i="2"/>
  <c r="G69" i="2"/>
  <c r="H69" i="2"/>
  <c r="I69" i="2"/>
  <c r="E70" i="2"/>
  <c r="F70" i="2"/>
  <c r="G70" i="2"/>
  <c r="H70" i="2"/>
  <c r="I70" i="2"/>
  <c r="E71" i="2"/>
  <c r="F71" i="2"/>
  <c r="G71" i="2"/>
  <c r="H71" i="2"/>
  <c r="I71" i="2"/>
  <c r="E72" i="2"/>
  <c r="F72" i="2"/>
  <c r="G72" i="2"/>
  <c r="H72" i="2"/>
  <c r="I72" i="2"/>
  <c r="E73" i="2"/>
  <c r="F73" i="2"/>
  <c r="G73" i="2"/>
  <c r="H73" i="2"/>
  <c r="I73" i="2"/>
  <c r="E74" i="2"/>
  <c r="F74" i="2"/>
  <c r="G74" i="2"/>
  <c r="H74" i="2"/>
  <c r="I74" i="2"/>
  <c r="E75" i="2"/>
  <c r="F75" i="2"/>
  <c r="G75" i="2"/>
  <c r="H75" i="2"/>
  <c r="I75" i="2"/>
  <c r="E76" i="2"/>
  <c r="F76" i="2"/>
  <c r="G76" i="2"/>
  <c r="H76" i="2"/>
  <c r="I76" i="2"/>
  <c r="E77" i="2"/>
  <c r="F77" i="2"/>
  <c r="G77" i="2"/>
  <c r="H77" i="2"/>
  <c r="I77" i="2"/>
  <c r="E78" i="2"/>
  <c r="F78" i="2"/>
  <c r="G78" i="2"/>
  <c r="H78" i="2"/>
  <c r="I78" i="2"/>
  <c r="E80" i="2"/>
  <c r="F80" i="2"/>
  <c r="G80" i="2"/>
  <c r="H80" i="2"/>
  <c r="I80" i="2"/>
  <c r="E81" i="2"/>
  <c r="F81" i="2"/>
  <c r="G81" i="2"/>
  <c r="H81" i="2"/>
  <c r="I81" i="2"/>
  <c r="E82" i="2"/>
  <c r="F82" i="2"/>
  <c r="G82" i="2"/>
  <c r="H82" i="2"/>
  <c r="I82" i="2"/>
  <c r="E83" i="2"/>
  <c r="F83" i="2"/>
  <c r="G83" i="2"/>
  <c r="H83" i="2"/>
  <c r="I83" i="2"/>
  <c r="E84" i="2"/>
  <c r="F84" i="2"/>
  <c r="G84" i="2"/>
  <c r="H84" i="2"/>
  <c r="I84" i="2"/>
  <c r="C86" i="2"/>
  <c r="D86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A101" i="2"/>
  <c r="B101" i="2"/>
  <c r="C101" i="2"/>
  <c r="D101" i="2"/>
  <c r="E101" i="2"/>
  <c r="F101" i="2"/>
  <c r="G101" i="2"/>
  <c r="H101" i="2"/>
  <c r="I101" i="2"/>
  <c r="A102" i="2"/>
  <c r="B102" i="2"/>
  <c r="C102" i="2"/>
  <c r="D102" i="2"/>
  <c r="E102" i="2"/>
  <c r="F102" i="2"/>
  <c r="G102" i="2"/>
  <c r="H102" i="2"/>
  <c r="I102" i="2"/>
  <c r="A103" i="2"/>
  <c r="B103" i="2"/>
  <c r="C103" i="2"/>
  <c r="D103" i="2"/>
  <c r="E103" i="2"/>
  <c r="F103" i="2"/>
  <c r="G103" i="2"/>
  <c r="H103" i="2"/>
  <c r="I103" i="2"/>
  <c r="A104" i="2"/>
  <c r="B104" i="2"/>
  <c r="C104" i="2"/>
  <c r="D104" i="2"/>
  <c r="E104" i="2"/>
  <c r="F104" i="2"/>
  <c r="G104" i="2"/>
  <c r="H104" i="2"/>
  <c r="I104" i="2"/>
  <c r="A105" i="2"/>
  <c r="B105" i="2"/>
  <c r="C105" i="2"/>
  <c r="D105" i="2"/>
  <c r="E105" i="2"/>
  <c r="F105" i="2"/>
  <c r="G105" i="2"/>
  <c r="H105" i="2"/>
  <c r="I105" i="2"/>
  <c r="A106" i="2"/>
  <c r="B106" i="2"/>
  <c r="C106" i="2"/>
  <c r="D106" i="2"/>
  <c r="E106" i="2"/>
  <c r="F106" i="2"/>
  <c r="G106" i="2"/>
  <c r="H106" i="2"/>
  <c r="I106" i="2"/>
  <c r="A107" i="2"/>
  <c r="B107" i="2"/>
  <c r="C107" i="2"/>
  <c r="D107" i="2"/>
  <c r="E107" i="2"/>
  <c r="F107" i="2"/>
  <c r="G107" i="2"/>
  <c r="H107" i="2"/>
  <c r="I107" i="2"/>
  <c r="A108" i="2"/>
  <c r="B108" i="2"/>
  <c r="C108" i="2"/>
  <c r="D108" i="2"/>
  <c r="E108" i="2"/>
  <c r="F108" i="2"/>
  <c r="G108" i="2"/>
  <c r="H108" i="2"/>
  <c r="I108" i="2"/>
  <c r="A109" i="2"/>
  <c r="B109" i="2"/>
  <c r="C109" i="2"/>
  <c r="D109" i="2"/>
  <c r="E109" i="2"/>
  <c r="F109" i="2"/>
  <c r="G109" i="2"/>
  <c r="H109" i="2"/>
  <c r="I109" i="2"/>
  <c r="A110" i="2"/>
  <c r="B110" i="2"/>
  <c r="C110" i="2"/>
  <c r="D110" i="2"/>
  <c r="E110" i="2"/>
  <c r="F110" i="2"/>
  <c r="G110" i="2"/>
  <c r="H110" i="2"/>
  <c r="I110" i="2"/>
  <c r="A111" i="2"/>
  <c r="B111" i="2"/>
  <c r="C111" i="2"/>
  <c r="D111" i="2"/>
  <c r="E111" i="2"/>
  <c r="F111" i="2"/>
  <c r="G111" i="2"/>
  <c r="H111" i="2"/>
  <c r="I111" i="2"/>
  <c r="A112" i="2"/>
  <c r="B112" i="2"/>
  <c r="C112" i="2"/>
  <c r="D112" i="2"/>
  <c r="E112" i="2"/>
  <c r="F112" i="2"/>
  <c r="G112" i="2"/>
  <c r="H112" i="2"/>
  <c r="I112" i="2"/>
  <c r="A113" i="2"/>
  <c r="B113" i="2"/>
  <c r="C113" i="2"/>
  <c r="D113" i="2"/>
  <c r="E113" i="2"/>
  <c r="F113" i="2"/>
  <c r="G113" i="2"/>
  <c r="H113" i="2"/>
  <c r="I113" i="2"/>
  <c r="A114" i="2"/>
  <c r="B114" i="2"/>
  <c r="C114" i="2"/>
  <c r="D114" i="2"/>
  <c r="E114" i="2"/>
  <c r="F114" i="2"/>
  <c r="G114" i="2"/>
  <c r="H114" i="2"/>
  <c r="I114" i="2"/>
  <c r="A115" i="2"/>
  <c r="B115" i="2"/>
  <c r="C115" i="2"/>
  <c r="D115" i="2"/>
  <c r="E115" i="2"/>
  <c r="F115" i="2"/>
  <c r="G115" i="2"/>
  <c r="H115" i="2"/>
  <c r="I115" i="2"/>
  <c r="A116" i="2"/>
  <c r="B116" i="2"/>
  <c r="C116" i="2"/>
  <c r="D116" i="2"/>
  <c r="E116" i="2"/>
  <c r="F116" i="2"/>
  <c r="G116" i="2"/>
  <c r="H116" i="2"/>
  <c r="I116" i="2"/>
  <c r="A117" i="2"/>
  <c r="B117" i="2"/>
  <c r="C117" i="2"/>
  <c r="D117" i="2"/>
  <c r="E117" i="2"/>
  <c r="F117" i="2"/>
  <c r="G117" i="2"/>
  <c r="H117" i="2"/>
  <c r="I117" i="2"/>
  <c r="A118" i="2"/>
  <c r="B118" i="2"/>
  <c r="C118" i="2"/>
  <c r="D118" i="2"/>
  <c r="E118" i="2"/>
  <c r="F118" i="2"/>
  <c r="G118" i="2"/>
  <c r="H118" i="2"/>
  <c r="I118" i="2"/>
  <c r="A119" i="2"/>
  <c r="B119" i="2"/>
  <c r="C119" i="2"/>
  <c r="D119" i="2"/>
  <c r="E119" i="2"/>
  <c r="F119" i="2"/>
  <c r="G119" i="2"/>
  <c r="H119" i="2"/>
  <c r="I119" i="2"/>
  <c r="A120" i="2"/>
  <c r="B120" i="2"/>
  <c r="C120" i="2"/>
  <c r="D120" i="2"/>
  <c r="E120" i="2"/>
  <c r="F120" i="2"/>
  <c r="G120" i="2"/>
  <c r="H120" i="2"/>
  <c r="I120" i="2"/>
  <c r="A121" i="2"/>
  <c r="B121" i="2"/>
  <c r="C121" i="2"/>
  <c r="D121" i="2"/>
  <c r="E121" i="2"/>
  <c r="F121" i="2"/>
  <c r="G121" i="2"/>
  <c r="H121" i="2"/>
  <c r="I121" i="2"/>
  <c r="A122" i="2"/>
  <c r="B122" i="2"/>
  <c r="C122" i="2"/>
  <c r="D122" i="2"/>
  <c r="E122" i="2"/>
  <c r="F122" i="2"/>
  <c r="G122" i="2"/>
  <c r="H122" i="2"/>
  <c r="I122" i="2"/>
  <c r="A123" i="2"/>
  <c r="B123" i="2"/>
  <c r="C123" i="2"/>
  <c r="D123" i="2"/>
  <c r="E123" i="2"/>
  <c r="F123" i="2"/>
  <c r="G123" i="2"/>
  <c r="H123" i="2"/>
  <c r="I123" i="2"/>
  <c r="A124" i="2"/>
  <c r="B124" i="2"/>
  <c r="C124" i="2"/>
  <c r="D124" i="2"/>
  <c r="E124" i="2"/>
  <c r="F124" i="2"/>
  <c r="G124" i="2"/>
  <c r="H124" i="2"/>
  <c r="I124" i="2"/>
  <c r="A125" i="2"/>
  <c r="B125" i="2"/>
  <c r="C125" i="2"/>
  <c r="D125" i="2"/>
  <c r="E125" i="2"/>
  <c r="F125" i="2"/>
  <c r="G125" i="2"/>
  <c r="H125" i="2"/>
  <c r="I125" i="2"/>
  <c r="A126" i="2"/>
  <c r="B126" i="2"/>
  <c r="C126" i="2"/>
  <c r="D126" i="2"/>
  <c r="E126" i="2"/>
  <c r="F126" i="2"/>
  <c r="G126" i="2"/>
  <c r="H126" i="2"/>
  <c r="I126" i="2"/>
  <c r="A127" i="2"/>
  <c r="B127" i="2"/>
  <c r="C127" i="2"/>
  <c r="D127" i="2"/>
  <c r="E127" i="2"/>
  <c r="F127" i="2"/>
  <c r="G127" i="2"/>
  <c r="H127" i="2"/>
  <c r="I127" i="2"/>
  <c r="A128" i="2"/>
  <c r="B128" i="2"/>
  <c r="C128" i="2"/>
  <c r="D128" i="2"/>
  <c r="E128" i="2"/>
  <c r="F128" i="2"/>
  <c r="G128" i="2"/>
  <c r="H128" i="2"/>
  <c r="I128" i="2"/>
  <c r="A129" i="2"/>
  <c r="B129" i="2"/>
  <c r="C129" i="2"/>
  <c r="D129" i="2"/>
  <c r="E129" i="2"/>
  <c r="F129" i="2"/>
  <c r="G129" i="2"/>
  <c r="H129" i="2"/>
  <c r="I129" i="2"/>
  <c r="A130" i="2"/>
  <c r="B130" i="2"/>
  <c r="C130" i="2"/>
  <c r="D130" i="2"/>
  <c r="E130" i="2"/>
  <c r="F130" i="2"/>
  <c r="G130" i="2"/>
  <c r="H130" i="2"/>
  <c r="I130" i="2"/>
  <c r="A131" i="2"/>
  <c r="B131" i="2"/>
  <c r="C131" i="2"/>
  <c r="D131" i="2"/>
  <c r="E131" i="2"/>
  <c r="F131" i="2"/>
  <c r="G131" i="2"/>
  <c r="H131" i="2"/>
  <c r="I131" i="2"/>
  <c r="A132" i="2"/>
  <c r="B132" i="2"/>
  <c r="C132" i="2"/>
  <c r="D132" i="2"/>
  <c r="E132" i="2"/>
  <c r="F132" i="2"/>
  <c r="G132" i="2"/>
  <c r="H132" i="2"/>
  <c r="I132" i="2"/>
  <c r="A133" i="2"/>
  <c r="B133" i="2"/>
  <c r="C133" i="2"/>
  <c r="D133" i="2"/>
  <c r="E133" i="2"/>
  <c r="F133" i="2"/>
  <c r="G133" i="2"/>
  <c r="H133" i="2"/>
  <c r="I133" i="2"/>
  <c r="A134" i="2"/>
  <c r="B134" i="2"/>
  <c r="C134" i="2"/>
  <c r="D134" i="2"/>
  <c r="E134" i="2"/>
  <c r="F134" i="2"/>
  <c r="G134" i="2"/>
  <c r="H134" i="2"/>
  <c r="I134" i="2"/>
  <c r="A135" i="2"/>
  <c r="B135" i="2"/>
  <c r="C135" i="2"/>
  <c r="D135" i="2"/>
  <c r="E135" i="2"/>
  <c r="F135" i="2"/>
  <c r="G135" i="2"/>
  <c r="H135" i="2"/>
  <c r="I135" i="2"/>
  <c r="A136" i="2"/>
  <c r="B136" i="2"/>
  <c r="C136" i="2"/>
  <c r="D136" i="2"/>
  <c r="E136" i="2"/>
  <c r="F136" i="2"/>
  <c r="G136" i="2"/>
  <c r="H136" i="2"/>
  <c r="I136" i="2"/>
  <c r="A137" i="2"/>
  <c r="B137" i="2"/>
  <c r="C137" i="2"/>
  <c r="D137" i="2"/>
  <c r="E137" i="2"/>
  <c r="F137" i="2"/>
  <c r="G137" i="2"/>
  <c r="H137" i="2"/>
  <c r="I137" i="2"/>
  <c r="A138" i="2"/>
  <c r="B138" i="2"/>
  <c r="C138" i="2"/>
  <c r="D138" i="2"/>
  <c r="E138" i="2"/>
  <c r="F138" i="2"/>
  <c r="G138" i="2"/>
  <c r="H138" i="2"/>
  <c r="I138" i="2"/>
  <c r="A139" i="2"/>
  <c r="B139" i="2"/>
  <c r="C139" i="2"/>
  <c r="D139" i="2"/>
  <c r="E139" i="2"/>
  <c r="F139" i="2"/>
  <c r="G139" i="2"/>
  <c r="H139" i="2"/>
  <c r="I139" i="2"/>
  <c r="A140" i="2"/>
  <c r="B140" i="2"/>
  <c r="C140" i="2"/>
  <c r="D140" i="2"/>
  <c r="E140" i="2"/>
  <c r="F140" i="2"/>
  <c r="G140" i="2"/>
  <c r="H140" i="2"/>
  <c r="I140" i="2"/>
  <c r="A141" i="2"/>
  <c r="B141" i="2"/>
  <c r="C141" i="2"/>
  <c r="D141" i="2"/>
  <c r="E141" i="2"/>
  <c r="F141" i="2"/>
  <c r="G141" i="2"/>
  <c r="H141" i="2"/>
  <c r="I141" i="2"/>
  <c r="A142" i="2"/>
  <c r="B142" i="2"/>
  <c r="C142" i="2"/>
  <c r="D142" i="2"/>
  <c r="E142" i="2"/>
  <c r="F142" i="2"/>
  <c r="G142" i="2"/>
  <c r="H142" i="2"/>
  <c r="I142" i="2"/>
  <c r="A143" i="2"/>
  <c r="B143" i="2"/>
  <c r="C143" i="2"/>
  <c r="D143" i="2"/>
  <c r="E143" i="2"/>
  <c r="F143" i="2"/>
  <c r="G143" i="2"/>
  <c r="H143" i="2"/>
  <c r="I143" i="2"/>
  <c r="A144" i="2"/>
  <c r="B144" i="2"/>
  <c r="C144" i="2"/>
  <c r="D144" i="2"/>
  <c r="E144" i="2"/>
  <c r="F144" i="2"/>
  <c r="G144" i="2"/>
  <c r="H144" i="2"/>
  <c r="I144" i="2"/>
  <c r="A145" i="2"/>
  <c r="B145" i="2"/>
  <c r="C145" i="2"/>
  <c r="D145" i="2"/>
  <c r="E145" i="2"/>
  <c r="F145" i="2"/>
  <c r="G145" i="2"/>
  <c r="H145" i="2"/>
  <c r="I145" i="2"/>
  <c r="A146" i="2"/>
  <c r="B146" i="2"/>
  <c r="C146" i="2"/>
  <c r="D146" i="2"/>
  <c r="E146" i="2"/>
  <c r="F146" i="2"/>
  <c r="G146" i="2"/>
  <c r="H146" i="2"/>
  <c r="I146" i="2"/>
  <c r="A147" i="2"/>
  <c r="B147" i="2"/>
  <c r="C147" i="2"/>
  <c r="D147" i="2"/>
  <c r="E147" i="2"/>
  <c r="F147" i="2"/>
  <c r="G147" i="2"/>
  <c r="H147" i="2"/>
  <c r="I147" i="2"/>
  <c r="A148" i="2"/>
  <c r="B148" i="2"/>
  <c r="C148" i="2"/>
  <c r="D148" i="2"/>
  <c r="E148" i="2"/>
  <c r="F148" i="2"/>
  <c r="G148" i="2"/>
  <c r="H148" i="2"/>
  <c r="I148" i="2"/>
  <c r="A149" i="2"/>
  <c r="B149" i="2"/>
  <c r="C149" i="2"/>
  <c r="D149" i="2"/>
  <c r="E149" i="2"/>
  <c r="F149" i="2"/>
  <c r="G149" i="2"/>
  <c r="H149" i="2"/>
  <c r="I149" i="2"/>
  <c r="A150" i="2"/>
  <c r="B150" i="2"/>
  <c r="C150" i="2"/>
  <c r="D150" i="2"/>
  <c r="E150" i="2"/>
  <c r="F150" i="2"/>
  <c r="G150" i="2"/>
  <c r="H150" i="2"/>
  <c r="I150" i="2"/>
  <c r="A151" i="2"/>
  <c r="B151" i="2"/>
  <c r="C151" i="2"/>
  <c r="D151" i="2"/>
  <c r="E151" i="2"/>
  <c r="F151" i="2"/>
  <c r="G151" i="2"/>
  <c r="H151" i="2"/>
  <c r="I151" i="2"/>
  <c r="A152" i="2"/>
  <c r="B152" i="2"/>
  <c r="C152" i="2"/>
  <c r="D152" i="2"/>
  <c r="E152" i="2"/>
  <c r="F152" i="2"/>
  <c r="G152" i="2"/>
  <c r="H152" i="2"/>
  <c r="I152" i="2"/>
  <c r="A153" i="2"/>
  <c r="B153" i="2"/>
  <c r="C153" i="2"/>
  <c r="D153" i="2"/>
  <c r="E153" i="2"/>
  <c r="F153" i="2"/>
  <c r="G153" i="2"/>
  <c r="H153" i="2"/>
  <c r="I153" i="2"/>
  <c r="A154" i="2"/>
  <c r="B154" i="2"/>
  <c r="C154" i="2"/>
  <c r="D154" i="2"/>
  <c r="E154" i="2"/>
  <c r="F154" i="2"/>
  <c r="G154" i="2"/>
  <c r="H154" i="2"/>
  <c r="I154" i="2"/>
  <c r="A155" i="2"/>
  <c r="B155" i="2"/>
  <c r="C155" i="2"/>
  <c r="D155" i="2"/>
  <c r="E155" i="2"/>
  <c r="F155" i="2"/>
  <c r="G155" i="2"/>
  <c r="H155" i="2"/>
  <c r="I155" i="2"/>
  <c r="A156" i="2"/>
  <c r="B156" i="2"/>
  <c r="C156" i="2"/>
  <c r="D156" i="2"/>
  <c r="E156" i="2"/>
  <c r="F156" i="2"/>
  <c r="G156" i="2"/>
  <c r="H156" i="2"/>
  <c r="I156" i="2"/>
  <c r="A157" i="2"/>
  <c r="B157" i="2"/>
  <c r="C157" i="2"/>
  <c r="D157" i="2"/>
  <c r="E157" i="2"/>
  <c r="F157" i="2"/>
  <c r="G157" i="2"/>
  <c r="H157" i="2"/>
  <c r="I157" i="2"/>
  <c r="A158" i="2"/>
  <c r="B158" i="2"/>
  <c r="C158" i="2"/>
  <c r="D158" i="2"/>
  <c r="E158" i="2"/>
  <c r="F158" i="2"/>
  <c r="G158" i="2"/>
  <c r="H158" i="2"/>
  <c r="I158" i="2"/>
  <c r="A159" i="2"/>
  <c r="B159" i="2"/>
  <c r="C159" i="2"/>
  <c r="D159" i="2"/>
  <c r="E159" i="2"/>
  <c r="F159" i="2"/>
  <c r="G159" i="2"/>
  <c r="H159" i="2"/>
  <c r="I159" i="2"/>
  <c r="A160" i="2"/>
  <c r="B160" i="2"/>
  <c r="C160" i="2"/>
  <c r="D160" i="2"/>
  <c r="E160" i="2"/>
  <c r="F160" i="2"/>
  <c r="G160" i="2"/>
  <c r="H160" i="2"/>
  <c r="I160" i="2"/>
  <c r="A161" i="2"/>
  <c r="B161" i="2"/>
  <c r="C161" i="2"/>
  <c r="D161" i="2"/>
  <c r="E161" i="2"/>
  <c r="F161" i="2"/>
  <c r="G161" i="2"/>
  <c r="H161" i="2"/>
  <c r="I161" i="2"/>
  <c r="A162" i="2"/>
  <c r="B162" i="2"/>
  <c r="C162" i="2"/>
  <c r="D162" i="2"/>
  <c r="E162" i="2"/>
  <c r="F162" i="2"/>
  <c r="G162" i="2"/>
  <c r="H162" i="2"/>
  <c r="I162" i="2"/>
  <c r="A163" i="2"/>
  <c r="B163" i="2"/>
  <c r="C163" i="2"/>
  <c r="D163" i="2"/>
  <c r="E163" i="2"/>
  <c r="F163" i="2"/>
  <c r="G163" i="2"/>
  <c r="H163" i="2"/>
  <c r="I163" i="2"/>
  <c r="A164" i="2"/>
  <c r="B164" i="2"/>
  <c r="C164" i="2"/>
  <c r="D164" i="2"/>
  <c r="E164" i="2"/>
  <c r="F164" i="2"/>
  <c r="G164" i="2"/>
  <c r="H164" i="2"/>
  <c r="I164" i="2"/>
  <c r="A165" i="2"/>
  <c r="B165" i="2"/>
  <c r="C165" i="2"/>
  <c r="D165" i="2"/>
  <c r="E165" i="2"/>
  <c r="F165" i="2"/>
  <c r="G165" i="2"/>
  <c r="H165" i="2"/>
  <c r="I165" i="2"/>
  <c r="A166" i="2"/>
  <c r="B166" i="2"/>
  <c r="C166" i="2"/>
  <c r="D166" i="2"/>
  <c r="E166" i="2"/>
  <c r="F166" i="2"/>
  <c r="G166" i="2"/>
  <c r="H166" i="2"/>
  <c r="I166" i="2"/>
  <c r="A167" i="2"/>
  <c r="B167" i="2"/>
  <c r="C167" i="2"/>
  <c r="D167" i="2"/>
  <c r="E167" i="2"/>
  <c r="F167" i="2"/>
  <c r="G167" i="2"/>
  <c r="H167" i="2"/>
  <c r="I167" i="2"/>
  <c r="A168" i="2"/>
  <c r="B168" i="2"/>
  <c r="C168" i="2"/>
  <c r="D168" i="2"/>
  <c r="E168" i="2"/>
  <c r="F168" i="2"/>
  <c r="G168" i="2"/>
  <c r="H168" i="2"/>
  <c r="I168" i="2"/>
  <c r="A169" i="2"/>
  <c r="B169" i="2"/>
  <c r="C169" i="2"/>
  <c r="D169" i="2"/>
  <c r="E169" i="2"/>
  <c r="F169" i="2"/>
  <c r="G169" i="2"/>
  <c r="H169" i="2"/>
  <c r="I169" i="2"/>
  <c r="A170" i="2"/>
  <c r="B170" i="2"/>
  <c r="C170" i="2"/>
  <c r="D170" i="2"/>
  <c r="E170" i="2"/>
  <c r="F170" i="2"/>
  <c r="G170" i="2"/>
  <c r="H170" i="2"/>
  <c r="I170" i="2"/>
  <c r="A171" i="2"/>
  <c r="B171" i="2"/>
  <c r="C171" i="2"/>
  <c r="D171" i="2"/>
  <c r="E171" i="2"/>
  <c r="F171" i="2"/>
  <c r="G171" i="2"/>
  <c r="H171" i="2"/>
  <c r="I171" i="2"/>
  <c r="A172" i="2"/>
  <c r="B172" i="2"/>
  <c r="C172" i="2"/>
  <c r="D172" i="2"/>
  <c r="E172" i="2"/>
  <c r="F172" i="2"/>
  <c r="G172" i="2"/>
  <c r="H172" i="2"/>
  <c r="I172" i="2"/>
  <c r="A173" i="2"/>
  <c r="B173" i="2"/>
  <c r="C173" i="2"/>
  <c r="D173" i="2"/>
  <c r="E173" i="2"/>
  <c r="F173" i="2"/>
  <c r="G173" i="2"/>
  <c r="H173" i="2"/>
  <c r="I173" i="2"/>
  <c r="A174" i="2"/>
  <c r="B174" i="2"/>
  <c r="C174" i="2"/>
  <c r="D174" i="2"/>
  <c r="E174" i="2"/>
  <c r="F174" i="2"/>
  <c r="G174" i="2"/>
  <c r="H174" i="2"/>
  <c r="I174" i="2"/>
  <c r="A175" i="2"/>
  <c r="B175" i="2"/>
  <c r="C175" i="2"/>
  <c r="D175" i="2"/>
  <c r="E175" i="2"/>
  <c r="F175" i="2"/>
  <c r="G175" i="2"/>
  <c r="H175" i="2"/>
  <c r="I175" i="2"/>
  <c r="A176" i="2"/>
  <c r="B176" i="2"/>
  <c r="C176" i="2"/>
  <c r="D176" i="2"/>
  <c r="E176" i="2"/>
  <c r="F176" i="2"/>
  <c r="G176" i="2"/>
  <c r="H176" i="2"/>
  <c r="I176" i="2"/>
  <c r="A177" i="2"/>
  <c r="B177" i="2"/>
  <c r="C177" i="2"/>
  <c r="D177" i="2"/>
  <c r="E177" i="2"/>
  <c r="F177" i="2"/>
  <c r="G177" i="2"/>
  <c r="H177" i="2"/>
  <c r="I177" i="2"/>
  <c r="A178" i="2"/>
  <c r="B178" i="2"/>
  <c r="C178" i="2"/>
  <c r="D178" i="2"/>
  <c r="E178" i="2"/>
  <c r="F178" i="2"/>
  <c r="G178" i="2"/>
  <c r="H178" i="2"/>
  <c r="I178" i="2"/>
  <c r="A179" i="2"/>
  <c r="B179" i="2"/>
  <c r="C179" i="2"/>
  <c r="D179" i="2"/>
  <c r="E179" i="2"/>
  <c r="F179" i="2"/>
  <c r="G179" i="2"/>
  <c r="H179" i="2"/>
  <c r="I179" i="2"/>
  <c r="A180" i="2"/>
  <c r="B180" i="2"/>
  <c r="C180" i="2"/>
  <c r="D180" i="2"/>
  <c r="E180" i="2"/>
  <c r="F180" i="2"/>
  <c r="G180" i="2"/>
  <c r="H180" i="2"/>
  <c r="I180" i="2"/>
  <c r="A181" i="2"/>
  <c r="B181" i="2"/>
  <c r="C181" i="2"/>
  <c r="D181" i="2"/>
  <c r="E181" i="2"/>
  <c r="F181" i="2"/>
  <c r="G181" i="2"/>
  <c r="H181" i="2"/>
  <c r="I181" i="2"/>
  <c r="A182" i="2"/>
  <c r="B182" i="2"/>
  <c r="C182" i="2"/>
  <c r="D182" i="2"/>
  <c r="E182" i="2"/>
  <c r="F182" i="2"/>
  <c r="G182" i="2"/>
  <c r="H182" i="2"/>
  <c r="I182" i="2"/>
  <c r="A183" i="2"/>
  <c r="B183" i="2"/>
  <c r="C183" i="2"/>
  <c r="D183" i="2"/>
  <c r="E183" i="2"/>
  <c r="F183" i="2"/>
  <c r="G183" i="2"/>
  <c r="H183" i="2"/>
  <c r="I183" i="2"/>
  <c r="A184" i="2"/>
  <c r="B184" i="2"/>
  <c r="C184" i="2"/>
  <c r="D184" i="2"/>
  <c r="E184" i="2"/>
  <c r="F184" i="2"/>
  <c r="G184" i="2"/>
  <c r="H184" i="2"/>
  <c r="I184" i="2"/>
  <c r="A185" i="2"/>
  <c r="B185" i="2"/>
  <c r="C185" i="2"/>
  <c r="D185" i="2"/>
  <c r="E185" i="2"/>
  <c r="F185" i="2"/>
  <c r="G185" i="2"/>
  <c r="H185" i="2"/>
  <c r="I185" i="2"/>
  <c r="A186" i="2"/>
  <c r="B186" i="2"/>
  <c r="C186" i="2"/>
  <c r="D186" i="2"/>
  <c r="E186" i="2"/>
  <c r="F186" i="2"/>
  <c r="G186" i="2"/>
  <c r="H186" i="2"/>
  <c r="I186" i="2"/>
  <c r="A187" i="2"/>
  <c r="B187" i="2"/>
  <c r="C187" i="2"/>
  <c r="D187" i="2"/>
  <c r="E187" i="2"/>
  <c r="F187" i="2"/>
  <c r="G187" i="2"/>
  <c r="H187" i="2"/>
  <c r="I187" i="2"/>
  <c r="A188" i="2"/>
  <c r="B188" i="2"/>
  <c r="C188" i="2"/>
  <c r="D188" i="2"/>
  <c r="E188" i="2"/>
  <c r="F188" i="2"/>
  <c r="G188" i="2"/>
  <c r="H188" i="2"/>
  <c r="I188" i="2"/>
  <c r="A189" i="2"/>
  <c r="B189" i="2"/>
  <c r="C189" i="2"/>
  <c r="D189" i="2"/>
  <c r="E189" i="2"/>
  <c r="F189" i="2"/>
  <c r="G189" i="2"/>
  <c r="H189" i="2"/>
  <c r="I189" i="2"/>
  <c r="A190" i="2"/>
  <c r="B190" i="2"/>
  <c r="C190" i="2"/>
  <c r="D190" i="2"/>
  <c r="E190" i="2"/>
  <c r="F190" i="2"/>
  <c r="G190" i="2"/>
  <c r="H190" i="2"/>
  <c r="I190" i="2"/>
  <c r="A191" i="2"/>
  <c r="B191" i="2"/>
  <c r="C191" i="2"/>
  <c r="D191" i="2"/>
  <c r="E191" i="2"/>
  <c r="F191" i="2"/>
  <c r="G191" i="2"/>
  <c r="H191" i="2"/>
  <c r="I191" i="2"/>
  <c r="A192" i="2"/>
  <c r="B192" i="2"/>
  <c r="C192" i="2"/>
  <c r="D192" i="2"/>
  <c r="E192" i="2"/>
  <c r="F192" i="2"/>
  <c r="G192" i="2"/>
  <c r="H192" i="2"/>
  <c r="I192" i="2"/>
  <c r="A193" i="2"/>
  <c r="B193" i="2"/>
  <c r="C193" i="2"/>
  <c r="D193" i="2"/>
  <c r="E193" i="2"/>
  <c r="F193" i="2"/>
  <c r="G193" i="2"/>
  <c r="H193" i="2"/>
  <c r="I193" i="2"/>
  <c r="A194" i="2"/>
  <c r="B194" i="2"/>
  <c r="C194" i="2"/>
  <c r="D194" i="2"/>
  <c r="E194" i="2"/>
  <c r="F194" i="2"/>
  <c r="G194" i="2"/>
  <c r="H194" i="2"/>
  <c r="I194" i="2"/>
  <c r="A195" i="2"/>
  <c r="B195" i="2"/>
  <c r="C195" i="2"/>
  <c r="D195" i="2"/>
  <c r="E195" i="2"/>
  <c r="F195" i="2"/>
  <c r="G195" i="2"/>
  <c r="H195" i="2"/>
  <c r="I195" i="2"/>
  <c r="A196" i="2"/>
  <c r="B196" i="2"/>
  <c r="C196" i="2"/>
  <c r="D196" i="2"/>
  <c r="E196" i="2"/>
  <c r="F196" i="2"/>
  <c r="G196" i="2"/>
  <c r="H196" i="2"/>
  <c r="I196" i="2"/>
  <c r="A197" i="2"/>
  <c r="B197" i="2"/>
  <c r="C197" i="2"/>
  <c r="D197" i="2"/>
  <c r="E197" i="2"/>
  <c r="F197" i="2"/>
  <c r="G197" i="2"/>
  <c r="H197" i="2"/>
  <c r="I197" i="2"/>
  <c r="A198" i="2"/>
  <c r="B198" i="2"/>
  <c r="C198" i="2"/>
  <c r="D198" i="2"/>
  <c r="E198" i="2"/>
  <c r="F198" i="2"/>
  <c r="G198" i="2"/>
  <c r="H198" i="2"/>
  <c r="I198" i="2"/>
  <c r="A199" i="2"/>
  <c r="B199" i="2"/>
  <c r="C199" i="2"/>
  <c r="D199" i="2"/>
  <c r="E199" i="2"/>
  <c r="F199" i="2"/>
  <c r="G199" i="2"/>
  <c r="H199" i="2"/>
  <c r="I199" i="2"/>
  <c r="A200" i="2"/>
  <c r="B200" i="2"/>
  <c r="C200" i="2"/>
  <c r="D200" i="2"/>
  <c r="E200" i="2"/>
  <c r="F200" i="2"/>
  <c r="G200" i="2"/>
  <c r="H200" i="2"/>
  <c r="I200" i="2"/>
  <c r="A201" i="2"/>
  <c r="B201" i="2"/>
  <c r="C201" i="2"/>
  <c r="D201" i="2"/>
  <c r="E201" i="2"/>
  <c r="F201" i="2"/>
  <c r="G201" i="2"/>
  <c r="H201" i="2"/>
  <c r="I201" i="2"/>
  <c r="A202" i="2"/>
  <c r="B202" i="2"/>
  <c r="C202" i="2"/>
  <c r="D202" i="2"/>
  <c r="E202" i="2"/>
  <c r="F202" i="2"/>
  <c r="G202" i="2"/>
  <c r="H202" i="2"/>
  <c r="I202" i="2"/>
  <c r="A203" i="2"/>
  <c r="B203" i="2"/>
  <c r="C203" i="2"/>
  <c r="D203" i="2"/>
  <c r="E203" i="2"/>
  <c r="F203" i="2"/>
  <c r="G203" i="2"/>
  <c r="H203" i="2"/>
  <c r="I203" i="2"/>
  <c r="A204" i="2"/>
  <c r="B204" i="2"/>
  <c r="C204" i="2"/>
  <c r="D204" i="2"/>
  <c r="E204" i="2"/>
  <c r="F204" i="2"/>
  <c r="G204" i="2"/>
  <c r="H204" i="2"/>
  <c r="I204" i="2"/>
  <c r="A205" i="2"/>
  <c r="B205" i="2"/>
  <c r="C205" i="2"/>
  <c r="D205" i="2"/>
  <c r="E205" i="2"/>
  <c r="F205" i="2"/>
  <c r="G205" i="2"/>
  <c r="H205" i="2"/>
  <c r="I205" i="2"/>
  <c r="A206" i="2"/>
  <c r="B206" i="2"/>
  <c r="C206" i="2"/>
  <c r="D206" i="2"/>
  <c r="E206" i="2"/>
  <c r="F206" i="2"/>
  <c r="G206" i="2"/>
  <c r="H206" i="2"/>
  <c r="I206" i="2"/>
  <c r="A207" i="2"/>
  <c r="B207" i="2"/>
  <c r="C207" i="2"/>
  <c r="D207" i="2"/>
  <c r="E207" i="2"/>
  <c r="F207" i="2"/>
  <c r="G207" i="2"/>
  <c r="H207" i="2"/>
  <c r="I207" i="2"/>
  <c r="A208" i="2"/>
  <c r="B208" i="2"/>
  <c r="C208" i="2"/>
  <c r="D208" i="2"/>
  <c r="E208" i="2"/>
  <c r="F208" i="2"/>
  <c r="G208" i="2"/>
  <c r="H208" i="2"/>
  <c r="I208" i="2"/>
  <c r="A209" i="2"/>
  <c r="B209" i="2"/>
  <c r="C209" i="2"/>
  <c r="D209" i="2"/>
  <c r="E209" i="2"/>
  <c r="F209" i="2"/>
  <c r="G209" i="2"/>
  <c r="H209" i="2"/>
  <c r="I209" i="2"/>
  <c r="A210" i="2"/>
  <c r="B210" i="2"/>
  <c r="C210" i="2"/>
  <c r="D210" i="2"/>
  <c r="E210" i="2"/>
  <c r="F210" i="2"/>
  <c r="G210" i="2"/>
  <c r="H210" i="2"/>
  <c r="I210" i="2"/>
  <c r="A211" i="2"/>
  <c r="B211" i="2"/>
  <c r="C211" i="2"/>
  <c r="D211" i="2"/>
  <c r="E211" i="2"/>
  <c r="F211" i="2"/>
  <c r="G211" i="2"/>
  <c r="H211" i="2"/>
  <c r="I211" i="2"/>
  <c r="A212" i="2"/>
  <c r="B212" i="2"/>
  <c r="C212" i="2"/>
  <c r="D212" i="2"/>
  <c r="E212" i="2"/>
  <c r="F212" i="2"/>
  <c r="G212" i="2"/>
  <c r="H212" i="2"/>
  <c r="I212" i="2"/>
  <c r="A213" i="2"/>
  <c r="B213" i="2"/>
  <c r="C213" i="2"/>
  <c r="D213" i="2"/>
  <c r="E213" i="2"/>
  <c r="F213" i="2"/>
  <c r="G213" i="2"/>
  <c r="H213" i="2"/>
  <c r="I213" i="2"/>
  <c r="A214" i="2"/>
  <c r="B214" i="2"/>
  <c r="C214" i="2"/>
  <c r="D214" i="2"/>
  <c r="E214" i="2"/>
  <c r="F214" i="2"/>
  <c r="G214" i="2"/>
  <c r="H214" i="2"/>
  <c r="I214" i="2"/>
  <c r="A215" i="2"/>
  <c r="B215" i="2"/>
  <c r="C215" i="2"/>
  <c r="D215" i="2"/>
  <c r="E215" i="2"/>
  <c r="F215" i="2"/>
  <c r="G215" i="2"/>
  <c r="H215" i="2"/>
  <c r="I215" i="2"/>
  <c r="A216" i="2"/>
  <c r="B216" i="2"/>
  <c r="C216" i="2"/>
  <c r="D216" i="2"/>
  <c r="E216" i="2"/>
  <c r="F216" i="2"/>
  <c r="G216" i="2"/>
  <c r="H216" i="2"/>
  <c r="I216" i="2"/>
  <c r="A217" i="2"/>
  <c r="B217" i="2"/>
  <c r="C217" i="2"/>
  <c r="D217" i="2"/>
  <c r="E217" i="2"/>
  <c r="F217" i="2"/>
  <c r="G217" i="2"/>
  <c r="H217" i="2"/>
  <c r="I217" i="2"/>
  <c r="A218" i="2"/>
  <c r="B218" i="2"/>
  <c r="C218" i="2"/>
  <c r="D218" i="2"/>
  <c r="E218" i="2"/>
  <c r="F218" i="2"/>
  <c r="G218" i="2"/>
  <c r="H218" i="2"/>
  <c r="I218" i="2"/>
  <c r="A219" i="2"/>
  <c r="B219" i="2"/>
  <c r="C219" i="2"/>
  <c r="D219" i="2"/>
  <c r="E219" i="2"/>
  <c r="F219" i="2"/>
  <c r="G219" i="2"/>
  <c r="H219" i="2"/>
  <c r="I219" i="2"/>
  <c r="A220" i="2"/>
  <c r="B220" i="2"/>
  <c r="C220" i="2"/>
  <c r="D220" i="2"/>
  <c r="E220" i="2"/>
  <c r="F220" i="2"/>
  <c r="G220" i="2"/>
  <c r="H220" i="2"/>
  <c r="I220" i="2"/>
  <c r="A221" i="2"/>
  <c r="B221" i="2"/>
  <c r="C221" i="2"/>
  <c r="D221" i="2"/>
  <c r="E221" i="2"/>
  <c r="F221" i="2"/>
  <c r="G221" i="2"/>
  <c r="H221" i="2"/>
  <c r="I221" i="2"/>
  <c r="A222" i="2"/>
  <c r="B222" i="2"/>
  <c r="C222" i="2"/>
  <c r="D222" i="2"/>
  <c r="E222" i="2"/>
  <c r="F222" i="2"/>
  <c r="G222" i="2"/>
  <c r="H222" i="2"/>
  <c r="I222" i="2"/>
  <c r="A223" i="2"/>
  <c r="B223" i="2"/>
  <c r="C223" i="2"/>
  <c r="D223" i="2"/>
  <c r="E223" i="2"/>
  <c r="F223" i="2"/>
  <c r="G223" i="2"/>
  <c r="H223" i="2"/>
  <c r="I223" i="2"/>
  <c r="A224" i="2"/>
  <c r="B224" i="2"/>
  <c r="C224" i="2"/>
  <c r="D224" i="2"/>
  <c r="E224" i="2"/>
  <c r="F224" i="2"/>
  <c r="G224" i="2"/>
  <c r="H224" i="2"/>
  <c r="I224" i="2"/>
  <c r="A225" i="2"/>
  <c r="B225" i="2"/>
  <c r="C225" i="2"/>
  <c r="D225" i="2"/>
  <c r="E225" i="2"/>
  <c r="F225" i="2"/>
  <c r="G225" i="2"/>
  <c r="H225" i="2"/>
  <c r="I225" i="2"/>
  <c r="A226" i="2"/>
  <c r="B226" i="2"/>
  <c r="C226" i="2"/>
  <c r="D226" i="2"/>
  <c r="E226" i="2"/>
  <c r="F226" i="2"/>
  <c r="G226" i="2"/>
  <c r="H226" i="2"/>
  <c r="I226" i="2"/>
  <c r="A227" i="2"/>
  <c r="B227" i="2"/>
  <c r="C227" i="2"/>
  <c r="D227" i="2"/>
  <c r="E227" i="2"/>
  <c r="F227" i="2"/>
  <c r="G227" i="2"/>
  <c r="H227" i="2"/>
  <c r="I227" i="2"/>
  <c r="E35" i="2"/>
  <c r="F35" i="2"/>
  <c r="G35" i="2"/>
  <c r="H35" i="2"/>
  <c r="I35" i="2"/>
  <c r="D88" i="2" l="1"/>
  <c r="B88" i="2"/>
  <c r="D87" i="2"/>
  <c r="B87" i="2"/>
  <c r="C87" i="2"/>
  <c r="I87" i="2"/>
  <c r="B88" i="4"/>
  <c r="F87" i="2"/>
  <c r="E87" i="2"/>
  <c r="A88" i="4"/>
  <c r="H89" i="4"/>
  <c r="A89" i="4"/>
  <c r="G89" i="4"/>
  <c r="C90" i="4"/>
  <c r="A88" i="2"/>
  <c r="H2" i="10"/>
  <c r="G2" i="10"/>
  <c r="F2" i="10"/>
  <c r="W44" i="6" l="1" a="1"/>
  <c r="W44" i="6" s="1"/>
  <c r="E82" i="9"/>
  <c r="F82" i="9"/>
  <c r="G82" i="9"/>
  <c r="H82" i="9"/>
  <c r="I82" i="9"/>
  <c r="E83" i="9"/>
  <c r="F83" i="9"/>
  <c r="G83" i="9"/>
  <c r="H83" i="9"/>
  <c r="I83" i="9"/>
  <c r="E84" i="9"/>
  <c r="F84" i="9"/>
  <c r="G84" i="9"/>
  <c r="H84" i="9"/>
  <c r="I84" i="9"/>
  <c r="E85" i="9"/>
  <c r="F85" i="9"/>
  <c r="G85" i="9"/>
  <c r="H85" i="9"/>
  <c r="I85" i="9"/>
  <c r="E86" i="9"/>
  <c r="F86" i="9"/>
  <c r="G86" i="9"/>
  <c r="H86" i="9"/>
  <c r="I86" i="9"/>
  <c r="E87" i="9"/>
  <c r="F87" i="9"/>
  <c r="G87" i="9"/>
  <c r="H87" i="9"/>
  <c r="I87" i="9"/>
  <c r="A88" i="9"/>
  <c r="B88" i="9"/>
  <c r="C88" i="9"/>
  <c r="D88" i="9"/>
  <c r="E88" i="9"/>
  <c r="F88" i="9"/>
  <c r="G88" i="9"/>
  <c r="H88" i="9"/>
  <c r="I88" i="9"/>
  <c r="A89" i="9"/>
  <c r="B89" i="9"/>
  <c r="C89" i="9"/>
  <c r="D89" i="9"/>
  <c r="E89" i="9"/>
  <c r="F89" i="9"/>
  <c r="G89" i="9"/>
  <c r="H89" i="9"/>
  <c r="I89" i="9"/>
  <c r="A90" i="9"/>
  <c r="B90" i="9"/>
  <c r="C90" i="9"/>
  <c r="D90" i="9"/>
  <c r="E90" i="9"/>
  <c r="F90" i="9"/>
  <c r="G90" i="9"/>
  <c r="H90" i="9"/>
  <c r="I90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40" i="9"/>
  <c r="F40" i="9"/>
  <c r="G40" i="9"/>
  <c r="H40" i="9"/>
  <c r="I40" i="9"/>
  <c r="E41" i="9"/>
  <c r="F41" i="9"/>
  <c r="G41" i="9"/>
  <c r="H41" i="9"/>
  <c r="I41" i="9"/>
  <c r="E42" i="9"/>
  <c r="F42" i="9"/>
  <c r="G42" i="9"/>
  <c r="H42" i="9"/>
  <c r="I42" i="9"/>
  <c r="E43" i="9"/>
  <c r="F43" i="9"/>
  <c r="G43" i="9"/>
  <c r="H43" i="9"/>
  <c r="I43" i="9"/>
  <c r="E44" i="9"/>
  <c r="F44" i="9"/>
  <c r="G44" i="9"/>
  <c r="H44" i="9"/>
  <c r="I44" i="9"/>
  <c r="E45" i="9"/>
  <c r="F45" i="9"/>
  <c r="G45" i="9"/>
  <c r="H45" i="9"/>
  <c r="I45" i="9"/>
  <c r="E46" i="9"/>
  <c r="F46" i="9"/>
  <c r="G46" i="9"/>
  <c r="H46" i="9"/>
  <c r="I46" i="9"/>
  <c r="E47" i="9"/>
  <c r="F47" i="9"/>
  <c r="G47" i="9"/>
  <c r="H47" i="9"/>
  <c r="I47" i="9"/>
  <c r="E48" i="9"/>
  <c r="F48" i="9"/>
  <c r="G48" i="9"/>
  <c r="H48" i="9"/>
  <c r="I48" i="9"/>
  <c r="E49" i="9"/>
  <c r="F49" i="9"/>
  <c r="G49" i="9"/>
  <c r="H49" i="9"/>
  <c r="I49" i="9"/>
  <c r="E50" i="9"/>
  <c r="F50" i="9"/>
  <c r="G50" i="9"/>
  <c r="H50" i="9"/>
  <c r="I50" i="9"/>
  <c r="E51" i="9"/>
  <c r="F51" i="9"/>
  <c r="G51" i="9"/>
  <c r="H51" i="9"/>
  <c r="I51" i="9"/>
  <c r="E52" i="9"/>
  <c r="F52" i="9"/>
  <c r="G52" i="9"/>
  <c r="H52" i="9"/>
  <c r="I52" i="9"/>
  <c r="E53" i="9"/>
  <c r="F53" i="9"/>
  <c r="G53" i="9"/>
  <c r="H53" i="9"/>
  <c r="I53" i="9"/>
  <c r="E54" i="9"/>
  <c r="F54" i="9"/>
  <c r="G54" i="9"/>
  <c r="H54" i="9"/>
  <c r="I54" i="9"/>
  <c r="E55" i="9"/>
  <c r="F55" i="9"/>
  <c r="G55" i="9"/>
  <c r="H55" i="9"/>
  <c r="I55" i="9"/>
  <c r="E56" i="9"/>
  <c r="F56" i="9"/>
  <c r="G56" i="9"/>
  <c r="H56" i="9"/>
  <c r="I56" i="9"/>
  <c r="E57" i="9"/>
  <c r="F57" i="9"/>
  <c r="G57" i="9"/>
  <c r="H57" i="9"/>
  <c r="I57" i="9"/>
  <c r="E58" i="9"/>
  <c r="F58" i="9"/>
  <c r="G58" i="9"/>
  <c r="H58" i="9"/>
  <c r="I58" i="9"/>
  <c r="E59" i="9"/>
  <c r="F59" i="9"/>
  <c r="G59" i="9"/>
  <c r="H59" i="9"/>
  <c r="I59" i="9"/>
  <c r="E60" i="9"/>
  <c r="F60" i="9"/>
  <c r="G60" i="9"/>
  <c r="H60" i="9"/>
  <c r="I60" i="9"/>
  <c r="E61" i="9"/>
  <c r="F61" i="9"/>
  <c r="G61" i="9"/>
  <c r="H61" i="9"/>
  <c r="I61" i="9"/>
  <c r="E62" i="9"/>
  <c r="F62" i="9"/>
  <c r="G62" i="9"/>
  <c r="H62" i="9"/>
  <c r="I62" i="9"/>
  <c r="E63" i="9"/>
  <c r="F63" i="9"/>
  <c r="G63" i="9"/>
  <c r="H63" i="9"/>
  <c r="I63" i="9"/>
  <c r="E64" i="9"/>
  <c r="F64" i="9"/>
  <c r="G64" i="9"/>
  <c r="H64" i="9"/>
  <c r="I64" i="9"/>
  <c r="E65" i="9"/>
  <c r="F65" i="9"/>
  <c r="G65" i="9"/>
  <c r="H65" i="9"/>
  <c r="I65" i="9"/>
  <c r="E66" i="9"/>
  <c r="F66" i="9"/>
  <c r="G66" i="9"/>
  <c r="H66" i="9"/>
  <c r="I66" i="9"/>
  <c r="E67" i="9"/>
  <c r="F67" i="9"/>
  <c r="G67" i="9"/>
  <c r="H67" i="9"/>
  <c r="I67" i="9"/>
  <c r="E68" i="9"/>
  <c r="F68" i="9"/>
  <c r="G68" i="9"/>
  <c r="H68" i="9"/>
  <c r="I68" i="9"/>
  <c r="E69" i="9"/>
  <c r="F69" i="9"/>
  <c r="G69" i="9"/>
  <c r="H69" i="9"/>
  <c r="I69" i="9"/>
  <c r="E70" i="9"/>
  <c r="F70" i="9"/>
  <c r="G70" i="9"/>
  <c r="H70" i="9"/>
  <c r="I70" i="9"/>
  <c r="E71" i="9"/>
  <c r="F71" i="9"/>
  <c r="G71" i="9"/>
  <c r="H71" i="9"/>
  <c r="I71" i="9"/>
  <c r="E72" i="9"/>
  <c r="F72" i="9"/>
  <c r="G72" i="9"/>
  <c r="H72" i="9"/>
  <c r="I72" i="9"/>
  <c r="E73" i="9"/>
  <c r="F73" i="9"/>
  <c r="G73" i="9"/>
  <c r="H73" i="9"/>
  <c r="I73" i="9"/>
  <c r="E74" i="9"/>
  <c r="F74" i="9"/>
  <c r="G74" i="9"/>
  <c r="H74" i="9"/>
  <c r="I74" i="9"/>
  <c r="E75" i="9"/>
  <c r="F75" i="9"/>
  <c r="G75" i="9"/>
  <c r="H75" i="9"/>
  <c r="I75" i="9"/>
  <c r="E76" i="9"/>
  <c r="F76" i="9"/>
  <c r="G76" i="9"/>
  <c r="H76" i="9"/>
  <c r="I76" i="9"/>
  <c r="E77" i="9"/>
  <c r="F77" i="9"/>
  <c r="G77" i="9"/>
  <c r="H77" i="9"/>
  <c r="I77" i="9"/>
  <c r="E78" i="9"/>
  <c r="F78" i="9"/>
  <c r="G78" i="9"/>
  <c r="H78" i="9"/>
  <c r="I78" i="9"/>
  <c r="E79" i="9"/>
  <c r="F79" i="9"/>
  <c r="G79" i="9"/>
  <c r="H79" i="9"/>
  <c r="I79" i="9"/>
  <c r="E80" i="9"/>
  <c r="F80" i="9"/>
  <c r="G80" i="9"/>
  <c r="H80" i="9"/>
  <c r="I80" i="9"/>
  <c r="E81" i="9"/>
  <c r="F81" i="9"/>
  <c r="G81" i="9"/>
  <c r="H81" i="9"/>
  <c r="I81" i="9"/>
  <c r="E8" i="9"/>
  <c r="F8" i="9"/>
  <c r="G8" i="9"/>
  <c r="H8" i="9"/>
  <c r="I8" i="9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F29" i="8"/>
  <c r="G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E34" i="8"/>
  <c r="F34" i="8"/>
  <c r="G34" i="8"/>
  <c r="H34" i="8"/>
  <c r="I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E48" i="8"/>
  <c r="F48" i="8"/>
  <c r="G48" i="8"/>
  <c r="H48" i="8"/>
  <c r="I48" i="8"/>
  <c r="E49" i="8"/>
  <c r="F49" i="8"/>
  <c r="G49" i="8"/>
  <c r="H49" i="8"/>
  <c r="I49" i="8"/>
  <c r="E50" i="8"/>
  <c r="F50" i="8"/>
  <c r="G50" i="8"/>
  <c r="H50" i="8"/>
  <c r="I50" i="8"/>
  <c r="E51" i="8"/>
  <c r="F51" i="8"/>
  <c r="G51" i="8"/>
  <c r="H51" i="8"/>
  <c r="I51" i="8"/>
  <c r="E52" i="8"/>
  <c r="F52" i="8"/>
  <c r="G52" i="8"/>
  <c r="H52" i="8"/>
  <c r="I52" i="8"/>
  <c r="E53" i="8"/>
  <c r="F53" i="8"/>
  <c r="G53" i="8"/>
  <c r="H53" i="8"/>
  <c r="I53" i="8"/>
  <c r="E54" i="8"/>
  <c r="F54" i="8"/>
  <c r="G54" i="8"/>
  <c r="H54" i="8"/>
  <c r="I54" i="8"/>
  <c r="E55" i="8"/>
  <c r="F55" i="8"/>
  <c r="G55" i="8"/>
  <c r="H55" i="8"/>
  <c r="I55" i="8"/>
  <c r="E56" i="8"/>
  <c r="F56" i="8"/>
  <c r="G56" i="8"/>
  <c r="H56" i="8"/>
  <c r="I56" i="8"/>
  <c r="E57" i="8"/>
  <c r="F57" i="8"/>
  <c r="G57" i="8"/>
  <c r="H57" i="8"/>
  <c r="I57" i="8"/>
  <c r="E58" i="8"/>
  <c r="F58" i="8"/>
  <c r="G58" i="8"/>
  <c r="H58" i="8"/>
  <c r="I58" i="8"/>
  <c r="E59" i="8"/>
  <c r="F59" i="8"/>
  <c r="G59" i="8"/>
  <c r="H59" i="8"/>
  <c r="I59" i="8"/>
  <c r="E60" i="8"/>
  <c r="F60" i="8"/>
  <c r="G60" i="8"/>
  <c r="H60" i="8"/>
  <c r="I60" i="8"/>
  <c r="E61" i="8"/>
  <c r="F61" i="8"/>
  <c r="G61" i="8"/>
  <c r="H61" i="8"/>
  <c r="I61" i="8"/>
  <c r="E62" i="8"/>
  <c r="F62" i="8"/>
  <c r="G62" i="8"/>
  <c r="H62" i="8"/>
  <c r="I62" i="8"/>
  <c r="E63" i="8"/>
  <c r="F63" i="8"/>
  <c r="G63" i="8"/>
  <c r="H63" i="8"/>
  <c r="I63" i="8"/>
  <c r="E64" i="8"/>
  <c r="F64" i="8"/>
  <c r="G64" i="8"/>
  <c r="H64" i="8"/>
  <c r="I64" i="8"/>
  <c r="E65" i="8"/>
  <c r="F65" i="8"/>
  <c r="G65" i="8"/>
  <c r="H65" i="8"/>
  <c r="I65" i="8"/>
  <c r="E66" i="8"/>
  <c r="F66" i="8"/>
  <c r="G66" i="8"/>
  <c r="H66" i="8"/>
  <c r="I66" i="8"/>
  <c r="E67" i="8"/>
  <c r="F67" i="8"/>
  <c r="G67" i="8"/>
  <c r="H67" i="8"/>
  <c r="I67" i="8"/>
  <c r="E68" i="8"/>
  <c r="F68" i="8"/>
  <c r="G68" i="8"/>
  <c r="H68" i="8"/>
  <c r="I68" i="8"/>
  <c r="E69" i="8"/>
  <c r="F69" i="8"/>
  <c r="G69" i="8"/>
  <c r="H69" i="8"/>
  <c r="I69" i="8"/>
  <c r="E70" i="8"/>
  <c r="F70" i="8"/>
  <c r="G70" i="8"/>
  <c r="H70" i="8"/>
  <c r="I70" i="8"/>
  <c r="E71" i="8"/>
  <c r="F71" i="8"/>
  <c r="G71" i="8"/>
  <c r="H71" i="8"/>
  <c r="I71" i="8"/>
  <c r="E72" i="8"/>
  <c r="F72" i="8"/>
  <c r="G72" i="8"/>
  <c r="H72" i="8"/>
  <c r="I72" i="8"/>
  <c r="E73" i="8"/>
  <c r="F73" i="8"/>
  <c r="G73" i="8"/>
  <c r="H73" i="8"/>
  <c r="I73" i="8"/>
  <c r="E74" i="8"/>
  <c r="F74" i="8"/>
  <c r="G74" i="8"/>
  <c r="H74" i="8"/>
  <c r="I74" i="8"/>
  <c r="E75" i="8"/>
  <c r="F75" i="8"/>
  <c r="G75" i="8"/>
  <c r="H75" i="8"/>
  <c r="I75" i="8"/>
  <c r="E76" i="8"/>
  <c r="F76" i="8"/>
  <c r="G76" i="8"/>
  <c r="H76" i="8"/>
  <c r="I76" i="8"/>
  <c r="E77" i="8"/>
  <c r="F77" i="8"/>
  <c r="G77" i="8"/>
  <c r="H77" i="8"/>
  <c r="I77" i="8"/>
  <c r="E78" i="8"/>
  <c r="F78" i="8"/>
  <c r="G78" i="8"/>
  <c r="H78" i="8"/>
  <c r="I78" i="8"/>
  <c r="E79" i="8"/>
  <c r="F79" i="8"/>
  <c r="G79" i="8"/>
  <c r="H79" i="8"/>
  <c r="I79" i="8"/>
  <c r="E80" i="8"/>
  <c r="F80" i="8"/>
  <c r="G80" i="8"/>
  <c r="H80" i="8"/>
  <c r="I80" i="8"/>
  <c r="E81" i="8"/>
  <c r="F81" i="8"/>
  <c r="G81" i="8"/>
  <c r="H81" i="8"/>
  <c r="I81" i="8"/>
  <c r="E82" i="8"/>
  <c r="F82" i="8"/>
  <c r="G82" i="8"/>
  <c r="H82" i="8"/>
  <c r="I82" i="8"/>
  <c r="E83" i="8"/>
  <c r="F83" i="8"/>
  <c r="G83" i="8"/>
  <c r="H83" i="8"/>
  <c r="I83" i="8"/>
  <c r="E84" i="8"/>
  <c r="F84" i="8"/>
  <c r="G84" i="8"/>
  <c r="H84" i="8"/>
  <c r="I84" i="8"/>
  <c r="E85" i="8"/>
  <c r="F85" i="8"/>
  <c r="G85" i="8"/>
  <c r="H85" i="8"/>
  <c r="I85" i="8"/>
  <c r="E86" i="8"/>
  <c r="F86" i="8"/>
  <c r="G86" i="8"/>
  <c r="H86" i="8"/>
  <c r="I86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9" i="8"/>
  <c r="F9" i="8"/>
  <c r="G9" i="8"/>
  <c r="H9" i="8"/>
  <c r="I9" i="8"/>
  <c r="E10" i="8"/>
  <c r="F10" i="8"/>
  <c r="G10" i="8"/>
  <c r="H10" i="8"/>
  <c r="I10" i="8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E48" i="7"/>
  <c r="F48" i="7"/>
  <c r="G48" i="7"/>
  <c r="H48" i="7"/>
  <c r="I48" i="7"/>
  <c r="E49" i="7"/>
  <c r="F49" i="7"/>
  <c r="G49" i="7"/>
  <c r="H49" i="7"/>
  <c r="I49" i="7"/>
  <c r="E50" i="7"/>
  <c r="F50" i="7"/>
  <c r="G50" i="7"/>
  <c r="H50" i="7"/>
  <c r="I50" i="7"/>
  <c r="E51" i="7"/>
  <c r="F51" i="7"/>
  <c r="G51" i="7"/>
  <c r="H51" i="7"/>
  <c r="I51" i="7"/>
  <c r="E52" i="7"/>
  <c r="F52" i="7"/>
  <c r="G52" i="7"/>
  <c r="H52" i="7"/>
  <c r="I52" i="7"/>
  <c r="E53" i="7"/>
  <c r="F53" i="7"/>
  <c r="G53" i="7"/>
  <c r="H53" i="7"/>
  <c r="I53" i="7"/>
  <c r="E54" i="7"/>
  <c r="F54" i="7"/>
  <c r="G54" i="7"/>
  <c r="H54" i="7"/>
  <c r="I54" i="7"/>
  <c r="E55" i="7"/>
  <c r="F55" i="7"/>
  <c r="G55" i="7"/>
  <c r="H55" i="7"/>
  <c r="I55" i="7"/>
  <c r="E56" i="7"/>
  <c r="F56" i="7"/>
  <c r="G56" i="7"/>
  <c r="H56" i="7"/>
  <c r="I56" i="7"/>
  <c r="E57" i="7"/>
  <c r="F57" i="7"/>
  <c r="G57" i="7"/>
  <c r="H57" i="7"/>
  <c r="I57" i="7"/>
  <c r="E58" i="7"/>
  <c r="F58" i="7"/>
  <c r="G58" i="7"/>
  <c r="H58" i="7"/>
  <c r="I58" i="7"/>
  <c r="E59" i="7"/>
  <c r="F59" i="7"/>
  <c r="G59" i="7"/>
  <c r="H59" i="7"/>
  <c r="I59" i="7"/>
  <c r="E60" i="7"/>
  <c r="F60" i="7"/>
  <c r="G60" i="7"/>
  <c r="H60" i="7"/>
  <c r="I60" i="7"/>
  <c r="E61" i="7"/>
  <c r="F61" i="7"/>
  <c r="G61" i="7"/>
  <c r="H61" i="7"/>
  <c r="I61" i="7"/>
  <c r="E62" i="7"/>
  <c r="F62" i="7"/>
  <c r="G62" i="7"/>
  <c r="H62" i="7"/>
  <c r="I62" i="7"/>
  <c r="E63" i="7"/>
  <c r="F63" i="7"/>
  <c r="G63" i="7"/>
  <c r="H63" i="7"/>
  <c r="I63" i="7"/>
  <c r="E64" i="7"/>
  <c r="F64" i="7"/>
  <c r="G64" i="7"/>
  <c r="H64" i="7"/>
  <c r="I64" i="7"/>
  <c r="E65" i="7"/>
  <c r="F65" i="7"/>
  <c r="G65" i="7"/>
  <c r="H65" i="7"/>
  <c r="I65" i="7"/>
  <c r="E66" i="7"/>
  <c r="F66" i="7"/>
  <c r="G66" i="7"/>
  <c r="H66" i="7"/>
  <c r="I66" i="7"/>
  <c r="E67" i="7"/>
  <c r="F67" i="7"/>
  <c r="G67" i="7"/>
  <c r="H67" i="7"/>
  <c r="I67" i="7"/>
  <c r="E68" i="7"/>
  <c r="F68" i="7"/>
  <c r="G68" i="7"/>
  <c r="H68" i="7"/>
  <c r="I68" i="7"/>
  <c r="E69" i="7"/>
  <c r="F69" i="7"/>
  <c r="G69" i="7"/>
  <c r="H69" i="7"/>
  <c r="I69" i="7"/>
  <c r="E70" i="7"/>
  <c r="F70" i="7"/>
  <c r="G70" i="7"/>
  <c r="H70" i="7"/>
  <c r="I70" i="7"/>
  <c r="E71" i="7"/>
  <c r="F71" i="7"/>
  <c r="G71" i="7"/>
  <c r="H71" i="7"/>
  <c r="I71" i="7"/>
  <c r="E72" i="7"/>
  <c r="F72" i="7"/>
  <c r="G72" i="7"/>
  <c r="H72" i="7"/>
  <c r="I72" i="7"/>
  <c r="E73" i="7"/>
  <c r="F73" i="7"/>
  <c r="G73" i="7"/>
  <c r="H73" i="7"/>
  <c r="I73" i="7"/>
  <c r="E74" i="7"/>
  <c r="F74" i="7"/>
  <c r="G74" i="7"/>
  <c r="H74" i="7"/>
  <c r="I74" i="7"/>
  <c r="E75" i="7"/>
  <c r="F75" i="7"/>
  <c r="G75" i="7"/>
  <c r="H75" i="7"/>
  <c r="I75" i="7"/>
  <c r="E76" i="7"/>
  <c r="F76" i="7"/>
  <c r="G76" i="7"/>
  <c r="H76" i="7"/>
  <c r="I76" i="7"/>
  <c r="E77" i="7"/>
  <c r="F77" i="7"/>
  <c r="G77" i="7"/>
  <c r="H77" i="7"/>
  <c r="I77" i="7"/>
  <c r="E78" i="7"/>
  <c r="F78" i="7"/>
  <c r="G78" i="7"/>
  <c r="H78" i="7"/>
  <c r="I78" i="7"/>
  <c r="E79" i="7"/>
  <c r="F79" i="7"/>
  <c r="G79" i="7"/>
  <c r="H79" i="7"/>
  <c r="I79" i="7"/>
  <c r="E80" i="7"/>
  <c r="F80" i="7"/>
  <c r="G80" i="7"/>
  <c r="H80" i="7"/>
  <c r="I80" i="7"/>
  <c r="E81" i="7"/>
  <c r="F81" i="7"/>
  <c r="G81" i="7"/>
  <c r="H81" i="7"/>
  <c r="I81" i="7"/>
  <c r="E82" i="7"/>
  <c r="F82" i="7"/>
  <c r="G82" i="7"/>
  <c r="H82" i="7"/>
  <c r="I82" i="7"/>
  <c r="E83" i="7"/>
  <c r="F83" i="7"/>
  <c r="G83" i="7"/>
  <c r="H83" i="7"/>
  <c r="I83" i="7"/>
  <c r="E84" i="7"/>
  <c r="F84" i="7"/>
  <c r="G84" i="7"/>
  <c r="H84" i="7"/>
  <c r="I84" i="7"/>
  <c r="E85" i="7"/>
  <c r="F85" i="7"/>
  <c r="G85" i="7"/>
  <c r="H85" i="7"/>
  <c r="I85" i="7"/>
  <c r="E86" i="7"/>
  <c r="F86" i="7"/>
  <c r="G86" i="7"/>
  <c r="H86" i="7"/>
  <c r="I86" i="7"/>
  <c r="E87" i="7"/>
  <c r="F87" i="7"/>
  <c r="G87" i="7"/>
  <c r="H87" i="7"/>
  <c r="I87" i="7"/>
  <c r="A88" i="7"/>
  <c r="B88" i="7"/>
  <c r="C88" i="7"/>
  <c r="D88" i="7"/>
  <c r="E88" i="7"/>
  <c r="F88" i="7"/>
  <c r="G88" i="7"/>
  <c r="H88" i="7"/>
  <c r="I88" i="7"/>
  <c r="A89" i="7"/>
  <c r="B89" i="7"/>
  <c r="C89" i="7"/>
  <c r="D89" i="7"/>
  <c r="E89" i="7"/>
  <c r="F89" i="7"/>
  <c r="G89" i="7"/>
  <c r="H89" i="7"/>
  <c r="I89" i="7"/>
  <c r="A90" i="7"/>
  <c r="B90" i="7"/>
  <c r="C90" i="7"/>
  <c r="D90" i="7"/>
  <c r="E90" i="7"/>
  <c r="F90" i="7"/>
  <c r="G90" i="7"/>
  <c r="H90" i="7"/>
  <c r="I90" i="7"/>
  <c r="A91" i="7"/>
  <c r="B91" i="7"/>
  <c r="C91" i="7"/>
  <c r="D91" i="7"/>
  <c r="E91" i="7"/>
  <c r="F91" i="7"/>
  <c r="G91" i="7"/>
  <c r="H91" i="7"/>
  <c r="I91" i="7"/>
  <c r="A92" i="7"/>
  <c r="B92" i="7"/>
  <c r="C92" i="7"/>
  <c r="D92" i="7"/>
  <c r="E92" i="7"/>
  <c r="F92" i="7"/>
  <c r="G92" i="7"/>
  <c r="H92" i="7"/>
  <c r="I92" i="7"/>
  <c r="A93" i="7"/>
  <c r="B93" i="7"/>
  <c r="C93" i="7"/>
  <c r="D93" i="7"/>
  <c r="E93" i="7"/>
  <c r="F93" i="7"/>
  <c r="G93" i="7"/>
  <c r="H93" i="7"/>
  <c r="I93" i="7"/>
  <c r="A94" i="7"/>
  <c r="B94" i="7"/>
  <c r="C94" i="7"/>
  <c r="D94" i="7"/>
  <c r="E94" i="7"/>
  <c r="F94" i="7"/>
  <c r="G94" i="7"/>
  <c r="H94" i="7"/>
  <c r="I94" i="7"/>
  <c r="A95" i="7"/>
  <c r="B95" i="7"/>
  <c r="C95" i="7"/>
  <c r="D95" i="7"/>
  <c r="E95" i="7"/>
  <c r="F95" i="7"/>
  <c r="G95" i="7"/>
  <c r="H95" i="7"/>
  <c r="I95" i="7"/>
  <c r="A96" i="7"/>
  <c r="B96" i="7"/>
  <c r="C96" i="7"/>
  <c r="D96" i="7"/>
  <c r="E96" i="7"/>
  <c r="F96" i="7"/>
  <c r="G96" i="7"/>
  <c r="H96" i="7"/>
  <c r="I96" i="7"/>
  <c r="A97" i="7"/>
  <c r="B97" i="7"/>
  <c r="C97" i="7"/>
  <c r="D97" i="7"/>
  <c r="E97" i="7"/>
  <c r="F97" i="7"/>
  <c r="G97" i="7"/>
  <c r="H97" i="7"/>
  <c r="I97" i="7"/>
  <c r="A98" i="7"/>
  <c r="B98" i="7"/>
  <c r="C98" i="7"/>
  <c r="D98" i="7"/>
  <c r="E98" i="7"/>
  <c r="F98" i="7"/>
  <c r="G98" i="7"/>
  <c r="H98" i="7"/>
  <c r="I98" i="7"/>
  <c r="A99" i="7"/>
  <c r="B99" i="7"/>
  <c r="C99" i="7"/>
  <c r="D99" i="7"/>
  <c r="E99" i="7"/>
  <c r="F99" i="7"/>
  <c r="G99" i="7"/>
  <c r="H99" i="7"/>
  <c r="I99" i="7"/>
  <c r="A100" i="7"/>
  <c r="B100" i="7"/>
  <c r="C100" i="7"/>
  <c r="D100" i="7"/>
  <c r="E100" i="7"/>
  <c r="F100" i="7"/>
  <c r="G100" i="7"/>
  <c r="H100" i="7"/>
  <c r="I100" i="7"/>
  <c r="A101" i="7"/>
  <c r="B101" i="7"/>
  <c r="C101" i="7"/>
  <c r="D101" i="7"/>
  <c r="E101" i="7"/>
  <c r="F101" i="7"/>
  <c r="G101" i="7"/>
  <c r="H101" i="7"/>
  <c r="I101" i="7"/>
  <c r="A102" i="7"/>
  <c r="B102" i="7"/>
  <c r="C102" i="7"/>
  <c r="D102" i="7"/>
  <c r="E102" i="7"/>
  <c r="F102" i="7"/>
  <c r="G102" i="7"/>
  <c r="H102" i="7"/>
  <c r="I102" i="7"/>
  <c r="A103" i="7"/>
  <c r="B103" i="7"/>
  <c r="C103" i="7"/>
  <c r="D103" i="7"/>
  <c r="E103" i="7"/>
  <c r="F103" i="7"/>
  <c r="G103" i="7"/>
  <c r="H103" i="7"/>
  <c r="I103" i="7"/>
  <c r="A104" i="7"/>
  <c r="B104" i="7"/>
  <c r="C104" i="7"/>
  <c r="D104" i="7"/>
  <c r="E104" i="7"/>
  <c r="F104" i="7"/>
  <c r="G104" i="7"/>
  <c r="H104" i="7"/>
  <c r="I104" i="7"/>
  <c r="A105" i="7"/>
  <c r="B105" i="7"/>
  <c r="C105" i="7"/>
  <c r="D105" i="7"/>
  <c r="E105" i="7"/>
  <c r="F105" i="7"/>
  <c r="G105" i="7"/>
  <c r="H105" i="7"/>
  <c r="I105" i="7"/>
  <c r="A106" i="7"/>
  <c r="B106" i="7"/>
  <c r="C106" i="7"/>
  <c r="D106" i="7"/>
  <c r="E106" i="7"/>
  <c r="F106" i="7"/>
  <c r="G106" i="7"/>
  <c r="H106" i="7"/>
  <c r="I106" i="7"/>
  <c r="A107" i="7"/>
  <c r="B107" i="7"/>
  <c r="C107" i="7"/>
  <c r="D107" i="7"/>
  <c r="E107" i="7"/>
  <c r="F107" i="7"/>
  <c r="G107" i="7"/>
  <c r="H107" i="7"/>
  <c r="I107" i="7"/>
  <c r="A108" i="7"/>
  <c r="B108" i="7"/>
  <c r="C108" i="7"/>
  <c r="D108" i="7"/>
  <c r="E108" i="7"/>
  <c r="F108" i="7"/>
  <c r="G108" i="7"/>
  <c r="H108" i="7"/>
  <c r="I108" i="7"/>
  <c r="A109" i="7"/>
  <c r="B109" i="7"/>
  <c r="C109" i="7"/>
  <c r="D109" i="7"/>
  <c r="E109" i="7"/>
  <c r="F109" i="7"/>
  <c r="G109" i="7"/>
  <c r="H109" i="7"/>
  <c r="I109" i="7"/>
  <c r="A110" i="7"/>
  <c r="B110" i="7"/>
  <c r="C110" i="7"/>
  <c r="D110" i="7"/>
  <c r="E110" i="7"/>
  <c r="F110" i="7"/>
  <c r="G110" i="7"/>
  <c r="H110" i="7"/>
  <c r="I110" i="7"/>
  <c r="A111" i="7"/>
  <c r="B111" i="7"/>
  <c r="C111" i="7"/>
  <c r="D111" i="7"/>
  <c r="E111" i="7"/>
  <c r="F111" i="7"/>
  <c r="G111" i="7"/>
  <c r="H111" i="7"/>
  <c r="I111" i="7"/>
  <c r="A112" i="7"/>
  <c r="B112" i="7"/>
  <c r="C112" i="7"/>
  <c r="D112" i="7"/>
  <c r="E112" i="7"/>
  <c r="F112" i="7"/>
  <c r="G112" i="7"/>
  <c r="H112" i="7"/>
  <c r="I112" i="7"/>
  <c r="A113" i="7"/>
  <c r="B113" i="7"/>
  <c r="C113" i="7"/>
  <c r="D113" i="7"/>
  <c r="E113" i="7"/>
  <c r="F113" i="7"/>
  <c r="G113" i="7"/>
  <c r="H113" i="7"/>
  <c r="I113" i="7"/>
  <c r="A114" i="7"/>
  <c r="B114" i="7"/>
  <c r="C114" i="7"/>
  <c r="D114" i="7"/>
  <c r="E114" i="7"/>
  <c r="F114" i="7"/>
  <c r="G114" i="7"/>
  <c r="H114" i="7"/>
  <c r="I114" i="7"/>
  <c r="A115" i="7"/>
  <c r="B115" i="7"/>
  <c r="C115" i="7"/>
  <c r="D115" i="7"/>
  <c r="E115" i="7"/>
  <c r="F115" i="7"/>
  <c r="G115" i="7"/>
  <c r="H115" i="7"/>
  <c r="I115" i="7"/>
  <c r="A116" i="7"/>
  <c r="B116" i="7"/>
  <c r="C116" i="7"/>
  <c r="D116" i="7"/>
  <c r="E116" i="7"/>
  <c r="F116" i="7"/>
  <c r="G116" i="7"/>
  <c r="H116" i="7"/>
  <c r="I116" i="7"/>
  <c r="A117" i="7"/>
  <c r="B117" i="7"/>
  <c r="C117" i="7"/>
  <c r="D117" i="7"/>
  <c r="E117" i="7"/>
  <c r="F117" i="7"/>
  <c r="G117" i="7"/>
  <c r="H117" i="7"/>
  <c r="I117" i="7"/>
  <c r="A118" i="7"/>
  <c r="B118" i="7"/>
  <c r="C118" i="7"/>
  <c r="D118" i="7"/>
  <c r="E118" i="7"/>
  <c r="F118" i="7"/>
  <c r="G118" i="7"/>
  <c r="H118" i="7"/>
  <c r="I118" i="7"/>
  <c r="A119" i="7"/>
  <c r="B119" i="7"/>
  <c r="C119" i="7"/>
  <c r="D119" i="7"/>
  <c r="E119" i="7"/>
  <c r="F119" i="7"/>
  <c r="G119" i="7"/>
  <c r="H119" i="7"/>
  <c r="I119" i="7"/>
  <c r="A120" i="7"/>
  <c r="B120" i="7"/>
  <c r="C120" i="7"/>
  <c r="D120" i="7"/>
  <c r="E120" i="7"/>
  <c r="F120" i="7"/>
  <c r="G120" i="7"/>
  <c r="H120" i="7"/>
  <c r="I120" i="7"/>
  <c r="A121" i="7"/>
  <c r="B121" i="7"/>
  <c r="C121" i="7"/>
  <c r="D121" i="7"/>
  <c r="E121" i="7"/>
  <c r="F121" i="7"/>
  <c r="G121" i="7"/>
  <c r="H121" i="7"/>
  <c r="I121" i="7"/>
  <c r="A122" i="7"/>
  <c r="B122" i="7"/>
  <c r="C122" i="7"/>
  <c r="D122" i="7"/>
  <c r="E122" i="7"/>
  <c r="F122" i="7"/>
  <c r="G122" i="7"/>
  <c r="H122" i="7"/>
  <c r="I122" i="7"/>
  <c r="A123" i="7"/>
  <c r="B123" i="7"/>
  <c r="C123" i="7"/>
  <c r="D123" i="7"/>
  <c r="E123" i="7"/>
  <c r="F123" i="7"/>
  <c r="G123" i="7"/>
  <c r="H123" i="7"/>
  <c r="I123" i="7"/>
  <c r="A124" i="7"/>
  <c r="B124" i="7"/>
  <c r="C124" i="7"/>
  <c r="D124" i="7"/>
  <c r="E124" i="7"/>
  <c r="F124" i="7"/>
  <c r="G124" i="7"/>
  <c r="H124" i="7"/>
  <c r="I124" i="7"/>
  <c r="A125" i="7"/>
  <c r="B125" i="7"/>
  <c r="C125" i="7"/>
  <c r="D125" i="7"/>
  <c r="E125" i="7"/>
  <c r="F125" i="7"/>
  <c r="G125" i="7"/>
  <c r="H125" i="7"/>
  <c r="I125" i="7"/>
  <c r="A126" i="7"/>
  <c r="B126" i="7"/>
  <c r="C126" i="7"/>
  <c r="D126" i="7"/>
  <c r="E126" i="7"/>
  <c r="F126" i="7"/>
  <c r="G126" i="7"/>
  <c r="H126" i="7"/>
  <c r="I126" i="7"/>
  <c r="A127" i="7"/>
  <c r="B127" i="7"/>
  <c r="C127" i="7"/>
  <c r="D127" i="7"/>
  <c r="E127" i="7"/>
  <c r="F127" i="7"/>
  <c r="G127" i="7"/>
  <c r="H127" i="7"/>
  <c r="I127" i="7"/>
  <c r="A128" i="7"/>
  <c r="B128" i="7"/>
  <c r="C128" i="7"/>
  <c r="D128" i="7"/>
  <c r="E128" i="7"/>
  <c r="F128" i="7"/>
  <c r="G128" i="7"/>
  <c r="H128" i="7"/>
  <c r="I128" i="7"/>
  <c r="A129" i="7"/>
  <c r="B129" i="7"/>
  <c r="C129" i="7"/>
  <c r="D129" i="7"/>
  <c r="E129" i="7"/>
  <c r="F129" i="7"/>
  <c r="G129" i="7"/>
  <c r="H129" i="7"/>
  <c r="I129" i="7"/>
  <c r="A130" i="7"/>
  <c r="B130" i="7"/>
  <c r="C130" i="7"/>
  <c r="D130" i="7"/>
  <c r="E130" i="7"/>
  <c r="F130" i="7"/>
  <c r="G130" i="7"/>
  <c r="H130" i="7"/>
  <c r="I130" i="7"/>
  <c r="A131" i="7"/>
  <c r="B131" i="7"/>
  <c r="C131" i="7"/>
  <c r="D131" i="7"/>
  <c r="E131" i="7"/>
  <c r="F131" i="7"/>
  <c r="G131" i="7"/>
  <c r="H131" i="7"/>
  <c r="I131" i="7"/>
  <c r="A132" i="7"/>
  <c r="B132" i="7"/>
  <c r="C132" i="7"/>
  <c r="D132" i="7"/>
  <c r="E132" i="7"/>
  <c r="F132" i="7"/>
  <c r="G132" i="7"/>
  <c r="H132" i="7"/>
  <c r="I132" i="7"/>
  <c r="A133" i="7"/>
  <c r="B133" i="7"/>
  <c r="C133" i="7"/>
  <c r="D133" i="7"/>
  <c r="E133" i="7"/>
  <c r="F133" i="7"/>
  <c r="G133" i="7"/>
  <c r="H133" i="7"/>
  <c r="I133" i="7"/>
  <c r="A134" i="7"/>
  <c r="B134" i="7"/>
  <c r="C134" i="7"/>
  <c r="D134" i="7"/>
  <c r="E134" i="7"/>
  <c r="F134" i="7"/>
  <c r="G134" i="7"/>
  <c r="H134" i="7"/>
  <c r="I134" i="7"/>
  <c r="A135" i="7"/>
  <c r="B135" i="7"/>
  <c r="C135" i="7"/>
  <c r="D135" i="7"/>
  <c r="E135" i="7"/>
  <c r="F135" i="7"/>
  <c r="G135" i="7"/>
  <c r="H135" i="7"/>
  <c r="I135" i="7"/>
  <c r="A136" i="7"/>
  <c r="B136" i="7"/>
  <c r="C136" i="7"/>
  <c r="D136" i="7"/>
  <c r="E136" i="7"/>
  <c r="F136" i="7"/>
  <c r="G136" i="7"/>
  <c r="H136" i="7"/>
  <c r="I136" i="7"/>
  <c r="A137" i="7"/>
  <c r="B137" i="7"/>
  <c r="C137" i="7"/>
  <c r="D137" i="7"/>
  <c r="E137" i="7"/>
  <c r="F137" i="7"/>
  <c r="G137" i="7"/>
  <c r="H137" i="7"/>
  <c r="I137" i="7"/>
  <c r="A138" i="7"/>
  <c r="B138" i="7"/>
  <c r="C138" i="7"/>
  <c r="D138" i="7"/>
  <c r="E138" i="7"/>
  <c r="F138" i="7"/>
  <c r="G138" i="7"/>
  <c r="H138" i="7"/>
  <c r="I138" i="7"/>
  <c r="A139" i="7"/>
  <c r="B139" i="7"/>
  <c r="C139" i="7"/>
  <c r="D139" i="7"/>
  <c r="E139" i="7"/>
  <c r="F139" i="7"/>
  <c r="G139" i="7"/>
  <c r="H139" i="7"/>
  <c r="I139" i="7"/>
  <c r="A140" i="7"/>
  <c r="B140" i="7"/>
  <c r="C140" i="7"/>
  <c r="D140" i="7"/>
  <c r="E140" i="7"/>
  <c r="F140" i="7"/>
  <c r="G140" i="7"/>
  <c r="H140" i="7"/>
  <c r="I140" i="7"/>
  <c r="A141" i="7"/>
  <c r="B141" i="7"/>
  <c r="C141" i="7"/>
  <c r="D141" i="7"/>
  <c r="E141" i="7"/>
  <c r="F141" i="7"/>
  <c r="G141" i="7"/>
  <c r="H141" i="7"/>
  <c r="I141" i="7"/>
  <c r="A142" i="7"/>
  <c r="B142" i="7"/>
  <c r="C142" i="7"/>
  <c r="D142" i="7"/>
  <c r="E142" i="7"/>
  <c r="F142" i="7"/>
  <c r="G142" i="7"/>
  <c r="H142" i="7"/>
  <c r="I142" i="7"/>
  <c r="A143" i="7"/>
  <c r="B143" i="7"/>
  <c r="C143" i="7"/>
  <c r="D143" i="7"/>
  <c r="E143" i="7"/>
  <c r="F143" i="7"/>
  <c r="G143" i="7"/>
  <c r="H143" i="7"/>
  <c r="I143" i="7"/>
  <c r="A144" i="7"/>
  <c r="B144" i="7"/>
  <c r="C144" i="7"/>
  <c r="D144" i="7"/>
  <c r="E144" i="7"/>
  <c r="F144" i="7"/>
  <c r="G144" i="7"/>
  <c r="H144" i="7"/>
  <c r="I144" i="7"/>
  <c r="A145" i="7"/>
  <c r="B145" i="7"/>
  <c r="C145" i="7"/>
  <c r="D145" i="7"/>
  <c r="E145" i="7"/>
  <c r="F145" i="7"/>
  <c r="G145" i="7"/>
  <c r="H145" i="7"/>
  <c r="I145" i="7"/>
  <c r="A146" i="7"/>
  <c r="B146" i="7"/>
  <c r="C146" i="7"/>
  <c r="D146" i="7"/>
  <c r="E146" i="7"/>
  <c r="F146" i="7"/>
  <c r="G146" i="7"/>
  <c r="H146" i="7"/>
  <c r="I146" i="7"/>
  <c r="A147" i="7"/>
  <c r="B147" i="7"/>
  <c r="C147" i="7"/>
  <c r="D147" i="7"/>
  <c r="E147" i="7"/>
  <c r="F147" i="7"/>
  <c r="G147" i="7"/>
  <c r="H147" i="7"/>
  <c r="I147" i="7"/>
  <c r="A148" i="7"/>
  <c r="B148" i="7"/>
  <c r="C148" i="7"/>
  <c r="D148" i="7"/>
  <c r="E148" i="7"/>
  <c r="F148" i="7"/>
  <c r="G148" i="7"/>
  <c r="H148" i="7"/>
  <c r="I148" i="7"/>
  <c r="A149" i="7"/>
  <c r="B149" i="7"/>
  <c r="C149" i="7"/>
  <c r="D149" i="7"/>
  <c r="E149" i="7"/>
  <c r="F149" i="7"/>
  <c r="G149" i="7"/>
  <c r="H149" i="7"/>
  <c r="I149" i="7"/>
  <c r="A150" i="7"/>
  <c r="B150" i="7"/>
  <c r="C150" i="7"/>
  <c r="D150" i="7"/>
  <c r="E150" i="7"/>
  <c r="F150" i="7"/>
  <c r="G150" i="7"/>
  <c r="H150" i="7"/>
  <c r="I150" i="7"/>
  <c r="A151" i="7"/>
  <c r="B151" i="7"/>
  <c r="C151" i="7"/>
  <c r="D151" i="7"/>
  <c r="E151" i="7"/>
  <c r="F151" i="7"/>
  <c r="G151" i="7"/>
  <c r="H151" i="7"/>
  <c r="I151" i="7"/>
  <c r="A152" i="7"/>
  <c r="B152" i="7"/>
  <c r="C152" i="7"/>
  <c r="D152" i="7"/>
  <c r="E152" i="7"/>
  <c r="F152" i="7"/>
  <c r="G152" i="7"/>
  <c r="H152" i="7"/>
  <c r="I152" i="7"/>
  <c r="A153" i="7"/>
  <c r="B153" i="7"/>
  <c r="C153" i="7"/>
  <c r="D153" i="7"/>
  <c r="E153" i="7"/>
  <c r="F153" i="7"/>
  <c r="G153" i="7"/>
  <c r="H153" i="7"/>
  <c r="I153" i="7"/>
  <c r="A154" i="7"/>
  <c r="B154" i="7"/>
  <c r="C154" i="7"/>
  <c r="D154" i="7"/>
  <c r="E154" i="7"/>
  <c r="F154" i="7"/>
  <c r="G154" i="7"/>
  <c r="H154" i="7"/>
  <c r="I154" i="7"/>
  <c r="A155" i="7"/>
  <c r="B155" i="7"/>
  <c r="C155" i="7"/>
  <c r="D155" i="7"/>
  <c r="E155" i="7"/>
  <c r="F155" i="7"/>
  <c r="G155" i="7"/>
  <c r="H155" i="7"/>
  <c r="I155" i="7"/>
  <c r="A156" i="7"/>
  <c r="B156" i="7"/>
  <c r="C156" i="7"/>
  <c r="D156" i="7"/>
  <c r="E156" i="7"/>
  <c r="F156" i="7"/>
  <c r="G156" i="7"/>
  <c r="H156" i="7"/>
  <c r="I156" i="7"/>
  <c r="A157" i="7"/>
  <c r="B157" i="7"/>
  <c r="C157" i="7"/>
  <c r="D157" i="7"/>
  <c r="E157" i="7"/>
  <c r="F157" i="7"/>
  <c r="G157" i="7"/>
  <c r="H157" i="7"/>
  <c r="I157" i="7"/>
  <c r="A158" i="7"/>
  <c r="B158" i="7"/>
  <c r="C158" i="7"/>
  <c r="D158" i="7"/>
  <c r="E158" i="7"/>
  <c r="F158" i="7"/>
  <c r="G158" i="7"/>
  <c r="H158" i="7"/>
  <c r="I158" i="7"/>
  <c r="A159" i="7"/>
  <c r="B159" i="7"/>
  <c r="C159" i="7"/>
  <c r="D159" i="7"/>
  <c r="E159" i="7"/>
  <c r="F159" i="7"/>
  <c r="G159" i="7"/>
  <c r="H159" i="7"/>
  <c r="I159" i="7"/>
  <c r="A160" i="7"/>
  <c r="B160" i="7"/>
  <c r="C160" i="7"/>
  <c r="D160" i="7"/>
  <c r="E160" i="7"/>
  <c r="F160" i="7"/>
  <c r="G160" i="7"/>
  <c r="H160" i="7"/>
  <c r="I160" i="7"/>
  <c r="A161" i="7"/>
  <c r="B161" i="7"/>
  <c r="C161" i="7"/>
  <c r="D161" i="7"/>
  <c r="E161" i="7"/>
  <c r="F161" i="7"/>
  <c r="G161" i="7"/>
  <c r="H161" i="7"/>
  <c r="I161" i="7"/>
  <c r="A162" i="7"/>
  <c r="B162" i="7"/>
  <c r="C162" i="7"/>
  <c r="D162" i="7"/>
  <c r="E162" i="7"/>
  <c r="F162" i="7"/>
  <c r="G162" i="7"/>
  <c r="H162" i="7"/>
  <c r="I162" i="7"/>
  <c r="A163" i="7"/>
  <c r="B163" i="7"/>
  <c r="C163" i="7"/>
  <c r="D163" i="7"/>
  <c r="E163" i="7"/>
  <c r="F163" i="7"/>
  <c r="G163" i="7"/>
  <c r="H163" i="7"/>
  <c r="I163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H36" i="1"/>
  <c r="I36" i="1"/>
  <c r="H37" i="1"/>
  <c r="I37" i="1"/>
  <c r="E64" i="6"/>
  <c r="F64" i="6"/>
  <c r="G64" i="6"/>
  <c r="H64" i="6"/>
  <c r="I64" i="6"/>
  <c r="E65" i="6"/>
  <c r="F65" i="6"/>
  <c r="G65" i="6"/>
  <c r="H65" i="6"/>
  <c r="I65" i="6"/>
  <c r="E67" i="6"/>
  <c r="F67" i="6"/>
  <c r="G67" i="6"/>
  <c r="H67" i="6"/>
  <c r="I67" i="6"/>
  <c r="B65" i="1"/>
  <c r="C65" i="1"/>
  <c r="C85" i="2" s="1"/>
  <c r="D65" i="1"/>
  <c r="E65" i="1"/>
  <c r="E85" i="2" s="1"/>
  <c r="F65" i="1"/>
  <c r="F85" i="2" s="1"/>
  <c r="G65" i="1"/>
  <c r="G85" i="2" s="1"/>
  <c r="H65" i="1"/>
  <c r="H85" i="2" s="1"/>
  <c r="I65" i="1"/>
  <c r="I85" i="2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V70" i="4" a="1"/>
  <c r="AV70" i="4" s="1"/>
  <c r="AV71" i="4" a="1"/>
  <c r="AV71" i="4" s="1"/>
  <c r="AV72" i="4" a="1"/>
  <c r="AV72" i="4" s="1"/>
  <c r="AV73" i="4" a="1"/>
  <c r="AV73" i="4" s="1"/>
  <c r="AV74" i="4" a="1"/>
  <c r="AV74" i="4" s="1"/>
  <c r="AV75" i="4" a="1"/>
  <c r="AV75" i="4" s="1"/>
  <c r="AV76" i="4" a="1"/>
  <c r="AV76" i="4" s="1"/>
  <c r="AV77" i="4" a="1"/>
  <c r="AV77" i="4" s="1"/>
  <c r="AV78" i="4" a="1"/>
  <c r="AV78" i="4" s="1"/>
  <c r="AV79" i="4" a="1"/>
  <c r="AV79" i="4" s="1"/>
  <c r="AV80" i="4" a="1"/>
  <c r="AV80" i="4" s="1"/>
  <c r="AV81" i="4" a="1"/>
  <c r="AV81" i="4" s="1"/>
  <c r="AV82" i="4" a="1"/>
  <c r="AV82" i="4" s="1"/>
  <c r="AV83" i="4" a="1"/>
  <c r="AV83" i="4" s="1"/>
  <c r="AV84" i="4" a="1"/>
  <c r="AV84" i="4" s="1"/>
  <c r="AV85" i="4" a="1"/>
  <c r="AV85" i="4" s="1"/>
  <c r="AV86" i="4" a="1"/>
  <c r="AV86" i="4" s="1"/>
  <c r="AV87" i="4" a="1"/>
  <c r="AV87" i="4" s="1"/>
  <c r="AV4" i="4" a="1"/>
  <c r="AV4" i="4" s="1"/>
  <c r="AV5" i="4" a="1"/>
  <c r="AV5" i="4" s="1"/>
  <c r="AV6" i="4" a="1"/>
  <c r="AV6" i="4" s="1"/>
  <c r="AV7" i="4" a="1"/>
  <c r="AV7" i="4" s="1"/>
  <c r="AV8" i="4" a="1"/>
  <c r="AV8" i="4" s="1"/>
  <c r="AV9" i="4" a="1"/>
  <c r="AV9" i="4" s="1"/>
  <c r="AV10" i="4" a="1"/>
  <c r="AV10" i="4" s="1"/>
  <c r="AV11" i="4" a="1"/>
  <c r="AV11" i="4" s="1"/>
  <c r="AV12" i="4" a="1"/>
  <c r="AV12" i="4" s="1"/>
  <c r="AV13" i="4" a="1"/>
  <c r="AV13" i="4" s="1"/>
  <c r="AV14" i="4" a="1"/>
  <c r="AV14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E20" i="4"/>
  <c r="F20" i="4"/>
  <c r="G20" i="4"/>
  <c r="H20" i="4"/>
  <c r="I20" i="4"/>
  <c r="E21" i="4"/>
  <c r="F21" i="4"/>
  <c r="G21" i="4"/>
  <c r="H21" i="4"/>
  <c r="I21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7" i="4"/>
  <c r="F47" i="4"/>
  <c r="G47" i="4"/>
  <c r="H47" i="4"/>
  <c r="I47" i="4"/>
  <c r="E48" i="4"/>
  <c r="F48" i="4"/>
  <c r="G48" i="4"/>
  <c r="H48" i="4"/>
  <c r="I48" i="4"/>
  <c r="E49" i="4"/>
  <c r="F49" i="4"/>
  <c r="G49" i="4"/>
  <c r="H49" i="4"/>
  <c r="I49" i="4"/>
  <c r="E50" i="4"/>
  <c r="F50" i="4"/>
  <c r="G50" i="4"/>
  <c r="H50" i="4"/>
  <c r="I50" i="4"/>
  <c r="E51" i="4"/>
  <c r="F51" i="4"/>
  <c r="G51" i="4"/>
  <c r="H51" i="4"/>
  <c r="I51" i="4"/>
  <c r="E52" i="4"/>
  <c r="F52" i="4"/>
  <c r="G52" i="4"/>
  <c r="H52" i="4"/>
  <c r="I52" i="4"/>
  <c r="E53" i="4"/>
  <c r="F53" i="4"/>
  <c r="G53" i="4"/>
  <c r="H53" i="4"/>
  <c r="I53" i="4"/>
  <c r="E54" i="4"/>
  <c r="F54" i="4"/>
  <c r="G54" i="4"/>
  <c r="H54" i="4"/>
  <c r="I54" i="4"/>
  <c r="E55" i="4"/>
  <c r="F55" i="4"/>
  <c r="G55" i="4"/>
  <c r="H55" i="4"/>
  <c r="I55" i="4"/>
  <c r="E56" i="4"/>
  <c r="F56" i="4"/>
  <c r="G56" i="4"/>
  <c r="H56" i="4"/>
  <c r="I56" i="4"/>
  <c r="E57" i="4"/>
  <c r="F57" i="4"/>
  <c r="G57" i="4"/>
  <c r="H57" i="4"/>
  <c r="I57" i="4"/>
  <c r="E58" i="4"/>
  <c r="F58" i="4"/>
  <c r="G58" i="4"/>
  <c r="H58" i="4"/>
  <c r="I58" i="4"/>
  <c r="E59" i="4"/>
  <c r="F59" i="4"/>
  <c r="G59" i="4"/>
  <c r="H59" i="4"/>
  <c r="I59" i="4"/>
  <c r="E60" i="4"/>
  <c r="F60" i="4"/>
  <c r="G60" i="4"/>
  <c r="H60" i="4"/>
  <c r="I60" i="4"/>
  <c r="E61" i="4"/>
  <c r="F61" i="4"/>
  <c r="G61" i="4"/>
  <c r="H61" i="4"/>
  <c r="I61" i="4"/>
  <c r="E62" i="4"/>
  <c r="F62" i="4"/>
  <c r="G62" i="4"/>
  <c r="H62" i="4"/>
  <c r="I62" i="4"/>
  <c r="E63" i="4"/>
  <c r="F63" i="4"/>
  <c r="G63" i="4"/>
  <c r="H63" i="4"/>
  <c r="I63" i="4"/>
  <c r="E64" i="4"/>
  <c r="F64" i="4"/>
  <c r="G64" i="4"/>
  <c r="H64" i="4"/>
  <c r="I64" i="4"/>
  <c r="E65" i="4"/>
  <c r="F65" i="4"/>
  <c r="G65" i="4"/>
  <c r="H65" i="4"/>
  <c r="I65" i="4"/>
  <c r="E66" i="4"/>
  <c r="F66" i="4"/>
  <c r="G66" i="4"/>
  <c r="H66" i="4"/>
  <c r="I66" i="4"/>
  <c r="E67" i="4"/>
  <c r="F67" i="4"/>
  <c r="G67" i="4"/>
  <c r="H67" i="4"/>
  <c r="I67" i="4"/>
  <c r="E68" i="4"/>
  <c r="F68" i="4"/>
  <c r="G68" i="4"/>
  <c r="H68" i="4"/>
  <c r="I68" i="4"/>
  <c r="E69" i="4"/>
  <c r="F69" i="4"/>
  <c r="G69" i="4"/>
  <c r="H69" i="4"/>
  <c r="I69" i="4"/>
  <c r="E70" i="4"/>
  <c r="F70" i="4"/>
  <c r="G70" i="4"/>
  <c r="H70" i="4"/>
  <c r="I70" i="4"/>
  <c r="E71" i="4"/>
  <c r="F71" i="4"/>
  <c r="G71" i="4"/>
  <c r="H71" i="4"/>
  <c r="I71" i="4"/>
  <c r="E72" i="4"/>
  <c r="F72" i="4"/>
  <c r="G72" i="4"/>
  <c r="H72" i="4"/>
  <c r="I72" i="4"/>
  <c r="E73" i="4"/>
  <c r="F73" i="4"/>
  <c r="G73" i="4"/>
  <c r="H73" i="4"/>
  <c r="I73" i="4"/>
  <c r="E74" i="4"/>
  <c r="F74" i="4"/>
  <c r="G74" i="4"/>
  <c r="H74" i="4"/>
  <c r="I74" i="4"/>
  <c r="E75" i="4"/>
  <c r="F75" i="4"/>
  <c r="G75" i="4"/>
  <c r="H75" i="4"/>
  <c r="I75" i="4"/>
  <c r="E76" i="4"/>
  <c r="F76" i="4"/>
  <c r="G76" i="4"/>
  <c r="H76" i="4"/>
  <c r="I76" i="4"/>
  <c r="E77" i="4"/>
  <c r="F77" i="4"/>
  <c r="G77" i="4"/>
  <c r="H77" i="4"/>
  <c r="I77" i="4"/>
  <c r="E78" i="4"/>
  <c r="F78" i="4"/>
  <c r="G78" i="4"/>
  <c r="H78" i="4"/>
  <c r="I78" i="4"/>
  <c r="E79" i="4"/>
  <c r="F79" i="4"/>
  <c r="G79" i="4"/>
  <c r="H79" i="4"/>
  <c r="I79" i="4"/>
  <c r="E80" i="4"/>
  <c r="F80" i="4"/>
  <c r="G80" i="4"/>
  <c r="H80" i="4"/>
  <c r="I80" i="4"/>
  <c r="E81" i="4"/>
  <c r="F81" i="4"/>
  <c r="G81" i="4"/>
  <c r="H81" i="4"/>
  <c r="I81" i="4"/>
  <c r="E82" i="4"/>
  <c r="F82" i="4"/>
  <c r="G82" i="4"/>
  <c r="H82" i="4"/>
  <c r="I82" i="4"/>
  <c r="E83" i="4"/>
  <c r="F83" i="4"/>
  <c r="G83" i="4"/>
  <c r="H83" i="4"/>
  <c r="I83" i="4"/>
  <c r="E84" i="4"/>
  <c r="F84" i="4"/>
  <c r="G84" i="4"/>
  <c r="H84" i="4"/>
  <c r="I84" i="4"/>
  <c r="E85" i="4"/>
  <c r="F85" i="4"/>
  <c r="G85" i="4"/>
  <c r="H85" i="4"/>
  <c r="I85" i="4"/>
  <c r="E86" i="4"/>
  <c r="F86" i="4"/>
  <c r="G86" i="4"/>
  <c r="H86" i="4"/>
  <c r="I86" i="4"/>
  <c r="E87" i="4"/>
  <c r="F87" i="4"/>
  <c r="G87" i="4"/>
  <c r="H87" i="4"/>
  <c r="I87" i="4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E4" i="6"/>
  <c r="F4" i="6"/>
  <c r="G4" i="6"/>
  <c r="H4" i="6"/>
  <c r="I4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5" i="6"/>
  <c r="F35" i="6"/>
  <c r="G35" i="6"/>
  <c r="H35" i="6"/>
  <c r="I35" i="6"/>
  <c r="E36" i="6"/>
  <c r="F36" i="6"/>
  <c r="G36" i="6"/>
  <c r="H36" i="6"/>
  <c r="I36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3" i="6"/>
  <c r="F43" i="6"/>
  <c r="G43" i="6"/>
  <c r="H43" i="6"/>
  <c r="I43" i="6"/>
  <c r="E46" i="6"/>
  <c r="F46" i="6"/>
  <c r="G46" i="6"/>
  <c r="H46" i="6"/>
  <c r="I46" i="6"/>
  <c r="E47" i="6"/>
  <c r="F47" i="6"/>
  <c r="G47" i="6"/>
  <c r="H47" i="6"/>
  <c r="I47" i="6"/>
  <c r="E49" i="6"/>
  <c r="F49" i="6"/>
  <c r="G49" i="6"/>
  <c r="H49" i="6"/>
  <c r="I49" i="6"/>
  <c r="E51" i="6"/>
  <c r="F51" i="6"/>
  <c r="G51" i="6"/>
  <c r="H51" i="6"/>
  <c r="I51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61" i="6"/>
  <c r="F61" i="6"/>
  <c r="G61" i="6"/>
  <c r="H61" i="6"/>
  <c r="I61" i="6"/>
  <c r="E63" i="6"/>
  <c r="F63" i="6"/>
  <c r="G63" i="6"/>
  <c r="H63" i="6"/>
  <c r="I63" i="6"/>
  <c r="W13" i="2"/>
  <c r="W14" i="2"/>
  <c r="W3" i="2"/>
  <c r="W4" i="2"/>
  <c r="W5" i="2"/>
  <c r="W6" i="2"/>
  <c r="W7" i="2"/>
  <c r="W8" i="2"/>
  <c r="W9" i="2"/>
  <c r="W10" i="2"/>
  <c r="W11" i="2"/>
  <c r="W12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50" i="2"/>
  <c r="W51" i="2"/>
  <c r="W52" i="2"/>
  <c r="W53" i="2"/>
  <c r="W54" i="2"/>
  <c r="W55" i="2"/>
  <c r="W56" i="2"/>
  <c r="W57" i="2"/>
  <c r="W58" i="2"/>
  <c r="W59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P11" i="2"/>
  <c r="B11" i="1"/>
  <c r="C11" i="1"/>
  <c r="C11" i="6" s="1"/>
  <c r="D11" i="1"/>
  <c r="E11" i="1"/>
  <c r="E11" i="6" s="1"/>
  <c r="F11" i="1"/>
  <c r="F11" i="6" s="1"/>
  <c r="G11" i="1"/>
  <c r="G11" i="6" s="1"/>
  <c r="H11" i="1"/>
  <c r="H11" i="6" s="1"/>
  <c r="I11" i="1"/>
  <c r="I11" i="6" s="1"/>
  <c r="B12" i="1"/>
  <c r="B12" i="6" s="1"/>
  <c r="C12" i="1"/>
  <c r="C12" i="7" s="1"/>
  <c r="D12" i="1"/>
  <c r="D12" i="7" s="1"/>
  <c r="E12" i="1"/>
  <c r="E12" i="6" s="1"/>
  <c r="F12" i="1"/>
  <c r="F12" i="5" s="1"/>
  <c r="G12" i="1"/>
  <c r="G12" i="5" s="1"/>
  <c r="H12" i="1"/>
  <c r="H12" i="6" s="1"/>
  <c r="I12" i="1"/>
  <c r="I12" i="6" s="1"/>
  <c r="B13" i="1"/>
  <c r="B13" i="7" s="1"/>
  <c r="C13" i="1"/>
  <c r="C13" i="7" s="1"/>
  <c r="D13" i="1"/>
  <c r="D13" i="7" s="1"/>
  <c r="E13" i="1"/>
  <c r="F13" i="1"/>
  <c r="G13" i="1"/>
  <c r="H13" i="1"/>
  <c r="I13" i="1"/>
  <c r="B14" i="1"/>
  <c r="B14" i="7" s="1"/>
  <c r="C14" i="1"/>
  <c r="D14" i="1"/>
  <c r="E14" i="1"/>
  <c r="F14" i="1"/>
  <c r="G14" i="1"/>
  <c r="H14" i="1"/>
  <c r="I14" i="1"/>
  <c r="AG16" i="5" a="1"/>
  <c r="AG16" i="5" s="1"/>
  <c r="AG17" i="5" a="1"/>
  <c r="AG17" i="5" s="1"/>
  <c r="AG18" i="5" a="1"/>
  <c r="AG18" i="5" s="1"/>
  <c r="AG19" i="5" a="1"/>
  <c r="AG19" i="5" s="1"/>
  <c r="AG20" i="5" a="1"/>
  <c r="AG20" i="5" s="1"/>
  <c r="AG21" i="5" a="1"/>
  <c r="AG21" i="5" s="1"/>
  <c r="AG22" i="5" a="1"/>
  <c r="AG22" i="5" s="1"/>
  <c r="AG23" i="5" a="1"/>
  <c r="AG23" i="5" s="1"/>
  <c r="AG24" i="5" a="1"/>
  <c r="AG24" i="5" s="1"/>
  <c r="AG25" i="5" a="1"/>
  <c r="AG25" i="5" s="1"/>
  <c r="AG26" i="5" a="1"/>
  <c r="AG26" i="5" s="1"/>
  <c r="AG27" i="5" a="1"/>
  <c r="AG27" i="5" s="1"/>
  <c r="AG28" i="5" a="1"/>
  <c r="AG28" i="5" s="1"/>
  <c r="AG29" i="5" a="1"/>
  <c r="AG29" i="5" s="1"/>
  <c r="AG30" i="5" a="1"/>
  <c r="AG30" i="5" s="1"/>
  <c r="AG31" i="5" a="1"/>
  <c r="AG31" i="5" s="1"/>
  <c r="AG32" i="5" a="1"/>
  <c r="AG32" i="5" s="1"/>
  <c r="AG33" i="5" a="1"/>
  <c r="AG33" i="5" s="1"/>
  <c r="AG34" i="5" a="1"/>
  <c r="AG34" i="5" s="1"/>
  <c r="AG35" i="5" a="1"/>
  <c r="AG35" i="5" s="1"/>
  <c r="AG36" i="5" a="1"/>
  <c r="AG36" i="5" s="1"/>
  <c r="AG37" i="5" a="1"/>
  <c r="AG37" i="5" s="1"/>
  <c r="AG38" i="5" a="1"/>
  <c r="AG38" i="5" s="1"/>
  <c r="AG39" i="5" a="1"/>
  <c r="AG39" i="5" s="1"/>
  <c r="AG40" i="5" a="1"/>
  <c r="AG40" i="5" s="1"/>
  <c r="AG41" i="5" a="1"/>
  <c r="AG41" i="5" s="1"/>
  <c r="AG42" i="5" a="1"/>
  <c r="AG42" i="5" s="1"/>
  <c r="AG43" i="5" a="1"/>
  <c r="AG43" i="5" s="1"/>
  <c r="AG44" i="5" a="1"/>
  <c r="AG44" i="5" s="1"/>
  <c r="AG45" i="5" a="1"/>
  <c r="AG45" i="5" s="1"/>
  <c r="AG46" i="5" a="1"/>
  <c r="AG46" i="5" s="1"/>
  <c r="AG47" i="5" a="1"/>
  <c r="AG47" i="5" s="1"/>
  <c r="AG48" i="5" a="1"/>
  <c r="AG48" i="5" s="1"/>
  <c r="AG49" i="5" a="1"/>
  <c r="AG49" i="5" s="1"/>
  <c r="AG50" i="5" a="1"/>
  <c r="AG50" i="5" s="1"/>
  <c r="AG51" i="5" a="1"/>
  <c r="AG51" i="5" s="1"/>
  <c r="AG52" i="5" a="1"/>
  <c r="AG52" i="5" s="1"/>
  <c r="AG53" i="5" a="1"/>
  <c r="AG53" i="5" s="1"/>
  <c r="AG54" i="5" a="1"/>
  <c r="AG54" i="5" s="1"/>
  <c r="AG55" i="5" a="1"/>
  <c r="AG55" i="5" s="1"/>
  <c r="AG56" i="5" a="1"/>
  <c r="AG56" i="5" s="1"/>
  <c r="AG57" i="5" a="1"/>
  <c r="AG57" i="5" s="1"/>
  <c r="AG58" i="5" a="1"/>
  <c r="AG58" i="5" s="1"/>
  <c r="AG59" i="5" a="1"/>
  <c r="AG59" i="5" s="1"/>
  <c r="AG60" i="5" a="1"/>
  <c r="AG60" i="5" s="1"/>
  <c r="AG61" i="5" a="1"/>
  <c r="AG61" i="5" s="1"/>
  <c r="AG62" i="5" a="1"/>
  <c r="AG62" i="5" s="1"/>
  <c r="AG63" i="5" a="1"/>
  <c r="AG63" i="5" s="1"/>
  <c r="AG64" i="5" a="1"/>
  <c r="AG64" i="5" s="1"/>
  <c r="AG65" i="5" a="1"/>
  <c r="AG65" i="5" s="1"/>
  <c r="AG66" i="5" a="1"/>
  <c r="AG66" i="5" s="1"/>
  <c r="AG67" i="5" a="1"/>
  <c r="AG67" i="5" s="1"/>
  <c r="AG68" i="5" a="1"/>
  <c r="AG68" i="5" s="1"/>
  <c r="AG69" i="5" a="1"/>
  <c r="AG69" i="5" s="1"/>
  <c r="AG70" i="5" a="1"/>
  <c r="AG70" i="5" s="1"/>
  <c r="AG71" i="5" a="1"/>
  <c r="AG71" i="5" s="1"/>
  <c r="AG72" i="5" a="1"/>
  <c r="AG72" i="5" s="1"/>
  <c r="AG73" i="5" a="1"/>
  <c r="AG73" i="5" s="1"/>
  <c r="AG74" i="5" a="1"/>
  <c r="AG74" i="5" s="1"/>
  <c r="AG75" i="5" a="1"/>
  <c r="AG75" i="5" s="1"/>
  <c r="AG76" i="5" a="1"/>
  <c r="AG76" i="5" s="1"/>
  <c r="AG77" i="5" a="1"/>
  <c r="AG77" i="5" s="1"/>
  <c r="AG78" i="5" a="1"/>
  <c r="AG78" i="5" s="1"/>
  <c r="AG79" i="5" a="1"/>
  <c r="AG79" i="5" s="1"/>
  <c r="AG80" i="5" a="1"/>
  <c r="AG80" i="5" s="1"/>
  <c r="AG81" i="5" a="1"/>
  <c r="AG81" i="5" s="1"/>
  <c r="AG82" i="5" a="1"/>
  <c r="AG82" i="5" s="1"/>
  <c r="AG83" i="5" a="1"/>
  <c r="AG83" i="5" s="1"/>
  <c r="AG84" i="5" a="1"/>
  <c r="AG84" i="5" s="1"/>
  <c r="AG85" i="5" a="1"/>
  <c r="AG85" i="5" s="1"/>
  <c r="AG86" i="5" a="1"/>
  <c r="AG86" i="5" s="1"/>
  <c r="AG87" i="5" a="1"/>
  <c r="AG87" i="5" s="1"/>
  <c r="AG88" i="5" a="1"/>
  <c r="AG88" i="5" s="1"/>
  <c r="AG89" i="5" a="1"/>
  <c r="AG89" i="5" s="1"/>
  <c r="AG90" i="5" a="1"/>
  <c r="AG90" i="5" s="1"/>
  <c r="AG91" i="5" a="1"/>
  <c r="AG91" i="5" s="1"/>
  <c r="AG92" i="5" a="1"/>
  <c r="AG92" i="5" s="1"/>
  <c r="AG93" i="5" a="1"/>
  <c r="AG93" i="5" s="1"/>
  <c r="AG94" i="5" a="1"/>
  <c r="AG94" i="5" s="1"/>
  <c r="AG95" i="5" a="1"/>
  <c r="AG95" i="5" s="1"/>
  <c r="AG96" i="5" a="1"/>
  <c r="AG96" i="5" s="1"/>
  <c r="AG97" i="5" a="1"/>
  <c r="AG97" i="5" s="1"/>
  <c r="AG98" i="5" a="1"/>
  <c r="AG98" i="5" s="1"/>
  <c r="AG99" i="5" a="1"/>
  <c r="AG99" i="5" s="1"/>
  <c r="AG100" i="5" a="1"/>
  <c r="AG100" i="5" s="1"/>
  <c r="AG101" i="5" a="1"/>
  <c r="AG101" i="5" s="1"/>
  <c r="AG102" i="5" a="1"/>
  <c r="AG102" i="5" s="1"/>
  <c r="AG103" i="5" a="1"/>
  <c r="AG103" i="5" s="1"/>
  <c r="AG104" i="5" a="1"/>
  <c r="AG104" i="5" s="1"/>
  <c r="AG105" i="5" a="1"/>
  <c r="AG105" i="5" s="1"/>
  <c r="AG106" i="5" a="1"/>
  <c r="AG106" i="5" s="1"/>
  <c r="AG107" i="5" a="1"/>
  <c r="AG107" i="5" s="1"/>
  <c r="AG108" i="5" a="1"/>
  <c r="AG108" i="5" s="1"/>
  <c r="AG109" i="5" a="1"/>
  <c r="AG109" i="5" s="1"/>
  <c r="AG110" i="5" a="1"/>
  <c r="AG110" i="5" s="1"/>
  <c r="AG111" i="5" a="1"/>
  <c r="AG111" i="5" s="1"/>
  <c r="AG112" i="5" a="1"/>
  <c r="AG112" i="5" s="1"/>
  <c r="AG113" i="5" a="1"/>
  <c r="AG113" i="5" s="1"/>
  <c r="AG114" i="5" a="1"/>
  <c r="AG114" i="5" s="1"/>
  <c r="AG115" i="5" a="1"/>
  <c r="AG115" i="5" s="1"/>
  <c r="AG116" i="5" a="1"/>
  <c r="AG116" i="5" s="1"/>
  <c r="AG117" i="5" a="1"/>
  <c r="AG117" i="5" s="1"/>
  <c r="AG118" i="5" a="1"/>
  <c r="AG118" i="5" s="1"/>
  <c r="AG119" i="5" a="1"/>
  <c r="AG119" i="5" s="1"/>
  <c r="AG120" i="5" a="1"/>
  <c r="AG120" i="5" s="1"/>
  <c r="AG121" i="5" a="1"/>
  <c r="AG121" i="5" s="1"/>
  <c r="AG122" i="5" a="1"/>
  <c r="AG122" i="5" s="1"/>
  <c r="AG123" i="5" a="1"/>
  <c r="AG123" i="5" s="1"/>
  <c r="AG124" i="5" a="1"/>
  <c r="AG124" i="5" s="1"/>
  <c r="AG125" i="5" a="1"/>
  <c r="AG125" i="5" s="1"/>
  <c r="AG126" i="5" a="1"/>
  <c r="AG126" i="5" s="1"/>
  <c r="AG127" i="5" a="1"/>
  <c r="AG127" i="5" s="1"/>
  <c r="AG128" i="5" a="1"/>
  <c r="AG128" i="5" s="1"/>
  <c r="AG129" i="5" a="1"/>
  <c r="AG129" i="5" s="1"/>
  <c r="AG130" i="5" a="1"/>
  <c r="AG130" i="5" s="1"/>
  <c r="AG131" i="5" a="1"/>
  <c r="AG131" i="5" s="1"/>
  <c r="AG132" i="5" a="1"/>
  <c r="AG132" i="5" s="1"/>
  <c r="AG133" i="5" a="1"/>
  <c r="AG133" i="5" s="1"/>
  <c r="AG134" i="5" a="1"/>
  <c r="AG134" i="5" s="1"/>
  <c r="AG135" i="5" a="1"/>
  <c r="AG135" i="5" s="1"/>
  <c r="AG136" i="5" a="1"/>
  <c r="AG136" i="5" s="1"/>
  <c r="AG137" i="5" a="1"/>
  <c r="AG137" i="5" s="1"/>
  <c r="AG138" i="5" a="1"/>
  <c r="AG138" i="5" s="1"/>
  <c r="AG139" i="5" a="1"/>
  <c r="AG139" i="5" s="1"/>
  <c r="AG140" i="5" a="1"/>
  <c r="AG140" i="5" s="1"/>
  <c r="AG141" i="5" a="1"/>
  <c r="AG141" i="5" s="1"/>
  <c r="AG142" i="5" a="1"/>
  <c r="AG142" i="5" s="1"/>
  <c r="AG143" i="5" a="1"/>
  <c r="AG143" i="5" s="1"/>
  <c r="AG144" i="5" a="1"/>
  <c r="AG144" i="5" s="1"/>
  <c r="AG145" i="5" a="1"/>
  <c r="AG145" i="5" s="1"/>
  <c r="AG146" i="5" a="1"/>
  <c r="AG146" i="5" s="1"/>
  <c r="AG147" i="5" a="1"/>
  <c r="AG147" i="5" s="1"/>
  <c r="AG148" i="5" a="1"/>
  <c r="AG148" i="5" s="1"/>
  <c r="AG149" i="5" a="1"/>
  <c r="AG149" i="5" s="1"/>
  <c r="AG150" i="5" a="1"/>
  <c r="AG150" i="5" s="1"/>
  <c r="AG151" i="5" a="1"/>
  <c r="AG151" i="5" s="1"/>
  <c r="AG152" i="5" a="1"/>
  <c r="AG152" i="5" s="1"/>
  <c r="AG153" i="5" a="1"/>
  <c r="AG153" i="5" s="1"/>
  <c r="AG154" i="5" a="1"/>
  <c r="AG154" i="5" s="1"/>
  <c r="AG155" i="5" a="1"/>
  <c r="AG155" i="5" s="1"/>
  <c r="AG156" i="5" a="1"/>
  <c r="AG156" i="5" s="1"/>
  <c r="AG157" i="5" a="1"/>
  <c r="AG157" i="5" s="1"/>
  <c r="AG158" i="5" a="1"/>
  <c r="AG158" i="5" s="1"/>
  <c r="AG159" i="5" a="1"/>
  <c r="AG159" i="5" s="1"/>
  <c r="AG160" i="5" a="1"/>
  <c r="AG160" i="5" s="1"/>
  <c r="AG161" i="5" a="1"/>
  <c r="AG161" i="5" s="1"/>
  <c r="AG162" i="5" a="1"/>
  <c r="AG162" i="5" s="1"/>
  <c r="AG163" i="5" a="1"/>
  <c r="AG163" i="5" s="1"/>
  <c r="AG164" i="5" a="1"/>
  <c r="AG164" i="5" s="1"/>
  <c r="AG165" i="5" a="1"/>
  <c r="AG165" i="5" s="1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5" i="4"/>
  <c r="F5" i="4"/>
  <c r="G5" i="4"/>
  <c r="H5" i="4"/>
  <c r="I5" i="4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B39" i="1"/>
  <c r="B40" i="2" s="1"/>
  <c r="C39" i="1"/>
  <c r="C40" i="2" s="1"/>
  <c r="D39" i="1"/>
  <c r="D40" i="2" s="1"/>
  <c r="E39" i="1"/>
  <c r="E40" i="2" s="1"/>
  <c r="F39" i="1"/>
  <c r="F40" i="2" s="1"/>
  <c r="G39" i="1"/>
  <c r="G40" i="2" s="1"/>
  <c r="H39" i="1"/>
  <c r="H40" i="2" s="1"/>
  <c r="I39" i="1"/>
  <c r="I40" i="2" s="1"/>
  <c r="A41" i="2"/>
  <c r="B40" i="1"/>
  <c r="B41" i="2" s="1"/>
  <c r="C40" i="1"/>
  <c r="C41" i="2" s="1"/>
  <c r="D40" i="1"/>
  <c r="D41" i="2" s="1"/>
  <c r="E40" i="1"/>
  <c r="F40" i="1"/>
  <c r="G40" i="1"/>
  <c r="H40" i="1"/>
  <c r="I40" i="1"/>
  <c r="A42" i="2"/>
  <c r="B41" i="1"/>
  <c r="B42" i="2" s="1"/>
  <c r="C41" i="1"/>
  <c r="C42" i="2" s="1"/>
  <c r="D41" i="1"/>
  <c r="E41" i="1"/>
  <c r="F41" i="1"/>
  <c r="G41" i="1"/>
  <c r="H41" i="1"/>
  <c r="I41" i="1"/>
  <c r="A43" i="2"/>
  <c r="B42" i="1"/>
  <c r="B43" i="2" s="1"/>
  <c r="C42" i="1"/>
  <c r="D42" i="1"/>
  <c r="E42" i="1"/>
  <c r="F42" i="1"/>
  <c r="G42" i="1"/>
  <c r="H42" i="1"/>
  <c r="I42" i="1"/>
  <c r="A44" i="2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D46" i="2" s="1"/>
  <c r="E45" i="1"/>
  <c r="F45" i="1"/>
  <c r="G45" i="1"/>
  <c r="H45" i="1"/>
  <c r="I45" i="1"/>
  <c r="B46" i="1"/>
  <c r="C46" i="1"/>
  <c r="C47" i="2" s="1"/>
  <c r="D46" i="1"/>
  <c r="D47" i="2" s="1"/>
  <c r="E46" i="1"/>
  <c r="E47" i="2" s="1"/>
  <c r="F46" i="1"/>
  <c r="F47" i="2" s="1"/>
  <c r="G46" i="1"/>
  <c r="G47" i="2" s="1"/>
  <c r="H46" i="1"/>
  <c r="H47" i="2" s="1"/>
  <c r="I46" i="1"/>
  <c r="I47" i="2" s="1"/>
  <c r="B47" i="1"/>
  <c r="B48" i="2" s="1"/>
  <c r="C47" i="1"/>
  <c r="C48" i="2" s="1"/>
  <c r="D47" i="1"/>
  <c r="D48" i="2" s="1"/>
  <c r="E47" i="1"/>
  <c r="F47" i="1"/>
  <c r="G47" i="1"/>
  <c r="H47" i="1"/>
  <c r="I47" i="1"/>
  <c r="A49" i="2"/>
  <c r="B48" i="1"/>
  <c r="B49" i="2" s="1"/>
  <c r="C48" i="1"/>
  <c r="C49" i="2" s="1"/>
  <c r="D48" i="1"/>
  <c r="D49" i="2" s="1"/>
  <c r="E48" i="1"/>
  <c r="E49" i="2" s="1"/>
  <c r="F48" i="1"/>
  <c r="F49" i="2" s="1"/>
  <c r="G48" i="1"/>
  <c r="G49" i="2" s="1"/>
  <c r="H48" i="1"/>
  <c r="H49" i="2" s="1"/>
  <c r="I48" i="1"/>
  <c r="I49" i="2" s="1"/>
  <c r="A50" i="2"/>
  <c r="B49" i="1"/>
  <c r="B50" i="2" s="1"/>
  <c r="C49" i="1"/>
  <c r="C50" i="2" s="1"/>
  <c r="D49" i="1"/>
  <c r="E49" i="1"/>
  <c r="E50" i="2" s="1"/>
  <c r="F49" i="1"/>
  <c r="F50" i="2" s="1"/>
  <c r="G49" i="1"/>
  <c r="G50" i="2" s="1"/>
  <c r="H49" i="1"/>
  <c r="H50" i="2" s="1"/>
  <c r="I49" i="1"/>
  <c r="I50" i="2" s="1"/>
  <c r="A51" i="2"/>
  <c r="B51" i="2"/>
  <c r="A52" i="2"/>
  <c r="B50" i="1"/>
  <c r="C50" i="1"/>
  <c r="D50" i="1"/>
  <c r="E50" i="1"/>
  <c r="E53" i="2" s="1"/>
  <c r="F50" i="1"/>
  <c r="F53" i="2" s="1"/>
  <c r="G50" i="1"/>
  <c r="G53" i="2" s="1"/>
  <c r="H50" i="1"/>
  <c r="H53" i="2" s="1"/>
  <c r="I50" i="1"/>
  <c r="I53" i="2" s="1"/>
  <c r="A54" i="2"/>
  <c r="D54" i="2"/>
  <c r="B51" i="1"/>
  <c r="C51" i="1"/>
  <c r="C55" i="2" s="1"/>
  <c r="D51" i="1"/>
  <c r="D55" i="2" s="1"/>
  <c r="E51" i="1"/>
  <c r="F51" i="1"/>
  <c r="G51" i="1"/>
  <c r="H51" i="1"/>
  <c r="I51" i="1"/>
  <c r="B52" i="1"/>
  <c r="B56" i="2" s="1"/>
  <c r="C52" i="1"/>
  <c r="C56" i="2" s="1"/>
  <c r="D52" i="1"/>
  <c r="D56" i="2" s="1"/>
  <c r="E52" i="1"/>
  <c r="F52" i="1"/>
  <c r="G52" i="1"/>
  <c r="H52" i="1"/>
  <c r="I52" i="1"/>
  <c r="A57" i="2"/>
  <c r="B53" i="1"/>
  <c r="B57" i="2" s="1"/>
  <c r="C53" i="1"/>
  <c r="C57" i="2" s="1"/>
  <c r="D53" i="1"/>
  <c r="D57" i="2" s="1"/>
  <c r="E53" i="1"/>
  <c r="E57" i="2" s="1"/>
  <c r="F53" i="1"/>
  <c r="F57" i="2" s="1"/>
  <c r="G53" i="1"/>
  <c r="G57" i="2" s="1"/>
  <c r="H53" i="1"/>
  <c r="H57" i="2" s="1"/>
  <c r="I53" i="1"/>
  <c r="I57" i="2" s="1"/>
  <c r="A58" i="2"/>
  <c r="B54" i="1"/>
  <c r="B58" i="2" s="1"/>
  <c r="C54" i="1"/>
  <c r="C58" i="2" s="1"/>
  <c r="D54" i="1"/>
  <c r="E54" i="1"/>
  <c r="F54" i="1"/>
  <c r="G54" i="1"/>
  <c r="H54" i="1"/>
  <c r="I54" i="1"/>
  <c r="A59" i="2"/>
  <c r="B55" i="1"/>
  <c r="B59" i="2" s="1"/>
  <c r="C55" i="1"/>
  <c r="D55" i="1"/>
  <c r="E55" i="1"/>
  <c r="E59" i="2" s="1"/>
  <c r="F55" i="1"/>
  <c r="F59" i="2" s="1"/>
  <c r="G55" i="1"/>
  <c r="G59" i="2" s="1"/>
  <c r="H55" i="1"/>
  <c r="H59" i="2" s="1"/>
  <c r="I55" i="1"/>
  <c r="I59" i="2" s="1"/>
  <c r="B60" i="7"/>
  <c r="C60" i="4"/>
  <c r="D60" i="7"/>
  <c r="B56" i="1"/>
  <c r="C56" i="1"/>
  <c r="D56" i="1"/>
  <c r="E56" i="1"/>
  <c r="E60" i="2" s="1"/>
  <c r="F56" i="1"/>
  <c r="F60" i="2" s="1"/>
  <c r="G56" i="1"/>
  <c r="G60" i="2" s="1"/>
  <c r="H56" i="1"/>
  <c r="H60" i="2" s="1"/>
  <c r="I56" i="1"/>
  <c r="I60" i="2" s="1"/>
  <c r="B57" i="1"/>
  <c r="C57" i="1"/>
  <c r="D57" i="1"/>
  <c r="D61" i="2" s="1"/>
  <c r="E57" i="1"/>
  <c r="E58" i="6" s="1"/>
  <c r="F57" i="1"/>
  <c r="F58" i="6" s="1"/>
  <c r="G57" i="1"/>
  <c r="G58" i="6" s="1"/>
  <c r="H57" i="1"/>
  <c r="H58" i="6" s="1"/>
  <c r="I57" i="1"/>
  <c r="I58" i="6" s="1"/>
  <c r="B58" i="1"/>
  <c r="C58" i="1"/>
  <c r="C62" i="2" s="1"/>
  <c r="D58" i="1"/>
  <c r="D62" i="2" s="1"/>
  <c r="E58" i="1"/>
  <c r="E62" i="2" s="1"/>
  <c r="F58" i="1"/>
  <c r="F62" i="2" s="1"/>
  <c r="G58" i="1"/>
  <c r="G62" i="2" s="1"/>
  <c r="H58" i="1"/>
  <c r="H62" i="2" s="1"/>
  <c r="I58" i="1"/>
  <c r="I62" i="2" s="1"/>
  <c r="B59" i="1"/>
  <c r="B63" i="2" s="1"/>
  <c r="C59" i="1"/>
  <c r="C63" i="2" s="1"/>
  <c r="D59" i="1"/>
  <c r="D63" i="2" s="1"/>
  <c r="E59" i="1"/>
  <c r="E63" i="2" s="1"/>
  <c r="F59" i="1"/>
  <c r="F63" i="2" s="1"/>
  <c r="G59" i="1"/>
  <c r="G63" i="2" s="1"/>
  <c r="H59" i="1"/>
  <c r="H63" i="2" s="1"/>
  <c r="I59" i="1"/>
  <c r="I63" i="2" s="1"/>
  <c r="A64" i="2"/>
  <c r="B60" i="1"/>
  <c r="B64" i="2" s="1"/>
  <c r="C60" i="1"/>
  <c r="C64" i="2" s="1"/>
  <c r="D60" i="1"/>
  <c r="D64" i="2" s="1"/>
  <c r="E60" i="1"/>
  <c r="F60" i="1"/>
  <c r="G60" i="1"/>
  <c r="H60" i="1"/>
  <c r="I60" i="1"/>
  <c r="D66" i="7"/>
  <c r="A65" i="2"/>
  <c r="B61" i="1"/>
  <c r="B65" i="2" s="1"/>
  <c r="C61" i="1"/>
  <c r="D61" i="1"/>
  <c r="E61" i="1"/>
  <c r="E62" i="6" s="1"/>
  <c r="F61" i="1"/>
  <c r="F62" i="6" s="1"/>
  <c r="G61" i="1"/>
  <c r="G62" i="6" s="1"/>
  <c r="H61" i="1"/>
  <c r="H62" i="6" s="1"/>
  <c r="I61" i="1"/>
  <c r="I62" i="6" s="1"/>
  <c r="A66" i="2"/>
  <c r="B62" i="1"/>
  <c r="C62" i="1"/>
  <c r="D62" i="1"/>
  <c r="E62" i="1"/>
  <c r="E66" i="2" s="1"/>
  <c r="F62" i="1"/>
  <c r="F66" i="2" s="1"/>
  <c r="G62" i="1"/>
  <c r="G66" i="2" s="1"/>
  <c r="H62" i="1"/>
  <c r="H66" i="2" s="1"/>
  <c r="I62" i="1"/>
  <c r="I66" i="2" s="1"/>
  <c r="A68" i="2"/>
  <c r="D68" i="2"/>
  <c r="C69" i="2"/>
  <c r="D69" i="2"/>
  <c r="B70" i="2"/>
  <c r="C70" i="2"/>
  <c r="D70" i="2"/>
  <c r="A71" i="2"/>
  <c r="B71" i="2"/>
  <c r="C71" i="2"/>
  <c r="D71" i="2"/>
  <c r="A72" i="2"/>
  <c r="B72" i="2"/>
  <c r="C72" i="2"/>
  <c r="A73" i="2"/>
  <c r="B73" i="2"/>
  <c r="A74" i="2"/>
  <c r="A76" i="2"/>
  <c r="D76" i="2"/>
  <c r="B63" i="1"/>
  <c r="C63" i="1"/>
  <c r="C77" i="2" s="1"/>
  <c r="D63" i="1"/>
  <c r="D77" i="2" s="1"/>
  <c r="E63" i="1"/>
  <c r="F63" i="1"/>
  <c r="G63" i="1"/>
  <c r="H63" i="1"/>
  <c r="I63" i="1"/>
  <c r="B78" i="2"/>
  <c r="C78" i="2"/>
  <c r="D78" i="2"/>
  <c r="A79" i="2"/>
  <c r="B64" i="1"/>
  <c r="B79" i="2" s="1"/>
  <c r="C64" i="1"/>
  <c r="C79" i="2" s="1"/>
  <c r="D64" i="1"/>
  <c r="D79" i="2" s="1"/>
  <c r="E64" i="1"/>
  <c r="E79" i="2" s="1"/>
  <c r="F64" i="1"/>
  <c r="F79" i="2" s="1"/>
  <c r="G64" i="1"/>
  <c r="G79" i="2" s="1"/>
  <c r="H64" i="1"/>
  <c r="H79" i="2" s="1"/>
  <c r="I64" i="1"/>
  <c r="I79" i="2" s="1"/>
  <c r="A80" i="2"/>
  <c r="B80" i="2"/>
  <c r="C80" i="2"/>
  <c r="A81" i="2"/>
  <c r="B81" i="2"/>
  <c r="A82" i="2"/>
  <c r="D84" i="2"/>
  <c r="A85" i="2"/>
  <c r="B134" i="5"/>
  <c r="B142" i="5"/>
  <c r="B150" i="5"/>
  <c r="B158" i="5"/>
  <c r="A228" i="2"/>
  <c r="A229" i="2"/>
  <c r="A230" i="2"/>
  <c r="A231" i="2"/>
  <c r="A232" i="2"/>
  <c r="A233" i="2"/>
  <c r="A234" i="2"/>
  <c r="A235" i="2"/>
  <c r="A236" i="2"/>
  <c r="A237" i="2"/>
  <c r="A238" i="2"/>
  <c r="A239" i="2"/>
  <c r="E14" i="5"/>
  <c r="F14" i="5"/>
  <c r="G14" i="5"/>
  <c r="H14" i="5"/>
  <c r="I14" i="5"/>
  <c r="E15" i="5"/>
  <c r="F15" i="5"/>
  <c r="G15" i="5"/>
  <c r="H15" i="5"/>
  <c r="I15" i="5"/>
  <c r="E16" i="5"/>
  <c r="F16" i="5"/>
  <c r="G16" i="5"/>
  <c r="H16" i="5"/>
  <c r="I16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2" i="5"/>
  <c r="F22" i="5"/>
  <c r="G22" i="5"/>
  <c r="H22" i="5"/>
  <c r="I22" i="5"/>
  <c r="E23" i="5"/>
  <c r="F23" i="5"/>
  <c r="G23" i="5"/>
  <c r="H23" i="5"/>
  <c r="I23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2" i="5"/>
  <c r="F42" i="5"/>
  <c r="G42" i="5"/>
  <c r="H42" i="5"/>
  <c r="I42" i="5"/>
  <c r="E45" i="5"/>
  <c r="F45" i="5"/>
  <c r="G45" i="5"/>
  <c r="H45" i="5"/>
  <c r="I45" i="5"/>
  <c r="E46" i="5"/>
  <c r="F46" i="5"/>
  <c r="G46" i="5"/>
  <c r="H46" i="5"/>
  <c r="I46" i="5"/>
  <c r="E48" i="5"/>
  <c r="F48" i="5"/>
  <c r="G48" i="5"/>
  <c r="H48" i="5"/>
  <c r="I48" i="5"/>
  <c r="E49" i="5"/>
  <c r="F49" i="5"/>
  <c r="G49" i="5"/>
  <c r="H49" i="5"/>
  <c r="I49" i="5"/>
  <c r="E50" i="5"/>
  <c r="F50" i="5"/>
  <c r="G50" i="5"/>
  <c r="H50" i="5"/>
  <c r="I50" i="5"/>
  <c r="E51" i="5"/>
  <c r="F51" i="5"/>
  <c r="G51" i="5"/>
  <c r="H51" i="5"/>
  <c r="I51" i="5"/>
  <c r="E52" i="5"/>
  <c r="F52" i="5"/>
  <c r="G52" i="5"/>
  <c r="H52" i="5"/>
  <c r="I52" i="5"/>
  <c r="E53" i="5"/>
  <c r="F53" i="5"/>
  <c r="G53" i="5"/>
  <c r="H53" i="5"/>
  <c r="I53" i="5"/>
  <c r="E55" i="5"/>
  <c r="F55" i="5"/>
  <c r="G55" i="5"/>
  <c r="H55" i="5"/>
  <c r="I55" i="5"/>
  <c r="E56" i="5"/>
  <c r="F56" i="5"/>
  <c r="G56" i="5"/>
  <c r="H56" i="5"/>
  <c r="I56" i="5"/>
  <c r="E57" i="5"/>
  <c r="F57" i="5"/>
  <c r="G57" i="5"/>
  <c r="H57" i="5"/>
  <c r="I57" i="5"/>
  <c r="E58" i="5"/>
  <c r="F58" i="5"/>
  <c r="G58" i="5"/>
  <c r="H58" i="5"/>
  <c r="I58" i="5"/>
  <c r="E59" i="5"/>
  <c r="I59" i="5"/>
  <c r="E60" i="5"/>
  <c r="F60" i="5"/>
  <c r="G60" i="5"/>
  <c r="H60" i="5"/>
  <c r="I60" i="5"/>
  <c r="E63" i="5"/>
  <c r="F63" i="5"/>
  <c r="G63" i="5"/>
  <c r="H63" i="5"/>
  <c r="I63" i="5"/>
  <c r="E64" i="5"/>
  <c r="G64" i="5"/>
  <c r="H64" i="5"/>
  <c r="I64" i="5"/>
  <c r="E65" i="5"/>
  <c r="F65" i="5"/>
  <c r="G65" i="5"/>
  <c r="H65" i="5"/>
  <c r="I65" i="5"/>
  <c r="E66" i="5"/>
  <c r="F66" i="5"/>
  <c r="G66" i="5"/>
  <c r="H66" i="5"/>
  <c r="I66" i="5"/>
  <c r="E67" i="5"/>
  <c r="F67" i="5"/>
  <c r="G67" i="5"/>
  <c r="H67" i="5"/>
  <c r="I67" i="5"/>
  <c r="E68" i="5"/>
  <c r="F68" i="5"/>
  <c r="G68" i="5"/>
  <c r="H68" i="5"/>
  <c r="I68" i="5"/>
  <c r="E69" i="5"/>
  <c r="F69" i="5"/>
  <c r="G69" i="5"/>
  <c r="H69" i="5"/>
  <c r="I69" i="5"/>
  <c r="E70" i="5"/>
  <c r="F70" i="5"/>
  <c r="G70" i="5"/>
  <c r="H70" i="5"/>
  <c r="I70" i="5"/>
  <c r="E71" i="5"/>
  <c r="F71" i="5"/>
  <c r="G71" i="5"/>
  <c r="H71" i="5"/>
  <c r="I71" i="5"/>
  <c r="E72" i="5"/>
  <c r="F72" i="5"/>
  <c r="G72" i="5"/>
  <c r="H72" i="5"/>
  <c r="I72" i="5"/>
  <c r="E73" i="5"/>
  <c r="F73" i="5"/>
  <c r="G73" i="5"/>
  <c r="H73" i="5"/>
  <c r="I73" i="5"/>
  <c r="E74" i="5"/>
  <c r="F74" i="5"/>
  <c r="G74" i="5"/>
  <c r="H74" i="5"/>
  <c r="I74" i="5"/>
  <c r="E75" i="5"/>
  <c r="F75" i="5"/>
  <c r="G75" i="5"/>
  <c r="H75" i="5"/>
  <c r="I75" i="5"/>
  <c r="E76" i="5"/>
  <c r="F76" i="5"/>
  <c r="G76" i="5"/>
  <c r="H76" i="5"/>
  <c r="I76" i="5"/>
  <c r="E77" i="5"/>
  <c r="F77" i="5"/>
  <c r="G77" i="5"/>
  <c r="H77" i="5"/>
  <c r="I77" i="5"/>
  <c r="E79" i="5"/>
  <c r="F79" i="5"/>
  <c r="G79" i="5"/>
  <c r="H79" i="5"/>
  <c r="I79" i="5"/>
  <c r="E80" i="5"/>
  <c r="F80" i="5"/>
  <c r="G80" i="5"/>
  <c r="H80" i="5"/>
  <c r="I80" i="5"/>
  <c r="E81" i="5"/>
  <c r="F81" i="5"/>
  <c r="G81" i="5"/>
  <c r="H81" i="5"/>
  <c r="I81" i="5"/>
  <c r="E82" i="5"/>
  <c r="F82" i="5"/>
  <c r="G82" i="5"/>
  <c r="H82" i="5"/>
  <c r="I82" i="5"/>
  <c r="E83" i="5"/>
  <c r="F83" i="5"/>
  <c r="G83" i="5"/>
  <c r="H83" i="5"/>
  <c r="I83" i="5"/>
  <c r="E84" i="5"/>
  <c r="F84" i="5"/>
  <c r="G84" i="5"/>
  <c r="H84" i="5"/>
  <c r="I84" i="5"/>
  <c r="E85" i="5"/>
  <c r="F85" i="5"/>
  <c r="G85" i="5"/>
  <c r="H85" i="5"/>
  <c r="I85" i="5"/>
  <c r="E86" i="5"/>
  <c r="F86" i="5"/>
  <c r="G86" i="5"/>
  <c r="H86" i="5"/>
  <c r="I86" i="5"/>
  <c r="E87" i="5"/>
  <c r="F87" i="5"/>
  <c r="G87" i="5"/>
  <c r="H87" i="5"/>
  <c r="I87" i="5"/>
  <c r="E88" i="5"/>
  <c r="F88" i="5"/>
  <c r="G88" i="5"/>
  <c r="H88" i="5"/>
  <c r="I88" i="5"/>
  <c r="E89" i="5"/>
  <c r="F89" i="5"/>
  <c r="G89" i="5"/>
  <c r="H89" i="5"/>
  <c r="I89" i="5"/>
  <c r="E90" i="5"/>
  <c r="F90" i="5"/>
  <c r="G90" i="5"/>
  <c r="H90" i="5"/>
  <c r="I90" i="5"/>
  <c r="E91" i="5"/>
  <c r="F91" i="5"/>
  <c r="G91" i="5"/>
  <c r="H91" i="5"/>
  <c r="I91" i="5"/>
  <c r="E92" i="5"/>
  <c r="F92" i="5"/>
  <c r="G92" i="5"/>
  <c r="H92" i="5"/>
  <c r="I92" i="5"/>
  <c r="E93" i="5"/>
  <c r="F93" i="5"/>
  <c r="G93" i="5"/>
  <c r="H93" i="5"/>
  <c r="I93" i="5"/>
  <c r="E94" i="5"/>
  <c r="F94" i="5"/>
  <c r="G94" i="5"/>
  <c r="H94" i="5"/>
  <c r="I94" i="5"/>
  <c r="E95" i="5"/>
  <c r="F95" i="5"/>
  <c r="G95" i="5"/>
  <c r="H95" i="5"/>
  <c r="I95" i="5"/>
  <c r="E96" i="5"/>
  <c r="F96" i="5"/>
  <c r="G96" i="5"/>
  <c r="H96" i="5"/>
  <c r="I96" i="5"/>
  <c r="E97" i="5"/>
  <c r="F97" i="5"/>
  <c r="G97" i="5"/>
  <c r="H97" i="5"/>
  <c r="I97" i="5"/>
  <c r="E98" i="5"/>
  <c r="F98" i="5"/>
  <c r="G98" i="5"/>
  <c r="H98" i="5"/>
  <c r="I98" i="5"/>
  <c r="E99" i="5"/>
  <c r="F99" i="5"/>
  <c r="G99" i="5"/>
  <c r="H99" i="5"/>
  <c r="I99" i="5"/>
  <c r="E100" i="5"/>
  <c r="F100" i="5"/>
  <c r="G100" i="5"/>
  <c r="H100" i="5"/>
  <c r="I100" i="5"/>
  <c r="E101" i="5"/>
  <c r="F101" i="5"/>
  <c r="G101" i="5"/>
  <c r="H101" i="5"/>
  <c r="I101" i="5"/>
  <c r="E102" i="5"/>
  <c r="F102" i="5"/>
  <c r="G102" i="5"/>
  <c r="H102" i="5"/>
  <c r="I102" i="5"/>
  <c r="E103" i="5"/>
  <c r="F103" i="5"/>
  <c r="G103" i="5"/>
  <c r="H103" i="5"/>
  <c r="I103" i="5"/>
  <c r="E104" i="5"/>
  <c r="F104" i="5"/>
  <c r="G104" i="5"/>
  <c r="H104" i="5"/>
  <c r="I104" i="5"/>
  <c r="E105" i="5"/>
  <c r="F105" i="5"/>
  <c r="G105" i="5"/>
  <c r="H105" i="5"/>
  <c r="I105" i="5"/>
  <c r="E106" i="5"/>
  <c r="F106" i="5"/>
  <c r="G106" i="5"/>
  <c r="H106" i="5"/>
  <c r="I106" i="5"/>
  <c r="E107" i="5"/>
  <c r="F107" i="5"/>
  <c r="G107" i="5"/>
  <c r="H107" i="5"/>
  <c r="I107" i="5"/>
  <c r="E108" i="5"/>
  <c r="F108" i="5"/>
  <c r="G108" i="5"/>
  <c r="H108" i="5"/>
  <c r="I108" i="5"/>
  <c r="E109" i="5"/>
  <c r="F109" i="5"/>
  <c r="G109" i="5"/>
  <c r="H109" i="5"/>
  <c r="I109" i="5"/>
  <c r="E110" i="5"/>
  <c r="F110" i="5"/>
  <c r="G110" i="5"/>
  <c r="H110" i="5"/>
  <c r="I110" i="5"/>
  <c r="E111" i="5"/>
  <c r="F111" i="5"/>
  <c r="G111" i="5"/>
  <c r="H111" i="5"/>
  <c r="I111" i="5"/>
  <c r="E112" i="5"/>
  <c r="F112" i="5"/>
  <c r="G112" i="5"/>
  <c r="H112" i="5"/>
  <c r="I112" i="5"/>
  <c r="E113" i="5"/>
  <c r="F113" i="5"/>
  <c r="G113" i="5"/>
  <c r="H113" i="5"/>
  <c r="I113" i="5"/>
  <c r="E114" i="5"/>
  <c r="F114" i="5"/>
  <c r="G114" i="5"/>
  <c r="H114" i="5"/>
  <c r="I114" i="5"/>
  <c r="E115" i="5"/>
  <c r="F115" i="5"/>
  <c r="G115" i="5"/>
  <c r="H115" i="5"/>
  <c r="I115" i="5"/>
  <c r="E116" i="5"/>
  <c r="F116" i="5"/>
  <c r="G116" i="5"/>
  <c r="H116" i="5"/>
  <c r="I116" i="5"/>
  <c r="E117" i="5"/>
  <c r="F117" i="5"/>
  <c r="G117" i="5"/>
  <c r="H117" i="5"/>
  <c r="I117" i="5"/>
  <c r="E118" i="5"/>
  <c r="F118" i="5"/>
  <c r="G118" i="5"/>
  <c r="H118" i="5"/>
  <c r="I118" i="5"/>
  <c r="E119" i="5"/>
  <c r="F119" i="5"/>
  <c r="G119" i="5"/>
  <c r="H119" i="5"/>
  <c r="I119" i="5"/>
  <c r="E120" i="5"/>
  <c r="F120" i="5"/>
  <c r="G120" i="5"/>
  <c r="H120" i="5"/>
  <c r="I120" i="5"/>
  <c r="E121" i="5"/>
  <c r="F121" i="5"/>
  <c r="G121" i="5"/>
  <c r="H121" i="5"/>
  <c r="I121" i="5"/>
  <c r="E122" i="5"/>
  <c r="F122" i="5"/>
  <c r="G122" i="5"/>
  <c r="H122" i="5"/>
  <c r="I122" i="5"/>
  <c r="E123" i="5"/>
  <c r="F123" i="5"/>
  <c r="G123" i="5"/>
  <c r="H123" i="5"/>
  <c r="I123" i="5"/>
  <c r="E124" i="5"/>
  <c r="F124" i="5"/>
  <c r="G124" i="5"/>
  <c r="H124" i="5"/>
  <c r="I124" i="5"/>
  <c r="E125" i="5"/>
  <c r="F125" i="5"/>
  <c r="G125" i="5"/>
  <c r="H125" i="5"/>
  <c r="I125" i="5"/>
  <c r="E126" i="5"/>
  <c r="F126" i="5"/>
  <c r="G126" i="5"/>
  <c r="H126" i="5"/>
  <c r="I126" i="5"/>
  <c r="E127" i="5"/>
  <c r="F127" i="5"/>
  <c r="G127" i="5"/>
  <c r="H127" i="5"/>
  <c r="I127" i="5"/>
  <c r="E128" i="5"/>
  <c r="F128" i="5"/>
  <c r="G128" i="5"/>
  <c r="H128" i="5"/>
  <c r="I128" i="5"/>
  <c r="E129" i="5"/>
  <c r="F129" i="5"/>
  <c r="G129" i="5"/>
  <c r="H129" i="5"/>
  <c r="I129" i="5"/>
  <c r="E130" i="5"/>
  <c r="F130" i="5"/>
  <c r="G130" i="5"/>
  <c r="H130" i="5"/>
  <c r="I130" i="5"/>
  <c r="E131" i="5"/>
  <c r="F131" i="5"/>
  <c r="G131" i="5"/>
  <c r="H131" i="5"/>
  <c r="I131" i="5"/>
  <c r="E132" i="5"/>
  <c r="F132" i="5"/>
  <c r="G132" i="5"/>
  <c r="H132" i="5"/>
  <c r="I132" i="5"/>
  <c r="E133" i="5"/>
  <c r="F133" i="5"/>
  <c r="G133" i="5"/>
  <c r="H133" i="5"/>
  <c r="I133" i="5"/>
  <c r="E134" i="5"/>
  <c r="F134" i="5"/>
  <c r="G134" i="5"/>
  <c r="H134" i="5"/>
  <c r="I134" i="5"/>
  <c r="E135" i="5"/>
  <c r="F135" i="5"/>
  <c r="G135" i="5"/>
  <c r="H135" i="5"/>
  <c r="I135" i="5"/>
  <c r="E136" i="5"/>
  <c r="F136" i="5"/>
  <c r="G136" i="5"/>
  <c r="H136" i="5"/>
  <c r="I136" i="5"/>
  <c r="E137" i="5"/>
  <c r="F137" i="5"/>
  <c r="G137" i="5"/>
  <c r="H137" i="5"/>
  <c r="I137" i="5"/>
  <c r="E138" i="5"/>
  <c r="F138" i="5"/>
  <c r="G138" i="5"/>
  <c r="H138" i="5"/>
  <c r="I138" i="5"/>
  <c r="E139" i="5"/>
  <c r="F139" i="5"/>
  <c r="G139" i="5"/>
  <c r="H139" i="5"/>
  <c r="I139" i="5"/>
  <c r="E140" i="5"/>
  <c r="F140" i="5"/>
  <c r="G140" i="5"/>
  <c r="H140" i="5"/>
  <c r="I140" i="5"/>
  <c r="E141" i="5"/>
  <c r="F141" i="5"/>
  <c r="G141" i="5"/>
  <c r="H141" i="5"/>
  <c r="I141" i="5"/>
  <c r="E142" i="5"/>
  <c r="F142" i="5"/>
  <c r="G142" i="5"/>
  <c r="H142" i="5"/>
  <c r="I142" i="5"/>
  <c r="E143" i="5"/>
  <c r="F143" i="5"/>
  <c r="G143" i="5"/>
  <c r="H143" i="5"/>
  <c r="I143" i="5"/>
  <c r="E144" i="5"/>
  <c r="F144" i="5"/>
  <c r="G144" i="5"/>
  <c r="H144" i="5"/>
  <c r="I144" i="5"/>
  <c r="E145" i="5"/>
  <c r="F145" i="5"/>
  <c r="G145" i="5"/>
  <c r="H145" i="5"/>
  <c r="I145" i="5"/>
  <c r="E146" i="5"/>
  <c r="F146" i="5"/>
  <c r="G146" i="5"/>
  <c r="H146" i="5"/>
  <c r="I146" i="5"/>
  <c r="E147" i="5"/>
  <c r="F147" i="5"/>
  <c r="G147" i="5"/>
  <c r="H147" i="5"/>
  <c r="I147" i="5"/>
  <c r="E148" i="5"/>
  <c r="F148" i="5"/>
  <c r="G148" i="5"/>
  <c r="H148" i="5"/>
  <c r="I148" i="5"/>
  <c r="E149" i="5"/>
  <c r="F149" i="5"/>
  <c r="G149" i="5"/>
  <c r="H149" i="5"/>
  <c r="I149" i="5"/>
  <c r="E150" i="5"/>
  <c r="F150" i="5"/>
  <c r="G150" i="5"/>
  <c r="H150" i="5"/>
  <c r="I150" i="5"/>
  <c r="E151" i="5"/>
  <c r="F151" i="5"/>
  <c r="G151" i="5"/>
  <c r="H151" i="5"/>
  <c r="I151" i="5"/>
  <c r="E152" i="5"/>
  <c r="F152" i="5"/>
  <c r="G152" i="5"/>
  <c r="H152" i="5"/>
  <c r="I152" i="5"/>
  <c r="E153" i="5"/>
  <c r="F153" i="5"/>
  <c r="G153" i="5"/>
  <c r="H153" i="5"/>
  <c r="I153" i="5"/>
  <c r="E154" i="5"/>
  <c r="F154" i="5"/>
  <c r="G154" i="5"/>
  <c r="H154" i="5"/>
  <c r="I154" i="5"/>
  <c r="E155" i="5"/>
  <c r="F155" i="5"/>
  <c r="G155" i="5"/>
  <c r="H155" i="5"/>
  <c r="I155" i="5"/>
  <c r="E156" i="5"/>
  <c r="F156" i="5"/>
  <c r="G156" i="5"/>
  <c r="H156" i="5"/>
  <c r="I156" i="5"/>
  <c r="E157" i="5"/>
  <c r="F157" i="5"/>
  <c r="G157" i="5"/>
  <c r="H157" i="5"/>
  <c r="I157" i="5"/>
  <c r="E158" i="5"/>
  <c r="F158" i="5"/>
  <c r="G158" i="5"/>
  <c r="H158" i="5"/>
  <c r="I158" i="5"/>
  <c r="E159" i="5"/>
  <c r="F159" i="5"/>
  <c r="G159" i="5"/>
  <c r="H159" i="5"/>
  <c r="I159" i="5"/>
  <c r="E160" i="5"/>
  <c r="F160" i="5"/>
  <c r="G160" i="5"/>
  <c r="H160" i="5"/>
  <c r="I160" i="5"/>
  <c r="E161" i="5"/>
  <c r="F161" i="5"/>
  <c r="G161" i="5"/>
  <c r="H161" i="5"/>
  <c r="I161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5" i="5"/>
  <c r="B136" i="5"/>
  <c r="B137" i="5"/>
  <c r="B138" i="5"/>
  <c r="B139" i="5"/>
  <c r="B140" i="5"/>
  <c r="B141" i="5"/>
  <c r="B143" i="5"/>
  <c r="B144" i="5"/>
  <c r="B145" i="5"/>
  <c r="B146" i="5"/>
  <c r="B147" i="5"/>
  <c r="B148" i="5"/>
  <c r="B149" i="5"/>
  <c r="B151" i="5"/>
  <c r="B152" i="5"/>
  <c r="B153" i="5"/>
  <c r="B154" i="5"/>
  <c r="B155" i="5"/>
  <c r="B156" i="5"/>
  <c r="B157" i="5"/>
  <c r="B159" i="5"/>
  <c r="B160" i="5"/>
  <c r="B161" i="5"/>
  <c r="B162" i="5"/>
  <c r="B163" i="5"/>
  <c r="B164" i="5"/>
  <c r="B165" i="5"/>
  <c r="A85" i="5"/>
  <c r="A86" i="5"/>
  <c r="A87" i="5"/>
  <c r="A88" i="5"/>
  <c r="A89" i="5"/>
  <c r="A91" i="5"/>
  <c r="A92" i="5"/>
  <c r="A94" i="5"/>
  <c r="A95" i="5"/>
  <c r="A96" i="5"/>
  <c r="A97" i="5"/>
  <c r="A99" i="5"/>
  <c r="A100" i="5"/>
  <c r="A102" i="5"/>
  <c r="A103" i="5"/>
  <c r="A104" i="5"/>
  <c r="A105" i="5"/>
  <c r="A107" i="5"/>
  <c r="A108" i="5"/>
  <c r="A110" i="5"/>
  <c r="A111" i="5"/>
  <c r="A112" i="5"/>
  <c r="A113" i="5"/>
  <c r="A115" i="5"/>
  <c r="A116" i="5"/>
  <c r="A118" i="5"/>
  <c r="A119" i="5"/>
  <c r="A120" i="5"/>
  <c r="A121" i="5"/>
  <c r="A123" i="5"/>
  <c r="A124" i="5"/>
  <c r="A126" i="5"/>
  <c r="A127" i="5"/>
  <c r="A128" i="5"/>
  <c r="A129" i="5"/>
  <c r="A131" i="5"/>
  <c r="A132" i="5"/>
  <c r="A134" i="5"/>
  <c r="A135" i="5"/>
  <c r="A136" i="5"/>
  <c r="A137" i="5"/>
  <c r="A139" i="5"/>
  <c r="A140" i="5"/>
  <c r="A142" i="5"/>
  <c r="A143" i="5"/>
  <c r="A144" i="5"/>
  <c r="A145" i="5"/>
  <c r="A147" i="5"/>
  <c r="A148" i="5"/>
  <c r="A150" i="5"/>
  <c r="A151" i="5"/>
  <c r="A152" i="5"/>
  <c r="A153" i="5"/>
  <c r="A155" i="5"/>
  <c r="A156" i="5"/>
  <c r="A158" i="5"/>
  <c r="A159" i="5"/>
  <c r="A160" i="5"/>
  <c r="A161" i="5"/>
  <c r="A163" i="5"/>
  <c r="A164" i="5"/>
  <c r="E4" i="5"/>
  <c r="F4" i="5"/>
  <c r="G4" i="5"/>
  <c r="H4" i="5"/>
  <c r="I4" i="5"/>
  <c r="E5" i="5"/>
  <c r="F5" i="5"/>
  <c r="G5" i="5"/>
  <c r="H5" i="5"/>
  <c r="I5" i="5"/>
  <c r="E6" i="5"/>
  <c r="F6" i="5"/>
  <c r="G6" i="5"/>
  <c r="H6" i="5"/>
  <c r="I6" i="5"/>
  <c r="E7" i="5"/>
  <c r="F7" i="5"/>
  <c r="G7" i="5"/>
  <c r="H7" i="5"/>
  <c r="I7" i="5"/>
  <c r="E8" i="5"/>
  <c r="F8" i="5"/>
  <c r="G8" i="5"/>
  <c r="H8" i="5"/>
  <c r="I8" i="5"/>
  <c r="E9" i="5"/>
  <c r="F9" i="5"/>
  <c r="G9" i="5"/>
  <c r="H9" i="5"/>
  <c r="I9" i="5"/>
  <c r="E10" i="5"/>
  <c r="F10" i="5"/>
  <c r="G10" i="5"/>
  <c r="H10" i="5"/>
  <c r="I10" i="5"/>
  <c r="E13" i="5"/>
  <c r="F13" i="5"/>
  <c r="G13" i="5"/>
  <c r="H13" i="5"/>
  <c r="I13" i="5"/>
  <c r="P12" i="2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F64" i="5" l="1"/>
  <c r="H50" i="6"/>
  <c r="F50" i="6"/>
  <c r="G50" i="6"/>
  <c r="E50" i="6"/>
  <c r="I50" i="6"/>
  <c r="G78" i="5"/>
  <c r="F78" i="5"/>
  <c r="I66" i="6"/>
  <c r="D56" i="6"/>
  <c r="D59" i="2"/>
  <c r="B53" i="4"/>
  <c r="B53" i="2"/>
  <c r="C59" i="7"/>
  <c r="C59" i="2"/>
  <c r="F47" i="5"/>
  <c r="F48" i="2"/>
  <c r="A45" i="7"/>
  <c r="A45" i="2"/>
  <c r="H37" i="6"/>
  <c r="H37" i="2"/>
  <c r="I78" i="5"/>
  <c r="I61" i="5"/>
  <c r="F52" i="6"/>
  <c r="F55" i="2"/>
  <c r="E48" i="6"/>
  <c r="E48" i="2"/>
  <c r="G46" i="4"/>
  <c r="G46" i="2"/>
  <c r="H45" i="4"/>
  <c r="H45" i="2"/>
  <c r="I44" i="6"/>
  <c r="I44" i="2"/>
  <c r="H66" i="6"/>
  <c r="B45" i="4"/>
  <c r="B45" i="2"/>
  <c r="G52" i="6"/>
  <c r="G55" i="2"/>
  <c r="B52" i="7"/>
  <c r="B52" i="2"/>
  <c r="H46" i="4"/>
  <c r="H46" i="2"/>
  <c r="I45" i="4"/>
  <c r="I45" i="2"/>
  <c r="C43" i="7"/>
  <c r="C43" i="2"/>
  <c r="H78" i="5"/>
  <c r="G61" i="5"/>
  <c r="E52" i="6"/>
  <c r="E55" i="2"/>
  <c r="F46" i="4"/>
  <c r="F46" i="2"/>
  <c r="G45" i="4"/>
  <c r="G45" i="2"/>
  <c r="H44" i="6"/>
  <c r="H44" i="2"/>
  <c r="G66" i="6"/>
  <c r="C44" i="7"/>
  <c r="C44" i="2"/>
  <c r="D50" i="7"/>
  <c r="D50" i="2"/>
  <c r="D42" i="7"/>
  <c r="D42" i="2"/>
  <c r="C86" i="7"/>
  <c r="C84" i="2"/>
  <c r="B79" i="7"/>
  <c r="B77" i="2"/>
  <c r="B63" i="7"/>
  <c r="B62" i="2"/>
  <c r="E46" i="4"/>
  <c r="E46" i="2"/>
  <c r="F45" i="4"/>
  <c r="F45" i="2"/>
  <c r="G44" i="6"/>
  <c r="G44" i="2"/>
  <c r="I42" i="6"/>
  <c r="I42" i="2"/>
  <c r="F66" i="6"/>
  <c r="H52" i="6"/>
  <c r="H55" i="2"/>
  <c r="D51" i="4"/>
  <c r="D51" i="2"/>
  <c r="A45" i="5"/>
  <c r="A46" i="2"/>
  <c r="E42" i="6"/>
  <c r="E42" i="2"/>
  <c r="I37" i="6"/>
  <c r="I37" i="2"/>
  <c r="D58" i="7"/>
  <c r="D58" i="2"/>
  <c r="A53" i="7"/>
  <c r="A53" i="2"/>
  <c r="B44" i="7"/>
  <c r="B44" i="2"/>
  <c r="D85" i="7"/>
  <c r="D83" i="2"/>
  <c r="D77" i="7"/>
  <c r="D75" i="2"/>
  <c r="A72" i="7"/>
  <c r="A70" i="2"/>
  <c r="B71" i="7"/>
  <c r="B69" i="2"/>
  <c r="D69" i="7"/>
  <c r="D67" i="2"/>
  <c r="A64" i="7"/>
  <c r="A63" i="2"/>
  <c r="B86" i="7"/>
  <c r="B84" i="2"/>
  <c r="C85" i="7"/>
  <c r="C83" i="2"/>
  <c r="D84" i="8"/>
  <c r="D82" i="2"/>
  <c r="A79" i="7"/>
  <c r="A77" i="2"/>
  <c r="B78" i="7"/>
  <c r="B76" i="2"/>
  <c r="C77" i="7"/>
  <c r="C75" i="2"/>
  <c r="D76" i="7"/>
  <c r="D74" i="2"/>
  <c r="A71" i="7"/>
  <c r="A69" i="2"/>
  <c r="B70" i="7"/>
  <c r="B68" i="2"/>
  <c r="C69" i="7"/>
  <c r="C67" i="2"/>
  <c r="D68" i="7"/>
  <c r="D66" i="2"/>
  <c r="A63" i="7"/>
  <c r="A62" i="2"/>
  <c r="B62" i="7"/>
  <c r="B61" i="2"/>
  <c r="C61" i="7"/>
  <c r="C60" i="2"/>
  <c r="E45" i="6"/>
  <c r="E45" i="2"/>
  <c r="F43" i="5"/>
  <c r="F44" i="2"/>
  <c r="H42" i="6"/>
  <c r="H42" i="2"/>
  <c r="D87" i="4"/>
  <c r="D85" i="2"/>
  <c r="E66" i="6"/>
  <c r="C52" i="4"/>
  <c r="C52" i="2"/>
  <c r="D43" i="6"/>
  <c r="D43" i="2"/>
  <c r="C51" i="7"/>
  <c r="C51" i="2"/>
  <c r="A80" i="7"/>
  <c r="A78" i="2"/>
  <c r="C78" i="7"/>
  <c r="C76" i="2"/>
  <c r="C70" i="7"/>
  <c r="C68" i="2"/>
  <c r="C62" i="7"/>
  <c r="C61" i="2"/>
  <c r="D61" i="7"/>
  <c r="D60" i="2"/>
  <c r="E78" i="5"/>
  <c r="A86" i="7"/>
  <c r="A84" i="2"/>
  <c r="B85" i="7"/>
  <c r="B83" i="2"/>
  <c r="C84" i="8"/>
  <c r="C82" i="2"/>
  <c r="D83" i="7"/>
  <c r="D81" i="2"/>
  <c r="B77" i="4"/>
  <c r="B75" i="2"/>
  <c r="C76" i="4"/>
  <c r="C74" i="2"/>
  <c r="D73" i="2"/>
  <c r="B69" i="4"/>
  <c r="B67" i="2"/>
  <c r="C68" i="4"/>
  <c r="C66" i="2"/>
  <c r="D62" i="6"/>
  <c r="D65" i="2"/>
  <c r="A58" i="6"/>
  <c r="A61" i="2"/>
  <c r="B61" i="4"/>
  <c r="B60" i="2"/>
  <c r="A56" i="7"/>
  <c r="A56" i="2"/>
  <c r="B55" i="7"/>
  <c r="B55" i="2"/>
  <c r="C54" i="7"/>
  <c r="C54" i="2"/>
  <c r="D53" i="7"/>
  <c r="D53" i="2"/>
  <c r="I48" i="6"/>
  <c r="I48" i="2"/>
  <c r="A48" i="7"/>
  <c r="A48" i="2"/>
  <c r="B47" i="7"/>
  <c r="B47" i="2"/>
  <c r="C46" i="7"/>
  <c r="C46" i="2"/>
  <c r="D45" i="7"/>
  <c r="D45" i="2"/>
  <c r="E44" i="4"/>
  <c r="E44" i="2"/>
  <c r="G42" i="6"/>
  <c r="G42" i="2"/>
  <c r="A40" i="7"/>
  <c r="A40" i="2"/>
  <c r="G48" i="6"/>
  <c r="G48" i="2"/>
  <c r="I46" i="4"/>
  <c r="I46" i="2"/>
  <c r="A85" i="7"/>
  <c r="A83" i="2"/>
  <c r="B84" i="7"/>
  <c r="B82" i="2"/>
  <c r="C83" i="7"/>
  <c r="C81" i="2"/>
  <c r="D82" i="7"/>
  <c r="D80" i="2"/>
  <c r="A77" i="7"/>
  <c r="A75" i="2"/>
  <c r="B76" i="7"/>
  <c r="B74" i="2"/>
  <c r="C75" i="7"/>
  <c r="C73" i="2"/>
  <c r="D74" i="7"/>
  <c r="D72" i="2"/>
  <c r="A69" i="7"/>
  <c r="A67" i="2"/>
  <c r="B68" i="7"/>
  <c r="B66" i="2"/>
  <c r="C67" i="7"/>
  <c r="C65" i="2"/>
  <c r="A61" i="7"/>
  <c r="A60" i="2"/>
  <c r="I52" i="6"/>
  <c r="I55" i="2"/>
  <c r="A55" i="7"/>
  <c r="A55" i="2"/>
  <c r="B54" i="7"/>
  <c r="B54" i="2"/>
  <c r="C53" i="7"/>
  <c r="C53" i="2"/>
  <c r="D52" i="7"/>
  <c r="D52" i="2"/>
  <c r="H48" i="6"/>
  <c r="H48" i="2"/>
  <c r="A47" i="7"/>
  <c r="A47" i="2"/>
  <c r="B46" i="7"/>
  <c r="B46" i="2"/>
  <c r="C45" i="7"/>
  <c r="C45" i="2"/>
  <c r="D44" i="7"/>
  <c r="D44" i="2"/>
  <c r="F42" i="6"/>
  <c r="F42" i="2"/>
  <c r="B87" i="8"/>
  <c r="B85" i="2"/>
  <c r="H61" i="5"/>
  <c r="F62" i="5"/>
  <c r="H62" i="5"/>
  <c r="E61" i="5"/>
  <c r="I57" i="6"/>
  <c r="I62" i="5"/>
  <c r="I60" i="6"/>
  <c r="G59" i="6"/>
  <c r="G62" i="5"/>
  <c r="H60" i="6"/>
  <c r="E59" i="6"/>
  <c r="G57" i="6"/>
  <c r="E62" i="5"/>
  <c r="G60" i="6"/>
  <c r="F57" i="6"/>
  <c r="H57" i="6"/>
  <c r="F60" i="6"/>
  <c r="E57" i="6"/>
  <c r="E60" i="6"/>
  <c r="I59" i="6"/>
  <c r="F59" i="6"/>
  <c r="F61" i="5"/>
  <c r="H59" i="6"/>
  <c r="G68" i="6"/>
  <c r="F68" i="6"/>
  <c r="I68" i="6"/>
  <c r="H59" i="5"/>
  <c r="E68" i="6"/>
  <c r="G59" i="5"/>
  <c r="F59" i="5"/>
  <c r="H68" i="6"/>
  <c r="E54" i="5"/>
  <c r="F54" i="5"/>
  <c r="G54" i="5"/>
  <c r="I54" i="5"/>
  <c r="H54" i="5"/>
  <c r="G47" i="5"/>
  <c r="H47" i="5"/>
  <c r="E47" i="5"/>
  <c r="F48" i="6"/>
  <c r="I47" i="5"/>
  <c r="B54" i="5"/>
  <c r="G41" i="5"/>
  <c r="A74" i="5"/>
  <c r="A59" i="5"/>
  <c r="B81" i="5"/>
  <c r="A52" i="5"/>
  <c r="B73" i="5"/>
  <c r="A44" i="5"/>
  <c r="B65" i="5"/>
  <c r="C50" i="5"/>
  <c r="C42" i="5"/>
  <c r="I44" i="5"/>
  <c r="B51" i="5"/>
  <c r="A82" i="5"/>
  <c r="B43" i="5"/>
  <c r="B84" i="5"/>
  <c r="A70" i="9"/>
  <c r="D67" i="9"/>
  <c r="C76" i="8"/>
  <c r="C44" i="8"/>
  <c r="B61" i="9"/>
  <c r="B77" i="8"/>
  <c r="B45" i="8"/>
  <c r="C76" i="9"/>
  <c r="C44" i="9"/>
  <c r="D83" i="8"/>
  <c r="A54" i="8"/>
  <c r="D51" i="8"/>
  <c r="D84" i="7"/>
  <c r="C60" i="8"/>
  <c r="B77" i="9"/>
  <c r="B45" i="9"/>
  <c r="A54" i="9"/>
  <c r="D51" i="9"/>
  <c r="H41" i="5"/>
  <c r="B61" i="8"/>
  <c r="C60" i="9"/>
  <c r="A70" i="8"/>
  <c r="D67" i="8"/>
  <c r="A80" i="5"/>
  <c r="A83" i="9"/>
  <c r="A83" i="8"/>
  <c r="A83" i="7"/>
  <c r="C81" i="4"/>
  <c r="C81" i="9"/>
  <c r="C81" i="8"/>
  <c r="C81" i="7"/>
  <c r="A75" i="9"/>
  <c r="A75" i="8"/>
  <c r="A75" i="7"/>
  <c r="D72" i="9"/>
  <c r="D72" i="8"/>
  <c r="D72" i="7"/>
  <c r="A67" i="4"/>
  <c r="A67" i="9"/>
  <c r="A67" i="8"/>
  <c r="A67" i="7"/>
  <c r="B66" i="4"/>
  <c r="B66" i="9"/>
  <c r="B66" i="8"/>
  <c r="B66" i="7"/>
  <c r="C65" i="9"/>
  <c r="C65" i="8"/>
  <c r="C65" i="7"/>
  <c r="B58" i="4"/>
  <c r="B58" i="9"/>
  <c r="B58" i="8"/>
  <c r="B58" i="7"/>
  <c r="C57" i="4"/>
  <c r="C57" i="9"/>
  <c r="C57" i="8"/>
  <c r="C57" i="7"/>
  <c r="B50" i="4"/>
  <c r="B50" i="9"/>
  <c r="B50" i="8"/>
  <c r="B50" i="7"/>
  <c r="C49" i="9"/>
  <c r="C49" i="8"/>
  <c r="C49" i="7"/>
  <c r="B42" i="4"/>
  <c r="B42" i="9"/>
  <c r="B42" i="8"/>
  <c r="B42" i="7"/>
  <c r="C41" i="4"/>
  <c r="C41" i="9"/>
  <c r="C41" i="8"/>
  <c r="C41" i="7"/>
  <c r="B82" i="4"/>
  <c r="B82" i="9"/>
  <c r="B82" i="8"/>
  <c r="B82" i="7"/>
  <c r="D65" i="6"/>
  <c r="D80" i="9"/>
  <c r="D80" i="8"/>
  <c r="D80" i="7"/>
  <c r="B74" i="4"/>
  <c r="B74" i="9"/>
  <c r="B74" i="8"/>
  <c r="B74" i="7"/>
  <c r="C73" i="4"/>
  <c r="C73" i="9"/>
  <c r="C73" i="8"/>
  <c r="C73" i="7"/>
  <c r="D64" i="9"/>
  <c r="D64" i="8"/>
  <c r="D64" i="7"/>
  <c r="A56" i="6"/>
  <c r="A59" i="9"/>
  <c r="A59" i="8"/>
  <c r="A59" i="7"/>
  <c r="D56" i="9"/>
  <c r="D56" i="8"/>
  <c r="D56" i="7"/>
  <c r="A51" i="9"/>
  <c r="A51" i="8"/>
  <c r="A51" i="7"/>
  <c r="D48" i="9"/>
  <c r="D48" i="8"/>
  <c r="D48" i="7"/>
  <c r="A43" i="6"/>
  <c r="A43" i="9"/>
  <c r="A43" i="8"/>
  <c r="A43" i="7"/>
  <c r="D40" i="9"/>
  <c r="D40" i="8"/>
  <c r="D40" i="7"/>
  <c r="A84" i="5"/>
  <c r="A87" i="8"/>
  <c r="A87" i="7"/>
  <c r="A87" i="9"/>
  <c r="D86" i="8"/>
  <c r="D86" i="7"/>
  <c r="D86" i="9"/>
  <c r="A81" i="9"/>
  <c r="A81" i="8"/>
  <c r="A81" i="7"/>
  <c r="B80" i="4"/>
  <c r="B80" i="9"/>
  <c r="B80" i="8"/>
  <c r="B80" i="7"/>
  <c r="C79" i="4"/>
  <c r="C79" i="9"/>
  <c r="C79" i="8"/>
  <c r="C79" i="7"/>
  <c r="D78" i="4"/>
  <c r="D78" i="9"/>
  <c r="D78" i="8"/>
  <c r="D78" i="7"/>
  <c r="A73" i="9"/>
  <c r="A73" i="8"/>
  <c r="A73" i="7"/>
  <c r="B72" i="4"/>
  <c r="B72" i="9"/>
  <c r="B72" i="8"/>
  <c r="B72" i="7"/>
  <c r="C71" i="9"/>
  <c r="C71" i="8"/>
  <c r="C71" i="7"/>
  <c r="D70" i="4"/>
  <c r="D70" i="9"/>
  <c r="D70" i="8"/>
  <c r="D70" i="7"/>
  <c r="A65" i="9"/>
  <c r="A65" i="8"/>
  <c r="A65" i="7"/>
  <c r="B64" i="4"/>
  <c r="B64" i="9"/>
  <c r="B64" i="8"/>
  <c r="B64" i="7"/>
  <c r="C63" i="9"/>
  <c r="C63" i="8"/>
  <c r="C63" i="7"/>
  <c r="D62" i="4"/>
  <c r="D62" i="9"/>
  <c r="D62" i="8"/>
  <c r="D62" i="7"/>
  <c r="A57" i="9"/>
  <c r="A57" i="8"/>
  <c r="A57" i="7"/>
  <c r="B56" i="4"/>
  <c r="B56" i="9"/>
  <c r="B56" i="8"/>
  <c r="B56" i="7"/>
  <c r="C55" i="4"/>
  <c r="C55" i="9"/>
  <c r="C55" i="8"/>
  <c r="C55" i="7"/>
  <c r="D54" i="9"/>
  <c r="D54" i="8"/>
  <c r="D54" i="7"/>
  <c r="A48" i="5"/>
  <c r="A49" i="9"/>
  <c r="A49" i="8"/>
  <c r="A49" i="7"/>
  <c r="B48" i="4"/>
  <c r="B48" i="9"/>
  <c r="B48" i="8"/>
  <c r="B48" i="7"/>
  <c r="C47" i="4"/>
  <c r="C47" i="9"/>
  <c r="C47" i="8"/>
  <c r="C47" i="7"/>
  <c r="D46" i="4"/>
  <c r="D46" i="9"/>
  <c r="D46" i="8"/>
  <c r="D46" i="7"/>
  <c r="A41" i="6"/>
  <c r="A41" i="9"/>
  <c r="A41" i="8"/>
  <c r="A41" i="7"/>
  <c r="B40" i="4"/>
  <c r="B40" i="9"/>
  <c r="B40" i="8"/>
  <c r="B40" i="7"/>
  <c r="A84" i="9"/>
  <c r="A84" i="8"/>
  <c r="A84" i="7"/>
  <c r="B83" i="4"/>
  <c r="B83" i="9"/>
  <c r="B83" i="8"/>
  <c r="B83" i="7"/>
  <c r="C82" i="4"/>
  <c r="C82" i="9"/>
  <c r="C82" i="8"/>
  <c r="C82" i="7"/>
  <c r="D66" i="6"/>
  <c r="D81" i="9"/>
  <c r="D81" i="8"/>
  <c r="D81" i="7"/>
  <c r="A73" i="5"/>
  <c r="A76" i="9"/>
  <c r="A76" i="8"/>
  <c r="A76" i="7"/>
  <c r="B75" i="4"/>
  <c r="B75" i="9"/>
  <c r="B75" i="8"/>
  <c r="B75" i="7"/>
  <c r="C74" i="4"/>
  <c r="C74" i="9"/>
  <c r="C74" i="8"/>
  <c r="C74" i="7"/>
  <c r="D73" i="9"/>
  <c r="D73" i="8"/>
  <c r="D73" i="7"/>
  <c r="A68" i="9"/>
  <c r="A68" i="8"/>
  <c r="A68" i="7"/>
  <c r="B67" i="4"/>
  <c r="B67" i="9"/>
  <c r="B67" i="8"/>
  <c r="B67" i="7"/>
  <c r="C66" i="4"/>
  <c r="C66" i="9"/>
  <c r="C66" i="8"/>
  <c r="C66" i="7"/>
  <c r="D65" i="9"/>
  <c r="D65" i="8"/>
  <c r="D65" i="7"/>
  <c r="A60" i="9"/>
  <c r="A60" i="8"/>
  <c r="A60" i="7"/>
  <c r="B59" i="9"/>
  <c r="B59" i="8"/>
  <c r="B59" i="7"/>
  <c r="C58" i="9"/>
  <c r="C58" i="8"/>
  <c r="C58" i="7"/>
  <c r="D57" i="9"/>
  <c r="D57" i="8"/>
  <c r="D57" i="7"/>
  <c r="A52" i="9"/>
  <c r="A52" i="8"/>
  <c r="A51" i="5"/>
  <c r="A52" i="7"/>
  <c r="B51" i="9"/>
  <c r="B51" i="8"/>
  <c r="B51" i="7"/>
  <c r="C50" i="9"/>
  <c r="C50" i="8"/>
  <c r="C50" i="7"/>
  <c r="D49" i="9"/>
  <c r="D49" i="8"/>
  <c r="D49" i="7"/>
  <c r="A44" i="9"/>
  <c r="A44" i="8"/>
  <c r="A44" i="7"/>
  <c r="B43" i="4"/>
  <c r="B43" i="9"/>
  <c r="B43" i="8"/>
  <c r="B43" i="7"/>
  <c r="C42" i="9"/>
  <c r="C42" i="8"/>
  <c r="C42" i="7"/>
  <c r="D41" i="9"/>
  <c r="D41" i="8"/>
  <c r="D41" i="7"/>
  <c r="A82" i="4"/>
  <c r="A82" i="9"/>
  <c r="A82" i="8"/>
  <c r="B66" i="6"/>
  <c r="B81" i="9"/>
  <c r="B81" i="8"/>
  <c r="C80" i="4"/>
  <c r="C80" i="9"/>
  <c r="C80" i="8"/>
  <c r="D79" i="4"/>
  <c r="D79" i="9"/>
  <c r="D79" i="8"/>
  <c r="A74" i="4"/>
  <c r="A74" i="9"/>
  <c r="A74" i="8"/>
  <c r="B73" i="9"/>
  <c r="B73" i="8"/>
  <c r="C72" i="4"/>
  <c r="C72" i="9"/>
  <c r="C72" i="8"/>
  <c r="D71" i="4"/>
  <c r="D71" i="9"/>
  <c r="D71" i="8"/>
  <c r="A66" i="4"/>
  <c r="A66" i="9"/>
  <c r="A66" i="8"/>
  <c r="B65" i="4"/>
  <c r="B65" i="9"/>
  <c r="B65" i="8"/>
  <c r="C64" i="9"/>
  <c r="C64" i="8"/>
  <c r="D63" i="9"/>
  <c r="D63" i="8"/>
  <c r="A58" i="4"/>
  <c r="A58" i="9"/>
  <c r="A58" i="8"/>
  <c r="B57" i="4"/>
  <c r="B57" i="9"/>
  <c r="B57" i="8"/>
  <c r="C56" i="4"/>
  <c r="C56" i="9"/>
  <c r="C56" i="8"/>
  <c r="D55" i="4"/>
  <c r="D55" i="9"/>
  <c r="D55" i="8"/>
  <c r="A50" i="4"/>
  <c r="A50" i="9"/>
  <c r="A50" i="8"/>
  <c r="B49" i="4"/>
  <c r="B49" i="9"/>
  <c r="B49" i="8"/>
  <c r="C48" i="4"/>
  <c r="C48" i="9"/>
  <c r="C48" i="8"/>
  <c r="D47" i="4"/>
  <c r="D47" i="9"/>
  <c r="D47" i="8"/>
  <c r="A42" i="4"/>
  <c r="A42" i="9"/>
  <c r="A42" i="8"/>
  <c r="B41" i="4"/>
  <c r="B41" i="9"/>
  <c r="B41" i="8"/>
  <c r="C40" i="4"/>
  <c r="C40" i="9"/>
  <c r="C40" i="8"/>
  <c r="C84" i="7"/>
  <c r="A78" i="7"/>
  <c r="B77" i="7"/>
  <c r="C76" i="7"/>
  <c r="D75" i="7"/>
  <c r="A70" i="7"/>
  <c r="B69" i="7"/>
  <c r="C68" i="7"/>
  <c r="D67" i="7"/>
  <c r="A62" i="7"/>
  <c r="B61" i="7"/>
  <c r="C60" i="7"/>
  <c r="D59" i="7"/>
  <c r="A54" i="7"/>
  <c r="B53" i="7"/>
  <c r="C52" i="7"/>
  <c r="D51" i="7"/>
  <c r="A46" i="7"/>
  <c r="B45" i="7"/>
  <c r="D43" i="7"/>
  <c r="C86" i="4"/>
  <c r="C86" i="8"/>
  <c r="C86" i="9"/>
  <c r="D67" i="6"/>
  <c r="D85" i="8"/>
  <c r="D85" i="9"/>
  <c r="A77" i="5"/>
  <c r="A80" i="9"/>
  <c r="A80" i="8"/>
  <c r="B79" i="4"/>
  <c r="B79" i="9"/>
  <c r="B79" i="8"/>
  <c r="C78" i="4"/>
  <c r="C78" i="9"/>
  <c r="C78" i="8"/>
  <c r="D77" i="9"/>
  <c r="D77" i="8"/>
  <c r="A72" i="9"/>
  <c r="A72" i="8"/>
  <c r="B71" i="4"/>
  <c r="B71" i="9"/>
  <c r="B71" i="8"/>
  <c r="C70" i="4"/>
  <c r="C70" i="9"/>
  <c r="C70" i="8"/>
  <c r="D69" i="4"/>
  <c r="D69" i="9"/>
  <c r="D69" i="8"/>
  <c r="A64" i="9"/>
  <c r="A64" i="8"/>
  <c r="B63" i="4"/>
  <c r="B63" i="9"/>
  <c r="B63" i="8"/>
  <c r="C62" i="4"/>
  <c r="C62" i="9"/>
  <c r="C62" i="8"/>
  <c r="D61" i="4"/>
  <c r="D61" i="9"/>
  <c r="D61" i="8"/>
  <c r="A56" i="9"/>
  <c r="A56" i="8"/>
  <c r="B55" i="4"/>
  <c r="B55" i="9"/>
  <c r="B55" i="8"/>
  <c r="C54" i="4"/>
  <c r="C54" i="9"/>
  <c r="C54" i="8"/>
  <c r="D53" i="9"/>
  <c r="D53" i="8"/>
  <c r="A47" i="5"/>
  <c r="A48" i="9"/>
  <c r="A48" i="8"/>
  <c r="B47" i="4"/>
  <c r="B47" i="9"/>
  <c r="B47" i="8"/>
  <c r="C46" i="4"/>
  <c r="C46" i="9"/>
  <c r="C46" i="8"/>
  <c r="D45" i="9"/>
  <c r="D45" i="8"/>
  <c r="A40" i="6"/>
  <c r="A40" i="9"/>
  <c r="A40" i="8"/>
  <c r="D68" i="6"/>
  <c r="D87" i="9"/>
  <c r="D87" i="8"/>
  <c r="D87" i="7"/>
  <c r="B86" i="4"/>
  <c r="B86" i="9"/>
  <c r="C85" i="4"/>
  <c r="C85" i="9"/>
  <c r="D84" i="4"/>
  <c r="D84" i="9"/>
  <c r="A79" i="4"/>
  <c r="A79" i="9"/>
  <c r="A79" i="8"/>
  <c r="B78" i="4"/>
  <c r="B78" i="9"/>
  <c r="B78" i="8"/>
  <c r="C77" i="4"/>
  <c r="C77" i="9"/>
  <c r="C77" i="8"/>
  <c r="D76" i="9"/>
  <c r="D76" i="8"/>
  <c r="A71" i="4"/>
  <c r="A71" i="9"/>
  <c r="A71" i="8"/>
  <c r="B70" i="4"/>
  <c r="B70" i="9"/>
  <c r="B70" i="8"/>
  <c r="C69" i="4"/>
  <c r="C69" i="9"/>
  <c r="C69" i="8"/>
  <c r="D68" i="9"/>
  <c r="D68" i="8"/>
  <c r="A63" i="4"/>
  <c r="A63" i="9"/>
  <c r="A63" i="8"/>
  <c r="B62" i="4"/>
  <c r="B62" i="9"/>
  <c r="B62" i="8"/>
  <c r="C61" i="4"/>
  <c r="C61" i="9"/>
  <c r="C61" i="8"/>
  <c r="D60" i="4"/>
  <c r="D60" i="9"/>
  <c r="D60" i="8"/>
  <c r="A55" i="4"/>
  <c r="A55" i="9"/>
  <c r="A55" i="8"/>
  <c r="B54" i="4"/>
  <c r="B54" i="9"/>
  <c r="B54" i="8"/>
  <c r="C53" i="4"/>
  <c r="C53" i="9"/>
  <c r="C53" i="8"/>
  <c r="D52" i="4"/>
  <c r="D52" i="9"/>
  <c r="D52" i="8"/>
  <c r="A47" i="4"/>
  <c r="A47" i="9"/>
  <c r="A47" i="8"/>
  <c r="B46" i="4"/>
  <c r="B46" i="9"/>
  <c r="B46" i="8"/>
  <c r="C45" i="4"/>
  <c r="C45" i="9"/>
  <c r="C45" i="8"/>
  <c r="D44" i="9"/>
  <c r="D44" i="8"/>
  <c r="D14" i="6"/>
  <c r="D14" i="9"/>
  <c r="D13" i="6"/>
  <c r="D13" i="9"/>
  <c r="D12" i="6"/>
  <c r="D12" i="9"/>
  <c r="D11" i="6"/>
  <c r="D11" i="9"/>
  <c r="C68" i="6"/>
  <c r="C87" i="9"/>
  <c r="C87" i="8"/>
  <c r="D11" i="7"/>
  <c r="C87" i="7"/>
  <c r="C85" i="8"/>
  <c r="A78" i="8"/>
  <c r="C68" i="8"/>
  <c r="A62" i="8"/>
  <c r="C52" i="8"/>
  <c r="A46" i="8"/>
  <c r="A78" i="9"/>
  <c r="C68" i="9"/>
  <c r="A62" i="9"/>
  <c r="C52" i="9"/>
  <c r="A46" i="9"/>
  <c r="C11" i="9"/>
  <c r="A86" i="9"/>
  <c r="B85" i="4"/>
  <c r="B85" i="9"/>
  <c r="C84" i="4"/>
  <c r="C84" i="9"/>
  <c r="D83" i="4"/>
  <c r="D83" i="9"/>
  <c r="C14" i="6"/>
  <c r="C14" i="9"/>
  <c r="C13" i="6"/>
  <c r="C13" i="9"/>
  <c r="C12" i="6"/>
  <c r="C12" i="9"/>
  <c r="B68" i="6"/>
  <c r="B87" i="9"/>
  <c r="B12" i="7"/>
  <c r="C11" i="7"/>
  <c r="B87" i="7"/>
  <c r="A82" i="7"/>
  <c r="B81" i="7"/>
  <c r="C80" i="7"/>
  <c r="D79" i="7"/>
  <c r="A74" i="7"/>
  <c r="B73" i="7"/>
  <c r="C72" i="7"/>
  <c r="D71" i="7"/>
  <c r="A66" i="7"/>
  <c r="B65" i="7"/>
  <c r="C64" i="7"/>
  <c r="D63" i="7"/>
  <c r="A58" i="7"/>
  <c r="B57" i="7"/>
  <c r="C56" i="7"/>
  <c r="D55" i="7"/>
  <c r="A50" i="7"/>
  <c r="B49" i="7"/>
  <c r="C48" i="7"/>
  <c r="D47" i="7"/>
  <c r="A42" i="7"/>
  <c r="B41" i="7"/>
  <c r="C40" i="7"/>
  <c r="D14" i="7"/>
  <c r="B86" i="8"/>
  <c r="B85" i="8"/>
  <c r="A85" i="4"/>
  <c r="A85" i="9"/>
  <c r="A85" i="8"/>
  <c r="B84" i="4"/>
  <c r="B84" i="9"/>
  <c r="B84" i="8"/>
  <c r="C83" i="4"/>
  <c r="C83" i="9"/>
  <c r="C83" i="8"/>
  <c r="D82" i="9"/>
  <c r="D82" i="8"/>
  <c r="A77" i="4"/>
  <c r="A77" i="9"/>
  <c r="A77" i="8"/>
  <c r="B76" i="4"/>
  <c r="B76" i="9"/>
  <c r="B76" i="8"/>
  <c r="C75" i="4"/>
  <c r="C75" i="9"/>
  <c r="C75" i="8"/>
  <c r="D74" i="9"/>
  <c r="D74" i="8"/>
  <c r="A69" i="4"/>
  <c r="A69" i="9"/>
  <c r="A69" i="8"/>
  <c r="B68" i="4"/>
  <c r="B68" i="9"/>
  <c r="B68" i="8"/>
  <c r="C67" i="4"/>
  <c r="C67" i="9"/>
  <c r="C67" i="8"/>
  <c r="D66" i="9"/>
  <c r="D66" i="8"/>
  <c r="A61" i="4"/>
  <c r="A61" i="9"/>
  <c r="A61" i="8"/>
  <c r="B60" i="4"/>
  <c r="B60" i="9"/>
  <c r="B60" i="8"/>
  <c r="C59" i="4"/>
  <c r="C59" i="9"/>
  <c r="C59" i="8"/>
  <c r="D58" i="9"/>
  <c r="D58" i="8"/>
  <c r="A53" i="4"/>
  <c r="A53" i="9"/>
  <c r="A53" i="8"/>
  <c r="B52" i="4"/>
  <c r="B52" i="9"/>
  <c r="B52" i="8"/>
  <c r="C51" i="4"/>
  <c r="C51" i="9"/>
  <c r="C51" i="8"/>
  <c r="D50" i="9"/>
  <c r="D50" i="8"/>
  <c r="A45" i="4"/>
  <c r="A45" i="9"/>
  <c r="A45" i="8"/>
  <c r="B44" i="4"/>
  <c r="B44" i="9"/>
  <c r="B44" i="8"/>
  <c r="C43" i="4"/>
  <c r="C43" i="9"/>
  <c r="C43" i="8"/>
  <c r="D42" i="9"/>
  <c r="D42" i="8"/>
  <c r="B14" i="6"/>
  <c r="B14" i="9"/>
  <c r="B13" i="6"/>
  <c r="B13" i="9"/>
  <c r="B11" i="6"/>
  <c r="B11" i="9"/>
  <c r="B11" i="7"/>
  <c r="C14" i="7"/>
  <c r="A86" i="8"/>
  <c r="D75" i="8"/>
  <c r="B69" i="8"/>
  <c r="D59" i="8"/>
  <c r="B53" i="8"/>
  <c r="D43" i="8"/>
  <c r="D75" i="9"/>
  <c r="B69" i="9"/>
  <c r="D59" i="9"/>
  <c r="B53" i="9"/>
  <c r="D43" i="9"/>
  <c r="B12" i="9"/>
  <c r="C51" i="5"/>
  <c r="A53" i="5"/>
  <c r="B52" i="5"/>
  <c r="E41" i="5"/>
  <c r="B82" i="5"/>
  <c r="B44" i="5"/>
  <c r="A83" i="5"/>
  <c r="A75" i="5"/>
  <c r="A66" i="5"/>
  <c r="F44" i="5"/>
  <c r="I12" i="5"/>
  <c r="B45" i="5"/>
  <c r="I41" i="5"/>
  <c r="G43" i="5"/>
  <c r="F41" i="5"/>
  <c r="B53" i="5"/>
  <c r="C84" i="5"/>
  <c r="C67" i="6"/>
  <c r="C66" i="6"/>
  <c r="C65" i="6"/>
  <c r="C64" i="6"/>
  <c r="B67" i="6"/>
  <c r="B65" i="6"/>
  <c r="B64" i="6"/>
  <c r="B49" i="5"/>
  <c r="D64" i="6"/>
  <c r="C52" i="5"/>
  <c r="H12" i="5"/>
  <c r="G44" i="5"/>
  <c r="E44" i="5"/>
  <c r="C53" i="5"/>
  <c r="G44" i="4"/>
  <c r="E43" i="5"/>
  <c r="B46" i="5"/>
  <c r="C58" i="5"/>
  <c r="B72" i="5"/>
  <c r="I45" i="6"/>
  <c r="D52" i="6"/>
  <c r="G45" i="6"/>
  <c r="H44" i="5"/>
  <c r="D47" i="6"/>
  <c r="E45" i="4"/>
  <c r="D63" i="5"/>
  <c r="D65" i="4"/>
  <c r="B51" i="4"/>
  <c r="D40" i="5"/>
  <c r="D41" i="4"/>
  <c r="D77" i="5"/>
  <c r="D80" i="4"/>
  <c r="D62" i="5"/>
  <c r="D64" i="4"/>
  <c r="D55" i="5"/>
  <c r="D56" i="4"/>
  <c r="F44" i="6"/>
  <c r="C87" i="4"/>
  <c r="I44" i="4"/>
  <c r="A83" i="4"/>
  <c r="A51" i="4"/>
  <c r="A84" i="4"/>
  <c r="D70" i="5"/>
  <c r="D73" i="4"/>
  <c r="A63" i="6"/>
  <c r="A68" i="4"/>
  <c r="B56" i="6"/>
  <c r="B59" i="4"/>
  <c r="B42" i="5"/>
  <c r="D69" i="5"/>
  <c r="D72" i="4"/>
  <c r="C61" i="6"/>
  <c r="C65" i="4"/>
  <c r="C48" i="5"/>
  <c r="C49" i="4"/>
  <c r="D47" i="5"/>
  <c r="D48" i="4"/>
  <c r="D39" i="5"/>
  <c r="D40" i="4"/>
  <c r="B64" i="5"/>
  <c r="B50" i="5"/>
  <c r="B78" i="5"/>
  <c r="B81" i="4"/>
  <c r="B70" i="5"/>
  <c r="B73" i="4"/>
  <c r="C60" i="6"/>
  <c r="C64" i="4"/>
  <c r="D61" i="5"/>
  <c r="D63" i="4"/>
  <c r="H45" i="6"/>
  <c r="E44" i="6"/>
  <c r="B87" i="4"/>
  <c r="H44" i="4"/>
  <c r="D56" i="5"/>
  <c r="D57" i="4"/>
  <c r="C42" i="6"/>
  <c r="C42" i="4"/>
  <c r="A81" i="4"/>
  <c r="A41" i="4"/>
  <c r="C71" i="4"/>
  <c r="B58" i="5"/>
  <c r="B47" i="5"/>
  <c r="I43" i="5"/>
  <c r="D82" i="5"/>
  <c r="D85" i="4"/>
  <c r="A80" i="4"/>
  <c r="D74" i="5"/>
  <c r="D77" i="4"/>
  <c r="A72" i="4"/>
  <c r="A64" i="4"/>
  <c r="A56" i="4"/>
  <c r="D52" i="5"/>
  <c r="D53" i="4"/>
  <c r="A48" i="4"/>
  <c r="D44" i="5"/>
  <c r="D45" i="4"/>
  <c r="A40" i="4"/>
  <c r="F45" i="6"/>
  <c r="F44" i="4"/>
  <c r="D83" i="5"/>
  <c r="D86" i="4"/>
  <c r="C59" i="6"/>
  <c r="C63" i="4"/>
  <c r="A57" i="4"/>
  <c r="D53" i="5"/>
  <c r="D54" i="4"/>
  <c r="A81" i="5"/>
  <c r="A43" i="5"/>
  <c r="B80" i="5"/>
  <c r="B55" i="5"/>
  <c r="H43" i="5"/>
  <c r="D73" i="5"/>
  <c r="D76" i="4"/>
  <c r="D65" i="5"/>
  <c r="D68" i="4"/>
  <c r="D43" i="5"/>
  <c r="D44" i="4"/>
  <c r="D78" i="5"/>
  <c r="D81" i="4"/>
  <c r="A60" i="4"/>
  <c r="C50" i="6"/>
  <c r="C50" i="4"/>
  <c r="A65" i="5"/>
  <c r="A87" i="4"/>
  <c r="A73" i="4"/>
  <c r="A49" i="4"/>
  <c r="A75" i="4"/>
  <c r="A43" i="4"/>
  <c r="B79" i="5"/>
  <c r="A86" i="4"/>
  <c r="A78" i="4"/>
  <c r="D72" i="5"/>
  <c r="D75" i="4"/>
  <c r="A67" i="5"/>
  <c r="A70" i="4"/>
  <c r="D64" i="5"/>
  <c r="D67" i="4"/>
  <c r="A62" i="4"/>
  <c r="D58" i="5"/>
  <c r="D59" i="4"/>
  <c r="A54" i="4"/>
  <c r="A46" i="4"/>
  <c r="C43" i="5"/>
  <c r="C44" i="4"/>
  <c r="D42" i="5"/>
  <c r="D43" i="4"/>
  <c r="A66" i="6"/>
  <c r="A76" i="4"/>
  <c r="C55" i="6"/>
  <c r="C58" i="4"/>
  <c r="A52" i="4"/>
  <c r="D48" i="5"/>
  <c r="D49" i="4"/>
  <c r="A44" i="6"/>
  <c r="A44" i="4"/>
  <c r="A65" i="4"/>
  <c r="D79" i="5"/>
  <c r="D82" i="4"/>
  <c r="D71" i="5"/>
  <c r="D74" i="4"/>
  <c r="D66" i="4"/>
  <c r="D57" i="5"/>
  <c r="D58" i="4"/>
  <c r="D49" i="5"/>
  <c r="D50" i="4"/>
  <c r="D41" i="5"/>
  <c r="D42" i="4"/>
  <c r="D59" i="6"/>
  <c r="A60" i="6"/>
  <c r="A59" i="4"/>
  <c r="A62" i="6"/>
  <c r="B55" i="6"/>
  <c r="B63" i="5"/>
  <c r="B61" i="6"/>
  <c r="A64" i="5"/>
  <c r="B60" i="6"/>
  <c r="B53" i="6"/>
  <c r="C52" i="6"/>
  <c r="B48" i="6"/>
  <c r="C47" i="6"/>
  <c r="B40" i="6"/>
  <c r="D63" i="6"/>
  <c r="D60" i="6"/>
  <c r="D53" i="6"/>
  <c r="D48" i="6"/>
  <c r="D44" i="6"/>
  <c r="D40" i="6"/>
  <c r="A65" i="6"/>
  <c r="A54" i="6"/>
  <c r="C53" i="6"/>
  <c r="B48" i="5"/>
  <c r="B49" i="6"/>
  <c r="A42" i="6"/>
  <c r="B71" i="5"/>
  <c r="B59" i="6"/>
  <c r="C58" i="6"/>
  <c r="B52" i="6"/>
  <c r="B47" i="6"/>
  <c r="C46" i="6"/>
  <c r="A53" i="6"/>
  <c r="B50" i="6"/>
  <c r="A55" i="6"/>
  <c r="A50" i="6"/>
  <c r="A64" i="6"/>
  <c r="A59" i="6"/>
  <c r="B58" i="6"/>
  <c r="C57" i="6"/>
  <c r="A52" i="6"/>
  <c r="C51" i="6"/>
  <c r="A47" i="6"/>
  <c r="B46" i="6"/>
  <c r="C45" i="6"/>
  <c r="D61" i="6"/>
  <c r="D57" i="6"/>
  <c r="D54" i="6"/>
  <c r="D51" i="6"/>
  <c r="D49" i="6"/>
  <c r="D45" i="6"/>
  <c r="D41" i="6"/>
  <c r="C41" i="6"/>
  <c r="A50" i="5"/>
  <c r="B56" i="5"/>
  <c r="B54" i="6"/>
  <c r="E12" i="5"/>
  <c r="A58" i="5"/>
  <c r="C63" i="6"/>
  <c r="B57" i="6"/>
  <c r="B51" i="6"/>
  <c r="B45" i="6"/>
  <c r="C44" i="6"/>
  <c r="G12" i="6"/>
  <c r="A49" i="6"/>
  <c r="C54" i="6"/>
  <c r="C49" i="6"/>
  <c r="B42" i="6"/>
  <c r="B57" i="5"/>
  <c r="B41" i="6"/>
  <c r="C56" i="5"/>
  <c r="C40" i="5"/>
  <c r="A67" i="6"/>
  <c r="B63" i="6"/>
  <c r="C62" i="6"/>
  <c r="A57" i="6"/>
  <c r="C56" i="6"/>
  <c r="A51" i="6"/>
  <c r="A45" i="6"/>
  <c r="B44" i="6"/>
  <c r="C43" i="6"/>
  <c r="D58" i="6"/>
  <c r="D55" i="6"/>
  <c r="D50" i="6"/>
  <c r="D46" i="6"/>
  <c r="D42" i="6"/>
  <c r="F12" i="6"/>
  <c r="A68" i="6"/>
  <c r="A48" i="6"/>
  <c r="C48" i="6"/>
  <c r="C40" i="6"/>
  <c r="A72" i="5"/>
  <c r="A42" i="5"/>
  <c r="B41" i="5"/>
  <c r="B62" i="6"/>
  <c r="B43" i="6"/>
  <c r="A61" i="6"/>
  <c r="A46" i="6"/>
  <c r="A57" i="5"/>
  <c r="A56" i="5"/>
  <c r="A55" i="5"/>
  <c r="B77" i="5"/>
  <c r="B68" i="5"/>
  <c r="A70" i="5"/>
  <c r="A60" i="5"/>
  <c r="B76" i="5"/>
  <c r="B67" i="5"/>
  <c r="B59" i="5"/>
  <c r="C46" i="5"/>
  <c r="D80" i="5"/>
  <c r="C81" i="5"/>
  <c r="A63" i="5"/>
  <c r="B61" i="5"/>
  <c r="B60" i="5"/>
  <c r="A69" i="5"/>
  <c r="A40" i="5"/>
  <c r="B75" i="5"/>
  <c r="B66" i="5"/>
  <c r="C45" i="5"/>
  <c r="D59" i="5"/>
  <c r="C71" i="5"/>
  <c r="B62" i="5"/>
  <c r="B69" i="5"/>
  <c r="A62" i="5"/>
  <c r="A78" i="5"/>
  <c r="A39" i="5"/>
  <c r="B83" i="5"/>
  <c r="B74" i="5"/>
  <c r="B39" i="5"/>
  <c r="C54" i="5"/>
  <c r="C44" i="5"/>
  <c r="D50" i="5"/>
  <c r="C59" i="5"/>
  <c r="A49" i="5"/>
  <c r="C55" i="5"/>
  <c r="C78" i="5"/>
  <c r="C70" i="5"/>
  <c r="C63" i="5"/>
  <c r="D81" i="5"/>
  <c r="D60" i="5"/>
  <c r="D51" i="5"/>
  <c r="C82" i="5"/>
  <c r="C72" i="5"/>
  <c r="C60" i="5"/>
  <c r="C76" i="5"/>
  <c r="C68" i="5"/>
  <c r="C61" i="5"/>
  <c r="D67" i="5"/>
  <c r="C80" i="5"/>
  <c r="C69" i="5"/>
  <c r="C62" i="5"/>
  <c r="A71" i="5"/>
  <c r="D76" i="5"/>
  <c r="D66" i="5"/>
  <c r="D46" i="5"/>
  <c r="C79" i="5"/>
  <c r="C67" i="5"/>
  <c r="A79" i="5"/>
  <c r="D84" i="5"/>
  <c r="D75" i="5"/>
  <c r="D45" i="5"/>
  <c r="C77" i="5"/>
  <c r="C66" i="5"/>
  <c r="B40" i="5"/>
  <c r="D54" i="5"/>
  <c r="C75" i="5"/>
  <c r="C65" i="5"/>
  <c r="D68" i="5"/>
  <c r="C39" i="5"/>
  <c r="C74" i="5"/>
  <c r="C64" i="5"/>
  <c r="A41" i="5"/>
  <c r="C47" i="5"/>
  <c r="C57" i="5"/>
  <c r="C49" i="5"/>
  <c r="C41" i="5"/>
  <c r="C83" i="5"/>
  <c r="C73" i="5"/>
  <c r="A162" i="5"/>
  <c r="A154" i="5"/>
  <c r="A146" i="5"/>
  <c r="A138" i="5"/>
  <c r="A130" i="5"/>
  <c r="A122" i="5"/>
  <c r="A114" i="5"/>
  <c r="A106" i="5"/>
  <c r="A98" i="5"/>
  <c r="A90" i="5"/>
  <c r="A76" i="5"/>
  <c r="A68" i="5"/>
  <c r="A61" i="5"/>
  <c r="A54" i="5"/>
  <c r="A46" i="5"/>
  <c r="A165" i="5"/>
  <c r="A157" i="5"/>
  <c r="A149" i="5"/>
  <c r="A141" i="5"/>
  <c r="A133" i="5"/>
  <c r="A125" i="5"/>
  <c r="A117" i="5"/>
  <c r="A109" i="5"/>
  <c r="A101" i="5"/>
  <c r="A93" i="5"/>
  <c r="I12" i="2"/>
  <c r="E14" i="2"/>
  <c r="F14" i="2"/>
  <c r="G14" i="2"/>
  <c r="H14" i="2"/>
  <c r="I14" i="2"/>
  <c r="E15" i="2"/>
  <c r="F15" i="2"/>
  <c r="G15" i="2"/>
  <c r="H15" i="2"/>
  <c r="I15" i="2"/>
  <c r="E18" i="2"/>
  <c r="F18" i="2"/>
  <c r="G18" i="2"/>
  <c r="H18" i="2"/>
  <c r="I18" i="2"/>
  <c r="E19" i="2"/>
  <c r="F19" i="2"/>
  <c r="G19" i="2"/>
  <c r="H19" i="2"/>
  <c r="I19" i="2"/>
  <c r="E24" i="2"/>
  <c r="F24" i="2"/>
  <c r="G24" i="2"/>
  <c r="H24" i="2"/>
  <c r="I24" i="2"/>
  <c r="E26" i="2"/>
  <c r="F26" i="2"/>
  <c r="G26" i="2"/>
  <c r="H26" i="2"/>
  <c r="I26" i="2"/>
  <c r="E28" i="2"/>
  <c r="F28" i="2"/>
  <c r="G28" i="2"/>
  <c r="H28" i="2"/>
  <c r="I28" i="2"/>
  <c r="B4" i="1"/>
  <c r="C4" i="1"/>
  <c r="C4" i="6" s="1"/>
  <c r="D4" i="1"/>
  <c r="D4" i="6" s="1"/>
  <c r="E4" i="1"/>
  <c r="E4" i="2" s="1"/>
  <c r="F4" i="1"/>
  <c r="F4" i="2" s="1"/>
  <c r="G4" i="1"/>
  <c r="G4" i="2" s="1"/>
  <c r="H4" i="1"/>
  <c r="H4" i="2" s="1"/>
  <c r="I4" i="1"/>
  <c r="I4" i="2" s="1"/>
  <c r="B5" i="1"/>
  <c r="B5" i="6" s="1"/>
  <c r="C5" i="1"/>
  <c r="C5" i="6" s="1"/>
  <c r="D5" i="1"/>
  <c r="D5" i="6" s="1"/>
  <c r="E5" i="1"/>
  <c r="E5" i="2" s="1"/>
  <c r="F5" i="1"/>
  <c r="F5" i="2" s="1"/>
  <c r="G5" i="1"/>
  <c r="G5" i="2" s="1"/>
  <c r="H5" i="1"/>
  <c r="H5" i="2" s="1"/>
  <c r="I5" i="1"/>
  <c r="I5" i="2" s="1"/>
  <c r="B6" i="1"/>
  <c r="C6" i="1"/>
  <c r="D6" i="1"/>
  <c r="E6" i="1"/>
  <c r="E6" i="2" s="1"/>
  <c r="F6" i="1"/>
  <c r="F6" i="2" s="1"/>
  <c r="G6" i="1"/>
  <c r="G6" i="2" s="1"/>
  <c r="H6" i="1"/>
  <c r="H6" i="2" s="1"/>
  <c r="I6" i="1"/>
  <c r="I6" i="2" s="1"/>
  <c r="B7" i="1"/>
  <c r="C7" i="1"/>
  <c r="D7" i="1"/>
  <c r="E7" i="1"/>
  <c r="E7" i="2" s="1"/>
  <c r="F7" i="1"/>
  <c r="F7" i="2" s="1"/>
  <c r="G7" i="1"/>
  <c r="G7" i="2" s="1"/>
  <c r="H7" i="1"/>
  <c r="H7" i="2" s="1"/>
  <c r="I7" i="1"/>
  <c r="I7" i="2" s="1"/>
  <c r="B8" i="1"/>
  <c r="C8" i="1"/>
  <c r="D8" i="1"/>
  <c r="E8" i="1"/>
  <c r="E8" i="2" s="1"/>
  <c r="F8" i="1"/>
  <c r="F8" i="2" s="1"/>
  <c r="G8" i="1"/>
  <c r="G8" i="2" s="1"/>
  <c r="H8" i="1"/>
  <c r="H8" i="2" s="1"/>
  <c r="I8" i="1"/>
  <c r="I8" i="2" s="1"/>
  <c r="B9" i="1"/>
  <c r="C9" i="1"/>
  <c r="D9" i="1"/>
  <c r="E9" i="1"/>
  <c r="E9" i="2" s="1"/>
  <c r="F9" i="1"/>
  <c r="F9" i="2" s="1"/>
  <c r="G9" i="1"/>
  <c r="H9" i="1"/>
  <c r="H9" i="2" s="1"/>
  <c r="I9" i="1"/>
  <c r="I9" i="2" s="1"/>
  <c r="B10" i="1"/>
  <c r="C10" i="1"/>
  <c r="D10" i="1"/>
  <c r="E10" i="1"/>
  <c r="E10" i="2" s="1"/>
  <c r="F10" i="1"/>
  <c r="G10" i="1"/>
  <c r="G10" i="2" s="1"/>
  <c r="H10" i="1"/>
  <c r="H10" i="2" s="1"/>
  <c r="I10" i="1"/>
  <c r="I10" i="2" s="1"/>
  <c r="E11" i="5"/>
  <c r="F11" i="5"/>
  <c r="G11" i="5"/>
  <c r="H11" i="5"/>
  <c r="I11" i="5"/>
  <c r="E12" i="2"/>
  <c r="G12" i="2"/>
  <c r="H12" i="2"/>
  <c r="E13" i="2"/>
  <c r="F13" i="2"/>
  <c r="G13" i="2"/>
  <c r="H13" i="2"/>
  <c r="I13" i="2"/>
  <c r="B15" i="1"/>
  <c r="C15" i="1"/>
  <c r="D15" i="1"/>
  <c r="E15" i="1"/>
  <c r="F15" i="1"/>
  <c r="G15" i="1"/>
  <c r="H15" i="1"/>
  <c r="I15" i="1"/>
  <c r="B16" i="1"/>
  <c r="C16" i="1"/>
  <c r="D16" i="1"/>
  <c r="E16" i="1"/>
  <c r="E16" i="2" s="1"/>
  <c r="F16" i="1"/>
  <c r="F16" i="2" s="1"/>
  <c r="G16" i="1"/>
  <c r="G16" i="2" s="1"/>
  <c r="H16" i="1"/>
  <c r="H16" i="2" s="1"/>
  <c r="I16" i="1"/>
  <c r="I16" i="2" s="1"/>
  <c r="B17" i="1"/>
  <c r="C17" i="1"/>
  <c r="D17" i="1"/>
  <c r="E17" i="1"/>
  <c r="E17" i="2" s="1"/>
  <c r="F17" i="1"/>
  <c r="G17" i="1"/>
  <c r="G17" i="2" s="1"/>
  <c r="H17" i="1"/>
  <c r="H17" i="2" s="1"/>
  <c r="I17" i="1"/>
  <c r="I17" i="2" s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E20" i="2" s="1"/>
  <c r="F20" i="1"/>
  <c r="F20" i="2" s="1"/>
  <c r="G20" i="1"/>
  <c r="G20" i="2" s="1"/>
  <c r="H20" i="1"/>
  <c r="H20" i="2" s="1"/>
  <c r="I20" i="1"/>
  <c r="I20" i="2" s="1"/>
  <c r="B21" i="1"/>
  <c r="C21" i="1"/>
  <c r="D21" i="1"/>
  <c r="E21" i="1"/>
  <c r="F21" i="1"/>
  <c r="G21" i="1"/>
  <c r="H21" i="1"/>
  <c r="I21" i="1"/>
  <c r="B22" i="1"/>
  <c r="C22" i="1"/>
  <c r="D22" i="1"/>
  <c r="E22" i="1"/>
  <c r="E22" i="4" s="1"/>
  <c r="F22" i="1"/>
  <c r="F22" i="4" s="1"/>
  <c r="G22" i="1"/>
  <c r="G22" i="4" s="1"/>
  <c r="H22" i="1"/>
  <c r="H22" i="4" s="1"/>
  <c r="I22" i="1"/>
  <c r="I22" i="4" s="1"/>
  <c r="B23" i="1"/>
  <c r="C23" i="1"/>
  <c r="D23" i="1"/>
  <c r="E23" i="1"/>
  <c r="E23" i="2" s="1"/>
  <c r="F23" i="1"/>
  <c r="F23" i="2" s="1"/>
  <c r="G23" i="1"/>
  <c r="G23" i="2" s="1"/>
  <c r="H23" i="1"/>
  <c r="H23" i="2" s="1"/>
  <c r="I23" i="1"/>
  <c r="I23" i="2" s="1"/>
  <c r="B24" i="1"/>
  <c r="C24" i="1"/>
  <c r="D24" i="1"/>
  <c r="E24" i="1"/>
  <c r="E25" i="2" s="1"/>
  <c r="F24" i="1"/>
  <c r="F25" i="2" s="1"/>
  <c r="G24" i="1"/>
  <c r="H24" i="1"/>
  <c r="I24" i="1"/>
  <c r="I25" i="2" s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G27" i="2" s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E29" i="2" s="1"/>
  <c r="F28" i="1"/>
  <c r="F29" i="2" s="1"/>
  <c r="G28" i="1"/>
  <c r="G29" i="2" s="1"/>
  <c r="H28" i="1"/>
  <c r="H29" i="2" s="1"/>
  <c r="I28" i="1"/>
  <c r="I29" i="2" s="1"/>
  <c r="B29" i="1"/>
  <c r="C29" i="1"/>
  <c r="D29" i="1"/>
  <c r="E29" i="1"/>
  <c r="E30" i="2" s="1"/>
  <c r="F29" i="1"/>
  <c r="F30" i="2" s="1"/>
  <c r="G29" i="1"/>
  <c r="G30" i="2" s="1"/>
  <c r="H29" i="1"/>
  <c r="H30" i="2" s="1"/>
  <c r="I29" i="1"/>
  <c r="I30" i="2" s="1"/>
  <c r="B30" i="1"/>
  <c r="C30" i="1"/>
  <c r="D30" i="1"/>
  <c r="E30" i="1"/>
  <c r="E31" i="2" s="1"/>
  <c r="F30" i="1"/>
  <c r="F31" i="2" s="1"/>
  <c r="G30" i="1"/>
  <c r="G31" i="2" s="1"/>
  <c r="H30" i="1"/>
  <c r="H31" i="2" s="1"/>
  <c r="I30" i="1"/>
  <c r="I31" i="2" s="1"/>
  <c r="B31" i="1"/>
  <c r="C31" i="1"/>
  <c r="D31" i="1"/>
  <c r="E31" i="1"/>
  <c r="E32" i="2" s="1"/>
  <c r="F31" i="1"/>
  <c r="F32" i="2" s="1"/>
  <c r="G31" i="1"/>
  <c r="G32" i="2" s="1"/>
  <c r="H31" i="1"/>
  <c r="H32" i="2" s="1"/>
  <c r="I31" i="1"/>
  <c r="I32" i="2" s="1"/>
  <c r="B32" i="1"/>
  <c r="C32" i="1"/>
  <c r="D32" i="1"/>
  <c r="E32" i="1"/>
  <c r="F32" i="1"/>
  <c r="G32" i="1"/>
  <c r="H32" i="1"/>
  <c r="I32" i="1"/>
  <c r="I33" i="2" s="1"/>
  <c r="B33" i="1"/>
  <c r="C33" i="1"/>
  <c r="D33" i="1"/>
  <c r="E33" i="1"/>
  <c r="F33" i="1"/>
  <c r="F34" i="2" s="1"/>
  <c r="G33" i="1"/>
  <c r="H33" i="1"/>
  <c r="I33" i="1"/>
  <c r="I34" i="2" s="1"/>
  <c r="B34" i="1"/>
  <c r="B35" i="2" s="1"/>
  <c r="C34" i="1"/>
  <c r="C35" i="2" s="1"/>
  <c r="D34" i="1"/>
  <c r="D35" i="2" s="1"/>
  <c r="E34" i="1"/>
  <c r="F34" i="1"/>
  <c r="G34" i="1"/>
  <c r="H34" i="1"/>
  <c r="I34" i="1"/>
  <c r="B35" i="1"/>
  <c r="B36" i="2" s="1"/>
  <c r="C35" i="1"/>
  <c r="C36" i="2" s="1"/>
  <c r="D35" i="1"/>
  <c r="D36" i="2" s="1"/>
  <c r="E35" i="1"/>
  <c r="E36" i="2" s="1"/>
  <c r="F35" i="1"/>
  <c r="F36" i="2" s="1"/>
  <c r="G35" i="1"/>
  <c r="G36" i="2" s="1"/>
  <c r="H35" i="1"/>
  <c r="H36" i="2" s="1"/>
  <c r="I35" i="1"/>
  <c r="I36" i="2" s="1"/>
  <c r="B36" i="1"/>
  <c r="B37" i="2" s="1"/>
  <c r="C36" i="1"/>
  <c r="C37" i="2" s="1"/>
  <c r="D36" i="1"/>
  <c r="D37" i="2" s="1"/>
  <c r="E36" i="1"/>
  <c r="F36" i="1"/>
  <c r="G36" i="1"/>
  <c r="B37" i="1"/>
  <c r="B38" i="2" s="1"/>
  <c r="C37" i="1"/>
  <c r="C38" i="2" s="1"/>
  <c r="D37" i="1"/>
  <c r="D38" i="2" s="1"/>
  <c r="E37" i="1"/>
  <c r="F37" i="1"/>
  <c r="G37" i="1"/>
  <c r="B38" i="1"/>
  <c r="B39" i="2" s="1"/>
  <c r="C38" i="1"/>
  <c r="C39" i="2" s="1"/>
  <c r="D38" i="1"/>
  <c r="D39" i="2" s="1"/>
  <c r="E38" i="1"/>
  <c r="F38" i="1"/>
  <c r="G38" i="1"/>
  <c r="H38" i="1"/>
  <c r="I38" i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 s="1"/>
  <c r="AN6" i="6" a="1"/>
  <c r="AN6" i="6" s="1"/>
  <c r="AN7" i="6" a="1"/>
  <c r="AN7" i="6" s="1"/>
  <c r="AN8" i="6" a="1"/>
  <c r="AN8" i="6" s="1"/>
  <c r="AN9" i="6" a="1"/>
  <c r="AN9" i="6" s="1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5" i="6" a="1"/>
  <c r="AN15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 s="1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 s="1"/>
  <c r="AN38" i="6" a="1"/>
  <c r="AN38" i="6" s="1"/>
  <c r="AN39" i="6" a="1"/>
  <c r="AN39" i="6" s="1"/>
  <c r="AN40" i="6" a="1"/>
  <c r="AN40" i="6" s="1"/>
  <c r="AN41" i="6" a="1"/>
  <c r="AN41" i="6" s="1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W12" i="6" a="1"/>
  <c r="W12" i="6" s="1"/>
  <c r="W13" i="6" a="1"/>
  <c r="W13" i="6" s="1"/>
  <c r="W14" i="6" a="1"/>
  <c r="W14" i="6" s="1"/>
  <c r="W15" i="6" a="1"/>
  <c r="W15" i="6" s="1"/>
  <c r="W16" i="6" a="1"/>
  <c r="W16" i="6" s="1"/>
  <c r="W17" i="6" a="1"/>
  <c r="W17" i="6" s="1"/>
  <c r="W18" i="6" a="1"/>
  <c r="W18" i="6" s="1"/>
  <c r="W19" i="6" a="1"/>
  <c r="W19" i="6" s="1"/>
  <c r="W20" i="6" a="1"/>
  <c r="W20" i="6" s="1"/>
  <c r="W21" i="6" a="1"/>
  <c r="W21" i="6" s="1"/>
  <c r="W22" i="6" a="1"/>
  <c r="W22" i="6" s="1"/>
  <c r="W23" i="6" a="1"/>
  <c r="W23" i="6" s="1"/>
  <c r="W24" i="6" a="1"/>
  <c r="W24" i="6" s="1"/>
  <c r="W25" i="6" a="1"/>
  <c r="W25" i="6" s="1"/>
  <c r="W26" i="6" a="1"/>
  <c r="W26" i="6" s="1"/>
  <c r="W27" i="6" a="1"/>
  <c r="W27" i="6" s="1"/>
  <c r="W28" i="6" a="1"/>
  <c r="W28" i="6" s="1"/>
  <c r="W29" i="6" a="1"/>
  <c r="W29" i="6" s="1"/>
  <c r="W30" i="6" a="1"/>
  <c r="W30" i="6" s="1"/>
  <c r="W31" i="6" a="1"/>
  <c r="W31" i="6" s="1"/>
  <c r="W32" i="6" a="1"/>
  <c r="W32" i="6" s="1"/>
  <c r="W33" i="6" a="1"/>
  <c r="W33" i="6" s="1"/>
  <c r="W34" i="6" a="1"/>
  <c r="W34" i="6" s="1"/>
  <c r="W35" i="6" a="1"/>
  <c r="W35" i="6" s="1"/>
  <c r="W36" i="6" a="1"/>
  <c r="W36" i="6" s="1"/>
  <c r="W37" i="6" a="1"/>
  <c r="W37" i="6" s="1"/>
  <c r="W38" i="6" a="1"/>
  <c r="W38" i="6" s="1"/>
  <c r="W39" i="6" a="1"/>
  <c r="W39" i="6" s="1"/>
  <c r="W40" i="6" a="1"/>
  <c r="W40" i="6" s="1"/>
  <c r="W41" i="6" a="1"/>
  <c r="W41" i="6" s="1"/>
  <c r="W42" i="6" a="1"/>
  <c r="W42" i="6" s="1"/>
  <c r="W43" i="6" a="1"/>
  <c r="W43" i="6" s="1"/>
  <c r="W45" i="6" a="1"/>
  <c r="W45" i="6" s="1"/>
  <c r="W46" i="6" a="1"/>
  <c r="W46" i="6" s="1"/>
  <c r="W47" i="6" a="1"/>
  <c r="W47" i="6" s="1"/>
  <c r="W48" i="6" a="1"/>
  <c r="W48" i="6" s="1"/>
  <c r="W49" i="6" a="1"/>
  <c r="W49" i="6" s="1"/>
  <c r="W50" i="6" a="1"/>
  <c r="W50" i="6" s="1"/>
  <c r="W51" i="6" a="1"/>
  <c r="W51" i="6" s="1"/>
  <c r="W52" i="6" a="1"/>
  <c r="W52" i="6" s="1"/>
  <c r="W53" i="6" a="1"/>
  <c r="W53" i="6" s="1"/>
  <c r="W54" i="6" a="1"/>
  <c r="W54" i="6" s="1"/>
  <c r="W55" i="6" a="1"/>
  <c r="W55" i="6" s="1"/>
  <c r="W56" i="6" a="1"/>
  <c r="W56" i="6" s="1"/>
  <c r="W57" i="6" a="1"/>
  <c r="W57" i="6" s="1"/>
  <c r="W58" i="6" a="1"/>
  <c r="W58" i="6" s="1"/>
  <c r="W59" i="6" a="1"/>
  <c r="W59" i="6" s="1"/>
  <c r="W60" i="6" a="1"/>
  <c r="W60" i="6" s="1"/>
  <c r="W61" i="6" a="1"/>
  <c r="W61" i="6" s="1"/>
  <c r="W62" i="6" a="1"/>
  <c r="W62" i="6" s="1"/>
  <c r="W63" i="6" a="1"/>
  <c r="W63" i="6" s="1"/>
  <c r="W64" i="6" a="1"/>
  <c r="W64" i="6" s="1"/>
  <c r="W65" i="6" a="1"/>
  <c r="W65" i="6" s="1"/>
  <c r="W66" i="6" a="1"/>
  <c r="W66" i="6" s="1"/>
  <c r="W67" i="6" a="1"/>
  <c r="W67" i="6" s="1"/>
  <c r="W68" i="6" a="1"/>
  <c r="W68" i="6" s="1"/>
  <c r="W69" i="6" a="1"/>
  <c r="W69" i="6" s="1"/>
  <c r="W70" i="6" a="1"/>
  <c r="W70" i="6" s="1"/>
  <c r="W71" i="6" a="1"/>
  <c r="W71" i="6" s="1"/>
  <c r="W72" i="6" a="1"/>
  <c r="W72" i="6" s="1"/>
  <c r="W73" i="6" a="1"/>
  <c r="W73" i="6" s="1"/>
  <c r="W74" i="6" a="1"/>
  <c r="W74" i="6" s="1"/>
  <c r="W75" i="6" a="1"/>
  <c r="W75" i="6" s="1"/>
  <c r="W76" i="6" a="1"/>
  <c r="W76" i="6" s="1"/>
  <c r="W77" i="6" a="1"/>
  <c r="W77" i="6" s="1"/>
  <c r="W78" i="6" a="1"/>
  <c r="W78" i="6" s="1"/>
  <c r="W79" i="6" a="1"/>
  <c r="W79" i="6" s="1"/>
  <c r="W80" i="6" a="1"/>
  <c r="W80" i="6" s="1"/>
  <c r="W81" i="6" a="1"/>
  <c r="W81" i="6" s="1"/>
  <c r="W82" i="6" a="1"/>
  <c r="W82" i="6" s="1"/>
  <c r="W83" i="6" a="1"/>
  <c r="W83" i="6" s="1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 s="1"/>
  <c r="W90" i="6" a="1"/>
  <c r="W90" i="6" s="1"/>
  <c r="W91" i="6" a="1"/>
  <c r="W91" i="6" s="1"/>
  <c r="W92" i="6" a="1"/>
  <c r="W92" i="6" s="1"/>
  <c r="W93" i="6" a="1"/>
  <c r="W93" i="6" s="1"/>
  <c r="W94" i="6" a="1"/>
  <c r="W94" i="6" s="1"/>
  <c r="W95" i="6" a="1"/>
  <c r="W95" i="6" s="1"/>
  <c r="W96" i="6" a="1"/>
  <c r="W96" i="6" s="1"/>
  <c r="W97" i="6" a="1"/>
  <c r="W97" i="6" s="1"/>
  <c r="W98" i="6" a="1"/>
  <c r="W98" i="6" s="1"/>
  <c r="W99" i="6" a="1"/>
  <c r="W99" i="6" s="1"/>
  <c r="W100" i="6" a="1"/>
  <c r="W100" i="6" s="1"/>
  <c r="W101" i="6" a="1"/>
  <c r="W101" i="6" s="1"/>
  <c r="W102" i="6" a="1"/>
  <c r="W102" i="6" s="1"/>
  <c r="W103" i="6" a="1"/>
  <c r="W103" i="6" s="1"/>
  <c r="W104" i="6" a="1"/>
  <c r="W104" i="6" s="1"/>
  <c r="W105" i="6" a="1"/>
  <c r="W105" i="6" s="1"/>
  <c r="W106" i="6" a="1"/>
  <c r="W106" i="6" s="1"/>
  <c r="W107" i="6" a="1"/>
  <c r="W107" i="6" s="1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 s="1"/>
  <c r="W116" i="6" a="1"/>
  <c r="W116" i="6" s="1"/>
  <c r="W117" i="6" a="1"/>
  <c r="W117" i="6" s="1"/>
  <c r="W118" i="6" a="1"/>
  <c r="W118" i="6" s="1"/>
  <c r="W119" i="6" a="1"/>
  <c r="W119" i="6" s="1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 s="1"/>
  <c r="W128" i="6" a="1"/>
  <c r="W128" i="6" s="1"/>
  <c r="W129" i="6" a="1"/>
  <c r="W129" i="6" s="1"/>
  <c r="W130" i="6" a="1"/>
  <c r="W130" i="6" s="1"/>
  <c r="W131" i="6" a="1"/>
  <c r="W131" i="6" s="1"/>
  <c r="W132" i="6" a="1"/>
  <c r="W132" i="6" s="1"/>
  <c r="W133" i="6" a="1"/>
  <c r="W133" i="6" s="1"/>
  <c r="W134" i="6" a="1"/>
  <c r="W134" i="6" s="1"/>
  <c r="W135" i="6" a="1"/>
  <c r="W135" i="6" s="1"/>
  <c r="W136" i="6" a="1"/>
  <c r="W136" i="6" s="1"/>
  <c r="W137" i="6" a="1"/>
  <c r="W137" i="6" s="1"/>
  <c r="W138" i="6" a="1"/>
  <c r="W138" i="6" s="1"/>
  <c r="W139" i="6" a="1"/>
  <c r="W139" i="6" s="1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 s="1"/>
  <c r="W148" i="6" a="1"/>
  <c r="W148" i="6" s="1"/>
  <c r="W149" i="6" a="1"/>
  <c r="W149" i="6" s="1"/>
  <c r="W4" i="6" a="1"/>
  <c r="W4" i="6" s="1"/>
  <c r="W5" i="6" a="1"/>
  <c r="W5" i="6" s="1"/>
  <c r="W6" i="6" a="1"/>
  <c r="W6" i="6" s="1"/>
  <c r="W7" i="6" a="1"/>
  <c r="W7" i="6" s="1"/>
  <c r="W8" i="6" a="1"/>
  <c r="W8" i="6" s="1"/>
  <c r="W9" i="6" a="1"/>
  <c r="W9" i="6" s="1"/>
  <c r="W10" i="6" a="1"/>
  <c r="W10" i="6" s="1"/>
  <c r="W11" i="6" a="1"/>
  <c r="W11" i="6" s="1"/>
  <c r="AG4" i="5" a="1"/>
  <c r="AG4" i="5" s="1"/>
  <c r="AG5" i="5" a="1"/>
  <c r="AG5" i="5" s="1"/>
  <c r="AG6" i="5" a="1"/>
  <c r="AG6" i="5" s="1"/>
  <c r="AG7" i="5" a="1"/>
  <c r="AG7" i="5" s="1"/>
  <c r="AG8" i="5" a="1"/>
  <c r="AG8" i="5" s="1"/>
  <c r="AG9" i="5" a="1"/>
  <c r="AG9" i="5" s="1"/>
  <c r="AG10" i="5" a="1"/>
  <c r="AG10" i="5" s="1"/>
  <c r="AG11" i="5" a="1"/>
  <c r="AG11" i="5" s="1"/>
  <c r="AG12" i="5" a="1"/>
  <c r="AG12" i="5" s="1"/>
  <c r="AG13" i="5" a="1"/>
  <c r="AG13" i="5" s="1"/>
  <c r="AG14" i="5" a="1"/>
  <c r="AG14" i="5" s="1"/>
  <c r="AG15" i="5" a="1"/>
  <c r="AG15" i="5" s="1"/>
  <c r="AV3" i="4" a="1"/>
  <c r="AV3" i="4" s="1"/>
  <c r="E4" i="4"/>
  <c r="F4" i="4"/>
  <c r="G4" i="4"/>
  <c r="H4" i="4"/>
  <c r="I4" i="4"/>
  <c r="P3" i="2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U3" i="9" a="1"/>
  <c r="U3" i="9" s="1"/>
  <c r="U21" i="9" a="1"/>
  <c r="U21" i="9" s="1"/>
  <c r="U20" i="9" a="1"/>
  <c r="U20" i="9" s="1"/>
  <c r="U19" i="9" a="1"/>
  <c r="U19" i="9" s="1"/>
  <c r="U18" i="9" a="1"/>
  <c r="U18" i="9" s="1"/>
  <c r="U17" i="9" a="1"/>
  <c r="U17" i="9" s="1"/>
  <c r="U16" i="9" a="1"/>
  <c r="U16" i="9" s="1"/>
  <c r="U15" i="9" a="1"/>
  <c r="U15" i="9" s="1"/>
  <c r="U14" i="9" a="1"/>
  <c r="U14" i="9" s="1"/>
  <c r="U13" i="9" a="1"/>
  <c r="U13" i="9" s="1"/>
  <c r="U12" i="9" a="1"/>
  <c r="U12" i="9" s="1"/>
  <c r="U11" i="9" a="1"/>
  <c r="U11" i="9" s="1"/>
  <c r="U10" i="9" a="1"/>
  <c r="U10" i="9" s="1"/>
  <c r="U9" i="9" a="1"/>
  <c r="U9" i="9" s="1"/>
  <c r="U8" i="9" a="1"/>
  <c r="U8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 s="1"/>
  <c r="AN6" i="7" a="1"/>
  <c r="AN6" i="7" s="1"/>
  <c r="AN7" i="7" a="1"/>
  <c r="AN7" i="7" s="1"/>
  <c r="AN8" i="7" a="1"/>
  <c r="AN8" i="7" s="1"/>
  <c r="AN9" i="7" a="1"/>
  <c r="AN9" i="7" s="1"/>
  <c r="AN10" i="7" a="1"/>
  <c r="AN10" i="7" s="1"/>
  <c r="AN11" i="7" a="1"/>
  <c r="AN11" i="7" s="1"/>
  <c r="AN12" i="7" a="1"/>
  <c r="AN12" i="7" s="1"/>
  <c r="AN13" i="7" a="1"/>
  <c r="AN13" i="7" s="1"/>
  <c r="AN14" i="7" a="1"/>
  <c r="AN14" i="7" s="1"/>
  <c r="AN15" i="7" a="1"/>
  <c r="AN15" i="7" s="1"/>
  <c r="AN16" i="7" a="1"/>
  <c r="AN16" i="7" s="1"/>
  <c r="AN17" i="7" a="1"/>
  <c r="AN17" i="7" s="1"/>
  <c r="AN18" i="7" a="1"/>
  <c r="AN18" i="7" s="1"/>
  <c r="AN19" i="7" a="1"/>
  <c r="AN19" i="7" s="1"/>
  <c r="AN20" i="7" a="1"/>
  <c r="AN20" i="7" s="1"/>
  <c r="AN21" i="7" a="1"/>
  <c r="AN21" i="7" s="1"/>
  <c r="AN22" i="7" a="1"/>
  <c r="AN22" i="7" s="1"/>
  <c r="AN23" i="7" a="1"/>
  <c r="AN23" i="7" s="1"/>
  <c r="AN24" i="7" a="1"/>
  <c r="AN24" i="7" s="1"/>
  <c r="AN25" i="7" a="1"/>
  <c r="AN25" i="7" s="1"/>
  <c r="AN26" i="7" a="1"/>
  <c r="AN26" i="7" s="1"/>
  <c r="AN27" i="7" a="1"/>
  <c r="AN27" i="7" s="1"/>
  <c r="AN28" i="7" a="1"/>
  <c r="AN28" i="7" s="1"/>
  <c r="AN29" i="7" a="1"/>
  <c r="AN29" i="7" s="1"/>
  <c r="AN30" i="7" a="1"/>
  <c r="AN30" i="7" s="1"/>
  <c r="AN31" i="7" a="1"/>
  <c r="AN31" i="7" s="1"/>
  <c r="AN32" i="7" a="1"/>
  <c r="AN32" i="7" s="1"/>
  <c r="AN33" i="7" a="1"/>
  <c r="AN33" i="7" s="1"/>
  <c r="AN34" i="7" a="1"/>
  <c r="AN34" i="7" s="1"/>
  <c r="AN35" i="7" a="1"/>
  <c r="AN35" i="7" s="1"/>
  <c r="AN36" i="7" a="1"/>
  <c r="AN36" i="7" s="1"/>
  <c r="AN37" i="7" a="1"/>
  <c r="AN37" i="7" s="1"/>
  <c r="AN38" i="7" a="1"/>
  <c r="AN38" i="7" s="1"/>
  <c r="AN39" i="7" a="1"/>
  <c r="AN39" i="7" s="1"/>
  <c r="AN40" i="7" a="1"/>
  <c r="AN40" i="7" s="1"/>
  <c r="AN41" i="7" a="1"/>
  <c r="AN41" i="7" s="1"/>
  <c r="AN42" i="7" a="1"/>
  <c r="AN42" i="7" s="1"/>
  <c r="AN43" i="7" a="1"/>
  <c r="AN43" i="7" s="1"/>
  <c r="AN44" i="7" a="1"/>
  <c r="AN44" i="7" s="1"/>
  <c r="AN45" i="7" a="1"/>
  <c r="AN45" i="7" s="1"/>
  <c r="AN46" i="7" a="1"/>
  <c r="AN46" i="7" s="1"/>
  <c r="AN47" i="7" a="1"/>
  <c r="AN47" i="7" s="1"/>
  <c r="AN48" i="7" a="1"/>
  <c r="AN48" i="7" s="1"/>
  <c r="AN49" i="7" a="1"/>
  <c r="AN49" i="7" s="1"/>
  <c r="AN50" i="7" a="1"/>
  <c r="AN50" i="7" s="1"/>
  <c r="AN51" i="7" a="1"/>
  <c r="AN51" i="7" s="1"/>
  <c r="AN52" i="7" a="1"/>
  <c r="AN52" i="7" s="1"/>
  <c r="AN53" i="7" a="1"/>
  <c r="AN53" i="7" s="1"/>
  <c r="AN54" i="7" a="1"/>
  <c r="AN54" i="7" s="1"/>
  <c r="AN55" i="7" a="1"/>
  <c r="AN55" i="7" s="1"/>
  <c r="AN56" i="7" a="1"/>
  <c r="AN56" i="7" s="1"/>
  <c r="AN57" i="7" a="1"/>
  <c r="AN57" i="7" s="1"/>
  <c r="AN58" i="7" a="1"/>
  <c r="AN58" i="7" s="1"/>
  <c r="AN59" i="7" a="1"/>
  <c r="AN59" i="7" s="1"/>
  <c r="AN60" i="7" a="1"/>
  <c r="AN60" i="7" s="1"/>
  <c r="AN61" i="7" a="1"/>
  <c r="AN61" i="7" s="1"/>
  <c r="AN62" i="7" a="1"/>
  <c r="AN62" i="7" s="1"/>
  <c r="AN63" i="7" a="1"/>
  <c r="AN63" i="7" s="1"/>
  <c r="AN64" i="7" a="1"/>
  <c r="AN64" i="7" s="1"/>
  <c r="AN65" i="7" a="1"/>
  <c r="AN65" i="7" s="1"/>
  <c r="AN66" i="7" a="1"/>
  <c r="AN66" i="7" s="1"/>
  <c r="AN67" i="7" a="1"/>
  <c r="AN67" i="7" s="1"/>
  <c r="AN68" i="7" a="1"/>
  <c r="AN68" i="7" s="1"/>
  <c r="AN69" i="7" a="1"/>
  <c r="AN69" i="7" s="1"/>
  <c r="AN70" i="7" a="1"/>
  <c r="AN70" i="7" s="1"/>
  <c r="AN71" i="7" a="1"/>
  <c r="AN71" i="7" s="1"/>
  <c r="AN72" i="7" a="1"/>
  <c r="AN72" i="7" s="1"/>
  <c r="AN73" i="7" a="1"/>
  <c r="AN73" i="7" s="1"/>
  <c r="AN74" i="7" a="1"/>
  <c r="AN74" i="7" s="1"/>
  <c r="AN75" i="7" a="1"/>
  <c r="AN75" i="7" s="1"/>
  <c r="AN76" i="7" a="1"/>
  <c r="AN76" i="7" s="1"/>
  <c r="AN77" i="7" a="1"/>
  <c r="AN77" i="7" s="1"/>
  <c r="AN78" i="7" a="1"/>
  <c r="AN78" i="7" s="1"/>
  <c r="AN79" i="7" a="1"/>
  <c r="AN79" i="7" s="1"/>
  <c r="AN80" i="7" a="1"/>
  <c r="AN80" i="7" s="1"/>
  <c r="AN81" i="7" a="1"/>
  <c r="AN81" i="7" s="1"/>
  <c r="AN82" i="7" a="1"/>
  <c r="AN82" i="7" s="1"/>
  <c r="AN83" i="7" a="1"/>
  <c r="AN83" i="7" s="1"/>
  <c r="AN84" i="7" a="1"/>
  <c r="AN84" i="7" s="1"/>
  <c r="AN85" i="7" a="1"/>
  <c r="AN85" i="7" s="1"/>
  <c r="AN86" i="7" a="1"/>
  <c r="AN86" i="7" s="1"/>
  <c r="AN87" i="7" a="1"/>
  <c r="AN87" i="7" s="1"/>
  <c r="AN88" i="7" a="1"/>
  <c r="AN88" i="7" s="1"/>
  <c r="AN89" i="7" a="1"/>
  <c r="AN89" i="7" s="1"/>
  <c r="AN90" i="7" a="1"/>
  <c r="AN90" i="7" s="1"/>
  <c r="AN91" i="7" a="1"/>
  <c r="AN91" i="7" s="1"/>
  <c r="AN92" i="7" a="1"/>
  <c r="AN92" i="7" s="1"/>
  <c r="AN93" i="7" a="1"/>
  <c r="AN93" i="7" s="1"/>
  <c r="AN94" i="7" a="1"/>
  <c r="AN94" i="7" s="1"/>
  <c r="AN95" i="7" a="1"/>
  <c r="AN95" i="7" s="1"/>
  <c r="AN96" i="7" a="1"/>
  <c r="AN96" i="7" s="1"/>
  <c r="AN97" i="7" a="1"/>
  <c r="AN97" i="7" s="1"/>
  <c r="AN98" i="7" a="1"/>
  <c r="AN98" i="7" s="1"/>
  <c r="AN99" i="7" a="1"/>
  <c r="AN99" i="7" s="1"/>
  <c r="AN100" i="7" a="1"/>
  <c r="AN100" i="7" s="1"/>
  <c r="AN101" i="7" a="1"/>
  <c r="AN101" i="7" s="1"/>
  <c r="AN102" i="7" a="1"/>
  <c r="AN102" i="7" s="1"/>
  <c r="AN103" i="7" a="1"/>
  <c r="AN103" i="7" s="1"/>
  <c r="AN104" i="7" a="1"/>
  <c r="AN104" i="7" s="1"/>
  <c r="AN105" i="7" a="1"/>
  <c r="AN105" i="7" s="1"/>
  <c r="AN106" i="7" a="1"/>
  <c r="AN106" i="7" s="1"/>
  <c r="AN107" i="7" a="1"/>
  <c r="AN107" i="7" s="1"/>
  <c r="AN108" i="7" a="1"/>
  <c r="AN108" i="7" s="1"/>
  <c r="AN109" i="7" a="1"/>
  <c r="AN109" i="7" s="1"/>
  <c r="AN110" i="7" a="1"/>
  <c r="AN110" i="7" s="1"/>
  <c r="AN111" i="7" a="1"/>
  <c r="AN111" i="7" s="1"/>
  <c r="AN112" i="7" a="1"/>
  <c r="AN112" i="7" s="1"/>
  <c r="AN113" i="7" a="1"/>
  <c r="AN113" i="7" s="1"/>
  <c r="AN114" i="7" a="1"/>
  <c r="AN114" i="7" s="1"/>
  <c r="AN115" i="7" a="1"/>
  <c r="AN115" i="7" s="1"/>
  <c r="AN116" i="7" a="1"/>
  <c r="AN116" i="7" s="1"/>
  <c r="AN117" i="7" a="1"/>
  <c r="AN117" i="7" s="1"/>
  <c r="AN118" i="7" a="1"/>
  <c r="AN118" i="7" s="1"/>
  <c r="AN119" i="7" a="1"/>
  <c r="AN119" i="7" s="1"/>
  <c r="AN120" i="7" a="1"/>
  <c r="AN120" i="7" s="1"/>
  <c r="AN121" i="7" a="1"/>
  <c r="AN121" i="7" s="1"/>
  <c r="AN122" i="7" a="1"/>
  <c r="AN122" i="7" s="1"/>
  <c r="AN123" i="7" a="1"/>
  <c r="AN123" i="7" s="1"/>
  <c r="AN124" i="7" a="1"/>
  <c r="AN124" i="7" s="1"/>
  <c r="AN125" i="7" a="1"/>
  <c r="AN125" i="7" s="1"/>
  <c r="AN126" i="7" a="1"/>
  <c r="AN126" i="7" s="1"/>
  <c r="AN127" i="7" a="1"/>
  <c r="AN127" i="7" s="1"/>
  <c r="AN128" i="7" a="1"/>
  <c r="AN128" i="7" s="1"/>
  <c r="AN129" i="7" a="1"/>
  <c r="AN129" i="7" s="1"/>
  <c r="AN130" i="7" a="1"/>
  <c r="AN130" i="7" s="1"/>
  <c r="AN131" i="7" a="1"/>
  <c r="AN131" i="7" s="1"/>
  <c r="AN132" i="7" a="1"/>
  <c r="AN132" i="7" s="1"/>
  <c r="AN133" i="7" a="1"/>
  <c r="AN133" i="7" s="1"/>
  <c r="AN134" i="7" a="1"/>
  <c r="AN134" i="7" s="1"/>
  <c r="AN135" i="7" a="1"/>
  <c r="AN135" i="7" s="1"/>
  <c r="AN136" i="7" a="1"/>
  <c r="AN136" i="7" s="1"/>
  <c r="AN137" i="7" a="1"/>
  <c r="AN137" i="7" s="1"/>
  <c r="AN138" i="7" a="1"/>
  <c r="AN138" i="7" s="1"/>
  <c r="AN139" i="7" a="1"/>
  <c r="AN139" i="7" s="1"/>
  <c r="AN140" i="7" a="1"/>
  <c r="AN140" i="7" s="1"/>
  <c r="AN141" i="7" a="1"/>
  <c r="AN141" i="7" s="1"/>
  <c r="AN142" i="7" a="1"/>
  <c r="AN142" i="7" s="1"/>
  <c r="AN143" i="7" a="1"/>
  <c r="AN143" i="7" s="1"/>
  <c r="AN144" i="7" a="1"/>
  <c r="AN144" i="7" s="1"/>
  <c r="AN145" i="7" a="1"/>
  <c r="AN145" i="7" s="1"/>
  <c r="AN146" i="7" a="1"/>
  <c r="AN146" i="7" s="1"/>
  <c r="AN147" i="7" a="1"/>
  <c r="AN147" i="7" s="1"/>
  <c r="AN148" i="7" a="1"/>
  <c r="AN148" i="7" s="1"/>
  <c r="AN149" i="7" a="1"/>
  <c r="AN149" i="7" s="1"/>
  <c r="AN150" i="7" a="1"/>
  <c r="AN150" i="7" s="1"/>
  <c r="AN151" i="7" a="1"/>
  <c r="AN151" i="7" s="1"/>
  <c r="AN152" i="7" a="1"/>
  <c r="AN152" i="7" s="1"/>
  <c r="AN153" i="7" a="1"/>
  <c r="AN153" i="7" s="1"/>
  <c r="AN154" i="7" a="1"/>
  <c r="AN154" i="7" s="1"/>
  <c r="AN155" i="7" a="1"/>
  <c r="AN155" i="7" s="1"/>
  <c r="AN156" i="7" a="1"/>
  <c r="AN156" i="7" s="1"/>
  <c r="AN157" i="7" a="1"/>
  <c r="AN157" i="7" s="1"/>
  <c r="AN158" i="7" a="1"/>
  <c r="AN158" i="7" s="1"/>
  <c r="AN159" i="7" a="1"/>
  <c r="AN159" i="7" s="1"/>
  <c r="AN160" i="7" a="1"/>
  <c r="AN160" i="7" s="1"/>
  <c r="AN161" i="7" a="1"/>
  <c r="AN161" i="7" s="1"/>
  <c r="AN162" i="7" a="1"/>
  <c r="AN162" i="7" s="1"/>
  <c r="AN163" i="7" a="1"/>
  <c r="AN163" i="7" s="1"/>
  <c r="AN164" i="7" a="1"/>
  <c r="AN164" i="7" s="1"/>
  <c r="AN165" i="7" a="1"/>
  <c r="AN165" i="7" s="1"/>
  <c r="AN166" i="7" a="1"/>
  <c r="AN166" i="7" s="1"/>
  <c r="AN167" i="7" a="1"/>
  <c r="AN167" i="7" s="1"/>
  <c r="AN168" i="7" a="1"/>
  <c r="AN168" i="7" s="1"/>
  <c r="AN169" i="7" a="1"/>
  <c r="AN169" i="7" s="1"/>
  <c r="AN3" i="7" a="1"/>
  <c r="AN3" i="7" s="1"/>
  <c r="AN3" i="6" a="1"/>
  <c r="AN3" i="6" s="1"/>
  <c r="BD4" i="5" a="1"/>
  <c r="BD4" i="5" s="1"/>
  <c r="BD5" i="5" a="1"/>
  <c r="BD5" i="5" s="1"/>
  <c r="BD6" i="5" a="1"/>
  <c r="BD6" i="5" s="1"/>
  <c r="BD7" i="5" a="1"/>
  <c r="BD7" i="5" s="1"/>
  <c r="BD8" i="5" a="1"/>
  <c r="BD8" i="5" s="1"/>
  <c r="BD9" i="5" a="1"/>
  <c r="BD9" i="5" s="1"/>
  <c r="BD10" i="5" a="1"/>
  <c r="BD10" i="5" s="1"/>
  <c r="BD11" i="5" a="1"/>
  <c r="BD11" i="5" s="1"/>
  <c r="BD12" i="5" a="1"/>
  <c r="BD12" i="5" s="1"/>
  <c r="BD13" i="5" a="1"/>
  <c r="BD13" i="5" s="1"/>
  <c r="BD14" i="5" a="1"/>
  <c r="BD14" i="5" s="1"/>
  <c r="BD15" i="5" a="1"/>
  <c r="BD15" i="5" s="1"/>
  <c r="BD16" i="5" a="1"/>
  <c r="BD16" i="5" s="1"/>
  <c r="BD17" i="5" a="1"/>
  <c r="BD17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 s="1"/>
  <c r="BD23" i="5" a="1"/>
  <c r="BD23" i="5" s="1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 s="1"/>
  <c r="BD30" i="5" a="1"/>
  <c r="BD30" i="5" s="1"/>
  <c r="BD31" i="5" a="1"/>
  <c r="BD31" i="5" s="1"/>
  <c r="BD32" i="5" a="1"/>
  <c r="BD32" i="5" s="1"/>
  <c r="BD33" i="5" a="1"/>
  <c r="BD33" i="5" s="1"/>
  <c r="BD34" i="5" a="1"/>
  <c r="BD34" i="5" s="1"/>
  <c r="BD35" i="5" a="1"/>
  <c r="BD35" i="5" s="1"/>
  <c r="BD36" i="5" a="1"/>
  <c r="BD36" i="5" s="1"/>
  <c r="BD37" i="5" a="1"/>
  <c r="BD37" i="5" s="1"/>
  <c r="BD38" i="5" a="1"/>
  <c r="BD38" i="5" s="1"/>
  <c r="BD39" i="5" a="1"/>
  <c r="BD39" i="5" s="1"/>
  <c r="BD40" i="5" a="1"/>
  <c r="BD40" i="5" s="1"/>
  <c r="BD41" i="5" a="1"/>
  <c r="BD41" i="5" s="1"/>
  <c r="BD42" i="5" a="1"/>
  <c r="BD42" i="5" s="1"/>
  <c r="BD43" i="5" a="1"/>
  <c r="BD43" i="5" s="1"/>
  <c r="BD44" i="5" a="1"/>
  <c r="BD44" i="5" s="1"/>
  <c r="BD45" i="5" a="1"/>
  <c r="BD45" i="5" s="1"/>
  <c r="BD46" i="5" a="1"/>
  <c r="BD46" i="5" s="1"/>
  <c r="BD47" i="5" a="1"/>
  <c r="BD47" i="5" s="1"/>
  <c r="BD48" i="5" a="1"/>
  <c r="BD48" i="5" s="1"/>
  <c r="BD49" i="5" a="1"/>
  <c r="BD49" i="5" s="1"/>
  <c r="BD50" i="5" a="1"/>
  <c r="BD50" i="5" s="1"/>
  <c r="BD51" i="5" a="1"/>
  <c r="BD51" i="5" s="1"/>
  <c r="BD52" i="5" a="1"/>
  <c r="BD52" i="5" s="1"/>
  <c r="BD53" i="5" a="1"/>
  <c r="BD53" i="5" s="1"/>
  <c r="BD54" i="5" a="1"/>
  <c r="BD54" i="5" s="1"/>
  <c r="BD55" i="5" a="1"/>
  <c r="BD55" i="5" s="1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 s="1"/>
  <c r="BD62" i="5" a="1"/>
  <c r="BD62" i="5" s="1"/>
  <c r="BD63" i="5" a="1"/>
  <c r="BD63" i="5" s="1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 s="1"/>
  <c r="BD70" i="5" a="1"/>
  <c r="BD70" i="5" s="1"/>
  <c r="BD71" i="5" a="1"/>
  <c r="BD71" i="5" s="1"/>
  <c r="BD72" i="5" a="1"/>
  <c r="BD72" i="5" s="1"/>
  <c r="BD73" i="5" a="1"/>
  <c r="BD73" i="5" s="1"/>
  <c r="BD74" i="5" a="1"/>
  <c r="BD74" i="5" s="1"/>
  <c r="BD75" i="5" a="1"/>
  <c r="BD75" i="5" s="1"/>
  <c r="BD76" i="5" a="1"/>
  <c r="BD76" i="5" s="1"/>
  <c r="BD77" i="5" a="1"/>
  <c r="BD77" i="5" s="1"/>
  <c r="BD78" i="5" a="1"/>
  <c r="BD78" i="5" s="1"/>
  <c r="BD79" i="5" a="1"/>
  <c r="BD79" i="5" s="1"/>
  <c r="BD80" i="5" a="1"/>
  <c r="BD80" i="5" s="1"/>
  <c r="BD81" i="5" a="1"/>
  <c r="BD81" i="5" s="1"/>
  <c r="BD82" i="5" a="1"/>
  <c r="BD82" i="5" s="1"/>
  <c r="BD83" i="5" a="1"/>
  <c r="BD83" i="5" s="1"/>
  <c r="BD84" i="5" a="1"/>
  <c r="BD84" i="5" s="1"/>
  <c r="BD85" i="5" a="1"/>
  <c r="BD85" i="5" s="1"/>
  <c r="BD86" i="5" a="1"/>
  <c r="BD86" i="5" s="1"/>
  <c r="BD87" i="5" a="1"/>
  <c r="BD87" i="5" s="1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 s="1"/>
  <c r="BD94" i="5" a="1"/>
  <c r="BD94" i="5" s="1"/>
  <c r="BD95" i="5" a="1"/>
  <c r="BD95" i="5" s="1"/>
  <c r="BD96" i="5" a="1"/>
  <c r="BD96" i="5" s="1"/>
  <c r="BD97" i="5" a="1"/>
  <c r="BD97" i="5" s="1"/>
  <c r="BD98" i="5" a="1"/>
  <c r="BD98" i="5" s="1"/>
  <c r="BD99" i="5" a="1"/>
  <c r="BD99" i="5" s="1"/>
  <c r="BD100" i="5" a="1"/>
  <c r="BD100" i="5" s="1"/>
  <c r="BD101" i="5" a="1"/>
  <c r="BD101" i="5" s="1"/>
  <c r="BD102" i="5" a="1"/>
  <c r="BD102" i="5" s="1"/>
  <c r="BD103" i="5" a="1"/>
  <c r="BD103" i="5" s="1"/>
  <c r="BD104" i="5" a="1"/>
  <c r="BD104" i="5" s="1"/>
  <c r="BD105" i="5" a="1"/>
  <c r="BD105" i="5" s="1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 s="1"/>
  <c r="BD112" i="5" a="1"/>
  <c r="BD112" i="5" s="1"/>
  <c r="BD113" i="5" a="1"/>
  <c r="BD113" i="5" s="1"/>
  <c r="BD114" i="5" a="1"/>
  <c r="BD114" i="5" s="1"/>
  <c r="BD115" i="5" a="1"/>
  <c r="BD115" i="5" s="1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 s="1"/>
  <c r="BD122" i="5" a="1"/>
  <c r="BD122" i="5" s="1"/>
  <c r="BD123" i="5" a="1"/>
  <c r="BD123" i="5" s="1"/>
  <c r="BD124" i="5" a="1"/>
  <c r="BD124" i="5" s="1"/>
  <c r="BD125" i="5" a="1"/>
  <c r="BD125" i="5" s="1"/>
  <c r="BD126" i="5" a="1"/>
  <c r="BD126" i="5" s="1"/>
  <c r="BD127" i="5" a="1"/>
  <c r="BD127" i="5" s="1"/>
  <c r="BD128" i="5" a="1"/>
  <c r="BD128" i="5" s="1"/>
  <c r="BD129" i="5" a="1"/>
  <c r="BD129" i="5" s="1"/>
  <c r="BD130" i="5" a="1"/>
  <c r="BD130" i="5" s="1"/>
  <c r="BD131" i="5" a="1"/>
  <c r="BD131" i="5" s="1"/>
  <c r="BD132" i="5" a="1"/>
  <c r="BD132" i="5" s="1"/>
  <c r="BD133" i="5" a="1"/>
  <c r="BD133" i="5" s="1"/>
  <c r="BD134" i="5" a="1"/>
  <c r="BD134" i="5" s="1"/>
  <c r="BD135" i="5" a="1"/>
  <c r="BD135" i="5" s="1"/>
  <c r="BD136" i="5" a="1"/>
  <c r="BD136" i="5" s="1"/>
  <c r="BD137" i="5" a="1"/>
  <c r="BD137" i="5" s="1"/>
  <c r="BD138" i="5" a="1"/>
  <c r="BD138" i="5" s="1"/>
  <c r="BD139" i="5" a="1"/>
  <c r="BD139" i="5" s="1"/>
  <c r="BD140" i="5" a="1"/>
  <c r="BD140" i="5" s="1"/>
  <c r="BD141" i="5" a="1"/>
  <c r="BD141" i="5" s="1"/>
  <c r="BD142" i="5" a="1"/>
  <c r="BD142" i="5" s="1"/>
  <c r="BD143" i="5" a="1"/>
  <c r="BD143" i="5" s="1"/>
  <c r="BD144" i="5" a="1"/>
  <c r="BD144" i="5" s="1"/>
  <c r="BD145" i="5" a="1"/>
  <c r="BD145" i="5" s="1"/>
  <c r="BD146" i="5" a="1"/>
  <c r="BD146" i="5" s="1"/>
  <c r="BD147" i="5" a="1"/>
  <c r="BD147" i="5" s="1"/>
  <c r="BD148" i="5" a="1"/>
  <c r="BD148" i="5" s="1"/>
  <c r="BD149" i="5" a="1"/>
  <c r="BD149" i="5" s="1"/>
  <c r="BD150" i="5" a="1"/>
  <c r="BD150" i="5" s="1"/>
  <c r="BD151" i="5" a="1"/>
  <c r="BD151" i="5" s="1"/>
  <c r="BD152" i="5" a="1"/>
  <c r="BD152" i="5" s="1"/>
  <c r="BD153" i="5" a="1"/>
  <c r="BD153" i="5" s="1"/>
  <c r="BD154" i="5" a="1"/>
  <c r="BD154" i="5" s="1"/>
  <c r="BD155" i="5" a="1"/>
  <c r="BD155" i="5" s="1"/>
  <c r="BD156" i="5" a="1"/>
  <c r="BD156" i="5" s="1"/>
  <c r="BD157" i="5" a="1"/>
  <c r="BD157" i="5" s="1"/>
  <c r="BD158" i="5" a="1"/>
  <c r="BD158" i="5" s="1"/>
  <c r="BD159" i="5" a="1"/>
  <c r="BD159" i="5" s="1"/>
  <c r="BD160" i="5" a="1"/>
  <c r="BD160" i="5" s="1"/>
  <c r="BD161" i="5" a="1"/>
  <c r="BD161" i="5" s="1"/>
  <c r="BD162" i="5" a="1"/>
  <c r="BD162" i="5" s="1"/>
  <c r="BD163" i="5" a="1"/>
  <c r="BD163" i="5" s="1"/>
  <c r="BD164" i="5" a="1"/>
  <c r="BD164" i="5" s="1"/>
  <c r="BD165" i="5" a="1"/>
  <c r="BD165" i="5" s="1"/>
  <c r="BD3" i="5" a="1"/>
  <c r="BD3" i="5" s="1"/>
  <c r="X4" i="7" a="1"/>
  <c r="X4" i="7" s="1"/>
  <c r="X5" i="7" a="1"/>
  <c r="X5" i="7" s="1"/>
  <c r="X6" i="7" a="1"/>
  <c r="X6" i="7" s="1"/>
  <c r="X7" i="7" a="1"/>
  <c r="X7" i="7" s="1"/>
  <c r="X8" i="7" a="1"/>
  <c r="X8" i="7" s="1"/>
  <c r="X9" i="7" a="1"/>
  <c r="X9" i="7" s="1"/>
  <c r="X10" i="7" a="1"/>
  <c r="X10" i="7" s="1"/>
  <c r="X11" i="7" a="1"/>
  <c r="X11" i="7" s="1"/>
  <c r="X12" i="7" a="1"/>
  <c r="X12" i="7" s="1"/>
  <c r="X13" i="7" a="1"/>
  <c r="X13" i="7" s="1"/>
  <c r="X14" i="7" a="1"/>
  <c r="X14" i="7" s="1"/>
  <c r="X15" i="7" a="1"/>
  <c r="X15" i="7" s="1"/>
  <c r="X16" i="7" a="1"/>
  <c r="X16" i="7" s="1"/>
  <c r="X17" i="7" a="1"/>
  <c r="X17" i="7" s="1"/>
  <c r="X18" i="7" a="1"/>
  <c r="X18" i="7" s="1"/>
  <c r="X19" i="7" a="1"/>
  <c r="X19" i="7" s="1"/>
  <c r="X20" i="7" a="1"/>
  <c r="X20" i="7" s="1"/>
  <c r="X21" i="7" a="1"/>
  <c r="X21" i="7" s="1"/>
  <c r="X3" i="7" a="1"/>
  <c r="X3" i="7" s="1"/>
  <c r="E4" i="7"/>
  <c r="F4" i="7"/>
  <c r="G4" i="7"/>
  <c r="H4" i="7"/>
  <c r="I4" i="7"/>
  <c r="E5" i="7"/>
  <c r="F5" i="7"/>
  <c r="G5" i="7"/>
  <c r="H5" i="7"/>
  <c r="I5" i="7"/>
  <c r="I26" i="6" l="1"/>
  <c r="I25" i="5"/>
  <c r="H26" i="6"/>
  <c r="H25" i="5"/>
  <c r="G26" i="6"/>
  <c r="G25" i="5"/>
  <c r="F26" i="6"/>
  <c r="F25" i="5"/>
  <c r="E26" i="6"/>
  <c r="E25" i="5"/>
  <c r="E37" i="6"/>
  <c r="E37" i="2"/>
  <c r="G37" i="6"/>
  <c r="G37" i="2"/>
  <c r="F37" i="6"/>
  <c r="F37" i="2"/>
  <c r="I28" i="6"/>
  <c r="I27" i="5"/>
  <c r="E22" i="2"/>
  <c r="H27" i="5"/>
  <c r="H28" i="6"/>
  <c r="F27" i="5"/>
  <c r="F28" i="6"/>
  <c r="G27" i="5"/>
  <c r="G28" i="6"/>
  <c r="E27" i="5"/>
  <c r="E28" i="6"/>
  <c r="H25" i="6"/>
  <c r="H24" i="5"/>
  <c r="G25" i="6"/>
  <c r="G24" i="5"/>
  <c r="F25" i="6"/>
  <c r="F24" i="5"/>
  <c r="I22" i="2"/>
  <c r="E24" i="5"/>
  <c r="E25" i="6"/>
  <c r="H22" i="2"/>
  <c r="I24" i="5"/>
  <c r="I25" i="6"/>
  <c r="H25" i="2"/>
  <c r="G22" i="2"/>
  <c r="G25" i="2"/>
  <c r="F22" i="2"/>
  <c r="H33" i="5"/>
  <c r="H34" i="6"/>
  <c r="I34" i="6"/>
  <c r="I33" i="5"/>
  <c r="G33" i="5"/>
  <c r="G34" i="6"/>
  <c r="H34" i="2"/>
  <c r="E34" i="6"/>
  <c r="E33" i="5"/>
  <c r="G34" i="2"/>
  <c r="F33" i="5"/>
  <c r="F34" i="6"/>
  <c r="E34" i="2"/>
  <c r="H33" i="6"/>
  <c r="H32" i="5"/>
  <c r="G33" i="6"/>
  <c r="G32" i="5"/>
  <c r="G33" i="2"/>
  <c r="H33" i="2"/>
  <c r="F33" i="6"/>
  <c r="F32" i="5"/>
  <c r="F33" i="2"/>
  <c r="I33" i="6"/>
  <c r="I32" i="5"/>
  <c r="E33" i="6"/>
  <c r="E32" i="5"/>
  <c r="E33" i="2"/>
  <c r="H27" i="6"/>
  <c r="H26" i="5"/>
  <c r="H27" i="2"/>
  <c r="I27" i="6"/>
  <c r="I26" i="5"/>
  <c r="F26" i="5"/>
  <c r="F27" i="6"/>
  <c r="F27" i="2"/>
  <c r="I27" i="2"/>
  <c r="G26" i="5"/>
  <c r="G27" i="6"/>
  <c r="E26" i="5"/>
  <c r="E27" i="6"/>
  <c r="E27" i="2"/>
  <c r="F21" i="6"/>
  <c r="F21" i="5"/>
  <c r="F21" i="2"/>
  <c r="G21" i="6"/>
  <c r="G21" i="5"/>
  <c r="E21" i="6"/>
  <c r="E21" i="5"/>
  <c r="E21" i="2"/>
  <c r="G21" i="2"/>
  <c r="I21" i="5"/>
  <c r="I21" i="6"/>
  <c r="I21" i="2"/>
  <c r="H21" i="6"/>
  <c r="H21" i="5"/>
  <c r="H21" i="2"/>
  <c r="F17" i="6"/>
  <c r="F17" i="5"/>
  <c r="I17" i="6"/>
  <c r="I17" i="5"/>
  <c r="E17" i="5"/>
  <c r="E17" i="6"/>
  <c r="H17" i="6"/>
  <c r="H17" i="5"/>
  <c r="G17" i="6"/>
  <c r="G17" i="5"/>
  <c r="F17" i="2"/>
  <c r="B9" i="6"/>
  <c r="B9" i="9"/>
  <c r="B9" i="8"/>
  <c r="B9" i="7"/>
  <c r="B7" i="6"/>
  <c r="B7" i="7"/>
  <c r="D37" i="9"/>
  <c r="D37" i="8"/>
  <c r="D37" i="7"/>
  <c r="D36" i="9"/>
  <c r="D36" i="8"/>
  <c r="D36" i="7"/>
  <c r="D35" i="9"/>
  <c r="D35" i="8"/>
  <c r="D35" i="7"/>
  <c r="D34" i="9"/>
  <c r="D34" i="8"/>
  <c r="D34" i="7"/>
  <c r="D33" i="9"/>
  <c r="D33" i="8"/>
  <c r="D33" i="7"/>
  <c r="D32" i="9"/>
  <c r="D32" i="8"/>
  <c r="D32" i="7"/>
  <c r="D31" i="9"/>
  <c r="D31" i="8"/>
  <c r="D31" i="7"/>
  <c r="D30" i="9"/>
  <c r="D30" i="8"/>
  <c r="D30" i="7"/>
  <c r="D29" i="9"/>
  <c r="D29" i="8"/>
  <c r="D29" i="7"/>
  <c r="D28" i="9"/>
  <c r="D28" i="8"/>
  <c r="D28" i="7"/>
  <c r="D27" i="9"/>
  <c r="D27" i="8"/>
  <c r="D27" i="7"/>
  <c r="D26" i="9"/>
  <c r="D26" i="8"/>
  <c r="D26" i="7"/>
  <c r="D25" i="9"/>
  <c r="D25" i="7"/>
  <c r="D25" i="8"/>
  <c r="D24" i="9"/>
  <c r="D24" i="7"/>
  <c r="D24" i="8"/>
  <c r="D23" i="9"/>
  <c r="D23" i="8"/>
  <c r="D23" i="7"/>
  <c r="D22" i="9"/>
  <c r="D22" i="8"/>
  <c r="D22" i="7"/>
  <c r="D21" i="9"/>
  <c r="D21" i="7"/>
  <c r="D20" i="9"/>
  <c r="D20" i="7"/>
  <c r="D19" i="6"/>
  <c r="D19" i="9"/>
  <c r="D19" i="7"/>
  <c r="D18" i="6"/>
  <c r="D18" i="9"/>
  <c r="D18" i="7"/>
  <c r="D17" i="6"/>
  <c r="D17" i="9"/>
  <c r="D17" i="7"/>
  <c r="D16" i="6"/>
  <c r="D16" i="9"/>
  <c r="D16" i="7"/>
  <c r="D15" i="6"/>
  <c r="D15" i="9"/>
  <c r="D15" i="7"/>
  <c r="B10" i="6"/>
  <c r="B10" i="9"/>
  <c r="B10" i="7"/>
  <c r="B10" i="8"/>
  <c r="B6" i="6"/>
  <c r="B6" i="7"/>
  <c r="C37" i="9"/>
  <c r="C37" i="8"/>
  <c r="C37" i="7"/>
  <c r="C36" i="9"/>
  <c r="C36" i="8"/>
  <c r="C36" i="7"/>
  <c r="C35" i="9"/>
  <c r="C35" i="8"/>
  <c r="C35" i="7"/>
  <c r="C34" i="9"/>
  <c r="C34" i="8"/>
  <c r="C34" i="7"/>
  <c r="C33" i="9"/>
  <c r="C33" i="8"/>
  <c r="C33" i="7"/>
  <c r="C32" i="9"/>
  <c r="C32" i="8"/>
  <c r="C32" i="7"/>
  <c r="C31" i="7"/>
  <c r="C31" i="9"/>
  <c r="C31" i="8"/>
  <c r="C30" i="9"/>
  <c r="C30" i="8"/>
  <c r="C30" i="7"/>
  <c r="C29" i="9"/>
  <c r="C29" i="8"/>
  <c r="C29" i="7"/>
  <c r="C28" i="9"/>
  <c r="C28" i="8"/>
  <c r="C28" i="7"/>
  <c r="C27" i="9"/>
  <c r="C27" i="8"/>
  <c r="C27" i="7"/>
  <c r="C26" i="9"/>
  <c r="C26" i="8"/>
  <c r="C26" i="7"/>
  <c r="C25" i="9"/>
  <c r="C25" i="7"/>
  <c r="C25" i="8"/>
  <c r="C24" i="9"/>
  <c r="C24" i="7"/>
  <c r="C24" i="8"/>
  <c r="C23" i="9"/>
  <c r="C23" i="8"/>
  <c r="C23" i="7"/>
  <c r="C22" i="9"/>
  <c r="C22" i="8"/>
  <c r="C22" i="7"/>
  <c r="C21" i="9"/>
  <c r="C21" i="7"/>
  <c r="C20" i="9"/>
  <c r="C20" i="7"/>
  <c r="C19" i="6"/>
  <c r="C19" i="7"/>
  <c r="C19" i="9"/>
  <c r="C18" i="6"/>
  <c r="C18" i="9"/>
  <c r="C18" i="7"/>
  <c r="C17" i="6"/>
  <c r="C17" i="9"/>
  <c r="C17" i="7"/>
  <c r="C16" i="6"/>
  <c r="C16" i="9"/>
  <c r="C16" i="7"/>
  <c r="C15" i="6"/>
  <c r="C15" i="9"/>
  <c r="C15" i="7"/>
  <c r="B8" i="6"/>
  <c r="B8" i="9"/>
  <c r="B8" i="7"/>
  <c r="D38" i="9"/>
  <c r="D38" i="8"/>
  <c r="D38" i="7"/>
  <c r="B37" i="9"/>
  <c r="B37" i="8"/>
  <c r="B37" i="7"/>
  <c r="B36" i="9"/>
  <c r="B36" i="8"/>
  <c r="B36" i="7"/>
  <c r="B35" i="9"/>
  <c r="B35" i="8"/>
  <c r="B35" i="7"/>
  <c r="B34" i="9"/>
  <c r="B34" i="8"/>
  <c r="B34" i="7"/>
  <c r="B33" i="9"/>
  <c r="B33" i="8"/>
  <c r="B33" i="7"/>
  <c r="B32" i="8"/>
  <c r="B32" i="9"/>
  <c r="B32" i="7"/>
  <c r="B31" i="9"/>
  <c r="B31" i="8"/>
  <c r="B31" i="7"/>
  <c r="B30" i="9"/>
  <c r="B30" i="8"/>
  <c r="B30" i="7"/>
  <c r="B29" i="9"/>
  <c r="B29" i="8"/>
  <c r="B29" i="7"/>
  <c r="B28" i="9"/>
  <c r="B28" i="8"/>
  <c r="B28" i="7"/>
  <c r="B27" i="9"/>
  <c r="B27" i="8"/>
  <c r="B27" i="7"/>
  <c r="B26" i="9"/>
  <c r="B26" i="8"/>
  <c r="B26" i="7"/>
  <c r="B25" i="9"/>
  <c r="B25" i="7"/>
  <c r="B25" i="8"/>
  <c r="B24" i="9"/>
  <c r="B24" i="8"/>
  <c r="B24" i="7"/>
  <c r="B23" i="9"/>
  <c r="B23" i="8"/>
  <c r="B23" i="7"/>
  <c r="B22" i="9"/>
  <c r="B22" i="8"/>
  <c r="B22" i="7"/>
  <c r="B21" i="9"/>
  <c r="B21" i="7"/>
  <c r="B20" i="9"/>
  <c r="B20" i="7"/>
  <c r="B19" i="6"/>
  <c r="B19" i="9"/>
  <c r="B19" i="7"/>
  <c r="B18" i="6"/>
  <c r="B18" i="9"/>
  <c r="B18" i="7"/>
  <c r="B17" i="6"/>
  <c r="B17" i="9"/>
  <c r="B17" i="7"/>
  <c r="B16" i="6"/>
  <c r="B16" i="9"/>
  <c r="B16" i="7"/>
  <c r="B15" i="6"/>
  <c r="B15" i="9"/>
  <c r="B15" i="7"/>
  <c r="D39" i="9"/>
  <c r="D39" i="8"/>
  <c r="D39" i="7"/>
  <c r="B38" i="9"/>
  <c r="B38" i="8"/>
  <c r="B38" i="7"/>
  <c r="C38" i="9"/>
  <c r="C38" i="8"/>
  <c r="C38" i="7"/>
  <c r="C39" i="9"/>
  <c r="C39" i="8"/>
  <c r="C39" i="7"/>
  <c r="D10" i="8"/>
  <c r="D10" i="7"/>
  <c r="D10" i="9"/>
  <c r="D9" i="9"/>
  <c r="D9" i="7"/>
  <c r="D9" i="8"/>
  <c r="D8" i="6"/>
  <c r="D8" i="9"/>
  <c r="D8" i="7"/>
  <c r="D7" i="6"/>
  <c r="D7" i="7"/>
  <c r="D6" i="6"/>
  <c r="D6" i="7"/>
  <c r="B39" i="9"/>
  <c r="B39" i="8"/>
  <c r="B39" i="7"/>
  <c r="C10" i="6"/>
  <c r="C10" i="9"/>
  <c r="C10" i="7"/>
  <c r="C10" i="8"/>
  <c r="C9" i="6"/>
  <c r="C9" i="9"/>
  <c r="C9" i="7"/>
  <c r="C9" i="8"/>
  <c r="C8" i="6"/>
  <c r="C8" i="9"/>
  <c r="C8" i="7"/>
  <c r="C7" i="6"/>
  <c r="C7" i="7"/>
  <c r="C6" i="6"/>
  <c r="C6" i="7"/>
  <c r="C39" i="6"/>
  <c r="C39" i="4"/>
  <c r="C38" i="6"/>
  <c r="C38" i="4"/>
  <c r="C37" i="6"/>
  <c r="C37" i="4"/>
  <c r="C36" i="6"/>
  <c r="C36" i="4"/>
  <c r="C35" i="6"/>
  <c r="C35" i="4"/>
  <c r="C34" i="6"/>
  <c r="C34" i="4"/>
  <c r="C33" i="6"/>
  <c r="C33" i="4"/>
  <c r="C32" i="6"/>
  <c r="C32" i="4"/>
  <c r="C31" i="6"/>
  <c r="C31" i="4"/>
  <c r="C30" i="6"/>
  <c r="C30" i="4"/>
  <c r="C29" i="6"/>
  <c r="C29" i="4"/>
  <c r="C28" i="6"/>
  <c r="C28" i="4"/>
  <c r="C27" i="6"/>
  <c r="C27" i="4"/>
  <c r="C26" i="6"/>
  <c r="C26" i="4"/>
  <c r="C25" i="6"/>
  <c r="C25" i="4"/>
  <c r="C24" i="6"/>
  <c r="C24" i="4"/>
  <c r="C23" i="6"/>
  <c r="C23" i="4"/>
  <c r="C22" i="6"/>
  <c r="C22" i="4"/>
  <c r="C21" i="6"/>
  <c r="C21" i="4"/>
  <c r="C20" i="6"/>
  <c r="C20" i="4"/>
  <c r="B39" i="6"/>
  <c r="B39" i="4"/>
  <c r="B38" i="6"/>
  <c r="B38" i="4"/>
  <c r="B37" i="6"/>
  <c r="B37" i="4"/>
  <c r="B36" i="6"/>
  <c r="B36" i="4"/>
  <c r="B35" i="6"/>
  <c r="B35" i="4"/>
  <c r="B34" i="6"/>
  <c r="B34" i="4"/>
  <c r="B33" i="6"/>
  <c r="B33" i="4"/>
  <c r="B32" i="6"/>
  <c r="B32" i="4"/>
  <c r="B31" i="6"/>
  <c r="B31" i="4"/>
  <c r="B30" i="6"/>
  <c r="B30" i="4"/>
  <c r="B29" i="6"/>
  <c r="B29" i="4"/>
  <c r="B28" i="6"/>
  <c r="B28" i="4"/>
  <c r="B27" i="6"/>
  <c r="B27" i="4"/>
  <c r="B26" i="6"/>
  <c r="B26" i="4"/>
  <c r="B25" i="6"/>
  <c r="B25" i="4"/>
  <c r="B24" i="6"/>
  <c r="B24" i="4"/>
  <c r="B23" i="6"/>
  <c r="B23" i="4"/>
  <c r="B22" i="6"/>
  <c r="B22" i="4"/>
  <c r="B21" i="6"/>
  <c r="B21" i="4"/>
  <c r="B20" i="6"/>
  <c r="B20" i="4"/>
  <c r="D39" i="6"/>
  <c r="D39" i="4"/>
  <c r="D38" i="6"/>
  <c r="D38" i="4"/>
  <c r="D37" i="6"/>
  <c r="D37" i="4"/>
  <c r="D36" i="6"/>
  <c r="D36" i="4"/>
  <c r="D35" i="6"/>
  <c r="D35" i="4"/>
  <c r="D34" i="6"/>
  <c r="D34" i="4"/>
  <c r="D33" i="6"/>
  <c r="D33" i="4"/>
  <c r="D32" i="6"/>
  <c r="D32" i="4"/>
  <c r="D31" i="6"/>
  <c r="D31" i="4"/>
  <c r="D30" i="6"/>
  <c r="D30" i="4"/>
  <c r="D29" i="6"/>
  <c r="D29" i="4"/>
  <c r="D28" i="6"/>
  <c r="D28" i="4"/>
  <c r="D27" i="6"/>
  <c r="D27" i="4"/>
  <c r="D26" i="6"/>
  <c r="D26" i="4"/>
  <c r="D25" i="6"/>
  <c r="D25" i="4"/>
  <c r="D24" i="6"/>
  <c r="D24" i="4"/>
  <c r="D23" i="6"/>
  <c r="D23" i="4"/>
  <c r="D22" i="6"/>
  <c r="D22" i="4"/>
  <c r="D21" i="6"/>
  <c r="D21" i="4"/>
  <c r="D20" i="6"/>
  <c r="D20" i="4"/>
  <c r="D10" i="6"/>
  <c r="D9" i="6"/>
  <c r="B4" i="8"/>
  <c r="B4" i="6"/>
  <c r="D38" i="5"/>
  <c r="D29" i="2"/>
  <c r="D28" i="5"/>
  <c r="D27" i="2"/>
  <c r="D26" i="5"/>
  <c r="D24" i="2"/>
  <c r="D19" i="8"/>
  <c r="D19" i="4"/>
  <c r="D19" i="5"/>
  <c r="D7" i="8"/>
  <c r="D7" i="5"/>
  <c r="D7" i="4"/>
  <c r="C38" i="5"/>
  <c r="C37" i="5"/>
  <c r="C36" i="5"/>
  <c r="C35" i="5"/>
  <c r="C34" i="5"/>
  <c r="C34" i="2"/>
  <c r="C33" i="5"/>
  <c r="C33" i="2"/>
  <c r="C32" i="5"/>
  <c r="C32" i="2"/>
  <c r="C31" i="5"/>
  <c r="C31" i="2"/>
  <c r="C30" i="5"/>
  <c r="C30" i="2"/>
  <c r="C29" i="5"/>
  <c r="C29" i="2"/>
  <c r="C28" i="5"/>
  <c r="C28" i="2"/>
  <c r="C27" i="5"/>
  <c r="C27" i="2"/>
  <c r="C26" i="5"/>
  <c r="C26" i="2"/>
  <c r="C25" i="5"/>
  <c r="C25" i="2"/>
  <c r="C24" i="5"/>
  <c r="C24" i="2"/>
  <c r="C23" i="2"/>
  <c r="C23" i="5"/>
  <c r="C22" i="2"/>
  <c r="C22" i="5"/>
  <c r="C21" i="8"/>
  <c r="C21" i="5"/>
  <c r="C20" i="8"/>
  <c r="C20" i="5"/>
  <c r="C19" i="8"/>
  <c r="C19" i="5"/>
  <c r="C19" i="4"/>
  <c r="C18" i="8"/>
  <c r="C18" i="5"/>
  <c r="C18" i="4"/>
  <c r="C17" i="8"/>
  <c r="C17" i="5"/>
  <c r="C17" i="4"/>
  <c r="C16" i="8"/>
  <c r="C16" i="4"/>
  <c r="C16" i="5"/>
  <c r="C15" i="8"/>
  <c r="C15" i="5"/>
  <c r="C15" i="4"/>
  <c r="C14" i="8"/>
  <c r="C14" i="5"/>
  <c r="C14" i="4"/>
  <c r="C13" i="8"/>
  <c r="C13" i="5"/>
  <c r="C13" i="4"/>
  <c r="C11" i="8"/>
  <c r="C11" i="4"/>
  <c r="C11" i="5"/>
  <c r="C10" i="4"/>
  <c r="C10" i="5"/>
  <c r="C9" i="4"/>
  <c r="C9" i="5"/>
  <c r="C8" i="8"/>
  <c r="C8" i="5"/>
  <c r="C8" i="4"/>
  <c r="C7" i="8"/>
  <c r="C7" i="4"/>
  <c r="C7" i="5"/>
  <c r="C6" i="8"/>
  <c r="C6" i="5"/>
  <c r="C6" i="4"/>
  <c r="C5" i="8"/>
  <c r="C5" i="5"/>
  <c r="C5" i="4"/>
  <c r="C4" i="8"/>
  <c r="C4" i="5"/>
  <c r="E11" i="2"/>
  <c r="D34" i="2"/>
  <c r="D33" i="5"/>
  <c r="D30" i="2"/>
  <c r="D29" i="5"/>
  <c r="D26" i="2"/>
  <c r="D25" i="5"/>
  <c r="D25" i="2"/>
  <c r="D24" i="5"/>
  <c r="D20" i="8"/>
  <c r="D20" i="5"/>
  <c r="D18" i="8"/>
  <c r="D18" i="4"/>
  <c r="D18" i="5"/>
  <c r="D14" i="8"/>
  <c r="D14" i="5"/>
  <c r="D14" i="4"/>
  <c r="D10" i="4"/>
  <c r="D10" i="5"/>
  <c r="D5" i="8"/>
  <c r="D5" i="5"/>
  <c r="D5" i="4"/>
  <c r="B38" i="5"/>
  <c r="B37" i="5"/>
  <c r="B36" i="5"/>
  <c r="B35" i="5"/>
  <c r="B34" i="5"/>
  <c r="B34" i="2"/>
  <c r="B33" i="5"/>
  <c r="B33" i="2"/>
  <c r="B32" i="5"/>
  <c r="B32" i="2"/>
  <c r="B31" i="5"/>
  <c r="B31" i="2"/>
  <c r="B30" i="5"/>
  <c r="B30" i="2"/>
  <c r="B29" i="5"/>
  <c r="B29" i="2"/>
  <c r="B28" i="5"/>
  <c r="B28" i="2"/>
  <c r="B27" i="5"/>
  <c r="B27" i="2"/>
  <c r="B26" i="5"/>
  <c r="B26" i="2"/>
  <c r="B25" i="5"/>
  <c r="B25" i="2"/>
  <c r="B24" i="5"/>
  <c r="B24" i="2"/>
  <c r="B23" i="2"/>
  <c r="B23" i="5"/>
  <c r="B22" i="2"/>
  <c r="B22" i="5"/>
  <c r="B21" i="8"/>
  <c r="B21" i="5"/>
  <c r="B20" i="8"/>
  <c r="B20" i="5"/>
  <c r="B19" i="8"/>
  <c r="B19" i="5"/>
  <c r="B19" i="4"/>
  <c r="B18" i="8"/>
  <c r="B18" i="5"/>
  <c r="B18" i="4"/>
  <c r="B17" i="8"/>
  <c r="B17" i="5"/>
  <c r="B17" i="4"/>
  <c r="B16" i="8"/>
  <c r="B16" i="5"/>
  <c r="B16" i="4"/>
  <c r="B15" i="8"/>
  <c r="B15" i="5"/>
  <c r="B15" i="4"/>
  <c r="B14" i="8"/>
  <c r="B14" i="4"/>
  <c r="B14" i="5"/>
  <c r="B13" i="8"/>
  <c r="B13" i="5"/>
  <c r="B13" i="4"/>
  <c r="B11" i="8"/>
  <c r="B11" i="5"/>
  <c r="B11" i="4"/>
  <c r="B10" i="5"/>
  <c r="B10" i="4"/>
  <c r="B9" i="5"/>
  <c r="B9" i="4"/>
  <c r="B8" i="8"/>
  <c r="B8" i="4"/>
  <c r="B7" i="8"/>
  <c r="B7" i="4"/>
  <c r="B6" i="8"/>
  <c r="B6" i="4"/>
  <c r="B5" i="8"/>
  <c r="B5" i="4"/>
  <c r="F12" i="2"/>
  <c r="F10" i="2"/>
  <c r="D36" i="5"/>
  <c r="D34" i="5"/>
  <c r="D31" i="2"/>
  <c r="D30" i="5"/>
  <c r="D28" i="2"/>
  <c r="D27" i="5"/>
  <c r="D21" i="8"/>
  <c r="D21" i="5"/>
  <c r="D15" i="8"/>
  <c r="D15" i="5"/>
  <c r="D15" i="4"/>
  <c r="D6" i="8"/>
  <c r="D6" i="5"/>
  <c r="D6" i="4"/>
  <c r="I11" i="2"/>
  <c r="D35" i="5"/>
  <c r="D33" i="2"/>
  <c r="D32" i="5"/>
  <c r="D23" i="2"/>
  <c r="D23" i="5"/>
  <c r="D16" i="8"/>
  <c r="D16" i="5"/>
  <c r="D16" i="4"/>
  <c r="D8" i="8"/>
  <c r="D8" i="4"/>
  <c r="D8" i="5"/>
  <c r="H11" i="2"/>
  <c r="D37" i="5"/>
  <c r="D32" i="2"/>
  <c r="D31" i="5"/>
  <c r="D22" i="2"/>
  <c r="D22" i="5"/>
  <c r="D17" i="8"/>
  <c r="D17" i="4"/>
  <c r="D17" i="5"/>
  <c r="D13" i="8"/>
  <c r="D13" i="4"/>
  <c r="D13" i="5"/>
  <c r="D11" i="8"/>
  <c r="D11" i="4"/>
  <c r="D11" i="5"/>
  <c r="D9" i="4"/>
  <c r="D9" i="5"/>
  <c r="D4" i="8"/>
  <c r="D4" i="5"/>
  <c r="G11" i="2"/>
  <c r="F11" i="2"/>
  <c r="D12" i="8"/>
  <c r="D12" i="4"/>
  <c r="D12" i="5"/>
  <c r="C12" i="8"/>
  <c r="C12" i="4"/>
  <c r="C12" i="5"/>
  <c r="B12" i="8"/>
  <c r="B12" i="5"/>
  <c r="B12" i="4"/>
  <c r="G9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D4" i="2"/>
  <c r="C4" i="2"/>
  <c r="B4" i="2"/>
  <c r="W3" i="6" a="1"/>
  <c r="W3" i="6" s="1"/>
  <c r="AG3" i="5" a="1"/>
  <c r="AG3" i="5" s="1"/>
  <c r="G3" i="5"/>
  <c r="B4" i="5"/>
  <c r="H3" i="4"/>
  <c r="G3" i="4"/>
  <c r="F3" i="4"/>
  <c r="E3" i="4"/>
  <c r="AD3" i="4"/>
  <c r="P4" i="2"/>
  <c r="P5" i="2"/>
  <c r="P6" i="2"/>
  <c r="P7" i="2"/>
  <c r="P8" i="2"/>
  <c r="P9" i="2"/>
  <c r="P10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B4" i="4"/>
  <c r="B3" i="1"/>
  <c r="B3" i="5" s="1"/>
  <c r="I3" i="1"/>
  <c r="I3" i="5" s="1"/>
  <c r="H3" i="1"/>
  <c r="H3" i="5" s="1"/>
  <c r="G3" i="1"/>
  <c r="G3" i="6" s="1"/>
  <c r="F3" i="1"/>
  <c r="E3" i="1"/>
  <c r="B6" i="5" l="1"/>
  <c r="B8" i="5"/>
  <c r="B6" i="9"/>
  <c r="E3" i="8"/>
  <c r="E3" i="7"/>
  <c r="E3" i="9"/>
  <c r="F3" i="8"/>
  <c r="F3" i="9"/>
  <c r="F3" i="7"/>
  <c r="B3" i="2"/>
  <c r="I3" i="4"/>
  <c r="B3" i="6"/>
  <c r="F3" i="6"/>
  <c r="B7" i="9"/>
  <c r="E3" i="6"/>
  <c r="E3" i="2"/>
  <c r="E3" i="5"/>
  <c r="F3" i="5"/>
  <c r="B5" i="7"/>
  <c r="B5" i="9"/>
  <c r="G3" i="2"/>
  <c r="G3" i="8"/>
  <c r="G3" i="9"/>
  <c r="G3" i="7"/>
  <c r="H3" i="2"/>
  <c r="H3" i="8"/>
  <c r="H3" i="9"/>
  <c r="H3" i="7"/>
  <c r="F3" i="2"/>
  <c r="B5" i="5"/>
  <c r="B7" i="5"/>
  <c r="H3" i="6"/>
  <c r="B4" i="9"/>
  <c r="B4" i="7"/>
  <c r="I3" i="2"/>
  <c r="I3" i="9"/>
  <c r="I3" i="7"/>
  <c r="I3" i="8"/>
  <c r="B3" i="8"/>
  <c r="B3" i="7"/>
  <c r="B3" i="9"/>
  <c r="B3" i="4"/>
  <c r="I3" i="6"/>
  <c r="D4" i="4"/>
  <c r="D3" i="1"/>
  <c r="C4" i="4"/>
  <c r="C3" i="1"/>
  <c r="A4" i="4"/>
  <c r="A5" i="4"/>
  <c r="A7" i="7"/>
  <c r="A35" i="2"/>
  <c r="A36" i="2"/>
  <c r="A37" i="2"/>
  <c r="A38" i="2"/>
  <c r="A39" i="2"/>
  <c r="A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" i="1"/>
  <c r="A32" i="9" l="1"/>
  <c r="A32" i="8"/>
  <c r="A32" i="7"/>
  <c r="A12" i="6"/>
  <c r="A12" i="9"/>
  <c r="A12" i="7"/>
  <c r="A12" i="8"/>
  <c r="A30" i="9"/>
  <c r="A30" i="8"/>
  <c r="A30" i="7"/>
  <c r="A18" i="9"/>
  <c r="A18" i="8"/>
  <c r="A18" i="7"/>
  <c r="A10" i="6"/>
  <c r="A10" i="9"/>
  <c r="A10" i="8"/>
  <c r="A10" i="7"/>
  <c r="A37" i="9"/>
  <c r="A37" i="8"/>
  <c r="A37" i="7"/>
  <c r="A36" i="9"/>
  <c r="A36" i="8"/>
  <c r="A36" i="7"/>
  <c r="A24" i="9"/>
  <c r="A24" i="8"/>
  <c r="A24" i="7"/>
  <c r="A8" i="6"/>
  <c r="A8" i="9"/>
  <c r="A8" i="7"/>
  <c r="A26" i="9"/>
  <c r="A26" i="8"/>
  <c r="A26" i="7"/>
  <c r="A31" i="9"/>
  <c r="A31" i="8"/>
  <c r="A31" i="7"/>
  <c r="A35" i="9"/>
  <c r="A35" i="8"/>
  <c r="A35" i="7"/>
  <c r="A16" i="9"/>
  <c r="A16" i="7"/>
  <c r="A16" i="8"/>
  <c r="A39" i="9"/>
  <c r="A39" i="8"/>
  <c r="A39" i="7"/>
  <c r="A28" i="9"/>
  <c r="A28" i="8"/>
  <c r="A28" i="7"/>
  <c r="A22" i="9"/>
  <c r="A22" i="8"/>
  <c r="A22" i="7"/>
  <c r="A14" i="6"/>
  <c r="A14" i="9"/>
  <c r="A14" i="8"/>
  <c r="A14" i="7"/>
  <c r="A6" i="4"/>
  <c r="A6" i="7"/>
  <c r="A20" i="9"/>
  <c r="A20" i="8"/>
  <c r="A20" i="7"/>
  <c r="A19" i="9"/>
  <c r="A19" i="8"/>
  <c r="A19" i="7"/>
  <c r="A11" i="6"/>
  <c r="A11" i="9"/>
  <c r="A11" i="8"/>
  <c r="A11" i="7"/>
  <c r="A29" i="9"/>
  <c r="A29" i="8"/>
  <c r="A29" i="7"/>
  <c r="A25" i="9"/>
  <c r="A25" i="8"/>
  <c r="A25" i="7"/>
  <c r="A17" i="9"/>
  <c r="A17" i="8"/>
  <c r="A17" i="7"/>
  <c r="A9" i="6"/>
  <c r="A9" i="8"/>
  <c r="A9" i="9"/>
  <c r="A9" i="7"/>
  <c r="A34" i="9"/>
  <c r="A34" i="8"/>
  <c r="A34" i="7"/>
  <c r="A23" i="9"/>
  <c r="A23" i="8"/>
  <c r="A23" i="7"/>
  <c r="A15" i="9"/>
  <c r="A15" i="8"/>
  <c r="A15" i="7"/>
  <c r="A38" i="7"/>
  <c r="A38" i="9"/>
  <c r="A38" i="8"/>
  <c r="A33" i="9"/>
  <c r="A33" i="8"/>
  <c r="A33" i="7"/>
  <c r="A27" i="7"/>
  <c r="A27" i="9"/>
  <c r="A27" i="8"/>
  <c r="A21" i="9"/>
  <c r="A21" i="8"/>
  <c r="A21" i="7"/>
  <c r="A13" i="6"/>
  <c r="A13" i="7"/>
  <c r="A13" i="9"/>
  <c r="A13" i="8"/>
  <c r="A35" i="6"/>
  <c r="A35" i="4"/>
  <c r="A16" i="6"/>
  <c r="A16" i="4"/>
  <c r="A34" i="6"/>
  <c r="A34" i="4"/>
  <c r="A23" i="6"/>
  <c r="A23" i="4"/>
  <c r="A38" i="6"/>
  <c r="A38" i="4"/>
  <c r="A28" i="6"/>
  <c r="A28" i="4"/>
  <c r="A22" i="6"/>
  <c r="A22" i="4"/>
  <c r="A27" i="6"/>
  <c r="A27" i="4"/>
  <c r="A32" i="6"/>
  <c r="A32" i="4"/>
  <c r="A26" i="6"/>
  <c r="A26" i="4"/>
  <c r="A20" i="6"/>
  <c r="A20" i="4"/>
  <c r="A19" i="6"/>
  <c r="A19" i="4"/>
  <c r="A24" i="6"/>
  <c r="A24" i="4"/>
  <c r="A39" i="6"/>
  <c r="A39" i="4"/>
  <c r="A15" i="6"/>
  <c r="A15" i="4"/>
  <c r="A37" i="6"/>
  <c r="A37" i="4"/>
  <c r="A21" i="6"/>
  <c r="A21" i="4"/>
  <c r="A36" i="6"/>
  <c r="A36" i="4"/>
  <c r="A30" i="6"/>
  <c r="A30" i="4"/>
  <c r="A18" i="6"/>
  <c r="A18" i="4"/>
  <c r="A33" i="6"/>
  <c r="A33" i="4"/>
  <c r="A31" i="6"/>
  <c r="A31" i="4"/>
  <c r="A29" i="6"/>
  <c r="A29" i="4"/>
  <c r="A25" i="6"/>
  <c r="A25" i="4"/>
  <c r="A17" i="6"/>
  <c r="A17" i="4"/>
  <c r="A11" i="5"/>
  <c r="A11" i="4"/>
  <c r="A11" i="2"/>
  <c r="A32" i="5"/>
  <c r="A33" i="2"/>
  <c r="A21" i="2"/>
  <c r="A21" i="5"/>
  <c r="A31" i="5"/>
  <c r="A32" i="2"/>
  <c r="A25" i="5"/>
  <c r="A26" i="2"/>
  <c r="A12" i="5"/>
  <c r="A12" i="4"/>
  <c r="A12" i="2"/>
  <c r="A35" i="5"/>
  <c r="A30" i="5"/>
  <c r="A31" i="2"/>
  <c r="A28" i="5"/>
  <c r="A29" i="2"/>
  <c r="A24" i="5"/>
  <c r="A25" i="2"/>
  <c r="A17" i="5"/>
  <c r="A17" i="2"/>
  <c r="A9" i="5"/>
  <c r="A9" i="4"/>
  <c r="A9" i="2"/>
  <c r="A36" i="5"/>
  <c r="A13" i="4"/>
  <c r="A13" i="2"/>
  <c r="A13" i="5"/>
  <c r="A20" i="5"/>
  <c r="A20" i="2"/>
  <c r="A19" i="5"/>
  <c r="A19" i="2"/>
  <c r="A29" i="5"/>
  <c r="A30" i="2"/>
  <c r="A18" i="5"/>
  <c r="A18" i="2"/>
  <c r="A10" i="5"/>
  <c r="A10" i="4"/>
  <c r="A10" i="2"/>
  <c r="A34" i="5"/>
  <c r="A24" i="2"/>
  <c r="A16" i="2"/>
  <c r="A16" i="5"/>
  <c r="A8" i="4"/>
  <c r="A8" i="2"/>
  <c r="A38" i="5"/>
  <c r="A33" i="5"/>
  <c r="A34" i="2"/>
  <c r="A23" i="5"/>
  <c r="A23" i="2"/>
  <c r="A15" i="2"/>
  <c r="A15" i="5"/>
  <c r="A7" i="4"/>
  <c r="A7" i="2"/>
  <c r="A37" i="5"/>
  <c r="A27" i="5"/>
  <c r="A28" i="2"/>
  <c r="A22" i="2"/>
  <c r="A22" i="5"/>
  <c r="A14" i="4"/>
  <c r="A14" i="2"/>
  <c r="A14" i="5"/>
  <c r="A26" i="5"/>
  <c r="A27" i="2"/>
  <c r="C5" i="9"/>
  <c r="C5" i="7"/>
  <c r="A6" i="8"/>
  <c r="A6" i="9"/>
  <c r="A6" i="6"/>
  <c r="A6" i="2"/>
  <c r="A6" i="5"/>
  <c r="D7" i="9"/>
  <c r="D3" i="2"/>
  <c r="D3" i="9"/>
  <c r="D3" i="8"/>
  <c r="D3" i="7"/>
  <c r="D3" i="6"/>
  <c r="D3" i="4"/>
  <c r="D3" i="5"/>
  <c r="A4" i="9"/>
  <c r="A4" i="7"/>
  <c r="A4" i="8"/>
  <c r="A4" i="6"/>
  <c r="A4" i="2"/>
  <c r="A4" i="5"/>
  <c r="D6" i="9"/>
  <c r="A3" i="7"/>
  <c r="A3" i="8"/>
  <c r="A3" i="9"/>
  <c r="A3" i="4"/>
  <c r="A3" i="5"/>
  <c r="A3" i="2"/>
  <c r="A3" i="6"/>
  <c r="A8" i="8"/>
  <c r="A8" i="5"/>
  <c r="C3" i="2"/>
  <c r="C3" i="9"/>
  <c r="C3" i="7"/>
  <c r="C3" i="8"/>
  <c r="C3" i="5"/>
  <c r="C3" i="6"/>
  <c r="C3" i="4"/>
  <c r="D5" i="9"/>
  <c r="D5" i="7"/>
  <c r="A7" i="9"/>
  <c r="A7" i="8"/>
  <c r="A7" i="5"/>
  <c r="A7" i="6"/>
  <c r="A5" i="8"/>
  <c r="A5" i="7"/>
  <c r="A5" i="9"/>
  <c r="A5" i="6"/>
  <c r="A5" i="5"/>
  <c r="A5" i="2"/>
  <c r="C7" i="9"/>
  <c r="D4" i="7"/>
  <c r="D4" i="9"/>
  <c r="C4" i="7"/>
  <c r="C4" i="9"/>
  <c r="C6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<sst xmlns="http://schemas.openxmlformats.org/spreadsheetml/2006/main" count="3626" uniqueCount="541">
  <si>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</si>
  <si>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</si>
  <si>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</si>
  <si>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</si>
  <si>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</si>
  <si>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</si>
  <si>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</si>
  <si>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</si>
  <si>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</si>
  <si>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</si>
  <si>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</si>
  <si>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</si>
  <si>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</si>
  <si>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</si>
  <si>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</si>
  <si>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</si>
  <si>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</si>
  <si>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</si>
  <si>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</si>
  <si>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</si>
  <si>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</si>
  <si>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</si>
  <si>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Procesos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</si>
  <si>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</si>
  <si>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</si>
  <si>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</si>
  <si>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</si>
  <si>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</si>
  <si>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</si>
  <si>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CONSTANZA ANDREA MUÑOZ CARO</t>
  </si>
  <si>
    <t>Teléfono</t>
  </si>
  <si>
    <t>Cargo</t>
  </si>
  <si>
    <t>SUPERVISORA DE ACTIVIDADES ERGONOMICAS</t>
  </si>
  <si>
    <t>Correo electrónico</t>
  </si>
  <si>
    <t>CAMUNOZC@AGROSUPER.COM</t>
  </si>
  <si>
    <t>N°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</si>
  <si>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</si>
  <si>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</si>
  <si>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</si>
  <si>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</si>
  <si>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</si>
  <si>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</si>
  <si>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</si>
  <si>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</si>
  <si>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</si>
  <si>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</si>
  <si>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</si>
  <si>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</si>
  <si>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</si>
  <si>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</si>
  <si>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</si>
  <si>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</si>
  <si>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</si>
  <si>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</si>
  <si>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</si>
  <si>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Deshuesado de Pechugas</t>
  </si>
  <si>
    <t>Postura de Pechuga</t>
  </si>
  <si>
    <t>Colaborador toma pechugas de forma Bimanual posicionandola en porta producto</t>
  </si>
  <si>
    <t>07:05 - 15:05 - 15:05 - 00:05</t>
  </si>
  <si>
    <t>N/A</t>
  </si>
  <si>
    <t>Indefinido</t>
  </si>
  <si>
    <t>Variable</t>
  </si>
  <si>
    <t>120 min</t>
  </si>
  <si>
    <t>Preparatorias - Compensatorias</t>
  </si>
  <si>
    <t>SI</t>
  </si>
  <si>
    <t>Flujo de transito demarcado, uso de tarimas para transito y posicion frente a puesto de trabajo</t>
  </si>
  <si>
    <t>Mesa de trabajo que cuenta con tarima para brindar altura, ubicación del puesto dentro de linea productiva bajo techo.</t>
  </si>
  <si>
    <t>EPP tales como zapatos de seguridad, Proteccion auditiva</t>
  </si>
  <si>
    <t>Bajado de Pechugas</t>
  </si>
  <si>
    <t>Trabajadores se posicionan frente a la linea sentados en silla y de forma bimanual toman la pechuga desplazandola desde el filete, utilizan cuchillo, luego depositan el producto en chute</t>
  </si>
  <si>
    <t>Cuchillo</t>
  </si>
  <si>
    <t>Flujo de transito demarcado, uso de tarimas para transito, uso de silla para posicionarse frente a la linea</t>
  </si>
  <si>
    <t>Puesto de trabajo con mesa a la altura correspondiente, cuenta con silla parado sentado, sin tarimas, sin exposicion a rayos uv</t>
  </si>
  <si>
    <t>Utiliza cuhillo para el corte del prodcuto, utilizando EPP tales como guantes anticortes, zapatos de seguridad, Proteccion auditiva</t>
  </si>
  <si>
    <t>Prolijado</t>
  </si>
  <si>
    <t xml:space="preserve">Deben tomar pechuga que va en porta producto pasando por la linea para posicionarla en meson y con cuchillo retirar grasa </t>
  </si>
  <si>
    <t>60 Min</t>
  </si>
  <si>
    <t>Flujo de transito despejado, cuenta con alfombra antifatiga</t>
  </si>
  <si>
    <t>Puesto de trabajo sobre alformbras antifatiga, mesa de trabajo a la altura de la cadera, sin tarimas, sin exposicion a rayos uv</t>
  </si>
  <si>
    <t>Bajado de filete</t>
  </si>
  <si>
    <t>Trabajadores se posicionan frente a la linea sentados en silla y de forma bimanual toman el filete desplazandola desde la carcasa del pollo depositandolo en chute</t>
  </si>
  <si>
    <t>Flujo de transito demarcado, cuentan con sillas para posicionarse frente a linea</t>
  </si>
  <si>
    <t>Selección de filete</t>
  </si>
  <si>
    <t>Con Ambas mano deben rotar las pechugas para su revision de y retiro de hueso</t>
  </si>
  <si>
    <t>Flujo de transito demarcado, cuentan con tarimas para brindar altura y posicionarse frente a la linea</t>
  </si>
  <si>
    <t>Puesto de trabajo con mesa a la altura correspondiente, cuenta con silla parado sentado, sobre tarima, sin exposicion a rayos uv</t>
  </si>
  <si>
    <t>Filete</t>
  </si>
  <si>
    <t>Colaborador se posiciona frente a la linea, de forma visual revisa el producto, si detecta uno con hueso lo retira para depositarlo en linea</t>
  </si>
  <si>
    <t>Flujo de transito demarcado, cuentan con silla parado sentado para posicionarse frente a la linea</t>
  </si>
  <si>
    <t>Puesto de trabajo con linea a la altura del torax cuenta con tarimas, sin exposicion a rayos uv</t>
  </si>
  <si>
    <t>Tiritas</t>
  </si>
  <si>
    <t>Colaboradores ordenan producto en linea para que este luego pase por equipo el cual realiza el corte</t>
  </si>
  <si>
    <t>Flujo demarcado, libre de barreras.</t>
  </si>
  <si>
    <t>Puesto de trabajo con mesa a la altura correspondiente, sobre tarima, sin exposicion a rayos uv</t>
  </si>
  <si>
    <t>Piel</t>
  </si>
  <si>
    <t>Inspeccionar que piel no presente otras estructuras (huesos), la cual una vez inspeccionada esta es desplazada a bins de manera manual (en ocasiones se ayudan de rastrillo que pesa 80 gramos).</t>
  </si>
  <si>
    <t>Rastrillo</t>
  </si>
  <si>
    <t>Flujos de transito demarcado cuentan con tarima para brindar altura al estar revisando producto</t>
  </si>
  <si>
    <t>Puesto de trabajo sin mesa de trabajo, cuenta con tarima, sin exposicion a rayos uv</t>
  </si>
  <si>
    <t>Recepcion de bins</t>
  </si>
  <si>
    <t>Verificar llenado de  bins y cambiarlo con ayuda de  tras paletero. En ocaciones se utilizan combos (cajas de carton)</t>
  </si>
  <si>
    <t>Flujos en sala con demarcaciones</t>
  </si>
  <si>
    <t>Puesto de trabajo sin exposicion a rayor uv, flujo de transpaletas en puesto de trabajo</t>
  </si>
  <si>
    <t>Reproceso</t>
  </si>
  <si>
    <t>Colaborador cuenta con gancho de reproceso, recorre lineas recogiendo producto que se encuentre en el piso y depositandolo en bandeja para luego lavar y reprocesarlo</t>
  </si>
  <si>
    <t>Gancho</t>
  </si>
  <si>
    <t>Puesto de trabajo sin exposicion a rayor uv</t>
  </si>
  <si>
    <t xml:space="preserve">Clavicula </t>
  </si>
  <si>
    <t>Colaborador recolecta pechugas que presentan hueso de clavicula, lo retira con ayuda de cuchillo</t>
  </si>
  <si>
    <t>Puesto de trabajo con linea a la altura de la cadera cuenta con tarimas, sin exposicion a rayos uv</t>
  </si>
  <si>
    <t>Transpaletero</t>
  </si>
  <si>
    <t>Transportar con transpaleta eléctrica productos en pallet o bins desde y hacia distintas aéreas</t>
  </si>
  <si>
    <t>Equipo Rodante Transpaleta</t>
  </si>
  <si>
    <t>Flujo de transito demarcado para transito de transpaletas</t>
  </si>
  <si>
    <t>Puesto de trabajo sobre equipo rodante que recorre planta general para traslado d eproductos sin exposicion a radiacion uv</t>
  </si>
  <si>
    <t>NO</t>
  </si>
  <si>
    <t xml:space="preserve">Maquinista </t>
  </si>
  <si>
    <t xml:space="preserve">Da partida y detiene maquina,regulan equipos atraves de trablero,mantiene limpieza de maquina, </t>
  </si>
  <si>
    <t>Maquina Critica</t>
  </si>
  <si>
    <t xml:space="preserve">Flujos de transito demarcado, equipos identifcados </t>
  </si>
  <si>
    <t xml:space="preserve">Equipos criticos de trabajo </t>
  </si>
  <si>
    <t>Laminado</t>
  </si>
  <si>
    <t>Revisan pechuga acomodandola en linea, retirando las que no son aptas y depositandolas en bandeja</t>
  </si>
  <si>
    <t>Rectificador de cuchillos</t>
  </si>
  <si>
    <t>retira cuchillos de lineas, transporta en carros, amola cuchillos y entrega cuchillos en lineas.</t>
  </si>
  <si>
    <t>Cuchillos - Rapid Still</t>
  </si>
  <si>
    <t>Sala exclusiva para rectificado de cuchillos, sin exposicion a Radiacion UV</t>
  </si>
  <si>
    <t>Utiliza cuhillo para el corte del producto, utilizando EPP tales como guantes anticortes, zapatos de seguridad, Proteccion auditiva</t>
  </si>
  <si>
    <t xml:space="preserve">Jefe de Línea </t>
  </si>
  <si>
    <t>Inspeccionar y velar por el correcto funcionamiento productivo y seguridad de los trabajadores.</t>
  </si>
  <si>
    <t>Puesto de trabajo sin barreras arquitectonicas</t>
  </si>
  <si>
    <t>Supervisor</t>
  </si>
  <si>
    <t xml:space="preserve">Envasado </t>
  </si>
  <si>
    <t>Pesador de producto</t>
  </si>
  <si>
    <t>Se llenan cajas con productos de pollos los cuales son sacados de cintas transportadoras, pesan las cajas en balanzas, se embalan para luego depositarlas en cintas.</t>
  </si>
  <si>
    <t>07:20 - 15:30 / 15:30 - 01:05</t>
  </si>
  <si>
    <t>180 Min</t>
  </si>
  <si>
    <t>Mesa de trabajo a la altura del torax, con alcances de linea adecuados.</t>
  </si>
  <si>
    <t>Envasado</t>
  </si>
  <si>
    <t>Distribuidor de producto</t>
  </si>
  <si>
    <t>Colaborador utilizando herramienta (rastrillo), llena caja con producto para distribuir a las pesadoras.</t>
  </si>
  <si>
    <t>labor desarrollada en volteador de bins arrastre de producto</t>
  </si>
  <si>
    <t>Envasador trutro corto/largo</t>
  </si>
  <si>
    <t>Colaboradora toma producto de linea y lo deposita en caja plastica y traslada en cinta, utiliza cuchillo estatico para corte de exceso</t>
  </si>
  <si>
    <t>Mesa de trabajo con alcances a menos de 55 cm</t>
  </si>
  <si>
    <t>alimentador Envasado multicabezal</t>
  </si>
  <si>
    <t>Colaboradora alimenta maquina con cajas plasticas</t>
  </si>
  <si>
    <t>Alcance libre de productos</t>
  </si>
  <si>
    <t>Carro materiales</t>
  </si>
  <si>
    <t>Personal de desplay y maquinista entran materiales de bodega con carro de cuatro ruedas o manualmente cuando es poca cantidad</t>
  </si>
  <si>
    <t>Carro transporte</t>
  </si>
  <si>
    <t>Sin exposicion a UV, alcance de productos sin disficultad</t>
  </si>
  <si>
    <t>Maquinista Termoselladora</t>
  </si>
  <si>
    <t xml:space="preserve">Da partida y detiene maquina,regulan, ponen rollos de desplay, traen rollos de bodega en carro de 4 ruedas mantiene limpieza de maquina, </t>
  </si>
  <si>
    <t>07:00 - 15:00 / 16:00 - 01:05</t>
  </si>
  <si>
    <t>360 Min</t>
  </si>
  <si>
    <t>Carro de transporte</t>
  </si>
  <si>
    <t>Puesto de trabajo libre de obstaculos sin mesa de trabajo fija</t>
  </si>
  <si>
    <t>Llenado de bandeja con pala</t>
  </si>
  <si>
    <t>Se realiza movimiento de producto desde bins a linea con pala plastica en todas las lineas envasado.</t>
  </si>
  <si>
    <t>Pala</t>
  </si>
  <si>
    <t xml:space="preserve">Libre de obstaculos, sin mesa de trabajo </t>
  </si>
  <si>
    <t xml:space="preserve">Levantamiento de bandeja </t>
  </si>
  <si>
    <t>Colaborador saca producto en bandeja para ser distribuida.</t>
  </si>
  <si>
    <t>Libre de manipulacion de objetos de trabajo, sin exposicion a UV</t>
  </si>
  <si>
    <t>Mesanina</t>
  </si>
  <si>
    <t>Puesto Fijo</t>
  </si>
  <si>
    <t xml:space="preserve">Revision visual de ave que pasa por carrusel y retiro de esta en caso de cumplir por calidad, siendo sacada y depositada en bandeja </t>
  </si>
  <si>
    <t>120 Min</t>
  </si>
  <si>
    <t>sin mesa de trabajo linea aerea para observar aves</t>
  </si>
  <si>
    <t>Centro Punta</t>
  </si>
  <si>
    <t>Colaborador retira ala desde linea posiciona en bandeja y va separando la punta de ala desde centro de ala mediante corte con cuchillo</t>
  </si>
  <si>
    <t>cuchillo</t>
  </si>
  <si>
    <t>Reenganchador</t>
  </si>
  <si>
    <t>Inspeccion visual de ave que pasa por carrusel, revisa pollos colgados de una pata para colgar, y cuelga en ganchos vacios aves.</t>
  </si>
  <si>
    <t>sin mesa de trabajo, libre de obstaculos.</t>
  </si>
  <si>
    <t>Cazuelero</t>
  </si>
  <si>
    <t>Pollo que es retirado de carrusel debe ser trozado de forma manual depositando diferentes partes del ave en bandejas</t>
  </si>
  <si>
    <t>60 min</t>
  </si>
  <si>
    <t>Mesa de trabajo con porta cuchillo</t>
  </si>
  <si>
    <t>Recoge producto de piso de todas la líneas las cuales son depositadas en bandejas las cuales son trasladadas a las estación de reproceso para sanitizarlo. Utilizan gancho para acercar productos que se encuentren bajo las lineas</t>
  </si>
  <si>
    <t>Elementos a la altura necesaria para el alcance con porta gancho en el carro</t>
  </si>
  <si>
    <t>Transporte Cazuela</t>
  </si>
  <si>
    <t>Realiza transporte de producto (Cazuela) en carro para luego depositarlo en linea.</t>
  </si>
  <si>
    <t>Sin mesa de trabajo, con carro de transporte de 4 ruedas y aza para manipulacion</t>
  </si>
  <si>
    <t>Maquinista</t>
  </si>
  <si>
    <t>Puesto de trabajo sin exposicion a radiacion UV</t>
  </si>
  <si>
    <t>Paletizado Fresco</t>
  </si>
  <si>
    <t>Postura de bolsa y pañal</t>
  </si>
  <si>
    <t>Extrae cajas desde línea aérea para luego colocar bolsa y pañal en su interior</t>
  </si>
  <si>
    <t>06:45 - 15:55 / 14:55 - 00:20</t>
  </si>
  <si>
    <t>150 Min</t>
  </si>
  <si>
    <t>Preparatorias</t>
  </si>
  <si>
    <t>Mesa de trabajo con polines para arrastre de cajas</t>
  </si>
  <si>
    <t>Utiliza cuhillo para el corte del zuncho, utilizando EPP tales, zapatos de seguridad, Proteccion auditiva</t>
  </si>
  <si>
    <t>PC global</t>
  </si>
  <si>
    <t>Con pistola verificadora de códigos captura códigos de cajas que vienen por linea, los imprime y pega en cajas</t>
  </si>
  <si>
    <t>300 min</t>
  </si>
  <si>
    <t>Computador - Pistola capturadora</t>
  </si>
  <si>
    <t>Utiliza cuhillo para el corte del prodcuto, utilizando EPP tales, zapatos de seguridad, Proteccion auditiva</t>
  </si>
  <si>
    <t>Transportar con transpaleta electrica productos en pallet o bins desde y hacia distintas áreas</t>
  </si>
  <si>
    <t>Transpaleta</t>
  </si>
  <si>
    <t>Utiliza cuhillo para el corte del prodcuto, utilizando EPP tales, zapatos de seguridad, Proteccion auditiva y chaleco reflectante</t>
  </si>
  <si>
    <t>Verifica visualmente Funcionamiento de maquinas, realizar limpieza tunel semil, tunel POLYPACK  1,2 y3 y tunel selladora ROCHMAN 1 Y 2</t>
  </si>
  <si>
    <t xml:space="preserve">Labores desarrolladas en maquina </t>
  </si>
  <si>
    <t>Administrativo</t>
  </si>
  <si>
    <t>Realiza Digitación en PC</t>
  </si>
  <si>
    <t>Computador</t>
  </si>
  <si>
    <t>Computador en oficina, libre de filtro UV</t>
  </si>
  <si>
    <t>Paletizador</t>
  </si>
  <si>
    <t>Paletizan cajas con producto.  Al terminar colocan esquineros de cartón en pallets con producto terminado, en donde también envuelven estos pallets con film manual.</t>
  </si>
  <si>
    <t>Libre de obstaculos con mesa de polines para deslizamiento de carga</t>
  </si>
  <si>
    <t xml:space="preserve">Libre de exposicion a radiacion uv, trabajo de oficina </t>
  </si>
  <si>
    <t>Trozado L1</t>
  </si>
  <si>
    <t>Pesador de producto derecha</t>
  </si>
  <si>
    <t>07:05 - 15:05  15:15 - 00:15</t>
  </si>
  <si>
    <t>Mesa de trabajo  a la altura de la cadera alcalces adecuado</t>
  </si>
  <si>
    <t>Trozado L2</t>
  </si>
  <si>
    <t>Pesador de producto izquierda</t>
  </si>
  <si>
    <t>Trozado L5</t>
  </si>
  <si>
    <t>Selección de  (trutro)</t>
  </si>
  <si>
    <t>Se extrae todo trutro que presente costilla.</t>
  </si>
  <si>
    <t>Sobre tarima, con sillas para trabajar linealmente</t>
  </si>
  <si>
    <t>Utiliza cuhillo para el corte del producto, utilizando EPP tales, zapatos de seguridad, Proteccion auditiva</t>
  </si>
  <si>
    <t>Embalado de producto en termoformadora</t>
  </si>
  <si>
    <t>Se extrae producto desde tolva y es embalado en cajas pequeñas</t>
  </si>
  <si>
    <t>Colaboradores sobre tarimas, con mesa de trabajo a la altura de la cadera</t>
  </si>
  <si>
    <t>Chequeador de peso</t>
  </si>
  <si>
    <t>Colaborador supervisa producto de forma visual y debe regular el peso establecidos con las cajas con producto, de ser necesario</t>
  </si>
  <si>
    <t>Mesa con polines para arrastre de cajas</t>
  </si>
  <si>
    <t>Traslape</t>
  </si>
  <si>
    <t>Colaborador supervisa producto y lo tapa  de ser requerido.</t>
  </si>
  <si>
    <t>06:45 - 15:05  15:05 - 23:55</t>
  </si>
  <si>
    <t>mesa de trabajo lineal, libre de obstaculos.</t>
  </si>
  <si>
    <t>Volteador de bins</t>
  </si>
  <si>
    <t>Colaborado es encargado de abastecer de producto a speet batcher. Con transpaleta posicionan bins con producto en volteador automatizado. Luego retiran bins desocupando de manera manual.</t>
  </si>
  <si>
    <t>Sin mesa de trabajo, manipulación desde botonera</t>
  </si>
  <si>
    <t>Recolgado</t>
  </si>
  <si>
    <t>Recuelga pollo proveniente de volteador de bins</t>
  </si>
  <si>
    <t>Trozado</t>
  </si>
  <si>
    <t>Tranferidor</t>
  </si>
  <si>
    <t xml:space="preserve">Retira pollos en bins y los traslada con transpaleta hacia volteador </t>
  </si>
  <si>
    <t>Sin mesa de trabajo manipula transpaleta desde transferidor a lineas productivas y volteador</t>
  </si>
  <si>
    <t>Trozado manual</t>
  </si>
  <si>
    <t>Troza Trutros de pollo con cuchillo y los deposita en bandejas plásticas, Por contingencia se troza trutro fuera de linea en mesas y producto es depositado en Bins. Una vez terminado uso cuchillo deja en esterilizador.</t>
  </si>
  <si>
    <t>Regulan maquina, verifica partida, detienen modulos, repuestos, estado de cuchillos, en general velan por el buen funcionamiento productivo y mecánico de maquinas HC.</t>
  </si>
  <si>
    <t>Fechado</t>
  </si>
  <si>
    <t>Coloca etiquetas con códigos y fechas a bolsas de productos</t>
  </si>
  <si>
    <t>Embalado pollo personal</t>
  </si>
  <si>
    <t>Extraen producto de cinta y es depositado en cajas las cuales son pesadas en balanza, embaladas y depositadas en cintas transportadoras.</t>
  </si>
  <si>
    <t>Programador</t>
  </si>
  <si>
    <t>Programa cortes del producto, revisa proceso, cordina movimiento de productos en bins y en ocasiones mueve bins con transpaleta manual.</t>
  </si>
  <si>
    <t>Mesa de trabajo en PC para digitación</t>
  </si>
  <si>
    <t>Vacio espinazo</t>
  </si>
  <si>
    <t xml:space="preserve">Llena bins con producto cuando colapsa vacio,  pone bins vacios cuando es retirado el lleno. Monitorear en forma visual el buen funcionamiento de vacio y retiro manual de materia prima, tales como: pechuga, trutro, trutro ala o pollo entero. </t>
  </si>
  <si>
    <t>Mesa con buen alcance para movilizacion de producto con paleta</t>
  </si>
  <si>
    <t>Vacio punta espinazo</t>
  </si>
  <si>
    <t>Trozado manual cazuela</t>
  </si>
  <si>
    <t>Extrae producto de bandejas receptoras y deposita en bandejas, retira hueso de producto con cuchillo y una vez limpio lo transporta con carro de 4 ruedas a caída correspondiente.</t>
  </si>
  <si>
    <t>Mesa de facil alcances, con chute para deposito de producto.</t>
  </si>
  <si>
    <t>Traslado de Decomiso</t>
  </si>
  <si>
    <t>Selección de centro de ala. Este se deposita en caja para vaciar en bins</t>
  </si>
  <si>
    <t>Carro para transportar bandejas</t>
  </si>
  <si>
    <t>Selección centro ala</t>
  </si>
  <si>
    <t>Se debe sacar todo el centro del ala que presente choise (Ala con hematoma, centro punta, etc). Se realiza selección del centro del ala.</t>
  </si>
  <si>
    <t xml:space="preserve">Mesa de trabajp a la altura de los hombros </t>
  </si>
  <si>
    <t xml:space="preserve">Selección trutro ala </t>
  </si>
  <si>
    <t>Se debe sacar todo el trutro del ala que  presente choise (Ala con hematoma, centro punta, etc). Se realiza selección del centro del ala.</t>
  </si>
  <si>
    <t>Linea con mesa para realizar la seleccion, cuenta con silla parado sentado para la labor</t>
  </si>
  <si>
    <t>Mezclas</t>
  </si>
  <si>
    <t>Cae trutro de ala a bins, a traves de una cinta transportadora. Se extrae con pala centro de ala de otro bins y se mezcla ambos de forma manual.</t>
  </si>
  <si>
    <t>Trabajo directo desde bins</t>
  </si>
  <si>
    <t>Embalaje de producto</t>
  </si>
  <si>
    <t xml:space="preserve">Colaborador toma productos de linea y arma cajas para luego despacharlas por lineas </t>
  </si>
  <si>
    <t>06:55 - 14:55 / 14:55 - 00:20</t>
  </si>
  <si>
    <t>Flujo demarcado, libre de barreras sobre tarima</t>
  </si>
  <si>
    <t xml:space="preserve">Sobre tarima mesa de trabajo con polines </t>
  </si>
  <si>
    <t xml:space="preserve"> utilizando EPP tales, zapatos de seguridad, Proteccion auditiva</t>
  </si>
  <si>
    <t>Deshuesado Trutro</t>
  </si>
  <si>
    <t>Despieladora</t>
  </si>
  <si>
    <t xml:space="preserve">Persona trabajadora toma desde linea trutro y lo posiciona en linea para que equipo retire piel </t>
  </si>
  <si>
    <t>Flujo demarcado, se posciona sobre tarima en altura.</t>
  </si>
  <si>
    <t>Mesa de trabajo con buen alcance del producto, sin barreras, sin radiacion UV</t>
  </si>
  <si>
    <t>Colgado Trutro</t>
  </si>
  <si>
    <t>Persona trabajadora toma trutro desde linea para colgarlo en linea aerea</t>
  </si>
  <si>
    <t xml:space="preserve">Persona trabajadora toma trutro desde linea, realizando cortes para retiro de tendon y luego deposita producto en linea </t>
  </si>
  <si>
    <t>Revision de trutro</t>
  </si>
  <si>
    <t>Persona trabajadora toma el producto que este con desviaciones y lo posiciona en bandejas</t>
  </si>
  <si>
    <t>Persona trabajadora toma el trutro y con ayuda del cuchillo retira hueso para luego posicionar en linea</t>
  </si>
  <si>
    <t>Trabajo repetitivo de miembros superiores.</t>
  </si>
  <si>
    <t>Postura de trabajo estática - Forzada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</si>
  <si>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</si>
  <si>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</si>
  <si>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</si>
  <si>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</si>
  <si>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</si>
  <si>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</si>
  <si>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</si>
  <si>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t>¿Existe una o más tareas donde utilice las manos y miembros superiores con una 
duración total de una hora o más durante la jornada laboral y con un tiempo total de 5 
o más horas a la semana? Por ejemplo: Donde se tenga que armar, limpiar, apretar, 
lanzar, cortar, presionar, desarmar, atornillar, desatornillar, digitar.
1 tarea repetitiva: conjunto de ciclos de trabajo realizados por uno o más segmentos de 
las extremidades superiores, donde repetitividad se caracteriza por al menos uno de los 
siguientes criterios: i) El tiempo de ciclo es inferior a 30 segundos en promedio. ii) Los 
mismos patrones biomecánicos se repiten por más del 50% del ciclo. En general, el ritmo 
de trabajo está determinado por factor externo al trabajador, ejemplo, líneas de 
producción, velocidad de una máquina, entre otros</t>
  </si>
  <si>
    <t>Existen posturas de trabajo estáticas de cabeza/cuello, tronco y/o miembros 
superiores e inferiores, mantenidas durante más de 4 segundos, en la que se pueden 
dar ligeras variaciones alrededor de un mismo nivel de fuerza generado por los 
músculos y otras estructuras corporales?
Por ejemplo: Donde se observe estar con la cabeza inclinada hacia adelante o atrás, 
cabeza rotada permanentemente hacia algún lado, hombros situados por delante de 
las caderas de manera continua, tronco rotado o inclinado para sostener o movilizar 
objetos</t>
  </si>
  <si>
    <t>Para el Levantamiento/Descenso/Transporte: ¿Existe levantamiento, descenso o transporte manual de un objeto de 3kg o más? Por ejemplo: Se observa que levanta, sostiene, transporta, desplaza, moviliza, ubica con precisión ordenando, apila, paletiza.</t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</si>
  <si>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</si>
  <si>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</si>
  <si>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t>Están los trabajadores en contacto con una fuente de vibración de cuerpo entero 
perceptible por el trabajador/a? Se presenta en cercanía de máquinas donde se percibe la vibración, superficies vibrantes donde se está de pie o sentado como en maquinaria pesada y de conducción.</t>
  </si>
  <si>
    <t>Están los trabajadores/as en contacto con una fuente de vibración perceptible por el 
trabajador del segmento mano-brazo? Por ejemplo: Se presenta en situaciones de 
manejo de herramientas neumáticas o eléctricas, atornilladores o destornilladores  neumáticos o eléctricos, uso de herramientas con impacto como martillos, cinceles, herramientas percutoras como taladros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</si>
  <si>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</si>
  <si>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</si>
  <si>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</si>
  <si>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</si>
  <si>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</si>
  <si>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</si>
  <si>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</si>
  <si>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</si>
  <si>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</si>
  <si>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</si>
  <si>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</si>
  <si>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</si>
  <si>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</si>
  <si>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</si>
  <si>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programadas  (excluyendo la pausa para almuerzo)</t>
  </si>
  <si>
    <t>¿La duración total de las tareas repetitivas no excede las 4 horas totales dentro de la jornada laboral?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</si>
  <si>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</si>
  <si>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</si>
  <si>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</si>
  <si>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</si>
  <si>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</si>
  <si>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8 horas?</t>
  </si>
  <si>
    <t>¿La duración total de las tareas repetitivas excede 4 horas totales dentro de la jornada laboral?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</si>
  <si>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</si>
  <si>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</si>
  <si>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</si>
  <si>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</si>
  <si>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</si>
  <si>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</si>
  <si>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</si>
  <si>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No Critico</t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</si>
  <si>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</si>
  <si>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</si>
  <si>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</si>
  <si>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</si>
  <si>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</si>
  <si>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</si>
  <si>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</si>
  <si>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</si>
  <si>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</si>
  <si>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</si>
  <si>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</si>
  <si>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</si>
  <si>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</si>
  <si>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</t>
  </si>
  <si>
    <t>Si está sentado, ¿la curvatura de la espalda se mantiene no forzada?</t>
  </si>
  <si>
    <t>Miembro con mayor exigencia</t>
  </si>
  <si>
    <t>¿Están ausentes las posturas forzadas de  MMSS (Miembros Superiores)?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</si>
  <si>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</si>
  <si>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</si>
  <si>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</si>
  <si>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codo?</t>
  </si>
  <si>
    <t>¿Está ausente el giro extremo de muñeca?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</si>
  <si>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</si>
  <si>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</si>
  <si>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</si>
  <si>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</si>
  <si>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</si>
  <si>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</si>
  <si>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</si>
  <si>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 continuos?</t>
  </si>
  <si>
    <t>¿Está la cabeza extendida (inclinada hacia atrás) sin apoyo?</t>
  </si>
  <si>
    <t>¿Está la cabeza en flexión (inclinacion hacia adelante) de 25° o mas?</t>
  </si>
  <si>
    <t>¿Está la cabeza en flexión (aunque sea levemente ) durante mas de 8 minutos continuos?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</si>
  <si>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</si>
  <si>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</si>
  <si>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</si>
  <si>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 continuos?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</si>
  <si>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</si>
  <si>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</si>
  <si>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</si>
  <si>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</si>
  <si>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</si>
  <si>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</si>
  <si>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</si>
  <si>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Derecha</t>
  </si>
  <si>
    <t>Izquierda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</si>
  <si>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</si>
  <si>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</si>
  <si>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</si>
  <si>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</si>
  <si>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</si>
  <si>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</si>
  <si>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</si>
  <si>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</si>
  <si>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Ausencia de posturas inadecuadas durante el transporte de la carga</t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</si>
  <si>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</si>
  <si>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</si>
  <si>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</si>
  <si>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</si>
  <si>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</si>
  <si>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</si>
  <si>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</si>
  <si>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</si>
  <si>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</si>
  <si>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</si>
  <si>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</si>
  <si>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</si>
  <si>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</si>
  <si>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</si>
  <si>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</si>
  <si>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</si>
  <si>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</si>
  <si>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</si>
  <si>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</si>
  <si>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</si>
  <si>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</si>
  <si>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</si>
  <si>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</si>
  <si>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</si>
  <si>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</si>
  <si>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</si>
  <si>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</si>
  <si>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</si>
  <si>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</si>
  <si>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</si>
  <si>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</si>
  <si>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</si>
  <si>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</si>
  <si>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</si>
  <si>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</si>
  <si>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</si>
  <si>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</si>
  <si>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</si>
  <si>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</si>
  <si>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</si>
  <si>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</si>
  <si>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</si>
  <si>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</si>
  <si>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</si>
  <si>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</si>
  <si>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</si>
  <si>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</si>
  <si>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</si>
  <si>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</si>
  <si>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</si>
  <si>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</si>
  <si>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</si>
  <si>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</si>
  <si>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</si>
  <si>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</si>
  <si>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</si>
  <si>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</si>
  <si>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</si>
  <si>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</si>
  <si>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</si>
  <si>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</si>
  <si>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</si>
  <si>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</si>
  <si>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</si>
  <si>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</si>
  <si>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</si>
  <si>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</si>
  <si>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</si>
  <si>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</si>
  <si>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</si>
  <si>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</si>
  <si>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</si>
  <si>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</si>
  <si>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</si>
  <si>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</si>
  <si>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</si>
  <si>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</si>
  <si>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</si>
  <si>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</si>
  <si>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</si>
  <si>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</si>
  <si>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</si>
  <si>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</si>
  <si>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</si>
  <si>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</si>
  <si>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</si>
  <si>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</si>
  <si>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</si>
  <si>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</si>
  <si>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</si>
  <si>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</si>
  <si>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</si>
  <si>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</si>
  <si>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</si>
  <si>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</si>
  <si>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</si>
  <si>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</si>
  <si>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</si>
  <si>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</si>
  <si>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</si>
  <si>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</si>
  <si>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</si>
  <si>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</si>
  <si>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</si>
  <si>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</si>
  <si>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</si>
  <si>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</si>
  <si>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</si>
  <si>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</si>
  <si>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</si>
  <si>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</si>
  <si>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</si>
  <si>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</si>
  <si>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</si>
  <si>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</si>
  <si>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</si>
  <si>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</si>
  <si>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</si>
  <si>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</si>
  <si>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</si>
  <si>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</si>
  <si>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</si>
  <si>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</si>
  <si>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</si>
  <si>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</si>
  <si>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</si>
  <si>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</si>
  <si>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</si>
  <si>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</si>
  <si>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</si>
  <si>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</si>
  <si>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</si>
  <si>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</si>
  <si>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</si>
  <si>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</si>
  <si>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operar maquinarias o herramientas vibrantes por periodos prolongados mayores a 30 minutos todos los días? Se define como límite inferior de 0,5 horas
según D.S 594.</t>
  </si>
  <si>
    <t>¿Las herramientas que se utilizan no están diseñadas para la tarea realizada? ¿Las herramientas son hechizas?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</si>
  <si>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</si>
  <si>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</si>
  <si>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</si>
  <si>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</si>
  <si>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</si>
  <si>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</si>
  <si>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</si>
  <si>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</si>
  <si>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</si>
  <si>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¿Se sobrepasa el criterio de accion de 0,5 m/s2?</t>
  </si>
  <si>
    <t>¿Existe desconocimiento por parte de los trabajadores sobre los riesgos relacionados con las vibraciones de cuerpo completo?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</si>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</sst>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CHS Nueva Sans"/>
    </font>
    <font>
      <sz val="11"/>
      <color rgb="FF000000"/>
      <name val="Calibri"/>
      <family val="2"/>
    </font>
    <font>
      <sz val="10"/>
      <color rgb="FF002060"/>
      <name val="Arial Narrow"/>
      <family val="2"/>
    </font>
    <font>
      <sz val="10"/>
      <color rgb="FF000000"/>
      <name val="Calibri"/>
      <family val="2"/>
    </font>
    <font>
      <sz val="10"/>
      <color rgb="FF002060"/>
      <name val="ACHS Nueva Sans"/>
    </font>
    <font>
      <sz val="11"/>
      <color rgb="FF002060"/>
      <name val="Aptos Narrow"/>
      <family val="2"/>
      <scheme val="minor"/>
    </font>
    <font>
      <sz val="11"/>
      <color rgb="FF00000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1" tint="4.9989318521683403E-2"/>
      </left>
      <right/>
      <top style="thin">
        <color indexed="64"/>
      </top>
      <bottom style="thin">
        <color indexed="64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thin">
        <color theme="3" tint="0.89999084444715716"/>
      </top>
      <bottom style="thin">
        <color theme="3" tint="0.89999084444715716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5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4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8" fillId="9" borderId="1" xfId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9" borderId="0" xfId="0" applyFont="1" applyFill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horizontal="left" vertical="center" wrapText="1"/>
      <protection locked="0"/>
    </xf>
    <xf numFmtId="0" fontId="20" fillId="10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21" fillId="0" borderId="1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1" fillId="0" borderId="4" xfId="0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21" fillId="0" borderId="15" xfId="0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10" fillId="8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23" fillId="4" borderId="2" xfId="0" applyFont="1" applyFill="1" applyBorder="1" applyAlignment="1">
      <alignment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4" fillId="5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left" vertical="center" wrapText="1" indent="1"/>
    </xf>
    <xf numFmtId="0" fontId="27" fillId="3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wrapText="1"/>
    </xf>
    <xf numFmtId="0" fontId="0" fillId="0" borderId="24" xfId="0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30" fillId="9" borderId="1" xfId="0" applyFont="1" applyFill="1" applyBorder="1" applyAlignment="1" applyProtection="1">
      <alignment vertical="center" wrapText="1"/>
      <protection locked="0"/>
    </xf>
    <xf numFmtId="0" fontId="30" fillId="9" borderId="1" xfId="0" applyFont="1" applyFill="1" applyBorder="1" applyAlignment="1" applyProtection="1">
      <alignment horizontal="left" vertical="center" wrapText="1"/>
      <protection locked="0"/>
    </xf>
    <xf numFmtId="14" fontId="30" fillId="9" borderId="1" xfId="0" applyNumberFormat="1" applyFont="1" applyFill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>
      <alignment horizontal="center" vertical="center"/>
    </xf>
    <xf numFmtId="0" fontId="30" fillId="9" borderId="4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>
      <alignment horizontal="left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27" fillId="12" borderId="4" xfId="0" applyFont="1" applyFill="1" applyBorder="1" applyAlignment="1">
      <alignment vertical="center" wrapText="1"/>
    </xf>
    <xf numFmtId="0" fontId="26" fillId="11" borderId="1" xfId="0" applyFont="1" applyFill="1" applyBorder="1" applyAlignment="1">
      <alignment horizontal="left" vertical="center" wrapText="1" indent="1"/>
    </xf>
    <xf numFmtId="0" fontId="32" fillId="3" borderId="4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1" borderId="1" xfId="0" applyFill="1" applyBorder="1" applyAlignment="1">
      <alignment vertical="center"/>
    </xf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 applyProtection="1">
      <alignment horizontal="center" vertical="center" wrapText="1"/>
      <protection locked="0"/>
    </xf>
    <xf numFmtId="0" fontId="30" fillId="9" borderId="6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 wrapText="1"/>
    </xf>
    <xf numFmtId="0" fontId="1" fillId="4" borderId="27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 applyProtection="1">
      <alignment horizontal="center" vertical="center" wrapText="1"/>
      <protection locked="0"/>
    </xf>
    <xf numFmtId="0" fontId="14" fillId="5" borderId="8" xfId="0" applyFont="1" applyFill="1" applyBorder="1" applyAlignment="1" applyProtection="1">
      <alignment horizontal="center" vertical="center" wrapText="1"/>
      <protection locked="0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70"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-0.1548840028471018"/>
                  <c:y val="-6.7788260701646522E-2"/>
                </c:manualLayout>
              </c:layout>
              <c:tx>
                <c:rich>
                  <a:bodyPr/>
                  <a:lstStyle/>
                  <a:p>
                    <a:fld id="{D5246DA2-AB99-45E1-A9A3-52466631601D}" type="PERCENTAGE">
                      <a:rPr lang="en-US">
                        <a:solidFill>
                          <a:schemeClr val="bg1"/>
                        </a:solidFill>
                      </a:rPr>
                      <a:pPr/>
                      <a:t>[]</a:t>
                    </a:fld>
                    <a:endParaRPr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Portada!$G$1:$H$1</c:f>
              <c:strCache>
                <c:ptCount val="2"/>
                <c:pt idx="0">
                  <c:v>Evaluados</c:v>
                </c:pt>
                <c:pt idx="1">
                  <c:v>Pendientes</c:v>
                </c:pt>
              </c:strCache>
            </c:strRef>
          </c:cat>
          <c:val>
            <c:numRef>
              <c:f>Portada!$G$2:$H$2</c:f>
              <c:numCache>
                <c:formatCode>General</c:formatCode>
                <c:ptCount val="2"/>
                <c:pt idx="0">
                  <c:v>65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2</xdr:row>
      <xdr:rowOff>49530</xdr:rowOff>
    </xdr:from>
    <xdr:to>
      <xdr:col>7</xdr:col>
      <xdr:colOff>662940</xdr:colOff>
      <xdr:row>6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AMUNOZC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showGridLines="0" workbookViewId="0">
      <selection activeCell="H2" sqref="H2"/>
    </sheetView>
  </sheetViews>
  <sheetFormatPr defaultColWidth="11.42578125" defaultRowHeight="14.45"/>
  <cols>
    <col min="1" max="1" width="26.28515625" style="1" customWidth="1"/>
    <col min="2" max="2" width="41.42578125" customWidth="1"/>
    <col min="3" max="3" width="16.28515625" customWidth="1"/>
    <col min="4" max="4" width="13.140625" style="32" customWidth="1"/>
    <col min="5" max="5" width="1.28515625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16.899999999999999" customHeight="1" thickBot="1">
      <c r="A1" s="119" t="s">
        <v>0</v>
      </c>
      <c r="B1" s="119"/>
      <c r="C1" s="119"/>
      <c r="D1" s="119"/>
      <c r="F1" s="36" t="s">
        <v>1</v>
      </c>
      <c r="G1" s="36" t="s">
        <v>2</v>
      </c>
      <c r="H1" s="36" t="s">
        <v>3</v>
      </c>
    </row>
    <row r="2" spans="1:8" ht="22.15" customHeight="1" thickBot="1">
      <c r="A2" s="35" t="s">
        <v>4</v>
      </c>
      <c r="B2" s="101" t="s">
        <v>5</v>
      </c>
      <c r="C2" s="28" t="s">
        <v>6</v>
      </c>
      <c r="D2" s="102" t="s">
        <v>7</v>
      </c>
      <c r="F2" s="104">
        <f>COUNTIF(Datos!A:T,"Procesos")</f>
        <v>68</v>
      </c>
      <c r="G2" s="104">
        <f>COUNTIF(Datos!T:T,"SI")</f>
        <v>65</v>
      </c>
      <c r="H2" s="104">
        <f>COUNTIF(Datos!T:T,"NO")</f>
        <v>3</v>
      </c>
    </row>
    <row r="3" spans="1:8" ht="25.9" customHeight="1">
      <c r="A3" s="35" t="s">
        <v>8</v>
      </c>
      <c r="B3" s="101" t="s">
        <v>9</v>
      </c>
      <c r="C3" s="28" t="s">
        <v>10</v>
      </c>
      <c r="D3" s="102"/>
    </row>
    <row r="4" spans="1:8" ht="22.15" customHeight="1">
      <c r="A4" s="35" t="s">
        <v>11</v>
      </c>
      <c r="B4" s="101" t="s">
        <v>12</v>
      </c>
      <c r="C4" s="28" t="s">
        <v>13</v>
      </c>
      <c r="D4" s="102" t="s">
        <v>14</v>
      </c>
    </row>
    <row r="5" spans="1:8" ht="22.15" customHeight="1">
      <c r="A5" s="35" t="s">
        <v>15</v>
      </c>
      <c r="B5" s="101" t="s">
        <v>16</v>
      </c>
      <c r="C5" s="30"/>
      <c r="D5" s="101"/>
    </row>
    <row r="6" spans="1:8" ht="31.9" customHeight="1">
      <c r="A6" s="35" t="s">
        <v>17</v>
      </c>
      <c r="B6" s="101" t="s">
        <v>18</v>
      </c>
      <c r="C6" s="28" t="s">
        <v>19</v>
      </c>
      <c r="D6" s="103">
        <v>45440</v>
      </c>
    </row>
    <row r="7" spans="1:8" ht="22.15" customHeight="1">
      <c r="A7" s="120" t="s">
        <v>20</v>
      </c>
      <c r="B7" s="120"/>
      <c r="C7" s="120"/>
      <c r="D7" s="120"/>
    </row>
    <row r="8" spans="1:8" ht="33.6" customHeight="1">
      <c r="A8" s="35" t="s">
        <v>21</v>
      </c>
      <c r="B8" s="101" t="s">
        <v>22</v>
      </c>
      <c r="C8" s="121" t="s">
        <v>23</v>
      </c>
      <c r="D8" s="122"/>
    </row>
    <row r="9" spans="1:8" ht="22.15" customHeight="1">
      <c r="A9" s="35" t="s">
        <v>24</v>
      </c>
      <c r="B9" s="105" t="s">
        <v>12</v>
      </c>
      <c r="C9" s="28" t="s">
        <v>25</v>
      </c>
      <c r="D9" s="31"/>
    </row>
    <row r="10" spans="1:8" ht="22.15" customHeight="1">
      <c r="A10" s="35" t="s">
        <v>13</v>
      </c>
      <c r="B10" s="105" t="s">
        <v>14</v>
      </c>
      <c r="C10" s="28" t="s">
        <v>26</v>
      </c>
      <c r="D10" s="31"/>
    </row>
    <row r="11" spans="1:8" ht="22.15" customHeight="1">
      <c r="A11" s="120" t="s">
        <v>27</v>
      </c>
      <c r="B11" s="120"/>
      <c r="C11" s="120"/>
      <c r="D11" s="120"/>
    </row>
    <row r="12" spans="1:8" ht="22.15" customHeight="1">
      <c r="A12" s="35" t="s">
        <v>28</v>
      </c>
      <c r="B12" s="105" t="s">
        <v>29</v>
      </c>
      <c r="C12" s="28" t="s">
        <v>30</v>
      </c>
      <c r="D12" s="102">
        <v>722312747</v>
      </c>
    </row>
    <row r="13" spans="1:8" ht="22.15" customHeight="1">
      <c r="A13" s="35" t="s">
        <v>31</v>
      </c>
      <c r="B13" s="101" t="s">
        <v>32</v>
      </c>
      <c r="C13" s="33"/>
      <c r="D13" s="34"/>
    </row>
    <row r="14" spans="1:8" ht="22.15" customHeight="1">
      <c r="A14" s="35" t="s">
        <v>33</v>
      </c>
      <c r="B14" s="29" t="s">
        <v>34</v>
      </c>
    </row>
  </sheetData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T76"/>
  <sheetViews>
    <sheetView workbookViewId="0">
      <pane xSplit="4" ySplit="1" topLeftCell="E2" activePane="bottomRight" state="frozen"/>
      <selection pane="bottomRight" activeCell="D2" sqref="D2"/>
      <selection pane="bottomLeft" activeCell="A2" sqref="A2"/>
      <selection pane="topRight" activeCell="E1" sqref="E1"/>
    </sheetView>
  </sheetViews>
  <sheetFormatPr defaultColWidth="11.42578125" defaultRowHeight="14.45"/>
  <cols>
    <col min="1" max="1" width="3.140625" style="5" bestFit="1" customWidth="1"/>
    <col min="2" max="2" width="11.5703125" style="5"/>
    <col min="3" max="3" width="13.140625" style="7" customWidth="1"/>
    <col min="4" max="4" width="28.140625" style="5" customWidth="1"/>
    <col min="5" max="5" width="35.5703125" style="5" customWidth="1"/>
    <col min="6" max="6" width="13.42578125" style="5" customWidth="1"/>
    <col min="7" max="7" width="9.42578125" style="5" customWidth="1"/>
    <col min="8" max="8" width="9.140625" style="5" customWidth="1"/>
    <col min="9" max="9" width="10.140625" style="5" customWidth="1"/>
    <col min="10" max="10" width="11.5703125" style="5"/>
    <col min="11" max="11" width="10.7109375" style="5" customWidth="1"/>
    <col min="12" max="12" width="10.7109375" style="5" bestFit="1" customWidth="1"/>
    <col min="13" max="13" width="8.85546875" style="5" bestFit="1" customWidth="1"/>
    <col min="14" max="14" width="16.42578125" style="5" customWidth="1"/>
    <col min="15" max="16" width="11.5703125" style="5"/>
    <col min="17" max="17" width="34" style="5" customWidth="1"/>
    <col min="18" max="19" width="31.7109375" style="5" customWidth="1"/>
    <col min="20" max="20" width="11.5703125" style="7"/>
  </cols>
  <sheetData>
    <row r="1" spans="1:20" ht="99.6" customHeight="1">
      <c r="A1" s="26" t="s">
        <v>35</v>
      </c>
      <c r="B1" s="26" t="s">
        <v>36</v>
      </c>
      <c r="C1" s="26" t="s">
        <v>37</v>
      </c>
      <c r="D1" s="26" t="s">
        <v>38</v>
      </c>
      <c r="E1" s="26" t="s">
        <v>39</v>
      </c>
      <c r="F1" s="26" t="s">
        <v>40</v>
      </c>
      <c r="G1" s="23" t="s">
        <v>41</v>
      </c>
      <c r="H1" s="23" t="s">
        <v>42</v>
      </c>
      <c r="I1" s="23" t="s">
        <v>43</v>
      </c>
      <c r="J1" s="23" t="s">
        <v>44</v>
      </c>
      <c r="K1" s="26" t="s">
        <v>45</v>
      </c>
      <c r="L1" s="26" t="s">
        <v>46</v>
      </c>
      <c r="M1" s="26" t="s">
        <v>47</v>
      </c>
      <c r="N1" s="26" t="s">
        <v>48</v>
      </c>
      <c r="O1" s="26" t="s">
        <v>49</v>
      </c>
      <c r="P1" s="26" t="s">
        <v>50</v>
      </c>
      <c r="Q1" s="26" t="s">
        <v>51</v>
      </c>
      <c r="R1" s="26" t="s">
        <v>52</v>
      </c>
      <c r="S1" s="26" t="s">
        <v>53</v>
      </c>
      <c r="T1" s="27" t="s">
        <v>54</v>
      </c>
    </row>
    <row r="2" spans="1:20" ht="70.150000000000006" customHeight="1">
      <c r="A2" s="37">
        <v>1</v>
      </c>
      <c r="B2" s="89" t="s">
        <v>22</v>
      </c>
      <c r="C2" s="92" t="s">
        <v>55</v>
      </c>
      <c r="D2" s="114" t="s">
        <v>56</v>
      </c>
      <c r="E2" s="90" t="s">
        <v>57</v>
      </c>
      <c r="F2" s="90" t="s">
        <v>58</v>
      </c>
      <c r="G2" s="89" t="s">
        <v>59</v>
      </c>
      <c r="H2" s="89">
        <v>2</v>
      </c>
      <c r="I2" s="91">
        <v>209</v>
      </c>
      <c r="J2" s="91">
        <v>101</v>
      </c>
      <c r="K2" s="89" t="s">
        <v>60</v>
      </c>
      <c r="L2" s="89" t="s">
        <v>61</v>
      </c>
      <c r="M2" s="92" t="s">
        <v>62</v>
      </c>
      <c r="N2" s="89" t="s">
        <v>63</v>
      </c>
      <c r="O2" s="92" t="s">
        <v>64</v>
      </c>
      <c r="P2" s="92" t="s">
        <v>59</v>
      </c>
      <c r="Q2" s="92" t="s">
        <v>65</v>
      </c>
      <c r="R2" s="89" t="s">
        <v>66</v>
      </c>
      <c r="S2" s="89" t="s">
        <v>67</v>
      </c>
      <c r="T2" s="38" t="s">
        <v>64</v>
      </c>
    </row>
    <row r="3" spans="1:20" ht="70.150000000000006" customHeight="1">
      <c r="A3" s="37">
        <v>2</v>
      </c>
      <c r="B3" s="89" t="s">
        <v>22</v>
      </c>
      <c r="C3" s="92" t="s">
        <v>55</v>
      </c>
      <c r="D3" s="114" t="s">
        <v>68</v>
      </c>
      <c r="E3" s="90" t="s">
        <v>69</v>
      </c>
      <c r="F3" s="90" t="s">
        <v>58</v>
      </c>
      <c r="G3" s="89" t="s">
        <v>59</v>
      </c>
      <c r="H3" s="89">
        <v>2</v>
      </c>
      <c r="I3" s="91">
        <v>209</v>
      </c>
      <c r="J3" s="91">
        <v>101</v>
      </c>
      <c r="K3" s="89" t="s">
        <v>60</v>
      </c>
      <c r="L3" s="89" t="s">
        <v>61</v>
      </c>
      <c r="M3" s="92" t="s">
        <v>62</v>
      </c>
      <c r="N3" s="89" t="s">
        <v>63</v>
      </c>
      <c r="O3" s="92" t="s">
        <v>64</v>
      </c>
      <c r="P3" s="92" t="s">
        <v>70</v>
      </c>
      <c r="Q3" s="92" t="s">
        <v>71</v>
      </c>
      <c r="R3" s="89" t="s">
        <v>72</v>
      </c>
      <c r="S3" s="89" t="s">
        <v>73</v>
      </c>
      <c r="T3" s="38" t="s">
        <v>64</v>
      </c>
    </row>
    <row r="4" spans="1:20" ht="70.150000000000006" customHeight="1">
      <c r="A4" s="37">
        <v>3</v>
      </c>
      <c r="B4" s="89" t="s">
        <v>22</v>
      </c>
      <c r="C4" s="92" t="s">
        <v>55</v>
      </c>
      <c r="D4" s="114" t="s">
        <v>74</v>
      </c>
      <c r="E4" s="90" t="s">
        <v>75</v>
      </c>
      <c r="F4" s="90" t="s">
        <v>58</v>
      </c>
      <c r="G4" s="89" t="s">
        <v>59</v>
      </c>
      <c r="H4" s="89">
        <v>2</v>
      </c>
      <c r="I4" s="91">
        <v>209</v>
      </c>
      <c r="J4" s="91">
        <v>101</v>
      </c>
      <c r="K4" s="89" t="s">
        <v>60</v>
      </c>
      <c r="L4" s="89" t="s">
        <v>61</v>
      </c>
      <c r="M4" s="92" t="s">
        <v>76</v>
      </c>
      <c r="N4" s="89" t="s">
        <v>63</v>
      </c>
      <c r="O4" s="92" t="s">
        <v>64</v>
      </c>
      <c r="P4" s="92" t="s">
        <v>70</v>
      </c>
      <c r="Q4" s="92" t="s">
        <v>77</v>
      </c>
      <c r="R4" s="89" t="s">
        <v>78</v>
      </c>
      <c r="S4" s="89" t="s">
        <v>73</v>
      </c>
      <c r="T4" s="38" t="s">
        <v>64</v>
      </c>
    </row>
    <row r="5" spans="1:20" ht="70.150000000000006" customHeight="1">
      <c r="A5" s="37">
        <v>4</v>
      </c>
      <c r="B5" s="89" t="s">
        <v>22</v>
      </c>
      <c r="C5" s="92" t="s">
        <v>55</v>
      </c>
      <c r="D5" s="114" t="s">
        <v>79</v>
      </c>
      <c r="E5" s="90" t="s">
        <v>80</v>
      </c>
      <c r="F5" s="90" t="s">
        <v>58</v>
      </c>
      <c r="G5" s="89" t="s">
        <v>59</v>
      </c>
      <c r="H5" s="89">
        <v>2</v>
      </c>
      <c r="I5" s="91">
        <v>209</v>
      </c>
      <c r="J5" s="91">
        <v>101</v>
      </c>
      <c r="K5" s="89" t="s">
        <v>60</v>
      </c>
      <c r="L5" s="89" t="s">
        <v>61</v>
      </c>
      <c r="M5" s="92" t="s">
        <v>76</v>
      </c>
      <c r="N5" s="89" t="s">
        <v>63</v>
      </c>
      <c r="O5" s="92" t="s">
        <v>64</v>
      </c>
      <c r="P5" s="92" t="s">
        <v>59</v>
      </c>
      <c r="Q5" s="92" t="s">
        <v>81</v>
      </c>
      <c r="R5" s="89" t="s">
        <v>72</v>
      </c>
      <c r="S5" s="89" t="s">
        <v>73</v>
      </c>
      <c r="T5" s="38" t="s">
        <v>64</v>
      </c>
    </row>
    <row r="6" spans="1:20" ht="70.150000000000006" customHeight="1">
      <c r="A6" s="37">
        <v>5</v>
      </c>
      <c r="B6" s="89" t="s">
        <v>22</v>
      </c>
      <c r="C6" s="92" t="s">
        <v>55</v>
      </c>
      <c r="D6" s="114" t="s">
        <v>82</v>
      </c>
      <c r="E6" s="90" t="s">
        <v>83</v>
      </c>
      <c r="F6" s="90" t="s">
        <v>58</v>
      </c>
      <c r="G6" s="89" t="s">
        <v>59</v>
      </c>
      <c r="H6" s="89">
        <v>2</v>
      </c>
      <c r="I6" s="91">
        <v>209</v>
      </c>
      <c r="J6" s="91">
        <v>101</v>
      </c>
      <c r="K6" s="89" t="s">
        <v>60</v>
      </c>
      <c r="L6" s="89" t="s">
        <v>61</v>
      </c>
      <c r="M6" s="92" t="s">
        <v>76</v>
      </c>
      <c r="N6" s="89" t="s">
        <v>63</v>
      </c>
      <c r="O6" s="92" t="s">
        <v>64</v>
      </c>
      <c r="P6" s="92" t="s">
        <v>59</v>
      </c>
      <c r="Q6" s="92" t="s">
        <v>84</v>
      </c>
      <c r="R6" s="89" t="s">
        <v>85</v>
      </c>
      <c r="S6" s="89" t="s">
        <v>73</v>
      </c>
      <c r="T6" s="38" t="s">
        <v>64</v>
      </c>
    </row>
    <row r="7" spans="1:20" ht="70.150000000000006" customHeight="1">
      <c r="A7" s="37">
        <v>6</v>
      </c>
      <c r="B7" s="89" t="s">
        <v>22</v>
      </c>
      <c r="C7" s="92" t="s">
        <v>55</v>
      </c>
      <c r="D7" s="114" t="s">
        <v>86</v>
      </c>
      <c r="E7" s="90" t="s">
        <v>87</v>
      </c>
      <c r="F7" s="90" t="s">
        <v>58</v>
      </c>
      <c r="G7" s="89" t="s">
        <v>59</v>
      </c>
      <c r="H7" s="89">
        <v>2</v>
      </c>
      <c r="I7" s="91">
        <v>40</v>
      </c>
      <c r="J7" s="91">
        <v>20</v>
      </c>
      <c r="K7" s="89" t="s">
        <v>60</v>
      </c>
      <c r="L7" s="89" t="s">
        <v>61</v>
      </c>
      <c r="M7" s="92" t="s">
        <v>76</v>
      </c>
      <c r="N7" s="89" t="s">
        <v>63</v>
      </c>
      <c r="O7" s="92" t="s">
        <v>64</v>
      </c>
      <c r="P7" s="92" t="s">
        <v>59</v>
      </c>
      <c r="Q7" s="92" t="s">
        <v>88</v>
      </c>
      <c r="R7" s="89" t="s">
        <v>89</v>
      </c>
      <c r="S7" s="89" t="s">
        <v>73</v>
      </c>
      <c r="T7" s="38" t="s">
        <v>64</v>
      </c>
    </row>
    <row r="8" spans="1:20" ht="70.150000000000006" customHeight="1">
      <c r="A8" s="37">
        <v>7</v>
      </c>
      <c r="B8" s="89" t="s">
        <v>22</v>
      </c>
      <c r="C8" s="92" t="s">
        <v>55</v>
      </c>
      <c r="D8" s="114" t="s">
        <v>90</v>
      </c>
      <c r="E8" s="90" t="s">
        <v>91</v>
      </c>
      <c r="F8" s="90" t="s">
        <v>58</v>
      </c>
      <c r="G8" s="89" t="s">
        <v>59</v>
      </c>
      <c r="H8" s="89">
        <v>2</v>
      </c>
      <c r="I8" s="91">
        <v>40</v>
      </c>
      <c r="J8" s="91">
        <v>20</v>
      </c>
      <c r="K8" s="89" t="s">
        <v>60</v>
      </c>
      <c r="L8" s="89" t="s">
        <v>61</v>
      </c>
      <c r="M8" s="92" t="s">
        <v>76</v>
      </c>
      <c r="N8" s="89" t="s">
        <v>63</v>
      </c>
      <c r="O8" s="92" t="s">
        <v>64</v>
      </c>
      <c r="P8" s="93" t="s">
        <v>59</v>
      </c>
      <c r="Q8" s="92" t="s">
        <v>92</v>
      </c>
      <c r="R8" s="89" t="s">
        <v>93</v>
      </c>
      <c r="S8" s="89" t="s">
        <v>73</v>
      </c>
      <c r="T8" s="38" t="s">
        <v>64</v>
      </c>
    </row>
    <row r="9" spans="1:20" ht="70.150000000000006" customHeight="1">
      <c r="A9" s="37">
        <v>8</v>
      </c>
      <c r="B9" s="89" t="s">
        <v>22</v>
      </c>
      <c r="C9" s="92" t="s">
        <v>55</v>
      </c>
      <c r="D9" s="114" t="s">
        <v>94</v>
      </c>
      <c r="E9" s="90" t="s">
        <v>95</v>
      </c>
      <c r="F9" s="90" t="s">
        <v>58</v>
      </c>
      <c r="G9" s="89" t="s">
        <v>59</v>
      </c>
      <c r="H9" s="89">
        <v>2</v>
      </c>
      <c r="I9" s="91">
        <v>40</v>
      </c>
      <c r="J9" s="91">
        <v>20</v>
      </c>
      <c r="K9" s="89" t="s">
        <v>60</v>
      </c>
      <c r="L9" s="89" t="s">
        <v>61</v>
      </c>
      <c r="M9" s="92" t="s">
        <v>76</v>
      </c>
      <c r="N9" s="89" t="s">
        <v>63</v>
      </c>
      <c r="O9" s="92" t="s">
        <v>64</v>
      </c>
      <c r="P9" s="92" t="s">
        <v>96</v>
      </c>
      <c r="Q9" s="92" t="s">
        <v>97</v>
      </c>
      <c r="R9" s="89" t="s">
        <v>98</v>
      </c>
      <c r="S9" s="89" t="s">
        <v>73</v>
      </c>
      <c r="T9" s="38" t="s">
        <v>64</v>
      </c>
    </row>
    <row r="10" spans="1:20" ht="70.150000000000006" customHeight="1">
      <c r="A10" s="37">
        <v>9</v>
      </c>
      <c r="B10" s="89" t="s">
        <v>22</v>
      </c>
      <c r="C10" s="92" t="s">
        <v>55</v>
      </c>
      <c r="D10" s="115" t="s">
        <v>99</v>
      </c>
      <c r="E10" s="89" t="s">
        <v>100</v>
      </c>
      <c r="F10" s="89" t="s">
        <v>58</v>
      </c>
      <c r="G10" s="89" t="s">
        <v>59</v>
      </c>
      <c r="H10" s="89">
        <v>2</v>
      </c>
      <c r="I10" s="89">
        <v>40</v>
      </c>
      <c r="J10" s="89">
        <v>20</v>
      </c>
      <c r="K10" s="89" t="s">
        <v>60</v>
      </c>
      <c r="L10" s="89" t="s">
        <v>61</v>
      </c>
      <c r="M10" s="92" t="s">
        <v>76</v>
      </c>
      <c r="N10" s="89" t="s">
        <v>63</v>
      </c>
      <c r="O10" s="92" t="s">
        <v>64</v>
      </c>
      <c r="P10" s="92" t="s">
        <v>59</v>
      </c>
      <c r="Q10" s="92" t="s">
        <v>101</v>
      </c>
      <c r="R10" s="89" t="s">
        <v>102</v>
      </c>
      <c r="S10" s="89" t="s">
        <v>73</v>
      </c>
      <c r="T10" s="38" t="s">
        <v>64</v>
      </c>
    </row>
    <row r="11" spans="1:20" ht="70.150000000000006" customHeight="1">
      <c r="A11" s="37">
        <v>10</v>
      </c>
      <c r="B11" s="89" t="s">
        <v>22</v>
      </c>
      <c r="C11" s="92" t="s">
        <v>55</v>
      </c>
      <c r="D11" s="114" t="s">
        <v>103</v>
      </c>
      <c r="E11" s="90" t="s">
        <v>104</v>
      </c>
      <c r="F11" s="90" t="s">
        <v>58</v>
      </c>
      <c r="G11" s="89" t="s">
        <v>59</v>
      </c>
      <c r="H11" s="89">
        <v>2</v>
      </c>
      <c r="I11" s="91">
        <v>40</v>
      </c>
      <c r="J11" s="91">
        <v>20</v>
      </c>
      <c r="K11" s="89" t="s">
        <v>60</v>
      </c>
      <c r="L11" s="89" t="s">
        <v>61</v>
      </c>
      <c r="M11" s="92" t="s">
        <v>76</v>
      </c>
      <c r="N11" s="89" t="s">
        <v>63</v>
      </c>
      <c r="O11" s="92" t="s">
        <v>64</v>
      </c>
      <c r="P11" s="92" t="s">
        <v>105</v>
      </c>
      <c r="Q11" s="92" t="s">
        <v>101</v>
      </c>
      <c r="R11" s="89" t="s">
        <v>106</v>
      </c>
      <c r="S11" s="89" t="s">
        <v>73</v>
      </c>
      <c r="T11" s="38" t="s">
        <v>64</v>
      </c>
    </row>
    <row r="12" spans="1:20" ht="70.150000000000006" customHeight="1">
      <c r="A12" s="37">
        <v>11</v>
      </c>
      <c r="B12" s="89" t="s">
        <v>22</v>
      </c>
      <c r="C12" s="92" t="s">
        <v>55</v>
      </c>
      <c r="D12" s="115" t="s">
        <v>107</v>
      </c>
      <c r="E12" s="89" t="s">
        <v>108</v>
      </c>
      <c r="F12" s="90" t="s">
        <v>58</v>
      </c>
      <c r="G12" s="89" t="s">
        <v>59</v>
      </c>
      <c r="H12" s="89">
        <v>2</v>
      </c>
      <c r="I12" s="91">
        <v>40</v>
      </c>
      <c r="J12" s="91">
        <v>20</v>
      </c>
      <c r="K12" s="89" t="s">
        <v>60</v>
      </c>
      <c r="L12" s="89" t="s">
        <v>61</v>
      </c>
      <c r="M12" s="92" t="s">
        <v>76</v>
      </c>
      <c r="N12" s="89" t="s">
        <v>63</v>
      </c>
      <c r="O12" s="92" t="s">
        <v>64</v>
      </c>
      <c r="P12" s="92" t="s">
        <v>70</v>
      </c>
      <c r="Q12" s="92" t="s">
        <v>97</v>
      </c>
      <c r="R12" s="89" t="s">
        <v>109</v>
      </c>
      <c r="S12" s="89" t="s">
        <v>73</v>
      </c>
      <c r="T12" s="38" t="s">
        <v>64</v>
      </c>
    </row>
    <row r="13" spans="1:20" ht="70.150000000000006" customHeight="1">
      <c r="A13" s="37">
        <v>12</v>
      </c>
      <c r="B13" s="89" t="s">
        <v>22</v>
      </c>
      <c r="C13" s="92" t="s">
        <v>55</v>
      </c>
      <c r="D13" s="89" t="s">
        <v>110</v>
      </c>
      <c r="E13" s="89" t="s">
        <v>111</v>
      </c>
      <c r="F13" s="90" t="s">
        <v>58</v>
      </c>
      <c r="G13" s="89" t="s">
        <v>59</v>
      </c>
      <c r="H13" s="89">
        <v>2</v>
      </c>
      <c r="I13" s="91">
        <v>40</v>
      </c>
      <c r="J13" s="91">
        <v>20</v>
      </c>
      <c r="K13" s="89" t="s">
        <v>60</v>
      </c>
      <c r="L13" s="89" t="s">
        <v>61</v>
      </c>
      <c r="M13" s="92" t="s">
        <v>76</v>
      </c>
      <c r="N13" s="89" t="s">
        <v>63</v>
      </c>
      <c r="O13" s="92" t="s">
        <v>64</v>
      </c>
      <c r="P13" s="92" t="s">
        <v>112</v>
      </c>
      <c r="Q13" s="92" t="s">
        <v>113</v>
      </c>
      <c r="R13" s="89" t="s">
        <v>114</v>
      </c>
      <c r="S13" s="89" t="s">
        <v>73</v>
      </c>
      <c r="T13" s="38" t="s">
        <v>115</v>
      </c>
    </row>
    <row r="14" spans="1:20" ht="70.150000000000006" customHeight="1">
      <c r="A14" s="37">
        <v>13</v>
      </c>
      <c r="B14" s="89" t="s">
        <v>22</v>
      </c>
      <c r="C14" s="92" t="s">
        <v>55</v>
      </c>
      <c r="D14" s="115" t="s">
        <v>116</v>
      </c>
      <c r="E14" s="89" t="s">
        <v>117</v>
      </c>
      <c r="F14" s="90" t="s">
        <v>58</v>
      </c>
      <c r="G14" s="89" t="s">
        <v>59</v>
      </c>
      <c r="H14" s="89">
        <v>2</v>
      </c>
      <c r="I14" s="91">
        <v>40</v>
      </c>
      <c r="J14" s="91">
        <v>20</v>
      </c>
      <c r="K14" s="89" t="s">
        <v>60</v>
      </c>
      <c r="L14" s="89" t="s">
        <v>61</v>
      </c>
      <c r="M14" s="92" t="s">
        <v>76</v>
      </c>
      <c r="N14" s="89" t="s">
        <v>63</v>
      </c>
      <c r="O14" s="92" t="s">
        <v>64</v>
      </c>
      <c r="P14" s="92" t="s">
        <v>118</v>
      </c>
      <c r="Q14" s="92" t="s">
        <v>119</v>
      </c>
      <c r="R14" s="89" t="s">
        <v>120</v>
      </c>
      <c r="S14" s="89" t="s">
        <v>73</v>
      </c>
      <c r="T14" s="38" t="s">
        <v>64</v>
      </c>
    </row>
    <row r="15" spans="1:20" ht="70.150000000000006" customHeight="1">
      <c r="A15" s="37">
        <v>14</v>
      </c>
      <c r="B15" s="89" t="s">
        <v>22</v>
      </c>
      <c r="C15" s="92" t="s">
        <v>55</v>
      </c>
      <c r="D15" s="115" t="s">
        <v>121</v>
      </c>
      <c r="E15" s="89" t="s">
        <v>122</v>
      </c>
      <c r="F15" s="90" t="s">
        <v>58</v>
      </c>
      <c r="G15" s="89" t="s">
        <v>59</v>
      </c>
      <c r="H15" s="89">
        <v>2</v>
      </c>
      <c r="I15" s="91">
        <v>40</v>
      </c>
      <c r="J15" s="91">
        <v>20</v>
      </c>
      <c r="K15" s="89" t="s">
        <v>60</v>
      </c>
      <c r="L15" s="89" t="s">
        <v>61</v>
      </c>
      <c r="M15" s="92" t="s">
        <v>76</v>
      </c>
      <c r="N15" s="89" t="s">
        <v>63</v>
      </c>
      <c r="O15" s="92" t="s">
        <v>64</v>
      </c>
      <c r="P15" s="92" t="s">
        <v>59</v>
      </c>
      <c r="Q15" s="92" t="s">
        <v>92</v>
      </c>
      <c r="R15" s="89" t="s">
        <v>109</v>
      </c>
      <c r="S15" s="89" t="s">
        <v>73</v>
      </c>
      <c r="T15" s="38" t="s">
        <v>64</v>
      </c>
    </row>
    <row r="16" spans="1:20" ht="70.150000000000006" customHeight="1">
      <c r="A16" s="37">
        <v>15</v>
      </c>
      <c r="B16" s="89" t="s">
        <v>22</v>
      </c>
      <c r="C16" s="92" t="s">
        <v>55</v>
      </c>
      <c r="D16" s="115" t="s">
        <v>123</v>
      </c>
      <c r="E16" s="89" t="s">
        <v>124</v>
      </c>
      <c r="F16" s="90" t="s">
        <v>58</v>
      </c>
      <c r="G16" s="89" t="s">
        <v>59</v>
      </c>
      <c r="H16" s="89">
        <v>2</v>
      </c>
      <c r="I16" s="91">
        <v>2</v>
      </c>
      <c r="J16" s="91">
        <v>0</v>
      </c>
      <c r="K16" s="89" t="s">
        <v>60</v>
      </c>
      <c r="L16" s="89" t="s">
        <v>61</v>
      </c>
      <c r="M16" s="92" t="s">
        <v>76</v>
      </c>
      <c r="N16" s="89" t="s">
        <v>63</v>
      </c>
      <c r="O16" s="92" t="s">
        <v>64</v>
      </c>
      <c r="P16" s="92" t="s">
        <v>125</v>
      </c>
      <c r="Q16" s="92" t="s">
        <v>92</v>
      </c>
      <c r="R16" s="89" t="s">
        <v>126</v>
      </c>
      <c r="S16" s="89" t="s">
        <v>127</v>
      </c>
      <c r="T16" s="38" t="s">
        <v>64</v>
      </c>
    </row>
    <row r="17" spans="1:20" ht="70.150000000000006" customHeight="1">
      <c r="A17" s="37">
        <v>16</v>
      </c>
      <c r="B17" s="89" t="s">
        <v>22</v>
      </c>
      <c r="C17" s="92" t="s">
        <v>55</v>
      </c>
      <c r="D17" s="115" t="s">
        <v>128</v>
      </c>
      <c r="E17" s="89" t="s">
        <v>129</v>
      </c>
      <c r="F17" s="90" t="s">
        <v>58</v>
      </c>
      <c r="G17" s="89" t="s">
        <v>59</v>
      </c>
      <c r="H17" s="89">
        <v>2</v>
      </c>
      <c r="I17" s="91">
        <v>209</v>
      </c>
      <c r="J17" s="91">
        <v>101</v>
      </c>
      <c r="K17" s="89" t="s">
        <v>60</v>
      </c>
      <c r="L17" s="89" t="s">
        <v>61</v>
      </c>
      <c r="M17" s="92" t="s">
        <v>76</v>
      </c>
      <c r="N17" s="89" t="s">
        <v>63</v>
      </c>
      <c r="O17" s="92" t="s">
        <v>64</v>
      </c>
      <c r="P17" s="92" t="s">
        <v>59</v>
      </c>
      <c r="Q17" s="92" t="s">
        <v>92</v>
      </c>
      <c r="R17" s="89" t="s">
        <v>130</v>
      </c>
      <c r="S17" s="89" t="s">
        <v>73</v>
      </c>
      <c r="T17" s="38" t="s">
        <v>64</v>
      </c>
    </row>
    <row r="18" spans="1:20" ht="70.150000000000006" customHeight="1">
      <c r="A18" s="37">
        <v>17</v>
      </c>
      <c r="B18" s="89" t="s">
        <v>22</v>
      </c>
      <c r="C18" s="92" t="s">
        <v>55</v>
      </c>
      <c r="D18" s="115" t="s">
        <v>131</v>
      </c>
      <c r="E18" s="89" t="s">
        <v>129</v>
      </c>
      <c r="F18" s="90" t="s">
        <v>58</v>
      </c>
      <c r="G18" s="89" t="s">
        <v>59</v>
      </c>
      <c r="H18" s="89">
        <v>2</v>
      </c>
      <c r="I18" s="91">
        <v>209</v>
      </c>
      <c r="J18" s="91">
        <v>101</v>
      </c>
      <c r="K18" s="89" t="s">
        <v>60</v>
      </c>
      <c r="L18" s="89" t="s">
        <v>61</v>
      </c>
      <c r="M18" s="92" t="s">
        <v>76</v>
      </c>
      <c r="N18" s="89" t="s">
        <v>63</v>
      </c>
      <c r="O18" s="92" t="s">
        <v>64</v>
      </c>
      <c r="P18" s="92" t="s">
        <v>59</v>
      </c>
      <c r="Q18" s="92" t="s">
        <v>92</v>
      </c>
      <c r="R18" s="89" t="s">
        <v>130</v>
      </c>
      <c r="S18" s="89" t="s">
        <v>73</v>
      </c>
      <c r="T18" s="38" t="s">
        <v>64</v>
      </c>
    </row>
    <row r="19" spans="1:20" ht="70.150000000000006" customHeight="1">
      <c r="A19" s="37">
        <v>18</v>
      </c>
      <c r="B19" s="89" t="s">
        <v>22</v>
      </c>
      <c r="C19" s="92" t="s">
        <v>132</v>
      </c>
      <c r="D19" s="115" t="s">
        <v>133</v>
      </c>
      <c r="E19" s="89" t="s">
        <v>134</v>
      </c>
      <c r="F19" s="90" t="s">
        <v>135</v>
      </c>
      <c r="G19" s="89" t="s">
        <v>59</v>
      </c>
      <c r="H19" s="89">
        <v>2</v>
      </c>
      <c r="I19" s="92">
        <v>36</v>
      </c>
      <c r="J19" s="92">
        <v>52</v>
      </c>
      <c r="K19" s="89" t="s">
        <v>60</v>
      </c>
      <c r="L19" s="89" t="s">
        <v>61</v>
      </c>
      <c r="M19" s="92" t="s">
        <v>136</v>
      </c>
      <c r="N19" s="89" t="s">
        <v>63</v>
      </c>
      <c r="O19" s="92" t="s">
        <v>64</v>
      </c>
      <c r="P19" s="92" t="s">
        <v>59</v>
      </c>
      <c r="Q19" s="92" t="s">
        <v>92</v>
      </c>
      <c r="R19" s="89" t="s">
        <v>137</v>
      </c>
      <c r="S19" s="89" t="s">
        <v>73</v>
      </c>
      <c r="T19" s="38" t="s">
        <v>64</v>
      </c>
    </row>
    <row r="20" spans="1:20" ht="70.150000000000006" customHeight="1">
      <c r="A20" s="37">
        <v>19</v>
      </c>
      <c r="B20" s="89" t="s">
        <v>22</v>
      </c>
      <c r="C20" s="92" t="s">
        <v>138</v>
      </c>
      <c r="D20" s="115" t="s">
        <v>139</v>
      </c>
      <c r="E20" s="89" t="s">
        <v>140</v>
      </c>
      <c r="F20" s="90" t="s">
        <v>135</v>
      </c>
      <c r="G20" s="89" t="s">
        <v>59</v>
      </c>
      <c r="H20" s="89">
        <v>2</v>
      </c>
      <c r="I20" s="92">
        <v>36</v>
      </c>
      <c r="J20" s="92">
        <v>0</v>
      </c>
      <c r="K20" s="89" t="s">
        <v>60</v>
      </c>
      <c r="L20" s="89" t="s">
        <v>61</v>
      </c>
      <c r="M20" s="92" t="s">
        <v>136</v>
      </c>
      <c r="N20" s="89" t="s">
        <v>63</v>
      </c>
      <c r="O20" s="92" t="s">
        <v>64</v>
      </c>
      <c r="P20" s="92" t="s">
        <v>96</v>
      </c>
      <c r="Q20" s="92" t="s">
        <v>92</v>
      </c>
      <c r="R20" s="89" t="s">
        <v>141</v>
      </c>
      <c r="S20" s="89" t="s">
        <v>73</v>
      </c>
      <c r="T20" s="38" t="s">
        <v>64</v>
      </c>
    </row>
    <row r="21" spans="1:20" ht="70.150000000000006" customHeight="1">
      <c r="A21" s="37">
        <v>20</v>
      </c>
      <c r="B21" s="89" t="s">
        <v>22</v>
      </c>
      <c r="C21" s="92" t="s">
        <v>138</v>
      </c>
      <c r="D21" s="115" t="s">
        <v>142</v>
      </c>
      <c r="E21" s="89" t="s">
        <v>143</v>
      </c>
      <c r="F21" s="116" t="s">
        <v>135</v>
      </c>
      <c r="G21" s="89" t="s">
        <v>59</v>
      </c>
      <c r="H21" s="89">
        <v>2</v>
      </c>
      <c r="I21" s="92">
        <v>36</v>
      </c>
      <c r="J21" s="92">
        <v>52</v>
      </c>
      <c r="K21" s="89" t="s">
        <v>60</v>
      </c>
      <c r="L21" s="89" t="s">
        <v>61</v>
      </c>
      <c r="M21" s="92" t="s">
        <v>136</v>
      </c>
      <c r="N21" s="89" t="s">
        <v>63</v>
      </c>
      <c r="O21" s="92" t="s">
        <v>64</v>
      </c>
      <c r="P21" s="92" t="s">
        <v>70</v>
      </c>
      <c r="Q21" s="92" t="s">
        <v>92</v>
      </c>
      <c r="R21" s="89" t="s">
        <v>144</v>
      </c>
      <c r="S21" s="89" t="s">
        <v>73</v>
      </c>
      <c r="T21" s="38" t="s">
        <v>64</v>
      </c>
    </row>
    <row r="22" spans="1:20" ht="70.150000000000006" customHeight="1">
      <c r="A22" s="37">
        <v>21</v>
      </c>
      <c r="B22" s="89" t="s">
        <v>22</v>
      </c>
      <c r="C22" s="92" t="s">
        <v>138</v>
      </c>
      <c r="D22" s="115" t="s">
        <v>145</v>
      </c>
      <c r="E22" s="89" t="s">
        <v>146</v>
      </c>
      <c r="F22" s="116" t="s">
        <v>135</v>
      </c>
      <c r="G22" s="89" t="s">
        <v>59</v>
      </c>
      <c r="H22" s="89">
        <v>2</v>
      </c>
      <c r="I22" s="92">
        <v>36</v>
      </c>
      <c r="J22" s="92">
        <v>52</v>
      </c>
      <c r="K22" s="89" t="s">
        <v>60</v>
      </c>
      <c r="L22" s="89" t="s">
        <v>61</v>
      </c>
      <c r="M22" s="92" t="s">
        <v>76</v>
      </c>
      <c r="N22" s="89" t="s">
        <v>63</v>
      </c>
      <c r="O22" s="92" t="s">
        <v>64</v>
      </c>
      <c r="P22" s="92" t="s">
        <v>59</v>
      </c>
      <c r="Q22" s="92" t="s">
        <v>92</v>
      </c>
      <c r="R22" s="89" t="s">
        <v>147</v>
      </c>
      <c r="S22" s="89" t="s">
        <v>73</v>
      </c>
      <c r="T22" s="38" t="s">
        <v>64</v>
      </c>
    </row>
    <row r="23" spans="1:20" ht="70.150000000000006" customHeight="1">
      <c r="A23" s="37">
        <v>22</v>
      </c>
      <c r="B23" s="89" t="s">
        <v>22</v>
      </c>
      <c r="C23" s="92" t="s">
        <v>138</v>
      </c>
      <c r="D23" s="115" t="s">
        <v>148</v>
      </c>
      <c r="E23" s="89" t="s">
        <v>149</v>
      </c>
      <c r="F23" s="116" t="s">
        <v>135</v>
      </c>
      <c r="G23" s="89" t="s">
        <v>59</v>
      </c>
      <c r="H23" s="89">
        <v>2</v>
      </c>
      <c r="I23" s="92">
        <v>36</v>
      </c>
      <c r="J23" s="92">
        <v>52</v>
      </c>
      <c r="K23" s="89" t="s">
        <v>60</v>
      </c>
      <c r="L23" s="89" t="s">
        <v>61</v>
      </c>
      <c r="M23" s="92"/>
      <c r="N23" s="89" t="s">
        <v>63</v>
      </c>
      <c r="O23" s="92" t="s">
        <v>64</v>
      </c>
      <c r="P23" s="92" t="s">
        <v>150</v>
      </c>
      <c r="Q23" s="92" t="s">
        <v>92</v>
      </c>
      <c r="R23" s="89" t="s">
        <v>151</v>
      </c>
      <c r="S23" s="89" t="s">
        <v>73</v>
      </c>
      <c r="T23" s="38" t="s">
        <v>64</v>
      </c>
    </row>
    <row r="24" spans="1:20" ht="52.9">
      <c r="A24" s="37">
        <v>23</v>
      </c>
      <c r="B24" s="89" t="s">
        <v>22</v>
      </c>
      <c r="C24" s="92" t="s">
        <v>138</v>
      </c>
      <c r="D24" s="89" t="s">
        <v>152</v>
      </c>
      <c r="E24" s="89" t="s">
        <v>153</v>
      </c>
      <c r="F24" s="116" t="s">
        <v>154</v>
      </c>
      <c r="G24" s="89" t="s">
        <v>59</v>
      </c>
      <c r="H24" s="89">
        <v>2</v>
      </c>
      <c r="I24" s="92">
        <v>36</v>
      </c>
      <c r="J24" s="92">
        <v>52</v>
      </c>
      <c r="K24" s="89" t="s">
        <v>60</v>
      </c>
      <c r="L24" s="89" t="s">
        <v>61</v>
      </c>
      <c r="M24" s="92" t="s">
        <v>155</v>
      </c>
      <c r="N24" s="89" t="s">
        <v>63</v>
      </c>
      <c r="O24" s="92" t="s">
        <v>64</v>
      </c>
      <c r="P24" s="92" t="s">
        <v>156</v>
      </c>
      <c r="Q24" s="92" t="s">
        <v>92</v>
      </c>
      <c r="R24" s="89" t="s">
        <v>157</v>
      </c>
      <c r="S24" s="89" t="s">
        <v>73</v>
      </c>
      <c r="T24" s="38" t="s">
        <v>64</v>
      </c>
    </row>
    <row r="25" spans="1:20" ht="52.9">
      <c r="A25" s="37">
        <v>24</v>
      </c>
      <c r="B25" s="89" t="s">
        <v>22</v>
      </c>
      <c r="C25" s="92" t="s">
        <v>138</v>
      </c>
      <c r="D25" s="115" t="s">
        <v>158</v>
      </c>
      <c r="E25" s="89" t="s">
        <v>159</v>
      </c>
      <c r="F25" s="116" t="s">
        <v>135</v>
      </c>
      <c r="G25" s="89" t="s">
        <v>59</v>
      </c>
      <c r="H25" s="89">
        <v>2</v>
      </c>
      <c r="I25" s="92">
        <v>36</v>
      </c>
      <c r="J25" s="92">
        <v>0</v>
      </c>
      <c r="K25" s="89" t="s">
        <v>60</v>
      </c>
      <c r="L25" s="89" t="s">
        <v>61</v>
      </c>
      <c r="M25" s="92" t="s">
        <v>62</v>
      </c>
      <c r="N25" s="89" t="s">
        <v>63</v>
      </c>
      <c r="O25" s="92" t="s">
        <v>64</v>
      </c>
      <c r="P25" s="92" t="s">
        <v>160</v>
      </c>
      <c r="Q25" s="92" t="s">
        <v>92</v>
      </c>
      <c r="R25" s="89" t="s">
        <v>161</v>
      </c>
      <c r="S25" s="89" t="s">
        <v>73</v>
      </c>
      <c r="T25" s="38" t="s">
        <v>64</v>
      </c>
    </row>
    <row r="26" spans="1:20" ht="52.9">
      <c r="A26" s="37">
        <v>25</v>
      </c>
      <c r="B26" s="89" t="s">
        <v>22</v>
      </c>
      <c r="C26" s="92" t="s">
        <v>138</v>
      </c>
      <c r="D26" s="115" t="s">
        <v>162</v>
      </c>
      <c r="E26" s="89" t="s">
        <v>163</v>
      </c>
      <c r="F26" s="116" t="s">
        <v>135</v>
      </c>
      <c r="G26" s="89" t="s">
        <v>59</v>
      </c>
      <c r="H26" s="89">
        <v>2</v>
      </c>
      <c r="I26" s="92">
        <v>36</v>
      </c>
      <c r="J26" s="92">
        <v>0</v>
      </c>
      <c r="K26" s="89" t="s">
        <v>60</v>
      </c>
      <c r="L26" s="89" t="s">
        <v>61</v>
      </c>
      <c r="M26" s="92" t="s">
        <v>76</v>
      </c>
      <c r="N26" s="89" t="s">
        <v>63</v>
      </c>
      <c r="O26" s="92" t="s">
        <v>64</v>
      </c>
      <c r="P26" s="92" t="s">
        <v>59</v>
      </c>
      <c r="Q26" s="92" t="s">
        <v>92</v>
      </c>
      <c r="R26" s="89" t="s">
        <v>164</v>
      </c>
      <c r="S26" s="89" t="s">
        <v>73</v>
      </c>
      <c r="T26" s="38" t="s">
        <v>64</v>
      </c>
    </row>
    <row r="27" spans="1:20" ht="52.9">
      <c r="A27" s="37">
        <v>26</v>
      </c>
      <c r="B27" s="89" t="s">
        <v>22</v>
      </c>
      <c r="C27" s="92" t="s">
        <v>165</v>
      </c>
      <c r="D27" s="115" t="s">
        <v>166</v>
      </c>
      <c r="E27" s="89" t="s">
        <v>167</v>
      </c>
      <c r="F27" s="89"/>
      <c r="G27" s="89" t="s">
        <v>59</v>
      </c>
      <c r="H27" s="89">
        <v>2</v>
      </c>
      <c r="I27" s="92">
        <v>32</v>
      </c>
      <c r="J27" s="92">
        <v>20</v>
      </c>
      <c r="K27" s="89" t="s">
        <v>60</v>
      </c>
      <c r="L27" s="89" t="s">
        <v>61</v>
      </c>
      <c r="M27" s="92" t="s">
        <v>168</v>
      </c>
      <c r="N27" s="89" t="s">
        <v>63</v>
      </c>
      <c r="O27" s="92" t="s">
        <v>64</v>
      </c>
      <c r="P27" s="92" t="s">
        <v>105</v>
      </c>
      <c r="Q27" s="92" t="s">
        <v>92</v>
      </c>
      <c r="R27" s="89" t="s">
        <v>169</v>
      </c>
      <c r="S27" s="89" t="s">
        <v>73</v>
      </c>
      <c r="T27" s="38" t="s">
        <v>64</v>
      </c>
    </row>
    <row r="28" spans="1:20" ht="52.9">
      <c r="A28" s="37">
        <v>27</v>
      </c>
      <c r="B28" s="89" t="s">
        <v>22</v>
      </c>
      <c r="C28" s="92" t="s">
        <v>165</v>
      </c>
      <c r="D28" s="115" t="s">
        <v>170</v>
      </c>
      <c r="E28" s="89" t="s">
        <v>171</v>
      </c>
      <c r="F28" s="89"/>
      <c r="G28" s="89" t="s">
        <v>59</v>
      </c>
      <c r="H28" s="89">
        <v>2</v>
      </c>
      <c r="I28" s="92">
        <v>32</v>
      </c>
      <c r="J28" s="92">
        <v>20</v>
      </c>
      <c r="K28" s="89" t="s">
        <v>60</v>
      </c>
      <c r="L28" s="89" t="s">
        <v>61</v>
      </c>
      <c r="M28" s="92" t="s">
        <v>76</v>
      </c>
      <c r="N28" s="89" t="s">
        <v>63</v>
      </c>
      <c r="O28" s="92" t="s">
        <v>64</v>
      </c>
      <c r="P28" s="92" t="s">
        <v>172</v>
      </c>
      <c r="Q28" s="92" t="s">
        <v>92</v>
      </c>
      <c r="R28" s="89" t="s">
        <v>137</v>
      </c>
      <c r="S28" s="89" t="s">
        <v>73</v>
      </c>
      <c r="T28" s="38" t="s">
        <v>64</v>
      </c>
    </row>
    <row r="29" spans="1:20" ht="52.9">
      <c r="A29" s="37">
        <v>28</v>
      </c>
      <c r="B29" s="89" t="s">
        <v>22</v>
      </c>
      <c r="C29" s="92" t="s">
        <v>165</v>
      </c>
      <c r="D29" s="115" t="s">
        <v>173</v>
      </c>
      <c r="E29" s="89" t="s">
        <v>174</v>
      </c>
      <c r="F29" s="89"/>
      <c r="G29" s="89" t="s">
        <v>59</v>
      </c>
      <c r="H29" s="89">
        <v>2</v>
      </c>
      <c r="I29" s="92">
        <v>32</v>
      </c>
      <c r="J29" s="92">
        <v>20</v>
      </c>
      <c r="K29" s="89" t="s">
        <v>60</v>
      </c>
      <c r="L29" s="89" t="s">
        <v>61</v>
      </c>
      <c r="M29" s="92" t="s">
        <v>62</v>
      </c>
      <c r="N29" s="89" t="s">
        <v>63</v>
      </c>
      <c r="O29" s="92" t="s">
        <v>64</v>
      </c>
      <c r="P29" s="92" t="s">
        <v>59</v>
      </c>
      <c r="Q29" s="92" t="s">
        <v>92</v>
      </c>
      <c r="R29" s="89" t="s">
        <v>175</v>
      </c>
      <c r="S29" s="89" t="s">
        <v>73</v>
      </c>
      <c r="T29" s="38" t="s">
        <v>64</v>
      </c>
    </row>
    <row r="30" spans="1:20" ht="52.9">
      <c r="A30" s="37">
        <v>29</v>
      </c>
      <c r="B30" s="89" t="s">
        <v>22</v>
      </c>
      <c r="C30" s="92" t="s">
        <v>165</v>
      </c>
      <c r="D30" s="115" t="s">
        <v>176</v>
      </c>
      <c r="E30" s="89" t="s">
        <v>177</v>
      </c>
      <c r="F30" s="89"/>
      <c r="G30" s="89" t="s">
        <v>59</v>
      </c>
      <c r="H30" s="89">
        <v>2</v>
      </c>
      <c r="I30" s="92">
        <v>32</v>
      </c>
      <c r="J30" s="92">
        <v>20</v>
      </c>
      <c r="K30" s="89" t="s">
        <v>60</v>
      </c>
      <c r="L30" s="89" t="s">
        <v>61</v>
      </c>
      <c r="M30" s="92" t="s">
        <v>178</v>
      </c>
      <c r="N30" s="89" t="s">
        <v>63</v>
      </c>
      <c r="O30" s="92" t="s">
        <v>64</v>
      </c>
      <c r="P30" s="92" t="s">
        <v>172</v>
      </c>
      <c r="Q30" s="92" t="s">
        <v>92</v>
      </c>
      <c r="R30" s="89" t="s">
        <v>179</v>
      </c>
      <c r="S30" s="89" t="s">
        <v>73</v>
      </c>
      <c r="T30" s="38" t="s">
        <v>64</v>
      </c>
    </row>
    <row r="31" spans="1:20" ht="92.45">
      <c r="A31" s="37">
        <v>30</v>
      </c>
      <c r="B31" s="89" t="s">
        <v>22</v>
      </c>
      <c r="C31" s="92" t="s">
        <v>165</v>
      </c>
      <c r="D31" s="115" t="s">
        <v>103</v>
      </c>
      <c r="E31" s="89" t="s">
        <v>180</v>
      </c>
      <c r="F31" s="89"/>
      <c r="G31" s="89" t="s">
        <v>59</v>
      </c>
      <c r="H31" s="89">
        <v>2</v>
      </c>
      <c r="I31" s="92">
        <v>32</v>
      </c>
      <c r="J31" s="92">
        <v>20</v>
      </c>
      <c r="K31" s="89" t="s">
        <v>60</v>
      </c>
      <c r="L31" s="89" t="s">
        <v>61</v>
      </c>
      <c r="M31" s="92" t="s">
        <v>178</v>
      </c>
      <c r="N31" s="89" t="s">
        <v>63</v>
      </c>
      <c r="O31" s="92" t="s">
        <v>64</v>
      </c>
      <c r="P31" s="92" t="s">
        <v>105</v>
      </c>
      <c r="Q31" s="92" t="s">
        <v>92</v>
      </c>
      <c r="R31" s="89" t="s">
        <v>181</v>
      </c>
      <c r="S31" s="89" t="s">
        <v>73</v>
      </c>
      <c r="T31" s="38" t="s">
        <v>64</v>
      </c>
    </row>
    <row r="32" spans="1:20" ht="52.9">
      <c r="A32" s="37">
        <v>31</v>
      </c>
      <c r="B32" s="89" t="s">
        <v>22</v>
      </c>
      <c r="C32" s="92" t="s">
        <v>165</v>
      </c>
      <c r="D32" s="115" t="s">
        <v>182</v>
      </c>
      <c r="E32" s="89" t="s">
        <v>183</v>
      </c>
      <c r="F32" s="89"/>
      <c r="G32" s="89" t="s">
        <v>59</v>
      </c>
      <c r="H32" s="89">
        <v>3</v>
      </c>
      <c r="I32" s="92">
        <v>32</v>
      </c>
      <c r="J32" s="92">
        <v>20</v>
      </c>
      <c r="K32" s="89" t="s">
        <v>60</v>
      </c>
      <c r="L32" s="89" t="s">
        <v>61</v>
      </c>
      <c r="M32" s="92"/>
      <c r="N32" s="89" t="s">
        <v>63</v>
      </c>
      <c r="O32" s="92" t="s">
        <v>64</v>
      </c>
      <c r="P32" s="92" t="s">
        <v>59</v>
      </c>
      <c r="Q32" s="92" t="s">
        <v>92</v>
      </c>
      <c r="R32" s="89" t="s">
        <v>184</v>
      </c>
      <c r="S32" s="89" t="s">
        <v>73</v>
      </c>
      <c r="T32" s="38" t="s">
        <v>64</v>
      </c>
    </row>
    <row r="33" spans="1:20" ht="54.75">
      <c r="A33" s="37">
        <v>32</v>
      </c>
      <c r="B33" s="89" t="s">
        <v>22</v>
      </c>
      <c r="C33" s="92" t="s">
        <v>165</v>
      </c>
      <c r="D33" s="89" t="s">
        <v>185</v>
      </c>
      <c r="E33" s="89" t="s">
        <v>153</v>
      </c>
      <c r="F33" s="89"/>
      <c r="G33" s="89" t="s">
        <v>59</v>
      </c>
      <c r="H33" s="89">
        <v>2</v>
      </c>
      <c r="I33" s="92">
        <v>2</v>
      </c>
      <c r="J33" s="92">
        <v>0</v>
      </c>
      <c r="K33" s="89" t="s">
        <v>60</v>
      </c>
      <c r="L33" s="89" t="s">
        <v>61</v>
      </c>
      <c r="M33" s="92" t="s">
        <v>76</v>
      </c>
      <c r="N33" s="89" t="s">
        <v>63</v>
      </c>
      <c r="O33" s="92" t="s">
        <v>64</v>
      </c>
      <c r="P33" s="93" t="s">
        <v>59</v>
      </c>
      <c r="Q33" s="92" t="s">
        <v>92</v>
      </c>
      <c r="R33" s="89" t="s">
        <v>186</v>
      </c>
      <c r="S33" s="89" t="s">
        <v>73</v>
      </c>
      <c r="T33" s="38" t="s">
        <v>64</v>
      </c>
    </row>
    <row r="34" spans="1:20" ht="52.9">
      <c r="A34" s="37">
        <v>33</v>
      </c>
      <c r="B34" s="89" t="s">
        <v>22</v>
      </c>
      <c r="C34" s="92" t="s">
        <v>187</v>
      </c>
      <c r="D34" s="115" t="s">
        <v>188</v>
      </c>
      <c r="E34" s="89" t="s">
        <v>189</v>
      </c>
      <c r="F34" s="89" t="s">
        <v>190</v>
      </c>
      <c r="G34" s="89" t="s">
        <v>59</v>
      </c>
      <c r="H34" s="89">
        <v>2</v>
      </c>
      <c r="I34" s="89">
        <v>96</v>
      </c>
      <c r="J34" s="89">
        <v>6</v>
      </c>
      <c r="K34" s="89" t="s">
        <v>60</v>
      </c>
      <c r="L34" s="89" t="s">
        <v>61</v>
      </c>
      <c r="M34" s="92" t="s">
        <v>191</v>
      </c>
      <c r="N34" s="89" t="s">
        <v>192</v>
      </c>
      <c r="O34" s="92" t="s">
        <v>64</v>
      </c>
      <c r="P34" s="92" t="s">
        <v>59</v>
      </c>
      <c r="Q34" s="92" t="s">
        <v>92</v>
      </c>
      <c r="R34" s="89" t="s">
        <v>193</v>
      </c>
      <c r="S34" s="89" t="s">
        <v>194</v>
      </c>
      <c r="T34" s="38" t="s">
        <v>64</v>
      </c>
    </row>
    <row r="35" spans="1:20" ht="52.9">
      <c r="A35" s="37">
        <v>34</v>
      </c>
      <c r="B35" s="89" t="s">
        <v>22</v>
      </c>
      <c r="C35" s="92" t="s">
        <v>187</v>
      </c>
      <c r="D35" s="115" t="s">
        <v>195</v>
      </c>
      <c r="E35" s="89" t="s">
        <v>196</v>
      </c>
      <c r="F35" s="89" t="s">
        <v>190</v>
      </c>
      <c r="G35" s="89" t="s">
        <v>59</v>
      </c>
      <c r="H35" s="89">
        <v>2</v>
      </c>
      <c r="I35" s="89">
        <v>13</v>
      </c>
      <c r="J35" s="89">
        <v>1</v>
      </c>
      <c r="K35" s="89" t="s">
        <v>60</v>
      </c>
      <c r="L35" s="89" t="s">
        <v>61</v>
      </c>
      <c r="M35" s="92" t="s">
        <v>197</v>
      </c>
      <c r="N35" s="89" t="s">
        <v>192</v>
      </c>
      <c r="O35" s="92" t="s">
        <v>64</v>
      </c>
      <c r="P35" s="92" t="s">
        <v>198</v>
      </c>
      <c r="Q35" s="92" t="s">
        <v>92</v>
      </c>
      <c r="R35" s="89" t="s">
        <v>193</v>
      </c>
      <c r="S35" s="89" t="s">
        <v>199</v>
      </c>
      <c r="T35" s="38" t="s">
        <v>64</v>
      </c>
    </row>
    <row r="36" spans="1:20" ht="52.9">
      <c r="A36" s="37">
        <v>35</v>
      </c>
      <c r="B36" s="89" t="s">
        <v>22</v>
      </c>
      <c r="C36" s="92" t="s">
        <v>187</v>
      </c>
      <c r="D36" s="89" t="s">
        <v>110</v>
      </c>
      <c r="E36" s="89" t="s">
        <v>200</v>
      </c>
      <c r="F36" s="89" t="s">
        <v>190</v>
      </c>
      <c r="G36" s="89" t="s">
        <v>59</v>
      </c>
      <c r="H36" s="89">
        <v>2</v>
      </c>
      <c r="I36" s="89">
        <v>96</v>
      </c>
      <c r="J36" s="89">
        <v>6</v>
      </c>
      <c r="K36" s="89" t="s">
        <v>60</v>
      </c>
      <c r="L36" s="89" t="s">
        <v>61</v>
      </c>
      <c r="M36" s="92"/>
      <c r="N36" s="89" t="s">
        <v>192</v>
      </c>
      <c r="O36" s="92" t="s">
        <v>64</v>
      </c>
      <c r="P36" s="92" t="s">
        <v>201</v>
      </c>
      <c r="Q36" s="92" t="s">
        <v>92</v>
      </c>
      <c r="R36" s="89"/>
      <c r="S36" s="89" t="s">
        <v>202</v>
      </c>
      <c r="T36" s="38" t="s">
        <v>115</v>
      </c>
    </row>
    <row r="37" spans="1:20" ht="54.75">
      <c r="A37" s="37">
        <v>36</v>
      </c>
      <c r="B37" s="89" t="s">
        <v>22</v>
      </c>
      <c r="C37" s="92" t="s">
        <v>187</v>
      </c>
      <c r="D37" s="89" t="s">
        <v>185</v>
      </c>
      <c r="E37" s="89" t="s">
        <v>203</v>
      </c>
      <c r="F37" s="89" t="s">
        <v>190</v>
      </c>
      <c r="G37" s="89" t="s">
        <v>59</v>
      </c>
      <c r="H37" s="89">
        <v>2</v>
      </c>
      <c r="I37" s="89">
        <v>96</v>
      </c>
      <c r="J37" s="89">
        <v>6</v>
      </c>
      <c r="K37" s="89" t="s">
        <v>60</v>
      </c>
      <c r="L37" s="89" t="s">
        <v>61</v>
      </c>
      <c r="M37" s="92"/>
      <c r="N37" s="89" t="s">
        <v>192</v>
      </c>
      <c r="O37" s="92" t="s">
        <v>64</v>
      </c>
      <c r="P37" s="92" t="s">
        <v>118</v>
      </c>
      <c r="Q37" s="92" t="s">
        <v>92</v>
      </c>
      <c r="R37" s="89" t="s">
        <v>204</v>
      </c>
      <c r="S37" s="89" t="s">
        <v>199</v>
      </c>
      <c r="T37" s="38" t="s">
        <v>64</v>
      </c>
    </row>
    <row r="38" spans="1:20" ht="52.9">
      <c r="A38" s="37">
        <v>37</v>
      </c>
      <c r="B38" s="89" t="s">
        <v>22</v>
      </c>
      <c r="C38" s="92" t="s">
        <v>187</v>
      </c>
      <c r="D38" s="115" t="s">
        <v>205</v>
      </c>
      <c r="E38" s="89" t="s">
        <v>206</v>
      </c>
      <c r="F38" s="89" t="s">
        <v>190</v>
      </c>
      <c r="G38" s="89" t="s">
        <v>59</v>
      </c>
      <c r="H38" s="89">
        <v>2</v>
      </c>
      <c r="I38" s="89">
        <v>96</v>
      </c>
      <c r="J38" s="89">
        <v>6</v>
      </c>
      <c r="K38" s="89" t="s">
        <v>60</v>
      </c>
      <c r="L38" s="89" t="s">
        <v>61</v>
      </c>
      <c r="M38" s="92"/>
      <c r="N38" s="89" t="s">
        <v>192</v>
      </c>
      <c r="O38" s="92" t="s">
        <v>64</v>
      </c>
      <c r="P38" s="92" t="s">
        <v>207</v>
      </c>
      <c r="Q38" s="92" t="s">
        <v>92</v>
      </c>
      <c r="R38" s="89" t="s">
        <v>208</v>
      </c>
      <c r="S38" s="89" t="s">
        <v>199</v>
      </c>
      <c r="T38" s="38" t="s">
        <v>64</v>
      </c>
    </row>
    <row r="39" spans="1:20" ht="52.9">
      <c r="A39" s="37">
        <v>38</v>
      </c>
      <c r="B39" s="89" t="s">
        <v>22</v>
      </c>
      <c r="C39" s="92" t="s">
        <v>187</v>
      </c>
      <c r="D39" s="115" t="s">
        <v>128</v>
      </c>
      <c r="E39" s="89" t="s">
        <v>129</v>
      </c>
      <c r="F39" s="89" t="s">
        <v>190</v>
      </c>
      <c r="G39" s="89" t="s">
        <v>59</v>
      </c>
      <c r="H39" s="89">
        <v>2</v>
      </c>
      <c r="I39" s="89">
        <v>96</v>
      </c>
      <c r="J39" s="89">
        <v>6</v>
      </c>
      <c r="K39" s="89" t="s">
        <v>60</v>
      </c>
      <c r="L39" s="89" t="s">
        <v>61</v>
      </c>
      <c r="M39" s="92"/>
      <c r="N39" s="89" t="s">
        <v>192</v>
      </c>
      <c r="O39" s="92" t="s">
        <v>64</v>
      </c>
      <c r="P39" s="92" t="s">
        <v>59</v>
      </c>
      <c r="Q39" s="92" t="s">
        <v>92</v>
      </c>
      <c r="R39" s="89" t="s">
        <v>208</v>
      </c>
      <c r="S39" s="89" t="s">
        <v>199</v>
      </c>
      <c r="T39" s="38" t="s">
        <v>64</v>
      </c>
    </row>
    <row r="40" spans="1:20" ht="66">
      <c r="A40" s="37">
        <v>39</v>
      </c>
      <c r="B40" s="89" t="s">
        <v>22</v>
      </c>
      <c r="C40" s="92" t="s">
        <v>187</v>
      </c>
      <c r="D40" s="115" t="s">
        <v>209</v>
      </c>
      <c r="E40" s="89" t="s">
        <v>210</v>
      </c>
      <c r="F40" s="89" t="s">
        <v>190</v>
      </c>
      <c r="G40" s="89" t="s">
        <v>59</v>
      </c>
      <c r="H40" s="89">
        <v>2</v>
      </c>
      <c r="I40" s="89">
        <v>96</v>
      </c>
      <c r="J40" s="89">
        <v>6</v>
      </c>
      <c r="K40" s="89" t="s">
        <v>60</v>
      </c>
      <c r="L40" s="89" t="s">
        <v>61</v>
      </c>
      <c r="M40" s="92" t="s">
        <v>191</v>
      </c>
      <c r="N40" s="89" t="s">
        <v>192</v>
      </c>
      <c r="O40" s="92" t="s">
        <v>64</v>
      </c>
      <c r="P40" s="92" t="s">
        <v>59</v>
      </c>
      <c r="Q40" s="92" t="s">
        <v>92</v>
      </c>
      <c r="R40" s="89" t="s">
        <v>211</v>
      </c>
      <c r="S40" s="89" t="s">
        <v>199</v>
      </c>
      <c r="T40" s="38" t="s">
        <v>64</v>
      </c>
    </row>
    <row r="41" spans="1:20" ht="52.9">
      <c r="A41" s="37">
        <v>40</v>
      </c>
      <c r="B41" s="89" t="s">
        <v>22</v>
      </c>
      <c r="C41" s="92" t="s">
        <v>187</v>
      </c>
      <c r="D41" s="115" t="s">
        <v>131</v>
      </c>
      <c r="E41" s="89" t="s">
        <v>129</v>
      </c>
      <c r="F41" s="89" t="s">
        <v>190</v>
      </c>
      <c r="G41" s="89" t="s">
        <v>59</v>
      </c>
      <c r="H41" s="89">
        <v>2</v>
      </c>
      <c r="I41" s="89">
        <v>96</v>
      </c>
      <c r="J41" s="89">
        <v>6</v>
      </c>
      <c r="K41" s="89" t="s">
        <v>60</v>
      </c>
      <c r="L41" s="89" t="s">
        <v>61</v>
      </c>
      <c r="M41" s="92"/>
      <c r="N41" s="89" t="s">
        <v>192</v>
      </c>
      <c r="O41" s="92" t="s">
        <v>64</v>
      </c>
      <c r="P41" s="92" t="s">
        <v>59</v>
      </c>
      <c r="Q41" s="92" t="s">
        <v>92</v>
      </c>
      <c r="R41" s="89" t="s">
        <v>212</v>
      </c>
      <c r="S41" s="89" t="s">
        <v>199</v>
      </c>
      <c r="T41" s="38" t="s">
        <v>64</v>
      </c>
    </row>
    <row r="42" spans="1:20" ht="66">
      <c r="A42" s="37">
        <v>41</v>
      </c>
      <c r="B42" s="89" t="s">
        <v>22</v>
      </c>
      <c r="C42" s="92" t="s">
        <v>213</v>
      </c>
      <c r="D42" s="115" t="s">
        <v>214</v>
      </c>
      <c r="E42" s="89" t="s">
        <v>134</v>
      </c>
      <c r="F42" s="89" t="s">
        <v>215</v>
      </c>
      <c r="G42" s="89" t="s">
        <v>59</v>
      </c>
      <c r="H42" s="89">
        <v>2</v>
      </c>
      <c r="I42" s="89">
        <v>66</v>
      </c>
      <c r="J42" s="89">
        <v>73</v>
      </c>
      <c r="K42" s="89" t="s">
        <v>60</v>
      </c>
      <c r="L42" s="89" t="s">
        <v>61</v>
      </c>
      <c r="M42" s="92" t="s">
        <v>168</v>
      </c>
      <c r="N42" s="89" t="s">
        <v>63</v>
      </c>
      <c r="O42" s="92" t="s">
        <v>64</v>
      </c>
      <c r="P42" s="92" t="s">
        <v>59</v>
      </c>
      <c r="Q42" s="92" t="s">
        <v>92</v>
      </c>
      <c r="R42" s="89" t="s">
        <v>216</v>
      </c>
      <c r="S42" s="89" t="s">
        <v>199</v>
      </c>
      <c r="T42" s="38" t="s">
        <v>64</v>
      </c>
    </row>
    <row r="43" spans="1:20" ht="66">
      <c r="A43" s="37">
        <v>42</v>
      </c>
      <c r="B43" s="89" t="s">
        <v>22</v>
      </c>
      <c r="C43" s="92" t="s">
        <v>217</v>
      </c>
      <c r="D43" s="115" t="s">
        <v>218</v>
      </c>
      <c r="E43" s="89" t="s">
        <v>134</v>
      </c>
      <c r="F43" s="89" t="s">
        <v>215</v>
      </c>
      <c r="G43" s="89" t="s">
        <v>59</v>
      </c>
      <c r="H43" s="89">
        <v>2</v>
      </c>
      <c r="I43" s="89">
        <v>66</v>
      </c>
      <c r="J43" s="89">
        <v>73</v>
      </c>
      <c r="K43" s="89" t="s">
        <v>60</v>
      </c>
      <c r="L43" s="89" t="s">
        <v>61</v>
      </c>
      <c r="M43" s="92" t="s">
        <v>168</v>
      </c>
      <c r="N43" s="89" t="s">
        <v>63</v>
      </c>
      <c r="O43" s="92" t="s">
        <v>64</v>
      </c>
      <c r="P43" s="92" t="s">
        <v>59</v>
      </c>
      <c r="Q43" s="92" t="s">
        <v>92</v>
      </c>
      <c r="R43" s="89" t="s">
        <v>216</v>
      </c>
      <c r="S43" s="89" t="s">
        <v>199</v>
      </c>
      <c r="T43" s="38" t="s">
        <v>64</v>
      </c>
    </row>
    <row r="44" spans="1:20" ht="52.9">
      <c r="A44" s="37">
        <v>43</v>
      </c>
      <c r="B44" s="89" t="s">
        <v>22</v>
      </c>
      <c r="C44" s="92" t="s">
        <v>219</v>
      </c>
      <c r="D44" s="115" t="s">
        <v>220</v>
      </c>
      <c r="E44" s="89" t="s">
        <v>221</v>
      </c>
      <c r="F44" s="89" t="s">
        <v>215</v>
      </c>
      <c r="G44" s="89" t="s">
        <v>59</v>
      </c>
      <c r="H44" s="89">
        <v>2</v>
      </c>
      <c r="I44" s="89">
        <v>66</v>
      </c>
      <c r="J44" s="89">
        <v>73</v>
      </c>
      <c r="K44" s="89" t="s">
        <v>60</v>
      </c>
      <c r="L44" s="89" t="s">
        <v>61</v>
      </c>
      <c r="M44" s="92" t="s">
        <v>178</v>
      </c>
      <c r="N44" s="89" t="s">
        <v>63</v>
      </c>
      <c r="O44" s="92" t="s">
        <v>64</v>
      </c>
      <c r="P44" s="92" t="s">
        <v>59</v>
      </c>
      <c r="Q44" s="92" t="s">
        <v>92</v>
      </c>
      <c r="R44" s="89" t="s">
        <v>222</v>
      </c>
      <c r="S44" s="89" t="s">
        <v>223</v>
      </c>
      <c r="T44" s="38" t="s">
        <v>64</v>
      </c>
    </row>
    <row r="45" spans="1:20" ht="52.9">
      <c r="A45" s="37">
        <v>44</v>
      </c>
      <c r="B45" s="89" t="s">
        <v>22</v>
      </c>
      <c r="C45" s="92" t="s">
        <v>213</v>
      </c>
      <c r="D45" s="115" t="s">
        <v>224</v>
      </c>
      <c r="E45" s="89" t="s">
        <v>225</v>
      </c>
      <c r="F45" s="89" t="s">
        <v>215</v>
      </c>
      <c r="G45" s="89" t="s">
        <v>59</v>
      </c>
      <c r="H45" s="89">
        <v>2</v>
      </c>
      <c r="I45" s="89">
        <v>66</v>
      </c>
      <c r="J45" s="89">
        <v>73</v>
      </c>
      <c r="K45" s="89" t="s">
        <v>60</v>
      </c>
      <c r="L45" s="89" t="s">
        <v>61</v>
      </c>
      <c r="M45" s="92" t="s">
        <v>178</v>
      </c>
      <c r="N45" s="89" t="s">
        <v>63</v>
      </c>
      <c r="O45" s="92" t="s">
        <v>64</v>
      </c>
      <c r="P45" s="92" t="s">
        <v>59</v>
      </c>
      <c r="Q45" s="92" t="s">
        <v>92</v>
      </c>
      <c r="R45" s="89" t="s">
        <v>226</v>
      </c>
      <c r="S45" s="89" t="s">
        <v>199</v>
      </c>
      <c r="T45" s="38" t="s">
        <v>64</v>
      </c>
    </row>
    <row r="46" spans="1:20" ht="52.9">
      <c r="A46" s="37">
        <v>45</v>
      </c>
      <c r="B46" s="89" t="s">
        <v>22</v>
      </c>
      <c r="C46" s="92" t="s">
        <v>213</v>
      </c>
      <c r="D46" s="115" t="s">
        <v>227</v>
      </c>
      <c r="E46" s="89" t="s">
        <v>228</v>
      </c>
      <c r="F46" s="89" t="s">
        <v>215</v>
      </c>
      <c r="G46" s="89" t="s">
        <v>59</v>
      </c>
      <c r="H46" s="89">
        <v>2</v>
      </c>
      <c r="I46" s="89">
        <v>66</v>
      </c>
      <c r="J46" s="89">
        <v>73</v>
      </c>
      <c r="K46" s="89" t="s">
        <v>60</v>
      </c>
      <c r="L46" s="89" t="s">
        <v>61</v>
      </c>
      <c r="M46" s="92" t="s">
        <v>76</v>
      </c>
      <c r="N46" s="89" t="s">
        <v>63</v>
      </c>
      <c r="O46" s="92" t="s">
        <v>64</v>
      </c>
      <c r="P46" s="92" t="s">
        <v>59</v>
      </c>
      <c r="Q46" s="92" t="s">
        <v>92</v>
      </c>
      <c r="R46" s="89" t="s">
        <v>229</v>
      </c>
      <c r="S46" s="89" t="s">
        <v>199</v>
      </c>
      <c r="T46" s="38" t="s">
        <v>64</v>
      </c>
    </row>
    <row r="47" spans="1:20" ht="52.9">
      <c r="A47" s="37">
        <v>46</v>
      </c>
      <c r="B47" s="89" t="s">
        <v>22</v>
      </c>
      <c r="C47" s="92" t="s">
        <v>217</v>
      </c>
      <c r="D47" s="115" t="s">
        <v>230</v>
      </c>
      <c r="E47" s="89" t="s">
        <v>231</v>
      </c>
      <c r="F47" s="89" t="s">
        <v>232</v>
      </c>
      <c r="G47" s="89" t="s">
        <v>59</v>
      </c>
      <c r="H47" s="89">
        <v>2</v>
      </c>
      <c r="I47" s="89">
        <v>66</v>
      </c>
      <c r="J47" s="89">
        <v>73</v>
      </c>
      <c r="K47" s="89" t="s">
        <v>60</v>
      </c>
      <c r="L47" s="89" t="s">
        <v>61</v>
      </c>
      <c r="M47" s="92" t="s">
        <v>178</v>
      </c>
      <c r="N47" s="89" t="s">
        <v>63</v>
      </c>
      <c r="O47" s="92" t="s">
        <v>64</v>
      </c>
      <c r="P47" s="92" t="s">
        <v>59</v>
      </c>
      <c r="Q47" s="92" t="s">
        <v>92</v>
      </c>
      <c r="R47" s="89" t="s">
        <v>233</v>
      </c>
      <c r="S47" s="89" t="s">
        <v>199</v>
      </c>
      <c r="T47" s="38" t="s">
        <v>64</v>
      </c>
    </row>
    <row r="48" spans="1:20" ht="79.150000000000006">
      <c r="A48" s="37">
        <v>47</v>
      </c>
      <c r="B48" s="89" t="s">
        <v>22</v>
      </c>
      <c r="C48" s="92" t="s">
        <v>213</v>
      </c>
      <c r="D48" s="115" t="s">
        <v>234</v>
      </c>
      <c r="E48" s="89" t="s">
        <v>235</v>
      </c>
      <c r="F48" s="89" t="s">
        <v>215</v>
      </c>
      <c r="G48" s="89" t="s">
        <v>59</v>
      </c>
      <c r="H48" s="89">
        <v>2</v>
      </c>
      <c r="I48" s="89">
        <v>66</v>
      </c>
      <c r="J48" s="89">
        <v>0</v>
      </c>
      <c r="K48" s="89" t="s">
        <v>60</v>
      </c>
      <c r="L48" s="89" t="s">
        <v>61</v>
      </c>
      <c r="M48" s="92" t="s">
        <v>76</v>
      </c>
      <c r="N48" s="89" t="s">
        <v>63</v>
      </c>
      <c r="O48" s="92" t="s">
        <v>64</v>
      </c>
      <c r="P48" s="92" t="s">
        <v>201</v>
      </c>
      <c r="Q48" s="92" t="s">
        <v>92</v>
      </c>
      <c r="R48" s="89" t="s">
        <v>236</v>
      </c>
      <c r="S48" s="89" t="s">
        <v>199</v>
      </c>
      <c r="T48" s="38" t="s">
        <v>64</v>
      </c>
    </row>
    <row r="49" spans="1:20" ht="52.9">
      <c r="A49" s="37">
        <v>48</v>
      </c>
      <c r="B49" s="89" t="s">
        <v>22</v>
      </c>
      <c r="C49" s="92" t="s">
        <v>165</v>
      </c>
      <c r="D49" s="115" t="s">
        <v>237</v>
      </c>
      <c r="E49" s="89" t="s">
        <v>238</v>
      </c>
      <c r="F49" s="89" t="s">
        <v>215</v>
      </c>
      <c r="G49" s="89" t="s">
        <v>59</v>
      </c>
      <c r="H49" s="89">
        <v>2</v>
      </c>
      <c r="I49" s="89">
        <v>66</v>
      </c>
      <c r="J49" s="89">
        <v>73</v>
      </c>
      <c r="K49" s="89" t="s">
        <v>60</v>
      </c>
      <c r="L49" s="89" t="s">
        <v>61</v>
      </c>
      <c r="M49" s="92" t="s">
        <v>168</v>
      </c>
      <c r="N49" s="89" t="s">
        <v>63</v>
      </c>
      <c r="O49" s="92" t="s">
        <v>64</v>
      </c>
      <c r="P49" s="92" t="s">
        <v>59</v>
      </c>
      <c r="Q49" s="92" t="s">
        <v>92</v>
      </c>
      <c r="R49" s="89" t="s">
        <v>137</v>
      </c>
      <c r="S49" s="89" t="s">
        <v>199</v>
      </c>
      <c r="T49" s="38" t="s">
        <v>64</v>
      </c>
    </row>
    <row r="50" spans="1:20" ht="52.9">
      <c r="A50" s="37">
        <v>49</v>
      </c>
      <c r="B50" s="89" t="s">
        <v>22</v>
      </c>
      <c r="C50" s="92" t="s">
        <v>239</v>
      </c>
      <c r="D50" s="89" t="s">
        <v>240</v>
      </c>
      <c r="E50" s="89" t="s">
        <v>241</v>
      </c>
      <c r="F50" s="89" t="s">
        <v>215</v>
      </c>
      <c r="G50" s="89" t="s">
        <v>59</v>
      </c>
      <c r="H50" s="89">
        <v>2</v>
      </c>
      <c r="I50" s="89">
        <v>66</v>
      </c>
      <c r="J50" s="89">
        <v>0</v>
      </c>
      <c r="K50" s="89" t="s">
        <v>60</v>
      </c>
      <c r="L50" s="89" t="s">
        <v>61</v>
      </c>
      <c r="M50" s="92"/>
      <c r="N50" s="89" t="s">
        <v>63</v>
      </c>
      <c r="O50" s="92" t="s">
        <v>64</v>
      </c>
      <c r="P50" s="92" t="s">
        <v>59</v>
      </c>
      <c r="Q50" s="92" t="s">
        <v>92</v>
      </c>
      <c r="R50" s="89" t="s">
        <v>242</v>
      </c>
      <c r="S50" s="89" t="s">
        <v>199</v>
      </c>
      <c r="T50" s="38" t="s">
        <v>64</v>
      </c>
    </row>
    <row r="51" spans="1:20" ht="52.9">
      <c r="A51" s="37">
        <v>50</v>
      </c>
      <c r="B51" s="89" t="s">
        <v>22</v>
      </c>
      <c r="C51" s="92" t="s">
        <v>239</v>
      </c>
      <c r="D51" s="89" t="s">
        <v>110</v>
      </c>
      <c r="E51" s="89" t="s">
        <v>111</v>
      </c>
      <c r="F51" s="89" t="s">
        <v>215</v>
      </c>
      <c r="G51" s="89" t="s">
        <v>59</v>
      </c>
      <c r="H51" s="89">
        <v>2</v>
      </c>
      <c r="I51" s="89">
        <v>66</v>
      </c>
      <c r="J51" s="89">
        <v>73</v>
      </c>
      <c r="K51" s="89" t="s">
        <v>60</v>
      </c>
      <c r="L51" s="89" t="s">
        <v>61</v>
      </c>
      <c r="M51" s="92"/>
      <c r="N51" s="89" t="s">
        <v>63</v>
      </c>
      <c r="O51" s="92" t="s">
        <v>64</v>
      </c>
      <c r="P51" s="92" t="s">
        <v>201</v>
      </c>
      <c r="Q51" s="92" t="s">
        <v>92</v>
      </c>
      <c r="R51" s="89"/>
      <c r="S51" s="89" t="s">
        <v>199</v>
      </c>
      <c r="T51" s="38" t="s">
        <v>115</v>
      </c>
    </row>
    <row r="52" spans="1:20" ht="79.150000000000006">
      <c r="A52" s="37">
        <v>51</v>
      </c>
      <c r="B52" s="89" t="s">
        <v>22</v>
      </c>
      <c r="C52" s="92" t="s">
        <v>217</v>
      </c>
      <c r="D52" s="115" t="s">
        <v>243</v>
      </c>
      <c r="E52" s="89" t="s">
        <v>244</v>
      </c>
      <c r="F52" s="89" t="s">
        <v>215</v>
      </c>
      <c r="G52" s="89" t="s">
        <v>59</v>
      </c>
      <c r="H52" s="89">
        <v>2</v>
      </c>
      <c r="I52" s="89">
        <v>66</v>
      </c>
      <c r="J52" s="89">
        <v>73</v>
      </c>
      <c r="K52" s="89" t="s">
        <v>60</v>
      </c>
      <c r="L52" s="89" t="s">
        <v>61</v>
      </c>
      <c r="M52" s="92"/>
      <c r="N52" s="89" t="s">
        <v>63</v>
      </c>
      <c r="O52" s="92" t="s">
        <v>64</v>
      </c>
      <c r="P52" s="92" t="s">
        <v>172</v>
      </c>
      <c r="Q52" s="92" t="s">
        <v>92</v>
      </c>
      <c r="R52" s="89"/>
      <c r="S52" s="89" t="s">
        <v>199</v>
      </c>
      <c r="T52" s="38" t="s">
        <v>64</v>
      </c>
    </row>
    <row r="53" spans="1:20" ht="68.25">
      <c r="A53" s="37">
        <v>52</v>
      </c>
      <c r="B53" s="89" t="s">
        <v>22</v>
      </c>
      <c r="C53" s="92" t="s">
        <v>239</v>
      </c>
      <c r="D53" s="89" t="s">
        <v>185</v>
      </c>
      <c r="E53" s="89" t="s">
        <v>245</v>
      </c>
      <c r="F53" s="89" t="s">
        <v>215</v>
      </c>
      <c r="G53" s="89" t="s">
        <v>59</v>
      </c>
      <c r="H53" s="89">
        <v>2</v>
      </c>
      <c r="I53" s="89">
        <v>66</v>
      </c>
      <c r="J53" s="89">
        <v>73</v>
      </c>
      <c r="K53" s="89" t="s">
        <v>60</v>
      </c>
      <c r="L53" s="89" t="s">
        <v>61</v>
      </c>
      <c r="M53" s="92"/>
      <c r="N53" s="89" t="s">
        <v>63</v>
      </c>
      <c r="O53" s="92" t="s">
        <v>64</v>
      </c>
      <c r="P53" s="92" t="s">
        <v>59</v>
      </c>
      <c r="Q53" s="92" t="s">
        <v>92</v>
      </c>
      <c r="R53" s="89" t="s">
        <v>204</v>
      </c>
      <c r="S53" s="89" t="s">
        <v>199</v>
      </c>
      <c r="T53" s="38" t="s">
        <v>64</v>
      </c>
    </row>
    <row r="54" spans="1:20" ht="52.9">
      <c r="A54" s="37">
        <v>53</v>
      </c>
      <c r="B54" s="89" t="s">
        <v>22</v>
      </c>
      <c r="C54" s="92" t="s">
        <v>239</v>
      </c>
      <c r="D54" s="115" t="s">
        <v>246</v>
      </c>
      <c r="E54" s="89" t="s">
        <v>247</v>
      </c>
      <c r="F54" s="89" t="s">
        <v>215</v>
      </c>
      <c r="G54" s="89" t="s">
        <v>59</v>
      </c>
      <c r="H54" s="89">
        <v>2</v>
      </c>
      <c r="I54" s="89">
        <v>66</v>
      </c>
      <c r="J54" s="89">
        <v>73</v>
      </c>
      <c r="K54" s="89" t="s">
        <v>60</v>
      </c>
      <c r="L54" s="89" t="s">
        <v>61</v>
      </c>
      <c r="M54" s="92"/>
      <c r="N54" s="89" t="s">
        <v>63</v>
      </c>
      <c r="O54" s="92" t="s">
        <v>64</v>
      </c>
      <c r="P54" s="92" t="s">
        <v>59</v>
      </c>
      <c r="Q54" s="92" t="s">
        <v>92</v>
      </c>
      <c r="R54" s="89"/>
      <c r="S54" s="89" t="s">
        <v>199</v>
      </c>
      <c r="T54" s="38" t="s">
        <v>64</v>
      </c>
    </row>
    <row r="55" spans="1:20" ht="52.9">
      <c r="A55" s="37">
        <v>54</v>
      </c>
      <c r="B55" s="89" t="s">
        <v>22</v>
      </c>
      <c r="C55" s="92" t="s">
        <v>213</v>
      </c>
      <c r="D55" s="115" t="s">
        <v>248</v>
      </c>
      <c r="E55" s="89" t="s">
        <v>249</v>
      </c>
      <c r="F55" s="89" t="s">
        <v>215</v>
      </c>
      <c r="G55" s="89" t="s">
        <v>59</v>
      </c>
      <c r="H55" s="89">
        <v>2</v>
      </c>
      <c r="I55" s="89">
        <v>66</v>
      </c>
      <c r="J55" s="89">
        <v>73</v>
      </c>
      <c r="K55" s="89" t="s">
        <v>60</v>
      </c>
      <c r="L55" s="89" t="s">
        <v>61</v>
      </c>
      <c r="M55" s="92"/>
      <c r="N55" s="89" t="s">
        <v>63</v>
      </c>
      <c r="O55" s="92" t="s">
        <v>64</v>
      </c>
      <c r="P55" s="92" t="s">
        <v>59</v>
      </c>
      <c r="Q55" s="92" t="s">
        <v>92</v>
      </c>
      <c r="R55" s="89"/>
      <c r="S55" s="89" t="s">
        <v>199</v>
      </c>
      <c r="T55" s="38" t="s">
        <v>64</v>
      </c>
    </row>
    <row r="56" spans="1:20" ht="54.75">
      <c r="A56" s="37">
        <v>55</v>
      </c>
      <c r="B56" s="89" t="s">
        <v>22</v>
      </c>
      <c r="C56" s="92" t="s">
        <v>239</v>
      </c>
      <c r="D56" s="89" t="s">
        <v>250</v>
      </c>
      <c r="E56" s="89" t="s">
        <v>251</v>
      </c>
      <c r="F56" s="89" t="s">
        <v>215</v>
      </c>
      <c r="G56" s="89" t="s">
        <v>59</v>
      </c>
      <c r="H56" s="89">
        <v>2</v>
      </c>
      <c r="I56" s="89">
        <v>66</v>
      </c>
      <c r="J56" s="89">
        <v>73</v>
      </c>
      <c r="K56" s="89" t="s">
        <v>60</v>
      </c>
      <c r="L56" s="89" t="s">
        <v>61</v>
      </c>
      <c r="M56" s="92"/>
      <c r="N56" s="89" t="s">
        <v>63</v>
      </c>
      <c r="O56" s="92" t="s">
        <v>64</v>
      </c>
      <c r="P56" s="92" t="s">
        <v>201</v>
      </c>
      <c r="Q56" s="92" t="s">
        <v>92</v>
      </c>
      <c r="R56" s="89" t="s">
        <v>252</v>
      </c>
      <c r="S56" s="89" t="s">
        <v>199</v>
      </c>
      <c r="T56" s="38" t="s">
        <v>64</v>
      </c>
    </row>
    <row r="57" spans="1:20" ht="92.45">
      <c r="A57" s="37">
        <v>56</v>
      </c>
      <c r="B57" s="89" t="s">
        <v>22</v>
      </c>
      <c r="C57" s="92" t="s">
        <v>219</v>
      </c>
      <c r="D57" s="115" t="s">
        <v>253</v>
      </c>
      <c r="E57" s="89" t="s">
        <v>254</v>
      </c>
      <c r="F57" s="89" t="s">
        <v>215</v>
      </c>
      <c r="G57" s="89" t="s">
        <v>59</v>
      </c>
      <c r="H57" s="89">
        <v>2</v>
      </c>
      <c r="I57" s="89">
        <v>66</v>
      </c>
      <c r="J57" s="89">
        <v>73</v>
      </c>
      <c r="K57" s="89" t="s">
        <v>60</v>
      </c>
      <c r="L57" s="89" t="s">
        <v>61</v>
      </c>
      <c r="M57" s="92"/>
      <c r="N57" s="89" t="s">
        <v>63</v>
      </c>
      <c r="O57" s="92" t="s">
        <v>64</v>
      </c>
      <c r="P57" s="92" t="s">
        <v>59</v>
      </c>
      <c r="Q57" s="92" t="s">
        <v>92</v>
      </c>
      <c r="R57" s="89" t="s">
        <v>255</v>
      </c>
      <c r="S57" s="89" t="s">
        <v>199</v>
      </c>
      <c r="T57" s="38" t="s">
        <v>64</v>
      </c>
    </row>
    <row r="58" spans="1:20" ht="92.45">
      <c r="A58" s="37">
        <v>57</v>
      </c>
      <c r="B58" s="89" t="s">
        <v>22</v>
      </c>
      <c r="C58" s="92" t="s">
        <v>219</v>
      </c>
      <c r="D58" s="115" t="s">
        <v>256</v>
      </c>
      <c r="E58" s="89" t="s">
        <v>254</v>
      </c>
      <c r="F58" s="89" t="s">
        <v>215</v>
      </c>
      <c r="G58" s="89" t="s">
        <v>59</v>
      </c>
      <c r="H58" s="89">
        <v>2</v>
      </c>
      <c r="I58" s="89">
        <v>66</v>
      </c>
      <c r="J58" s="89">
        <v>73</v>
      </c>
      <c r="K58" s="89" t="s">
        <v>60</v>
      </c>
      <c r="L58" s="89" t="s">
        <v>61</v>
      </c>
      <c r="M58" s="92"/>
      <c r="N58" s="89" t="s">
        <v>63</v>
      </c>
      <c r="O58" s="92" t="s">
        <v>64</v>
      </c>
      <c r="P58" s="92" t="s">
        <v>59</v>
      </c>
      <c r="Q58" s="92" t="s">
        <v>92</v>
      </c>
      <c r="R58" s="89" t="s">
        <v>255</v>
      </c>
      <c r="S58" s="89" t="s">
        <v>199</v>
      </c>
      <c r="T58" s="38" t="s">
        <v>64</v>
      </c>
    </row>
    <row r="59" spans="1:20" ht="66">
      <c r="A59" s="37">
        <v>58</v>
      </c>
      <c r="B59" s="89" t="s">
        <v>22</v>
      </c>
      <c r="C59" s="92" t="s">
        <v>239</v>
      </c>
      <c r="D59" s="115" t="s">
        <v>257</v>
      </c>
      <c r="E59" s="89" t="s">
        <v>258</v>
      </c>
      <c r="F59" s="89" t="s">
        <v>215</v>
      </c>
      <c r="G59" s="89" t="s">
        <v>59</v>
      </c>
      <c r="H59" s="89">
        <v>2</v>
      </c>
      <c r="I59" s="89">
        <v>66</v>
      </c>
      <c r="J59" s="89">
        <v>73</v>
      </c>
      <c r="K59" s="89" t="s">
        <v>60</v>
      </c>
      <c r="L59" s="89" t="s">
        <v>61</v>
      </c>
      <c r="M59" s="92"/>
      <c r="N59" s="89" t="s">
        <v>63</v>
      </c>
      <c r="O59" s="92" t="s">
        <v>64</v>
      </c>
      <c r="P59" s="92" t="s">
        <v>172</v>
      </c>
      <c r="Q59" s="92" t="s">
        <v>92</v>
      </c>
      <c r="R59" s="89" t="s">
        <v>259</v>
      </c>
      <c r="S59" s="89" t="s">
        <v>199</v>
      </c>
      <c r="T59" s="38" t="s">
        <v>64</v>
      </c>
    </row>
    <row r="60" spans="1:20" ht="52.9">
      <c r="A60" s="37">
        <v>59</v>
      </c>
      <c r="B60" s="89" t="s">
        <v>22</v>
      </c>
      <c r="C60" s="92" t="s">
        <v>219</v>
      </c>
      <c r="D60" s="115" t="s">
        <v>260</v>
      </c>
      <c r="E60" s="89" t="s">
        <v>261</v>
      </c>
      <c r="F60" s="89" t="s">
        <v>215</v>
      </c>
      <c r="G60" s="89" t="s">
        <v>59</v>
      </c>
      <c r="H60" s="89">
        <v>2</v>
      </c>
      <c r="I60" s="89">
        <v>66</v>
      </c>
      <c r="J60" s="89">
        <v>73</v>
      </c>
      <c r="K60" s="89" t="s">
        <v>60</v>
      </c>
      <c r="L60" s="89" t="s">
        <v>61</v>
      </c>
      <c r="M60" s="92" t="s">
        <v>76</v>
      </c>
      <c r="N60" s="89" t="s">
        <v>63</v>
      </c>
      <c r="O60" s="92" t="s">
        <v>64</v>
      </c>
      <c r="P60" s="92" t="s">
        <v>59</v>
      </c>
      <c r="Q60" s="92" t="s">
        <v>92</v>
      </c>
      <c r="R60" s="89" t="s">
        <v>262</v>
      </c>
      <c r="S60" s="89" t="s">
        <v>199</v>
      </c>
      <c r="T60" s="38" t="s">
        <v>64</v>
      </c>
    </row>
    <row r="61" spans="1:20" ht="52.9">
      <c r="A61" s="37">
        <v>60</v>
      </c>
      <c r="B61" s="89" t="s">
        <v>22</v>
      </c>
      <c r="C61" s="92" t="s">
        <v>219</v>
      </c>
      <c r="D61" s="115" t="s">
        <v>263</v>
      </c>
      <c r="E61" s="89" t="s">
        <v>264</v>
      </c>
      <c r="F61" s="89" t="s">
        <v>215</v>
      </c>
      <c r="G61" s="89" t="s">
        <v>59</v>
      </c>
      <c r="H61" s="89">
        <v>2</v>
      </c>
      <c r="I61" s="89">
        <v>66</v>
      </c>
      <c r="J61" s="89">
        <v>73</v>
      </c>
      <c r="K61" s="89" t="s">
        <v>60</v>
      </c>
      <c r="L61" s="89" t="s">
        <v>61</v>
      </c>
      <c r="M61" s="92"/>
      <c r="N61" s="89" t="s">
        <v>63</v>
      </c>
      <c r="O61" s="92" t="s">
        <v>64</v>
      </c>
      <c r="P61" s="92" t="s">
        <v>59</v>
      </c>
      <c r="Q61" s="92" t="s">
        <v>92</v>
      </c>
      <c r="R61" s="89" t="s">
        <v>265</v>
      </c>
      <c r="S61" s="89" t="s">
        <v>199</v>
      </c>
      <c r="T61" s="38" t="s">
        <v>64</v>
      </c>
    </row>
    <row r="62" spans="1:20" ht="52.9">
      <c r="A62" s="37">
        <v>61</v>
      </c>
      <c r="B62" s="89" t="s">
        <v>22</v>
      </c>
      <c r="C62" s="92" t="s">
        <v>219</v>
      </c>
      <c r="D62" s="115" t="s">
        <v>266</v>
      </c>
      <c r="E62" s="89" t="s">
        <v>267</v>
      </c>
      <c r="F62" s="89" t="s">
        <v>215</v>
      </c>
      <c r="G62" s="89" t="s">
        <v>59</v>
      </c>
      <c r="H62" s="89">
        <v>2</v>
      </c>
      <c r="I62" s="89">
        <v>66</v>
      </c>
      <c r="J62" s="89">
        <v>73</v>
      </c>
      <c r="K62" s="89" t="s">
        <v>60</v>
      </c>
      <c r="L62" s="89" t="s">
        <v>61</v>
      </c>
      <c r="M62" s="92"/>
      <c r="N62" s="89" t="s">
        <v>63</v>
      </c>
      <c r="O62" s="92" t="s">
        <v>64</v>
      </c>
      <c r="P62" s="92" t="s">
        <v>59</v>
      </c>
      <c r="Q62" s="92" t="s">
        <v>92</v>
      </c>
      <c r="R62" s="89" t="s">
        <v>268</v>
      </c>
      <c r="S62" s="89" t="s">
        <v>199</v>
      </c>
      <c r="T62" s="38" t="s">
        <v>64</v>
      </c>
    </row>
    <row r="63" spans="1:20" ht="52.9">
      <c r="A63" s="37">
        <v>62</v>
      </c>
      <c r="B63" s="89" t="s">
        <v>22</v>
      </c>
      <c r="C63" s="92" t="s">
        <v>219</v>
      </c>
      <c r="D63" s="115" t="s">
        <v>269</v>
      </c>
      <c r="E63" s="89" t="s">
        <v>270</v>
      </c>
      <c r="F63" s="89" t="s">
        <v>215</v>
      </c>
      <c r="G63" s="89" t="s">
        <v>59</v>
      </c>
      <c r="H63" s="89">
        <v>2</v>
      </c>
      <c r="I63" s="89">
        <v>66</v>
      </c>
      <c r="J63" s="89">
        <v>73</v>
      </c>
      <c r="K63" s="89" t="s">
        <v>60</v>
      </c>
      <c r="L63" s="89" t="s">
        <v>61</v>
      </c>
      <c r="M63" s="92"/>
      <c r="N63" s="89" t="s">
        <v>63</v>
      </c>
      <c r="O63" s="92" t="s">
        <v>64</v>
      </c>
      <c r="P63" s="92" t="s">
        <v>160</v>
      </c>
      <c r="Q63" s="92" t="s">
        <v>92</v>
      </c>
      <c r="R63" s="89" t="s">
        <v>271</v>
      </c>
      <c r="S63" s="89" t="s">
        <v>199</v>
      </c>
      <c r="T63" s="38" t="s">
        <v>64</v>
      </c>
    </row>
    <row r="64" spans="1:20" ht="39.6">
      <c r="A64" s="37">
        <v>63</v>
      </c>
      <c r="B64" s="89" t="s">
        <v>22</v>
      </c>
      <c r="C64" s="92" t="s">
        <v>187</v>
      </c>
      <c r="D64" s="115" t="s">
        <v>272</v>
      </c>
      <c r="E64" s="89" t="s">
        <v>273</v>
      </c>
      <c r="F64" s="89" t="s">
        <v>274</v>
      </c>
      <c r="G64" s="89" t="s">
        <v>59</v>
      </c>
      <c r="H64" s="89">
        <v>2</v>
      </c>
      <c r="I64" s="89">
        <v>99</v>
      </c>
      <c r="J64" s="89">
        <v>6</v>
      </c>
      <c r="K64" s="89" t="s">
        <v>60</v>
      </c>
      <c r="L64" s="89" t="s">
        <v>61</v>
      </c>
      <c r="M64" s="92" t="s">
        <v>191</v>
      </c>
      <c r="N64" s="89" t="s">
        <v>63</v>
      </c>
      <c r="O64" s="92" t="s">
        <v>64</v>
      </c>
      <c r="P64" s="92" t="s">
        <v>59</v>
      </c>
      <c r="Q64" s="92" t="s">
        <v>275</v>
      </c>
      <c r="R64" s="89" t="s">
        <v>276</v>
      </c>
      <c r="S64" s="89" t="s">
        <v>277</v>
      </c>
      <c r="T64" s="38" t="s">
        <v>64</v>
      </c>
    </row>
    <row r="65" spans="1:20" ht="39.6">
      <c r="A65" s="37">
        <v>64</v>
      </c>
      <c r="B65" s="89" t="s">
        <v>22</v>
      </c>
      <c r="C65" s="92" t="s">
        <v>278</v>
      </c>
      <c r="D65" s="118" t="s">
        <v>279</v>
      </c>
      <c r="E65" s="89" t="s">
        <v>280</v>
      </c>
      <c r="F65" s="37"/>
      <c r="G65" s="37" t="s">
        <v>59</v>
      </c>
      <c r="H65" s="37">
        <v>2</v>
      </c>
      <c r="I65" s="37"/>
      <c r="J65" s="37"/>
      <c r="K65" s="37" t="s">
        <v>60</v>
      </c>
      <c r="L65" s="37" t="s">
        <v>61</v>
      </c>
      <c r="M65" s="37" t="s">
        <v>76</v>
      </c>
      <c r="N65" s="89" t="s">
        <v>63</v>
      </c>
      <c r="O65" s="37" t="s">
        <v>64</v>
      </c>
      <c r="P65" s="37" t="s">
        <v>59</v>
      </c>
      <c r="Q65" s="92" t="s">
        <v>281</v>
      </c>
      <c r="R65" s="89" t="s">
        <v>282</v>
      </c>
      <c r="S65" s="89" t="s">
        <v>67</v>
      </c>
      <c r="T65" s="38" t="s">
        <v>64</v>
      </c>
    </row>
    <row r="66" spans="1:20" ht="41.25">
      <c r="A66" s="37">
        <v>65</v>
      </c>
      <c r="B66" s="89" t="s">
        <v>22</v>
      </c>
      <c r="C66" s="92" t="s">
        <v>278</v>
      </c>
      <c r="D66" s="118" t="s">
        <v>283</v>
      </c>
      <c r="E66" s="117" t="s">
        <v>284</v>
      </c>
      <c r="F66" s="37"/>
      <c r="G66" s="37" t="s">
        <v>59</v>
      </c>
      <c r="H66" s="37">
        <v>2</v>
      </c>
      <c r="I66" s="37"/>
      <c r="J66" s="37"/>
      <c r="K66" s="37" t="s">
        <v>60</v>
      </c>
      <c r="L66" s="37" t="s">
        <v>61</v>
      </c>
      <c r="M66" s="37" t="s">
        <v>76</v>
      </c>
      <c r="N66" s="89" t="s">
        <v>63</v>
      </c>
      <c r="O66" s="37" t="s">
        <v>64</v>
      </c>
      <c r="P66" s="37" t="s">
        <v>59</v>
      </c>
      <c r="Q66" s="92" t="s">
        <v>281</v>
      </c>
      <c r="R66" s="89" t="s">
        <v>282</v>
      </c>
      <c r="S66" s="89" t="s">
        <v>67</v>
      </c>
      <c r="T66" s="38" t="s">
        <v>64</v>
      </c>
    </row>
    <row r="67" spans="1:20" ht="57.75">
      <c r="A67" s="37">
        <v>66</v>
      </c>
      <c r="B67" s="89" t="s">
        <v>22</v>
      </c>
      <c r="C67" s="92" t="s">
        <v>278</v>
      </c>
      <c r="D67" s="118" t="s">
        <v>74</v>
      </c>
      <c r="E67" s="117" t="s">
        <v>285</v>
      </c>
      <c r="F67" s="37"/>
      <c r="G67" s="37" t="s">
        <v>59</v>
      </c>
      <c r="H67" s="37">
        <v>2</v>
      </c>
      <c r="I67" s="37"/>
      <c r="J67" s="37"/>
      <c r="K67" s="37" t="s">
        <v>60</v>
      </c>
      <c r="L67" s="37" t="s">
        <v>61</v>
      </c>
      <c r="M67" s="37" t="s">
        <v>62</v>
      </c>
      <c r="N67" s="89" t="s">
        <v>63</v>
      </c>
      <c r="O67" s="37" t="s">
        <v>64</v>
      </c>
      <c r="P67" s="37" t="s">
        <v>59</v>
      </c>
      <c r="Q67" s="92" t="s">
        <v>281</v>
      </c>
      <c r="R67" s="89" t="s">
        <v>282</v>
      </c>
      <c r="S67" s="89" t="s">
        <v>67</v>
      </c>
      <c r="T67" s="38" t="s">
        <v>64</v>
      </c>
    </row>
    <row r="68" spans="1:20" ht="43.5">
      <c r="A68" s="37">
        <v>67</v>
      </c>
      <c r="B68" s="89" t="s">
        <v>22</v>
      </c>
      <c r="C68" s="92" t="s">
        <v>278</v>
      </c>
      <c r="D68" s="118" t="s">
        <v>286</v>
      </c>
      <c r="E68" s="117" t="s">
        <v>287</v>
      </c>
      <c r="F68" s="37"/>
      <c r="G68" s="37" t="s">
        <v>59</v>
      </c>
      <c r="H68" s="37">
        <v>2</v>
      </c>
      <c r="I68" s="37"/>
      <c r="J68" s="37"/>
      <c r="K68" s="37" t="s">
        <v>60</v>
      </c>
      <c r="L68" s="37" t="s">
        <v>61</v>
      </c>
      <c r="M68" s="37" t="s">
        <v>76</v>
      </c>
      <c r="N68" s="89" t="s">
        <v>63</v>
      </c>
      <c r="O68" s="37" t="s">
        <v>64</v>
      </c>
      <c r="P68" s="37" t="s">
        <v>59</v>
      </c>
      <c r="Q68" s="92" t="s">
        <v>281</v>
      </c>
      <c r="R68" s="89" t="s">
        <v>282</v>
      </c>
      <c r="S68" s="89" t="s">
        <v>67</v>
      </c>
      <c r="T68" s="38" t="s">
        <v>64</v>
      </c>
    </row>
    <row r="69" spans="1:20" ht="43.5">
      <c r="A69" s="37">
        <v>68</v>
      </c>
      <c r="B69" s="89" t="s">
        <v>22</v>
      </c>
      <c r="C69" s="92" t="s">
        <v>278</v>
      </c>
      <c r="D69" s="118" t="s">
        <v>278</v>
      </c>
      <c r="E69" s="117" t="s">
        <v>288</v>
      </c>
      <c r="F69" s="37"/>
      <c r="G69" s="37" t="s">
        <v>59</v>
      </c>
      <c r="H69" s="37">
        <v>2</v>
      </c>
      <c r="I69" s="37"/>
      <c r="J69" s="37"/>
      <c r="K69" s="37" t="s">
        <v>60</v>
      </c>
      <c r="L69" s="37" t="s">
        <v>61</v>
      </c>
      <c r="M69" s="37" t="s">
        <v>76</v>
      </c>
      <c r="N69" s="89" t="s">
        <v>63</v>
      </c>
      <c r="O69" s="37" t="s">
        <v>64</v>
      </c>
      <c r="P69" s="37" t="s">
        <v>59</v>
      </c>
      <c r="Q69" s="92" t="s">
        <v>281</v>
      </c>
      <c r="R69" s="89" t="s">
        <v>282</v>
      </c>
      <c r="S69" s="89" t="s">
        <v>67</v>
      </c>
      <c r="T69" s="38" t="s">
        <v>64</v>
      </c>
    </row>
    <row r="70" spans="1:20" ht="15">
      <c r="A70" s="37"/>
      <c r="B70" s="89"/>
      <c r="C70" s="6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8"/>
    </row>
    <row r="71" spans="1:20">
      <c r="A71" s="37"/>
      <c r="B71" s="89"/>
      <c r="C71" s="6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8"/>
    </row>
    <row r="72" spans="1:20">
      <c r="A72" s="37"/>
      <c r="B72" s="89"/>
      <c r="C72" s="38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8"/>
    </row>
    <row r="73" spans="1:20">
      <c r="A73" s="37"/>
      <c r="B73" s="89"/>
      <c r="C73" s="38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8"/>
    </row>
    <row r="74" spans="1:20">
      <c r="A74" s="37"/>
      <c r="B74" s="89"/>
      <c r="C74" s="38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8"/>
    </row>
    <row r="75" spans="1:20" ht="15"/>
    <row r="76" spans="1:20" ht="15"/>
  </sheetData>
  <autoFilter ref="A1:T69" xr:uid="{CCF0C973-AD32-4E2C-95CE-A2FAE575DA22}"/>
  <conditionalFormatting sqref="T1:T1048576">
    <cfRule type="cellIs" dxfId="69" priority="1" operator="equal">
      <formula>"NO"</formula>
    </cfRule>
    <cfRule type="cellIs" dxfId="68" priority="2" operator="equal">
      <formula>"SI"</formula>
    </cfRule>
  </conditionalFormatting>
  <dataValidations count="1">
    <dataValidation type="list" allowBlank="1" showInputMessage="1" showErrorMessage="1" sqref="T2:T64" xr:uid="{FFF403BE-3641-4AF1-98CF-8E04C2D040BB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167"/>
  <sheetViews>
    <sheetView workbookViewId="0">
      <pane xSplit="9" ySplit="2" topLeftCell="J66" activePane="bottomRight" state="frozen"/>
      <selection pane="bottomRight" activeCell="A3" sqref="A3:A70"/>
      <selection pane="bottomLeft" activeCell="A3" sqref="A3"/>
      <selection pane="topRight" activeCell="J1" sqref="J1"/>
    </sheetView>
  </sheetViews>
  <sheetFormatPr defaultColWidth="11.42578125" defaultRowHeight="14.45"/>
  <cols>
    <col min="1" max="1" width="3" style="7" bestFit="1" customWidth="1"/>
    <col min="2" max="2" width="11.42578125" style="7" customWidth="1"/>
    <col min="3" max="3" width="21.7109375" style="7" bestFit="1" customWidth="1"/>
    <col min="4" max="4" width="21" style="3" customWidth="1"/>
    <col min="5" max="5" width="12.7109375" style="7" customWidth="1"/>
    <col min="6" max="9" width="6.5703125" style="7" customWidth="1"/>
    <col min="10" max="10" width="40.140625" style="3" customWidth="1"/>
    <col min="11" max="11" width="41.28515625" style="3" customWidth="1"/>
    <col min="12" max="12" width="25.7109375" style="3" customWidth="1"/>
    <col min="13" max="13" width="40.85546875" style="3" customWidth="1"/>
    <col min="14" max="14" width="42.7109375" style="3" customWidth="1"/>
    <col min="15" max="15" width="29.42578125" style="3" customWidth="1"/>
    <col min="16" max="16" width="36.7109375" style="3" customWidth="1"/>
    <col min="17" max="17" width="34.7109375" style="3" customWidth="1"/>
  </cols>
  <sheetData>
    <row r="1" spans="1:17" ht="14.45" customHeight="1">
      <c r="A1" s="123" t="s">
        <v>35</v>
      </c>
      <c r="B1" s="22"/>
      <c r="C1" s="123" t="s">
        <v>37</v>
      </c>
      <c r="D1" s="123" t="s">
        <v>38</v>
      </c>
      <c r="E1" s="127" t="s">
        <v>40</v>
      </c>
      <c r="F1" s="129" t="s">
        <v>41</v>
      </c>
      <c r="G1" s="130" t="s">
        <v>42</v>
      </c>
      <c r="H1" s="130" t="s">
        <v>43</v>
      </c>
      <c r="I1" s="131" t="s">
        <v>44</v>
      </c>
      <c r="J1" s="25" t="s">
        <v>289</v>
      </c>
      <c r="K1" s="25" t="s">
        <v>290</v>
      </c>
      <c r="L1" s="25" t="s">
        <v>291</v>
      </c>
      <c r="M1" s="25" t="s">
        <v>292</v>
      </c>
      <c r="N1" s="25" t="s">
        <v>293</v>
      </c>
      <c r="O1" s="25" t="s">
        <v>294</v>
      </c>
      <c r="P1" s="25" t="s">
        <v>295</v>
      </c>
      <c r="Q1" s="125" t="s">
        <v>296</v>
      </c>
    </row>
    <row r="2" spans="1:17" ht="94.9" customHeight="1">
      <c r="A2" s="124"/>
      <c r="B2" s="24" t="s">
        <v>297</v>
      </c>
      <c r="C2" s="124"/>
      <c r="D2" s="124"/>
      <c r="E2" s="128"/>
      <c r="F2" s="129"/>
      <c r="G2" s="130"/>
      <c r="H2" s="130"/>
      <c r="I2" s="131"/>
      <c r="J2" s="106" t="s">
        <v>298</v>
      </c>
      <c r="K2" s="20" t="s">
        <v>299</v>
      </c>
      <c r="L2" s="21" t="s">
        <v>300</v>
      </c>
      <c r="M2" s="21" t="s">
        <v>301</v>
      </c>
      <c r="N2" s="20" t="s">
        <v>302</v>
      </c>
      <c r="O2" s="20" t="s">
        <v>303</v>
      </c>
      <c r="P2" s="20" t="s">
        <v>304</v>
      </c>
      <c r="Q2" s="126"/>
    </row>
    <row r="3" spans="1:17" ht="38.450000000000003" customHeight="1">
      <c r="A3" s="61">
        <f>Datos!A2</f>
        <v>1</v>
      </c>
      <c r="B3" s="61" t="str">
        <f>Datos!B2</f>
        <v>Procesos</v>
      </c>
      <c r="C3" s="61" t="str">
        <f>Datos!C2</f>
        <v>Deshuesado de Pechugas</v>
      </c>
      <c r="D3" s="62" t="str">
        <f>Datos!D2</f>
        <v>Postura de Pechuga</v>
      </c>
      <c r="E3" s="62" t="str">
        <f>Datos!F2</f>
        <v>07:05 - 15:05 - 15:05 - 00:05</v>
      </c>
      <c r="F3" s="62" t="str">
        <f>Datos!G2</f>
        <v>N/A</v>
      </c>
      <c r="G3" s="62">
        <f>Datos!H2</f>
        <v>2</v>
      </c>
      <c r="H3" s="62">
        <f>Datos!I2</f>
        <v>209</v>
      </c>
      <c r="I3" s="62">
        <f>Datos!J2</f>
        <v>101</v>
      </c>
      <c r="J3" s="6" t="s">
        <v>64</v>
      </c>
      <c r="K3" s="6" t="s">
        <v>115</v>
      </c>
      <c r="L3" s="6" t="s">
        <v>115</v>
      </c>
      <c r="M3" s="6" t="s">
        <v>115</v>
      </c>
      <c r="N3" s="6" t="s">
        <v>115</v>
      </c>
      <c r="O3" s="6" t="s">
        <v>115</v>
      </c>
      <c r="P3" s="6" t="s">
        <v>115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3.15">
      <c r="A4" s="61">
        <f>Datos!A3</f>
        <v>2</v>
      </c>
      <c r="B4" s="61" t="str">
        <f>Datos!B3</f>
        <v>Procesos</v>
      </c>
      <c r="C4" s="61" t="str">
        <f>Datos!C3</f>
        <v>Deshuesado de Pechugas</v>
      </c>
      <c r="D4" s="62" t="str">
        <f>Datos!D3</f>
        <v>Bajado de Pechugas</v>
      </c>
      <c r="E4" s="62" t="str">
        <f>Datos!F3</f>
        <v>07:05 - 15:05 - 15:05 - 00:05</v>
      </c>
      <c r="F4" s="62" t="str">
        <f>Datos!G3</f>
        <v>N/A</v>
      </c>
      <c r="G4" s="62">
        <f>Datos!H3</f>
        <v>2</v>
      </c>
      <c r="H4" s="62">
        <f>Datos!I3</f>
        <v>209</v>
      </c>
      <c r="I4" s="62">
        <f>Datos!J3</f>
        <v>101</v>
      </c>
      <c r="J4" s="6" t="s">
        <v>64</v>
      </c>
      <c r="K4" s="6" t="s">
        <v>115</v>
      </c>
      <c r="L4" s="6" t="s">
        <v>115</v>
      </c>
      <c r="M4" s="6" t="s">
        <v>115</v>
      </c>
      <c r="N4" s="6" t="s">
        <v>115</v>
      </c>
      <c r="O4" s="6" t="s">
        <v>115</v>
      </c>
      <c r="P4" s="6" t="s">
        <v>115</v>
      </c>
      <c r="Q4" s="6" t="str">
        <f t="shared" ref="Q4:Q38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3.15">
      <c r="A5" s="61">
        <f>Datos!A4</f>
        <v>3</v>
      </c>
      <c r="B5" s="61" t="str">
        <f>Datos!B4</f>
        <v>Procesos</v>
      </c>
      <c r="C5" s="61" t="str">
        <f>Datos!C4</f>
        <v>Deshuesado de Pechugas</v>
      </c>
      <c r="D5" s="62" t="str">
        <f>Datos!D4</f>
        <v>Prolijado</v>
      </c>
      <c r="E5" s="62" t="str">
        <f>Datos!F4</f>
        <v>07:05 - 15:05 - 15:05 - 00:05</v>
      </c>
      <c r="F5" s="62" t="str">
        <f>Datos!G4</f>
        <v>N/A</v>
      </c>
      <c r="G5" s="62">
        <f>Datos!H4</f>
        <v>2</v>
      </c>
      <c r="H5" s="62">
        <f>Datos!I4</f>
        <v>209</v>
      </c>
      <c r="I5" s="62">
        <f>Datos!J4</f>
        <v>101</v>
      </c>
      <c r="J5" s="6" t="s">
        <v>64</v>
      </c>
      <c r="K5" s="6" t="s">
        <v>115</v>
      </c>
      <c r="L5" s="6" t="s">
        <v>115</v>
      </c>
      <c r="M5" s="6" t="s">
        <v>115</v>
      </c>
      <c r="N5" s="6" t="s">
        <v>115</v>
      </c>
      <c r="O5" s="6" t="s">
        <v>115</v>
      </c>
      <c r="P5" s="6" t="s">
        <v>115</v>
      </c>
      <c r="Q5" s="6" t="str">
        <f t="shared" si="0"/>
        <v>Aplicar identificación avanzada-condición aceptable para cada tipo de factor de riesgo identificado</v>
      </c>
    </row>
    <row r="6" spans="1:17" ht="43.15">
      <c r="A6" s="61">
        <f>Datos!A5</f>
        <v>4</v>
      </c>
      <c r="B6" s="61" t="str">
        <f>Datos!B5</f>
        <v>Procesos</v>
      </c>
      <c r="C6" s="61" t="str">
        <f>Datos!C5</f>
        <v>Deshuesado de Pechugas</v>
      </c>
      <c r="D6" s="62" t="str">
        <f>Datos!D5</f>
        <v>Bajado de filete</v>
      </c>
      <c r="E6" s="62" t="str">
        <f>Datos!F5</f>
        <v>07:05 - 15:05 - 15:05 - 00:05</v>
      </c>
      <c r="F6" s="62" t="str">
        <f>Datos!G5</f>
        <v>N/A</v>
      </c>
      <c r="G6" s="62">
        <f>Datos!H5</f>
        <v>2</v>
      </c>
      <c r="H6" s="62">
        <f>Datos!I5</f>
        <v>209</v>
      </c>
      <c r="I6" s="62">
        <f>Datos!J5</f>
        <v>101</v>
      </c>
      <c r="J6" s="6" t="s">
        <v>64</v>
      </c>
      <c r="K6" s="6" t="s">
        <v>115</v>
      </c>
      <c r="L6" s="6" t="s">
        <v>115</v>
      </c>
      <c r="M6" s="6" t="s">
        <v>115</v>
      </c>
      <c r="N6" s="6" t="s">
        <v>115</v>
      </c>
      <c r="O6" s="6" t="s">
        <v>115</v>
      </c>
      <c r="P6" s="6" t="s">
        <v>115</v>
      </c>
      <c r="Q6" s="6" t="str">
        <f t="shared" si="0"/>
        <v>Aplicar identificación avanzada-condición aceptable para cada tipo de factor de riesgo identificado</v>
      </c>
    </row>
    <row r="7" spans="1:17" ht="43.15">
      <c r="A7" s="61">
        <f>Datos!A6</f>
        <v>5</v>
      </c>
      <c r="B7" s="61" t="str">
        <f>Datos!B6</f>
        <v>Procesos</v>
      </c>
      <c r="C7" s="61" t="str">
        <f>Datos!C6</f>
        <v>Deshuesado de Pechugas</v>
      </c>
      <c r="D7" s="62" t="str">
        <f>Datos!D6</f>
        <v>Selección de filete</v>
      </c>
      <c r="E7" s="62" t="str">
        <f>Datos!F6</f>
        <v>07:05 - 15:05 - 15:05 - 00:05</v>
      </c>
      <c r="F7" s="62" t="str">
        <f>Datos!G6</f>
        <v>N/A</v>
      </c>
      <c r="G7" s="62">
        <f>Datos!H6</f>
        <v>2</v>
      </c>
      <c r="H7" s="62">
        <f>Datos!I6</f>
        <v>209</v>
      </c>
      <c r="I7" s="62">
        <f>Datos!J6</f>
        <v>101</v>
      </c>
      <c r="J7" s="6" t="s">
        <v>64</v>
      </c>
      <c r="K7" s="6" t="s">
        <v>115</v>
      </c>
      <c r="L7" s="6" t="s">
        <v>115</v>
      </c>
      <c r="M7" s="6" t="s">
        <v>115</v>
      </c>
      <c r="N7" s="6" t="s">
        <v>115</v>
      </c>
      <c r="O7" s="6" t="s">
        <v>115</v>
      </c>
      <c r="P7" s="6" t="s">
        <v>115</v>
      </c>
      <c r="Q7" s="6" t="str">
        <f t="shared" si="0"/>
        <v>Aplicar identificación avanzada-condición aceptable para cada tipo de factor de riesgo identificado</v>
      </c>
    </row>
    <row r="8" spans="1:17" ht="43.15">
      <c r="A8" s="61">
        <f>Datos!A7</f>
        <v>6</v>
      </c>
      <c r="B8" s="61" t="str">
        <f>Datos!B7</f>
        <v>Procesos</v>
      </c>
      <c r="C8" s="61" t="str">
        <f>Datos!C7</f>
        <v>Deshuesado de Pechugas</v>
      </c>
      <c r="D8" s="62" t="str">
        <f>Datos!D7</f>
        <v>Filete</v>
      </c>
      <c r="E8" s="62" t="str">
        <f>Datos!F7</f>
        <v>07:05 - 15:05 - 15:05 - 00:05</v>
      </c>
      <c r="F8" s="62" t="str">
        <f>Datos!G7</f>
        <v>N/A</v>
      </c>
      <c r="G8" s="62">
        <f>Datos!H7</f>
        <v>2</v>
      </c>
      <c r="H8" s="62">
        <f>Datos!I7</f>
        <v>40</v>
      </c>
      <c r="I8" s="62">
        <f>Datos!J7</f>
        <v>20</v>
      </c>
      <c r="J8" s="6" t="s">
        <v>64</v>
      </c>
      <c r="K8" s="6" t="s">
        <v>115</v>
      </c>
      <c r="L8" s="6" t="s">
        <v>115</v>
      </c>
      <c r="M8" s="6" t="s">
        <v>115</v>
      </c>
      <c r="N8" s="6" t="s">
        <v>115</v>
      </c>
      <c r="O8" s="6" t="s">
        <v>115</v>
      </c>
      <c r="P8" s="6" t="s">
        <v>115</v>
      </c>
      <c r="Q8" s="6" t="str">
        <f t="shared" si="0"/>
        <v>Aplicar identificación avanzada-condición aceptable para cada tipo de factor de riesgo identificado</v>
      </c>
    </row>
    <row r="9" spans="1:17" ht="43.15">
      <c r="A9" s="61">
        <f>Datos!A8</f>
        <v>7</v>
      </c>
      <c r="B9" s="61" t="str">
        <f>Datos!B8</f>
        <v>Procesos</v>
      </c>
      <c r="C9" s="61" t="str">
        <f>Datos!C8</f>
        <v>Deshuesado de Pechugas</v>
      </c>
      <c r="D9" s="62" t="str">
        <f>Datos!D8</f>
        <v>Tiritas</v>
      </c>
      <c r="E9" s="62" t="str">
        <f>Datos!F8</f>
        <v>07:05 - 15:05 - 15:05 - 00:05</v>
      </c>
      <c r="F9" s="62" t="str">
        <f>Datos!G8</f>
        <v>N/A</v>
      </c>
      <c r="G9" s="62">
        <f>Datos!H8</f>
        <v>2</v>
      </c>
      <c r="H9" s="62">
        <f>Datos!I8</f>
        <v>40</v>
      </c>
      <c r="I9" s="62">
        <f>Datos!J8</f>
        <v>20</v>
      </c>
      <c r="J9" s="6" t="s">
        <v>64</v>
      </c>
      <c r="K9" s="6" t="s">
        <v>115</v>
      </c>
      <c r="L9" s="6" t="s">
        <v>115</v>
      </c>
      <c r="M9" s="6" t="s">
        <v>115</v>
      </c>
      <c r="N9" s="6" t="s">
        <v>115</v>
      </c>
      <c r="O9" s="6" t="s">
        <v>115</v>
      </c>
      <c r="P9" s="6" t="s">
        <v>115</v>
      </c>
      <c r="Q9" s="6" t="str">
        <f t="shared" si="0"/>
        <v>Aplicar identificación avanzada-condición aceptable para cada tipo de factor de riesgo identificado</v>
      </c>
    </row>
    <row r="10" spans="1:17" ht="43.15">
      <c r="A10" s="61">
        <f>Datos!A9</f>
        <v>8</v>
      </c>
      <c r="B10" s="61" t="str">
        <f>Datos!B9</f>
        <v>Procesos</v>
      </c>
      <c r="C10" s="61" t="str">
        <f>Datos!C9</f>
        <v>Deshuesado de Pechugas</v>
      </c>
      <c r="D10" s="62" t="str">
        <f>Datos!D9</f>
        <v>Piel</v>
      </c>
      <c r="E10" s="62" t="str">
        <f>Datos!F9</f>
        <v>07:05 - 15:05 - 15:05 - 00:05</v>
      </c>
      <c r="F10" s="62" t="str">
        <f>Datos!G9</f>
        <v>N/A</v>
      </c>
      <c r="G10" s="62">
        <f>Datos!H9</f>
        <v>2</v>
      </c>
      <c r="H10" s="62">
        <f>Datos!I9</f>
        <v>40</v>
      </c>
      <c r="I10" s="62">
        <f>Datos!J9</f>
        <v>20</v>
      </c>
      <c r="J10" s="6" t="s">
        <v>64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tr">
        <f t="shared" si="0"/>
        <v>Aplicar identificación avanzada-condición aceptable para cada tipo de factor de riesgo identificado</v>
      </c>
    </row>
    <row r="11" spans="1:17" ht="43.15">
      <c r="A11" s="61">
        <f>Datos!A10</f>
        <v>9</v>
      </c>
      <c r="B11" s="61" t="str">
        <f>Datos!B10</f>
        <v>Procesos</v>
      </c>
      <c r="C11" s="61" t="str">
        <f>Datos!C10</f>
        <v>Deshuesado de Pechugas</v>
      </c>
      <c r="D11" s="62" t="str">
        <f>Datos!D10</f>
        <v>Recepcion de bins</v>
      </c>
      <c r="E11" s="62" t="str">
        <f>Datos!F10</f>
        <v>07:05 - 15:05 - 15:05 - 00:05</v>
      </c>
      <c r="F11" s="62" t="str">
        <f>Datos!G10</f>
        <v>N/A</v>
      </c>
      <c r="G11" s="62">
        <f>Datos!H10</f>
        <v>2</v>
      </c>
      <c r="H11" s="62">
        <f>Datos!I10</f>
        <v>40</v>
      </c>
      <c r="I11" s="62">
        <f>Datos!J10</f>
        <v>20</v>
      </c>
      <c r="J11" s="6" t="s">
        <v>115</v>
      </c>
      <c r="K11" s="6" t="s">
        <v>115</v>
      </c>
      <c r="L11" s="6" t="s">
        <v>64</v>
      </c>
      <c r="M11" s="6" t="s">
        <v>64</v>
      </c>
      <c r="N11" s="6" t="s">
        <v>115</v>
      </c>
      <c r="O11" s="6" t="s">
        <v>115</v>
      </c>
      <c r="P11" s="6" t="s">
        <v>115</v>
      </c>
      <c r="Q11" s="6" t="str">
        <f t="shared" si="0"/>
        <v>Aplicar identificación avanzada-condición aceptable para cada tipo de factor de riesgo identificado</v>
      </c>
    </row>
    <row r="12" spans="1:17" ht="43.15">
      <c r="A12" s="61">
        <f>Datos!A11</f>
        <v>10</v>
      </c>
      <c r="B12" s="61" t="str">
        <f>Datos!B11</f>
        <v>Procesos</v>
      </c>
      <c r="C12" s="61" t="str">
        <f>Datos!C11</f>
        <v>Deshuesado de Pechugas</v>
      </c>
      <c r="D12" s="62" t="str">
        <f>Datos!D11</f>
        <v>Reproceso</v>
      </c>
      <c r="E12" s="62" t="str">
        <f>Datos!F11</f>
        <v>07:05 - 15:05 - 15:05 - 00:05</v>
      </c>
      <c r="F12" s="62" t="str">
        <f>Datos!G11</f>
        <v>N/A</v>
      </c>
      <c r="G12" s="62">
        <f>Datos!H11</f>
        <v>2</v>
      </c>
      <c r="H12" s="62">
        <f>Datos!I11</f>
        <v>40</v>
      </c>
      <c r="I12" s="62">
        <f>Datos!J11</f>
        <v>20</v>
      </c>
      <c r="J12" s="6" t="s">
        <v>64</v>
      </c>
      <c r="K12" s="6" t="s">
        <v>115</v>
      </c>
      <c r="L12" s="6" t="s">
        <v>64</v>
      </c>
      <c r="M12" s="6" t="s">
        <v>64</v>
      </c>
      <c r="N12" s="6" t="s">
        <v>115</v>
      </c>
      <c r="O12" s="6" t="s">
        <v>115</v>
      </c>
      <c r="P12" s="6" t="s">
        <v>115</v>
      </c>
      <c r="Q12" s="6" t="str">
        <f t="shared" si="0"/>
        <v>Aplicar identificación avanzada-condición aceptable para cada tipo de factor de riesgo identificado</v>
      </c>
    </row>
    <row r="13" spans="1:17" ht="43.15">
      <c r="A13" s="61">
        <f>Datos!A12</f>
        <v>11</v>
      </c>
      <c r="B13" s="61" t="str">
        <f>Datos!B12</f>
        <v>Procesos</v>
      </c>
      <c r="C13" s="61" t="str">
        <f>Datos!C12</f>
        <v>Deshuesado de Pechugas</v>
      </c>
      <c r="D13" s="62" t="str">
        <f>Datos!D12</f>
        <v xml:space="preserve">Clavicula </v>
      </c>
      <c r="E13" s="62" t="str">
        <f>Datos!F12</f>
        <v>07:05 - 15:05 - 15:05 - 00:05</v>
      </c>
      <c r="F13" s="62" t="str">
        <f>Datos!G12</f>
        <v>N/A</v>
      </c>
      <c r="G13" s="62">
        <f>Datos!H12</f>
        <v>2</v>
      </c>
      <c r="H13" s="62">
        <f>Datos!I12</f>
        <v>40</v>
      </c>
      <c r="I13" s="62">
        <f>Datos!J12</f>
        <v>20</v>
      </c>
      <c r="J13" s="6" t="s">
        <v>64</v>
      </c>
      <c r="K13" s="6" t="s">
        <v>115</v>
      </c>
      <c r="L13" s="6" t="s">
        <v>115</v>
      </c>
      <c r="M13" s="6" t="s">
        <v>115</v>
      </c>
      <c r="N13" s="6" t="s">
        <v>115</v>
      </c>
      <c r="O13" s="6" t="s">
        <v>115</v>
      </c>
      <c r="P13" s="6" t="s">
        <v>115</v>
      </c>
      <c r="Q13" s="6" t="str">
        <f t="shared" si="0"/>
        <v>Aplicar identificación avanzada-condición aceptable para cada tipo de factor de riesgo identificado</v>
      </c>
    </row>
    <row r="14" spans="1:17" ht="28.9">
      <c r="A14" s="61">
        <f>Datos!A13</f>
        <v>12</v>
      </c>
      <c r="B14" s="61" t="str">
        <f>Datos!B13</f>
        <v>Procesos</v>
      </c>
      <c r="C14" s="61" t="str">
        <f>Datos!C13</f>
        <v>Deshuesado de Pechugas</v>
      </c>
      <c r="D14" s="62" t="str">
        <f>Datos!D13</f>
        <v>Transpaletero</v>
      </c>
      <c r="E14" s="62" t="str">
        <f>Datos!F13</f>
        <v>07:05 - 15:05 - 15:05 - 00:05</v>
      </c>
      <c r="F14" s="62" t="str">
        <f>Datos!G13</f>
        <v>N/A</v>
      </c>
      <c r="G14" s="62">
        <f>Datos!H13</f>
        <v>2</v>
      </c>
      <c r="H14" s="62">
        <f>Datos!I13</f>
        <v>40</v>
      </c>
      <c r="I14" s="62">
        <f>Datos!J13</f>
        <v>20</v>
      </c>
      <c r="J14" s="6" t="s">
        <v>115</v>
      </c>
      <c r="K14" s="6" t="s">
        <v>115</v>
      </c>
      <c r="L14" s="6" t="s">
        <v>115</v>
      </c>
      <c r="M14" s="6" t="s">
        <v>115</v>
      </c>
      <c r="N14" s="6" t="s">
        <v>115</v>
      </c>
      <c r="O14" s="6" t="s">
        <v>115</v>
      </c>
      <c r="P14" s="6" t="s">
        <v>115</v>
      </c>
      <c r="Q14" s="6" t="str">
        <f t="shared" si="0"/>
        <v>Ausencia total del riesgo, reevaluar cada 3 años con nueva identificación inicial</v>
      </c>
    </row>
    <row r="15" spans="1:17" ht="28.9">
      <c r="A15" s="61">
        <f>Datos!A14</f>
        <v>13</v>
      </c>
      <c r="B15" s="61" t="str">
        <f>Datos!B14</f>
        <v>Procesos</v>
      </c>
      <c r="C15" s="61" t="str">
        <f>Datos!C14</f>
        <v>Deshuesado de Pechugas</v>
      </c>
      <c r="D15" s="62" t="str">
        <f>Datos!D14</f>
        <v xml:space="preserve">Maquinista </v>
      </c>
      <c r="E15" s="62" t="str">
        <f>Datos!F14</f>
        <v>07:05 - 15:05 - 15:05 - 00:05</v>
      </c>
      <c r="F15" s="62" t="str">
        <f>Datos!G14</f>
        <v>N/A</v>
      </c>
      <c r="G15" s="62">
        <f>Datos!H14</f>
        <v>2</v>
      </c>
      <c r="H15" s="62">
        <f>Datos!I14</f>
        <v>40</v>
      </c>
      <c r="I15" s="62">
        <f>Datos!J14</f>
        <v>20</v>
      </c>
      <c r="J15" s="6" t="s">
        <v>115</v>
      </c>
      <c r="K15" s="6" t="s">
        <v>115</v>
      </c>
      <c r="L15" s="6" t="s">
        <v>115</v>
      </c>
      <c r="M15" s="6" t="s">
        <v>115</v>
      </c>
      <c r="N15" s="6" t="s">
        <v>115</v>
      </c>
      <c r="O15" s="6" t="s">
        <v>115</v>
      </c>
      <c r="P15" s="6" t="s">
        <v>115</v>
      </c>
      <c r="Q15" s="6" t="str">
        <f t="shared" si="0"/>
        <v>Ausencia total del riesgo, reevaluar cada 3 años con nueva identificación inicial</v>
      </c>
    </row>
    <row r="16" spans="1:17" ht="43.15">
      <c r="A16" s="61">
        <f>Datos!A15</f>
        <v>14</v>
      </c>
      <c r="B16" s="61" t="str">
        <f>Datos!B15</f>
        <v>Procesos</v>
      </c>
      <c r="C16" s="61" t="str">
        <f>Datos!C15</f>
        <v>Deshuesado de Pechugas</v>
      </c>
      <c r="D16" s="62" t="str">
        <f>Datos!D15</f>
        <v>Laminado</v>
      </c>
      <c r="E16" s="62" t="str">
        <f>Datos!F15</f>
        <v>07:05 - 15:05 - 15:05 - 00:05</v>
      </c>
      <c r="F16" s="62" t="str">
        <f>Datos!G15</f>
        <v>N/A</v>
      </c>
      <c r="G16" s="62">
        <f>Datos!H15</f>
        <v>2</v>
      </c>
      <c r="H16" s="62">
        <f>Datos!I15</f>
        <v>40</v>
      </c>
      <c r="I16" s="62">
        <f>Datos!J15</f>
        <v>20</v>
      </c>
      <c r="J16" s="6" t="s">
        <v>64</v>
      </c>
      <c r="K16" s="6" t="s">
        <v>115</v>
      </c>
      <c r="L16" s="6" t="s">
        <v>115</v>
      </c>
      <c r="M16" s="6" t="s">
        <v>115</v>
      </c>
      <c r="N16" s="6" t="s">
        <v>115</v>
      </c>
      <c r="O16" s="6" t="s">
        <v>115</v>
      </c>
      <c r="P16" s="6" t="s">
        <v>115</v>
      </c>
      <c r="Q16" s="6" t="str">
        <f t="shared" si="0"/>
        <v>Aplicar identificación avanzada-condición aceptable para cada tipo de factor de riesgo identificado</v>
      </c>
    </row>
    <row r="17" spans="1:17" ht="43.15">
      <c r="A17" s="61">
        <f>Datos!A16</f>
        <v>15</v>
      </c>
      <c r="B17" s="61" t="str">
        <f>Datos!B16</f>
        <v>Procesos</v>
      </c>
      <c r="C17" s="61" t="str">
        <f>Datos!C16</f>
        <v>Deshuesado de Pechugas</v>
      </c>
      <c r="D17" s="62" t="str">
        <f>Datos!D16</f>
        <v>Rectificador de cuchillos</v>
      </c>
      <c r="E17" s="62" t="str">
        <f>Datos!F16</f>
        <v>07:05 - 15:05 - 15:05 - 00:05</v>
      </c>
      <c r="F17" s="62" t="str">
        <f>Datos!G16</f>
        <v>N/A</v>
      </c>
      <c r="G17" s="62">
        <f>Datos!H16</f>
        <v>2</v>
      </c>
      <c r="H17" s="62">
        <f>Datos!I16</f>
        <v>2</v>
      </c>
      <c r="I17" s="62">
        <f>Datos!J16</f>
        <v>0</v>
      </c>
      <c r="J17" s="6" t="s">
        <v>64</v>
      </c>
      <c r="K17" s="6" t="s">
        <v>115</v>
      </c>
      <c r="L17" s="6" t="s">
        <v>64</v>
      </c>
      <c r="M17" s="6" t="s">
        <v>64</v>
      </c>
      <c r="N17" s="6" t="s">
        <v>115</v>
      </c>
      <c r="O17" s="6" t="s">
        <v>115</v>
      </c>
      <c r="P17" s="6" t="s">
        <v>115</v>
      </c>
      <c r="Q17" s="6" t="str">
        <f t="shared" si="0"/>
        <v>Aplicar identificación avanzada-condición aceptable para cada tipo de factor de riesgo identificado</v>
      </c>
    </row>
    <row r="18" spans="1:17" ht="28.9">
      <c r="A18" s="61">
        <f>Datos!A17</f>
        <v>16</v>
      </c>
      <c r="B18" s="61" t="str">
        <f>Datos!B17</f>
        <v>Procesos</v>
      </c>
      <c r="C18" s="61" t="str">
        <f>Datos!C17</f>
        <v>Deshuesado de Pechugas</v>
      </c>
      <c r="D18" s="62" t="str">
        <f>Datos!D17</f>
        <v xml:space="preserve">Jefe de Línea </v>
      </c>
      <c r="E18" s="62" t="str">
        <f>Datos!F17</f>
        <v>07:05 - 15:05 - 15:05 - 00:05</v>
      </c>
      <c r="F18" s="62" t="str">
        <f>Datos!G17</f>
        <v>N/A</v>
      </c>
      <c r="G18" s="62">
        <f>Datos!H17</f>
        <v>2</v>
      </c>
      <c r="H18" s="62">
        <f>Datos!I17</f>
        <v>209</v>
      </c>
      <c r="I18" s="62">
        <f>Datos!J17</f>
        <v>101</v>
      </c>
      <c r="J18" s="6" t="s">
        <v>115</v>
      </c>
      <c r="K18" s="6" t="s">
        <v>115</v>
      </c>
      <c r="L18" s="6" t="s">
        <v>115</v>
      </c>
      <c r="M18" s="6" t="s">
        <v>115</v>
      </c>
      <c r="N18" s="6" t="s">
        <v>115</v>
      </c>
      <c r="O18" s="6" t="s">
        <v>115</v>
      </c>
      <c r="P18" s="6" t="s">
        <v>115</v>
      </c>
      <c r="Q18" s="6" t="str">
        <f t="shared" si="0"/>
        <v>Ausencia total del riesgo, reevaluar cada 3 años con nueva identificación inicial</v>
      </c>
    </row>
    <row r="19" spans="1:17" ht="28.9">
      <c r="A19" s="61">
        <f>Datos!A18</f>
        <v>17</v>
      </c>
      <c r="B19" s="61" t="str">
        <f>Datos!B18</f>
        <v>Procesos</v>
      </c>
      <c r="C19" s="61" t="str">
        <f>Datos!C18</f>
        <v>Deshuesado de Pechugas</v>
      </c>
      <c r="D19" s="62" t="str">
        <f>Datos!D18</f>
        <v>Supervisor</v>
      </c>
      <c r="E19" s="62" t="str">
        <f>Datos!F18</f>
        <v>07:05 - 15:05 - 15:05 - 00:05</v>
      </c>
      <c r="F19" s="62" t="str">
        <f>Datos!G18</f>
        <v>N/A</v>
      </c>
      <c r="G19" s="62">
        <f>Datos!H18</f>
        <v>2</v>
      </c>
      <c r="H19" s="62">
        <f>Datos!I18</f>
        <v>209</v>
      </c>
      <c r="I19" s="62">
        <f>Datos!J18</f>
        <v>101</v>
      </c>
      <c r="J19" s="6" t="s">
        <v>115</v>
      </c>
      <c r="K19" s="6" t="s">
        <v>115</v>
      </c>
      <c r="L19" s="6" t="s">
        <v>115</v>
      </c>
      <c r="M19" s="6" t="s">
        <v>115</v>
      </c>
      <c r="N19" s="6" t="s">
        <v>115</v>
      </c>
      <c r="O19" s="6" t="s">
        <v>115</v>
      </c>
      <c r="P19" s="6" t="s">
        <v>115</v>
      </c>
      <c r="Q19" s="6" t="str">
        <f t="shared" si="0"/>
        <v>Ausencia total del riesgo, reevaluar cada 3 años con nueva identificación inicial</v>
      </c>
    </row>
    <row r="20" spans="1:17" ht="43.15">
      <c r="A20" s="61">
        <f>Datos!A19</f>
        <v>18</v>
      </c>
      <c r="B20" s="61" t="str">
        <f>Datos!B19</f>
        <v>Procesos</v>
      </c>
      <c r="C20" s="61" t="str">
        <f>Datos!C19</f>
        <v xml:space="preserve">Envasado </v>
      </c>
      <c r="D20" s="62" t="str">
        <f>Datos!D19</f>
        <v>Pesador de producto</v>
      </c>
      <c r="E20" s="62" t="str">
        <f>Datos!F19</f>
        <v>07:20 - 15:30 / 15:30 - 01:05</v>
      </c>
      <c r="F20" s="62" t="str">
        <f>Datos!G19</f>
        <v>N/A</v>
      </c>
      <c r="G20" s="62">
        <f>Datos!H19</f>
        <v>2</v>
      </c>
      <c r="H20" s="62">
        <f>Datos!I19</f>
        <v>36</v>
      </c>
      <c r="I20" s="62">
        <f>Datos!J19</f>
        <v>52</v>
      </c>
      <c r="J20" s="6" t="s">
        <v>64</v>
      </c>
      <c r="K20" s="6" t="s">
        <v>115</v>
      </c>
      <c r="L20" s="6" t="s">
        <v>115</v>
      </c>
      <c r="M20" s="6" t="s">
        <v>115</v>
      </c>
      <c r="N20" s="6" t="s">
        <v>115</v>
      </c>
      <c r="O20" s="6" t="s">
        <v>115</v>
      </c>
      <c r="P20" s="6" t="s">
        <v>115</v>
      </c>
      <c r="Q20" s="6" t="str">
        <f t="shared" si="0"/>
        <v>Aplicar identificación avanzada-condición aceptable para cada tipo de factor de riesgo identificado</v>
      </c>
    </row>
    <row r="21" spans="1:17" ht="43.15">
      <c r="A21" s="61">
        <f>Datos!A20</f>
        <v>19</v>
      </c>
      <c r="B21" s="61" t="str">
        <f>Datos!B20</f>
        <v>Procesos</v>
      </c>
      <c r="C21" s="61" t="str">
        <f>Datos!C20</f>
        <v>Envasado</v>
      </c>
      <c r="D21" s="62" t="str">
        <f>Datos!D20</f>
        <v>Distribuidor de producto</v>
      </c>
      <c r="E21" s="62" t="str">
        <f>Datos!F20</f>
        <v>07:20 - 15:30 / 15:30 - 01:05</v>
      </c>
      <c r="F21" s="62" t="str">
        <f>Datos!G20</f>
        <v>N/A</v>
      </c>
      <c r="G21" s="62">
        <f>Datos!H20</f>
        <v>2</v>
      </c>
      <c r="H21" s="62">
        <f>Datos!I20</f>
        <v>36</v>
      </c>
      <c r="I21" s="62">
        <f>Datos!J20</f>
        <v>0</v>
      </c>
      <c r="J21" s="6" t="s">
        <v>64</v>
      </c>
      <c r="K21" s="6" t="s">
        <v>115</v>
      </c>
      <c r="L21" s="6" t="s">
        <v>64</v>
      </c>
      <c r="M21" s="6" t="s">
        <v>64</v>
      </c>
      <c r="N21" s="6" t="s">
        <v>115</v>
      </c>
      <c r="O21" s="6" t="s">
        <v>115</v>
      </c>
      <c r="P21" s="6" t="s">
        <v>115</v>
      </c>
      <c r="Q21" s="6" t="str">
        <f t="shared" si="0"/>
        <v>Aplicar identificación avanzada-condición aceptable para cada tipo de factor de riesgo identificado</v>
      </c>
    </row>
    <row r="22" spans="1:17" ht="43.15">
      <c r="A22" s="61">
        <f>Datos!A21</f>
        <v>20</v>
      </c>
      <c r="B22" s="61" t="str">
        <f>Datos!B21</f>
        <v>Procesos</v>
      </c>
      <c r="C22" s="61" t="str">
        <f>Datos!C21</f>
        <v>Envasado</v>
      </c>
      <c r="D22" s="62" t="str">
        <f>Datos!D21</f>
        <v>Envasador trutro corto/largo</v>
      </c>
      <c r="E22" s="62" t="str">
        <f>Datos!F21</f>
        <v>07:20 - 15:30 / 15:30 - 01:05</v>
      </c>
      <c r="F22" s="62" t="str">
        <f>Datos!G21</f>
        <v>N/A</v>
      </c>
      <c r="G22" s="62">
        <f>Datos!H21</f>
        <v>2</v>
      </c>
      <c r="H22" s="62">
        <f>Datos!I21</f>
        <v>36</v>
      </c>
      <c r="I22" s="62">
        <f>Datos!J21</f>
        <v>52</v>
      </c>
      <c r="J22" s="6" t="s">
        <v>64</v>
      </c>
      <c r="K22" s="6" t="s">
        <v>64</v>
      </c>
      <c r="L22" s="6" t="s">
        <v>115</v>
      </c>
      <c r="M22" s="6" t="s">
        <v>115</v>
      </c>
      <c r="N22" s="6" t="s">
        <v>115</v>
      </c>
      <c r="O22" s="6" t="s">
        <v>115</v>
      </c>
      <c r="P22" s="6" t="s">
        <v>115</v>
      </c>
      <c r="Q22" s="6" t="str">
        <f t="shared" si="0"/>
        <v>Aplicar identificación avanzada-condición aceptable para cada tipo de factor de riesgo identificado</v>
      </c>
    </row>
    <row r="23" spans="1:17" ht="43.15">
      <c r="A23" s="61">
        <f>Datos!A22</f>
        <v>21</v>
      </c>
      <c r="B23" s="61" t="str">
        <f>Datos!B22</f>
        <v>Procesos</v>
      </c>
      <c r="C23" s="61" t="str">
        <f>Datos!C22</f>
        <v>Envasado</v>
      </c>
      <c r="D23" s="62" t="str">
        <f>Datos!D22</f>
        <v>alimentador Envasado multicabezal</v>
      </c>
      <c r="E23" s="62" t="str">
        <f>Datos!F22</f>
        <v>07:20 - 15:30 / 15:30 - 01:05</v>
      </c>
      <c r="F23" s="62" t="str">
        <f>Datos!G22</f>
        <v>N/A</v>
      </c>
      <c r="G23" s="62">
        <f>Datos!H22</f>
        <v>2</v>
      </c>
      <c r="H23" s="62">
        <f>Datos!I22</f>
        <v>36</v>
      </c>
      <c r="I23" s="62">
        <f>Datos!J22</f>
        <v>52</v>
      </c>
      <c r="J23" s="6" t="s">
        <v>64</v>
      </c>
      <c r="K23" s="6" t="s">
        <v>115</v>
      </c>
      <c r="L23" s="6" t="s">
        <v>115</v>
      </c>
      <c r="M23" s="6" t="s">
        <v>115</v>
      </c>
      <c r="N23" s="6" t="s">
        <v>115</v>
      </c>
      <c r="O23" s="6" t="s">
        <v>115</v>
      </c>
      <c r="P23" s="6" t="s">
        <v>115</v>
      </c>
      <c r="Q23" s="6" t="str">
        <f t="shared" si="0"/>
        <v>Aplicar identificación avanzada-condición aceptable para cada tipo de factor de riesgo identificado</v>
      </c>
    </row>
    <row r="24" spans="1:17" ht="43.15">
      <c r="A24" s="61">
        <f>Datos!A23</f>
        <v>22</v>
      </c>
      <c r="B24" s="61" t="str">
        <f>Datos!B23</f>
        <v>Procesos</v>
      </c>
      <c r="C24" s="61" t="str">
        <f>Datos!C23</f>
        <v>Envasado</v>
      </c>
      <c r="D24" s="62" t="str">
        <f>Datos!D23</f>
        <v>Carro materiales</v>
      </c>
      <c r="E24" s="62" t="str">
        <f>Datos!F23</f>
        <v>07:20 - 15:30 / 15:30 - 01:05</v>
      </c>
      <c r="F24" s="62" t="str">
        <f>Datos!G23</f>
        <v>N/A</v>
      </c>
      <c r="G24" s="62">
        <f>Datos!H23</f>
        <v>2</v>
      </c>
      <c r="H24" s="62">
        <f>Datos!I23</f>
        <v>36</v>
      </c>
      <c r="I24" s="62">
        <f>Datos!J23</f>
        <v>52</v>
      </c>
      <c r="J24" s="6" t="s">
        <v>64</v>
      </c>
      <c r="K24" s="6" t="s">
        <v>115</v>
      </c>
      <c r="L24" s="6" t="s">
        <v>64</v>
      </c>
      <c r="M24" s="6" t="s">
        <v>64</v>
      </c>
      <c r="N24" s="6" t="s">
        <v>115</v>
      </c>
      <c r="O24" s="6" t="s">
        <v>115</v>
      </c>
      <c r="P24" s="6" t="s">
        <v>115</v>
      </c>
      <c r="Q24" s="6" t="str">
        <f t="shared" si="0"/>
        <v>Aplicar identificación avanzada-condición aceptable para cada tipo de factor de riesgo identificado</v>
      </c>
    </row>
    <row r="25" spans="1:17" ht="43.15">
      <c r="A25" s="61">
        <f>Datos!A24</f>
        <v>23</v>
      </c>
      <c r="B25" s="61" t="str">
        <f>Datos!B24</f>
        <v>Procesos</v>
      </c>
      <c r="C25" s="61" t="str">
        <f>Datos!C24</f>
        <v>Envasado</v>
      </c>
      <c r="D25" s="62" t="str">
        <f>Datos!D24</f>
        <v>Maquinista Termoselladora</v>
      </c>
      <c r="E25" s="62" t="str">
        <f>Datos!F24</f>
        <v>07:00 - 15:00 / 16:00 - 01:05</v>
      </c>
      <c r="F25" s="62" t="str">
        <f>Datos!G24</f>
        <v>N/A</v>
      </c>
      <c r="G25" s="62">
        <f>Datos!H24</f>
        <v>2</v>
      </c>
      <c r="H25" s="62">
        <f>Datos!I24</f>
        <v>36</v>
      </c>
      <c r="I25" s="62">
        <f>Datos!J24</f>
        <v>52</v>
      </c>
      <c r="J25" s="6" t="s">
        <v>115</v>
      </c>
      <c r="K25" s="6" t="s">
        <v>115</v>
      </c>
      <c r="L25" s="6" t="s">
        <v>64</v>
      </c>
      <c r="M25" s="6" t="s">
        <v>64</v>
      </c>
      <c r="N25" s="6" t="s">
        <v>115</v>
      </c>
      <c r="O25" s="6" t="s">
        <v>115</v>
      </c>
      <c r="P25" s="6" t="s">
        <v>115</v>
      </c>
      <c r="Q25" s="6" t="str">
        <f t="shared" si="0"/>
        <v>Aplicar identificación avanzada-condición aceptable para cada tipo de factor de riesgo identificado</v>
      </c>
    </row>
    <row r="26" spans="1:17" ht="43.15">
      <c r="A26" s="61">
        <f>Datos!A25</f>
        <v>24</v>
      </c>
      <c r="B26" s="61" t="str">
        <f>Datos!B25</f>
        <v>Procesos</v>
      </c>
      <c r="C26" s="61" t="str">
        <f>Datos!C25</f>
        <v>Envasado</v>
      </c>
      <c r="D26" s="62" t="str">
        <f>Datos!D25</f>
        <v>Llenado de bandeja con pala</v>
      </c>
      <c r="E26" s="62" t="str">
        <f>Datos!F25</f>
        <v>07:20 - 15:30 / 15:30 - 01:05</v>
      </c>
      <c r="F26" s="62" t="str">
        <f>Datos!G25</f>
        <v>N/A</v>
      </c>
      <c r="G26" s="62">
        <f>Datos!H25</f>
        <v>2</v>
      </c>
      <c r="H26" s="62">
        <f>Datos!I25</f>
        <v>36</v>
      </c>
      <c r="I26" s="62">
        <f>Datos!J25</f>
        <v>0</v>
      </c>
      <c r="J26" s="6" t="s">
        <v>64</v>
      </c>
      <c r="K26" s="6" t="s">
        <v>115</v>
      </c>
      <c r="L26" s="6" t="s">
        <v>64</v>
      </c>
      <c r="M26" s="6" t="s">
        <v>64</v>
      </c>
      <c r="N26" s="6" t="s">
        <v>115</v>
      </c>
      <c r="O26" s="6" t="s">
        <v>115</v>
      </c>
      <c r="P26" s="6" t="s">
        <v>115</v>
      </c>
      <c r="Q26" s="6" t="str">
        <f t="shared" si="0"/>
        <v>Aplicar identificación avanzada-condición aceptable para cada tipo de factor de riesgo identificado</v>
      </c>
    </row>
    <row r="27" spans="1:17" ht="43.15">
      <c r="A27" s="61">
        <f>Datos!A26</f>
        <v>25</v>
      </c>
      <c r="B27" s="61" t="str">
        <f>Datos!B26</f>
        <v>Procesos</v>
      </c>
      <c r="C27" s="61" t="str">
        <f>Datos!C26</f>
        <v>Envasado</v>
      </c>
      <c r="D27" s="62" t="str">
        <f>Datos!D26</f>
        <v xml:space="preserve">Levantamiento de bandeja </v>
      </c>
      <c r="E27" s="62" t="str">
        <f>Datos!F26</f>
        <v>07:20 - 15:30 / 15:30 - 01:05</v>
      </c>
      <c r="F27" s="62" t="str">
        <f>Datos!G26</f>
        <v>N/A</v>
      </c>
      <c r="G27" s="62">
        <f>Datos!H26</f>
        <v>2</v>
      </c>
      <c r="H27" s="62">
        <f>Datos!I26</f>
        <v>36</v>
      </c>
      <c r="I27" s="62">
        <f>Datos!J26</f>
        <v>0</v>
      </c>
      <c r="J27" s="6" t="s">
        <v>115</v>
      </c>
      <c r="K27" s="6" t="s">
        <v>115</v>
      </c>
      <c r="L27" s="6" t="s">
        <v>64</v>
      </c>
      <c r="M27" s="6" t="s">
        <v>64</v>
      </c>
      <c r="N27" s="6" t="s">
        <v>115</v>
      </c>
      <c r="O27" s="6" t="s">
        <v>115</v>
      </c>
      <c r="P27" s="6" t="s">
        <v>115</v>
      </c>
      <c r="Q27" s="6" t="str">
        <f t="shared" si="0"/>
        <v>Aplicar identificación avanzada-condición aceptable para cada tipo de factor de riesgo identificado</v>
      </c>
    </row>
    <row r="28" spans="1:17" ht="43.15">
      <c r="A28" s="61">
        <f>Datos!A27</f>
        <v>26</v>
      </c>
      <c r="B28" s="61" t="str">
        <f>Datos!B27</f>
        <v>Procesos</v>
      </c>
      <c r="C28" s="61" t="str">
        <f>Datos!C27</f>
        <v>Mesanina</v>
      </c>
      <c r="D28" s="62" t="str">
        <f>Datos!D27</f>
        <v>Puesto Fijo</v>
      </c>
      <c r="E28" s="62">
        <f>Datos!F27</f>
        <v>0</v>
      </c>
      <c r="F28" s="62" t="str">
        <f>Datos!G27</f>
        <v>N/A</v>
      </c>
      <c r="G28" s="62">
        <f>Datos!H27</f>
        <v>2</v>
      </c>
      <c r="H28" s="62">
        <f>Datos!I27</f>
        <v>32</v>
      </c>
      <c r="I28" s="62">
        <f>Datos!J27</f>
        <v>20</v>
      </c>
      <c r="J28" s="6" t="s">
        <v>64</v>
      </c>
      <c r="K28" s="6" t="s">
        <v>115</v>
      </c>
      <c r="L28" s="6" t="s">
        <v>115</v>
      </c>
      <c r="M28" s="6" t="s">
        <v>115</v>
      </c>
      <c r="N28" s="6" t="s">
        <v>115</v>
      </c>
      <c r="O28" s="6" t="s">
        <v>115</v>
      </c>
      <c r="P28" s="6" t="s">
        <v>115</v>
      </c>
      <c r="Q28" s="6" t="str">
        <f t="shared" si="0"/>
        <v>Aplicar identificación avanzada-condición aceptable para cada tipo de factor de riesgo identificado</v>
      </c>
    </row>
    <row r="29" spans="1:17" ht="43.15">
      <c r="A29" s="61">
        <f>Datos!A28</f>
        <v>27</v>
      </c>
      <c r="B29" s="61" t="str">
        <f>Datos!B28</f>
        <v>Procesos</v>
      </c>
      <c r="C29" s="61" t="str">
        <f>Datos!C28</f>
        <v>Mesanina</v>
      </c>
      <c r="D29" s="62" t="str">
        <f>Datos!D28</f>
        <v>Centro Punta</v>
      </c>
      <c r="E29" s="62">
        <f>Datos!F28</f>
        <v>0</v>
      </c>
      <c r="F29" s="62" t="str">
        <f>Datos!G28</f>
        <v>N/A</v>
      </c>
      <c r="G29" s="62">
        <f>Datos!H28</f>
        <v>2</v>
      </c>
      <c r="H29" s="62">
        <f>Datos!I28</f>
        <v>32</v>
      </c>
      <c r="I29" s="62">
        <f>Datos!J28</f>
        <v>20</v>
      </c>
      <c r="J29" s="6" t="s">
        <v>64</v>
      </c>
      <c r="K29" s="6" t="s">
        <v>115</v>
      </c>
      <c r="L29" s="6" t="s">
        <v>115</v>
      </c>
      <c r="M29" s="6" t="s">
        <v>115</v>
      </c>
      <c r="N29" s="6" t="s">
        <v>115</v>
      </c>
      <c r="O29" s="6" t="s">
        <v>115</v>
      </c>
      <c r="P29" s="6" t="s">
        <v>115</v>
      </c>
      <c r="Q29" s="6" t="str">
        <f t="shared" si="0"/>
        <v>Aplicar identificación avanzada-condición aceptable para cada tipo de factor de riesgo identificado</v>
      </c>
    </row>
    <row r="30" spans="1:17" ht="43.15">
      <c r="A30" s="61">
        <f>Datos!A29</f>
        <v>28</v>
      </c>
      <c r="B30" s="61" t="str">
        <f>Datos!B29</f>
        <v>Procesos</v>
      </c>
      <c r="C30" s="61" t="str">
        <f>Datos!C29</f>
        <v>Mesanina</v>
      </c>
      <c r="D30" s="62" t="str">
        <f>Datos!D29</f>
        <v>Reenganchador</v>
      </c>
      <c r="E30" s="62">
        <f>Datos!F29</f>
        <v>0</v>
      </c>
      <c r="F30" s="62" t="str">
        <f>Datos!G29</f>
        <v>N/A</v>
      </c>
      <c r="G30" s="62">
        <f>Datos!H29</f>
        <v>2</v>
      </c>
      <c r="H30" s="62">
        <f>Datos!I29</f>
        <v>32</v>
      </c>
      <c r="I30" s="62">
        <f>Datos!J29</f>
        <v>20</v>
      </c>
      <c r="J30" s="6" t="s">
        <v>64</v>
      </c>
      <c r="K30" s="6" t="s">
        <v>115</v>
      </c>
      <c r="L30" s="6" t="s">
        <v>115</v>
      </c>
      <c r="M30" s="6" t="s">
        <v>115</v>
      </c>
      <c r="N30" s="6" t="s">
        <v>115</v>
      </c>
      <c r="O30" s="6" t="s">
        <v>115</v>
      </c>
      <c r="P30" s="6" t="s">
        <v>115</v>
      </c>
      <c r="Q30" s="6" t="str">
        <f t="shared" si="0"/>
        <v>Aplicar identificación avanzada-condición aceptable para cada tipo de factor de riesgo identificado</v>
      </c>
    </row>
    <row r="31" spans="1:17" ht="43.15">
      <c r="A31" s="61">
        <f>Datos!A30</f>
        <v>29</v>
      </c>
      <c r="B31" s="61" t="str">
        <f>Datos!B30</f>
        <v>Procesos</v>
      </c>
      <c r="C31" s="61" t="str">
        <f>Datos!C30</f>
        <v>Mesanina</v>
      </c>
      <c r="D31" s="62" t="str">
        <f>Datos!D30</f>
        <v>Cazuelero</v>
      </c>
      <c r="E31" s="62">
        <f>Datos!F30</f>
        <v>0</v>
      </c>
      <c r="F31" s="62" t="str">
        <f>Datos!G30</f>
        <v>N/A</v>
      </c>
      <c r="G31" s="62">
        <f>Datos!H30</f>
        <v>2</v>
      </c>
      <c r="H31" s="62">
        <f>Datos!I30</f>
        <v>32</v>
      </c>
      <c r="I31" s="62">
        <f>Datos!J30</f>
        <v>20</v>
      </c>
      <c r="J31" s="6" t="s">
        <v>64</v>
      </c>
      <c r="K31" s="6" t="s">
        <v>115</v>
      </c>
      <c r="L31" s="6" t="s">
        <v>115</v>
      </c>
      <c r="M31" s="6" t="s">
        <v>115</v>
      </c>
      <c r="N31" s="6" t="s">
        <v>115</v>
      </c>
      <c r="O31" s="6" t="s">
        <v>115</v>
      </c>
      <c r="P31" s="6" t="s">
        <v>115</v>
      </c>
      <c r="Q31" s="6" t="str">
        <f t="shared" si="0"/>
        <v>Aplicar identificación avanzada-condición aceptable para cada tipo de factor de riesgo identificado</v>
      </c>
    </row>
    <row r="32" spans="1:17" ht="43.15">
      <c r="A32" s="61">
        <f>Datos!A31</f>
        <v>30</v>
      </c>
      <c r="B32" s="61" t="str">
        <f>Datos!B31</f>
        <v>Procesos</v>
      </c>
      <c r="C32" s="61" t="str">
        <f>Datos!C31</f>
        <v>Mesanina</v>
      </c>
      <c r="D32" s="62" t="str">
        <f>Datos!D31</f>
        <v>Reproceso</v>
      </c>
      <c r="E32" s="62">
        <f>Datos!F31</f>
        <v>0</v>
      </c>
      <c r="F32" s="62" t="str">
        <f>Datos!G31</f>
        <v>N/A</v>
      </c>
      <c r="G32" s="62">
        <f>Datos!H31</f>
        <v>2</v>
      </c>
      <c r="H32" s="62">
        <f>Datos!I31</f>
        <v>32</v>
      </c>
      <c r="I32" s="62">
        <f>Datos!J31</f>
        <v>20</v>
      </c>
      <c r="J32" s="6" t="s">
        <v>64</v>
      </c>
      <c r="K32" s="6" t="s">
        <v>115</v>
      </c>
      <c r="L32" s="6" t="s">
        <v>64</v>
      </c>
      <c r="M32" s="6" t="s">
        <v>64</v>
      </c>
      <c r="N32" s="6" t="s">
        <v>115</v>
      </c>
      <c r="O32" s="6" t="s">
        <v>115</v>
      </c>
      <c r="P32" s="6" t="s">
        <v>115</v>
      </c>
      <c r="Q32" s="6" t="str">
        <f t="shared" si="0"/>
        <v>Aplicar identificación avanzada-condición aceptable para cada tipo de factor de riesgo identificado</v>
      </c>
    </row>
    <row r="33" spans="1:17" ht="43.15">
      <c r="A33" s="61">
        <f>Datos!A32</f>
        <v>31</v>
      </c>
      <c r="B33" s="61" t="str">
        <f>Datos!B32</f>
        <v>Procesos</v>
      </c>
      <c r="C33" s="61" t="str">
        <f>Datos!C32</f>
        <v>Mesanina</v>
      </c>
      <c r="D33" s="62" t="str">
        <f>Datos!D32</f>
        <v>Transporte Cazuela</v>
      </c>
      <c r="E33" s="62">
        <f>Datos!F32</f>
        <v>0</v>
      </c>
      <c r="F33" s="62" t="str">
        <f>Datos!G32</f>
        <v>N/A</v>
      </c>
      <c r="G33" s="62">
        <f>Datos!H32</f>
        <v>3</v>
      </c>
      <c r="H33" s="62">
        <f>Datos!I32</f>
        <v>32</v>
      </c>
      <c r="I33" s="62">
        <f>Datos!J32</f>
        <v>20</v>
      </c>
      <c r="J33" s="6" t="s">
        <v>64</v>
      </c>
      <c r="K33" s="6" t="s">
        <v>115</v>
      </c>
      <c r="L33" s="6" t="s">
        <v>64</v>
      </c>
      <c r="M33" s="6" t="s">
        <v>64</v>
      </c>
      <c r="N33" s="6" t="s">
        <v>115</v>
      </c>
      <c r="O33" s="6" t="s">
        <v>115</v>
      </c>
      <c r="P33" s="6" t="s">
        <v>115</v>
      </c>
      <c r="Q33" s="6" t="str">
        <f t="shared" si="0"/>
        <v>Aplicar identificación avanzada-condición aceptable para cada tipo de factor de riesgo identificado</v>
      </c>
    </row>
    <row r="34" spans="1:17" ht="28.9">
      <c r="A34" s="61">
        <f>Datos!A33</f>
        <v>32</v>
      </c>
      <c r="B34" s="61" t="str">
        <f>Datos!B33</f>
        <v>Procesos</v>
      </c>
      <c r="C34" s="61" t="str">
        <f>Datos!C33</f>
        <v>Mesanina</v>
      </c>
      <c r="D34" s="62" t="str">
        <f>Datos!D33</f>
        <v>Maquinista</v>
      </c>
      <c r="E34" s="62">
        <f>Datos!F33</f>
        <v>0</v>
      </c>
      <c r="F34" s="62" t="str">
        <f>Datos!G33</f>
        <v>N/A</v>
      </c>
      <c r="G34" s="62">
        <f>Datos!H33</f>
        <v>2</v>
      </c>
      <c r="H34" s="62">
        <f>Datos!I33</f>
        <v>2</v>
      </c>
      <c r="I34" s="62">
        <f>Datos!J33</f>
        <v>0</v>
      </c>
      <c r="J34" s="6" t="s">
        <v>115</v>
      </c>
      <c r="K34" s="6" t="s">
        <v>115</v>
      </c>
      <c r="L34" s="6" t="s">
        <v>115</v>
      </c>
      <c r="M34" s="6" t="s">
        <v>115</v>
      </c>
      <c r="N34" s="6" t="s">
        <v>115</v>
      </c>
      <c r="O34" s="6" t="s">
        <v>115</v>
      </c>
      <c r="P34" s="6" t="s">
        <v>115</v>
      </c>
      <c r="Q34" s="6" t="str">
        <f t="shared" si="0"/>
        <v>Ausencia total del riesgo, reevaluar cada 3 años con nueva identificación inicial</v>
      </c>
    </row>
    <row r="35" spans="1:17" ht="43.15">
      <c r="A35" s="61">
        <f>Datos!A34</f>
        <v>33</v>
      </c>
      <c r="B35" s="61" t="str">
        <f>Datos!B34</f>
        <v>Procesos</v>
      </c>
      <c r="C35" s="61" t="str">
        <f>Datos!C34</f>
        <v>Paletizado Fresco</v>
      </c>
      <c r="D35" s="62" t="str">
        <f>Datos!D34</f>
        <v>Postura de bolsa y pañal</v>
      </c>
      <c r="E35" s="62" t="str">
        <f>Datos!F34</f>
        <v>06:45 - 15:55 / 14:55 - 00:20</v>
      </c>
      <c r="F35" s="62" t="str">
        <f>Datos!G34</f>
        <v>N/A</v>
      </c>
      <c r="G35" s="62">
        <f>Datos!H34</f>
        <v>2</v>
      </c>
      <c r="H35" s="62">
        <f>Datos!I34</f>
        <v>96</v>
      </c>
      <c r="I35" s="62">
        <f>Datos!J34</f>
        <v>6</v>
      </c>
      <c r="J35" s="6" t="s">
        <v>64</v>
      </c>
      <c r="K35" s="6" t="s">
        <v>115</v>
      </c>
      <c r="L35" s="6" t="s">
        <v>115</v>
      </c>
      <c r="M35" s="6" t="s">
        <v>115</v>
      </c>
      <c r="N35" s="6" t="s">
        <v>115</v>
      </c>
      <c r="O35" s="6" t="s">
        <v>115</v>
      </c>
      <c r="P35" s="6" t="s">
        <v>115</v>
      </c>
      <c r="Q35" s="6" t="str">
        <f t="shared" si="0"/>
        <v>Aplicar identificación avanzada-condición aceptable para cada tipo de factor de riesgo identificado</v>
      </c>
    </row>
    <row r="36" spans="1:17" ht="43.15">
      <c r="A36" s="61">
        <f>Datos!A35</f>
        <v>34</v>
      </c>
      <c r="B36" s="61" t="str">
        <f>Datos!B35</f>
        <v>Procesos</v>
      </c>
      <c r="C36" s="61" t="str">
        <f>Datos!C35</f>
        <v>Paletizado Fresco</v>
      </c>
      <c r="D36" s="62" t="str">
        <f>Datos!D35</f>
        <v>PC global</v>
      </c>
      <c r="E36" s="62" t="str">
        <f>Datos!F35</f>
        <v>06:45 - 15:55 / 14:55 - 00:20</v>
      </c>
      <c r="F36" s="62" t="str">
        <f>Datos!G35</f>
        <v>N/A</v>
      </c>
      <c r="G36" s="62">
        <f>Datos!H35</f>
        <v>2</v>
      </c>
      <c r="H36" s="62">
        <f>Datos!I35</f>
        <v>13</v>
      </c>
      <c r="I36" s="62">
        <f>Datos!J35</f>
        <v>1</v>
      </c>
      <c r="J36" s="6" t="s">
        <v>64</v>
      </c>
      <c r="K36" s="6" t="s">
        <v>115</v>
      </c>
      <c r="L36" s="6" t="s">
        <v>115</v>
      </c>
      <c r="M36" s="6" t="s">
        <v>64</v>
      </c>
      <c r="N36" s="6" t="s">
        <v>115</v>
      </c>
      <c r="O36" s="6" t="s">
        <v>115</v>
      </c>
      <c r="P36" s="6" t="s">
        <v>115</v>
      </c>
      <c r="Q36" s="6" t="str">
        <f t="shared" si="0"/>
        <v>Aplicar identificación avanzada-condición aceptable para cada tipo de factor de riesgo identificado</v>
      </c>
    </row>
    <row r="37" spans="1:17" ht="43.15">
      <c r="A37" s="61">
        <f>Datos!A36</f>
        <v>35</v>
      </c>
      <c r="B37" s="61" t="str">
        <f>Datos!B36</f>
        <v>Procesos</v>
      </c>
      <c r="C37" s="61" t="str">
        <f>Datos!C36</f>
        <v>Paletizado Fresco</v>
      </c>
      <c r="D37" s="62" t="str">
        <f>Datos!D36</f>
        <v>Transpaletero</v>
      </c>
      <c r="E37" s="62" t="str">
        <f>Datos!F36</f>
        <v>06:45 - 15:55 / 14:55 - 00:20</v>
      </c>
      <c r="F37" s="62" t="str">
        <f>Datos!G36</f>
        <v>N/A</v>
      </c>
      <c r="G37" s="62">
        <f>Datos!H36</f>
        <v>2</v>
      </c>
      <c r="H37" s="62">
        <f>Datos!I36</f>
        <v>96</v>
      </c>
      <c r="I37" s="62">
        <f>Datos!J36</f>
        <v>6</v>
      </c>
      <c r="J37" s="6" t="s">
        <v>115</v>
      </c>
      <c r="K37" s="6" t="s">
        <v>115</v>
      </c>
      <c r="L37" s="6" t="s">
        <v>115</v>
      </c>
      <c r="M37" s="6" t="s">
        <v>115</v>
      </c>
      <c r="N37" s="6" t="s">
        <v>115</v>
      </c>
      <c r="O37" s="6" t="s">
        <v>115</v>
      </c>
      <c r="P37" s="6" t="s">
        <v>115</v>
      </c>
      <c r="Q37" s="6" t="str">
        <f t="shared" si="0"/>
        <v>Ausencia total del riesgo, reevaluar cada 3 años con nueva identificación inicial</v>
      </c>
    </row>
    <row r="38" spans="1:17" ht="43.15">
      <c r="A38" s="61">
        <f>Datos!A37</f>
        <v>36</v>
      </c>
      <c r="B38" s="61" t="str">
        <f>Datos!B37</f>
        <v>Procesos</v>
      </c>
      <c r="C38" s="61" t="str">
        <f>Datos!C37</f>
        <v>Paletizado Fresco</v>
      </c>
      <c r="D38" s="62" t="str">
        <f>Datos!D37</f>
        <v>Maquinista</v>
      </c>
      <c r="E38" s="62" t="str">
        <f>Datos!F37</f>
        <v>06:45 - 15:55 / 14:55 - 00:20</v>
      </c>
      <c r="F38" s="62" t="str">
        <f>Datos!G37</f>
        <v>N/A</v>
      </c>
      <c r="G38" s="62">
        <f>Datos!H37</f>
        <v>2</v>
      </c>
      <c r="H38" s="62">
        <f>Datos!I37</f>
        <v>96</v>
      </c>
      <c r="I38" s="62">
        <f>Datos!J37</f>
        <v>6</v>
      </c>
      <c r="J38" s="6" t="s">
        <v>115</v>
      </c>
      <c r="K38" s="6" t="s">
        <v>115</v>
      </c>
      <c r="L38" s="6" t="s">
        <v>115</v>
      </c>
      <c r="M38" s="6" t="s">
        <v>115</v>
      </c>
      <c r="N38" s="6" t="s">
        <v>115</v>
      </c>
      <c r="O38" s="6" t="s">
        <v>115</v>
      </c>
      <c r="P38" s="6" t="s">
        <v>115</v>
      </c>
      <c r="Q38" s="6" t="str">
        <f t="shared" si="0"/>
        <v>Ausencia total del riesgo, reevaluar cada 3 años con nueva identificación inicial</v>
      </c>
    </row>
    <row r="39" spans="1:17" ht="45.75">
      <c r="A39" s="61">
        <f>Datos!A38</f>
        <v>37</v>
      </c>
      <c r="B39" s="61" t="str">
        <f>Datos!B38</f>
        <v>Procesos</v>
      </c>
      <c r="C39" s="61" t="str">
        <f>Datos!C38</f>
        <v>Paletizado Fresco</v>
      </c>
      <c r="D39" s="62" t="str">
        <f>Datos!D38</f>
        <v>Administrativo</v>
      </c>
      <c r="E39" s="62" t="str">
        <f>Datos!F38</f>
        <v>06:45 - 15:55 / 14:55 - 00:20</v>
      </c>
      <c r="F39" s="62" t="str">
        <f>Datos!G38</f>
        <v>N/A</v>
      </c>
      <c r="G39" s="62">
        <f>Datos!H38</f>
        <v>2</v>
      </c>
      <c r="H39" s="62">
        <f>Datos!I38</f>
        <v>96</v>
      </c>
      <c r="I39" s="62">
        <f>Datos!J38</f>
        <v>6</v>
      </c>
      <c r="J39" s="6" t="s">
        <v>115</v>
      </c>
      <c r="K39" s="6" t="s">
        <v>115</v>
      </c>
      <c r="L39" s="6" t="s">
        <v>115</v>
      </c>
      <c r="M39" s="6" t="s">
        <v>115</v>
      </c>
      <c r="N39" s="6" t="s">
        <v>115</v>
      </c>
      <c r="O39" s="6" t="s">
        <v>115</v>
      </c>
      <c r="P39" s="6" t="s">
        <v>115</v>
      </c>
      <c r="Q39" s="6" t="str">
        <f t="shared" ref="Q39:Q65" si="1">IF(AND(J39="NO",K39="NO",L39="NO",M39="NO",N39="NO",O39="NO",P39="NO"),"Ausencia total del riesgo, reevaluar cada 3 años con nueva identificación inicial","Aplicar identificación avanzada-condición aceptable para cada tipo de factor de riesgo identificado")</f>
        <v>Ausencia total del riesgo, reevaluar cada 3 años con nueva identificación inicial</v>
      </c>
    </row>
    <row r="40" spans="1:17" ht="43.15">
      <c r="A40" s="61">
        <f>Datos!A39</f>
        <v>38</v>
      </c>
      <c r="B40" s="61" t="str">
        <f>Datos!B39</f>
        <v>Procesos</v>
      </c>
      <c r="C40" s="61" t="str">
        <f>Datos!C39</f>
        <v>Paletizado Fresco</v>
      </c>
      <c r="D40" s="62" t="str">
        <f>Datos!D39</f>
        <v xml:space="preserve">Jefe de Línea </v>
      </c>
      <c r="E40" s="62" t="str">
        <f>Datos!F39</f>
        <v>06:45 - 15:55 / 14:55 - 00:20</v>
      </c>
      <c r="F40" s="62" t="str">
        <f>Datos!G39</f>
        <v>N/A</v>
      </c>
      <c r="G40" s="62">
        <f>Datos!H39</f>
        <v>2</v>
      </c>
      <c r="H40" s="62">
        <f>Datos!I39</f>
        <v>96</v>
      </c>
      <c r="I40" s="62">
        <f>Datos!J39</f>
        <v>6</v>
      </c>
      <c r="J40" s="6" t="s">
        <v>115</v>
      </c>
      <c r="K40" s="6" t="s">
        <v>115</v>
      </c>
      <c r="L40" s="6" t="s">
        <v>115</v>
      </c>
      <c r="M40" s="6" t="s">
        <v>115</v>
      </c>
      <c r="N40" s="6" t="s">
        <v>115</v>
      </c>
      <c r="O40" s="6" t="s">
        <v>115</v>
      </c>
      <c r="P40" s="6" t="s">
        <v>115</v>
      </c>
      <c r="Q40" s="6" t="str">
        <f t="shared" si="1"/>
        <v>Ausencia total del riesgo, reevaluar cada 3 años con nueva identificación inicial</v>
      </c>
    </row>
    <row r="41" spans="1:17" ht="43.15">
      <c r="A41" s="61">
        <f>Datos!A40</f>
        <v>39</v>
      </c>
      <c r="B41" s="61" t="str">
        <f>Datos!B40</f>
        <v>Procesos</v>
      </c>
      <c r="C41" s="61" t="str">
        <f>Datos!C40</f>
        <v>Paletizado Fresco</v>
      </c>
      <c r="D41" s="62" t="str">
        <f>Datos!D40</f>
        <v>Paletizador</v>
      </c>
      <c r="E41" s="62" t="str">
        <f>Datos!F40</f>
        <v>06:45 - 15:55 / 14:55 - 00:20</v>
      </c>
      <c r="F41" s="62" t="str">
        <f>Datos!G40</f>
        <v>N/A</v>
      </c>
      <c r="G41" s="62">
        <f>Datos!H40</f>
        <v>2</v>
      </c>
      <c r="H41" s="62">
        <f>Datos!I40</f>
        <v>96</v>
      </c>
      <c r="I41" s="62">
        <f>Datos!J40</f>
        <v>6</v>
      </c>
      <c r="J41" s="6" t="s">
        <v>64</v>
      </c>
      <c r="K41" s="6" t="s">
        <v>115</v>
      </c>
      <c r="L41" s="6" t="s">
        <v>64</v>
      </c>
      <c r="M41" s="6" t="s">
        <v>64</v>
      </c>
      <c r="N41" s="6" t="s">
        <v>115</v>
      </c>
      <c r="O41" s="6" t="s">
        <v>115</v>
      </c>
      <c r="P41" s="6" t="s">
        <v>115</v>
      </c>
      <c r="Q41" s="6" t="str">
        <f t="shared" si="1"/>
        <v>Aplicar identificación avanzada-condición aceptable para cada tipo de factor de riesgo identificado</v>
      </c>
    </row>
    <row r="42" spans="1:17" ht="38.25" customHeight="1">
      <c r="A42" s="61">
        <f>Datos!A41</f>
        <v>40</v>
      </c>
      <c r="B42" s="61" t="str">
        <f>Datos!B41</f>
        <v>Procesos</v>
      </c>
      <c r="C42" s="61" t="str">
        <f>Datos!C41</f>
        <v>Paletizado Fresco</v>
      </c>
      <c r="D42" s="62" t="str">
        <f>Datos!D41</f>
        <v>Supervisor</v>
      </c>
      <c r="E42" s="62" t="str">
        <f>Datos!F41</f>
        <v>06:45 - 15:55 / 14:55 - 00:20</v>
      </c>
      <c r="F42" s="62" t="str">
        <f>Datos!G41</f>
        <v>N/A</v>
      </c>
      <c r="G42" s="62">
        <f>Datos!H41</f>
        <v>2</v>
      </c>
      <c r="H42" s="62">
        <f>Datos!I41</f>
        <v>96</v>
      </c>
      <c r="I42" s="62">
        <f>Datos!J41</f>
        <v>6</v>
      </c>
      <c r="J42" s="6" t="s">
        <v>115</v>
      </c>
      <c r="K42" s="6" t="s">
        <v>115</v>
      </c>
      <c r="L42" s="6" t="s">
        <v>115</v>
      </c>
      <c r="M42" s="6" t="s">
        <v>115</v>
      </c>
      <c r="N42" s="6" t="s">
        <v>115</v>
      </c>
      <c r="O42" s="6" t="s">
        <v>115</v>
      </c>
      <c r="P42" s="6" t="s">
        <v>115</v>
      </c>
      <c r="Q42" s="6" t="str">
        <f t="shared" si="1"/>
        <v>Ausencia total del riesgo, reevaluar cada 3 años con nueva identificación inicial</v>
      </c>
    </row>
    <row r="43" spans="1:17" ht="38.25" customHeight="1">
      <c r="A43" s="61">
        <f>Datos!A42</f>
        <v>41</v>
      </c>
      <c r="B43" s="61" t="str">
        <f>Datos!B42</f>
        <v>Procesos</v>
      </c>
      <c r="C43" s="61" t="str">
        <f>Datos!C42</f>
        <v>Trozado L1</v>
      </c>
      <c r="D43" s="62" t="str">
        <f>Datos!D42</f>
        <v>Pesador de producto derecha</v>
      </c>
      <c r="E43" s="62" t="str">
        <f>Datos!F42</f>
        <v>07:05 - 15:05  15:15 - 00:15</v>
      </c>
      <c r="F43" s="62" t="str">
        <f>Datos!G42</f>
        <v>N/A</v>
      </c>
      <c r="G43" s="62">
        <f>Datos!H42</f>
        <v>2</v>
      </c>
      <c r="H43" s="62">
        <f>Datos!I42</f>
        <v>66</v>
      </c>
      <c r="I43" s="62">
        <f>Datos!J42</f>
        <v>73</v>
      </c>
      <c r="J43" s="6" t="s">
        <v>64</v>
      </c>
      <c r="K43" s="6" t="s">
        <v>64</v>
      </c>
      <c r="L43" s="6" t="s">
        <v>115</v>
      </c>
      <c r="M43" s="6" t="s">
        <v>64</v>
      </c>
      <c r="N43" s="6" t="s">
        <v>115</v>
      </c>
      <c r="O43" s="6" t="s">
        <v>115</v>
      </c>
      <c r="P43" s="6" t="s">
        <v>115</v>
      </c>
      <c r="Q43" s="6" t="str">
        <f t="shared" si="1"/>
        <v>Aplicar identificación avanzada-condición aceptable para cada tipo de factor de riesgo identificado</v>
      </c>
    </row>
    <row r="44" spans="1:17" ht="43.15">
      <c r="A44" s="61">
        <f>Datos!A43</f>
        <v>42</v>
      </c>
      <c r="B44" s="61" t="str">
        <f>Datos!B43</f>
        <v>Procesos</v>
      </c>
      <c r="C44" s="61" t="str">
        <f>Datos!C43</f>
        <v>Trozado L2</v>
      </c>
      <c r="D44" s="62" t="str">
        <f>Datos!D43</f>
        <v>Pesador de producto izquierda</v>
      </c>
      <c r="E44" s="62" t="str">
        <f>Datos!F43</f>
        <v>07:05 - 15:05  15:15 - 00:15</v>
      </c>
      <c r="F44" s="62" t="str">
        <f>Datos!G43</f>
        <v>N/A</v>
      </c>
      <c r="G44" s="62">
        <f>Datos!H43</f>
        <v>2</v>
      </c>
      <c r="H44" s="62">
        <f>Datos!I43</f>
        <v>66</v>
      </c>
      <c r="I44" s="62">
        <f>Datos!J43</f>
        <v>73</v>
      </c>
      <c r="J44" s="6" t="s">
        <v>64</v>
      </c>
      <c r="K44" s="6" t="s">
        <v>64</v>
      </c>
      <c r="L44" s="6" t="s">
        <v>115</v>
      </c>
      <c r="M44" s="6" t="s">
        <v>64</v>
      </c>
      <c r="N44" s="6" t="s">
        <v>115</v>
      </c>
      <c r="O44" s="6" t="s">
        <v>115</v>
      </c>
      <c r="P44" s="6" t="s">
        <v>115</v>
      </c>
      <c r="Q44" s="6" t="str">
        <f t="shared" si="1"/>
        <v>Aplicar identificación avanzada-condición aceptable para cada tipo de factor de riesgo identificado</v>
      </c>
    </row>
    <row r="45" spans="1:17" ht="43.15">
      <c r="A45" s="61">
        <f>Datos!A44</f>
        <v>43</v>
      </c>
      <c r="B45" s="61" t="str">
        <f>Datos!B44</f>
        <v>Procesos</v>
      </c>
      <c r="C45" s="61" t="str">
        <f>Datos!C44</f>
        <v>Trozado L5</v>
      </c>
      <c r="D45" s="62" t="str">
        <f>Datos!D44</f>
        <v>Selección de  (trutro)</v>
      </c>
      <c r="E45" s="62" t="str">
        <f>Datos!F44</f>
        <v>07:05 - 15:05  15:15 - 00:15</v>
      </c>
      <c r="F45" s="62" t="str">
        <f>Datos!G44</f>
        <v>N/A</v>
      </c>
      <c r="G45" s="62">
        <f>Datos!H44</f>
        <v>2</v>
      </c>
      <c r="H45" s="62">
        <f>Datos!I44</f>
        <v>66</v>
      </c>
      <c r="I45" s="62">
        <f>Datos!J44</f>
        <v>73</v>
      </c>
      <c r="J45" s="6" t="s">
        <v>64</v>
      </c>
      <c r="K45" s="6" t="s">
        <v>64</v>
      </c>
      <c r="L45" s="6" t="s">
        <v>115</v>
      </c>
      <c r="M45" s="6" t="s">
        <v>115</v>
      </c>
      <c r="N45" s="6" t="s">
        <v>115</v>
      </c>
      <c r="O45" s="6" t="s">
        <v>115</v>
      </c>
      <c r="P45" s="6" t="s">
        <v>115</v>
      </c>
      <c r="Q45" s="6" t="str">
        <f t="shared" si="1"/>
        <v>Aplicar identificación avanzada-condición aceptable para cada tipo de factor de riesgo identificado</v>
      </c>
    </row>
    <row r="46" spans="1:17" ht="43.15">
      <c r="A46" s="61">
        <f>Datos!A45</f>
        <v>44</v>
      </c>
      <c r="B46" s="61" t="str">
        <f>Datos!B45</f>
        <v>Procesos</v>
      </c>
      <c r="C46" s="61" t="str">
        <f>Datos!C45</f>
        <v>Trozado L1</v>
      </c>
      <c r="D46" s="62" t="str">
        <f>Datos!D45</f>
        <v>Embalado de producto en termoformadora</v>
      </c>
      <c r="E46" s="62" t="str">
        <f>Datos!F45</f>
        <v>07:05 - 15:05  15:15 - 00:15</v>
      </c>
      <c r="F46" s="62" t="str">
        <f>Datos!G45</f>
        <v>N/A</v>
      </c>
      <c r="G46" s="62">
        <f>Datos!H45</f>
        <v>2</v>
      </c>
      <c r="H46" s="62">
        <f>Datos!I45</f>
        <v>66</v>
      </c>
      <c r="I46" s="62">
        <f>Datos!J45</f>
        <v>73</v>
      </c>
      <c r="J46" s="6" t="s">
        <v>64</v>
      </c>
      <c r="K46" s="6" t="s">
        <v>115</v>
      </c>
      <c r="L46" s="6" t="s">
        <v>115</v>
      </c>
      <c r="M46" s="6" t="s">
        <v>115</v>
      </c>
      <c r="N46" s="6" t="s">
        <v>115</v>
      </c>
      <c r="O46" s="6" t="s">
        <v>115</v>
      </c>
      <c r="P46" s="6" t="s">
        <v>115</v>
      </c>
      <c r="Q46" s="6" t="str">
        <f t="shared" si="1"/>
        <v>Aplicar identificación avanzada-condición aceptable para cada tipo de factor de riesgo identificado</v>
      </c>
    </row>
    <row r="47" spans="1:17" ht="43.15">
      <c r="A47" s="61">
        <f>Datos!A46</f>
        <v>45</v>
      </c>
      <c r="B47" s="61" t="str">
        <f>Datos!B46</f>
        <v>Procesos</v>
      </c>
      <c r="C47" s="61" t="str">
        <f>Datos!C46</f>
        <v>Trozado L1</v>
      </c>
      <c r="D47" s="62" t="str">
        <f>Datos!D46</f>
        <v>Chequeador de peso</v>
      </c>
      <c r="E47" s="62" t="str">
        <f>Datos!F46</f>
        <v>07:05 - 15:05  15:15 - 00:15</v>
      </c>
      <c r="F47" s="62" t="str">
        <f>Datos!G46</f>
        <v>N/A</v>
      </c>
      <c r="G47" s="62">
        <f>Datos!H46</f>
        <v>2</v>
      </c>
      <c r="H47" s="62">
        <f>Datos!I46</f>
        <v>66</v>
      </c>
      <c r="I47" s="62">
        <f>Datos!J46</f>
        <v>73</v>
      </c>
      <c r="J47" s="6" t="s">
        <v>64</v>
      </c>
      <c r="K47" s="6" t="s">
        <v>115</v>
      </c>
      <c r="L47" s="6" t="s">
        <v>64</v>
      </c>
      <c r="M47" s="6" t="s">
        <v>64</v>
      </c>
      <c r="N47" s="6" t="s">
        <v>115</v>
      </c>
      <c r="O47" s="6" t="s">
        <v>115</v>
      </c>
      <c r="P47" s="6" t="s">
        <v>115</v>
      </c>
      <c r="Q47" s="6" t="str">
        <f t="shared" si="1"/>
        <v>Aplicar identificación avanzada-condición aceptable para cada tipo de factor de riesgo identificado</v>
      </c>
    </row>
    <row r="48" spans="1:17" ht="43.15">
      <c r="A48" s="61">
        <f>Datos!A47</f>
        <v>46</v>
      </c>
      <c r="B48" s="61" t="str">
        <f>Datos!B47</f>
        <v>Procesos</v>
      </c>
      <c r="C48" s="61" t="str">
        <f>Datos!C47</f>
        <v>Trozado L2</v>
      </c>
      <c r="D48" s="62" t="str">
        <f>Datos!D47</f>
        <v>Traslape</v>
      </c>
      <c r="E48" s="62" t="str">
        <f>Datos!F47</f>
        <v>06:45 - 15:05  15:05 - 23:55</v>
      </c>
      <c r="F48" s="62" t="str">
        <f>Datos!G47</f>
        <v>N/A</v>
      </c>
      <c r="G48" s="62">
        <f>Datos!H47</f>
        <v>2</v>
      </c>
      <c r="H48" s="62">
        <f>Datos!I47</f>
        <v>66</v>
      </c>
      <c r="I48" s="62">
        <f>Datos!J47</f>
        <v>73</v>
      </c>
      <c r="J48" s="6" t="s">
        <v>64</v>
      </c>
      <c r="K48" s="6" t="s">
        <v>115</v>
      </c>
      <c r="L48" s="6" t="s">
        <v>115</v>
      </c>
      <c r="M48" s="6" t="s">
        <v>115</v>
      </c>
      <c r="N48" s="6" t="s">
        <v>115</v>
      </c>
      <c r="O48" s="6" t="s">
        <v>115</v>
      </c>
      <c r="P48" s="6" t="s">
        <v>115</v>
      </c>
      <c r="Q48" s="6" t="str">
        <f t="shared" si="1"/>
        <v>Aplicar identificación avanzada-condición aceptable para cada tipo de factor de riesgo identificado</v>
      </c>
    </row>
    <row r="49" spans="1:17" ht="43.15">
      <c r="A49" s="61">
        <f>Datos!A48</f>
        <v>47</v>
      </c>
      <c r="B49" s="61" t="str">
        <f>Datos!B48</f>
        <v>Procesos</v>
      </c>
      <c r="C49" s="61" t="str">
        <f>Datos!C48</f>
        <v>Trozado L1</v>
      </c>
      <c r="D49" s="62" t="str">
        <f>Datos!D48</f>
        <v>Volteador de bins</v>
      </c>
      <c r="E49" s="62" t="str">
        <f>Datos!F48</f>
        <v>07:05 - 15:05  15:15 - 00:15</v>
      </c>
      <c r="F49" s="62" t="str">
        <f>Datos!G48</f>
        <v>N/A</v>
      </c>
      <c r="G49" s="62">
        <f>Datos!H48</f>
        <v>2</v>
      </c>
      <c r="H49" s="62">
        <f>Datos!I48</f>
        <v>66</v>
      </c>
      <c r="I49" s="62">
        <f>Datos!J48</f>
        <v>0</v>
      </c>
      <c r="J49" s="6" t="s">
        <v>64</v>
      </c>
      <c r="K49" s="6" t="s">
        <v>115</v>
      </c>
      <c r="L49" s="6" t="s">
        <v>115</v>
      </c>
      <c r="M49" s="6" t="s">
        <v>64</v>
      </c>
      <c r="N49" s="6" t="s">
        <v>115</v>
      </c>
      <c r="O49" s="6" t="s">
        <v>115</v>
      </c>
      <c r="P49" s="6" t="s">
        <v>115</v>
      </c>
      <c r="Q49" s="6" t="str">
        <f t="shared" si="1"/>
        <v>Aplicar identificación avanzada-condición aceptable para cada tipo de factor de riesgo identificado</v>
      </c>
    </row>
    <row r="50" spans="1:17" ht="43.15">
      <c r="A50" s="61">
        <f>Datos!A49</f>
        <v>48</v>
      </c>
      <c r="B50" s="61" t="str">
        <f>Datos!B49</f>
        <v>Procesos</v>
      </c>
      <c r="C50" s="61" t="str">
        <f>Datos!C49</f>
        <v>Mesanina</v>
      </c>
      <c r="D50" s="62" t="str">
        <f>Datos!D49</f>
        <v>Recolgado</v>
      </c>
      <c r="E50" s="62" t="str">
        <f>Datos!F49</f>
        <v>07:05 - 15:05  15:15 - 00:15</v>
      </c>
      <c r="F50" s="62" t="str">
        <f>Datos!G49</f>
        <v>N/A</v>
      </c>
      <c r="G50" s="62">
        <f>Datos!H49</f>
        <v>2</v>
      </c>
      <c r="H50" s="62">
        <f>Datos!I49</f>
        <v>66</v>
      </c>
      <c r="I50" s="62">
        <f>Datos!J49</f>
        <v>73</v>
      </c>
      <c r="J50" s="6" t="s">
        <v>64</v>
      </c>
      <c r="K50" s="6" t="s">
        <v>115</v>
      </c>
      <c r="L50" s="6" t="s">
        <v>115</v>
      </c>
      <c r="M50" s="6" t="s">
        <v>115</v>
      </c>
      <c r="N50" s="6" t="s">
        <v>115</v>
      </c>
      <c r="O50" s="6" t="s">
        <v>115</v>
      </c>
      <c r="P50" s="6" t="s">
        <v>115</v>
      </c>
      <c r="Q50" s="6" t="str">
        <f t="shared" si="1"/>
        <v>Aplicar identificación avanzada-condición aceptable para cada tipo de factor de riesgo identificado</v>
      </c>
    </row>
    <row r="51" spans="1:17" ht="43.15">
      <c r="A51" s="61">
        <f>Datos!A50</f>
        <v>49</v>
      </c>
      <c r="B51" s="61" t="str">
        <f>Datos!B50</f>
        <v>Procesos</v>
      </c>
      <c r="C51" s="61" t="str">
        <f>Datos!C50</f>
        <v>Trozado</v>
      </c>
      <c r="D51" s="62" t="str">
        <f>Datos!D50</f>
        <v>Tranferidor</v>
      </c>
      <c r="E51" s="62" t="str">
        <f>Datos!F50</f>
        <v>07:05 - 15:05  15:15 - 00:15</v>
      </c>
      <c r="F51" s="62" t="str">
        <f>Datos!G50</f>
        <v>N/A</v>
      </c>
      <c r="G51" s="62">
        <f>Datos!H50</f>
        <v>2</v>
      </c>
      <c r="H51" s="62">
        <f>Datos!I50</f>
        <v>66</v>
      </c>
      <c r="I51" s="62">
        <f>Datos!J50</f>
        <v>0</v>
      </c>
      <c r="J51" s="6" t="s">
        <v>64</v>
      </c>
      <c r="K51" s="6" t="s">
        <v>115</v>
      </c>
      <c r="L51" s="6" t="s">
        <v>115</v>
      </c>
      <c r="M51" s="6" t="s">
        <v>64</v>
      </c>
      <c r="N51" s="6" t="s">
        <v>115</v>
      </c>
      <c r="O51" s="6" t="s">
        <v>115</v>
      </c>
      <c r="P51" s="6" t="s">
        <v>115</v>
      </c>
      <c r="Q51" s="6" t="str">
        <f t="shared" si="1"/>
        <v>Aplicar identificación avanzada-condición aceptable para cada tipo de factor de riesgo identificado</v>
      </c>
    </row>
    <row r="52" spans="1:17" ht="28.9">
      <c r="A52" s="61">
        <f>Datos!A51</f>
        <v>50</v>
      </c>
      <c r="B52" s="61" t="str">
        <f>Datos!B51</f>
        <v>Procesos</v>
      </c>
      <c r="C52" s="61" t="str">
        <f>Datos!C51</f>
        <v>Trozado</v>
      </c>
      <c r="D52" s="62" t="str">
        <f>Datos!D51</f>
        <v>Transpaletero</v>
      </c>
      <c r="E52" s="62" t="str">
        <f>Datos!F51</f>
        <v>07:05 - 15:05  15:15 - 00:15</v>
      </c>
      <c r="F52" s="62" t="str">
        <f>Datos!G51</f>
        <v>N/A</v>
      </c>
      <c r="G52" s="62">
        <f>Datos!H51</f>
        <v>2</v>
      </c>
      <c r="H52" s="62">
        <f>Datos!I51</f>
        <v>66</v>
      </c>
      <c r="I52" s="62">
        <f>Datos!J51</f>
        <v>73</v>
      </c>
      <c r="J52" s="6" t="s">
        <v>115</v>
      </c>
      <c r="K52" s="6" t="s">
        <v>115</v>
      </c>
      <c r="L52" s="6" t="s">
        <v>115</v>
      </c>
      <c r="M52" s="6" t="s">
        <v>115</v>
      </c>
      <c r="N52" s="6" t="s">
        <v>115</v>
      </c>
      <c r="O52" s="6" t="s">
        <v>115</v>
      </c>
      <c r="P52" s="6" t="s">
        <v>115</v>
      </c>
      <c r="Q52" s="6" t="str">
        <f t="shared" si="1"/>
        <v>Ausencia total del riesgo, reevaluar cada 3 años con nueva identificación inicial</v>
      </c>
    </row>
    <row r="53" spans="1:17" ht="43.15">
      <c r="A53" s="61">
        <f>Datos!A52</f>
        <v>51</v>
      </c>
      <c r="B53" s="61" t="str">
        <f>Datos!B52</f>
        <v>Procesos</v>
      </c>
      <c r="C53" s="61" t="str">
        <f>Datos!C52</f>
        <v>Trozado L2</v>
      </c>
      <c r="D53" s="62" t="str">
        <f>Datos!D52</f>
        <v>Trozado manual</v>
      </c>
      <c r="E53" s="62" t="str">
        <f>Datos!F52</f>
        <v>07:05 - 15:05  15:15 - 00:15</v>
      </c>
      <c r="F53" s="62" t="str">
        <f>Datos!G52</f>
        <v>N/A</v>
      </c>
      <c r="G53" s="62">
        <f>Datos!H52</f>
        <v>2</v>
      </c>
      <c r="H53" s="62">
        <f>Datos!I52</f>
        <v>66</v>
      </c>
      <c r="I53" s="62">
        <f>Datos!J52</f>
        <v>73</v>
      </c>
      <c r="J53" s="6" t="s">
        <v>64</v>
      </c>
      <c r="K53" s="6" t="s">
        <v>115</v>
      </c>
      <c r="L53" s="6" t="s">
        <v>115</v>
      </c>
      <c r="M53" s="6" t="s">
        <v>115</v>
      </c>
      <c r="N53" s="6" t="s">
        <v>115</v>
      </c>
      <c r="O53" s="6" t="s">
        <v>115</v>
      </c>
      <c r="P53" s="6" t="s">
        <v>115</v>
      </c>
      <c r="Q53" s="6" t="str">
        <f t="shared" si="1"/>
        <v>Aplicar identificación avanzada-condición aceptable para cada tipo de factor de riesgo identificado</v>
      </c>
    </row>
    <row r="54" spans="1:17" ht="28.9">
      <c r="A54" s="61">
        <f>Datos!A53</f>
        <v>52</v>
      </c>
      <c r="B54" s="61" t="str">
        <f>Datos!B53</f>
        <v>Procesos</v>
      </c>
      <c r="C54" s="61" t="str">
        <f>Datos!C53</f>
        <v>Trozado</v>
      </c>
      <c r="D54" s="62" t="str">
        <f>Datos!D53</f>
        <v>Maquinista</v>
      </c>
      <c r="E54" s="62" t="str">
        <f>Datos!F53</f>
        <v>07:05 - 15:05  15:15 - 00:15</v>
      </c>
      <c r="F54" s="62" t="str">
        <f>Datos!G53</f>
        <v>N/A</v>
      </c>
      <c r="G54" s="62">
        <f>Datos!H53</f>
        <v>2</v>
      </c>
      <c r="H54" s="62">
        <f>Datos!I53</f>
        <v>66</v>
      </c>
      <c r="I54" s="62">
        <f>Datos!J53</f>
        <v>73</v>
      </c>
      <c r="J54" s="6" t="s">
        <v>115</v>
      </c>
      <c r="K54" s="6" t="s">
        <v>115</v>
      </c>
      <c r="L54" s="6" t="s">
        <v>115</v>
      </c>
      <c r="M54" s="6" t="s">
        <v>115</v>
      </c>
      <c r="N54" s="6" t="s">
        <v>115</v>
      </c>
      <c r="O54" s="6" t="s">
        <v>115</v>
      </c>
      <c r="P54" s="6" t="s">
        <v>115</v>
      </c>
      <c r="Q54" s="6" t="str">
        <f t="shared" si="1"/>
        <v>Ausencia total del riesgo, reevaluar cada 3 años con nueva identificación inicial</v>
      </c>
    </row>
    <row r="55" spans="1:17" ht="43.15">
      <c r="A55" s="61">
        <f>Datos!A54</f>
        <v>53</v>
      </c>
      <c r="B55" s="61" t="str">
        <f>Datos!B54</f>
        <v>Procesos</v>
      </c>
      <c r="C55" s="61" t="str">
        <f>Datos!C54</f>
        <v>Trozado</v>
      </c>
      <c r="D55" s="62" t="str">
        <f>Datos!D54</f>
        <v>Fechado</v>
      </c>
      <c r="E55" s="62" t="str">
        <f>Datos!F54</f>
        <v>07:05 - 15:05  15:15 - 00:15</v>
      </c>
      <c r="F55" s="62" t="str">
        <f>Datos!G54</f>
        <v>N/A</v>
      </c>
      <c r="G55" s="62">
        <f>Datos!H54</f>
        <v>2</v>
      </c>
      <c r="H55" s="62">
        <f>Datos!I54</f>
        <v>66</v>
      </c>
      <c r="I55" s="62">
        <f>Datos!J54</f>
        <v>73</v>
      </c>
      <c r="J55" s="6" t="s">
        <v>64</v>
      </c>
      <c r="K55" s="6" t="s">
        <v>115</v>
      </c>
      <c r="L55" s="6" t="s">
        <v>115</v>
      </c>
      <c r="M55" s="6" t="s">
        <v>115</v>
      </c>
      <c r="N55" s="6" t="s">
        <v>115</v>
      </c>
      <c r="O55" s="6" t="s">
        <v>115</v>
      </c>
      <c r="P55" s="6" t="s">
        <v>115</v>
      </c>
      <c r="Q55" s="6" t="str">
        <f t="shared" si="1"/>
        <v>Aplicar identificación avanzada-condición aceptable para cada tipo de factor de riesgo identificado</v>
      </c>
    </row>
    <row r="56" spans="1:17" ht="43.15">
      <c r="A56" s="61">
        <f>Datos!A55</f>
        <v>54</v>
      </c>
      <c r="B56" s="61" t="str">
        <f>Datos!B55</f>
        <v>Procesos</v>
      </c>
      <c r="C56" s="61" t="str">
        <f>Datos!C55</f>
        <v>Trozado L1</v>
      </c>
      <c r="D56" s="62" t="str">
        <f>Datos!D55</f>
        <v>Embalado pollo personal</v>
      </c>
      <c r="E56" s="62" t="str">
        <f>Datos!F55</f>
        <v>07:05 - 15:05  15:15 - 00:15</v>
      </c>
      <c r="F56" s="62" t="str">
        <f>Datos!G55</f>
        <v>N/A</v>
      </c>
      <c r="G56" s="62">
        <f>Datos!H55</f>
        <v>2</v>
      </c>
      <c r="H56" s="62">
        <f>Datos!I55</f>
        <v>66</v>
      </c>
      <c r="I56" s="62">
        <f>Datos!J55</f>
        <v>73</v>
      </c>
      <c r="J56" s="6" t="s">
        <v>64</v>
      </c>
      <c r="K56" s="6" t="s">
        <v>115</v>
      </c>
      <c r="L56" s="6" t="s">
        <v>115</v>
      </c>
      <c r="M56" s="6" t="s">
        <v>64</v>
      </c>
      <c r="N56" s="6" t="s">
        <v>115</v>
      </c>
      <c r="O56" s="6" t="s">
        <v>115</v>
      </c>
      <c r="P56" s="6" t="s">
        <v>115</v>
      </c>
      <c r="Q56" s="6" t="str">
        <f t="shared" si="1"/>
        <v>Aplicar identificación avanzada-condición aceptable para cada tipo de factor de riesgo identificado</v>
      </c>
    </row>
    <row r="57" spans="1:17" ht="43.5">
      <c r="A57" s="61">
        <f>Datos!A56</f>
        <v>55</v>
      </c>
      <c r="B57" s="61" t="str">
        <f>Datos!B56</f>
        <v>Procesos</v>
      </c>
      <c r="C57" s="61" t="str">
        <f>Datos!C56</f>
        <v>Trozado</v>
      </c>
      <c r="D57" s="62" t="str">
        <f>Datos!D56</f>
        <v>Programador</v>
      </c>
      <c r="E57" s="62" t="str">
        <f>Datos!F56</f>
        <v>07:05 - 15:05  15:15 - 00:15</v>
      </c>
      <c r="F57" s="62" t="str">
        <f>Datos!G56</f>
        <v>N/A</v>
      </c>
      <c r="G57" s="62">
        <f>Datos!H56</f>
        <v>2</v>
      </c>
      <c r="H57" s="62">
        <f>Datos!I56</f>
        <v>66</v>
      </c>
      <c r="I57" s="62">
        <f>Datos!J56</f>
        <v>73</v>
      </c>
      <c r="J57" s="6" t="s">
        <v>115</v>
      </c>
      <c r="K57" s="6" t="s">
        <v>115</v>
      </c>
      <c r="L57" s="6" t="s">
        <v>115</v>
      </c>
      <c r="M57" s="6" t="s">
        <v>64</v>
      </c>
      <c r="N57" s="6" t="s">
        <v>115</v>
      </c>
      <c r="O57" s="6" t="s">
        <v>115</v>
      </c>
      <c r="P57" s="6" t="s">
        <v>115</v>
      </c>
      <c r="Q57" s="6" t="str">
        <f t="shared" si="1"/>
        <v>Aplicar identificación avanzada-condición aceptable para cada tipo de factor de riesgo identificado</v>
      </c>
    </row>
    <row r="58" spans="1:17" ht="43.15">
      <c r="A58" s="61">
        <f>Datos!A57</f>
        <v>56</v>
      </c>
      <c r="B58" s="61" t="str">
        <f>Datos!B57</f>
        <v>Procesos</v>
      </c>
      <c r="C58" s="61" t="str">
        <f>Datos!C57</f>
        <v>Trozado L5</v>
      </c>
      <c r="D58" s="62" t="str">
        <f>Datos!D57</f>
        <v>Vacio espinazo</v>
      </c>
      <c r="E58" s="62" t="str">
        <f>Datos!F57</f>
        <v>07:05 - 15:05  15:15 - 00:15</v>
      </c>
      <c r="F58" s="62" t="str">
        <f>Datos!G57</f>
        <v>N/A</v>
      </c>
      <c r="G58" s="62">
        <f>Datos!H57</f>
        <v>2</v>
      </c>
      <c r="H58" s="62">
        <f>Datos!I57</f>
        <v>66</v>
      </c>
      <c r="I58" s="62">
        <f>Datos!J57</f>
        <v>73</v>
      </c>
      <c r="J58" s="6" t="s">
        <v>64</v>
      </c>
      <c r="K58" s="6" t="s">
        <v>115</v>
      </c>
      <c r="L58" s="6" t="s">
        <v>115</v>
      </c>
      <c r="M58" s="6" t="s">
        <v>115</v>
      </c>
      <c r="N58" s="6" t="s">
        <v>115</v>
      </c>
      <c r="O58" s="6" t="s">
        <v>115</v>
      </c>
      <c r="P58" s="6" t="s">
        <v>115</v>
      </c>
      <c r="Q58" s="6" t="str">
        <f t="shared" si="1"/>
        <v>Aplicar identificación avanzada-condición aceptable para cada tipo de factor de riesgo identificado</v>
      </c>
    </row>
    <row r="59" spans="1:17" ht="43.15">
      <c r="A59" s="61">
        <f>Datos!A58</f>
        <v>57</v>
      </c>
      <c r="B59" s="61" t="str">
        <f>Datos!B58</f>
        <v>Procesos</v>
      </c>
      <c r="C59" s="61" t="str">
        <f>Datos!C58</f>
        <v>Trozado L5</v>
      </c>
      <c r="D59" s="62" t="str">
        <f>Datos!D58</f>
        <v>Vacio punta espinazo</v>
      </c>
      <c r="E59" s="62" t="str">
        <f>Datos!F58</f>
        <v>07:05 - 15:05  15:15 - 00:15</v>
      </c>
      <c r="F59" s="62" t="str">
        <f>Datos!G58</f>
        <v>N/A</v>
      </c>
      <c r="G59" s="62">
        <f>Datos!H58</f>
        <v>2</v>
      </c>
      <c r="H59" s="62">
        <f>Datos!I58</f>
        <v>66</v>
      </c>
      <c r="I59" s="62">
        <f>Datos!J58</f>
        <v>73</v>
      </c>
      <c r="J59" s="6" t="s">
        <v>64</v>
      </c>
      <c r="K59" s="6" t="s">
        <v>115</v>
      </c>
      <c r="L59" s="6" t="s">
        <v>115</v>
      </c>
      <c r="M59" s="6" t="s">
        <v>115</v>
      </c>
      <c r="N59" s="6" t="s">
        <v>115</v>
      </c>
      <c r="O59" s="6" t="s">
        <v>115</v>
      </c>
      <c r="P59" s="6" t="s">
        <v>115</v>
      </c>
      <c r="Q59" s="6" t="str">
        <f t="shared" si="1"/>
        <v>Aplicar identificación avanzada-condición aceptable para cada tipo de factor de riesgo identificado</v>
      </c>
    </row>
    <row r="60" spans="1:17" ht="28.9">
      <c r="A60" s="61">
        <f>Datos!A59</f>
        <v>58</v>
      </c>
      <c r="B60" s="61" t="str">
        <f>Datos!B59</f>
        <v>Procesos</v>
      </c>
      <c r="C60" s="61" t="str">
        <f>Datos!C59</f>
        <v>Trozado</v>
      </c>
      <c r="D60" s="62" t="str">
        <f>Datos!D59</f>
        <v>Trozado manual cazuela</v>
      </c>
      <c r="E60" s="62" t="str">
        <f>Datos!F59</f>
        <v>07:05 - 15:05  15:15 - 00:15</v>
      </c>
      <c r="F60" s="62" t="str">
        <f>Datos!G59</f>
        <v>N/A</v>
      </c>
      <c r="G60" s="62">
        <f>Datos!H59</f>
        <v>2</v>
      </c>
      <c r="H60" s="62">
        <f>Datos!I59</f>
        <v>66</v>
      </c>
      <c r="I60" s="62">
        <f>Datos!J59</f>
        <v>73</v>
      </c>
      <c r="J60" s="6" t="s">
        <v>115</v>
      </c>
      <c r="K60" s="6" t="s">
        <v>115</v>
      </c>
      <c r="L60" s="6" t="s">
        <v>115</v>
      </c>
      <c r="M60" s="6" t="s">
        <v>115</v>
      </c>
      <c r="N60" s="6" t="s">
        <v>115</v>
      </c>
      <c r="O60" s="6" t="s">
        <v>115</v>
      </c>
      <c r="P60" s="6" t="s">
        <v>115</v>
      </c>
      <c r="Q60" s="6" t="str">
        <f t="shared" si="1"/>
        <v>Ausencia total del riesgo, reevaluar cada 3 años con nueva identificación inicial</v>
      </c>
    </row>
    <row r="61" spans="1:17" ht="43.15">
      <c r="A61" s="61">
        <f>Datos!A60</f>
        <v>59</v>
      </c>
      <c r="B61" s="61" t="str">
        <f>Datos!B60</f>
        <v>Procesos</v>
      </c>
      <c r="C61" s="61" t="str">
        <f>Datos!C60</f>
        <v>Trozado L5</v>
      </c>
      <c r="D61" s="62" t="str">
        <f>Datos!D60</f>
        <v>Traslado de Decomiso</v>
      </c>
      <c r="E61" s="62" t="str">
        <f>Datos!F60</f>
        <v>07:05 - 15:05  15:15 - 00:15</v>
      </c>
      <c r="F61" s="62" t="str">
        <f>Datos!G60</f>
        <v>N/A</v>
      </c>
      <c r="G61" s="62">
        <f>Datos!H60</f>
        <v>2</v>
      </c>
      <c r="H61" s="62">
        <f>Datos!I60</f>
        <v>66</v>
      </c>
      <c r="I61" s="62">
        <f>Datos!J60</f>
        <v>73</v>
      </c>
      <c r="J61" s="6" t="s">
        <v>115</v>
      </c>
      <c r="K61" s="6" t="s">
        <v>115</v>
      </c>
      <c r="L61" s="6" t="s">
        <v>64</v>
      </c>
      <c r="M61" s="6" t="s">
        <v>64</v>
      </c>
      <c r="N61" s="6" t="s">
        <v>115</v>
      </c>
      <c r="O61" s="6" t="s">
        <v>115</v>
      </c>
      <c r="P61" s="6" t="s">
        <v>115</v>
      </c>
      <c r="Q61" s="6" t="str">
        <f t="shared" si="1"/>
        <v>Aplicar identificación avanzada-condición aceptable para cada tipo de factor de riesgo identificado</v>
      </c>
    </row>
    <row r="62" spans="1:17" ht="43.15">
      <c r="A62" s="61">
        <f>Datos!A61</f>
        <v>60</v>
      </c>
      <c r="B62" s="61" t="str">
        <f>Datos!B61</f>
        <v>Procesos</v>
      </c>
      <c r="C62" s="61" t="str">
        <f>Datos!C61</f>
        <v>Trozado L5</v>
      </c>
      <c r="D62" s="62" t="str">
        <f>Datos!D61</f>
        <v>Selección centro ala</v>
      </c>
      <c r="E62" s="62" t="str">
        <f>Datos!F61</f>
        <v>07:05 - 15:05  15:15 - 00:15</v>
      </c>
      <c r="F62" s="62" t="str">
        <f>Datos!G61</f>
        <v>N/A</v>
      </c>
      <c r="G62" s="62">
        <f>Datos!H61</f>
        <v>2</v>
      </c>
      <c r="H62" s="62">
        <f>Datos!I61</f>
        <v>66</v>
      </c>
      <c r="I62" s="62">
        <f>Datos!J61</f>
        <v>73</v>
      </c>
      <c r="J62" s="6" t="s">
        <v>64</v>
      </c>
      <c r="K62" s="6" t="s">
        <v>115</v>
      </c>
      <c r="L62" s="6" t="s">
        <v>115</v>
      </c>
      <c r="M62" s="6" t="s">
        <v>115</v>
      </c>
      <c r="N62" s="6" t="s">
        <v>115</v>
      </c>
      <c r="O62" s="6" t="s">
        <v>115</v>
      </c>
      <c r="P62" s="6" t="s">
        <v>115</v>
      </c>
      <c r="Q62" s="6" t="str">
        <f t="shared" si="1"/>
        <v>Aplicar identificación avanzada-condición aceptable para cada tipo de factor de riesgo identificado</v>
      </c>
    </row>
    <row r="63" spans="1:17" ht="28.9">
      <c r="A63" s="61">
        <f>Datos!A62</f>
        <v>61</v>
      </c>
      <c r="B63" s="61" t="str">
        <f>Datos!B62</f>
        <v>Procesos</v>
      </c>
      <c r="C63" s="61" t="str">
        <f>Datos!C62</f>
        <v>Trozado L5</v>
      </c>
      <c r="D63" s="62" t="str">
        <f>Datos!D62</f>
        <v xml:space="preserve">Selección trutro ala </v>
      </c>
      <c r="E63" s="62" t="str">
        <f>Datos!F62</f>
        <v>07:05 - 15:05  15:15 - 00:15</v>
      </c>
      <c r="F63" s="62" t="str">
        <f>Datos!G62</f>
        <v>N/A</v>
      </c>
      <c r="G63" s="62">
        <f>Datos!H62</f>
        <v>2</v>
      </c>
      <c r="H63" s="62">
        <f>Datos!I62</f>
        <v>66</v>
      </c>
      <c r="I63" s="62">
        <f>Datos!J62</f>
        <v>73</v>
      </c>
      <c r="J63" s="6" t="s">
        <v>115</v>
      </c>
      <c r="K63" s="6" t="s">
        <v>115</v>
      </c>
      <c r="L63" s="6" t="s">
        <v>115</v>
      </c>
      <c r="M63" s="6" t="s">
        <v>115</v>
      </c>
      <c r="N63" s="6" t="s">
        <v>115</v>
      </c>
      <c r="O63" s="6" t="s">
        <v>115</v>
      </c>
      <c r="P63" s="6" t="s">
        <v>115</v>
      </c>
      <c r="Q63" s="6" t="str">
        <f t="shared" si="1"/>
        <v>Ausencia total del riesgo, reevaluar cada 3 años con nueva identificación inicial</v>
      </c>
    </row>
    <row r="64" spans="1:17" ht="43.15">
      <c r="A64" s="61">
        <f>Datos!A63</f>
        <v>62</v>
      </c>
      <c r="B64" s="61" t="str">
        <f>Datos!B63</f>
        <v>Procesos</v>
      </c>
      <c r="C64" s="61" t="str">
        <f>Datos!C63</f>
        <v>Trozado L5</v>
      </c>
      <c r="D64" s="62" t="str">
        <f>Datos!D63</f>
        <v>Mezclas</v>
      </c>
      <c r="E64" s="62" t="str">
        <f>Datos!F63</f>
        <v>07:05 - 15:05  15:15 - 00:15</v>
      </c>
      <c r="F64" s="62" t="str">
        <f>Datos!G63</f>
        <v>N/A</v>
      </c>
      <c r="G64" s="62">
        <f>Datos!H63</f>
        <v>2</v>
      </c>
      <c r="H64" s="62">
        <f>Datos!I63</f>
        <v>66</v>
      </c>
      <c r="I64" s="62">
        <f>Datos!J63</f>
        <v>73</v>
      </c>
      <c r="J64" s="6" t="s">
        <v>64</v>
      </c>
      <c r="K64" s="6" t="s">
        <v>115</v>
      </c>
      <c r="L64" s="6" t="s">
        <v>64</v>
      </c>
      <c r="M64" s="6" t="s">
        <v>64</v>
      </c>
      <c r="N64" s="6" t="s">
        <v>115</v>
      </c>
      <c r="O64" s="6" t="s">
        <v>115</v>
      </c>
      <c r="P64" s="6" t="s">
        <v>115</v>
      </c>
      <c r="Q64" s="6" t="str">
        <f t="shared" si="1"/>
        <v>Aplicar identificación avanzada-condición aceptable para cada tipo de factor de riesgo identificado</v>
      </c>
    </row>
    <row r="65" spans="1:17" ht="43.15">
      <c r="A65" s="61">
        <f>Datos!A64</f>
        <v>63</v>
      </c>
      <c r="B65" s="61" t="str">
        <f>Datos!B64</f>
        <v>Procesos</v>
      </c>
      <c r="C65" s="61" t="str">
        <f>Datos!C64</f>
        <v>Paletizado Fresco</v>
      </c>
      <c r="D65" s="62" t="str">
        <f>Datos!D64</f>
        <v>Embalaje de producto</v>
      </c>
      <c r="E65" s="62" t="str">
        <f>Datos!F64</f>
        <v>06:55 - 14:55 / 14:55 - 00:20</v>
      </c>
      <c r="F65" s="62" t="str">
        <f>Datos!G64</f>
        <v>N/A</v>
      </c>
      <c r="G65" s="62">
        <f>Datos!H64</f>
        <v>2</v>
      </c>
      <c r="H65" s="62">
        <f>Datos!I64</f>
        <v>99</v>
      </c>
      <c r="I65" s="62">
        <f>Datos!J64</f>
        <v>6</v>
      </c>
      <c r="J65" s="6" t="s">
        <v>64</v>
      </c>
      <c r="K65" s="6" t="s">
        <v>115</v>
      </c>
      <c r="L65" s="6" t="s">
        <v>115</v>
      </c>
      <c r="M65" s="6" t="s">
        <v>64</v>
      </c>
      <c r="N65" s="6" t="s">
        <v>115</v>
      </c>
      <c r="O65" s="6" t="s">
        <v>115</v>
      </c>
      <c r="P65" s="6" t="s">
        <v>115</v>
      </c>
      <c r="Q65" s="6" t="str">
        <f t="shared" si="1"/>
        <v>Aplicar identificación avanzada-condición aceptable para cada tipo de factor de riesgo identificado</v>
      </c>
    </row>
    <row r="66" spans="1:17" ht="43.15">
      <c r="A66" s="61">
        <f>Datos!A65</f>
        <v>64</v>
      </c>
      <c r="B66" s="61" t="str">
        <f>Datos!B65</f>
        <v>Procesos</v>
      </c>
      <c r="C66" s="61" t="str">
        <f>Datos!C65</f>
        <v>Deshuesado Trutro</v>
      </c>
      <c r="D66" s="62" t="str">
        <f>Datos!D65</f>
        <v>Despieladora</v>
      </c>
      <c r="E66" s="62">
        <f>Datos!F65</f>
        <v>0</v>
      </c>
      <c r="F66" s="62" t="str">
        <f>Datos!G65</f>
        <v>N/A</v>
      </c>
      <c r="G66" s="62">
        <f>Datos!H65</f>
        <v>2</v>
      </c>
      <c r="H66" s="62">
        <f>Datos!I65</f>
        <v>0</v>
      </c>
      <c r="I66" s="62">
        <f>Datos!J65</f>
        <v>0</v>
      </c>
      <c r="J66" s="6" t="s">
        <v>64</v>
      </c>
      <c r="K66" s="6" t="s">
        <v>115</v>
      </c>
      <c r="L66" s="6" t="s">
        <v>115</v>
      </c>
      <c r="M66" s="6" t="s">
        <v>115</v>
      </c>
      <c r="N66" s="6" t="s">
        <v>115</v>
      </c>
      <c r="O66" s="6" t="s">
        <v>115</v>
      </c>
      <c r="P66" s="6" t="s">
        <v>115</v>
      </c>
      <c r="Q66" s="6" t="str">
        <f t="shared" ref="Q66:Q69" si="2">IF(AND(J66="NO",K66="NO",L66="NO",M66="NO",N66="NO",O66="NO",P66="NO"),"Ausencia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67" spans="1:17" ht="43.15">
      <c r="A67" s="61">
        <f>Datos!A66</f>
        <v>65</v>
      </c>
      <c r="B67" s="61" t="str">
        <f>Datos!B66</f>
        <v>Procesos</v>
      </c>
      <c r="C67" s="61" t="str">
        <f>Datos!C66</f>
        <v>Deshuesado Trutro</v>
      </c>
      <c r="D67" s="62" t="str">
        <f>Datos!D66</f>
        <v>Colgado Trutro</v>
      </c>
      <c r="E67" s="62">
        <f>Datos!F66</f>
        <v>0</v>
      </c>
      <c r="F67" s="62" t="str">
        <f>Datos!G66</f>
        <v>N/A</v>
      </c>
      <c r="G67" s="62">
        <f>Datos!H66</f>
        <v>2</v>
      </c>
      <c r="H67" s="62">
        <f>Datos!I66</f>
        <v>0</v>
      </c>
      <c r="I67" s="62">
        <f>Datos!J66</f>
        <v>0</v>
      </c>
      <c r="J67" s="6" t="s">
        <v>64</v>
      </c>
      <c r="K67" s="6" t="s">
        <v>64</v>
      </c>
      <c r="L67" s="6" t="s">
        <v>115</v>
      </c>
      <c r="M67" s="6" t="s">
        <v>115</v>
      </c>
      <c r="N67" s="6" t="s">
        <v>115</v>
      </c>
      <c r="O67" s="6" t="s">
        <v>115</v>
      </c>
      <c r="P67" s="6" t="s">
        <v>115</v>
      </c>
      <c r="Q67" s="6" t="str">
        <f t="shared" si="2"/>
        <v>Aplicar identificación avanzada-condición aceptable para cada tipo de factor de riesgo identificado</v>
      </c>
    </row>
    <row r="68" spans="1:17" ht="43.15">
      <c r="A68" s="61">
        <f>Datos!A67</f>
        <v>66</v>
      </c>
      <c r="B68" s="61" t="str">
        <f>Datos!B67</f>
        <v>Procesos</v>
      </c>
      <c r="C68" s="61" t="str">
        <f>Datos!C67</f>
        <v>Deshuesado Trutro</v>
      </c>
      <c r="D68" s="62" t="str">
        <f>Datos!D67</f>
        <v>Prolijado</v>
      </c>
      <c r="E68" s="62">
        <f>Datos!F67</f>
        <v>0</v>
      </c>
      <c r="F68" s="62" t="str">
        <f>Datos!G67</f>
        <v>N/A</v>
      </c>
      <c r="G68" s="62">
        <f>Datos!H67</f>
        <v>2</v>
      </c>
      <c r="H68" s="62">
        <f>Datos!I67</f>
        <v>0</v>
      </c>
      <c r="I68" s="62">
        <f>Datos!J67</f>
        <v>0</v>
      </c>
      <c r="J68" s="6" t="s">
        <v>64</v>
      </c>
      <c r="K68" s="6" t="s">
        <v>115</v>
      </c>
      <c r="L68" s="6" t="s">
        <v>115</v>
      </c>
      <c r="M68" s="6" t="s">
        <v>115</v>
      </c>
      <c r="N68" s="6" t="s">
        <v>115</v>
      </c>
      <c r="O68" s="6" t="s">
        <v>115</v>
      </c>
      <c r="P68" s="6" t="s">
        <v>115</v>
      </c>
      <c r="Q68" s="6" t="str">
        <f t="shared" si="2"/>
        <v>Aplicar identificación avanzada-condición aceptable para cada tipo de factor de riesgo identificado</v>
      </c>
    </row>
    <row r="69" spans="1:17" ht="28.9">
      <c r="A69" s="61">
        <f>Datos!A68</f>
        <v>67</v>
      </c>
      <c r="B69" s="61" t="str">
        <f>Datos!B68</f>
        <v>Procesos</v>
      </c>
      <c r="C69" s="61" t="str">
        <f>Datos!C68</f>
        <v>Deshuesado Trutro</v>
      </c>
      <c r="D69" s="62" t="str">
        <f>Datos!D68</f>
        <v>Revision de trutro</v>
      </c>
      <c r="E69" s="62">
        <f>Datos!F68</f>
        <v>0</v>
      </c>
      <c r="F69" s="62" t="str">
        <f>Datos!G68</f>
        <v>N/A</v>
      </c>
      <c r="G69" s="62">
        <f>Datos!H68</f>
        <v>2</v>
      </c>
      <c r="H69" s="62">
        <f>Datos!I68</f>
        <v>0</v>
      </c>
      <c r="I69" s="62">
        <f>Datos!J68</f>
        <v>0</v>
      </c>
      <c r="J69" s="6" t="s">
        <v>115</v>
      </c>
      <c r="K69" s="6" t="s">
        <v>115</v>
      </c>
      <c r="L69" s="6" t="s">
        <v>115</v>
      </c>
      <c r="M69" s="6" t="s">
        <v>115</v>
      </c>
      <c r="N69" s="6" t="s">
        <v>115</v>
      </c>
      <c r="O69" s="6" t="s">
        <v>115</v>
      </c>
      <c r="P69" s="6" t="s">
        <v>115</v>
      </c>
      <c r="Q69" s="6" t="str">
        <f t="shared" si="2"/>
        <v>Ausencia total del riesgo, reevaluar cada 3 años con nueva identificación inicial</v>
      </c>
    </row>
    <row r="70" spans="1:17" ht="43.5">
      <c r="A70" s="61">
        <f>Datos!A69</f>
        <v>68</v>
      </c>
      <c r="B70" s="61" t="str">
        <f>Datos!B69</f>
        <v>Procesos</v>
      </c>
      <c r="C70" s="61" t="str">
        <f>Datos!C69</f>
        <v>Deshuesado Trutro</v>
      </c>
      <c r="D70" s="62" t="str">
        <f>Datos!D69</f>
        <v>Deshuesado Trutro</v>
      </c>
      <c r="E70" s="62">
        <f>Datos!F69</f>
        <v>0</v>
      </c>
      <c r="F70" s="62" t="str">
        <f>Datos!G69</f>
        <v>N/A</v>
      </c>
      <c r="G70" s="62">
        <f>Datos!H69</f>
        <v>2</v>
      </c>
      <c r="H70" s="62">
        <f>Datos!I69</f>
        <v>0</v>
      </c>
      <c r="I70" s="62">
        <f>Datos!J69</f>
        <v>0</v>
      </c>
      <c r="J70" s="6" t="s">
        <v>64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tr">
        <f t="shared" ref="Q70" si="3">IF(AND(J70="NO",K70="NO",L70="NO",M70="NO",N70="NO",O70="NO",P70="NO"),"Ausencia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71" spans="1:17" ht="15">
      <c r="A71" s="61">
        <f>Datos!A70</f>
        <v>0</v>
      </c>
      <c r="B71" s="61">
        <f>Datos!B70</f>
        <v>0</v>
      </c>
      <c r="C71" s="61">
        <f>Datos!C70</f>
        <v>0</v>
      </c>
      <c r="D71" s="62">
        <f>Datos!D70</f>
        <v>0</v>
      </c>
      <c r="E71" s="62">
        <f>Datos!F70</f>
        <v>0</v>
      </c>
      <c r="F71" s="62">
        <f>Datos!G70</f>
        <v>0</v>
      </c>
      <c r="G71" s="62">
        <f>Datos!H70</f>
        <v>0</v>
      </c>
      <c r="H71" s="62">
        <f>Datos!I70</f>
        <v>0</v>
      </c>
      <c r="I71" s="62">
        <f>Datos!J70</f>
        <v>0</v>
      </c>
    </row>
    <row r="72" spans="1:17">
      <c r="A72" s="61"/>
      <c r="B72" s="61"/>
      <c r="C72" s="61"/>
      <c r="D72" s="62"/>
      <c r="E72" s="62"/>
      <c r="F72" s="62"/>
      <c r="G72" s="62"/>
      <c r="H72" s="62"/>
      <c r="I72" s="62"/>
    </row>
    <row r="73" spans="1:17">
      <c r="A73" s="61"/>
      <c r="B73" s="61"/>
      <c r="C73" s="61"/>
      <c r="D73" s="62"/>
      <c r="E73" s="62"/>
      <c r="F73" s="62"/>
      <c r="G73" s="62"/>
      <c r="H73" s="62"/>
      <c r="I73" s="62"/>
    </row>
    <row r="74" spans="1:17">
      <c r="A74" s="61"/>
      <c r="B74" s="61"/>
      <c r="C74" s="61"/>
      <c r="D74" s="62"/>
      <c r="E74" s="62"/>
      <c r="F74" s="62"/>
      <c r="G74" s="62"/>
      <c r="H74" s="62"/>
      <c r="I74" s="62"/>
    </row>
    <row r="75" spans="1:17">
      <c r="A75" s="61"/>
      <c r="B75" s="61"/>
      <c r="C75" s="61"/>
      <c r="D75" s="62"/>
      <c r="E75" s="62"/>
      <c r="F75" s="62"/>
      <c r="G75" s="62"/>
      <c r="H75" s="62"/>
      <c r="I75" s="62"/>
    </row>
    <row r="76" spans="1:17">
      <c r="A76" s="61"/>
      <c r="B76" s="61"/>
      <c r="C76" s="61"/>
      <c r="D76" s="62"/>
      <c r="E76" s="62"/>
      <c r="F76" s="62"/>
      <c r="G76" s="62"/>
      <c r="H76" s="62"/>
      <c r="I76" s="62"/>
    </row>
    <row r="77" spans="1:17">
      <c r="A77" s="61"/>
      <c r="B77" s="61"/>
      <c r="C77" s="61"/>
      <c r="D77" s="62"/>
      <c r="E77" s="62"/>
      <c r="F77" s="62"/>
      <c r="G77" s="62"/>
      <c r="H77" s="62"/>
      <c r="I77" s="62"/>
    </row>
    <row r="78" spans="1:17">
      <c r="A78" s="61"/>
      <c r="B78" s="61"/>
      <c r="C78" s="61"/>
      <c r="D78" s="62"/>
      <c r="E78" s="62"/>
      <c r="F78" s="62"/>
      <c r="G78" s="62"/>
      <c r="H78" s="62"/>
      <c r="I78" s="62"/>
    </row>
    <row r="79" spans="1:17">
      <c r="A79" s="61"/>
      <c r="B79" s="61"/>
      <c r="C79" s="61"/>
      <c r="D79" s="62"/>
      <c r="E79" s="62"/>
      <c r="F79" s="62"/>
      <c r="G79" s="62"/>
      <c r="H79" s="62"/>
      <c r="I79" s="62"/>
    </row>
    <row r="80" spans="1:17">
      <c r="A80" s="61"/>
      <c r="B80" s="61"/>
      <c r="C80" s="61"/>
      <c r="D80" s="62"/>
      <c r="E80" s="62"/>
      <c r="F80" s="62"/>
      <c r="G80" s="62"/>
      <c r="H80" s="62"/>
      <c r="I80" s="62"/>
    </row>
    <row r="81" spans="1:9">
      <c r="A81" s="61"/>
      <c r="B81" s="61"/>
      <c r="C81" s="61"/>
      <c r="D81" s="62"/>
      <c r="E81" s="62"/>
      <c r="F81" s="62"/>
      <c r="G81" s="62"/>
      <c r="H81" s="62"/>
      <c r="I81" s="62"/>
    </row>
    <row r="82" spans="1:9">
      <c r="A82" s="61"/>
      <c r="B82" s="61"/>
      <c r="C82" s="61"/>
      <c r="D82" s="62"/>
      <c r="E82" s="62"/>
      <c r="F82" s="62"/>
      <c r="G82" s="62"/>
      <c r="H82" s="62"/>
      <c r="I82" s="62"/>
    </row>
    <row r="83" spans="1:9">
      <c r="A83" s="61"/>
      <c r="B83" s="61"/>
      <c r="C83" s="61"/>
      <c r="D83" s="62"/>
      <c r="E83" s="62"/>
      <c r="F83" s="62"/>
      <c r="G83" s="62"/>
      <c r="H83" s="62"/>
      <c r="I83" s="62"/>
    </row>
    <row r="84" spans="1:9">
      <c r="A84" s="61"/>
      <c r="B84" s="61"/>
      <c r="C84" s="61"/>
      <c r="D84" s="62"/>
      <c r="E84" s="62"/>
      <c r="F84" s="62"/>
      <c r="G84" s="62"/>
      <c r="H84" s="62"/>
      <c r="I84" s="62"/>
    </row>
    <row r="85" spans="1:9">
      <c r="A85" s="61"/>
      <c r="B85" s="61"/>
      <c r="C85" s="61"/>
      <c r="D85" s="62"/>
      <c r="E85" s="62"/>
      <c r="F85" s="62"/>
      <c r="G85" s="62"/>
      <c r="H85" s="62"/>
      <c r="I85" s="62"/>
    </row>
    <row r="86" spans="1:9">
      <c r="A86" s="61"/>
      <c r="B86" s="61"/>
      <c r="C86" s="61"/>
      <c r="D86" s="62"/>
      <c r="E86" s="62"/>
      <c r="F86" s="62"/>
      <c r="G86" s="62"/>
      <c r="H86" s="62"/>
      <c r="I86" s="62"/>
    </row>
    <row r="87" spans="1:9">
      <c r="A87" s="61"/>
      <c r="B87" s="61"/>
      <c r="C87" s="61"/>
      <c r="D87" s="62"/>
      <c r="E87" s="62"/>
      <c r="F87" s="62"/>
      <c r="G87" s="62"/>
      <c r="H87" s="62"/>
      <c r="I87" s="62"/>
    </row>
    <row r="88" spans="1:9">
      <c r="A88" s="61"/>
      <c r="B88" s="61"/>
      <c r="C88" s="61"/>
      <c r="D88" s="62"/>
      <c r="E88" s="62"/>
      <c r="F88" s="62"/>
      <c r="G88" s="62"/>
      <c r="H88" s="62"/>
      <c r="I88" s="62"/>
    </row>
    <row r="89" spans="1:9">
      <c r="A89" s="61"/>
      <c r="B89" s="61"/>
      <c r="C89" s="61"/>
      <c r="D89" s="62"/>
      <c r="E89" s="62"/>
      <c r="F89" s="62"/>
      <c r="G89" s="62"/>
      <c r="H89" s="62"/>
      <c r="I89" s="62"/>
    </row>
    <row r="90" spans="1:9">
      <c r="A90" s="61"/>
      <c r="B90" s="61"/>
      <c r="C90" s="61"/>
      <c r="D90" s="62"/>
      <c r="E90" s="62"/>
      <c r="F90" s="62"/>
      <c r="G90" s="62"/>
      <c r="H90" s="62"/>
      <c r="I90" s="62"/>
    </row>
    <row r="91" spans="1:9">
      <c r="A91" s="61"/>
      <c r="B91" s="61"/>
      <c r="C91" s="61"/>
      <c r="D91" s="62"/>
      <c r="E91" s="62"/>
      <c r="F91" s="62"/>
      <c r="G91" s="62"/>
      <c r="H91" s="62"/>
      <c r="I91" s="62"/>
    </row>
    <row r="92" spans="1:9">
      <c r="A92" s="61"/>
      <c r="B92" s="61"/>
      <c r="C92" s="61"/>
      <c r="D92" s="62"/>
      <c r="E92" s="62"/>
      <c r="F92" s="62"/>
      <c r="G92" s="62"/>
      <c r="H92" s="62"/>
      <c r="I92" s="62"/>
    </row>
    <row r="93" spans="1:9">
      <c r="A93" s="61"/>
      <c r="B93" s="61"/>
      <c r="C93" s="61"/>
      <c r="D93" s="62"/>
      <c r="E93" s="62"/>
      <c r="F93" s="62"/>
      <c r="G93" s="62"/>
      <c r="H93" s="62"/>
      <c r="I93" s="62"/>
    </row>
    <row r="94" spans="1:9">
      <c r="A94" s="61"/>
      <c r="B94" s="61"/>
      <c r="C94" s="61"/>
      <c r="D94" s="62"/>
      <c r="E94" s="62"/>
      <c r="F94" s="62"/>
      <c r="G94" s="62"/>
      <c r="H94" s="62"/>
      <c r="I94" s="62"/>
    </row>
    <row r="95" spans="1:9">
      <c r="A95" s="61"/>
      <c r="B95" s="61"/>
      <c r="C95" s="61"/>
      <c r="D95" s="62"/>
      <c r="E95" s="62"/>
      <c r="F95" s="62"/>
      <c r="G95" s="62"/>
      <c r="H95" s="62"/>
      <c r="I95" s="62"/>
    </row>
    <row r="96" spans="1:9">
      <c r="A96" s="61"/>
      <c r="B96" s="61"/>
      <c r="C96" s="61"/>
      <c r="D96" s="62"/>
      <c r="E96" s="62"/>
      <c r="F96" s="62"/>
      <c r="G96" s="62"/>
      <c r="H96" s="62"/>
      <c r="I96" s="62"/>
    </row>
    <row r="97" spans="1:9">
      <c r="A97" s="61"/>
      <c r="B97" s="61"/>
      <c r="C97" s="61"/>
      <c r="D97" s="62"/>
      <c r="E97" s="62"/>
      <c r="F97" s="62"/>
      <c r="G97" s="62"/>
      <c r="H97" s="62"/>
      <c r="I97" s="62"/>
    </row>
    <row r="98" spans="1:9">
      <c r="A98" s="61"/>
      <c r="B98" s="61"/>
      <c r="C98" s="61"/>
      <c r="D98" s="62"/>
      <c r="E98" s="62"/>
      <c r="F98" s="62"/>
      <c r="G98" s="62"/>
      <c r="H98" s="62"/>
      <c r="I98" s="62"/>
    </row>
    <row r="99" spans="1:9">
      <c r="A99" s="61"/>
      <c r="B99" s="61"/>
      <c r="C99" s="61"/>
      <c r="D99" s="62"/>
      <c r="E99" s="62"/>
      <c r="F99" s="62"/>
      <c r="G99" s="62"/>
      <c r="H99" s="62"/>
      <c r="I99" s="62"/>
    </row>
    <row r="100" spans="1:9">
      <c r="A100" s="61"/>
      <c r="B100" s="61"/>
      <c r="C100" s="61"/>
      <c r="D100" s="62"/>
      <c r="E100" s="62"/>
      <c r="F100" s="62"/>
      <c r="G100" s="62"/>
      <c r="H100" s="62"/>
      <c r="I100" s="62"/>
    </row>
    <row r="101" spans="1:9">
      <c r="A101" s="61"/>
      <c r="B101" s="61"/>
      <c r="C101" s="61"/>
      <c r="D101" s="62"/>
      <c r="E101" s="62"/>
      <c r="F101" s="62"/>
      <c r="G101" s="62"/>
      <c r="H101" s="62"/>
      <c r="I101" s="62"/>
    </row>
    <row r="102" spans="1:9">
      <c r="A102" s="61"/>
      <c r="B102" s="61"/>
      <c r="C102" s="61"/>
      <c r="D102" s="62"/>
      <c r="E102" s="62"/>
      <c r="F102" s="62"/>
      <c r="G102" s="62"/>
      <c r="H102" s="62"/>
      <c r="I102" s="62"/>
    </row>
    <row r="103" spans="1:9">
      <c r="A103" s="61"/>
      <c r="B103" s="61"/>
      <c r="C103" s="61"/>
      <c r="D103" s="62"/>
      <c r="E103" s="62"/>
      <c r="F103" s="62"/>
      <c r="G103" s="62"/>
      <c r="H103" s="62"/>
      <c r="I103" s="62"/>
    </row>
    <row r="104" spans="1:9">
      <c r="A104" s="61"/>
      <c r="B104" s="61"/>
      <c r="C104" s="61"/>
      <c r="D104" s="62"/>
      <c r="E104" s="62"/>
      <c r="F104" s="62"/>
      <c r="G104" s="62"/>
      <c r="H104" s="62"/>
      <c r="I104" s="62"/>
    </row>
    <row r="105" spans="1:9">
      <c r="A105" s="61"/>
      <c r="B105" s="61"/>
      <c r="C105" s="61"/>
      <c r="D105" s="62"/>
      <c r="E105" s="62"/>
      <c r="F105" s="62"/>
      <c r="G105" s="62"/>
      <c r="H105" s="62"/>
      <c r="I105" s="62"/>
    </row>
    <row r="106" spans="1:9">
      <c r="A106" s="61"/>
      <c r="B106" s="61"/>
      <c r="C106" s="61"/>
      <c r="D106" s="62"/>
      <c r="E106" s="62"/>
      <c r="F106" s="62"/>
      <c r="G106" s="62"/>
      <c r="H106" s="62"/>
      <c r="I106" s="62"/>
    </row>
    <row r="107" spans="1:9">
      <c r="A107" s="61"/>
      <c r="B107" s="61"/>
      <c r="C107" s="61"/>
      <c r="D107" s="62"/>
      <c r="E107" s="62"/>
      <c r="F107" s="62"/>
      <c r="G107" s="62"/>
      <c r="H107" s="62"/>
      <c r="I107" s="62"/>
    </row>
    <row r="108" spans="1:9">
      <c r="A108" s="61"/>
      <c r="B108" s="61"/>
      <c r="C108" s="61"/>
      <c r="D108" s="62"/>
      <c r="E108" s="62"/>
      <c r="F108" s="62"/>
      <c r="G108" s="62"/>
      <c r="H108" s="62"/>
      <c r="I108" s="62"/>
    </row>
    <row r="109" spans="1:9">
      <c r="A109" s="61"/>
      <c r="B109" s="61"/>
      <c r="C109" s="61"/>
      <c r="D109" s="62"/>
      <c r="E109" s="62"/>
      <c r="F109" s="62"/>
      <c r="G109" s="62"/>
      <c r="H109" s="62"/>
      <c r="I109" s="62"/>
    </row>
    <row r="110" spans="1:9">
      <c r="A110" s="61"/>
      <c r="B110" s="61"/>
      <c r="C110" s="61"/>
      <c r="D110" s="62"/>
      <c r="E110" s="62"/>
      <c r="F110" s="62"/>
      <c r="G110" s="62"/>
      <c r="H110" s="62"/>
      <c r="I110" s="62"/>
    </row>
    <row r="111" spans="1:9">
      <c r="A111" s="61"/>
      <c r="B111" s="61"/>
      <c r="C111" s="61"/>
      <c r="D111" s="62"/>
      <c r="E111" s="62"/>
      <c r="F111" s="62"/>
      <c r="G111" s="62"/>
      <c r="H111" s="62"/>
      <c r="I111" s="62"/>
    </row>
    <row r="112" spans="1:9">
      <c r="A112" s="61"/>
      <c r="B112" s="61"/>
      <c r="C112" s="61"/>
      <c r="D112" s="62"/>
      <c r="E112" s="62"/>
      <c r="F112" s="62"/>
      <c r="G112" s="62"/>
      <c r="H112" s="62"/>
      <c r="I112" s="62"/>
    </row>
    <row r="113" spans="1:9">
      <c r="A113" s="61"/>
      <c r="B113" s="61"/>
      <c r="C113" s="61"/>
      <c r="D113" s="62"/>
      <c r="E113" s="62"/>
      <c r="F113" s="62"/>
      <c r="G113" s="62"/>
      <c r="H113" s="62"/>
      <c r="I113" s="62"/>
    </row>
    <row r="114" spans="1:9">
      <c r="A114" s="61"/>
      <c r="B114" s="61"/>
      <c r="C114" s="61"/>
      <c r="D114" s="62"/>
      <c r="E114" s="62"/>
      <c r="F114" s="62"/>
      <c r="G114" s="62"/>
      <c r="H114" s="62"/>
      <c r="I114" s="62"/>
    </row>
    <row r="115" spans="1:9">
      <c r="A115" s="61"/>
      <c r="B115" s="61"/>
      <c r="C115" s="61"/>
      <c r="D115" s="62"/>
      <c r="E115" s="62"/>
      <c r="F115" s="62"/>
      <c r="G115" s="62"/>
      <c r="H115" s="62"/>
      <c r="I115" s="62"/>
    </row>
    <row r="116" spans="1:9">
      <c r="A116" s="61"/>
      <c r="B116" s="61"/>
      <c r="C116" s="61"/>
      <c r="D116" s="62"/>
      <c r="E116" s="62"/>
      <c r="F116" s="62"/>
      <c r="G116" s="62"/>
      <c r="H116" s="62"/>
      <c r="I116" s="62"/>
    </row>
    <row r="117" spans="1:9">
      <c r="A117" s="61"/>
      <c r="B117" s="61"/>
      <c r="C117" s="61"/>
      <c r="D117" s="62"/>
      <c r="E117" s="62"/>
      <c r="F117" s="62"/>
      <c r="G117" s="62"/>
      <c r="H117" s="62"/>
      <c r="I117" s="62"/>
    </row>
    <row r="118" spans="1:9">
      <c r="A118" s="61"/>
      <c r="B118" s="61"/>
      <c r="C118" s="61"/>
      <c r="D118" s="62"/>
      <c r="E118" s="62"/>
      <c r="F118" s="62"/>
      <c r="G118" s="62"/>
      <c r="H118" s="62"/>
      <c r="I118" s="62"/>
    </row>
    <row r="119" spans="1:9">
      <c r="A119" s="61"/>
      <c r="B119" s="61"/>
      <c r="C119" s="61"/>
      <c r="D119" s="62"/>
      <c r="E119" s="62"/>
      <c r="F119" s="62"/>
      <c r="G119" s="62"/>
      <c r="H119" s="62"/>
      <c r="I119" s="62"/>
    </row>
    <row r="120" spans="1:9">
      <c r="A120" s="61"/>
      <c r="B120" s="61"/>
      <c r="C120" s="61"/>
      <c r="D120" s="62"/>
      <c r="E120" s="62"/>
      <c r="F120" s="62"/>
      <c r="G120" s="62"/>
      <c r="H120" s="62"/>
      <c r="I120" s="62"/>
    </row>
    <row r="121" spans="1:9">
      <c r="A121" s="61"/>
      <c r="B121" s="61"/>
      <c r="C121" s="61"/>
      <c r="D121" s="62"/>
      <c r="E121" s="62"/>
      <c r="F121" s="62"/>
      <c r="G121" s="62"/>
      <c r="H121" s="62"/>
      <c r="I121" s="62"/>
    </row>
    <row r="122" spans="1:9">
      <c r="A122" s="61"/>
      <c r="B122" s="61"/>
      <c r="C122" s="61"/>
      <c r="D122" s="62"/>
      <c r="E122" s="62"/>
      <c r="F122" s="62"/>
      <c r="G122" s="62"/>
      <c r="H122" s="62"/>
      <c r="I122" s="62"/>
    </row>
    <row r="123" spans="1:9">
      <c r="A123" s="61"/>
      <c r="B123" s="61"/>
      <c r="C123" s="61"/>
      <c r="D123" s="62"/>
      <c r="E123" s="62"/>
      <c r="F123" s="62"/>
      <c r="G123" s="62"/>
      <c r="H123" s="62"/>
      <c r="I123" s="62"/>
    </row>
    <row r="124" spans="1:9">
      <c r="A124" s="61"/>
      <c r="B124" s="61"/>
      <c r="C124" s="61"/>
      <c r="D124" s="62"/>
      <c r="E124" s="62"/>
      <c r="F124" s="62"/>
      <c r="G124" s="62"/>
      <c r="H124" s="62"/>
      <c r="I124" s="62"/>
    </row>
    <row r="125" spans="1:9">
      <c r="A125" s="61"/>
      <c r="B125" s="61"/>
      <c r="C125" s="61"/>
      <c r="D125" s="62"/>
      <c r="E125" s="62"/>
      <c r="F125" s="62"/>
      <c r="G125" s="62"/>
      <c r="H125" s="62"/>
      <c r="I125" s="62"/>
    </row>
    <row r="126" spans="1:9">
      <c r="A126" s="61"/>
      <c r="B126" s="61"/>
      <c r="C126" s="61"/>
      <c r="D126" s="62"/>
      <c r="E126" s="62"/>
      <c r="F126" s="62"/>
      <c r="G126" s="62"/>
      <c r="H126" s="62"/>
      <c r="I126" s="62"/>
    </row>
    <row r="127" spans="1:9">
      <c r="A127" s="61"/>
      <c r="B127" s="61"/>
      <c r="C127" s="61"/>
      <c r="D127" s="62"/>
      <c r="E127" s="62"/>
      <c r="F127" s="62"/>
      <c r="G127" s="62"/>
      <c r="H127" s="62"/>
      <c r="I127" s="62"/>
    </row>
    <row r="128" spans="1:9">
      <c r="A128" s="61"/>
      <c r="B128" s="61"/>
      <c r="C128" s="61"/>
      <c r="D128" s="62"/>
      <c r="E128" s="62"/>
      <c r="F128" s="62"/>
      <c r="G128" s="62"/>
      <c r="H128" s="62"/>
      <c r="I128" s="62"/>
    </row>
    <row r="129" spans="1:9">
      <c r="A129" s="61"/>
      <c r="B129" s="61"/>
      <c r="C129" s="61"/>
      <c r="D129" s="62"/>
      <c r="E129" s="62"/>
      <c r="F129" s="62"/>
      <c r="G129" s="62"/>
      <c r="H129" s="62"/>
      <c r="I129" s="62"/>
    </row>
    <row r="130" spans="1:9">
      <c r="A130" s="61"/>
      <c r="B130" s="61"/>
      <c r="C130" s="61"/>
      <c r="D130" s="62"/>
      <c r="E130" s="62"/>
      <c r="F130" s="62"/>
      <c r="G130" s="62"/>
      <c r="H130" s="62"/>
      <c r="I130" s="62"/>
    </row>
    <row r="131" spans="1:9">
      <c r="A131" s="61"/>
      <c r="B131" s="61"/>
      <c r="C131" s="61"/>
      <c r="D131" s="62"/>
      <c r="E131" s="62"/>
      <c r="F131" s="62"/>
      <c r="G131" s="62"/>
      <c r="H131" s="62"/>
      <c r="I131" s="62"/>
    </row>
    <row r="132" spans="1:9">
      <c r="A132" s="61"/>
      <c r="B132" s="61"/>
      <c r="C132" s="61"/>
      <c r="D132" s="62"/>
      <c r="E132" s="62"/>
      <c r="F132" s="62"/>
      <c r="G132" s="62"/>
      <c r="H132" s="62"/>
      <c r="I132" s="62"/>
    </row>
    <row r="133" spans="1:9">
      <c r="A133" s="61"/>
      <c r="B133" s="61"/>
      <c r="C133" s="61"/>
      <c r="D133" s="62"/>
      <c r="E133" s="62"/>
      <c r="F133" s="62"/>
      <c r="G133" s="62"/>
      <c r="H133" s="62"/>
      <c r="I133" s="62"/>
    </row>
    <row r="134" spans="1:9">
      <c r="A134" s="61"/>
      <c r="B134" s="61"/>
      <c r="C134" s="61"/>
      <c r="D134" s="62"/>
      <c r="E134" s="62"/>
      <c r="F134" s="62"/>
      <c r="G134" s="62"/>
      <c r="H134" s="62"/>
      <c r="I134" s="62"/>
    </row>
    <row r="135" spans="1:9">
      <c r="A135" s="61"/>
      <c r="B135" s="61"/>
      <c r="C135" s="61"/>
      <c r="D135" s="62"/>
      <c r="E135" s="62"/>
      <c r="F135" s="62"/>
      <c r="G135" s="62"/>
      <c r="H135" s="62"/>
      <c r="I135" s="62"/>
    </row>
    <row r="136" spans="1:9">
      <c r="A136" s="61"/>
      <c r="B136" s="61"/>
      <c r="C136" s="61"/>
      <c r="D136" s="62"/>
      <c r="E136" s="62"/>
      <c r="F136" s="62"/>
      <c r="G136" s="62"/>
      <c r="H136" s="62"/>
      <c r="I136" s="62"/>
    </row>
    <row r="137" spans="1:9">
      <c r="A137" s="61"/>
      <c r="B137" s="61"/>
      <c r="C137" s="61"/>
      <c r="D137" s="62"/>
      <c r="E137" s="62"/>
      <c r="F137" s="62"/>
      <c r="G137" s="62"/>
      <c r="H137" s="62"/>
      <c r="I137" s="62"/>
    </row>
    <row r="138" spans="1:9">
      <c r="A138" s="61"/>
      <c r="B138" s="61"/>
      <c r="C138" s="61"/>
      <c r="D138" s="62"/>
      <c r="E138" s="62"/>
      <c r="F138" s="62"/>
      <c r="G138" s="62"/>
      <c r="H138" s="62"/>
      <c r="I138" s="62"/>
    </row>
    <row r="139" spans="1:9">
      <c r="A139" s="61"/>
      <c r="B139" s="61"/>
      <c r="C139" s="61"/>
      <c r="D139" s="62"/>
      <c r="E139" s="62"/>
      <c r="F139" s="62"/>
      <c r="G139" s="62"/>
      <c r="H139" s="62"/>
      <c r="I139" s="62"/>
    </row>
    <row r="140" spans="1:9">
      <c r="A140" s="61"/>
      <c r="B140" s="61"/>
      <c r="C140" s="61"/>
      <c r="D140" s="62"/>
      <c r="E140" s="62"/>
      <c r="F140" s="62"/>
      <c r="G140" s="62"/>
      <c r="H140" s="62"/>
      <c r="I140" s="62"/>
    </row>
    <row r="141" spans="1:9">
      <c r="A141" s="61"/>
      <c r="B141" s="61"/>
      <c r="C141" s="61"/>
      <c r="D141" s="62"/>
      <c r="E141" s="62"/>
      <c r="F141" s="62"/>
      <c r="G141" s="62"/>
      <c r="H141" s="62"/>
      <c r="I141" s="62"/>
    </row>
    <row r="142" spans="1:9">
      <c r="A142" s="61"/>
      <c r="B142" s="61"/>
      <c r="C142" s="61"/>
      <c r="D142" s="62"/>
      <c r="E142" s="62"/>
      <c r="F142" s="62"/>
      <c r="G142" s="62"/>
      <c r="H142" s="62"/>
      <c r="I142" s="62"/>
    </row>
    <row r="143" spans="1:9">
      <c r="A143" s="61"/>
      <c r="B143" s="61"/>
      <c r="C143" s="61"/>
      <c r="D143" s="62"/>
      <c r="E143" s="62"/>
      <c r="F143" s="62"/>
      <c r="G143" s="62"/>
      <c r="H143" s="62"/>
      <c r="I143" s="62"/>
    </row>
    <row r="144" spans="1:9">
      <c r="A144" s="61"/>
      <c r="B144" s="61"/>
      <c r="C144" s="61"/>
      <c r="D144" s="62"/>
      <c r="E144" s="62"/>
      <c r="F144" s="62"/>
      <c r="G144" s="62"/>
      <c r="H144" s="62"/>
      <c r="I144" s="62"/>
    </row>
    <row r="145" spans="1:9">
      <c r="A145" s="61"/>
      <c r="B145" s="61"/>
      <c r="C145" s="61"/>
      <c r="D145" s="62"/>
      <c r="E145" s="62"/>
      <c r="F145" s="62"/>
      <c r="G145" s="62"/>
      <c r="H145" s="62"/>
      <c r="I145" s="62"/>
    </row>
    <row r="146" spans="1:9">
      <c r="A146" s="61"/>
      <c r="B146" s="61"/>
      <c r="C146" s="61"/>
      <c r="D146" s="62"/>
      <c r="E146" s="62"/>
      <c r="F146" s="62"/>
      <c r="G146" s="62"/>
      <c r="H146" s="62"/>
      <c r="I146" s="62"/>
    </row>
    <row r="147" spans="1:9">
      <c r="A147" s="61"/>
      <c r="B147" s="61"/>
      <c r="C147" s="61"/>
      <c r="D147" s="62"/>
      <c r="E147" s="62"/>
      <c r="F147" s="62"/>
      <c r="G147" s="62"/>
      <c r="H147" s="62"/>
      <c r="I147" s="62"/>
    </row>
    <row r="148" spans="1:9">
      <c r="A148" s="61"/>
      <c r="B148" s="61"/>
      <c r="C148" s="61"/>
      <c r="D148" s="62"/>
      <c r="E148" s="62"/>
      <c r="F148" s="62"/>
      <c r="G148" s="62"/>
      <c r="H148" s="62"/>
      <c r="I148" s="62"/>
    </row>
    <row r="149" spans="1:9">
      <c r="A149" s="61"/>
      <c r="B149" s="61"/>
      <c r="C149" s="61"/>
      <c r="D149" s="62"/>
      <c r="E149" s="62"/>
      <c r="F149" s="62"/>
      <c r="G149" s="62"/>
      <c r="H149" s="62"/>
      <c r="I149" s="62"/>
    </row>
    <row r="150" spans="1:9">
      <c r="A150" s="61"/>
      <c r="B150" s="61"/>
      <c r="C150" s="61"/>
      <c r="D150" s="62"/>
      <c r="E150" s="62"/>
      <c r="F150" s="62"/>
      <c r="G150" s="62"/>
      <c r="H150" s="62"/>
      <c r="I150" s="62"/>
    </row>
    <row r="151" spans="1:9">
      <c r="A151" s="61"/>
      <c r="B151" s="61"/>
      <c r="C151" s="61"/>
      <c r="D151" s="62"/>
      <c r="E151" s="62"/>
      <c r="F151" s="62"/>
      <c r="G151" s="62"/>
      <c r="H151" s="62"/>
      <c r="I151" s="62"/>
    </row>
    <row r="152" spans="1:9">
      <c r="A152" s="61"/>
      <c r="B152" s="61"/>
      <c r="C152" s="61"/>
      <c r="D152" s="62"/>
      <c r="E152" s="62"/>
      <c r="F152" s="62"/>
      <c r="G152" s="62"/>
      <c r="H152" s="62"/>
      <c r="I152" s="62"/>
    </row>
    <row r="153" spans="1:9">
      <c r="A153" s="61"/>
      <c r="B153" s="61"/>
      <c r="C153" s="61"/>
      <c r="D153" s="62"/>
      <c r="E153" s="62"/>
      <c r="F153" s="62"/>
      <c r="G153" s="62"/>
      <c r="H153" s="62"/>
      <c r="I153" s="62"/>
    </row>
    <row r="154" spans="1:9">
      <c r="A154" s="61"/>
      <c r="B154" s="61"/>
      <c r="C154" s="61"/>
      <c r="D154" s="62"/>
      <c r="E154" s="62"/>
      <c r="F154" s="62"/>
      <c r="G154" s="62"/>
      <c r="H154" s="62"/>
      <c r="I154" s="62"/>
    </row>
    <row r="155" spans="1:9">
      <c r="A155" s="61"/>
      <c r="B155" s="61"/>
      <c r="C155" s="61"/>
      <c r="D155" s="62"/>
      <c r="E155" s="62"/>
      <c r="F155" s="62"/>
      <c r="G155" s="62"/>
      <c r="H155" s="62"/>
      <c r="I155" s="62"/>
    </row>
    <row r="156" spans="1:9">
      <c r="A156" s="61"/>
      <c r="B156" s="61"/>
      <c r="C156" s="61"/>
      <c r="D156" s="62"/>
      <c r="E156" s="62"/>
      <c r="F156" s="62"/>
      <c r="G156" s="62"/>
      <c r="H156" s="62"/>
      <c r="I156" s="62"/>
    </row>
    <row r="157" spans="1:9">
      <c r="A157" s="61"/>
      <c r="B157" s="61"/>
      <c r="C157" s="61"/>
      <c r="D157" s="62"/>
      <c r="E157" s="62"/>
      <c r="F157" s="62"/>
      <c r="G157" s="62"/>
      <c r="H157" s="62"/>
      <c r="I157" s="62"/>
    </row>
    <row r="158" spans="1:9">
      <c r="A158" s="61"/>
      <c r="B158" s="61"/>
      <c r="C158" s="61"/>
      <c r="D158" s="62"/>
      <c r="E158" s="62"/>
      <c r="F158" s="62"/>
      <c r="G158" s="62"/>
      <c r="H158" s="62"/>
      <c r="I158" s="62"/>
    </row>
    <row r="159" spans="1:9">
      <c r="A159" s="61"/>
      <c r="B159" s="61"/>
      <c r="C159" s="61"/>
      <c r="D159" s="62"/>
      <c r="E159" s="62"/>
      <c r="F159" s="62"/>
      <c r="G159" s="62"/>
      <c r="H159" s="62"/>
      <c r="I159" s="62"/>
    </row>
    <row r="160" spans="1:9">
      <c r="A160" s="61"/>
      <c r="B160" s="61"/>
      <c r="C160" s="61"/>
      <c r="D160" s="62"/>
      <c r="E160" s="62"/>
      <c r="F160" s="62"/>
      <c r="G160" s="62"/>
      <c r="H160" s="62"/>
      <c r="I160" s="62"/>
    </row>
    <row r="161" spans="1:9">
      <c r="A161" s="61"/>
      <c r="B161" s="61"/>
      <c r="C161" s="61"/>
      <c r="D161" s="62"/>
      <c r="E161" s="62"/>
      <c r="F161" s="62"/>
      <c r="G161" s="62"/>
      <c r="H161" s="62"/>
      <c r="I161" s="62"/>
    </row>
    <row r="162" spans="1:9">
      <c r="A162" s="61"/>
      <c r="B162" s="61"/>
      <c r="C162" s="61"/>
      <c r="D162" s="62"/>
      <c r="E162" s="62"/>
      <c r="F162" s="62"/>
      <c r="G162" s="62"/>
      <c r="H162" s="62"/>
      <c r="I162" s="62"/>
    </row>
    <row r="163" spans="1:9">
      <c r="A163" s="61"/>
      <c r="B163" s="61"/>
      <c r="C163" s="61"/>
      <c r="D163" s="62"/>
      <c r="E163" s="62"/>
      <c r="F163" s="62"/>
      <c r="G163" s="62"/>
      <c r="H163" s="62"/>
      <c r="I163" s="62"/>
    </row>
    <row r="164" spans="1:9">
      <c r="A164" s="61"/>
      <c r="B164" s="61"/>
      <c r="C164" s="61"/>
      <c r="D164" s="62"/>
      <c r="E164" s="62"/>
      <c r="F164" s="62"/>
      <c r="G164" s="62"/>
      <c r="H164" s="62"/>
      <c r="I164" s="62"/>
    </row>
    <row r="165" spans="1:9" ht="15"/>
    <row r="166" spans="1:9" ht="15"/>
    <row r="167" spans="1:9" ht="15"/>
  </sheetData>
  <autoFilter ref="A1:Q69" xr:uid="{D8B39275-0DD8-436C-88F7-F23C5AB6D84C}"/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69">
    <cfRule type="cellIs" dxfId="67" priority="5" operator="equal">
      <formula>"SI"</formula>
    </cfRule>
    <cfRule type="cellIs" dxfId="66" priority="6" operator="equal">
      <formula>"NO"</formula>
    </cfRule>
  </conditionalFormatting>
  <conditionalFormatting sqref="Q3:Q70">
    <cfRule type="cellIs" dxfId="65" priority="3" operator="equal">
      <formula>"Aplicar identificación avanzada-condición aceptable para cada tipo de factor de riesgo identificado"</formula>
    </cfRule>
    <cfRule type="cellIs" dxfId="64" priority="4" operator="equal">
      <formula>"Ausencia total del riesgo, reevaluar cada 3 años con nueva identificación inicial"</formula>
    </cfRule>
  </conditionalFormatting>
  <conditionalFormatting sqref="J70:P70">
    <cfRule type="cellIs" dxfId="63" priority="1" operator="equal">
      <formula>"SI"</formula>
    </cfRule>
    <cfRule type="cellIs" dxfId="62" priority="2" operator="equal">
      <formula>"NO"</formula>
    </cfRule>
  </conditionalFormatting>
  <dataValidations count="1">
    <dataValidation type="list" allowBlank="1" showInputMessage="1" showErrorMessage="1" sqref="J3:P70" xr:uid="{070143B6-A02F-4E94-99E6-D443BF1ACD06}">
      <formula1>"SI,NO"</formula1>
    </dataValidation>
  </dataValidations>
  <hyperlinks>
    <hyperlink ref="J1" location="'Mov. Rep.'!A1" display="Trabajo repetitivo de miembros superiores." xr:uid="{C278CB3E-8BAB-491F-BD58-3B1B6D687447}"/>
    <hyperlink ref="K1" location="'Postura estatica'!A1" display="Postura de trabajo estática" xr:uid="{C90E2BFA-56A8-4F17-947D-520CB4851518}"/>
    <hyperlink ref="L1" location="'MMC Levantamiento-Descenso'!A1" display="MMC Levantamiento/Descenso" xr:uid="{1D188B20-191C-43CA-B0D6-C39915013E36}"/>
    <hyperlink ref="M1" location="'MMC Empuje-Arrastre '!A1" display="MMC Empuje/Arrastre" xr:uid="{41BCF3A7-C074-4E12-848F-BF5431ED3D07}"/>
    <hyperlink ref="N1" location="'Manejo manual PCTS'!A1" display="Manejo manual de pacientes / personas" xr:uid="{FC37D2E4-C7FE-4991-BEEE-8E4D2A83679B}"/>
    <hyperlink ref="O1" location="'Vibración Cuerpo completo'!A1" display="Vibración de cuerpo completo" xr:uid="{F222F7AB-B22E-4832-AC4D-559D2D66770D}"/>
    <hyperlink ref="P1" location="'Vibración Mano-Brazo'!A1" display="Vibración segmento mano – brazo" xr:uid="{7E3204CB-B9E3-4326-BBB8-F3C656DAE6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sheetPr filterMode="1"/>
  <dimension ref="A1:AC264"/>
  <sheetViews>
    <sheetView tabSelected="1" zoomScaleNormal="100" workbookViewId="0">
      <pane xSplit="4" ySplit="2" topLeftCell="S3" activePane="bottomRight" state="frozen"/>
      <selection pane="bottomRight" activeCell="W3" sqref="W2:W3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55" customWidth="1"/>
    <col min="2" max="3" width="11.5703125" style="56" customWidth="1"/>
    <col min="4" max="4" width="16.7109375" style="58" customWidth="1"/>
    <col min="5" max="5" width="13.5703125" style="59" customWidth="1"/>
    <col min="6" max="6" width="11.5703125" style="56"/>
    <col min="7" max="8" width="11.5703125" style="57"/>
    <col min="9" max="9" width="11.5703125" style="60" customWidth="1"/>
    <col min="10" max="10" width="23.28515625" style="45" customWidth="1"/>
    <col min="11" max="11" width="28.7109375" style="6" customWidth="1"/>
    <col min="12" max="12" width="32" style="6" customWidth="1"/>
    <col min="13" max="13" width="18.85546875" style="6" customWidth="1"/>
    <col min="14" max="14" width="18.140625" style="6" customWidth="1"/>
    <col min="15" max="15" width="12.140625" style="6" customWidth="1"/>
    <col min="16" max="16" width="10.42578125" style="6" customWidth="1"/>
    <col min="17" max="17" width="22" style="6" customWidth="1"/>
    <col min="18" max="18" width="25.42578125" style="6" customWidth="1"/>
    <col min="19" max="19" width="20.28515625" style="6" customWidth="1"/>
    <col min="20" max="20" width="29.28515625" style="6" customWidth="1"/>
    <col min="21" max="21" width="16.85546875" style="6" customWidth="1"/>
    <col min="22" max="22" width="17.28515625" style="6" customWidth="1"/>
    <col min="23" max="24" width="11.5703125" style="6"/>
    <col min="25" max="28" width="11.5703125" style="39"/>
    <col min="29" max="29" width="11.5703125" style="1"/>
  </cols>
  <sheetData>
    <row r="1" spans="1:29" ht="21" customHeight="1" thickBot="1">
      <c r="A1" s="132" t="s">
        <v>305</v>
      </c>
      <c r="B1" s="133"/>
      <c r="C1" s="133"/>
      <c r="D1" s="133"/>
      <c r="E1" s="133"/>
      <c r="F1" s="135" t="s">
        <v>306</v>
      </c>
      <c r="G1" s="135"/>
      <c r="H1" s="135" t="s">
        <v>307</v>
      </c>
      <c r="I1" s="136"/>
      <c r="J1" s="134" t="s">
        <v>308</v>
      </c>
      <c r="K1" s="134"/>
      <c r="L1" s="134"/>
      <c r="M1" s="134"/>
      <c r="N1" s="134"/>
      <c r="O1" s="134"/>
      <c r="P1" s="134"/>
      <c r="Q1" s="134" t="s">
        <v>309</v>
      </c>
      <c r="R1" s="134"/>
      <c r="S1" s="134"/>
      <c r="T1" s="134"/>
      <c r="U1" s="134"/>
      <c r="V1" s="134"/>
      <c r="W1" s="134"/>
      <c r="X1" s="134" t="s">
        <v>310</v>
      </c>
      <c r="Y1" s="134"/>
      <c r="Z1" s="134"/>
      <c r="AA1" s="134"/>
      <c r="AB1" s="134"/>
    </row>
    <row r="2" spans="1:29" ht="88.15" customHeight="1">
      <c r="A2" s="42" t="s">
        <v>35</v>
      </c>
      <c r="B2" s="43" t="s">
        <v>36</v>
      </c>
      <c r="C2" s="43" t="s">
        <v>37</v>
      </c>
      <c r="D2" s="47" t="s">
        <v>38</v>
      </c>
      <c r="E2" s="46" t="s">
        <v>40</v>
      </c>
      <c r="F2" s="43" t="s">
        <v>311</v>
      </c>
      <c r="G2" s="43" t="s">
        <v>312</v>
      </c>
      <c r="H2" s="43" t="s">
        <v>313</v>
      </c>
      <c r="I2" s="44" t="s">
        <v>314</v>
      </c>
      <c r="J2" s="41" t="s">
        <v>315</v>
      </c>
      <c r="K2" s="40" t="s">
        <v>316</v>
      </c>
      <c r="L2" s="40" t="s">
        <v>317</v>
      </c>
      <c r="M2" s="40" t="s">
        <v>318</v>
      </c>
      <c r="N2" s="40" t="s">
        <v>319</v>
      </c>
      <c r="O2" s="40" t="s">
        <v>320</v>
      </c>
      <c r="P2" s="40" t="s">
        <v>321</v>
      </c>
      <c r="Q2" s="40" t="s">
        <v>322</v>
      </c>
      <c r="R2" s="40" t="s">
        <v>323</v>
      </c>
      <c r="S2" s="40" t="s">
        <v>324</v>
      </c>
      <c r="T2" s="40" t="s">
        <v>325</v>
      </c>
      <c r="U2" s="40" t="s">
        <v>326</v>
      </c>
      <c r="V2" s="40" t="s">
        <v>327</v>
      </c>
      <c r="W2" s="40" t="s">
        <v>328</v>
      </c>
      <c r="X2" s="40" t="s">
        <v>329</v>
      </c>
      <c r="Y2" s="40" t="s">
        <v>330</v>
      </c>
      <c r="Z2" s="40" t="s">
        <v>331</v>
      </c>
      <c r="AA2" s="40" t="s">
        <v>332</v>
      </c>
      <c r="AB2" s="40" t="s">
        <v>333</v>
      </c>
      <c r="AC2" s="40" t="s">
        <v>334</v>
      </c>
    </row>
    <row r="3" spans="1:29" s="5" customFormat="1" ht="34.15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IF(Inicial!J3="SI",Inicial!E3,"N/A")</f>
        <v>07:05 - 15:05 - 15:05 - 00:05</v>
      </c>
      <c r="F3" s="52" t="str">
        <f>IF(Inicial!J3="SI",Inicial!F3,"N/A")</f>
        <v>N/A</v>
      </c>
      <c r="G3" s="52">
        <f>IF(Inicial!J3="SI",Inicial!G3,"N/A")</f>
        <v>2</v>
      </c>
      <c r="H3" s="52">
        <f>IF(Inicial!J3="SI",Inicial!H3,"N/A")</f>
        <v>209</v>
      </c>
      <c r="I3" s="54">
        <f>IF(Inicial!J3="SI",Inicial!I3,"N/A")</f>
        <v>101</v>
      </c>
      <c r="J3" s="45" t="s">
        <v>115</v>
      </c>
      <c r="K3" s="6" t="s">
        <v>64</v>
      </c>
      <c r="L3" s="6" t="s">
        <v>64</v>
      </c>
      <c r="M3" s="6" t="s">
        <v>64</v>
      </c>
      <c r="N3" s="6" t="s">
        <v>64</v>
      </c>
      <c r="O3" s="6" t="s">
        <v>64</v>
      </c>
      <c r="P3" s="6" t="str">
        <f>IF(OR(J3="NO",K3="NO",L3="NO",M3="NO",N3="NO",O3="NO"),"No Aceptable","Aceptable")</f>
        <v>No Aceptable</v>
      </c>
      <c r="Q3" s="6" t="s">
        <v>115</v>
      </c>
      <c r="R3" s="6" t="s">
        <v>115</v>
      </c>
      <c r="S3" s="6" t="s">
        <v>115</v>
      </c>
      <c r="T3" s="6" t="s">
        <v>115</v>
      </c>
      <c r="U3" s="6" t="s">
        <v>115</v>
      </c>
      <c r="V3" s="6" t="s">
        <v>115</v>
      </c>
      <c r="W3" s="6" t="str">
        <f>IF(AND(Q3="NO",R3="NO",S3="NO",T3="NO",U3="NO",V3="NO"),"No Critico","Critico")</f>
        <v>No Critico</v>
      </c>
      <c r="X3" s="6"/>
      <c r="Y3" s="6"/>
      <c r="Z3" s="6"/>
      <c r="AA3" s="6"/>
      <c r="AB3" s="6"/>
      <c r="AC3" s="2"/>
    </row>
    <row r="4" spans="1:29" ht="34.15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IF(Inicial!J4="SI",Inicial!E4,"N/A")</f>
        <v>07:05 - 15:05 - 15:05 - 00:05</v>
      </c>
      <c r="F4" s="52" t="str">
        <f>IF(Inicial!J4="SI",Inicial!F4,"N/A")</f>
        <v>N/A</v>
      </c>
      <c r="G4" s="52">
        <f>IF(Inicial!J4="SI",Inicial!G4,"N/A")</f>
        <v>2</v>
      </c>
      <c r="H4" s="52">
        <f>IF(Inicial!J4="SI",Inicial!H4,"N/A")</f>
        <v>209</v>
      </c>
      <c r="I4" s="54">
        <f>IF(Inicial!J4="SI",Inicial!I4,"N/A")</f>
        <v>101</v>
      </c>
      <c r="J4" s="45" t="s">
        <v>115</v>
      </c>
      <c r="K4" s="6" t="s">
        <v>64</v>
      </c>
      <c r="L4" s="6" t="s">
        <v>64</v>
      </c>
      <c r="M4" s="6" t="s">
        <v>64</v>
      </c>
      <c r="N4" s="6" t="s">
        <v>64</v>
      </c>
      <c r="O4" s="6" t="s">
        <v>64</v>
      </c>
      <c r="P4" s="6" t="str">
        <f t="shared" ref="P4:P59" si="0">IF(OR(J4="NO",K4="NO",L4="NO",M4="NO",N4="NO",O4="NO"),"No Aceptable","Aceptable")</f>
        <v>No Aceptable</v>
      </c>
      <c r="Q4" s="6" t="s">
        <v>115</v>
      </c>
      <c r="R4" s="6" t="s">
        <v>115</v>
      </c>
      <c r="S4" s="6" t="s">
        <v>115</v>
      </c>
      <c r="T4" s="6" t="s">
        <v>115</v>
      </c>
      <c r="U4" s="6" t="s">
        <v>115</v>
      </c>
      <c r="V4" s="6" t="s">
        <v>115</v>
      </c>
      <c r="W4" s="6" t="str">
        <f t="shared" ref="W4:W59" si="1">IF(AND(Q4="NO",R4="NO",S4="NO",T4="NO",U4="NO",V4="NO"),"No Critico","Critico")</f>
        <v>No Critico</v>
      </c>
    </row>
    <row r="5" spans="1:29" ht="34.15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IF(Inicial!J5="SI",Inicial!E5,"N/A")</f>
        <v>07:05 - 15:05 - 15:05 - 00:05</v>
      </c>
      <c r="F5" s="52" t="str">
        <f>IF(Inicial!J5="SI",Inicial!F5,"N/A")</f>
        <v>N/A</v>
      </c>
      <c r="G5" s="52">
        <f>IF(Inicial!J5="SI",Inicial!G5,"N/A")</f>
        <v>2</v>
      </c>
      <c r="H5" s="52">
        <f>IF(Inicial!J5="SI",Inicial!H5,"N/A")</f>
        <v>209</v>
      </c>
      <c r="I5" s="54">
        <f>IF(Inicial!J5="SI",Inicial!I5,"N/A")</f>
        <v>101</v>
      </c>
      <c r="J5" s="45" t="s">
        <v>115</v>
      </c>
      <c r="K5" s="6" t="s">
        <v>64</v>
      </c>
      <c r="L5" s="6" t="s">
        <v>64</v>
      </c>
      <c r="M5" s="6" t="s">
        <v>64</v>
      </c>
      <c r="N5" s="6" t="s">
        <v>64</v>
      </c>
      <c r="O5" s="6" t="s">
        <v>64</v>
      </c>
      <c r="P5" s="6" t="str">
        <f t="shared" si="0"/>
        <v>No Aceptable</v>
      </c>
      <c r="Q5" s="6" t="s">
        <v>115</v>
      </c>
      <c r="R5" s="6" t="s">
        <v>115</v>
      </c>
      <c r="S5" s="6" t="s">
        <v>115</v>
      </c>
      <c r="T5" s="6" t="s">
        <v>115</v>
      </c>
      <c r="U5" s="6" t="s">
        <v>115</v>
      </c>
      <c r="V5" s="6" t="s">
        <v>115</v>
      </c>
      <c r="W5" s="6" t="str">
        <f t="shared" si="1"/>
        <v>No Critico</v>
      </c>
    </row>
    <row r="6" spans="1:29" ht="34.15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IF(Inicial!J6="SI",Inicial!E6,"N/A")</f>
        <v>07:05 - 15:05 - 15:05 - 00:05</v>
      </c>
      <c r="F6" s="52" t="str">
        <f>IF(Inicial!J6="SI",Inicial!F6,"N/A")</f>
        <v>N/A</v>
      </c>
      <c r="G6" s="52">
        <f>IF(Inicial!J6="SI",Inicial!G6,"N/A")</f>
        <v>2</v>
      </c>
      <c r="H6" s="52">
        <f>IF(Inicial!J6="SI",Inicial!H6,"N/A")</f>
        <v>209</v>
      </c>
      <c r="I6" s="54">
        <f>IF(Inicial!J6="SI",Inicial!I6,"N/A")</f>
        <v>101</v>
      </c>
      <c r="J6" s="45" t="s">
        <v>115</v>
      </c>
      <c r="K6" s="6" t="s">
        <v>64</v>
      </c>
      <c r="L6" s="6" t="s">
        <v>64</v>
      </c>
      <c r="M6" s="6" t="s">
        <v>64</v>
      </c>
      <c r="N6" s="6" t="s">
        <v>64</v>
      </c>
      <c r="O6" s="6" t="s">
        <v>64</v>
      </c>
      <c r="P6" s="6" t="str">
        <f t="shared" si="0"/>
        <v>No Aceptable</v>
      </c>
      <c r="Q6" s="6" t="s">
        <v>115</v>
      </c>
      <c r="R6" s="6" t="s">
        <v>115</v>
      </c>
      <c r="S6" s="6" t="s">
        <v>115</v>
      </c>
      <c r="T6" s="6" t="s">
        <v>115</v>
      </c>
      <c r="U6" s="6" t="s">
        <v>115</v>
      </c>
      <c r="V6" s="6" t="s">
        <v>115</v>
      </c>
      <c r="W6" s="6" t="str">
        <f t="shared" si="1"/>
        <v>No Critico</v>
      </c>
    </row>
    <row r="7" spans="1:29" ht="34.15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IF(Inicial!J7="SI",Inicial!E7,"N/A")</f>
        <v>07:05 - 15:05 - 15:05 - 00:05</v>
      </c>
      <c r="F7" s="52" t="str">
        <f>IF(Inicial!J7="SI",Inicial!F7,"N/A")</f>
        <v>N/A</v>
      </c>
      <c r="G7" s="52">
        <f>IF(Inicial!J7="SI",Inicial!G7,"N/A")</f>
        <v>2</v>
      </c>
      <c r="H7" s="52">
        <f>IF(Inicial!J7="SI",Inicial!H7,"N/A")</f>
        <v>209</v>
      </c>
      <c r="I7" s="54">
        <f>IF(Inicial!J7="SI",Inicial!I7,"N/A")</f>
        <v>101</v>
      </c>
      <c r="J7" s="45" t="s">
        <v>115</v>
      </c>
      <c r="K7" s="6" t="s">
        <v>64</v>
      </c>
      <c r="L7" s="6" t="s">
        <v>64</v>
      </c>
      <c r="M7" s="6" t="s">
        <v>64</v>
      </c>
      <c r="N7" s="6" t="s">
        <v>64</v>
      </c>
      <c r="O7" s="6" t="s">
        <v>64</v>
      </c>
      <c r="P7" s="6" t="str">
        <f t="shared" si="0"/>
        <v>No Aceptable</v>
      </c>
      <c r="Q7" s="6" t="s">
        <v>115</v>
      </c>
      <c r="R7" s="6" t="s">
        <v>115</v>
      </c>
      <c r="S7" s="6" t="s">
        <v>115</v>
      </c>
      <c r="T7" s="6" t="s">
        <v>115</v>
      </c>
      <c r="U7" s="6" t="s">
        <v>115</v>
      </c>
      <c r="V7" s="6" t="s">
        <v>115</v>
      </c>
      <c r="W7" s="6" t="str">
        <f t="shared" si="1"/>
        <v>No Critico</v>
      </c>
    </row>
    <row r="8" spans="1:29" ht="34.15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IF(Inicial!J8="SI",Inicial!E8,"N/A")</f>
        <v>07:05 - 15:05 - 15:05 - 00:05</v>
      </c>
      <c r="F8" s="52" t="str">
        <f>IF(Inicial!J8="SI",Inicial!F8,"N/A")</f>
        <v>N/A</v>
      </c>
      <c r="G8" s="52">
        <f>IF(Inicial!J8="SI",Inicial!G8,"N/A")</f>
        <v>2</v>
      </c>
      <c r="H8" s="52">
        <f>IF(Inicial!J8="SI",Inicial!H8,"N/A")</f>
        <v>40</v>
      </c>
      <c r="I8" s="54">
        <f>IF(Inicial!J8="SI",Inicial!I8,"N/A")</f>
        <v>20</v>
      </c>
      <c r="J8" s="45" t="s">
        <v>115</v>
      </c>
      <c r="K8" s="6" t="s">
        <v>64</v>
      </c>
      <c r="L8" s="6" t="s">
        <v>64</v>
      </c>
      <c r="M8" s="6" t="s">
        <v>64</v>
      </c>
      <c r="N8" s="6" t="s">
        <v>64</v>
      </c>
      <c r="O8" s="6" t="s">
        <v>64</v>
      </c>
      <c r="P8" s="6" t="str">
        <f t="shared" si="0"/>
        <v>No Aceptable</v>
      </c>
      <c r="Q8" s="6" t="s">
        <v>115</v>
      </c>
      <c r="R8" s="6" t="s">
        <v>115</v>
      </c>
      <c r="S8" s="6" t="s">
        <v>115</v>
      </c>
      <c r="T8" s="6" t="s">
        <v>115</v>
      </c>
      <c r="U8" s="6" t="s">
        <v>115</v>
      </c>
      <c r="V8" s="6" t="s">
        <v>115</v>
      </c>
      <c r="W8" s="6" t="str">
        <f t="shared" si="1"/>
        <v>No Critico</v>
      </c>
    </row>
    <row r="9" spans="1:29" ht="34.15" customHeight="1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IF(Inicial!J9="SI",Inicial!E9,"N/A")</f>
        <v>07:05 - 15:05 - 15:05 - 00:05</v>
      </c>
      <c r="F9" s="52" t="str">
        <f>IF(Inicial!J9="SI",Inicial!F9,"N/A")</f>
        <v>N/A</v>
      </c>
      <c r="G9" s="52">
        <f>IF(Inicial!J9="SI",Inicial!G9,"N/A")</f>
        <v>2</v>
      </c>
      <c r="H9" s="52">
        <f>IF(Inicial!J9="SI",Inicial!H9,"N/A")</f>
        <v>40</v>
      </c>
      <c r="I9" s="54">
        <f>IF(Inicial!J9="SI",Inicial!I9,"N/A")</f>
        <v>20</v>
      </c>
      <c r="J9" s="45" t="s">
        <v>115</v>
      </c>
      <c r="K9" s="6" t="s">
        <v>64</v>
      </c>
      <c r="L9" s="6" t="s">
        <v>64</v>
      </c>
      <c r="M9" s="6" t="s">
        <v>64</v>
      </c>
      <c r="N9" s="6" t="s">
        <v>64</v>
      </c>
      <c r="O9" s="6" t="s">
        <v>64</v>
      </c>
      <c r="P9" s="6" t="str">
        <f t="shared" si="0"/>
        <v>No Aceptable</v>
      </c>
      <c r="Q9" s="6" t="s">
        <v>115</v>
      </c>
      <c r="R9" s="6" t="s">
        <v>115</v>
      </c>
      <c r="S9" s="6" t="s">
        <v>115</v>
      </c>
      <c r="T9" s="6" t="s">
        <v>115</v>
      </c>
      <c r="U9" s="6" t="s">
        <v>115</v>
      </c>
      <c r="V9" s="6" t="s">
        <v>115</v>
      </c>
      <c r="W9" s="6" t="str">
        <f t="shared" si="1"/>
        <v>No Critico</v>
      </c>
    </row>
    <row r="10" spans="1:29" ht="34.15" customHeight="1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IF(Inicial!J10="SI",Inicial!E10,"N/A")</f>
        <v>07:05 - 15:05 - 15:05 - 00:05</v>
      </c>
      <c r="F10" s="52" t="str">
        <f>IF(Inicial!J10="SI",Inicial!F10,"N/A")</f>
        <v>N/A</v>
      </c>
      <c r="G10" s="52">
        <f>IF(Inicial!J10="SI",Inicial!G10,"N/A")</f>
        <v>2</v>
      </c>
      <c r="H10" s="52">
        <f>IF(Inicial!J10="SI",Inicial!H10,"N/A")</f>
        <v>40</v>
      </c>
      <c r="I10" s="54">
        <f>IF(Inicial!J10="SI",Inicial!I10,"N/A")</f>
        <v>20</v>
      </c>
      <c r="J10" s="45" t="s">
        <v>64</v>
      </c>
      <c r="K10" s="6" t="s">
        <v>64</v>
      </c>
      <c r="L10" s="6" t="s">
        <v>64</v>
      </c>
      <c r="M10" s="6" t="s">
        <v>64</v>
      </c>
      <c r="N10" s="6" t="s">
        <v>64</v>
      </c>
      <c r="O10" s="6" t="s">
        <v>64</v>
      </c>
      <c r="P10" s="6" t="str">
        <f t="shared" si="0"/>
        <v>Aceptable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  <c r="V10" s="6" t="s">
        <v>115</v>
      </c>
      <c r="W10" s="6" t="str">
        <f t="shared" si="1"/>
        <v>No Critico</v>
      </c>
    </row>
    <row r="11" spans="1:29" ht="34.15" hidden="1" customHeight="1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IF(Inicial!J11="SI",Inicial!E11,"N/A")</f>
        <v>N/A</v>
      </c>
      <c r="F11" s="52" t="str">
        <f>IF(Inicial!J11="SI",Inicial!F11,"N/A")</f>
        <v>N/A</v>
      </c>
      <c r="G11" s="52" t="str">
        <f>IF(Inicial!J11="SI",Inicial!G11,"N/A")</f>
        <v>N/A</v>
      </c>
      <c r="H11" s="52" t="str">
        <f>IF(Inicial!J11="SI",Inicial!H11,"N/A")</f>
        <v>N/A</v>
      </c>
      <c r="I11" s="54" t="str">
        <f>IF(Inicial!J11="SI",Inicial!I11,"N/A")</f>
        <v>N/A</v>
      </c>
      <c r="P11" s="6" t="str">
        <f t="shared" si="0"/>
        <v>Aceptable</v>
      </c>
      <c r="W11" s="6" t="str">
        <f t="shared" si="1"/>
        <v>Critico</v>
      </c>
    </row>
    <row r="12" spans="1:29" ht="34.15" customHeight="1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IF(Inicial!J12="SI",Inicial!E12,"N/A")</f>
        <v>07:05 - 15:05 - 15:05 - 00:05</v>
      </c>
      <c r="F12" s="52" t="str">
        <f>IF(Inicial!J12="SI",Inicial!F12,"N/A")</f>
        <v>N/A</v>
      </c>
      <c r="G12" s="52">
        <f>IF(Inicial!J12="SI",Inicial!G12,"N/A")</f>
        <v>2</v>
      </c>
      <c r="H12" s="52">
        <f>IF(Inicial!J12="SI",Inicial!H12,"N/A")</f>
        <v>40</v>
      </c>
      <c r="I12" s="54">
        <f>IF(Inicial!J12="SI",Inicial!I12,"N/A")</f>
        <v>20</v>
      </c>
      <c r="J12" s="45" t="s">
        <v>115</v>
      </c>
      <c r="K12" s="6" t="s">
        <v>64</v>
      </c>
      <c r="L12" s="6" t="s">
        <v>64</v>
      </c>
      <c r="M12" s="6" t="s">
        <v>64</v>
      </c>
      <c r="N12" s="6" t="s">
        <v>64</v>
      </c>
      <c r="O12" s="6" t="s">
        <v>64</v>
      </c>
      <c r="P12" s="6" t="str">
        <f t="shared" ref="P12" si="2">IF(OR(J12="NO",K12="NO",L12="NO",M12="NO",N12="NO",O12="NO"),"No Aceptable","Aceptable")</f>
        <v>No Aceptable</v>
      </c>
      <c r="Q12" s="6" t="s">
        <v>115</v>
      </c>
      <c r="R12" s="6" t="s">
        <v>115</v>
      </c>
      <c r="S12" s="6" t="s">
        <v>115</v>
      </c>
      <c r="T12" s="6" t="s">
        <v>115</v>
      </c>
      <c r="U12" s="6" t="s">
        <v>115</v>
      </c>
      <c r="V12" s="6" t="s">
        <v>115</v>
      </c>
      <c r="W12" s="6" t="str">
        <f t="shared" si="1"/>
        <v>No Critico</v>
      </c>
    </row>
    <row r="13" spans="1:29" ht="34.15" customHeight="1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IF(Inicial!J13="SI",Inicial!E13,"N/A")</f>
        <v>07:05 - 15:05 - 15:05 - 00:05</v>
      </c>
      <c r="F13" s="52" t="str">
        <f>IF(Inicial!J13="SI",Inicial!F13,"N/A")</f>
        <v>N/A</v>
      </c>
      <c r="G13" s="52">
        <f>IF(Inicial!J13="SI",Inicial!G13,"N/A")</f>
        <v>2</v>
      </c>
      <c r="H13" s="52">
        <f>IF(Inicial!J13="SI",Inicial!H13,"N/A")</f>
        <v>40</v>
      </c>
      <c r="I13" s="54">
        <f>IF(Inicial!J13="SI",Inicial!I13,"N/A")</f>
        <v>20</v>
      </c>
      <c r="J13" s="45" t="s">
        <v>115</v>
      </c>
      <c r="K13" s="6" t="s">
        <v>64</v>
      </c>
      <c r="L13" s="6" t="s">
        <v>64</v>
      </c>
      <c r="M13" s="6" t="s">
        <v>64</v>
      </c>
      <c r="N13" s="6" t="s">
        <v>64</v>
      </c>
      <c r="O13" s="6" t="s">
        <v>64</v>
      </c>
      <c r="P13" s="6" t="str">
        <f t="shared" si="0"/>
        <v>No Aceptable</v>
      </c>
      <c r="Q13" s="6" t="s">
        <v>115</v>
      </c>
      <c r="R13" s="6" t="s">
        <v>115</v>
      </c>
      <c r="S13" s="6" t="s">
        <v>115</v>
      </c>
      <c r="T13" s="6" t="s">
        <v>115</v>
      </c>
      <c r="U13" s="6" t="s">
        <v>115</v>
      </c>
      <c r="V13" s="6" t="s">
        <v>115</v>
      </c>
      <c r="W13" s="6" t="str">
        <f t="shared" si="1"/>
        <v>No Critico</v>
      </c>
    </row>
    <row r="14" spans="1:29" ht="34.15" hidden="1" customHeight="1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IF(Inicial!J14="SI",Inicial!E14,"N/A")</f>
        <v>N/A</v>
      </c>
      <c r="F14" s="52" t="str">
        <f>IF(Inicial!J14="SI",Inicial!F14,"N/A")</f>
        <v>N/A</v>
      </c>
      <c r="G14" s="52" t="str">
        <f>IF(Inicial!J14="SI",Inicial!G14,"N/A")</f>
        <v>N/A</v>
      </c>
      <c r="H14" s="52" t="str">
        <f>IF(Inicial!J14="SI",Inicial!H14,"N/A")</f>
        <v>N/A</v>
      </c>
      <c r="I14" s="54" t="str">
        <f>IF(Inicial!J14="SI",Inicial!I14,"N/A")</f>
        <v>N/A</v>
      </c>
      <c r="P14" s="6" t="str">
        <f t="shared" si="0"/>
        <v>Aceptable</v>
      </c>
      <c r="W14" s="6" t="str">
        <f t="shared" si="1"/>
        <v>Critico</v>
      </c>
    </row>
    <row r="15" spans="1:29" ht="34.15" hidden="1" customHeight="1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IF(Inicial!J15="SI",Inicial!E15,"N/A")</f>
        <v>N/A</v>
      </c>
      <c r="F15" s="52" t="str">
        <f>IF(Inicial!J15="SI",Inicial!F15,"N/A")</f>
        <v>N/A</v>
      </c>
      <c r="G15" s="52" t="str">
        <f>IF(Inicial!J15="SI",Inicial!G15,"N/A")</f>
        <v>N/A</v>
      </c>
      <c r="H15" s="52" t="str">
        <f>IF(Inicial!J15="SI",Inicial!H15,"N/A")</f>
        <v>N/A</v>
      </c>
      <c r="I15" s="54" t="str">
        <f>IF(Inicial!J15="SI",Inicial!I15,"N/A")</f>
        <v>N/A</v>
      </c>
      <c r="P15" s="6" t="str">
        <f t="shared" si="0"/>
        <v>Aceptable</v>
      </c>
      <c r="W15" s="6" t="str">
        <f t="shared" si="1"/>
        <v>Critico</v>
      </c>
    </row>
    <row r="16" spans="1:29" ht="34.15" customHeight="1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IF(Inicial!J16="SI",Inicial!E16,"N/A")</f>
        <v>07:05 - 15:05 - 15:05 - 00:05</v>
      </c>
      <c r="F16" s="52" t="str">
        <f>IF(Inicial!J16="SI",Inicial!F16,"N/A")</f>
        <v>N/A</v>
      </c>
      <c r="G16" s="52">
        <f>IF(Inicial!J16="SI",Inicial!G16,"N/A")</f>
        <v>2</v>
      </c>
      <c r="H16" s="52">
        <f>IF(Inicial!J16="SI",Inicial!H16,"N/A")</f>
        <v>40</v>
      </c>
      <c r="I16" s="54">
        <f>IF(Inicial!J16="SI",Inicial!I16,"N/A")</f>
        <v>20</v>
      </c>
      <c r="J16" s="45" t="s">
        <v>115</v>
      </c>
      <c r="K16" s="6" t="s">
        <v>64</v>
      </c>
      <c r="L16" s="6" t="s">
        <v>64</v>
      </c>
      <c r="M16" s="6" t="s">
        <v>64</v>
      </c>
      <c r="N16" s="6" t="s">
        <v>64</v>
      </c>
      <c r="O16" s="6" t="s">
        <v>64</v>
      </c>
      <c r="P16" s="6" t="str">
        <f t="shared" si="0"/>
        <v>No Aceptable</v>
      </c>
      <c r="Q16" s="6" t="s">
        <v>115</v>
      </c>
      <c r="R16" s="6" t="s">
        <v>115</v>
      </c>
      <c r="S16" s="6" t="s">
        <v>115</v>
      </c>
      <c r="T16" s="6" t="s">
        <v>115</v>
      </c>
      <c r="U16" s="6" t="s">
        <v>115</v>
      </c>
      <c r="V16" s="6" t="s">
        <v>115</v>
      </c>
      <c r="W16" s="6" t="str">
        <f t="shared" si="1"/>
        <v>No Critico</v>
      </c>
    </row>
    <row r="17" spans="1:23" ht="34.15" hidden="1" customHeight="1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IF(Inicial!J17="SI",Inicial!E17,"N/A")</f>
        <v>07:05 - 15:05 - 15:05 - 00:05</v>
      </c>
      <c r="F17" s="52" t="str">
        <f>IF(Inicial!J17="SI",Inicial!F17,"N/A")</f>
        <v>N/A</v>
      </c>
      <c r="G17" s="52">
        <f>IF(Inicial!J17="SI",Inicial!G17,"N/A")</f>
        <v>2</v>
      </c>
      <c r="H17" s="52">
        <f>IF(Inicial!J17="SI",Inicial!H17,"N/A")</f>
        <v>2</v>
      </c>
      <c r="I17" s="54">
        <f>IF(Inicial!J17="SI",Inicial!I17,"N/A")</f>
        <v>0</v>
      </c>
      <c r="J17" s="45" t="s">
        <v>64</v>
      </c>
      <c r="K17" s="6" t="s">
        <v>64</v>
      </c>
      <c r="L17" s="6" t="s">
        <v>64</v>
      </c>
      <c r="M17" s="6" t="s">
        <v>64</v>
      </c>
      <c r="N17" s="6" t="s">
        <v>64</v>
      </c>
      <c r="O17" s="6" t="s">
        <v>64</v>
      </c>
      <c r="P17" s="6" t="str">
        <f t="shared" si="0"/>
        <v>Aceptable</v>
      </c>
      <c r="W17" s="6" t="str">
        <f t="shared" si="1"/>
        <v>Critico</v>
      </c>
    </row>
    <row r="18" spans="1:23" ht="34.15" hidden="1" customHeight="1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IF(Inicial!J18="SI",Inicial!E18,"N/A")</f>
        <v>N/A</v>
      </c>
      <c r="F18" s="52" t="str">
        <f>IF(Inicial!J18="SI",Inicial!F18,"N/A")</f>
        <v>N/A</v>
      </c>
      <c r="G18" s="52" t="str">
        <f>IF(Inicial!J18="SI",Inicial!G18,"N/A")</f>
        <v>N/A</v>
      </c>
      <c r="H18" s="52" t="str">
        <f>IF(Inicial!J18="SI",Inicial!H18,"N/A")</f>
        <v>N/A</v>
      </c>
      <c r="I18" s="54" t="str">
        <f>IF(Inicial!J18="SI",Inicial!I18,"N/A")</f>
        <v>N/A</v>
      </c>
      <c r="P18" s="6" t="str">
        <f t="shared" si="0"/>
        <v>Aceptable</v>
      </c>
      <c r="W18" s="6" t="str">
        <f t="shared" si="1"/>
        <v>Critico</v>
      </c>
    </row>
    <row r="19" spans="1:23" ht="34.15" hidden="1" customHeight="1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IF(Inicial!J19="SI",Inicial!E19,"N/A")</f>
        <v>N/A</v>
      </c>
      <c r="F19" s="52" t="str">
        <f>IF(Inicial!J19="SI",Inicial!F19,"N/A")</f>
        <v>N/A</v>
      </c>
      <c r="G19" s="52" t="str">
        <f>IF(Inicial!J19="SI",Inicial!G19,"N/A")</f>
        <v>N/A</v>
      </c>
      <c r="H19" s="52" t="str">
        <f>IF(Inicial!J19="SI",Inicial!H19,"N/A")</f>
        <v>N/A</v>
      </c>
      <c r="I19" s="54" t="str">
        <f>IF(Inicial!J19="SI",Inicial!I19,"N/A")</f>
        <v>N/A</v>
      </c>
      <c r="P19" s="6" t="str">
        <f t="shared" si="0"/>
        <v>Aceptable</v>
      </c>
      <c r="W19" s="6" t="str">
        <f t="shared" si="1"/>
        <v>Critico</v>
      </c>
    </row>
    <row r="20" spans="1:23" ht="34.15" customHeight="1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IF(Inicial!J20="SI",Inicial!E20,"N/A")</f>
        <v>07:20 - 15:30 / 15:30 - 01:05</v>
      </c>
      <c r="F20" s="52" t="str">
        <f>IF(Inicial!J20="SI",Inicial!F20,"N/A")</f>
        <v>N/A</v>
      </c>
      <c r="G20" s="52">
        <f>IF(Inicial!J20="SI",Inicial!G20,"N/A")</f>
        <v>2</v>
      </c>
      <c r="H20" s="52">
        <f>IF(Inicial!J20="SI",Inicial!H20,"N/A")</f>
        <v>36</v>
      </c>
      <c r="I20" s="54">
        <f>IF(Inicial!J20="SI",Inicial!I20,"N/A")</f>
        <v>52</v>
      </c>
      <c r="J20" s="45" t="s">
        <v>115</v>
      </c>
      <c r="K20" s="6" t="s">
        <v>64</v>
      </c>
      <c r="L20" s="6" t="s">
        <v>64</v>
      </c>
      <c r="M20" s="6" t="s">
        <v>64</v>
      </c>
      <c r="N20" s="6" t="s">
        <v>64</v>
      </c>
      <c r="O20" s="6" t="s">
        <v>64</v>
      </c>
      <c r="P20" s="6" t="str">
        <f t="shared" si="0"/>
        <v>No Aceptable</v>
      </c>
      <c r="Q20" s="6" t="s">
        <v>115</v>
      </c>
      <c r="R20" s="6" t="s">
        <v>115</v>
      </c>
      <c r="S20" s="6" t="s">
        <v>115</v>
      </c>
      <c r="T20" s="6" t="s">
        <v>115</v>
      </c>
      <c r="U20" s="6" t="s">
        <v>115</v>
      </c>
      <c r="V20" s="6" t="s">
        <v>115</v>
      </c>
      <c r="W20" s="6" t="str">
        <f t="shared" si="1"/>
        <v>No Critico</v>
      </c>
    </row>
    <row r="21" spans="1:23" ht="34.15" customHeight="1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IF(Inicial!J21="SI",Inicial!E21,"N/A")</f>
        <v>07:20 - 15:30 / 15:30 - 01:05</v>
      </c>
      <c r="F21" s="52" t="str">
        <f>IF(Inicial!J21="SI",Inicial!F21,"N/A")</f>
        <v>N/A</v>
      </c>
      <c r="G21" s="52">
        <f>IF(Inicial!J21="SI",Inicial!G21,"N/A")</f>
        <v>2</v>
      </c>
      <c r="H21" s="52">
        <f>IF(Inicial!J21="SI",Inicial!H21,"N/A")</f>
        <v>36</v>
      </c>
      <c r="I21" s="54">
        <f>IF(Inicial!J21="SI",Inicial!I21,"N/A")</f>
        <v>0</v>
      </c>
      <c r="J21" s="45" t="s">
        <v>115</v>
      </c>
      <c r="K21" s="6" t="s">
        <v>64</v>
      </c>
      <c r="L21" s="6" t="s">
        <v>64</v>
      </c>
      <c r="M21" s="6" t="s">
        <v>64</v>
      </c>
      <c r="N21" s="6" t="s">
        <v>64</v>
      </c>
      <c r="O21" s="6" t="s">
        <v>64</v>
      </c>
      <c r="P21" s="6" t="str">
        <f t="shared" si="0"/>
        <v>No Aceptable</v>
      </c>
      <c r="Q21" s="6" t="s">
        <v>115</v>
      </c>
      <c r="R21" s="6" t="s">
        <v>115</v>
      </c>
      <c r="S21" s="6" t="s">
        <v>115</v>
      </c>
      <c r="T21" s="6" t="s">
        <v>115</v>
      </c>
      <c r="U21" s="6" t="s">
        <v>115</v>
      </c>
      <c r="V21" s="6" t="s">
        <v>115</v>
      </c>
      <c r="W21" s="6" t="str">
        <f t="shared" si="1"/>
        <v>No Critico</v>
      </c>
    </row>
    <row r="22" spans="1:23" ht="34.15" customHeight="1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IF(Inicial!J22="SI",Inicial!E22,"N/A")</f>
        <v>07:20 - 15:30 / 15:30 - 01:05</v>
      </c>
      <c r="F22" s="52" t="str">
        <f>IF(Inicial!J22="SI",Inicial!F22,"N/A")</f>
        <v>N/A</v>
      </c>
      <c r="G22" s="52">
        <f>IF(Inicial!J22="SI",Inicial!G22,"N/A")</f>
        <v>2</v>
      </c>
      <c r="H22" s="52">
        <f>IF(Inicial!J22="SI",Inicial!H22,"N/A")</f>
        <v>36</v>
      </c>
      <c r="I22" s="54">
        <f>IF(Inicial!J22="SI",Inicial!I22,"N/A")</f>
        <v>52</v>
      </c>
      <c r="J22" s="45" t="s">
        <v>115</v>
      </c>
      <c r="K22" s="6" t="s">
        <v>64</v>
      </c>
      <c r="L22" s="6" t="s">
        <v>64</v>
      </c>
      <c r="M22" s="6" t="s">
        <v>64</v>
      </c>
      <c r="N22" s="6" t="s">
        <v>64</v>
      </c>
      <c r="O22" s="6" t="s">
        <v>64</v>
      </c>
      <c r="P22" s="6" t="str">
        <f t="shared" si="0"/>
        <v>No Aceptable</v>
      </c>
      <c r="Q22" s="6" t="s">
        <v>115</v>
      </c>
      <c r="R22" s="6" t="s">
        <v>115</v>
      </c>
      <c r="S22" s="6" t="s">
        <v>115</v>
      </c>
      <c r="T22" s="6" t="s">
        <v>115</v>
      </c>
      <c r="U22" s="6" t="s">
        <v>115</v>
      </c>
      <c r="V22" s="6" t="s">
        <v>115</v>
      </c>
      <c r="W22" s="6" t="str">
        <f t="shared" si="1"/>
        <v>No Critico</v>
      </c>
    </row>
    <row r="23" spans="1:23" ht="34.15" hidden="1" customHeight="1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IF(Inicial!J23="SI",Inicial!E23,"N/A")</f>
        <v>07:20 - 15:30 / 15:30 - 01:05</v>
      </c>
      <c r="F23" s="52" t="str">
        <f>IF(Inicial!J23="SI",Inicial!F23,"N/A")</f>
        <v>N/A</v>
      </c>
      <c r="G23" s="52">
        <f>IF(Inicial!J23="SI",Inicial!G23,"N/A")</f>
        <v>2</v>
      </c>
      <c r="H23" s="52">
        <f>IF(Inicial!J23="SI",Inicial!H23,"N/A")</f>
        <v>36</v>
      </c>
      <c r="I23" s="54">
        <f>IF(Inicial!J23="SI",Inicial!I23,"N/A")</f>
        <v>52</v>
      </c>
      <c r="J23" s="45" t="s">
        <v>64</v>
      </c>
      <c r="K23" s="6" t="s">
        <v>64</v>
      </c>
      <c r="L23" s="6" t="s">
        <v>64</v>
      </c>
      <c r="M23" s="6" t="s">
        <v>64</v>
      </c>
      <c r="N23" s="6" t="s">
        <v>64</v>
      </c>
      <c r="O23" s="6" t="s">
        <v>64</v>
      </c>
      <c r="P23" s="6" t="str">
        <f t="shared" si="0"/>
        <v>Aceptable</v>
      </c>
      <c r="W23" s="6" t="str">
        <f t="shared" si="1"/>
        <v>Critico</v>
      </c>
    </row>
    <row r="24" spans="1:23" ht="34.15" hidden="1" customHeight="1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54" t="e">
        <f>IF(Inicial!#REF!="SI",Inicial!#REF!,"N/A")</f>
        <v>#REF!</v>
      </c>
      <c r="P24" s="6" t="str">
        <f t="shared" si="0"/>
        <v>Aceptable</v>
      </c>
      <c r="W24" s="6" t="str">
        <f t="shared" si="1"/>
        <v>Critico</v>
      </c>
    </row>
    <row r="25" spans="1:23" ht="34.15" customHeight="1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IF(Inicial!J24="SI",Inicial!E24,"N/A")</f>
        <v>07:20 - 15:30 / 15:30 - 01:05</v>
      </c>
      <c r="F25" s="52" t="str">
        <f>IF(Inicial!J24="SI",Inicial!F24,"N/A")</f>
        <v>N/A</v>
      </c>
      <c r="G25" s="52">
        <f>IF(Inicial!J24="SI",Inicial!G24,"N/A")</f>
        <v>2</v>
      </c>
      <c r="H25" s="52">
        <f>IF(Inicial!J24="SI",Inicial!H24,"N/A")</f>
        <v>36</v>
      </c>
      <c r="I25" s="54">
        <f>IF(Inicial!J24="SI",Inicial!I24,"N/A")</f>
        <v>52</v>
      </c>
      <c r="J25" s="45" t="s">
        <v>64</v>
      </c>
      <c r="K25" s="6" t="s">
        <v>64</v>
      </c>
      <c r="L25" s="6" t="s">
        <v>64</v>
      </c>
      <c r="M25" s="6" t="s">
        <v>64</v>
      </c>
      <c r="N25" s="6" t="s">
        <v>64</v>
      </c>
      <c r="O25" s="6" t="s">
        <v>64</v>
      </c>
      <c r="P25" s="6" t="str">
        <f t="shared" si="0"/>
        <v>Aceptable</v>
      </c>
      <c r="Q25" s="6" t="s">
        <v>115</v>
      </c>
      <c r="R25" s="6" t="s">
        <v>115</v>
      </c>
      <c r="S25" s="6" t="s">
        <v>115</v>
      </c>
      <c r="T25" s="6" t="s">
        <v>115</v>
      </c>
      <c r="U25" s="6" t="s">
        <v>115</v>
      </c>
      <c r="V25" s="6" t="s">
        <v>115</v>
      </c>
      <c r="W25" s="6" t="str">
        <f t="shared" si="1"/>
        <v>No Critico</v>
      </c>
    </row>
    <row r="26" spans="1:23" ht="34.15" hidden="1" customHeight="1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IF(Inicial!J25="SI",Inicial!E25,"N/A")</f>
        <v>N/A</v>
      </c>
      <c r="F26" s="52" t="str">
        <f>IF(Inicial!J25="SI",Inicial!F25,"N/A")</f>
        <v>N/A</v>
      </c>
      <c r="G26" s="52" t="str">
        <f>IF(Inicial!J25="SI",Inicial!G25,"N/A")</f>
        <v>N/A</v>
      </c>
      <c r="H26" s="52" t="str">
        <f>IF(Inicial!J25="SI",Inicial!H25,"N/A")</f>
        <v>N/A</v>
      </c>
      <c r="I26" s="54" t="str">
        <f>IF(Inicial!J25="SI",Inicial!I25,"N/A")</f>
        <v>N/A</v>
      </c>
      <c r="P26" s="6" t="str">
        <f t="shared" si="0"/>
        <v>Aceptable</v>
      </c>
      <c r="W26" s="6" t="str">
        <f t="shared" si="1"/>
        <v>Critico</v>
      </c>
    </row>
    <row r="27" spans="1:23" ht="34.15" customHeight="1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IF(Inicial!J26="SI",Inicial!E26,"N/A")</f>
        <v>07:20 - 15:30 / 15:30 - 01:05</v>
      </c>
      <c r="F27" s="52" t="str">
        <f>IF(Inicial!J26="SI",Inicial!F26,"N/A")</f>
        <v>N/A</v>
      </c>
      <c r="G27" s="52">
        <f>IF(Inicial!J26="SI",Inicial!G26,"N/A")</f>
        <v>2</v>
      </c>
      <c r="H27" s="52">
        <f>IF(Inicial!J26="SI",Inicial!H26,"N/A")</f>
        <v>36</v>
      </c>
      <c r="I27" s="54">
        <f>IF(Inicial!J26="SI",Inicial!I26,"N/A")</f>
        <v>0</v>
      </c>
      <c r="J27" s="45" t="s">
        <v>115</v>
      </c>
      <c r="K27" s="6" t="s">
        <v>64</v>
      </c>
      <c r="L27" s="6" t="s">
        <v>115</v>
      </c>
      <c r="M27" s="6" t="s">
        <v>64</v>
      </c>
      <c r="N27" s="6" t="s">
        <v>64</v>
      </c>
      <c r="O27" s="6" t="s">
        <v>64</v>
      </c>
      <c r="P27" s="6" t="str">
        <f t="shared" si="0"/>
        <v>No Aceptable</v>
      </c>
      <c r="Q27" s="6" t="s">
        <v>115</v>
      </c>
      <c r="R27" s="6" t="s">
        <v>115</v>
      </c>
      <c r="S27" s="6" t="s">
        <v>115</v>
      </c>
      <c r="T27" s="6" t="s">
        <v>115</v>
      </c>
      <c r="U27" s="6" t="s">
        <v>115</v>
      </c>
      <c r="V27" s="6" t="s">
        <v>115</v>
      </c>
      <c r="W27" s="6" t="str">
        <f t="shared" si="1"/>
        <v>No Critico</v>
      </c>
    </row>
    <row r="28" spans="1:23" ht="34.15" customHeight="1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IF(Inicial!J27="SI",Inicial!E27,"N/A")</f>
        <v>N/A</v>
      </c>
      <c r="F28" s="52" t="str">
        <f>IF(Inicial!J27="SI",Inicial!F27,"N/A")</f>
        <v>N/A</v>
      </c>
      <c r="G28" s="52" t="str">
        <f>IF(Inicial!J27="SI",Inicial!G27,"N/A")</f>
        <v>N/A</v>
      </c>
      <c r="H28" s="52" t="str">
        <f>IF(Inicial!J27="SI",Inicial!H27,"N/A")</f>
        <v>N/A</v>
      </c>
      <c r="I28" s="54" t="str">
        <f>IF(Inicial!J27="SI",Inicial!I27,"N/A")</f>
        <v>N/A</v>
      </c>
      <c r="J28" s="45" t="s">
        <v>115</v>
      </c>
      <c r="K28" s="6" t="s">
        <v>64</v>
      </c>
      <c r="L28" s="6" t="s">
        <v>64</v>
      </c>
      <c r="M28" s="6" t="s">
        <v>64</v>
      </c>
      <c r="N28" s="6" t="s">
        <v>64</v>
      </c>
      <c r="O28" s="6" t="s">
        <v>64</v>
      </c>
      <c r="P28" s="6" t="str">
        <f t="shared" si="0"/>
        <v>No Aceptable</v>
      </c>
      <c r="Q28" s="6" t="s">
        <v>115</v>
      </c>
      <c r="R28" s="6" t="s">
        <v>115</v>
      </c>
      <c r="S28" s="6" t="s">
        <v>115</v>
      </c>
      <c r="T28" s="6" t="s">
        <v>115</v>
      </c>
      <c r="U28" s="6" t="s">
        <v>115</v>
      </c>
      <c r="V28" s="6" t="s">
        <v>115</v>
      </c>
      <c r="W28" s="6" t="str">
        <f t="shared" si="1"/>
        <v>No Critico</v>
      </c>
    </row>
    <row r="29" spans="1:23" ht="34.15" customHeight="1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>
        <f>IF(Inicial!J28="SI",Inicial!E28,"N/A")</f>
        <v>0</v>
      </c>
      <c r="F29" s="52" t="str">
        <f>IF(Inicial!J28="SI",Inicial!F28,"N/A")</f>
        <v>N/A</v>
      </c>
      <c r="G29" s="52">
        <f>IF(Inicial!J28="SI",Inicial!G28,"N/A")</f>
        <v>2</v>
      </c>
      <c r="H29" s="52">
        <f>IF(Inicial!J28="SI",Inicial!H28,"N/A")</f>
        <v>32</v>
      </c>
      <c r="I29" s="54">
        <f>IF(Inicial!J28="SI",Inicial!I28,"N/A")</f>
        <v>20</v>
      </c>
      <c r="J29" s="45" t="s">
        <v>64</v>
      </c>
      <c r="K29" s="6" t="s">
        <v>64</v>
      </c>
      <c r="L29" s="6" t="s">
        <v>64</v>
      </c>
      <c r="M29" s="6" t="s">
        <v>64</v>
      </c>
      <c r="N29" s="6" t="s">
        <v>64</v>
      </c>
      <c r="O29" s="6" t="s">
        <v>64</v>
      </c>
      <c r="P29" s="6" t="str">
        <f t="shared" si="0"/>
        <v>Aceptable</v>
      </c>
      <c r="Q29" s="6" t="s">
        <v>115</v>
      </c>
      <c r="R29" s="6" t="s">
        <v>115</v>
      </c>
      <c r="S29" s="6" t="s">
        <v>115</v>
      </c>
      <c r="T29" s="6" t="s">
        <v>115</v>
      </c>
      <c r="U29" s="6" t="s">
        <v>115</v>
      </c>
      <c r="V29" s="6" t="s">
        <v>115</v>
      </c>
      <c r="W29" s="6" t="str">
        <f t="shared" si="1"/>
        <v>No Critico</v>
      </c>
    </row>
    <row r="30" spans="1:23" ht="34.15" customHeight="1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>
        <f>IF(Inicial!J29="SI",Inicial!E29,"N/A")</f>
        <v>0</v>
      </c>
      <c r="F30" s="52" t="str">
        <f>IF(Inicial!J29="SI",Inicial!F29,"N/A")</f>
        <v>N/A</v>
      </c>
      <c r="G30" s="52">
        <f>IF(Inicial!J29="SI",Inicial!G29,"N/A")</f>
        <v>2</v>
      </c>
      <c r="H30" s="52">
        <f>IF(Inicial!J29="SI",Inicial!H29,"N/A")</f>
        <v>32</v>
      </c>
      <c r="I30" s="54">
        <f>IF(Inicial!J29="SI",Inicial!I29,"N/A")</f>
        <v>20</v>
      </c>
      <c r="J30" s="45" t="s">
        <v>115</v>
      </c>
      <c r="K30" s="6" t="s">
        <v>64</v>
      </c>
      <c r="L30" s="6" t="s">
        <v>64</v>
      </c>
      <c r="M30" s="6" t="s">
        <v>64</v>
      </c>
      <c r="N30" s="6" t="s">
        <v>64</v>
      </c>
      <c r="O30" s="6" t="s">
        <v>64</v>
      </c>
      <c r="P30" s="6" t="str">
        <f t="shared" si="0"/>
        <v>No Aceptable</v>
      </c>
      <c r="Q30" s="6" t="s">
        <v>115</v>
      </c>
      <c r="R30" s="6" t="s">
        <v>115</v>
      </c>
      <c r="S30" s="6" t="s">
        <v>115</v>
      </c>
      <c r="T30" s="6" t="s">
        <v>115</v>
      </c>
      <c r="U30" s="6" t="s">
        <v>115</v>
      </c>
      <c r="V30" s="6" t="s">
        <v>115</v>
      </c>
      <c r="W30" s="6" t="str">
        <f t="shared" si="1"/>
        <v>No Critico</v>
      </c>
    </row>
    <row r="31" spans="1:23" ht="34.15" customHeight="1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>
        <f>IF(Inicial!J30="SI",Inicial!E30,"N/A")</f>
        <v>0</v>
      </c>
      <c r="F31" s="52" t="str">
        <f>IF(Inicial!J30="SI",Inicial!F30,"N/A")</f>
        <v>N/A</v>
      </c>
      <c r="G31" s="52">
        <f>IF(Inicial!J30="SI",Inicial!G30,"N/A")</f>
        <v>2</v>
      </c>
      <c r="H31" s="52">
        <f>IF(Inicial!J30="SI",Inicial!H30,"N/A")</f>
        <v>32</v>
      </c>
      <c r="I31" s="54">
        <f>IF(Inicial!J30="SI",Inicial!I30,"N/A")</f>
        <v>20</v>
      </c>
      <c r="J31" s="45" t="s">
        <v>115</v>
      </c>
      <c r="K31" s="6" t="s">
        <v>64</v>
      </c>
      <c r="L31" s="6" t="s">
        <v>64</v>
      </c>
      <c r="M31" s="6" t="s">
        <v>64</v>
      </c>
      <c r="N31" s="6" t="s">
        <v>64</v>
      </c>
      <c r="O31" s="6" t="s">
        <v>64</v>
      </c>
      <c r="P31" s="6" t="str">
        <f t="shared" si="0"/>
        <v>No Aceptable</v>
      </c>
      <c r="Q31" s="6" t="s">
        <v>115</v>
      </c>
      <c r="R31" s="6" t="s">
        <v>115</v>
      </c>
      <c r="S31" s="6" t="s">
        <v>115</v>
      </c>
      <c r="T31" s="6" t="s">
        <v>115</v>
      </c>
      <c r="U31" s="6" t="s">
        <v>115</v>
      </c>
      <c r="V31" s="6" t="s">
        <v>115</v>
      </c>
      <c r="W31" s="6" t="str">
        <f t="shared" si="1"/>
        <v>No Critico</v>
      </c>
    </row>
    <row r="32" spans="1:23" ht="34.15" customHeight="1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>
        <f>IF(Inicial!J31="SI",Inicial!E31,"N/A")</f>
        <v>0</v>
      </c>
      <c r="F32" s="52" t="str">
        <f>IF(Inicial!J31="SI",Inicial!F31,"N/A")</f>
        <v>N/A</v>
      </c>
      <c r="G32" s="52">
        <f>IF(Inicial!J31="SI",Inicial!G31,"N/A")</f>
        <v>2</v>
      </c>
      <c r="H32" s="52">
        <f>IF(Inicial!J31="SI",Inicial!H31,"N/A")</f>
        <v>32</v>
      </c>
      <c r="I32" s="54">
        <f>IF(Inicial!J31="SI",Inicial!I31,"N/A")</f>
        <v>20</v>
      </c>
      <c r="J32" s="45" t="s">
        <v>115</v>
      </c>
      <c r="K32" s="6" t="s">
        <v>64</v>
      </c>
      <c r="L32" s="6" t="s">
        <v>64</v>
      </c>
      <c r="M32" s="6" t="s">
        <v>64</v>
      </c>
      <c r="N32" s="6" t="s">
        <v>64</v>
      </c>
      <c r="O32" s="6" t="s">
        <v>64</v>
      </c>
      <c r="P32" s="6" t="str">
        <f t="shared" si="0"/>
        <v>No Aceptable</v>
      </c>
      <c r="Q32" s="6" t="s">
        <v>115</v>
      </c>
      <c r="R32" s="6" t="s">
        <v>115</v>
      </c>
      <c r="S32" s="6" t="s">
        <v>115</v>
      </c>
      <c r="T32" s="6" t="s">
        <v>115</v>
      </c>
      <c r="U32" s="6" t="s">
        <v>115</v>
      </c>
      <c r="V32" s="6" t="s">
        <v>115</v>
      </c>
      <c r="W32" s="6" t="str">
        <f t="shared" si="1"/>
        <v>No Critico</v>
      </c>
    </row>
    <row r="33" spans="1:23" ht="34.15" customHeight="1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>
        <f>IF(Inicial!J32="SI",Inicial!E32,"N/A")</f>
        <v>0</v>
      </c>
      <c r="F33" s="52" t="str">
        <f>IF(Inicial!J32="SI",Inicial!F32,"N/A")</f>
        <v>N/A</v>
      </c>
      <c r="G33" s="52">
        <f>IF(Inicial!J32="SI",Inicial!G32,"N/A")</f>
        <v>2</v>
      </c>
      <c r="H33" s="52">
        <f>IF(Inicial!J32="SI",Inicial!H32,"N/A")</f>
        <v>32</v>
      </c>
      <c r="I33" s="54">
        <f>IF(Inicial!J32="SI",Inicial!I32,"N/A")</f>
        <v>20</v>
      </c>
      <c r="J33" s="6" t="s">
        <v>64</v>
      </c>
      <c r="K33" s="6" t="s">
        <v>64</v>
      </c>
      <c r="L33" s="6" t="s">
        <v>64</v>
      </c>
      <c r="M33" s="6" t="s">
        <v>64</v>
      </c>
      <c r="N33" s="6" t="s">
        <v>64</v>
      </c>
      <c r="O33" s="6" t="s">
        <v>64</v>
      </c>
      <c r="P33" s="6" t="str">
        <f t="shared" si="0"/>
        <v>Aceptable</v>
      </c>
      <c r="Q33" s="6" t="s">
        <v>115</v>
      </c>
      <c r="R33" s="6" t="s">
        <v>115</v>
      </c>
      <c r="S33" s="6" t="s">
        <v>115</v>
      </c>
      <c r="T33" s="6" t="s">
        <v>115</v>
      </c>
      <c r="U33" s="6" t="s">
        <v>115</v>
      </c>
      <c r="V33" s="6" t="s">
        <v>115</v>
      </c>
      <c r="W33" s="6" t="str">
        <f t="shared" si="1"/>
        <v>No Critico</v>
      </c>
    </row>
    <row r="34" spans="1:23" ht="34.15" customHeight="1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>
        <f>IF(Inicial!J33="SI",Inicial!E33,"N/A")</f>
        <v>0</v>
      </c>
      <c r="F34" s="52" t="str">
        <f>IF(Inicial!J33="SI",Inicial!F33,"N/A")</f>
        <v>N/A</v>
      </c>
      <c r="G34" s="52">
        <f>IF(Inicial!J33="SI",Inicial!G33,"N/A")</f>
        <v>3</v>
      </c>
      <c r="H34" s="52">
        <f>IF(Inicial!J33="SI",Inicial!H33,"N/A")</f>
        <v>32</v>
      </c>
      <c r="I34" s="54">
        <f>IF(Inicial!J33="SI",Inicial!I33,"N/A")</f>
        <v>20</v>
      </c>
      <c r="J34" s="45" t="s">
        <v>64</v>
      </c>
      <c r="K34" s="6" t="s">
        <v>64</v>
      </c>
      <c r="L34" s="6" t="s">
        <v>64</v>
      </c>
      <c r="M34" s="6" t="s">
        <v>64</v>
      </c>
      <c r="N34" s="6" t="s">
        <v>64</v>
      </c>
      <c r="O34" s="6" t="s">
        <v>64</v>
      </c>
      <c r="P34" s="6" t="str">
        <f t="shared" si="0"/>
        <v>Aceptable</v>
      </c>
      <c r="Q34" s="6" t="s">
        <v>115</v>
      </c>
      <c r="R34" s="6" t="s">
        <v>115</v>
      </c>
      <c r="S34" s="6" t="s">
        <v>115</v>
      </c>
      <c r="T34" s="6" t="s">
        <v>115</v>
      </c>
      <c r="U34" s="6" t="s">
        <v>115</v>
      </c>
      <c r="V34" s="6" t="s">
        <v>115</v>
      </c>
      <c r="W34" s="6" t="str">
        <f t="shared" si="1"/>
        <v>No Critico</v>
      </c>
    </row>
    <row r="35" spans="1:23" ht="34.15" hidden="1" customHeight="1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IF(Inicial!J34="SI",Inicial!E34,"N/A")</f>
        <v>N/A</v>
      </c>
      <c r="F35" s="52" t="str">
        <f>IF(Inicial!J34="SI",Inicial!F34,"N/A")</f>
        <v>N/A</v>
      </c>
      <c r="G35" s="52" t="str">
        <f>IF(Inicial!J34="SI",Inicial!G34,"N/A")</f>
        <v>N/A</v>
      </c>
      <c r="H35" s="52" t="str">
        <f>IF(Inicial!J34="SI",Inicial!H34,"N/A")</f>
        <v>N/A</v>
      </c>
      <c r="I35" s="54" t="str">
        <f>IF(Inicial!J34="SI",Inicial!I34,"N/A")</f>
        <v>N/A</v>
      </c>
      <c r="P35" s="6" t="str">
        <f t="shared" si="0"/>
        <v>Aceptable</v>
      </c>
      <c r="W35" s="6" t="str">
        <f t="shared" si="1"/>
        <v>Critico</v>
      </c>
    </row>
    <row r="36" spans="1:23" ht="34.15" customHeight="1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IF(Inicial!J35="SI",Inicial!E35,"N/A")</f>
        <v>06:45 - 15:55 / 14:55 - 00:20</v>
      </c>
      <c r="F36" s="52" t="str">
        <f>IF(Inicial!J35="SI",Inicial!F35,"N/A")</f>
        <v>N/A</v>
      </c>
      <c r="G36" s="52">
        <f>IF(Inicial!J35="SI",Inicial!G35,"N/A")</f>
        <v>2</v>
      </c>
      <c r="H36" s="52">
        <f>IF(Inicial!J35="SI",Inicial!H35,"N/A")</f>
        <v>96</v>
      </c>
      <c r="I36" s="54">
        <f>IF(Inicial!J35="SI",Inicial!I35,"N/A")</f>
        <v>6</v>
      </c>
      <c r="J36" s="45" t="s">
        <v>115</v>
      </c>
      <c r="K36" s="6" t="s">
        <v>64</v>
      </c>
      <c r="L36" s="6" t="s">
        <v>64</v>
      </c>
      <c r="M36" s="6" t="s">
        <v>64</v>
      </c>
      <c r="N36" s="6" t="s">
        <v>115</v>
      </c>
      <c r="O36" s="6" t="s">
        <v>64</v>
      </c>
      <c r="P36" s="6" t="str">
        <f t="shared" si="0"/>
        <v>No Aceptable</v>
      </c>
      <c r="Q36" s="6" t="s">
        <v>115</v>
      </c>
      <c r="R36" s="6" t="s">
        <v>115</v>
      </c>
      <c r="S36" s="6" t="s">
        <v>115</v>
      </c>
      <c r="T36" s="6" t="s">
        <v>115</v>
      </c>
      <c r="U36" s="6" t="s">
        <v>115</v>
      </c>
      <c r="V36" s="6" t="s">
        <v>115</v>
      </c>
      <c r="W36" s="6" t="str">
        <f t="shared" si="1"/>
        <v>No Critico</v>
      </c>
    </row>
    <row r="37" spans="1:23" ht="34.15" hidden="1" customHeight="1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IF(Inicial!J36="SI",Inicial!E36,"N/A")</f>
        <v>06:45 - 15:55 / 14:55 - 00:20</v>
      </c>
      <c r="F37" s="52" t="str">
        <f>IF(Inicial!J36="SI",Inicial!F36,"N/A")</f>
        <v>N/A</v>
      </c>
      <c r="G37" s="52">
        <f>IF(Inicial!J36="SI",Inicial!G36,"N/A")</f>
        <v>2</v>
      </c>
      <c r="H37" s="52">
        <f>IF(Inicial!J36="SI",Inicial!H36,"N/A")</f>
        <v>13</v>
      </c>
      <c r="I37" s="54">
        <f>IF(Inicial!J36="SI",Inicial!I36,"N/A")</f>
        <v>1</v>
      </c>
      <c r="J37" s="45" t="s">
        <v>115</v>
      </c>
      <c r="K37" s="6" t="s">
        <v>64</v>
      </c>
      <c r="L37" s="6" t="s">
        <v>64</v>
      </c>
      <c r="M37" s="6" t="s">
        <v>64</v>
      </c>
      <c r="N37" s="6" t="s">
        <v>64</v>
      </c>
      <c r="O37" s="6" t="s">
        <v>115</v>
      </c>
      <c r="P37" s="6" t="str">
        <f t="shared" si="0"/>
        <v>No Aceptable</v>
      </c>
      <c r="Q37" s="6" t="s">
        <v>115</v>
      </c>
      <c r="R37" s="6" t="s">
        <v>115</v>
      </c>
      <c r="S37" s="6" t="s">
        <v>115</v>
      </c>
      <c r="T37" s="6" t="s">
        <v>115</v>
      </c>
      <c r="U37" s="6" t="s">
        <v>115</v>
      </c>
      <c r="V37" s="6" t="s">
        <v>64</v>
      </c>
      <c r="W37" s="6" t="str">
        <f t="shared" si="1"/>
        <v>Critico</v>
      </c>
    </row>
    <row r="38" spans="1:23" ht="34.15" hidden="1" customHeight="1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IF(Inicial!J37="SI",Inicial!E37,"N/A")</f>
        <v>N/A</v>
      </c>
      <c r="F38" s="52" t="str">
        <f>IF(Inicial!J37="SI",Inicial!F37,"N/A")</f>
        <v>N/A</v>
      </c>
      <c r="G38" s="52" t="str">
        <f>IF(Inicial!J37="SI",Inicial!G37,"N/A")</f>
        <v>N/A</v>
      </c>
      <c r="H38" s="52" t="str">
        <f>IF(Inicial!J37="SI",Inicial!H37,"N/A")</f>
        <v>N/A</v>
      </c>
      <c r="I38" s="54" t="str">
        <f>IF(Inicial!J37="SI",Inicial!I37,"N/A")</f>
        <v>N/A</v>
      </c>
      <c r="P38" s="6" t="str">
        <f t="shared" si="0"/>
        <v>Aceptable</v>
      </c>
      <c r="W38" s="6" t="str">
        <f t="shared" si="1"/>
        <v>Critico</v>
      </c>
    </row>
    <row r="39" spans="1:23" ht="34.15" hidden="1" customHeight="1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IF(Inicial!J38="SI",Inicial!E38,"N/A")</f>
        <v>N/A</v>
      </c>
      <c r="F39" s="52" t="str">
        <f>IF(Inicial!J38="SI",Inicial!F38,"N/A")</f>
        <v>N/A</v>
      </c>
      <c r="G39" s="52" t="str">
        <f>IF(Inicial!J38="SI",Inicial!G38,"N/A")</f>
        <v>N/A</v>
      </c>
      <c r="H39" s="52" t="str">
        <f>IF(Inicial!J38="SI",Inicial!H38,"N/A")</f>
        <v>N/A</v>
      </c>
      <c r="I39" s="54" t="str">
        <f>IF(Inicial!J38="SI",Inicial!I38,"N/A")</f>
        <v>N/A</v>
      </c>
      <c r="P39" s="6" t="str">
        <f t="shared" si="0"/>
        <v>Aceptable</v>
      </c>
      <c r="W39" s="6" t="str">
        <f t="shared" si="1"/>
        <v>Critico</v>
      </c>
    </row>
    <row r="40" spans="1:23" ht="34.15" hidden="1" customHeight="1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IF(Inicial!J39="SI",Inicial!E39,"N/A")</f>
        <v>N/A</v>
      </c>
      <c r="F40" s="52" t="str">
        <f>IF(Inicial!J39="SI",Inicial!F39,"N/A")</f>
        <v>N/A</v>
      </c>
      <c r="G40" s="52" t="str">
        <f>IF(Inicial!J39="SI",Inicial!G39,"N/A")</f>
        <v>N/A</v>
      </c>
      <c r="H40" s="52" t="str">
        <f>IF(Inicial!J39="SI",Inicial!H39,"N/A")</f>
        <v>N/A</v>
      </c>
      <c r="I40" s="54" t="str">
        <f>IF(Inicial!J39="SI",Inicial!I39,"N/A")</f>
        <v>N/A</v>
      </c>
      <c r="J40" s="45" t="s">
        <v>64</v>
      </c>
      <c r="K40" s="6" t="s">
        <v>64</v>
      </c>
      <c r="L40" s="6" t="s">
        <v>64</v>
      </c>
      <c r="M40" s="6" t="s">
        <v>64</v>
      </c>
      <c r="N40" s="6" t="s">
        <v>64</v>
      </c>
      <c r="O40" s="6" t="s">
        <v>64</v>
      </c>
      <c r="P40" s="6" t="str">
        <f t="shared" si="0"/>
        <v>Aceptable</v>
      </c>
      <c r="W40" s="6" t="str">
        <f t="shared" si="1"/>
        <v>Critico</v>
      </c>
    </row>
    <row r="41" spans="1:23" ht="34.15" hidden="1" customHeight="1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IF(Inicial!J40="SI",Inicial!E40,"N/A")</f>
        <v>N/A</v>
      </c>
      <c r="F41" s="52" t="str">
        <f>IF(Inicial!J40="SI",Inicial!F40,"N/A")</f>
        <v>N/A</v>
      </c>
      <c r="G41" s="52" t="str">
        <f>IF(Inicial!J40="SI",Inicial!G40,"N/A")</f>
        <v>N/A</v>
      </c>
      <c r="H41" s="52" t="str">
        <f>IF(Inicial!J40="SI",Inicial!H40,"N/A")</f>
        <v>N/A</v>
      </c>
      <c r="I41" s="54" t="str">
        <f>IF(Inicial!J40="SI",Inicial!I40,"N/A")</f>
        <v>N/A</v>
      </c>
      <c r="P41" s="6" t="str">
        <f t="shared" si="0"/>
        <v>Aceptable</v>
      </c>
      <c r="W41" s="6" t="str">
        <f t="shared" si="1"/>
        <v>Critico</v>
      </c>
    </row>
    <row r="42" spans="1:23" ht="39.6" customHeight="1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IF(Inicial!J41="SI",Inicial!E41,"N/A")</f>
        <v>06:45 - 15:55 / 14:55 - 00:20</v>
      </c>
      <c r="F42" s="52" t="str">
        <f>IF(Inicial!J41="SI",Inicial!F41,"N/A")</f>
        <v>N/A</v>
      </c>
      <c r="G42" s="52">
        <f>IF(Inicial!J41="SI",Inicial!G41,"N/A")</f>
        <v>2</v>
      </c>
      <c r="H42" s="52">
        <f>IF(Inicial!J41="SI",Inicial!H41,"N/A")</f>
        <v>96</v>
      </c>
      <c r="I42" s="54">
        <f>IF(Inicial!J41="SI",Inicial!I41,"N/A")</f>
        <v>6</v>
      </c>
      <c r="J42" s="45" t="s">
        <v>115</v>
      </c>
      <c r="K42" s="6" t="s">
        <v>64</v>
      </c>
      <c r="L42" s="6" t="s">
        <v>64</v>
      </c>
      <c r="M42" s="6" t="s">
        <v>64</v>
      </c>
      <c r="N42" s="6" t="s">
        <v>115</v>
      </c>
      <c r="O42" s="6" t="s">
        <v>64</v>
      </c>
      <c r="P42" s="6" t="str">
        <f t="shared" si="0"/>
        <v>No Aceptable</v>
      </c>
      <c r="Q42" s="6" t="s">
        <v>115</v>
      </c>
      <c r="R42" s="6" t="s">
        <v>115</v>
      </c>
      <c r="S42" s="6" t="s">
        <v>115</v>
      </c>
      <c r="T42" s="6" t="s">
        <v>115</v>
      </c>
      <c r="U42" s="6" t="s">
        <v>115</v>
      </c>
      <c r="V42" s="6" t="s">
        <v>115</v>
      </c>
      <c r="W42" s="6" t="str">
        <f t="shared" si="1"/>
        <v>No Critico</v>
      </c>
    </row>
    <row r="43" spans="1:23" ht="39.6" hidden="1" customHeight="1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IF(Inicial!J42="SI",Inicial!E42,"N/A")</f>
        <v>N/A</v>
      </c>
      <c r="F43" s="52" t="str">
        <f>IF(Inicial!J42="SI",Inicial!F42,"N/A")</f>
        <v>N/A</v>
      </c>
      <c r="G43" s="52" t="str">
        <f>IF(Inicial!J42="SI",Inicial!G42,"N/A")</f>
        <v>N/A</v>
      </c>
      <c r="H43" s="52" t="str">
        <f>IF(Inicial!J42="SI",Inicial!H42,"N/A")</f>
        <v>N/A</v>
      </c>
      <c r="I43" s="54" t="str">
        <f>IF(Inicial!J42="SI",Inicial!I42,"N/A")</f>
        <v>N/A</v>
      </c>
      <c r="P43" s="6" t="str">
        <f t="shared" si="0"/>
        <v>Aceptable</v>
      </c>
      <c r="W43" s="6" t="str">
        <f t="shared" si="1"/>
        <v>Critico</v>
      </c>
    </row>
    <row r="44" spans="1:23" ht="39.6" customHeight="1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IF(Inicial!J43="SI",Inicial!E43,"N/A")</f>
        <v>07:05 - 15:05  15:15 - 00:15</v>
      </c>
      <c r="F44" s="52" t="str">
        <f>IF(Inicial!J43="SI",Inicial!F43,"N/A")</f>
        <v>N/A</v>
      </c>
      <c r="G44" s="52">
        <f>IF(Inicial!J43="SI",Inicial!G43,"N/A")</f>
        <v>2</v>
      </c>
      <c r="H44" s="52">
        <f>IF(Inicial!J43="SI",Inicial!H43,"N/A")</f>
        <v>66</v>
      </c>
      <c r="I44" s="54">
        <f>IF(Inicial!J43="SI",Inicial!I43,"N/A")</f>
        <v>73</v>
      </c>
      <c r="J44" s="45" t="s">
        <v>115</v>
      </c>
      <c r="K44" s="6" t="s">
        <v>64</v>
      </c>
      <c r="L44" s="6" t="s">
        <v>64</v>
      </c>
      <c r="M44" s="6" t="s">
        <v>64</v>
      </c>
      <c r="N44" s="6" t="s">
        <v>64</v>
      </c>
      <c r="O44" s="6" t="s">
        <v>64</v>
      </c>
      <c r="P44" s="6" t="str">
        <f t="shared" si="0"/>
        <v>No Aceptable</v>
      </c>
      <c r="Q44" s="6" t="s">
        <v>115</v>
      </c>
      <c r="R44" s="6" t="s">
        <v>115</v>
      </c>
      <c r="S44" s="6" t="s">
        <v>115</v>
      </c>
      <c r="T44" s="6" t="s">
        <v>115</v>
      </c>
      <c r="U44" s="6" t="s">
        <v>115</v>
      </c>
      <c r="V44" s="6" t="s">
        <v>115</v>
      </c>
      <c r="W44" s="6" t="str">
        <f t="shared" si="1"/>
        <v>No Critico</v>
      </c>
    </row>
    <row r="45" spans="1:23" ht="39.6" customHeight="1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IF(Inicial!J44="SI",Inicial!E44,"N/A")</f>
        <v>07:05 - 15:05  15:15 - 00:15</v>
      </c>
      <c r="F45" s="52" t="str">
        <f>IF(Inicial!J44="SI",Inicial!F44,"N/A")</f>
        <v>N/A</v>
      </c>
      <c r="G45" s="52">
        <f>IF(Inicial!J44="SI",Inicial!G44,"N/A")</f>
        <v>2</v>
      </c>
      <c r="H45" s="52">
        <f>IF(Inicial!J44="SI",Inicial!H44,"N/A")</f>
        <v>66</v>
      </c>
      <c r="I45" s="54">
        <f>IF(Inicial!J44="SI",Inicial!I44,"N/A")</f>
        <v>73</v>
      </c>
      <c r="J45" s="45" t="s">
        <v>115</v>
      </c>
      <c r="K45" s="6" t="s">
        <v>64</v>
      </c>
      <c r="L45" s="6" t="s">
        <v>64</v>
      </c>
      <c r="M45" s="6" t="s">
        <v>64</v>
      </c>
      <c r="N45" s="6" t="s">
        <v>64</v>
      </c>
      <c r="O45" s="6" t="s">
        <v>64</v>
      </c>
      <c r="P45" s="6" t="str">
        <f t="shared" si="0"/>
        <v>No Aceptable</v>
      </c>
      <c r="Q45" s="6" t="s">
        <v>115</v>
      </c>
      <c r="R45" s="6" t="s">
        <v>115</v>
      </c>
      <c r="S45" s="6" t="s">
        <v>115</v>
      </c>
      <c r="T45" s="6" t="s">
        <v>115</v>
      </c>
      <c r="U45" s="6" t="s">
        <v>115</v>
      </c>
      <c r="V45" s="6" t="s">
        <v>115</v>
      </c>
      <c r="W45" s="6" t="str">
        <f t="shared" si="1"/>
        <v>No Critico</v>
      </c>
    </row>
    <row r="46" spans="1:23" ht="39.6" customHeight="1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IF(Inicial!J45="SI",Inicial!E45,"N/A")</f>
        <v>07:05 - 15:05  15:15 - 00:15</v>
      </c>
      <c r="F46" s="52" t="str">
        <f>IF(Inicial!J45="SI",Inicial!F45,"N/A")</f>
        <v>N/A</v>
      </c>
      <c r="G46" s="52">
        <f>IF(Inicial!J45="SI",Inicial!G45,"N/A")</f>
        <v>2</v>
      </c>
      <c r="H46" s="52">
        <f>IF(Inicial!J45="SI",Inicial!H45,"N/A")</f>
        <v>66</v>
      </c>
      <c r="I46" s="54">
        <f>IF(Inicial!J45="SI",Inicial!I45,"N/A")</f>
        <v>73</v>
      </c>
      <c r="J46" s="45" t="s">
        <v>115</v>
      </c>
      <c r="K46" s="6" t="s">
        <v>64</v>
      </c>
      <c r="L46" s="6" t="s">
        <v>64</v>
      </c>
      <c r="M46" s="6" t="s">
        <v>64</v>
      </c>
      <c r="N46" s="6" t="s">
        <v>64</v>
      </c>
      <c r="O46" s="6" t="s">
        <v>64</v>
      </c>
      <c r="P46" s="6" t="str">
        <f t="shared" si="0"/>
        <v>No Aceptable</v>
      </c>
      <c r="Q46" s="6" t="s">
        <v>115</v>
      </c>
      <c r="R46" s="6" t="s">
        <v>115</v>
      </c>
      <c r="S46" s="6" t="s">
        <v>115</v>
      </c>
      <c r="T46" s="6" t="s">
        <v>115</v>
      </c>
      <c r="U46" s="6" t="s">
        <v>115</v>
      </c>
      <c r="V46" s="6" t="s">
        <v>115</v>
      </c>
      <c r="W46" s="6" t="str">
        <f t="shared" si="1"/>
        <v>No Critico</v>
      </c>
    </row>
    <row r="47" spans="1:23" ht="39.6" customHeight="1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IF(Inicial!J46="SI",Inicial!E46,"N/A")</f>
        <v>07:05 - 15:05  15:15 - 00:15</v>
      </c>
      <c r="F47" s="52" t="str">
        <f>IF(Inicial!J46="SI",Inicial!F46,"N/A")</f>
        <v>N/A</v>
      </c>
      <c r="G47" s="52">
        <f>IF(Inicial!J46="SI",Inicial!G46,"N/A")</f>
        <v>2</v>
      </c>
      <c r="H47" s="52">
        <f>IF(Inicial!J46="SI",Inicial!H46,"N/A")</f>
        <v>66</v>
      </c>
      <c r="I47" s="54">
        <f>IF(Inicial!J46="SI",Inicial!I46,"N/A")</f>
        <v>73</v>
      </c>
      <c r="J47" s="45" t="s">
        <v>115</v>
      </c>
      <c r="K47" s="6" t="s">
        <v>64</v>
      </c>
      <c r="L47" s="6" t="s">
        <v>64</v>
      </c>
      <c r="M47" s="6" t="s">
        <v>64</v>
      </c>
      <c r="N47" s="6" t="s">
        <v>64</v>
      </c>
      <c r="O47" s="6" t="s">
        <v>64</v>
      </c>
      <c r="P47" s="6" t="str">
        <f t="shared" si="0"/>
        <v>No Aceptable</v>
      </c>
      <c r="Q47" s="6" t="s">
        <v>115</v>
      </c>
      <c r="R47" s="6" t="s">
        <v>115</v>
      </c>
      <c r="S47" s="6" t="s">
        <v>115</v>
      </c>
      <c r="T47" s="6" t="s">
        <v>115</v>
      </c>
      <c r="U47" s="6" t="s">
        <v>115</v>
      </c>
      <c r="V47" s="6" t="s">
        <v>115</v>
      </c>
      <c r="W47" s="6" t="str">
        <f t="shared" si="1"/>
        <v>No Critico</v>
      </c>
    </row>
    <row r="48" spans="1:23" ht="39.6" customHeight="1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IF(Inicial!J47="SI",Inicial!E47,"N/A")</f>
        <v>07:05 - 15:05  15:15 - 00:15</v>
      </c>
      <c r="F48" s="52" t="str">
        <f>IF(Inicial!J47="SI",Inicial!F47,"N/A")</f>
        <v>N/A</v>
      </c>
      <c r="G48" s="52">
        <f>IF(Inicial!J47="SI",Inicial!G47,"N/A")</f>
        <v>2</v>
      </c>
      <c r="H48" s="52">
        <f>IF(Inicial!J47="SI",Inicial!H47,"N/A")</f>
        <v>66</v>
      </c>
      <c r="I48" s="54">
        <f>IF(Inicial!J47="SI",Inicial!I47,"N/A")</f>
        <v>73</v>
      </c>
      <c r="J48" s="45" t="s">
        <v>64</v>
      </c>
      <c r="K48" s="6" t="s">
        <v>64</v>
      </c>
      <c r="L48" s="6" t="s">
        <v>64</v>
      </c>
      <c r="M48" s="6" t="s">
        <v>64</v>
      </c>
      <c r="N48" s="6" t="s">
        <v>64</v>
      </c>
      <c r="O48" s="6" t="s">
        <v>64</v>
      </c>
      <c r="P48" s="6" t="str">
        <f t="shared" si="0"/>
        <v>Aceptable</v>
      </c>
      <c r="Q48" s="6" t="s">
        <v>115</v>
      </c>
      <c r="R48" s="6" t="s">
        <v>115</v>
      </c>
      <c r="S48" s="6" t="s">
        <v>115</v>
      </c>
      <c r="T48" s="6" t="s">
        <v>115</v>
      </c>
      <c r="U48" s="6" t="s">
        <v>115</v>
      </c>
      <c r="V48" s="6" t="s">
        <v>115</v>
      </c>
      <c r="W48" s="6" t="str">
        <f t="shared" si="1"/>
        <v>No Critico</v>
      </c>
    </row>
    <row r="49" spans="1:23" ht="34.15" customHeight="1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IF(Inicial!J48="SI",Inicial!E48,"N/A")</f>
        <v>06:45 - 15:05  15:05 - 23:55</v>
      </c>
      <c r="F49" s="52" t="str">
        <f>IF(Inicial!J48="SI",Inicial!F48,"N/A")</f>
        <v>N/A</v>
      </c>
      <c r="G49" s="52">
        <f>IF(Inicial!J48="SI",Inicial!G48,"N/A")</f>
        <v>2</v>
      </c>
      <c r="H49" s="52">
        <f>IF(Inicial!J48="SI",Inicial!H48,"N/A")</f>
        <v>66</v>
      </c>
      <c r="I49" s="54">
        <f>IF(Inicial!J48="SI",Inicial!I48,"N/A")</f>
        <v>73</v>
      </c>
      <c r="J49" s="45" t="s">
        <v>64</v>
      </c>
      <c r="K49" s="6" t="s">
        <v>64</v>
      </c>
      <c r="L49" s="6" t="s">
        <v>64</v>
      </c>
      <c r="M49" s="6" t="s">
        <v>64</v>
      </c>
      <c r="N49" s="6" t="s">
        <v>64</v>
      </c>
      <c r="O49" s="6" t="s">
        <v>64</v>
      </c>
      <c r="P49" s="6" t="str">
        <f t="shared" si="0"/>
        <v>Aceptable</v>
      </c>
      <c r="Q49" s="6" t="s">
        <v>115</v>
      </c>
      <c r="R49" s="6" t="s">
        <v>115</v>
      </c>
      <c r="S49" s="6" t="s">
        <v>115</v>
      </c>
      <c r="T49" s="6" t="s">
        <v>115</v>
      </c>
      <c r="U49" s="6" t="s">
        <v>115</v>
      </c>
      <c r="V49" s="6" t="s">
        <v>115</v>
      </c>
      <c r="W49" s="6" t="s">
        <v>335</v>
      </c>
    </row>
    <row r="50" spans="1:23" ht="30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IF(Inicial!J49="SI",Inicial!E49,"N/A")</f>
        <v>07:05 - 15:05  15:15 - 00:15</v>
      </c>
      <c r="F50" s="52" t="str">
        <f>IF(Inicial!J49="SI",Inicial!F49,"N/A")</f>
        <v>N/A</v>
      </c>
      <c r="G50" s="52">
        <f>IF(Inicial!J49="SI",Inicial!G49,"N/A")</f>
        <v>2</v>
      </c>
      <c r="H50" s="52">
        <f>IF(Inicial!J49="SI",Inicial!H49,"N/A")</f>
        <v>66</v>
      </c>
      <c r="I50" s="54">
        <f>IF(Inicial!J49="SI",Inicial!I49,"N/A")</f>
        <v>0</v>
      </c>
      <c r="J50" s="45" t="s">
        <v>64</v>
      </c>
      <c r="K50" s="6" t="s">
        <v>64</v>
      </c>
      <c r="L50" s="6" t="s">
        <v>64</v>
      </c>
      <c r="M50" s="6" t="s">
        <v>64</v>
      </c>
      <c r="N50" s="6" t="s">
        <v>64</v>
      </c>
      <c r="O50" s="6" t="s">
        <v>64</v>
      </c>
      <c r="P50" s="6" t="str">
        <f t="shared" si="0"/>
        <v>Aceptable</v>
      </c>
      <c r="Q50" s="6" t="s">
        <v>115</v>
      </c>
      <c r="R50" s="6" t="s">
        <v>115</v>
      </c>
      <c r="S50" s="6" t="s">
        <v>115</v>
      </c>
      <c r="T50" s="6" t="s">
        <v>115</v>
      </c>
      <c r="U50" s="6" t="s">
        <v>115</v>
      </c>
      <c r="V50" s="6" t="s">
        <v>115</v>
      </c>
      <c r="W50" s="6" t="str">
        <f t="shared" si="1"/>
        <v>No Critico</v>
      </c>
    </row>
    <row r="51" spans="1:23" hidden="1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54" t="e">
        <f>IF(Inicial!#REF!="SI",Inicial!#REF!,"N/A")</f>
        <v>#REF!</v>
      </c>
      <c r="P51" s="6" t="str">
        <f t="shared" si="0"/>
        <v>Aceptable</v>
      </c>
      <c r="W51" s="6" t="str">
        <f t="shared" si="1"/>
        <v>Critico</v>
      </c>
    </row>
    <row r="52" spans="1:23" hidden="1">
      <c r="A52" s="51" t="e">
        <f>Inicial!#REF!</f>
        <v>#REF!</v>
      </c>
      <c r="B52" s="52" t="e">
        <f>Inicial!#REF!</f>
        <v>#REF!</v>
      </c>
      <c r="C52" s="52" t="e">
        <f>Inicial!#REF!</f>
        <v>#REF!</v>
      </c>
      <c r="D52" s="53" t="e">
        <f>Inicial!#REF!</f>
        <v>#REF!</v>
      </c>
      <c r="E52" s="51" t="e">
        <f>IF(Inicial!#REF!="SI",Inicial!#REF!,"N/A")</f>
        <v>#REF!</v>
      </c>
      <c r="F52" s="52" t="e">
        <f>IF(Inicial!#REF!="SI",Inicial!#REF!,"N/A")</f>
        <v>#REF!</v>
      </c>
      <c r="G52" s="52" t="e">
        <f>IF(Inicial!#REF!="SI",Inicial!#REF!,"N/A")</f>
        <v>#REF!</v>
      </c>
      <c r="H52" s="52" t="e">
        <f>IF(Inicial!#REF!="SI",Inicial!#REF!,"N/A")</f>
        <v>#REF!</v>
      </c>
      <c r="I52" s="54" t="e">
        <f>IF(Inicial!#REF!="SI",Inicial!#REF!,"N/A")</f>
        <v>#REF!</v>
      </c>
      <c r="P52" s="6" t="str">
        <f t="shared" si="0"/>
        <v>Aceptable</v>
      </c>
      <c r="W52" s="6" t="str">
        <f t="shared" si="1"/>
        <v>Critico</v>
      </c>
    </row>
    <row r="53" spans="1:23" ht="28.9">
      <c r="A53" s="51">
        <f>Inicial!A50</f>
        <v>48</v>
      </c>
      <c r="B53" s="52" t="str">
        <f>Inicial!B50</f>
        <v>Procesos</v>
      </c>
      <c r="C53" s="52" t="str">
        <f>Inicial!C50</f>
        <v>Mesanina</v>
      </c>
      <c r="D53" s="53" t="str">
        <f>Inicial!D50</f>
        <v>Recolgado</v>
      </c>
      <c r="E53" s="51" t="str">
        <f>IF(Inicial!J50="SI",Inicial!E50,"N/A")</f>
        <v>07:05 - 15:05  15:15 - 00:15</v>
      </c>
      <c r="F53" s="52" t="str">
        <f>IF(Inicial!J50="SI",Inicial!F50,"N/A")</f>
        <v>N/A</v>
      </c>
      <c r="G53" s="52">
        <f>IF(Inicial!J50="SI",Inicial!G50,"N/A")</f>
        <v>2</v>
      </c>
      <c r="H53" s="52">
        <f>IF(Inicial!J50="SI",Inicial!H50,"N/A")</f>
        <v>66</v>
      </c>
      <c r="I53" s="54">
        <f>IF(Inicial!J50="SI",Inicial!I50,"N/A")</f>
        <v>73</v>
      </c>
      <c r="J53" s="45" t="s">
        <v>115</v>
      </c>
      <c r="K53" s="6" t="s">
        <v>64</v>
      </c>
      <c r="L53" s="6" t="s">
        <v>115</v>
      </c>
      <c r="M53" s="6" t="s">
        <v>64</v>
      </c>
      <c r="N53" s="6" t="s">
        <v>64</v>
      </c>
      <c r="O53" s="6" t="s">
        <v>64</v>
      </c>
      <c r="P53" s="6" t="str">
        <f t="shared" si="0"/>
        <v>No Aceptable</v>
      </c>
      <c r="Q53" s="6" t="s">
        <v>115</v>
      </c>
      <c r="R53" s="6" t="s">
        <v>115</v>
      </c>
      <c r="S53" s="6" t="s">
        <v>115</v>
      </c>
      <c r="T53" s="6" t="s">
        <v>115</v>
      </c>
      <c r="U53" s="6" t="s">
        <v>115</v>
      </c>
      <c r="V53" s="6" t="s">
        <v>115</v>
      </c>
      <c r="W53" s="6" t="str">
        <f t="shared" si="1"/>
        <v>No Critico</v>
      </c>
    </row>
    <row r="54" spans="1:23" hidden="1">
      <c r="A54" s="51" t="e">
        <f>Inicial!#REF!</f>
        <v>#REF!</v>
      </c>
      <c r="B54" s="52" t="e">
        <f>Inicial!#REF!</f>
        <v>#REF!</v>
      </c>
      <c r="C54" s="52" t="e">
        <f>Inicial!#REF!</f>
        <v>#REF!</v>
      </c>
      <c r="D54" s="53" t="e">
        <f>Inicial!#REF!</f>
        <v>#REF!</v>
      </c>
      <c r="E54" s="51" t="e">
        <f>IF(Inicial!#REF!="SI",Inicial!#REF!,"N/A")</f>
        <v>#REF!</v>
      </c>
      <c r="F54" s="52" t="e">
        <f>IF(Inicial!#REF!="SI",Inicial!#REF!,"N/A")</f>
        <v>#REF!</v>
      </c>
      <c r="G54" s="52" t="e">
        <f>IF(Inicial!#REF!="SI",Inicial!#REF!,"N/A")</f>
        <v>#REF!</v>
      </c>
      <c r="H54" s="52" t="e">
        <f>IF(Inicial!#REF!="SI",Inicial!#REF!,"N/A")</f>
        <v>#REF!</v>
      </c>
      <c r="I54" s="54" t="e">
        <f>IF(Inicial!#REF!="SI",Inicial!#REF!,"N/A")</f>
        <v>#REF!</v>
      </c>
      <c r="P54" s="6" t="str">
        <f t="shared" si="0"/>
        <v>Aceptable</v>
      </c>
      <c r="W54" s="6" t="str">
        <f t="shared" si="1"/>
        <v>Critico</v>
      </c>
    </row>
    <row r="55" spans="1:23" ht="27.6">
      <c r="A55" s="51">
        <f>Inicial!A51</f>
        <v>49</v>
      </c>
      <c r="B55" s="52" t="str">
        <f>Inicial!B51</f>
        <v>Procesos</v>
      </c>
      <c r="C55" s="52" t="str">
        <f>Inicial!C51</f>
        <v>Trozado</v>
      </c>
      <c r="D55" s="53" t="str">
        <f>Inicial!D51</f>
        <v>Tranferidor</v>
      </c>
      <c r="E55" s="51" t="str">
        <f>IF(Inicial!J51="SI",Inicial!E51,"N/A")</f>
        <v>07:05 - 15:05  15:15 - 00:15</v>
      </c>
      <c r="F55" s="52" t="str">
        <f>IF(Inicial!J51="SI",Inicial!F51,"N/A")</f>
        <v>N/A</v>
      </c>
      <c r="G55" s="52">
        <f>IF(Inicial!J51="SI",Inicial!G51,"N/A")</f>
        <v>2</v>
      </c>
      <c r="H55" s="52">
        <f>IF(Inicial!J51="SI",Inicial!H51,"N/A")</f>
        <v>66</v>
      </c>
      <c r="I55" s="54">
        <f>IF(Inicial!J51="SI",Inicial!I51,"N/A")</f>
        <v>0</v>
      </c>
      <c r="J55" s="45" t="s">
        <v>64</v>
      </c>
      <c r="K55" s="6" t="s">
        <v>64</v>
      </c>
      <c r="L55" s="6" t="s">
        <v>64</v>
      </c>
      <c r="M55" s="6" t="s">
        <v>64</v>
      </c>
      <c r="N55" s="6" t="s">
        <v>64</v>
      </c>
      <c r="O55" s="6" t="s">
        <v>64</v>
      </c>
      <c r="P55" s="6" t="str">
        <f t="shared" si="0"/>
        <v>Aceptable</v>
      </c>
      <c r="Q55" s="6" t="s">
        <v>115</v>
      </c>
      <c r="R55" s="6" t="s">
        <v>115</v>
      </c>
      <c r="S55" s="6" t="s">
        <v>115</v>
      </c>
      <c r="T55" s="6" t="s">
        <v>115</v>
      </c>
      <c r="U55" s="6" t="s">
        <v>115</v>
      </c>
      <c r="V55" s="6" t="s">
        <v>115</v>
      </c>
      <c r="W55" s="6" t="str">
        <f t="shared" si="1"/>
        <v>No Critico</v>
      </c>
    </row>
    <row r="56" spans="1:23" hidden="1">
      <c r="A56" s="51">
        <f>Inicial!A52</f>
        <v>50</v>
      </c>
      <c r="B56" s="52" t="str">
        <f>Inicial!B52</f>
        <v>Procesos</v>
      </c>
      <c r="C56" s="52" t="str">
        <f>Inicial!C52</f>
        <v>Trozado</v>
      </c>
      <c r="D56" s="53" t="str">
        <f>Inicial!D52</f>
        <v>Transpaletero</v>
      </c>
      <c r="E56" s="51" t="str">
        <f>IF(Inicial!J52="SI",Inicial!E52,"N/A")</f>
        <v>N/A</v>
      </c>
      <c r="F56" s="52" t="str">
        <f>IF(Inicial!J52="SI",Inicial!F52,"N/A")</f>
        <v>N/A</v>
      </c>
      <c r="G56" s="52" t="str">
        <f>IF(Inicial!J52="SI",Inicial!G52,"N/A")</f>
        <v>N/A</v>
      </c>
      <c r="H56" s="52" t="str">
        <f>IF(Inicial!J52="SI",Inicial!H52,"N/A")</f>
        <v>N/A</v>
      </c>
      <c r="I56" s="54" t="str">
        <f>IF(Inicial!J52="SI",Inicial!I52,"N/A")</f>
        <v>N/A</v>
      </c>
      <c r="P56" s="6" t="str">
        <f t="shared" si="0"/>
        <v>Aceptable</v>
      </c>
      <c r="W56" s="6" t="str">
        <f t="shared" si="1"/>
        <v>Critico</v>
      </c>
    </row>
    <row r="57" spans="1:23" ht="28.9">
      <c r="A57" s="51">
        <f>Inicial!A53</f>
        <v>51</v>
      </c>
      <c r="B57" s="52" t="str">
        <f>Inicial!B53</f>
        <v>Procesos</v>
      </c>
      <c r="C57" s="52" t="str">
        <f>Inicial!C53</f>
        <v>Trozado L2</v>
      </c>
      <c r="D57" s="53" t="str">
        <f>Inicial!D53</f>
        <v>Trozado manual</v>
      </c>
      <c r="E57" s="51" t="str">
        <f>IF(Inicial!J53="SI",Inicial!E53,"N/A")</f>
        <v>07:05 - 15:05  15:15 - 00:15</v>
      </c>
      <c r="F57" s="52" t="str">
        <f>IF(Inicial!J53="SI",Inicial!F53,"N/A")</f>
        <v>N/A</v>
      </c>
      <c r="G57" s="52">
        <f>IF(Inicial!J53="SI",Inicial!G53,"N/A")</f>
        <v>2</v>
      </c>
      <c r="H57" s="52">
        <f>IF(Inicial!J53="SI",Inicial!H53,"N/A")</f>
        <v>66</v>
      </c>
      <c r="I57" s="54">
        <f>IF(Inicial!J53="SI",Inicial!I53,"N/A")</f>
        <v>73</v>
      </c>
      <c r="J57" s="45" t="s">
        <v>115</v>
      </c>
      <c r="K57" s="6" t="s">
        <v>64</v>
      </c>
      <c r="L57" s="6" t="s">
        <v>64</v>
      </c>
      <c r="M57" s="6" t="s">
        <v>64</v>
      </c>
      <c r="N57" s="6" t="s">
        <v>64</v>
      </c>
      <c r="O57" s="6" t="s">
        <v>64</v>
      </c>
      <c r="P57" s="6" t="str">
        <f t="shared" si="0"/>
        <v>No Aceptable</v>
      </c>
      <c r="Q57" s="6" t="s">
        <v>115</v>
      </c>
      <c r="R57" s="6" t="s">
        <v>115</v>
      </c>
      <c r="S57" s="6" t="s">
        <v>115</v>
      </c>
      <c r="T57" s="6" t="s">
        <v>115</v>
      </c>
      <c r="U57" s="6" t="s">
        <v>115</v>
      </c>
      <c r="V57" s="6" t="s">
        <v>115</v>
      </c>
      <c r="W57" s="6" t="str">
        <f t="shared" si="1"/>
        <v>No Critico</v>
      </c>
    </row>
    <row r="58" spans="1:23" hidden="1">
      <c r="A58" s="51">
        <f>Inicial!A54</f>
        <v>52</v>
      </c>
      <c r="B58" s="52" t="str">
        <f>Inicial!B54</f>
        <v>Procesos</v>
      </c>
      <c r="C58" s="52" t="str">
        <f>Inicial!C54</f>
        <v>Trozado</v>
      </c>
      <c r="D58" s="53" t="str">
        <f>Inicial!D54</f>
        <v>Maquinista</v>
      </c>
      <c r="E58" s="51" t="str">
        <f>IF(Inicial!J54="SI",Inicial!E54,"N/A")</f>
        <v>N/A</v>
      </c>
      <c r="F58" s="52" t="str">
        <f>IF(Inicial!J54="SI",Inicial!F54,"N/A")</f>
        <v>N/A</v>
      </c>
      <c r="G58" s="52" t="str">
        <f>IF(Inicial!J54="SI",Inicial!G54,"N/A")</f>
        <v>N/A</v>
      </c>
      <c r="H58" s="52" t="str">
        <f>IF(Inicial!J54="SI",Inicial!H54,"N/A")</f>
        <v>N/A</v>
      </c>
      <c r="I58" s="54" t="str">
        <f>IF(Inicial!J54="SI",Inicial!I54,"N/A")</f>
        <v>N/A</v>
      </c>
      <c r="P58" s="6" t="str">
        <f t="shared" si="0"/>
        <v>Aceptable</v>
      </c>
      <c r="W58" s="6" t="str">
        <f t="shared" si="1"/>
        <v>Critico</v>
      </c>
    </row>
    <row r="59" spans="1:23" ht="28.9">
      <c r="A59" s="51">
        <f>Inicial!A55</f>
        <v>53</v>
      </c>
      <c r="B59" s="52" t="str">
        <f>Inicial!B55</f>
        <v>Procesos</v>
      </c>
      <c r="C59" s="52" t="str">
        <f>Inicial!C55</f>
        <v>Trozado</v>
      </c>
      <c r="D59" s="53" t="str">
        <f>Inicial!D55</f>
        <v>Fechado</v>
      </c>
      <c r="E59" s="51" t="str">
        <f>IF(Inicial!J55="SI",Inicial!E55,"N/A")</f>
        <v>07:05 - 15:05  15:15 - 00:15</v>
      </c>
      <c r="F59" s="52" t="str">
        <f>IF(Inicial!J55="SI",Inicial!F55,"N/A")</f>
        <v>N/A</v>
      </c>
      <c r="G59" s="52">
        <f>IF(Inicial!J55="SI",Inicial!G55,"N/A")</f>
        <v>2</v>
      </c>
      <c r="H59" s="52">
        <f>IF(Inicial!J55="SI",Inicial!H55,"N/A")</f>
        <v>66</v>
      </c>
      <c r="I59" s="54">
        <f>IF(Inicial!J55="SI",Inicial!I55,"N/A")</f>
        <v>73</v>
      </c>
      <c r="J59" s="45" t="s">
        <v>115</v>
      </c>
      <c r="K59" s="6" t="s">
        <v>64</v>
      </c>
      <c r="L59" s="6" t="s">
        <v>64</v>
      </c>
      <c r="M59" s="6" t="s">
        <v>64</v>
      </c>
      <c r="N59" s="6" t="s">
        <v>64</v>
      </c>
      <c r="O59" s="6" t="s">
        <v>64</v>
      </c>
      <c r="P59" s="6" t="str">
        <f t="shared" si="0"/>
        <v>No Aceptable</v>
      </c>
      <c r="Q59" s="6" t="s">
        <v>115</v>
      </c>
      <c r="R59" s="6" t="s">
        <v>115</v>
      </c>
      <c r="S59" s="6" t="s">
        <v>115</v>
      </c>
      <c r="T59" s="6" t="s">
        <v>115</v>
      </c>
      <c r="U59" s="6" t="s">
        <v>115</v>
      </c>
      <c r="V59" s="6" t="s">
        <v>115</v>
      </c>
      <c r="W59" s="6" t="str">
        <f t="shared" si="1"/>
        <v>No Critico</v>
      </c>
    </row>
    <row r="60" spans="1:23" ht="28.9">
      <c r="A60" s="51">
        <f>Inicial!A56</f>
        <v>54</v>
      </c>
      <c r="B60" s="52" t="str">
        <f>Inicial!B56</f>
        <v>Procesos</v>
      </c>
      <c r="C60" s="52" t="str">
        <f>Inicial!C56</f>
        <v>Trozado L1</v>
      </c>
      <c r="D60" s="53" t="str">
        <f>Inicial!D56</f>
        <v>Embalado pollo personal</v>
      </c>
      <c r="E60" s="51" t="str">
        <f>IF(Inicial!J56="SI",Inicial!E56,"N/A")</f>
        <v>07:05 - 15:05  15:15 - 00:15</v>
      </c>
      <c r="F60" s="52" t="str">
        <f>IF(Inicial!J56="SI",Inicial!F56,"N/A")</f>
        <v>N/A</v>
      </c>
      <c r="G60" s="52">
        <f>IF(Inicial!J56="SI",Inicial!G56,"N/A")</f>
        <v>2</v>
      </c>
      <c r="H60" s="52">
        <f>IF(Inicial!J56="SI",Inicial!H56,"N/A")</f>
        <v>66</v>
      </c>
      <c r="I60" s="54">
        <f>IF(Inicial!J56="SI",Inicial!I56,"N/A")</f>
        <v>73</v>
      </c>
      <c r="J60" s="45" t="s">
        <v>115</v>
      </c>
      <c r="K60" s="6" t="s">
        <v>64</v>
      </c>
      <c r="L60" s="6" t="s">
        <v>64</v>
      </c>
      <c r="M60" s="6" t="s">
        <v>64</v>
      </c>
      <c r="N60" s="6" t="s">
        <v>64</v>
      </c>
      <c r="O60" s="6" t="s">
        <v>64</v>
      </c>
      <c r="P60" s="6" t="str">
        <f t="shared" ref="P60:P119" si="3">IF(OR(J60="NO",K60="NO",L60="NO",M60="NO",N60="NO",O60="NO"),"No Aceptable","Aceptable")</f>
        <v>No Aceptable</v>
      </c>
      <c r="Q60" s="6" t="s">
        <v>115</v>
      </c>
      <c r="R60" s="6" t="s">
        <v>115</v>
      </c>
      <c r="S60" s="6" t="s">
        <v>115</v>
      </c>
      <c r="T60" s="6" t="s">
        <v>115</v>
      </c>
      <c r="U60" s="6" t="s">
        <v>115</v>
      </c>
      <c r="V60" s="6" t="s">
        <v>115</v>
      </c>
      <c r="W60" s="6" t="s">
        <v>335</v>
      </c>
    </row>
    <row r="61" spans="1:23" hidden="1">
      <c r="A61" s="51">
        <f>Inicial!A57</f>
        <v>55</v>
      </c>
      <c r="B61" s="52" t="str">
        <f>Inicial!B57</f>
        <v>Procesos</v>
      </c>
      <c r="C61" s="52" t="str">
        <f>Inicial!C57</f>
        <v>Trozado</v>
      </c>
      <c r="D61" s="53" t="str">
        <f>Inicial!D57</f>
        <v>Programador</v>
      </c>
      <c r="E61" s="51" t="str">
        <f>IF(Inicial!J57="SI",Inicial!E57,"N/A")</f>
        <v>N/A</v>
      </c>
      <c r="F61" s="52" t="str">
        <f>IF(Inicial!J57="SI",Inicial!F57,"N/A")</f>
        <v>N/A</v>
      </c>
      <c r="G61" s="52" t="str">
        <f>IF(Inicial!J57="SI",Inicial!G57,"N/A")</f>
        <v>N/A</v>
      </c>
      <c r="H61" s="52" t="str">
        <f>IF(Inicial!J57="SI",Inicial!H57,"N/A")</f>
        <v>N/A</v>
      </c>
      <c r="I61" s="54" t="str">
        <f>IF(Inicial!J57="SI",Inicial!I57,"N/A")</f>
        <v>N/A</v>
      </c>
      <c r="P61" s="6" t="str">
        <f t="shared" si="3"/>
        <v>Aceptable</v>
      </c>
      <c r="W61" s="6" t="str">
        <f t="shared" ref="W61:W119" si="4">IF(AND(Q61="NO",R61="NO",S61="NO",T61="NO",U61="NO",V61="NO"),"No Critico","Critico")</f>
        <v>Critico</v>
      </c>
    </row>
    <row r="62" spans="1:23" ht="28.9">
      <c r="A62" s="51">
        <f>Inicial!A58</f>
        <v>56</v>
      </c>
      <c r="B62" s="52" t="str">
        <f>Inicial!B58</f>
        <v>Procesos</v>
      </c>
      <c r="C62" s="52" t="str">
        <f>Inicial!C58</f>
        <v>Trozado L5</v>
      </c>
      <c r="D62" s="53" t="str">
        <f>Inicial!D58</f>
        <v>Vacio espinazo</v>
      </c>
      <c r="E62" s="51" t="str">
        <f>IF(Inicial!J58="SI",Inicial!E58,"N/A")</f>
        <v>07:05 - 15:05  15:15 - 00:15</v>
      </c>
      <c r="F62" s="52" t="str">
        <f>IF(Inicial!J58="SI",Inicial!F58,"N/A")</f>
        <v>N/A</v>
      </c>
      <c r="G62" s="52">
        <f>IF(Inicial!J58="SI",Inicial!G58,"N/A")</f>
        <v>2</v>
      </c>
      <c r="H62" s="52">
        <f>IF(Inicial!J58="SI",Inicial!H58,"N/A")</f>
        <v>66</v>
      </c>
      <c r="I62" s="54">
        <f>IF(Inicial!J58="SI",Inicial!I58,"N/A")</f>
        <v>73</v>
      </c>
      <c r="J62" s="45" t="s">
        <v>115</v>
      </c>
      <c r="K62" s="6" t="s">
        <v>64</v>
      </c>
      <c r="L62" s="6" t="s">
        <v>64</v>
      </c>
      <c r="M62" s="6" t="s">
        <v>64</v>
      </c>
      <c r="N62" s="6" t="s">
        <v>64</v>
      </c>
      <c r="O62" s="6" t="s">
        <v>64</v>
      </c>
      <c r="P62" s="6" t="str">
        <f t="shared" si="3"/>
        <v>No Aceptable</v>
      </c>
      <c r="Q62" s="6" t="s">
        <v>115</v>
      </c>
      <c r="R62" s="6" t="s">
        <v>115</v>
      </c>
      <c r="S62" s="6" t="s">
        <v>115</v>
      </c>
      <c r="T62" s="6" t="s">
        <v>115</v>
      </c>
      <c r="U62" s="6" t="s">
        <v>115</v>
      </c>
      <c r="V62" s="6" t="s">
        <v>115</v>
      </c>
      <c r="W62" s="6" t="str">
        <f t="shared" si="4"/>
        <v>No Critico</v>
      </c>
    </row>
    <row r="63" spans="1:23" ht="28.9">
      <c r="A63" s="51">
        <f>Inicial!A59</f>
        <v>57</v>
      </c>
      <c r="B63" s="52" t="str">
        <f>Inicial!B59</f>
        <v>Procesos</v>
      </c>
      <c r="C63" s="52" t="str">
        <f>Inicial!C59</f>
        <v>Trozado L5</v>
      </c>
      <c r="D63" s="53" t="str">
        <f>Inicial!D59</f>
        <v>Vacio punta espinazo</v>
      </c>
      <c r="E63" s="51" t="str">
        <f>IF(Inicial!J59="SI",Inicial!E59,"N/A")</f>
        <v>07:05 - 15:05  15:15 - 00:15</v>
      </c>
      <c r="F63" s="52" t="str">
        <f>IF(Inicial!J59="SI",Inicial!F59,"N/A")</f>
        <v>N/A</v>
      </c>
      <c r="G63" s="52">
        <f>IF(Inicial!J59="SI",Inicial!G59,"N/A")</f>
        <v>2</v>
      </c>
      <c r="H63" s="52">
        <f>IF(Inicial!J59="SI",Inicial!H59,"N/A")</f>
        <v>66</v>
      </c>
      <c r="I63" s="54">
        <f>IF(Inicial!J59="SI",Inicial!I59,"N/A")</f>
        <v>73</v>
      </c>
      <c r="J63" s="45" t="s">
        <v>115</v>
      </c>
      <c r="K63" s="6" t="s">
        <v>64</v>
      </c>
      <c r="L63" s="6" t="s">
        <v>64</v>
      </c>
      <c r="M63" s="6" t="s">
        <v>64</v>
      </c>
      <c r="N63" s="6" t="s">
        <v>64</v>
      </c>
      <c r="O63" s="6" t="s">
        <v>64</v>
      </c>
      <c r="P63" s="6" t="str">
        <f t="shared" si="3"/>
        <v>No Aceptable</v>
      </c>
      <c r="Q63" s="6" t="s">
        <v>115</v>
      </c>
      <c r="R63" s="6" t="s">
        <v>115</v>
      </c>
      <c r="S63" s="6" t="s">
        <v>115</v>
      </c>
      <c r="T63" s="6" t="s">
        <v>115</v>
      </c>
      <c r="U63" s="6" t="s">
        <v>115</v>
      </c>
      <c r="V63" s="6" t="s">
        <v>115</v>
      </c>
      <c r="W63" s="6" t="str">
        <f t="shared" si="4"/>
        <v>No Critico</v>
      </c>
    </row>
    <row r="64" spans="1:23" ht="27.6" hidden="1">
      <c r="A64" s="51">
        <f>Inicial!A60</f>
        <v>58</v>
      </c>
      <c r="B64" s="52" t="str">
        <f>Inicial!B60</f>
        <v>Procesos</v>
      </c>
      <c r="C64" s="52" t="str">
        <f>Inicial!C60</f>
        <v>Trozado</v>
      </c>
      <c r="D64" s="53" t="str">
        <f>Inicial!D60</f>
        <v>Trozado manual cazuela</v>
      </c>
      <c r="E64" s="51" t="str">
        <f>IF(Inicial!J60="SI",Inicial!E60,"N/A")</f>
        <v>N/A</v>
      </c>
      <c r="F64" s="52" t="str">
        <f>IF(Inicial!J60="SI",Inicial!F60,"N/A")</f>
        <v>N/A</v>
      </c>
      <c r="G64" s="52" t="str">
        <f>IF(Inicial!J60="SI",Inicial!G60,"N/A")</f>
        <v>N/A</v>
      </c>
      <c r="H64" s="52" t="str">
        <f>IF(Inicial!J60="SI",Inicial!H60,"N/A")</f>
        <v>N/A</v>
      </c>
      <c r="I64" s="54" t="str">
        <f>IF(Inicial!J60="SI",Inicial!I60,"N/A")</f>
        <v>N/A</v>
      </c>
      <c r="P64" s="6" t="str">
        <f t="shared" si="3"/>
        <v>Aceptable</v>
      </c>
      <c r="W64" s="6" t="str">
        <f t="shared" si="4"/>
        <v>Critico</v>
      </c>
    </row>
    <row r="65" spans="1:23" ht="27.6" hidden="1">
      <c r="A65" s="51">
        <f>Inicial!A61</f>
        <v>59</v>
      </c>
      <c r="B65" s="52" t="str">
        <f>Inicial!B61</f>
        <v>Procesos</v>
      </c>
      <c r="C65" s="52" t="str">
        <f>Inicial!C61</f>
        <v>Trozado L5</v>
      </c>
      <c r="D65" s="53" t="str">
        <f>Inicial!D61</f>
        <v>Traslado de Decomiso</v>
      </c>
      <c r="E65" s="51" t="str">
        <f>IF(Inicial!J61="SI",Inicial!E61,"N/A")</f>
        <v>N/A</v>
      </c>
      <c r="F65" s="52" t="str">
        <f>IF(Inicial!J61="SI",Inicial!F61,"N/A")</f>
        <v>N/A</v>
      </c>
      <c r="G65" s="52" t="str">
        <f>IF(Inicial!J61="SI",Inicial!G61,"N/A")</f>
        <v>N/A</v>
      </c>
      <c r="H65" s="52" t="str">
        <f>IF(Inicial!J61="SI",Inicial!H61,"N/A")</f>
        <v>N/A</v>
      </c>
      <c r="I65" s="54" t="str">
        <f>IF(Inicial!J61="SI",Inicial!I61,"N/A")</f>
        <v>N/A</v>
      </c>
      <c r="P65" s="6" t="str">
        <f t="shared" si="3"/>
        <v>Aceptable</v>
      </c>
      <c r="W65" s="6" t="str">
        <f t="shared" si="4"/>
        <v>Critico</v>
      </c>
    </row>
    <row r="66" spans="1:23" ht="28.9">
      <c r="A66" s="51">
        <f>Inicial!A62</f>
        <v>60</v>
      </c>
      <c r="B66" s="52" t="str">
        <f>Inicial!B62</f>
        <v>Procesos</v>
      </c>
      <c r="C66" s="52" t="str">
        <f>Inicial!C62</f>
        <v>Trozado L5</v>
      </c>
      <c r="D66" s="53" t="str">
        <f>Inicial!D62</f>
        <v>Selección centro ala</v>
      </c>
      <c r="E66" s="51" t="str">
        <f>IF(Inicial!J62="SI",Inicial!E62,"N/A")</f>
        <v>07:05 - 15:05  15:15 - 00:15</v>
      </c>
      <c r="F66" s="52" t="str">
        <f>IF(Inicial!J62="SI",Inicial!F62,"N/A")</f>
        <v>N/A</v>
      </c>
      <c r="G66" s="52">
        <f>IF(Inicial!J62="SI",Inicial!G62,"N/A")</f>
        <v>2</v>
      </c>
      <c r="H66" s="52">
        <f>IF(Inicial!J62="SI",Inicial!H62,"N/A")</f>
        <v>66</v>
      </c>
      <c r="I66" s="54">
        <f>IF(Inicial!J62="SI",Inicial!I62,"N/A")</f>
        <v>73</v>
      </c>
      <c r="J66" s="45" t="s">
        <v>115</v>
      </c>
      <c r="K66" s="6" t="s">
        <v>64</v>
      </c>
      <c r="L66" s="6" t="s">
        <v>64</v>
      </c>
      <c r="M66" s="6" t="s">
        <v>64</v>
      </c>
      <c r="N66" s="6" t="s">
        <v>64</v>
      </c>
      <c r="O66" s="6" t="s">
        <v>64</v>
      </c>
      <c r="P66" s="6" t="str">
        <f>IF(OR(J66="NO",K66="NO",L66="NO",M66="NO",N66="NO",O66="NO"),"No Aceptable","Aceptable")</f>
        <v>No Aceptable</v>
      </c>
      <c r="Q66" s="6" t="s">
        <v>115</v>
      </c>
      <c r="R66" s="6" t="s">
        <v>115</v>
      </c>
      <c r="S66" s="6" t="s">
        <v>115</v>
      </c>
      <c r="T66" s="6" t="s">
        <v>115</v>
      </c>
      <c r="U66" s="6" t="s">
        <v>115</v>
      </c>
      <c r="V66" s="6" t="s">
        <v>115</v>
      </c>
      <c r="W66" s="6" t="str">
        <f>IF(AND(Q66="NO",R66="NO",S66="NO",T66="NO",U66="NO",V66="NO"),"No Critico","Critico")</f>
        <v>No Critico</v>
      </c>
    </row>
    <row r="67" spans="1:23" hidden="1">
      <c r="A67" s="51" t="e">
        <f>Inicial!#REF!</f>
        <v>#REF!</v>
      </c>
      <c r="B67" s="52" t="e">
        <f>Inicial!#REF!</f>
        <v>#REF!</v>
      </c>
      <c r="C67" s="52" t="e">
        <f>Inicial!#REF!</f>
        <v>#REF!</v>
      </c>
      <c r="D67" s="53" t="e">
        <f>Inicial!#REF!</f>
        <v>#REF!</v>
      </c>
      <c r="E67" s="51" t="e">
        <f>IF(Inicial!#REF!="SI",Inicial!#REF!,"N/A")</f>
        <v>#REF!</v>
      </c>
      <c r="F67" s="52" t="e">
        <f>IF(Inicial!#REF!="SI",Inicial!#REF!,"N/A")</f>
        <v>#REF!</v>
      </c>
      <c r="G67" s="52" t="e">
        <f>IF(Inicial!#REF!="SI",Inicial!#REF!,"N/A")</f>
        <v>#REF!</v>
      </c>
      <c r="H67" s="52" t="e">
        <f>IF(Inicial!#REF!="SI",Inicial!#REF!,"N/A")</f>
        <v>#REF!</v>
      </c>
      <c r="I67" s="54" t="e">
        <f>IF(Inicial!#REF!="SI",Inicial!#REF!,"N/A")</f>
        <v>#REF!</v>
      </c>
      <c r="P67" s="6" t="str">
        <f t="shared" si="3"/>
        <v>Aceptable</v>
      </c>
      <c r="W67" s="6" t="str">
        <f t="shared" si="4"/>
        <v>Critico</v>
      </c>
    </row>
    <row r="68" spans="1:23" hidden="1">
      <c r="A68" s="51" t="e">
        <f>Inicial!#REF!</f>
        <v>#REF!</v>
      </c>
      <c r="B68" s="52" t="e">
        <f>Inicial!#REF!</f>
        <v>#REF!</v>
      </c>
      <c r="C68" s="52" t="e">
        <f>Inicial!#REF!</f>
        <v>#REF!</v>
      </c>
      <c r="D68" s="53" t="e">
        <f>Inicial!#REF!</f>
        <v>#REF!</v>
      </c>
      <c r="E68" s="51" t="e">
        <f>IF(Inicial!#REF!="SI",Inicial!#REF!,"N/A")</f>
        <v>#REF!</v>
      </c>
      <c r="F68" s="52" t="e">
        <f>IF(Inicial!#REF!="SI",Inicial!#REF!,"N/A")</f>
        <v>#REF!</v>
      </c>
      <c r="G68" s="52" t="e">
        <f>IF(Inicial!#REF!="SI",Inicial!#REF!,"N/A")</f>
        <v>#REF!</v>
      </c>
      <c r="H68" s="52" t="e">
        <f>IF(Inicial!#REF!="SI",Inicial!#REF!,"N/A")</f>
        <v>#REF!</v>
      </c>
      <c r="I68" s="54" t="e">
        <f>IF(Inicial!#REF!="SI",Inicial!#REF!,"N/A")</f>
        <v>#REF!</v>
      </c>
      <c r="P68" s="6" t="str">
        <f t="shared" si="3"/>
        <v>Aceptable</v>
      </c>
      <c r="W68" s="6" t="str">
        <f t="shared" si="4"/>
        <v>Critico</v>
      </c>
    </row>
    <row r="69" spans="1:23" hidden="1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54" t="e">
        <f>IF(Inicial!#REF!="SI",Inicial!#REF!,"N/A")</f>
        <v>#REF!</v>
      </c>
      <c r="P69" s="6" t="str">
        <f t="shared" si="3"/>
        <v>Aceptable</v>
      </c>
      <c r="W69" s="6" t="str">
        <f t="shared" si="4"/>
        <v>Critico</v>
      </c>
    </row>
    <row r="70" spans="1:23" hidden="1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54" t="e">
        <f>IF(Inicial!#REF!="SI",Inicial!#REF!,"N/A")</f>
        <v>#REF!</v>
      </c>
      <c r="P70" s="6" t="str">
        <f t="shared" si="3"/>
        <v>Aceptable</v>
      </c>
      <c r="W70" s="6" t="str">
        <f t="shared" si="4"/>
        <v>Critico</v>
      </c>
    </row>
    <row r="71" spans="1:23" hidden="1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54" t="e">
        <f>IF(Inicial!#REF!="SI",Inicial!#REF!,"N/A")</f>
        <v>#REF!</v>
      </c>
      <c r="P71" s="6" t="str">
        <f t="shared" si="3"/>
        <v>Aceptable</v>
      </c>
      <c r="W71" s="6" t="str">
        <f t="shared" si="4"/>
        <v>Critico</v>
      </c>
    </row>
    <row r="72" spans="1:23" hidden="1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54" t="e">
        <f>IF(Inicial!#REF!="SI",Inicial!#REF!,"N/A")</f>
        <v>#REF!</v>
      </c>
      <c r="P72" s="6" t="str">
        <f t="shared" si="3"/>
        <v>Aceptable</v>
      </c>
      <c r="W72" s="6" t="str">
        <f t="shared" si="4"/>
        <v>Critico</v>
      </c>
    </row>
    <row r="73" spans="1:23" hidden="1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54" t="e">
        <f>IF(Inicial!#REF!="SI",Inicial!#REF!,"N/A")</f>
        <v>#REF!</v>
      </c>
      <c r="P73" s="6" t="str">
        <f t="shared" si="3"/>
        <v>Aceptable</v>
      </c>
      <c r="W73" s="6" t="str">
        <f t="shared" si="4"/>
        <v>Critico</v>
      </c>
    </row>
    <row r="74" spans="1:23" hidden="1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54" t="e">
        <f>IF(Inicial!#REF!="SI",Inicial!#REF!,"N/A")</f>
        <v>#REF!</v>
      </c>
      <c r="P74" s="6" t="str">
        <f t="shared" si="3"/>
        <v>Aceptable</v>
      </c>
      <c r="W74" s="6" t="str">
        <f t="shared" si="4"/>
        <v>Critico</v>
      </c>
    </row>
    <row r="75" spans="1:23" hidden="1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54" t="e">
        <f>IF(Inicial!#REF!="SI",Inicial!#REF!,"N/A")</f>
        <v>#REF!</v>
      </c>
      <c r="P75" s="6" t="str">
        <f t="shared" si="3"/>
        <v>Aceptable</v>
      </c>
      <c r="W75" s="6" t="str">
        <f t="shared" si="4"/>
        <v>Critico</v>
      </c>
    </row>
    <row r="76" spans="1:23" hidden="1">
      <c r="A76" s="51" t="e">
        <f>Inicial!#REF!</f>
        <v>#REF!</v>
      </c>
      <c r="B76" s="52" t="e">
        <f>Inicial!#REF!</f>
        <v>#REF!</v>
      </c>
      <c r="C76" s="52" t="e">
        <f>Inicial!#REF!</f>
        <v>#REF!</v>
      </c>
      <c r="D76" s="53" t="e">
        <f>Inicial!#REF!</f>
        <v>#REF!</v>
      </c>
      <c r="E76" s="51" t="e">
        <f>IF(Inicial!#REF!="SI",Inicial!#REF!,"N/A")</f>
        <v>#REF!</v>
      </c>
      <c r="F76" s="52" t="e">
        <f>IF(Inicial!#REF!="SI",Inicial!#REF!,"N/A")</f>
        <v>#REF!</v>
      </c>
      <c r="G76" s="52" t="e">
        <f>IF(Inicial!#REF!="SI",Inicial!#REF!,"N/A")</f>
        <v>#REF!</v>
      </c>
      <c r="H76" s="52" t="e">
        <f>IF(Inicial!#REF!="SI",Inicial!#REF!,"N/A")</f>
        <v>#REF!</v>
      </c>
      <c r="I76" s="54" t="e">
        <f>IF(Inicial!#REF!="SI",Inicial!#REF!,"N/A")</f>
        <v>#REF!</v>
      </c>
      <c r="P76" s="6" t="str">
        <f t="shared" si="3"/>
        <v>Aceptable</v>
      </c>
      <c r="W76" s="6" t="str">
        <f t="shared" si="4"/>
        <v>Critico</v>
      </c>
    </row>
    <row r="77" spans="1:23" ht="29.25">
      <c r="A77" s="51">
        <f>Inicial!A63</f>
        <v>61</v>
      </c>
      <c r="B77" s="52" t="str">
        <f>Inicial!B63</f>
        <v>Procesos</v>
      </c>
      <c r="C77" s="52" t="str">
        <f>Inicial!C63</f>
        <v>Trozado L5</v>
      </c>
      <c r="D77" s="53" t="str">
        <f>Inicial!D63</f>
        <v xml:space="preserve">Selección trutro ala </v>
      </c>
      <c r="E77" s="51" t="str">
        <f>IF(Inicial!J63="SI",Inicial!E63,"N/A")</f>
        <v>N/A</v>
      </c>
      <c r="F77" s="52" t="str">
        <f>IF(Inicial!J63="SI",Inicial!F63,"N/A")</f>
        <v>N/A</v>
      </c>
      <c r="G77" s="52" t="str">
        <f>IF(Inicial!J63="SI",Inicial!G63,"N/A")</f>
        <v>N/A</v>
      </c>
      <c r="H77" s="52" t="str">
        <f>IF(Inicial!J63="SI",Inicial!H63,"N/A")</f>
        <v>N/A</v>
      </c>
      <c r="I77" s="54" t="str">
        <f>IF(Inicial!J63="SI",Inicial!I63,"N/A")</f>
        <v>N/A</v>
      </c>
      <c r="J77" s="45" t="s">
        <v>115</v>
      </c>
      <c r="K77" s="6" t="s">
        <v>64</v>
      </c>
      <c r="L77" s="6" t="s">
        <v>64</v>
      </c>
      <c r="M77" s="6" t="s">
        <v>64</v>
      </c>
      <c r="N77" s="6" t="s">
        <v>64</v>
      </c>
      <c r="O77" s="6" t="s">
        <v>64</v>
      </c>
      <c r="P77" s="6" t="str">
        <f t="shared" si="3"/>
        <v>No Aceptable</v>
      </c>
      <c r="Q77" s="6" t="s">
        <v>115</v>
      </c>
      <c r="R77" s="6" t="s">
        <v>115</v>
      </c>
      <c r="S77" s="6" t="s">
        <v>115</v>
      </c>
      <c r="T77" s="6" t="s">
        <v>115</v>
      </c>
      <c r="U77" s="6" t="s">
        <v>115</v>
      </c>
      <c r="V77" s="6" t="s">
        <v>115</v>
      </c>
      <c r="W77" s="6" t="str">
        <f t="shared" si="4"/>
        <v>No Critico</v>
      </c>
    </row>
    <row r="78" spans="1:23" ht="27.6" hidden="1">
      <c r="A78" s="51" t="e">
        <f>Inicial!#REF!</f>
        <v>#REF!</v>
      </c>
      <c r="B78" s="52" t="e">
        <f>Inicial!#REF!</f>
        <v>#REF!</v>
      </c>
      <c r="C78" s="52" t="e">
        <f>Inicial!#REF!</f>
        <v>#REF!</v>
      </c>
      <c r="D78" s="53" t="e">
        <f>Inicial!#REF!</f>
        <v>#REF!</v>
      </c>
      <c r="E78" s="51" t="e">
        <f>IF(Inicial!#REF!="SI",Inicial!#REF!,"N/A")</f>
        <v>#REF!</v>
      </c>
      <c r="F78" s="52" t="e">
        <f>IF(Inicial!#REF!="SI",Inicial!#REF!,"N/A")</f>
        <v>#REF!</v>
      </c>
      <c r="G78" s="52" t="e">
        <f>IF(Inicial!#REF!="SI",Inicial!#REF!,"N/A")</f>
        <v>#REF!</v>
      </c>
      <c r="H78" s="52" t="e">
        <f>IF(Inicial!#REF!="SI",Inicial!#REF!,"N/A")</f>
        <v>#REF!</v>
      </c>
      <c r="I78" s="54" t="e">
        <f>IF(Inicial!#REF!="SI",Inicial!#REF!,"N/A")</f>
        <v>#REF!</v>
      </c>
      <c r="P78" s="6" t="str">
        <f t="shared" si="3"/>
        <v>Aceptable</v>
      </c>
      <c r="W78" s="6" t="str">
        <f t="shared" si="4"/>
        <v>Critico</v>
      </c>
    </row>
    <row r="79" spans="1:23" ht="30">
      <c r="A79" s="51">
        <f>Inicial!A64</f>
        <v>62</v>
      </c>
      <c r="B79" s="52" t="str">
        <f>Inicial!B64</f>
        <v>Procesos</v>
      </c>
      <c r="C79" s="52" t="str">
        <f>Inicial!C64</f>
        <v>Trozado L5</v>
      </c>
      <c r="D79" s="53" t="str">
        <f>Inicial!D64</f>
        <v>Mezclas</v>
      </c>
      <c r="E79" s="51" t="str">
        <f>IF(Inicial!J64="SI",Inicial!E64,"N/A")</f>
        <v>07:05 - 15:05  15:15 - 00:15</v>
      </c>
      <c r="F79" s="52" t="str">
        <f>IF(Inicial!J64="SI",Inicial!F64,"N/A")</f>
        <v>N/A</v>
      </c>
      <c r="G79" s="52">
        <f>IF(Inicial!J64="SI",Inicial!G64,"N/A")</f>
        <v>2</v>
      </c>
      <c r="H79" s="52">
        <f>IF(Inicial!J64="SI",Inicial!H64,"N/A")</f>
        <v>66</v>
      </c>
      <c r="I79" s="54">
        <f>IF(Inicial!J64="SI",Inicial!I64,"N/A")</f>
        <v>73</v>
      </c>
      <c r="J79" s="45" t="s">
        <v>115</v>
      </c>
      <c r="K79" s="6" t="s">
        <v>64</v>
      </c>
      <c r="L79" s="6" t="s">
        <v>64</v>
      </c>
      <c r="M79" s="6" t="s">
        <v>64</v>
      </c>
      <c r="N79" s="6" t="s">
        <v>64</v>
      </c>
      <c r="O79" s="6" t="s">
        <v>64</v>
      </c>
      <c r="P79" s="6" t="str">
        <f t="shared" si="3"/>
        <v>No Aceptable</v>
      </c>
      <c r="Q79" s="6" t="s">
        <v>115</v>
      </c>
      <c r="R79" s="6" t="s">
        <v>115</v>
      </c>
      <c r="S79" s="6" t="s">
        <v>115</v>
      </c>
      <c r="T79" s="6" t="s">
        <v>115</v>
      </c>
      <c r="U79" s="6" t="s">
        <v>115</v>
      </c>
      <c r="V79" s="6" t="s">
        <v>115</v>
      </c>
      <c r="W79" s="6" t="str">
        <f t="shared" si="4"/>
        <v>No Critico</v>
      </c>
    </row>
    <row r="80" spans="1:23" hidden="1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54" t="e">
        <f>IF(Inicial!#REF!="SI",Inicial!#REF!,"N/A")</f>
        <v>#REF!</v>
      </c>
      <c r="P80" s="6" t="str">
        <f t="shared" si="3"/>
        <v>Aceptable</v>
      </c>
      <c r="W80" s="6" t="str">
        <f t="shared" si="4"/>
        <v>Critico</v>
      </c>
    </row>
    <row r="81" spans="1:23" hidden="1">
      <c r="A81" s="51" t="e">
        <f>Inicial!#REF!</f>
        <v>#REF!</v>
      </c>
      <c r="B81" s="52" t="e">
        <f>Inicial!#REF!</f>
        <v>#REF!</v>
      </c>
      <c r="C81" s="52" t="e">
        <f>Inicial!#REF!</f>
        <v>#REF!</v>
      </c>
      <c r="D81" s="53" t="e">
        <f>Inicial!#REF!</f>
        <v>#REF!</v>
      </c>
      <c r="E81" s="51" t="e">
        <f>IF(Inicial!#REF!="SI",Inicial!#REF!,"N/A")</f>
        <v>#REF!</v>
      </c>
      <c r="F81" s="52" t="e">
        <f>IF(Inicial!#REF!="SI",Inicial!#REF!,"N/A")</f>
        <v>#REF!</v>
      </c>
      <c r="G81" s="52" t="e">
        <f>IF(Inicial!#REF!="SI",Inicial!#REF!,"N/A")</f>
        <v>#REF!</v>
      </c>
      <c r="H81" s="52" t="e">
        <f>IF(Inicial!#REF!="SI",Inicial!#REF!,"N/A")</f>
        <v>#REF!</v>
      </c>
      <c r="I81" s="54" t="e">
        <f>IF(Inicial!#REF!="SI",Inicial!#REF!,"N/A")</f>
        <v>#REF!</v>
      </c>
      <c r="P81" s="6" t="str">
        <f t="shared" si="3"/>
        <v>Aceptable</v>
      </c>
      <c r="W81" s="6" t="str">
        <f t="shared" si="4"/>
        <v>Critico</v>
      </c>
    </row>
    <row r="82" spans="1:23" hidden="1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54" t="e">
        <f>IF(Inicial!#REF!="SI",Inicial!#REF!,"N/A")</f>
        <v>#REF!</v>
      </c>
      <c r="P82" s="6" t="str">
        <f t="shared" si="3"/>
        <v>Aceptable</v>
      </c>
      <c r="W82" s="6" t="str">
        <f t="shared" si="4"/>
        <v>Critico</v>
      </c>
    </row>
    <row r="83" spans="1:23" hidden="1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54" t="e">
        <f>IF(Inicial!#REF!="SI",Inicial!#REF!,"N/A")</f>
        <v>#REF!</v>
      </c>
      <c r="P83" s="6" t="str">
        <f t="shared" si="3"/>
        <v>Aceptable</v>
      </c>
      <c r="W83" s="6" t="str">
        <f t="shared" si="4"/>
        <v>Critico</v>
      </c>
    </row>
    <row r="84" spans="1:23" hidden="1">
      <c r="A84" s="51" t="e">
        <f>Inicial!#REF!</f>
        <v>#REF!</v>
      </c>
      <c r="B84" s="52" t="e">
        <f>Inicial!#REF!</f>
        <v>#REF!</v>
      </c>
      <c r="C84" s="52" t="e">
        <f>Inicial!#REF!</f>
        <v>#REF!</v>
      </c>
      <c r="D84" s="53" t="e">
        <f>Inicial!#REF!</f>
        <v>#REF!</v>
      </c>
      <c r="E84" s="51" t="e">
        <f>IF(Inicial!#REF!="SI",Inicial!#REF!,"N/A")</f>
        <v>#REF!</v>
      </c>
      <c r="F84" s="52" t="e">
        <f>IF(Inicial!#REF!="SI",Inicial!#REF!,"N/A")</f>
        <v>#REF!</v>
      </c>
      <c r="G84" s="52" t="e">
        <f>IF(Inicial!#REF!="SI",Inicial!#REF!,"N/A")</f>
        <v>#REF!</v>
      </c>
      <c r="H84" s="52" t="e">
        <f>IF(Inicial!#REF!="SI",Inicial!#REF!,"N/A")</f>
        <v>#REF!</v>
      </c>
      <c r="I84" s="54" t="e">
        <f>IF(Inicial!#REF!="SI",Inicial!#REF!,"N/A")</f>
        <v>#REF!</v>
      </c>
      <c r="P84" s="6" t="str">
        <f t="shared" si="3"/>
        <v>Aceptable</v>
      </c>
      <c r="W84" s="6" t="str">
        <f t="shared" si="4"/>
        <v>Critico</v>
      </c>
    </row>
    <row r="85" spans="1:23" ht="28.9">
      <c r="A85" s="51">
        <f>Inicial!A65</f>
        <v>63</v>
      </c>
      <c r="B85" s="52" t="str">
        <f>Inicial!B65</f>
        <v>Procesos</v>
      </c>
      <c r="C85" s="52" t="str">
        <f>Inicial!C65</f>
        <v>Paletizado Fresco</v>
      </c>
      <c r="D85" s="53" t="str">
        <f>Inicial!D65</f>
        <v>Embalaje de producto</v>
      </c>
      <c r="E85" s="51" t="str">
        <f>IF(Inicial!J65="SI",Inicial!E65,"N/A")</f>
        <v>06:55 - 14:55 / 14:55 - 00:20</v>
      </c>
      <c r="F85" s="52" t="str">
        <f>IF(Inicial!J65="SI",Inicial!F65,"N/A")</f>
        <v>N/A</v>
      </c>
      <c r="G85" s="52">
        <f>IF(Inicial!J65="SI",Inicial!G65,"N/A")</f>
        <v>2</v>
      </c>
      <c r="H85" s="52">
        <f>IF(Inicial!J65="SI",Inicial!H65,"N/A")</f>
        <v>99</v>
      </c>
      <c r="I85" s="54">
        <f>IF(Inicial!J65="SI",Inicial!I65,"N/A")</f>
        <v>6</v>
      </c>
      <c r="J85" s="45" t="s">
        <v>115</v>
      </c>
      <c r="K85" s="6" t="s">
        <v>64</v>
      </c>
      <c r="L85" s="6" t="s">
        <v>64</v>
      </c>
      <c r="M85" s="6" t="s">
        <v>64</v>
      </c>
      <c r="N85" s="6" t="s">
        <v>115</v>
      </c>
      <c r="O85" s="6" t="s">
        <v>64</v>
      </c>
      <c r="P85" s="6" t="str">
        <f t="shared" si="3"/>
        <v>No Aceptable</v>
      </c>
      <c r="Q85" s="6" t="s">
        <v>115</v>
      </c>
      <c r="R85" s="6" t="s">
        <v>115</v>
      </c>
      <c r="S85" s="6" t="s">
        <v>115</v>
      </c>
      <c r="T85" s="6" t="s">
        <v>115</v>
      </c>
      <c r="U85" s="6" t="s">
        <v>115</v>
      </c>
      <c r="V85" s="6" t="s">
        <v>115</v>
      </c>
      <c r="W85" s="6" t="str">
        <f t="shared" si="4"/>
        <v>No Critico</v>
      </c>
    </row>
    <row r="86" spans="1:23" ht="28.9">
      <c r="A86" s="51">
        <f>Inicial!A66</f>
        <v>64</v>
      </c>
      <c r="B86" s="52" t="str">
        <f>Inicial!B66</f>
        <v>Procesos</v>
      </c>
      <c r="C86" s="52" t="str">
        <f>Inicial!C66</f>
        <v>Deshuesado Trutro</v>
      </c>
      <c r="D86" s="53" t="str">
        <f>Inicial!D66</f>
        <v>Despieladora</v>
      </c>
      <c r="E86" s="51">
        <f>IF(Inicial!J66="SI",Inicial!E66,"N/A")</f>
        <v>0</v>
      </c>
      <c r="F86" s="52" t="str">
        <f>IF(Inicial!J66="SI",Inicial!F66,"N/A")</f>
        <v>N/A</v>
      </c>
      <c r="G86" s="52">
        <f>IF(Inicial!J66="SI",Inicial!G66,"N/A")</f>
        <v>2</v>
      </c>
      <c r="H86" s="52">
        <f>IF(Inicial!J66="SI",Inicial!H66,"N/A")</f>
        <v>0</v>
      </c>
      <c r="I86" s="54">
        <f>IF(Inicial!J66="SI",Inicial!I66,"N/A")</f>
        <v>0</v>
      </c>
      <c r="J86" s="45" t="s">
        <v>115</v>
      </c>
      <c r="K86" s="6" t="s">
        <v>64</v>
      </c>
      <c r="L86" s="6" t="s">
        <v>64</v>
      </c>
      <c r="M86" s="6" t="s">
        <v>64</v>
      </c>
      <c r="N86" s="6" t="s">
        <v>64</v>
      </c>
      <c r="O86" s="6" t="s">
        <v>64</v>
      </c>
      <c r="P86" s="6" t="str">
        <f t="shared" si="3"/>
        <v>No Aceptable</v>
      </c>
      <c r="Q86" s="6" t="s">
        <v>115</v>
      </c>
      <c r="R86" s="6" t="s">
        <v>115</v>
      </c>
      <c r="S86" s="6" t="s">
        <v>115</v>
      </c>
      <c r="T86" s="6" t="s">
        <v>115</v>
      </c>
      <c r="U86" s="6" t="s">
        <v>115</v>
      </c>
      <c r="V86" s="6" t="s">
        <v>115</v>
      </c>
      <c r="W86" s="6" t="str">
        <f t="shared" si="4"/>
        <v>No Critico</v>
      </c>
    </row>
    <row r="87" spans="1:23" ht="30">
      <c r="A87" s="51">
        <f>Inicial!A67</f>
        <v>65</v>
      </c>
      <c r="B87" s="52" t="str">
        <f>Inicial!B67</f>
        <v>Procesos</v>
      </c>
      <c r="C87" s="52" t="str">
        <f>Inicial!C67</f>
        <v>Deshuesado Trutro</v>
      </c>
      <c r="D87" s="53" t="str">
        <f>Inicial!D67</f>
        <v>Colgado Trutro</v>
      </c>
      <c r="E87" s="51">
        <f>IF(Inicial!J67="SI",Inicial!E67,"N/A")</f>
        <v>0</v>
      </c>
      <c r="F87" s="52" t="str">
        <f>IF(Inicial!J67="SI",Inicial!F67,"N/A")</f>
        <v>N/A</v>
      </c>
      <c r="G87" s="52">
        <f>IF(Inicial!J67="SI",Inicial!G67,"N/A")</f>
        <v>2</v>
      </c>
      <c r="H87" s="52">
        <f>IF(Inicial!J67="SI",Inicial!H67,"N/A")</f>
        <v>0</v>
      </c>
      <c r="I87" s="54">
        <f>IF(Inicial!J67="SI",Inicial!I67,"N/A")</f>
        <v>0</v>
      </c>
      <c r="J87" s="45" t="s">
        <v>115</v>
      </c>
      <c r="K87" s="6" t="s">
        <v>64</v>
      </c>
      <c r="L87" s="6" t="s">
        <v>64</v>
      </c>
      <c r="M87" s="6" t="s">
        <v>64</v>
      </c>
      <c r="N87" s="6" t="s">
        <v>64</v>
      </c>
      <c r="O87" s="6" t="s">
        <v>64</v>
      </c>
      <c r="P87" s="6" t="str">
        <f t="shared" ref="P87:P88" si="5">IF(OR(J87="NO",K87="NO",L87="NO",M87="NO",N87="NO",O87="NO"),"No Aceptable","Aceptable")</f>
        <v>No Aceptable</v>
      </c>
      <c r="Q87" s="6" t="s">
        <v>115</v>
      </c>
      <c r="R87" s="6" t="s">
        <v>115</v>
      </c>
      <c r="S87" s="6" t="s">
        <v>115</v>
      </c>
      <c r="T87" s="6" t="s">
        <v>115</v>
      </c>
      <c r="U87" s="6" t="s">
        <v>115</v>
      </c>
      <c r="V87" s="6" t="s">
        <v>115</v>
      </c>
      <c r="W87" s="6" t="str">
        <f t="shared" ref="W87:W88" si="6">IF(AND(Q87="NO",R87="NO",S87="NO",T87="NO",U87="NO",V87="NO"),"No Critico","Critico")</f>
        <v>No Critico</v>
      </c>
    </row>
    <row r="88" spans="1:23" ht="30">
      <c r="A88" s="51">
        <f>Inicial!A68</f>
        <v>66</v>
      </c>
      <c r="B88" s="52" t="str">
        <f>Inicial!B68</f>
        <v>Procesos</v>
      </c>
      <c r="C88" s="52" t="str">
        <f>Inicial!C68</f>
        <v>Deshuesado Trutro</v>
      </c>
      <c r="D88" s="53" t="str">
        <f>Inicial!D68</f>
        <v>Prolijado</v>
      </c>
      <c r="E88" s="51">
        <f>IF(Inicial!J68="SI",Inicial!E68,"N/A")</f>
        <v>0</v>
      </c>
      <c r="F88" s="52" t="str">
        <f>IF(Inicial!J68="SI",Inicial!F68,"N/A")</f>
        <v>N/A</v>
      </c>
      <c r="G88" s="52">
        <f>IF(Inicial!J68="SI",Inicial!G68,"N/A")</f>
        <v>2</v>
      </c>
      <c r="H88" s="52">
        <f>IF(Inicial!J68="SI",Inicial!H68,"N/A")</f>
        <v>0</v>
      </c>
      <c r="I88" s="54">
        <f>IF(Inicial!J68="SI",Inicial!I68,"N/A")</f>
        <v>0</v>
      </c>
      <c r="J88" s="45" t="s">
        <v>115</v>
      </c>
      <c r="K88" s="6" t="s">
        <v>64</v>
      </c>
      <c r="L88" s="6" t="s">
        <v>64</v>
      </c>
      <c r="M88" s="6" t="s">
        <v>64</v>
      </c>
      <c r="N88" s="6" t="s">
        <v>64</v>
      </c>
      <c r="O88" s="6" t="s">
        <v>64</v>
      </c>
      <c r="P88" s="6" t="str">
        <f t="shared" si="5"/>
        <v>No Aceptable</v>
      </c>
      <c r="Q88" s="6" t="s">
        <v>115</v>
      </c>
      <c r="R88" s="6" t="s">
        <v>115</v>
      </c>
      <c r="S88" s="6" t="s">
        <v>115</v>
      </c>
      <c r="T88" s="6" t="s">
        <v>115</v>
      </c>
      <c r="U88" s="6" t="s">
        <v>115</v>
      </c>
      <c r="V88" s="6" t="s">
        <v>115</v>
      </c>
      <c r="W88" s="6" t="str">
        <f t="shared" si="6"/>
        <v>No Critico</v>
      </c>
    </row>
    <row r="89" spans="1:23" ht="30" hidden="1">
      <c r="A89" s="51">
        <f>Inicial!A69</f>
        <v>67</v>
      </c>
      <c r="B89" s="52" t="str">
        <f>Inicial!B69</f>
        <v>Procesos</v>
      </c>
      <c r="C89" s="52" t="str">
        <f>Inicial!C69</f>
        <v>Deshuesado Trutro</v>
      </c>
      <c r="D89" s="53" t="str">
        <f>Inicial!D69</f>
        <v>Revision de trutro</v>
      </c>
      <c r="E89" s="51" t="str">
        <f>IF(Inicial!J69="SI",Inicial!E69,"N/A")</f>
        <v>N/A</v>
      </c>
      <c r="F89" s="52" t="str">
        <f>IF(Inicial!J69="SI",Inicial!F69,"N/A")</f>
        <v>N/A</v>
      </c>
      <c r="G89" s="52" t="str">
        <f>IF(Inicial!J69="SI",Inicial!G69,"N/A")</f>
        <v>N/A</v>
      </c>
      <c r="H89" s="52" t="str">
        <f>IF(Inicial!J69="SI",Inicial!H69,"N/A")</f>
        <v>N/A</v>
      </c>
      <c r="I89" s="54" t="str">
        <f>IF(Inicial!J69="SI",Inicial!I69,"N/A")</f>
        <v>N/A</v>
      </c>
      <c r="J89" s="6" t="s">
        <v>64</v>
      </c>
      <c r="K89" s="6" t="s">
        <v>64</v>
      </c>
      <c r="L89" s="6" t="s">
        <v>64</v>
      </c>
      <c r="M89" s="6" t="s">
        <v>64</v>
      </c>
      <c r="N89" s="6" t="s">
        <v>64</v>
      </c>
      <c r="O89" s="6" t="s">
        <v>64</v>
      </c>
      <c r="P89" s="6" t="str">
        <f t="shared" si="3"/>
        <v>Aceptable</v>
      </c>
      <c r="W89" s="6" t="str">
        <f t="shared" si="4"/>
        <v>Critico</v>
      </c>
    </row>
    <row r="90" spans="1:23" ht="30">
      <c r="A90" s="51">
        <f>Inicial!A70</f>
        <v>68</v>
      </c>
      <c r="B90" s="52" t="str">
        <f>Inicial!B70</f>
        <v>Procesos</v>
      </c>
      <c r="C90" s="52" t="str">
        <f>Inicial!C70</f>
        <v>Deshuesado Trutro</v>
      </c>
      <c r="D90" s="53" t="str">
        <f>Inicial!D70</f>
        <v>Deshuesado Trutro</v>
      </c>
      <c r="E90" s="51">
        <f>IF(Inicial!J70="SI",Inicial!E70,"N/A")</f>
        <v>0</v>
      </c>
      <c r="F90" s="52" t="str">
        <f>IF(Inicial!J70="SI",Inicial!F70,"N/A")</f>
        <v>N/A</v>
      </c>
      <c r="G90" s="52">
        <f>IF(Inicial!J70="SI",Inicial!G70,"N/A")</f>
        <v>2</v>
      </c>
      <c r="H90" s="52">
        <f>IF(Inicial!J70="SI",Inicial!H70,"N/A")</f>
        <v>0</v>
      </c>
      <c r="I90" s="54">
        <f>IF(Inicial!J70="SI",Inicial!I70,"N/A")</f>
        <v>0</v>
      </c>
      <c r="J90" s="45" t="s">
        <v>115</v>
      </c>
      <c r="K90" s="6" t="s">
        <v>64</v>
      </c>
      <c r="L90" s="6" t="s">
        <v>64</v>
      </c>
      <c r="M90" s="6" t="s">
        <v>64</v>
      </c>
      <c r="N90" s="6" t="s">
        <v>64</v>
      </c>
      <c r="O90" s="6" t="s">
        <v>64</v>
      </c>
      <c r="P90" s="6" t="str">
        <f t="shared" si="3"/>
        <v>No Aceptable</v>
      </c>
      <c r="Q90" s="6" t="s">
        <v>115</v>
      </c>
      <c r="R90" s="6" t="s">
        <v>115</v>
      </c>
      <c r="S90" s="6" t="s">
        <v>115</v>
      </c>
      <c r="T90" s="6" t="s">
        <v>115</v>
      </c>
      <c r="U90" s="6" t="s">
        <v>115</v>
      </c>
      <c r="V90" s="6" t="s">
        <v>115</v>
      </c>
      <c r="W90" s="6" t="str">
        <f t="shared" si="4"/>
        <v>No Critico</v>
      </c>
    </row>
    <row r="91" spans="1:23" hidden="1">
      <c r="A91" s="51">
        <f>Inicial!A71</f>
        <v>0</v>
      </c>
      <c r="B91" s="52">
        <f>Inicial!B71</f>
        <v>0</v>
      </c>
      <c r="C91" s="52">
        <f>Inicial!C71</f>
        <v>0</v>
      </c>
      <c r="D91" s="53">
        <f>Inicial!D71</f>
        <v>0</v>
      </c>
      <c r="E91" s="51" t="str">
        <f>IF(Inicial!J71="SI",Inicial!E71,"N/A")</f>
        <v>N/A</v>
      </c>
      <c r="F91" s="52" t="str">
        <f>IF(Inicial!J71="SI",Inicial!F71,"N/A")</f>
        <v>N/A</v>
      </c>
      <c r="G91" s="52" t="str">
        <f>IF(Inicial!J71="SI",Inicial!G71,"N/A")</f>
        <v>N/A</v>
      </c>
      <c r="H91" s="52" t="str">
        <f>IF(Inicial!J71="SI",Inicial!H71,"N/A")</f>
        <v>N/A</v>
      </c>
      <c r="I91" s="54" t="str">
        <f>IF(Inicial!J71="SI",Inicial!I71,"N/A")</f>
        <v>N/A</v>
      </c>
      <c r="P91" s="6" t="str">
        <f t="shared" si="3"/>
        <v>Aceptable</v>
      </c>
      <c r="W91" s="6" t="str">
        <f t="shared" si="4"/>
        <v>Critico</v>
      </c>
    </row>
    <row r="92" spans="1:23" hidden="1">
      <c r="A92" s="51">
        <f>Inicial!A72</f>
        <v>0</v>
      </c>
      <c r="B92" s="52">
        <f>Inicial!B72</f>
        <v>0</v>
      </c>
      <c r="C92" s="52">
        <f>Inicial!C72</f>
        <v>0</v>
      </c>
      <c r="D92" s="53">
        <f>Inicial!D72</f>
        <v>0</v>
      </c>
      <c r="E92" s="51" t="str">
        <f>IF(Inicial!J72="SI",Inicial!E72,"N/A")</f>
        <v>N/A</v>
      </c>
      <c r="F92" s="52" t="str">
        <f>IF(Inicial!J72="SI",Inicial!F72,"N/A")</f>
        <v>N/A</v>
      </c>
      <c r="G92" s="52" t="str">
        <f>IF(Inicial!J72="SI",Inicial!G72,"N/A")</f>
        <v>N/A</v>
      </c>
      <c r="H92" s="52" t="str">
        <f>IF(Inicial!J72="SI",Inicial!H72,"N/A")</f>
        <v>N/A</v>
      </c>
      <c r="I92" s="54" t="str">
        <f>IF(Inicial!J72="SI",Inicial!I72,"N/A")</f>
        <v>N/A</v>
      </c>
      <c r="P92" s="6" t="str">
        <f t="shared" si="3"/>
        <v>Aceptable</v>
      </c>
      <c r="W92" s="6" t="str">
        <f t="shared" si="4"/>
        <v>Critico</v>
      </c>
    </row>
    <row r="93" spans="1:23" hidden="1">
      <c r="A93" s="51">
        <f>Inicial!A73</f>
        <v>0</v>
      </c>
      <c r="B93" s="52">
        <f>Inicial!B73</f>
        <v>0</v>
      </c>
      <c r="C93" s="52">
        <f>Inicial!C73</f>
        <v>0</v>
      </c>
      <c r="D93" s="53">
        <f>Inicial!D73</f>
        <v>0</v>
      </c>
      <c r="E93" s="51" t="str">
        <f>IF(Inicial!J73="SI",Inicial!E73,"N/A")</f>
        <v>N/A</v>
      </c>
      <c r="F93" s="52" t="str">
        <f>IF(Inicial!J73="SI",Inicial!F73,"N/A")</f>
        <v>N/A</v>
      </c>
      <c r="G93" s="52" t="str">
        <f>IF(Inicial!J73="SI",Inicial!G73,"N/A")</f>
        <v>N/A</v>
      </c>
      <c r="H93" s="52" t="str">
        <f>IF(Inicial!J73="SI",Inicial!H73,"N/A")</f>
        <v>N/A</v>
      </c>
      <c r="I93" s="54" t="str">
        <f>IF(Inicial!J73="SI",Inicial!I73,"N/A")</f>
        <v>N/A</v>
      </c>
      <c r="P93" s="6" t="str">
        <f t="shared" si="3"/>
        <v>Aceptable</v>
      </c>
      <c r="W93" s="6" t="str">
        <f t="shared" si="4"/>
        <v>Critico</v>
      </c>
    </row>
    <row r="94" spans="1:23" hidden="1">
      <c r="A94" s="51">
        <f>Inicial!A74</f>
        <v>0</v>
      </c>
      <c r="B94" s="52">
        <f>Inicial!B74</f>
        <v>0</v>
      </c>
      <c r="C94" s="52">
        <f>Inicial!C74</f>
        <v>0</v>
      </c>
      <c r="D94" s="53">
        <f>Inicial!D74</f>
        <v>0</v>
      </c>
      <c r="E94" s="51" t="str">
        <f>IF(Inicial!J74="SI",Inicial!E74,"N/A")</f>
        <v>N/A</v>
      </c>
      <c r="F94" s="52" t="str">
        <f>IF(Inicial!J74="SI",Inicial!F74,"N/A")</f>
        <v>N/A</v>
      </c>
      <c r="G94" s="52" t="str">
        <f>IF(Inicial!J74="SI",Inicial!G74,"N/A")</f>
        <v>N/A</v>
      </c>
      <c r="H94" s="52" t="str">
        <f>IF(Inicial!J74="SI",Inicial!H74,"N/A")</f>
        <v>N/A</v>
      </c>
      <c r="I94" s="54" t="str">
        <f>IF(Inicial!J74="SI",Inicial!I74,"N/A")</f>
        <v>N/A</v>
      </c>
      <c r="P94" s="6" t="str">
        <f t="shared" si="3"/>
        <v>Aceptable</v>
      </c>
      <c r="W94" s="6" t="str">
        <f t="shared" si="4"/>
        <v>Critico</v>
      </c>
    </row>
    <row r="95" spans="1:23" hidden="1">
      <c r="A95" s="51">
        <f>Inicial!A75</f>
        <v>0</v>
      </c>
      <c r="B95" s="52">
        <f>Inicial!B75</f>
        <v>0</v>
      </c>
      <c r="C95" s="52">
        <f>Inicial!C75</f>
        <v>0</v>
      </c>
      <c r="D95" s="53">
        <f>Inicial!D75</f>
        <v>0</v>
      </c>
      <c r="E95" s="51" t="str">
        <f>IF(Inicial!J75="SI",Inicial!E75,"N/A")</f>
        <v>N/A</v>
      </c>
      <c r="F95" s="52" t="str">
        <f>IF(Inicial!J75="SI",Inicial!F75,"N/A")</f>
        <v>N/A</v>
      </c>
      <c r="G95" s="52" t="str">
        <f>IF(Inicial!J75="SI",Inicial!G75,"N/A")</f>
        <v>N/A</v>
      </c>
      <c r="H95" s="52" t="str">
        <f>IF(Inicial!J75="SI",Inicial!H75,"N/A")</f>
        <v>N/A</v>
      </c>
      <c r="I95" s="54" t="str">
        <f>IF(Inicial!J75="SI",Inicial!I75,"N/A")</f>
        <v>N/A</v>
      </c>
      <c r="P95" s="6" t="str">
        <f t="shared" si="3"/>
        <v>Aceptable</v>
      </c>
      <c r="W95" s="6" t="str">
        <f t="shared" si="4"/>
        <v>Critico</v>
      </c>
    </row>
    <row r="96" spans="1:23" hidden="1">
      <c r="A96" s="51">
        <f>Inicial!A76</f>
        <v>0</v>
      </c>
      <c r="B96" s="52">
        <f>Inicial!B76</f>
        <v>0</v>
      </c>
      <c r="C96" s="52">
        <f>Inicial!C76</f>
        <v>0</v>
      </c>
      <c r="D96" s="53">
        <f>Inicial!D76</f>
        <v>0</v>
      </c>
      <c r="E96" s="51" t="str">
        <f>IF(Inicial!J76="SI",Inicial!E76,"N/A")</f>
        <v>N/A</v>
      </c>
      <c r="F96" s="52" t="str">
        <f>IF(Inicial!J76="SI",Inicial!F76,"N/A")</f>
        <v>N/A</v>
      </c>
      <c r="G96" s="52" t="str">
        <f>IF(Inicial!J76="SI",Inicial!G76,"N/A")</f>
        <v>N/A</v>
      </c>
      <c r="H96" s="52" t="str">
        <f>IF(Inicial!J76="SI",Inicial!H76,"N/A")</f>
        <v>N/A</v>
      </c>
      <c r="I96" s="54" t="str">
        <f>IF(Inicial!J76="SI",Inicial!I76,"N/A")</f>
        <v>N/A</v>
      </c>
      <c r="P96" s="6" t="str">
        <f t="shared" si="3"/>
        <v>Aceptable</v>
      </c>
      <c r="W96" s="6" t="str">
        <f t="shared" si="4"/>
        <v>Critico</v>
      </c>
    </row>
    <row r="97" spans="1:23" hidden="1">
      <c r="A97" s="51">
        <f>Inicial!A77</f>
        <v>0</v>
      </c>
      <c r="B97" s="52">
        <f>Inicial!B77</f>
        <v>0</v>
      </c>
      <c r="C97" s="52">
        <f>Inicial!C77</f>
        <v>0</v>
      </c>
      <c r="D97" s="53">
        <f>Inicial!D77</f>
        <v>0</v>
      </c>
      <c r="E97" s="51" t="str">
        <f>IF(Inicial!J77="SI",Inicial!E77,"N/A")</f>
        <v>N/A</v>
      </c>
      <c r="F97" s="52" t="str">
        <f>IF(Inicial!J77="SI",Inicial!F77,"N/A")</f>
        <v>N/A</v>
      </c>
      <c r="G97" s="52" t="str">
        <f>IF(Inicial!J77="SI",Inicial!G77,"N/A")</f>
        <v>N/A</v>
      </c>
      <c r="H97" s="52" t="str">
        <f>IF(Inicial!J77="SI",Inicial!H77,"N/A")</f>
        <v>N/A</v>
      </c>
      <c r="I97" s="54" t="str">
        <f>IF(Inicial!J77="SI",Inicial!I77,"N/A")</f>
        <v>N/A</v>
      </c>
      <c r="P97" s="6" t="str">
        <f t="shared" si="3"/>
        <v>Aceptable</v>
      </c>
      <c r="W97" s="6" t="str">
        <f t="shared" si="4"/>
        <v>Critico</v>
      </c>
    </row>
    <row r="98" spans="1:23" hidden="1">
      <c r="A98" s="51">
        <f>Inicial!A78</f>
        <v>0</v>
      </c>
      <c r="B98" s="52">
        <f>Inicial!B78</f>
        <v>0</v>
      </c>
      <c r="C98" s="52">
        <f>Inicial!C78</f>
        <v>0</v>
      </c>
      <c r="D98" s="53">
        <f>Inicial!D78</f>
        <v>0</v>
      </c>
      <c r="E98" s="51" t="str">
        <f>IF(Inicial!J78="SI",Inicial!E78,"N/A")</f>
        <v>N/A</v>
      </c>
      <c r="F98" s="52" t="str">
        <f>IF(Inicial!J78="SI",Inicial!F78,"N/A")</f>
        <v>N/A</v>
      </c>
      <c r="G98" s="52" t="str">
        <f>IF(Inicial!J78="SI",Inicial!G78,"N/A")</f>
        <v>N/A</v>
      </c>
      <c r="H98" s="52" t="str">
        <f>IF(Inicial!J78="SI",Inicial!H78,"N/A")</f>
        <v>N/A</v>
      </c>
      <c r="I98" s="54" t="str">
        <f>IF(Inicial!J78="SI",Inicial!I78,"N/A")</f>
        <v>N/A</v>
      </c>
      <c r="P98" s="6" t="str">
        <f t="shared" si="3"/>
        <v>Aceptable</v>
      </c>
      <c r="W98" s="6" t="str">
        <f t="shared" si="4"/>
        <v>Critico</v>
      </c>
    </row>
    <row r="99" spans="1:23" hidden="1">
      <c r="A99" s="51">
        <f>Inicial!A79</f>
        <v>0</v>
      </c>
      <c r="B99" s="52">
        <f>Inicial!B79</f>
        <v>0</v>
      </c>
      <c r="C99" s="52">
        <f>Inicial!C79</f>
        <v>0</v>
      </c>
      <c r="D99" s="53">
        <f>Inicial!D79</f>
        <v>0</v>
      </c>
      <c r="E99" s="51" t="str">
        <f>IF(Inicial!J79="SI",Inicial!E79,"N/A")</f>
        <v>N/A</v>
      </c>
      <c r="F99" s="52" t="str">
        <f>IF(Inicial!J79="SI",Inicial!F79,"N/A")</f>
        <v>N/A</v>
      </c>
      <c r="G99" s="52" t="str">
        <f>IF(Inicial!J79="SI",Inicial!G79,"N/A")</f>
        <v>N/A</v>
      </c>
      <c r="H99" s="52" t="str">
        <f>IF(Inicial!J79="SI",Inicial!H79,"N/A")</f>
        <v>N/A</v>
      </c>
      <c r="I99" s="54" t="str">
        <f>IF(Inicial!J79="SI",Inicial!I79,"N/A")</f>
        <v>N/A</v>
      </c>
      <c r="P99" s="6" t="str">
        <f t="shared" si="3"/>
        <v>Aceptable</v>
      </c>
      <c r="W99" s="6" t="str">
        <f t="shared" si="4"/>
        <v>Critico</v>
      </c>
    </row>
    <row r="100" spans="1:23" hidden="1">
      <c r="A100" s="51">
        <f>Inicial!A80</f>
        <v>0</v>
      </c>
      <c r="B100" s="52">
        <f>Inicial!B80</f>
        <v>0</v>
      </c>
      <c r="C100" s="52">
        <f>Inicial!C80</f>
        <v>0</v>
      </c>
      <c r="D100" s="53">
        <f>Inicial!D80</f>
        <v>0</v>
      </c>
      <c r="E100" s="51" t="str">
        <f>IF(Inicial!J80="SI",Inicial!E80,"N/A")</f>
        <v>N/A</v>
      </c>
      <c r="F100" s="52" t="str">
        <f>IF(Inicial!J80="SI",Inicial!F80,"N/A")</f>
        <v>N/A</v>
      </c>
      <c r="G100" s="52" t="str">
        <f>IF(Inicial!J80="SI",Inicial!G80,"N/A")</f>
        <v>N/A</v>
      </c>
      <c r="H100" s="52" t="str">
        <f>IF(Inicial!J80="SI",Inicial!H80,"N/A")</f>
        <v>N/A</v>
      </c>
      <c r="I100" s="54" t="str">
        <f>IF(Inicial!J80="SI",Inicial!I80,"N/A")</f>
        <v>N/A</v>
      </c>
      <c r="P100" s="6" t="str">
        <f t="shared" si="3"/>
        <v>Aceptable</v>
      </c>
      <c r="W100" s="6" t="str">
        <f t="shared" si="4"/>
        <v>Critico</v>
      </c>
    </row>
    <row r="101" spans="1:23" hidden="1">
      <c r="A101" s="51">
        <f>Inicial!A81</f>
        <v>0</v>
      </c>
      <c r="B101" s="52">
        <f>Inicial!B81</f>
        <v>0</v>
      </c>
      <c r="C101" s="52">
        <f>Inicial!C81</f>
        <v>0</v>
      </c>
      <c r="D101" s="53">
        <f>Inicial!D81</f>
        <v>0</v>
      </c>
      <c r="E101" s="51" t="str">
        <f>IF(Inicial!J81="SI",Inicial!E81,"N/A")</f>
        <v>N/A</v>
      </c>
      <c r="F101" s="52" t="str">
        <f>IF(Inicial!J81="SI",Inicial!F81,"N/A")</f>
        <v>N/A</v>
      </c>
      <c r="G101" s="52" t="str">
        <f>IF(Inicial!J81="SI",Inicial!G81,"N/A")</f>
        <v>N/A</v>
      </c>
      <c r="H101" s="52" t="str">
        <f>IF(Inicial!J81="SI",Inicial!H81,"N/A")</f>
        <v>N/A</v>
      </c>
      <c r="I101" s="54" t="str">
        <f>IF(Inicial!J81="SI",Inicial!I81,"N/A")</f>
        <v>N/A</v>
      </c>
      <c r="P101" s="6" t="str">
        <f t="shared" si="3"/>
        <v>Aceptable</v>
      </c>
      <c r="W101" s="6" t="str">
        <f t="shared" si="4"/>
        <v>Critico</v>
      </c>
    </row>
    <row r="102" spans="1:23" hidden="1">
      <c r="A102" s="51">
        <f>Inicial!A82</f>
        <v>0</v>
      </c>
      <c r="B102" s="52">
        <f>Inicial!B82</f>
        <v>0</v>
      </c>
      <c r="C102" s="52">
        <f>Inicial!C82</f>
        <v>0</v>
      </c>
      <c r="D102" s="53">
        <f>Inicial!D82</f>
        <v>0</v>
      </c>
      <c r="E102" s="51" t="str">
        <f>IF(Inicial!J82="SI",Inicial!E82,"N/A")</f>
        <v>N/A</v>
      </c>
      <c r="F102" s="52" t="str">
        <f>IF(Inicial!J82="SI",Inicial!F82,"N/A")</f>
        <v>N/A</v>
      </c>
      <c r="G102" s="52" t="str">
        <f>IF(Inicial!J82="SI",Inicial!G82,"N/A")</f>
        <v>N/A</v>
      </c>
      <c r="H102" s="52" t="str">
        <f>IF(Inicial!J82="SI",Inicial!H82,"N/A")</f>
        <v>N/A</v>
      </c>
      <c r="I102" s="54" t="str">
        <f>IF(Inicial!J82="SI",Inicial!I82,"N/A")</f>
        <v>N/A</v>
      </c>
      <c r="P102" s="6" t="str">
        <f t="shared" si="3"/>
        <v>Aceptable</v>
      </c>
      <c r="W102" s="6" t="str">
        <f t="shared" si="4"/>
        <v>Critico</v>
      </c>
    </row>
    <row r="103" spans="1:23" hidden="1">
      <c r="A103" s="51">
        <f>Inicial!A83</f>
        <v>0</v>
      </c>
      <c r="B103" s="52">
        <f>Inicial!B83</f>
        <v>0</v>
      </c>
      <c r="C103" s="52">
        <f>Inicial!C83</f>
        <v>0</v>
      </c>
      <c r="D103" s="53">
        <f>Inicial!D83</f>
        <v>0</v>
      </c>
      <c r="E103" s="51" t="str">
        <f>IF(Inicial!J83="SI",Inicial!E83,"N/A")</f>
        <v>N/A</v>
      </c>
      <c r="F103" s="52" t="str">
        <f>IF(Inicial!J83="SI",Inicial!F83,"N/A")</f>
        <v>N/A</v>
      </c>
      <c r="G103" s="52" t="str">
        <f>IF(Inicial!J83="SI",Inicial!G83,"N/A")</f>
        <v>N/A</v>
      </c>
      <c r="H103" s="52" t="str">
        <f>IF(Inicial!J83="SI",Inicial!H83,"N/A")</f>
        <v>N/A</v>
      </c>
      <c r="I103" s="54" t="str">
        <f>IF(Inicial!J83="SI",Inicial!I83,"N/A")</f>
        <v>N/A</v>
      </c>
      <c r="P103" s="6" t="str">
        <f t="shared" si="3"/>
        <v>Aceptable</v>
      </c>
      <c r="W103" s="6" t="str">
        <f t="shared" si="4"/>
        <v>Critico</v>
      </c>
    </row>
    <row r="104" spans="1:23" hidden="1">
      <c r="A104" s="51">
        <f>Inicial!A84</f>
        <v>0</v>
      </c>
      <c r="B104" s="52">
        <f>Inicial!B84</f>
        <v>0</v>
      </c>
      <c r="C104" s="52">
        <f>Inicial!C84</f>
        <v>0</v>
      </c>
      <c r="D104" s="53">
        <f>Inicial!D84</f>
        <v>0</v>
      </c>
      <c r="E104" s="51" t="str">
        <f>IF(Inicial!J84="SI",Inicial!E84,"N/A")</f>
        <v>N/A</v>
      </c>
      <c r="F104" s="52" t="str">
        <f>IF(Inicial!J84="SI",Inicial!F84,"N/A")</f>
        <v>N/A</v>
      </c>
      <c r="G104" s="52" t="str">
        <f>IF(Inicial!J84="SI",Inicial!G84,"N/A")</f>
        <v>N/A</v>
      </c>
      <c r="H104" s="52" t="str">
        <f>IF(Inicial!J84="SI",Inicial!H84,"N/A")</f>
        <v>N/A</v>
      </c>
      <c r="I104" s="54" t="str">
        <f>IF(Inicial!J84="SI",Inicial!I84,"N/A")</f>
        <v>N/A</v>
      </c>
      <c r="P104" s="6" t="str">
        <f t="shared" si="3"/>
        <v>Aceptable</v>
      </c>
      <c r="W104" s="6" t="str">
        <f t="shared" si="4"/>
        <v>Critico</v>
      </c>
    </row>
    <row r="105" spans="1:23" hidden="1">
      <c r="A105" s="51">
        <f>Inicial!A85</f>
        <v>0</v>
      </c>
      <c r="B105" s="52">
        <f>Inicial!B85</f>
        <v>0</v>
      </c>
      <c r="C105" s="52">
        <f>Inicial!C85</f>
        <v>0</v>
      </c>
      <c r="D105" s="53">
        <f>Inicial!D85</f>
        <v>0</v>
      </c>
      <c r="E105" s="51" t="str">
        <f>IF(Inicial!J85="SI",Inicial!E85,"N/A")</f>
        <v>N/A</v>
      </c>
      <c r="F105" s="52" t="str">
        <f>IF(Inicial!J85="SI",Inicial!F85,"N/A")</f>
        <v>N/A</v>
      </c>
      <c r="G105" s="52" t="str">
        <f>IF(Inicial!J85="SI",Inicial!G85,"N/A")</f>
        <v>N/A</v>
      </c>
      <c r="H105" s="52" t="str">
        <f>IF(Inicial!J85="SI",Inicial!H85,"N/A")</f>
        <v>N/A</v>
      </c>
      <c r="I105" s="54" t="str">
        <f>IF(Inicial!J85="SI",Inicial!I85,"N/A")</f>
        <v>N/A</v>
      </c>
      <c r="P105" s="6" t="str">
        <f t="shared" si="3"/>
        <v>Aceptable</v>
      </c>
      <c r="W105" s="6" t="str">
        <f t="shared" si="4"/>
        <v>Critico</v>
      </c>
    </row>
    <row r="106" spans="1:23" hidden="1">
      <c r="A106" s="51">
        <f>Inicial!A86</f>
        <v>0</v>
      </c>
      <c r="B106" s="52">
        <f>Inicial!B86</f>
        <v>0</v>
      </c>
      <c r="C106" s="52">
        <f>Inicial!C86</f>
        <v>0</v>
      </c>
      <c r="D106" s="53">
        <f>Inicial!D86</f>
        <v>0</v>
      </c>
      <c r="E106" s="51" t="str">
        <f>IF(Inicial!J86="SI",Inicial!E86,"N/A")</f>
        <v>N/A</v>
      </c>
      <c r="F106" s="52" t="str">
        <f>IF(Inicial!J86="SI",Inicial!F86,"N/A")</f>
        <v>N/A</v>
      </c>
      <c r="G106" s="52" t="str">
        <f>IF(Inicial!J86="SI",Inicial!G86,"N/A")</f>
        <v>N/A</v>
      </c>
      <c r="H106" s="52" t="str">
        <f>IF(Inicial!J86="SI",Inicial!H86,"N/A")</f>
        <v>N/A</v>
      </c>
      <c r="I106" s="54" t="str">
        <f>IF(Inicial!J86="SI",Inicial!I86,"N/A")</f>
        <v>N/A</v>
      </c>
      <c r="P106" s="6" t="str">
        <f t="shared" si="3"/>
        <v>Aceptable</v>
      </c>
      <c r="W106" s="6" t="str">
        <f t="shared" si="4"/>
        <v>Critico</v>
      </c>
    </row>
    <row r="107" spans="1:23" hidden="1">
      <c r="A107" s="51">
        <f>Inicial!A87</f>
        <v>0</v>
      </c>
      <c r="B107" s="52">
        <f>Inicial!B87</f>
        <v>0</v>
      </c>
      <c r="C107" s="52">
        <f>Inicial!C87</f>
        <v>0</v>
      </c>
      <c r="D107" s="53">
        <f>Inicial!D87</f>
        <v>0</v>
      </c>
      <c r="E107" s="51" t="str">
        <f>IF(Inicial!J87="SI",Inicial!E87,"N/A")</f>
        <v>N/A</v>
      </c>
      <c r="F107" s="52" t="str">
        <f>IF(Inicial!J87="SI",Inicial!F87,"N/A")</f>
        <v>N/A</v>
      </c>
      <c r="G107" s="52" t="str">
        <f>IF(Inicial!J87="SI",Inicial!G87,"N/A")</f>
        <v>N/A</v>
      </c>
      <c r="H107" s="52" t="str">
        <f>IF(Inicial!J87="SI",Inicial!H87,"N/A")</f>
        <v>N/A</v>
      </c>
      <c r="I107" s="54" t="str">
        <f>IF(Inicial!J87="SI",Inicial!I87,"N/A")</f>
        <v>N/A</v>
      </c>
      <c r="P107" s="6" t="str">
        <f t="shared" si="3"/>
        <v>Aceptable</v>
      </c>
      <c r="W107" s="6" t="str">
        <f t="shared" si="4"/>
        <v>Critico</v>
      </c>
    </row>
    <row r="108" spans="1:23" hidden="1">
      <c r="A108" s="51">
        <f>Inicial!A88</f>
        <v>0</v>
      </c>
      <c r="B108" s="52">
        <f>Inicial!B88</f>
        <v>0</v>
      </c>
      <c r="C108" s="52">
        <f>Inicial!C88</f>
        <v>0</v>
      </c>
      <c r="D108" s="53">
        <f>Inicial!D88</f>
        <v>0</v>
      </c>
      <c r="E108" s="51" t="str">
        <f>IF(Inicial!J88="SI",Inicial!E88,"N/A")</f>
        <v>N/A</v>
      </c>
      <c r="F108" s="52" t="str">
        <f>IF(Inicial!J88="SI",Inicial!F88,"N/A")</f>
        <v>N/A</v>
      </c>
      <c r="G108" s="52" t="str">
        <f>IF(Inicial!J88="SI",Inicial!G88,"N/A")</f>
        <v>N/A</v>
      </c>
      <c r="H108" s="52" t="str">
        <f>IF(Inicial!J88="SI",Inicial!H88,"N/A")</f>
        <v>N/A</v>
      </c>
      <c r="I108" s="54" t="str">
        <f>IF(Inicial!J88="SI",Inicial!I88,"N/A")</f>
        <v>N/A</v>
      </c>
      <c r="P108" s="6" t="str">
        <f t="shared" si="3"/>
        <v>Aceptable</v>
      </c>
      <c r="W108" s="6" t="str">
        <f t="shared" si="4"/>
        <v>Critico</v>
      </c>
    </row>
    <row r="109" spans="1:23" hidden="1">
      <c r="A109" s="51">
        <f>Inicial!A89</f>
        <v>0</v>
      </c>
      <c r="B109" s="52">
        <f>Inicial!B89</f>
        <v>0</v>
      </c>
      <c r="C109" s="52">
        <f>Inicial!C89</f>
        <v>0</v>
      </c>
      <c r="D109" s="53">
        <f>Inicial!D89</f>
        <v>0</v>
      </c>
      <c r="E109" s="51" t="str">
        <f>IF(Inicial!J89="SI",Inicial!E89,"N/A")</f>
        <v>N/A</v>
      </c>
      <c r="F109" s="52" t="str">
        <f>IF(Inicial!J89="SI",Inicial!F89,"N/A")</f>
        <v>N/A</v>
      </c>
      <c r="G109" s="52" t="str">
        <f>IF(Inicial!J89="SI",Inicial!G89,"N/A")</f>
        <v>N/A</v>
      </c>
      <c r="H109" s="52" t="str">
        <f>IF(Inicial!J89="SI",Inicial!H89,"N/A")</f>
        <v>N/A</v>
      </c>
      <c r="I109" s="54" t="str">
        <f>IF(Inicial!J89="SI",Inicial!I89,"N/A")</f>
        <v>N/A</v>
      </c>
      <c r="P109" s="6" t="str">
        <f t="shared" si="3"/>
        <v>Aceptable</v>
      </c>
      <c r="W109" s="6" t="str">
        <f t="shared" si="4"/>
        <v>Critico</v>
      </c>
    </row>
    <row r="110" spans="1:23" hidden="1">
      <c r="A110" s="51">
        <f>Inicial!A90</f>
        <v>0</v>
      </c>
      <c r="B110" s="52">
        <f>Inicial!B90</f>
        <v>0</v>
      </c>
      <c r="C110" s="52">
        <f>Inicial!C90</f>
        <v>0</v>
      </c>
      <c r="D110" s="53">
        <f>Inicial!D90</f>
        <v>0</v>
      </c>
      <c r="E110" s="51" t="str">
        <f>IF(Inicial!J90="SI",Inicial!E90,"N/A")</f>
        <v>N/A</v>
      </c>
      <c r="F110" s="52" t="str">
        <f>IF(Inicial!J90="SI",Inicial!F90,"N/A")</f>
        <v>N/A</v>
      </c>
      <c r="G110" s="52" t="str">
        <f>IF(Inicial!J90="SI",Inicial!G90,"N/A")</f>
        <v>N/A</v>
      </c>
      <c r="H110" s="52" t="str">
        <f>IF(Inicial!J90="SI",Inicial!H90,"N/A")</f>
        <v>N/A</v>
      </c>
      <c r="I110" s="54" t="str">
        <f>IF(Inicial!J90="SI",Inicial!I90,"N/A")</f>
        <v>N/A</v>
      </c>
      <c r="P110" s="6" t="str">
        <f t="shared" si="3"/>
        <v>Aceptable</v>
      </c>
      <c r="W110" s="6" t="str">
        <f t="shared" si="4"/>
        <v>Critico</v>
      </c>
    </row>
    <row r="111" spans="1:23" hidden="1">
      <c r="A111" s="51">
        <f>Inicial!A91</f>
        <v>0</v>
      </c>
      <c r="B111" s="52">
        <f>Inicial!B91</f>
        <v>0</v>
      </c>
      <c r="C111" s="52">
        <f>Inicial!C91</f>
        <v>0</v>
      </c>
      <c r="D111" s="53">
        <f>Inicial!D91</f>
        <v>0</v>
      </c>
      <c r="E111" s="51" t="str">
        <f>IF(Inicial!J91="SI",Inicial!E91,"N/A")</f>
        <v>N/A</v>
      </c>
      <c r="F111" s="52" t="str">
        <f>IF(Inicial!J91="SI",Inicial!F91,"N/A")</f>
        <v>N/A</v>
      </c>
      <c r="G111" s="52" t="str">
        <f>IF(Inicial!J91="SI",Inicial!G91,"N/A")</f>
        <v>N/A</v>
      </c>
      <c r="H111" s="52" t="str">
        <f>IF(Inicial!J91="SI",Inicial!H91,"N/A")</f>
        <v>N/A</v>
      </c>
      <c r="I111" s="54" t="str">
        <f>IF(Inicial!J91="SI",Inicial!I91,"N/A")</f>
        <v>N/A</v>
      </c>
      <c r="P111" s="6" t="str">
        <f t="shared" si="3"/>
        <v>Aceptable</v>
      </c>
      <c r="W111" s="6" t="str">
        <f t="shared" si="4"/>
        <v>Critico</v>
      </c>
    </row>
    <row r="112" spans="1:23" hidden="1">
      <c r="A112" s="51">
        <f>Inicial!A92</f>
        <v>0</v>
      </c>
      <c r="B112" s="52">
        <f>Inicial!B92</f>
        <v>0</v>
      </c>
      <c r="C112" s="52">
        <f>Inicial!C92</f>
        <v>0</v>
      </c>
      <c r="D112" s="53">
        <f>Inicial!D92</f>
        <v>0</v>
      </c>
      <c r="E112" s="51" t="str">
        <f>IF(Inicial!J92="SI",Inicial!E92,"N/A")</f>
        <v>N/A</v>
      </c>
      <c r="F112" s="52" t="str">
        <f>IF(Inicial!J92="SI",Inicial!F92,"N/A")</f>
        <v>N/A</v>
      </c>
      <c r="G112" s="52" t="str">
        <f>IF(Inicial!J92="SI",Inicial!G92,"N/A")</f>
        <v>N/A</v>
      </c>
      <c r="H112" s="52" t="str">
        <f>IF(Inicial!J92="SI",Inicial!H92,"N/A")</f>
        <v>N/A</v>
      </c>
      <c r="I112" s="54" t="str">
        <f>IF(Inicial!J92="SI",Inicial!I92,"N/A")</f>
        <v>N/A</v>
      </c>
      <c r="P112" s="6" t="str">
        <f t="shared" si="3"/>
        <v>Aceptable</v>
      </c>
      <c r="W112" s="6" t="str">
        <f t="shared" si="4"/>
        <v>Critico</v>
      </c>
    </row>
    <row r="113" spans="1:23" hidden="1">
      <c r="A113" s="51">
        <f>Inicial!A93</f>
        <v>0</v>
      </c>
      <c r="B113" s="52">
        <f>Inicial!B93</f>
        <v>0</v>
      </c>
      <c r="C113" s="52">
        <f>Inicial!C93</f>
        <v>0</v>
      </c>
      <c r="D113" s="53">
        <f>Inicial!D93</f>
        <v>0</v>
      </c>
      <c r="E113" s="51" t="str">
        <f>IF(Inicial!J93="SI",Inicial!E93,"N/A")</f>
        <v>N/A</v>
      </c>
      <c r="F113" s="52" t="str">
        <f>IF(Inicial!J93="SI",Inicial!F93,"N/A")</f>
        <v>N/A</v>
      </c>
      <c r="G113" s="52" t="str">
        <f>IF(Inicial!J93="SI",Inicial!G93,"N/A")</f>
        <v>N/A</v>
      </c>
      <c r="H113" s="52" t="str">
        <f>IF(Inicial!J93="SI",Inicial!H93,"N/A")</f>
        <v>N/A</v>
      </c>
      <c r="I113" s="54" t="str">
        <f>IF(Inicial!J93="SI",Inicial!I93,"N/A")</f>
        <v>N/A</v>
      </c>
      <c r="P113" s="6" t="str">
        <f t="shared" si="3"/>
        <v>Aceptable</v>
      </c>
      <c r="W113" s="6" t="str">
        <f t="shared" si="4"/>
        <v>Critico</v>
      </c>
    </row>
    <row r="114" spans="1:23" hidden="1">
      <c r="A114" s="51">
        <f>Inicial!A94</f>
        <v>0</v>
      </c>
      <c r="B114" s="52">
        <f>Inicial!B94</f>
        <v>0</v>
      </c>
      <c r="C114" s="52">
        <f>Inicial!C94</f>
        <v>0</v>
      </c>
      <c r="D114" s="53">
        <f>Inicial!D94</f>
        <v>0</v>
      </c>
      <c r="E114" s="51" t="str">
        <f>IF(Inicial!J94="SI",Inicial!E94,"N/A")</f>
        <v>N/A</v>
      </c>
      <c r="F114" s="52" t="str">
        <f>IF(Inicial!J94="SI",Inicial!F94,"N/A")</f>
        <v>N/A</v>
      </c>
      <c r="G114" s="52" t="str">
        <f>IF(Inicial!J94="SI",Inicial!G94,"N/A")</f>
        <v>N/A</v>
      </c>
      <c r="H114" s="52" t="str">
        <f>IF(Inicial!J94="SI",Inicial!H94,"N/A")</f>
        <v>N/A</v>
      </c>
      <c r="I114" s="54" t="str">
        <f>IF(Inicial!J94="SI",Inicial!I94,"N/A")</f>
        <v>N/A</v>
      </c>
      <c r="P114" s="6" t="str">
        <f t="shared" si="3"/>
        <v>Aceptable</v>
      </c>
      <c r="W114" s="6" t="str">
        <f t="shared" si="4"/>
        <v>Critico</v>
      </c>
    </row>
    <row r="115" spans="1:23" hidden="1">
      <c r="A115" s="51">
        <f>Inicial!A95</f>
        <v>0</v>
      </c>
      <c r="B115" s="52">
        <f>Inicial!B95</f>
        <v>0</v>
      </c>
      <c r="C115" s="52">
        <f>Inicial!C95</f>
        <v>0</v>
      </c>
      <c r="D115" s="53">
        <f>Inicial!D95</f>
        <v>0</v>
      </c>
      <c r="E115" s="51" t="str">
        <f>IF(Inicial!J95="SI",Inicial!E95,"N/A")</f>
        <v>N/A</v>
      </c>
      <c r="F115" s="52" t="str">
        <f>IF(Inicial!J95="SI",Inicial!F95,"N/A")</f>
        <v>N/A</v>
      </c>
      <c r="G115" s="52" t="str">
        <f>IF(Inicial!J95="SI",Inicial!G95,"N/A")</f>
        <v>N/A</v>
      </c>
      <c r="H115" s="52" t="str">
        <f>IF(Inicial!J95="SI",Inicial!H95,"N/A")</f>
        <v>N/A</v>
      </c>
      <c r="I115" s="54" t="str">
        <f>IF(Inicial!J95="SI",Inicial!I95,"N/A")</f>
        <v>N/A</v>
      </c>
      <c r="P115" s="6" t="str">
        <f t="shared" si="3"/>
        <v>Aceptable</v>
      </c>
      <c r="W115" s="6" t="str">
        <f t="shared" si="4"/>
        <v>Critico</v>
      </c>
    </row>
    <row r="116" spans="1:23" hidden="1">
      <c r="A116" s="51">
        <f>Inicial!A96</f>
        <v>0</v>
      </c>
      <c r="B116" s="52">
        <f>Inicial!B96</f>
        <v>0</v>
      </c>
      <c r="C116" s="52">
        <f>Inicial!C96</f>
        <v>0</v>
      </c>
      <c r="D116" s="53">
        <f>Inicial!D96</f>
        <v>0</v>
      </c>
      <c r="E116" s="51" t="str">
        <f>IF(Inicial!J96="SI",Inicial!E96,"N/A")</f>
        <v>N/A</v>
      </c>
      <c r="F116" s="52" t="str">
        <f>IF(Inicial!J96="SI",Inicial!F96,"N/A")</f>
        <v>N/A</v>
      </c>
      <c r="G116" s="52" t="str">
        <f>IF(Inicial!J96="SI",Inicial!G96,"N/A")</f>
        <v>N/A</v>
      </c>
      <c r="H116" s="52" t="str">
        <f>IF(Inicial!J96="SI",Inicial!H96,"N/A")</f>
        <v>N/A</v>
      </c>
      <c r="I116" s="54" t="str">
        <f>IF(Inicial!J96="SI",Inicial!I96,"N/A")</f>
        <v>N/A</v>
      </c>
      <c r="P116" s="6" t="str">
        <f t="shared" si="3"/>
        <v>Aceptable</v>
      </c>
      <c r="W116" s="6" t="str">
        <f t="shared" si="4"/>
        <v>Critico</v>
      </c>
    </row>
    <row r="117" spans="1:23" hidden="1">
      <c r="A117" s="51">
        <f>Inicial!A97</f>
        <v>0</v>
      </c>
      <c r="B117" s="52">
        <f>Inicial!B97</f>
        <v>0</v>
      </c>
      <c r="C117" s="52">
        <f>Inicial!C97</f>
        <v>0</v>
      </c>
      <c r="D117" s="53">
        <f>Inicial!D97</f>
        <v>0</v>
      </c>
      <c r="E117" s="51" t="str">
        <f>IF(Inicial!J97="SI",Inicial!E97,"N/A")</f>
        <v>N/A</v>
      </c>
      <c r="F117" s="52" t="str">
        <f>IF(Inicial!J97="SI",Inicial!F97,"N/A")</f>
        <v>N/A</v>
      </c>
      <c r="G117" s="52" t="str">
        <f>IF(Inicial!J97="SI",Inicial!G97,"N/A")</f>
        <v>N/A</v>
      </c>
      <c r="H117" s="52" t="str">
        <f>IF(Inicial!J97="SI",Inicial!H97,"N/A")</f>
        <v>N/A</v>
      </c>
      <c r="I117" s="54" t="str">
        <f>IF(Inicial!J97="SI",Inicial!I97,"N/A")</f>
        <v>N/A</v>
      </c>
      <c r="P117" s="6" t="str">
        <f t="shared" si="3"/>
        <v>Aceptable</v>
      </c>
      <c r="W117" s="6" t="str">
        <f t="shared" si="4"/>
        <v>Critico</v>
      </c>
    </row>
    <row r="118" spans="1:23" hidden="1">
      <c r="A118" s="51">
        <f>Inicial!A98</f>
        <v>0</v>
      </c>
      <c r="B118" s="52">
        <f>Inicial!B98</f>
        <v>0</v>
      </c>
      <c r="C118" s="52">
        <f>Inicial!C98</f>
        <v>0</v>
      </c>
      <c r="D118" s="53">
        <f>Inicial!D98</f>
        <v>0</v>
      </c>
      <c r="E118" s="51" t="str">
        <f>IF(Inicial!J98="SI",Inicial!E98,"N/A")</f>
        <v>N/A</v>
      </c>
      <c r="F118" s="52" t="str">
        <f>IF(Inicial!J98="SI",Inicial!F98,"N/A")</f>
        <v>N/A</v>
      </c>
      <c r="G118" s="52" t="str">
        <f>IF(Inicial!J98="SI",Inicial!G98,"N/A")</f>
        <v>N/A</v>
      </c>
      <c r="H118" s="52" t="str">
        <f>IF(Inicial!J98="SI",Inicial!H98,"N/A")</f>
        <v>N/A</v>
      </c>
      <c r="I118" s="54" t="str">
        <f>IF(Inicial!J98="SI",Inicial!I98,"N/A")</f>
        <v>N/A</v>
      </c>
      <c r="P118" s="6" t="str">
        <f t="shared" si="3"/>
        <v>Aceptable</v>
      </c>
      <c r="W118" s="6" t="str">
        <f t="shared" si="4"/>
        <v>Critico</v>
      </c>
    </row>
    <row r="119" spans="1:23" hidden="1">
      <c r="A119" s="51">
        <f>Inicial!A99</f>
        <v>0</v>
      </c>
      <c r="B119" s="52">
        <f>Inicial!B99</f>
        <v>0</v>
      </c>
      <c r="C119" s="52">
        <f>Inicial!C99</f>
        <v>0</v>
      </c>
      <c r="D119" s="53">
        <f>Inicial!D99</f>
        <v>0</v>
      </c>
      <c r="E119" s="51" t="str">
        <f>IF(Inicial!J99="SI",Inicial!E99,"N/A")</f>
        <v>N/A</v>
      </c>
      <c r="F119" s="52" t="str">
        <f>IF(Inicial!J99="SI",Inicial!F99,"N/A")</f>
        <v>N/A</v>
      </c>
      <c r="G119" s="52" t="str">
        <f>IF(Inicial!J99="SI",Inicial!G99,"N/A")</f>
        <v>N/A</v>
      </c>
      <c r="H119" s="52" t="str">
        <f>IF(Inicial!J99="SI",Inicial!H99,"N/A")</f>
        <v>N/A</v>
      </c>
      <c r="I119" s="54" t="str">
        <f>IF(Inicial!J99="SI",Inicial!I99,"N/A")</f>
        <v>N/A</v>
      </c>
      <c r="P119" s="6" t="str">
        <f t="shared" si="3"/>
        <v>Aceptable</v>
      </c>
      <c r="W119" s="6" t="str">
        <f t="shared" si="4"/>
        <v>Critico</v>
      </c>
    </row>
    <row r="120" spans="1:23" hidden="1">
      <c r="A120" s="51">
        <f>Inicial!A100</f>
        <v>0</v>
      </c>
      <c r="B120" s="52">
        <f>Inicial!B100</f>
        <v>0</v>
      </c>
      <c r="C120" s="52">
        <f>Inicial!C100</f>
        <v>0</v>
      </c>
      <c r="D120" s="53">
        <f>Inicial!D100</f>
        <v>0</v>
      </c>
      <c r="E120" s="51" t="str">
        <f>IF(Inicial!J100="SI",Inicial!E100,"N/A")</f>
        <v>N/A</v>
      </c>
      <c r="F120" s="52" t="str">
        <f>IF(Inicial!J100="SI",Inicial!F100,"N/A")</f>
        <v>N/A</v>
      </c>
      <c r="G120" s="52" t="str">
        <f>IF(Inicial!J100="SI",Inicial!G100,"N/A")</f>
        <v>N/A</v>
      </c>
      <c r="H120" s="52" t="str">
        <f>IF(Inicial!J100="SI",Inicial!H100,"N/A")</f>
        <v>N/A</v>
      </c>
      <c r="I120" s="54" t="str">
        <f>IF(Inicial!J100="SI",Inicial!I100,"N/A")</f>
        <v>N/A</v>
      </c>
      <c r="P120" s="6" t="str">
        <f t="shared" ref="P120:P183" si="7">IF(OR(J120="NO",K120="NO",L120="NO",M120="NO",N120="NO",O120="NO"),"No Aceptable","Aceptable")</f>
        <v>Aceptable</v>
      </c>
      <c r="W120" s="6" t="str">
        <f t="shared" ref="W120:W183" si="8">IF(AND(Q120="NO",R120="NO",S120="NO",T120="NO",U120="NO",V120="NO"),"No Critico","Critico")</f>
        <v>Critico</v>
      </c>
    </row>
    <row r="121" spans="1:23" hidden="1">
      <c r="A121" s="51">
        <f>Inicial!A101</f>
        <v>0</v>
      </c>
      <c r="B121" s="52">
        <f>Inicial!B101</f>
        <v>0</v>
      </c>
      <c r="C121" s="52">
        <f>Inicial!C101</f>
        <v>0</v>
      </c>
      <c r="D121" s="53">
        <f>Inicial!D101</f>
        <v>0</v>
      </c>
      <c r="E121" s="51" t="str">
        <f>IF(Inicial!J101="SI",Inicial!E101,"N/A")</f>
        <v>N/A</v>
      </c>
      <c r="F121" s="52" t="str">
        <f>IF(Inicial!J101="SI",Inicial!F101,"N/A")</f>
        <v>N/A</v>
      </c>
      <c r="G121" s="52" t="str">
        <f>IF(Inicial!J101="SI",Inicial!G101,"N/A")</f>
        <v>N/A</v>
      </c>
      <c r="H121" s="52" t="str">
        <f>IF(Inicial!J101="SI",Inicial!H101,"N/A")</f>
        <v>N/A</v>
      </c>
      <c r="I121" s="54" t="str">
        <f>IF(Inicial!J101="SI",Inicial!I101,"N/A")</f>
        <v>N/A</v>
      </c>
      <c r="P121" s="6" t="str">
        <f t="shared" si="7"/>
        <v>Aceptable</v>
      </c>
      <c r="W121" s="6" t="str">
        <f t="shared" si="8"/>
        <v>Critico</v>
      </c>
    </row>
    <row r="122" spans="1:23" hidden="1">
      <c r="A122" s="51">
        <f>Inicial!A102</f>
        <v>0</v>
      </c>
      <c r="B122" s="52">
        <f>Inicial!B102</f>
        <v>0</v>
      </c>
      <c r="C122" s="52">
        <f>Inicial!C102</f>
        <v>0</v>
      </c>
      <c r="D122" s="53">
        <f>Inicial!D102</f>
        <v>0</v>
      </c>
      <c r="E122" s="51" t="str">
        <f>IF(Inicial!J102="SI",Inicial!E102,"N/A")</f>
        <v>N/A</v>
      </c>
      <c r="F122" s="52" t="str">
        <f>IF(Inicial!J102="SI",Inicial!F102,"N/A")</f>
        <v>N/A</v>
      </c>
      <c r="G122" s="52" t="str">
        <f>IF(Inicial!J102="SI",Inicial!G102,"N/A")</f>
        <v>N/A</v>
      </c>
      <c r="H122" s="52" t="str">
        <f>IF(Inicial!J102="SI",Inicial!H102,"N/A")</f>
        <v>N/A</v>
      </c>
      <c r="I122" s="54" t="str">
        <f>IF(Inicial!J102="SI",Inicial!I102,"N/A")</f>
        <v>N/A</v>
      </c>
      <c r="P122" s="6" t="str">
        <f t="shared" si="7"/>
        <v>Aceptable</v>
      </c>
      <c r="W122" s="6" t="str">
        <f t="shared" si="8"/>
        <v>Critico</v>
      </c>
    </row>
    <row r="123" spans="1:23" hidden="1">
      <c r="A123" s="51">
        <f>Inicial!A103</f>
        <v>0</v>
      </c>
      <c r="B123" s="52">
        <f>Inicial!B103</f>
        <v>0</v>
      </c>
      <c r="C123" s="52">
        <f>Inicial!C103</f>
        <v>0</v>
      </c>
      <c r="D123" s="53">
        <f>Inicial!D103</f>
        <v>0</v>
      </c>
      <c r="E123" s="51" t="str">
        <f>IF(Inicial!J103="SI",Inicial!E103,"N/A")</f>
        <v>N/A</v>
      </c>
      <c r="F123" s="52" t="str">
        <f>IF(Inicial!J103="SI",Inicial!F103,"N/A")</f>
        <v>N/A</v>
      </c>
      <c r="G123" s="52" t="str">
        <f>IF(Inicial!J103="SI",Inicial!G103,"N/A")</f>
        <v>N/A</v>
      </c>
      <c r="H123" s="52" t="str">
        <f>IF(Inicial!J103="SI",Inicial!H103,"N/A")</f>
        <v>N/A</v>
      </c>
      <c r="I123" s="54" t="str">
        <f>IF(Inicial!J103="SI",Inicial!I103,"N/A")</f>
        <v>N/A</v>
      </c>
      <c r="P123" s="6" t="str">
        <f t="shared" si="7"/>
        <v>Aceptable</v>
      </c>
      <c r="W123" s="6" t="str">
        <f t="shared" si="8"/>
        <v>Critico</v>
      </c>
    </row>
    <row r="124" spans="1:23" hidden="1">
      <c r="A124" s="51">
        <f>Inicial!A104</f>
        <v>0</v>
      </c>
      <c r="B124" s="52">
        <f>Inicial!B104</f>
        <v>0</v>
      </c>
      <c r="C124" s="52">
        <f>Inicial!C104</f>
        <v>0</v>
      </c>
      <c r="D124" s="53">
        <f>Inicial!D104</f>
        <v>0</v>
      </c>
      <c r="E124" s="51" t="str">
        <f>IF(Inicial!J104="SI",Inicial!E104,"N/A")</f>
        <v>N/A</v>
      </c>
      <c r="F124" s="52" t="str">
        <f>IF(Inicial!J104="SI",Inicial!F104,"N/A")</f>
        <v>N/A</v>
      </c>
      <c r="G124" s="52" t="str">
        <f>IF(Inicial!J104="SI",Inicial!G104,"N/A")</f>
        <v>N/A</v>
      </c>
      <c r="H124" s="52" t="str">
        <f>IF(Inicial!J104="SI",Inicial!H104,"N/A")</f>
        <v>N/A</v>
      </c>
      <c r="I124" s="54" t="str">
        <f>IF(Inicial!J104="SI",Inicial!I104,"N/A")</f>
        <v>N/A</v>
      </c>
      <c r="P124" s="6" t="str">
        <f t="shared" si="7"/>
        <v>Aceptable</v>
      </c>
      <c r="W124" s="6" t="str">
        <f t="shared" si="8"/>
        <v>Critico</v>
      </c>
    </row>
    <row r="125" spans="1:23" hidden="1">
      <c r="A125" s="51">
        <f>Inicial!A105</f>
        <v>0</v>
      </c>
      <c r="B125" s="52">
        <f>Inicial!B105</f>
        <v>0</v>
      </c>
      <c r="C125" s="52">
        <f>Inicial!C105</f>
        <v>0</v>
      </c>
      <c r="D125" s="53">
        <f>Inicial!D105</f>
        <v>0</v>
      </c>
      <c r="E125" s="51" t="str">
        <f>IF(Inicial!J105="SI",Inicial!E105,"N/A")</f>
        <v>N/A</v>
      </c>
      <c r="F125" s="52" t="str">
        <f>IF(Inicial!J105="SI",Inicial!F105,"N/A")</f>
        <v>N/A</v>
      </c>
      <c r="G125" s="52" t="str">
        <f>IF(Inicial!J105="SI",Inicial!G105,"N/A")</f>
        <v>N/A</v>
      </c>
      <c r="H125" s="52" t="str">
        <f>IF(Inicial!J105="SI",Inicial!H105,"N/A")</f>
        <v>N/A</v>
      </c>
      <c r="I125" s="54" t="str">
        <f>IF(Inicial!J105="SI",Inicial!I105,"N/A")</f>
        <v>N/A</v>
      </c>
      <c r="P125" s="6" t="str">
        <f t="shared" si="7"/>
        <v>Aceptable</v>
      </c>
      <c r="W125" s="6" t="str">
        <f t="shared" si="8"/>
        <v>Critico</v>
      </c>
    </row>
    <row r="126" spans="1:23" hidden="1">
      <c r="A126" s="51">
        <f>Inicial!A106</f>
        <v>0</v>
      </c>
      <c r="B126" s="52">
        <f>Inicial!B106</f>
        <v>0</v>
      </c>
      <c r="C126" s="52">
        <f>Inicial!C106</f>
        <v>0</v>
      </c>
      <c r="D126" s="53">
        <f>Inicial!D106</f>
        <v>0</v>
      </c>
      <c r="E126" s="51" t="str">
        <f>IF(Inicial!J106="SI",Inicial!E106,"N/A")</f>
        <v>N/A</v>
      </c>
      <c r="F126" s="52" t="str">
        <f>IF(Inicial!J106="SI",Inicial!F106,"N/A")</f>
        <v>N/A</v>
      </c>
      <c r="G126" s="52" t="str">
        <f>IF(Inicial!J106="SI",Inicial!G106,"N/A")</f>
        <v>N/A</v>
      </c>
      <c r="H126" s="52" t="str">
        <f>IF(Inicial!J106="SI",Inicial!H106,"N/A")</f>
        <v>N/A</v>
      </c>
      <c r="I126" s="54" t="str">
        <f>IF(Inicial!J106="SI",Inicial!I106,"N/A")</f>
        <v>N/A</v>
      </c>
      <c r="P126" s="6" t="str">
        <f t="shared" si="7"/>
        <v>Aceptable</v>
      </c>
      <c r="W126" s="6" t="str">
        <f t="shared" si="8"/>
        <v>Critico</v>
      </c>
    </row>
    <row r="127" spans="1:23" hidden="1">
      <c r="A127" s="51">
        <f>Inicial!A107</f>
        <v>0</v>
      </c>
      <c r="B127" s="52">
        <f>Inicial!B107</f>
        <v>0</v>
      </c>
      <c r="C127" s="52">
        <f>Inicial!C107</f>
        <v>0</v>
      </c>
      <c r="D127" s="53">
        <f>Inicial!D107</f>
        <v>0</v>
      </c>
      <c r="E127" s="51" t="str">
        <f>IF(Inicial!J107="SI",Inicial!E107,"N/A")</f>
        <v>N/A</v>
      </c>
      <c r="F127" s="52" t="str">
        <f>IF(Inicial!J107="SI",Inicial!F107,"N/A")</f>
        <v>N/A</v>
      </c>
      <c r="G127" s="52" t="str">
        <f>IF(Inicial!J107="SI",Inicial!G107,"N/A")</f>
        <v>N/A</v>
      </c>
      <c r="H127" s="52" t="str">
        <f>IF(Inicial!J107="SI",Inicial!H107,"N/A")</f>
        <v>N/A</v>
      </c>
      <c r="I127" s="54" t="str">
        <f>IF(Inicial!J107="SI",Inicial!I107,"N/A")</f>
        <v>N/A</v>
      </c>
      <c r="P127" s="6" t="str">
        <f t="shared" si="7"/>
        <v>Aceptable</v>
      </c>
      <c r="W127" s="6" t="str">
        <f t="shared" si="8"/>
        <v>Critico</v>
      </c>
    </row>
    <row r="128" spans="1:23" hidden="1">
      <c r="A128" s="51">
        <f>Inicial!A108</f>
        <v>0</v>
      </c>
      <c r="B128" s="52">
        <f>Inicial!B108</f>
        <v>0</v>
      </c>
      <c r="C128" s="52">
        <f>Inicial!C108</f>
        <v>0</v>
      </c>
      <c r="D128" s="53">
        <f>Inicial!D108</f>
        <v>0</v>
      </c>
      <c r="E128" s="51" t="str">
        <f>IF(Inicial!J108="SI",Inicial!E108,"N/A")</f>
        <v>N/A</v>
      </c>
      <c r="F128" s="52" t="str">
        <f>IF(Inicial!J108="SI",Inicial!F108,"N/A")</f>
        <v>N/A</v>
      </c>
      <c r="G128" s="52" t="str">
        <f>IF(Inicial!J108="SI",Inicial!G108,"N/A")</f>
        <v>N/A</v>
      </c>
      <c r="H128" s="52" t="str">
        <f>IF(Inicial!J108="SI",Inicial!H108,"N/A")</f>
        <v>N/A</v>
      </c>
      <c r="I128" s="54" t="str">
        <f>IF(Inicial!J108="SI",Inicial!I108,"N/A")</f>
        <v>N/A</v>
      </c>
      <c r="P128" s="6" t="str">
        <f t="shared" si="7"/>
        <v>Aceptable</v>
      </c>
      <c r="W128" s="6" t="str">
        <f t="shared" si="8"/>
        <v>Critico</v>
      </c>
    </row>
    <row r="129" spans="1:23" hidden="1">
      <c r="A129" s="51">
        <f>Inicial!A109</f>
        <v>0</v>
      </c>
      <c r="B129" s="52">
        <f>Inicial!B109</f>
        <v>0</v>
      </c>
      <c r="C129" s="52">
        <f>Inicial!C109</f>
        <v>0</v>
      </c>
      <c r="D129" s="53">
        <f>Inicial!D109</f>
        <v>0</v>
      </c>
      <c r="E129" s="51" t="str">
        <f>IF(Inicial!J109="SI",Inicial!E109,"N/A")</f>
        <v>N/A</v>
      </c>
      <c r="F129" s="52" t="str">
        <f>IF(Inicial!J109="SI",Inicial!F109,"N/A")</f>
        <v>N/A</v>
      </c>
      <c r="G129" s="52" t="str">
        <f>IF(Inicial!J109="SI",Inicial!G109,"N/A")</f>
        <v>N/A</v>
      </c>
      <c r="H129" s="52" t="str">
        <f>IF(Inicial!J109="SI",Inicial!H109,"N/A")</f>
        <v>N/A</v>
      </c>
      <c r="I129" s="54" t="str">
        <f>IF(Inicial!J109="SI",Inicial!I109,"N/A")</f>
        <v>N/A</v>
      </c>
      <c r="P129" s="6" t="str">
        <f t="shared" si="7"/>
        <v>Aceptable</v>
      </c>
      <c r="W129" s="6" t="str">
        <f t="shared" si="8"/>
        <v>Critico</v>
      </c>
    </row>
    <row r="130" spans="1:23" hidden="1">
      <c r="A130" s="51">
        <f>Inicial!A110</f>
        <v>0</v>
      </c>
      <c r="B130" s="52">
        <f>Inicial!B110</f>
        <v>0</v>
      </c>
      <c r="C130" s="52">
        <f>Inicial!C110</f>
        <v>0</v>
      </c>
      <c r="D130" s="53">
        <f>Inicial!D110</f>
        <v>0</v>
      </c>
      <c r="E130" s="51" t="str">
        <f>IF(Inicial!J110="SI",Inicial!E110,"N/A")</f>
        <v>N/A</v>
      </c>
      <c r="F130" s="52" t="str">
        <f>IF(Inicial!J110="SI",Inicial!F110,"N/A")</f>
        <v>N/A</v>
      </c>
      <c r="G130" s="52" t="str">
        <f>IF(Inicial!J110="SI",Inicial!G110,"N/A")</f>
        <v>N/A</v>
      </c>
      <c r="H130" s="52" t="str">
        <f>IF(Inicial!J110="SI",Inicial!H110,"N/A")</f>
        <v>N/A</v>
      </c>
      <c r="I130" s="54" t="str">
        <f>IF(Inicial!J110="SI",Inicial!I110,"N/A")</f>
        <v>N/A</v>
      </c>
      <c r="P130" s="6" t="str">
        <f t="shared" si="7"/>
        <v>Aceptable</v>
      </c>
      <c r="W130" s="6" t="str">
        <f t="shared" si="8"/>
        <v>Critico</v>
      </c>
    </row>
    <row r="131" spans="1:23" hidden="1">
      <c r="A131" s="51">
        <f>Inicial!A111</f>
        <v>0</v>
      </c>
      <c r="B131" s="52">
        <f>Inicial!B111</f>
        <v>0</v>
      </c>
      <c r="C131" s="52">
        <f>Inicial!C111</f>
        <v>0</v>
      </c>
      <c r="D131" s="53">
        <f>Inicial!D111</f>
        <v>0</v>
      </c>
      <c r="E131" s="51" t="str">
        <f>IF(Inicial!J111="SI",Inicial!E111,"N/A")</f>
        <v>N/A</v>
      </c>
      <c r="F131" s="52" t="str">
        <f>IF(Inicial!J111="SI",Inicial!F111,"N/A")</f>
        <v>N/A</v>
      </c>
      <c r="G131" s="52" t="str">
        <f>IF(Inicial!J111="SI",Inicial!G111,"N/A")</f>
        <v>N/A</v>
      </c>
      <c r="H131" s="52" t="str">
        <f>IF(Inicial!J111="SI",Inicial!H111,"N/A")</f>
        <v>N/A</v>
      </c>
      <c r="I131" s="54" t="str">
        <f>IF(Inicial!J111="SI",Inicial!I111,"N/A")</f>
        <v>N/A</v>
      </c>
      <c r="P131" s="6" t="str">
        <f t="shared" si="7"/>
        <v>Aceptable</v>
      </c>
      <c r="W131" s="6" t="str">
        <f t="shared" si="8"/>
        <v>Critico</v>
      </c>
    </row>
    <row r="132" spans="1:23" hidden="1">
      <c r="A132" s="51">
        <f>Inicial!A112</f>
        <v>0</v>
      </c>
      <c r="B132" s="52">
        <f>Inicial!B112</f>
        <v>0</v>
      </c>
      <c r="C132" s="52">
        <f>Inicial!C112</f>
        <v>0</v>
      </c>
      <c r="D132" s="53">
        <f>Inicial!D112</f>
        <v>0</v>
      </c>
      <c r="E132" s="51" t="str">
        <f>IF(Inicial!J112="SI",Inicial!E112,"N/A")</f>
        <v>N/A</v>
      </c>
      <c r="F132" s="52" t="str">
        <f>IF(Inicial!J112="SI",Inicial!F112,"N/A")</f>
        <v>N/A</v>
      </c>
      <c r="G132" s="52" t="str">
        <f>IF(Inicial!J112="SI",Inicial!G112,"N/A")</f>
        <v>N/A</v>
      </c>
      <c r="H132" s="52" t="str">
        <f>IF(Inicial!J112="SI",Inicial!H112,"N/A")</f>
        <v>N/A</v>
      </c>
      <c r="I132" s="54" t="str">
        <f>IF(Inicial!J112="SI",Inicial!I112,"N/A")</f>
        <v>N/A</v>
      </c>
      <c r="P132" s="6" t="str">
        <f t="shared" si="7"/>
        <v>Aceptable</v>
      </c>
      <c r="W132" s="6" t="str">
        <f t="shared" si="8"/>
        <v>Critico</v>
      </c>
    </row>
    <row r="133" spans="1:23" hidden="1">
      <c r="A133" s="51">
        <f>Inicial!A113</f>
        <v>0</v>
      </c>
      <c r="B133" s="52">
        <f>Inicial!B113</f>
        <v>0</v>
      </c>
      <c r="C133" s="52">
        <f>Inicial!C113</f>
        <v>0</v>
      </c>
      <c r="D133" s="53">
        <f>Inicial!D113</f>
        <v>0</v>
      </c>
      <c r="E133" s="51" t="str">
        <f>IF(Inicial!J113="SI",Inicial!E113,"N/A")</f>
        <v>N/A</v>
      </c>
      <c r="F133" s="52" t="str">
        <f>IF(Inicial!J113="SI",Inicial!F113,"N/A")</f>
        <v>N/A</v>
      </c>
      <c r="G133" s="52" t="str">
        <f>IF(Inicial!J113="SI",Inicial!G113,"N/A")</f>
        <v>N/A</v>
      </c>
      <c r="H133" s="52" t="str">
        <f>IF(Inicial!J113="SI",Inicial!H113,"N/A")</f>
        <v>N/A</v>
      </c>
      <c r="I133" s="54" t="str">
        <f>IF(Inicial!J113="SI",Inicial!I113,"N/A")</f>
        <v>N/A</v>
      </c>
      <c r="P133" s="6" t="str">
        <f t="shared" si="7"/>
        <v>Aceptable</v>
      </c>
      <c r="W133" s="6" t="str">
        <f t="shared" si="8"/>
        <v>Critico</v>
      </c>
    </row>
    <row r="134" spans="1:23" hidden="1">
      <c r="A134" s="51">
        <f>Inicial!A114</f>
        <v>0</v>
      </c>
      <c r="B134" s="52">
        <f>Inicial!B114</f>
        <v>0</v>
      </c>
      <c r="C134" s="52">
        <f>Inicial!C114</f>
        <v>0</v>
      </c>
      <c r="D134" s="53">
        <f>Inicial!D114</f>
        <v>0</v>
      </c>
      <c r="E134" s="51" t="str">
        <f>IF(Inicial!J114="SI",Inicial!E114,"N/A")</f>
        <v>N/A</v>
      </c>
      <c r="F134" s="52" t="str">
        <f>IF(Inicial!J114="SI",Inicial!F114,"N/A")</f>
        <v>N/A</v>
      </c>
      <c r="G134" s="52" t="str">
        <f>IF(Inicial!J114="SI",Inicial!G114,"N/A")</f>
        <v>N/A</v>
      </c>
      <c r="H134" s="52" t="str">
        <f>IF(Inicial!J114="SI",Inicial!H114,"N/A")</f>
        <v>N/A</v>
      </c>
      <c r="I134" s="54" t="str">
        <f>IF(Inicial!J114="SI",Inicial!I114,"N/A")</f>
        <v>N/A</v>
      </c>
      <c r="P134" s="6" t="str">
        <f t="shared" si="7"/>
        <v>Aceptable</v>
      </c>
      <c r="W134" s="6" t="str">
        <f t="shared" si="8"/>
        <v>Critico</v>
      </c>
    </row>
    <row r="135" spans="1:23" hidden="1">
      <c r="A135" s="51">
        <f>Inicial!A115</f>
        <v>0</v>
      </c>
      <c r="B135" s="52">
        <f>Inicial!B115</f>
        <v>0</v>
      </c>
      <c r="C135" s="52">
        <f>Inicial!C115</f>
        <v>0</v>
      </c>
      <c r="D135" s="53">
        <f>Inicial!D115</f>
        <v>0</v>
      </c>
      <c r="E135" s="51" t="str">
        <f>IF(Inicial!J115="SI",Inicial!E115,"N/A")</f>
        <v>N/A</v>
      </c>
      <c r="F135" s="52" t="str">
        <f>IF(Inicial!J115="SI",Inicial!F115,"N/A")</f>
        <v>N/A</v>
      </c>
      <c r="G135" s="52" t="str">
        <f>IF(Inicial!J115="SI",Inicial!G115,"N/A")</f>
        <v>N/A</v>
      </c>
      <c r="H135" s="52" t="str">
        <f>IF(Inicial!J115="SI",Inicial!H115,"N/A")</f>
        <v>N/A</v>
      </c>
      <c r="I135" s="54" t="str">
        <f>IF(Inicial!J115="SI",Inicial!I115,"N/A")</f>
        <v>N/A</v>
      </c>
      <c r="P135" s="6" t="str">
        <f t="shared" si="7"/>
        <v>Aceptable</v>
      </c>
      <c r="W135" s="6" t="str">
        <f t="shared" si="8"/>
        <v>Critico</v>
      </c>
    </row>
    <row r="136" spans="1:23" hidden="1">
      <c r="A136" s="51">
        <f>Inicial!A116</f>
        <v>0</v>
      </c>
      <c r="B136" s="52">
        <f>Inicial!B116</f>
        <v>0</v>
      </c>
      <c r="C136" s="52">
        <f>Inicial!C116</f>
        <v>0</v>
      </c>
      <c r="D136" s="53">
        <f>Inicial!D116</f>
        <v>0</v>
      </c>
      <c r="E136" s="51" t="str">
        <f>IF(Inicial!J116="SI",Inicial!E116,"N/A")</f>
        <v>N/A</v>
      </c>
      <c r="F136" s="52" t="str">
        <f>IF(Inicial!J116="SI",Inicial!F116,"N/A")</f>
        <v>N/A</v>
      </c>
      <c r="G136" s="52" t="str">
        <f>IF(Inicial!J116="SI",Inicial!G116,"N/A")</f>
        <v>N/A</v>
      </c>
      <c r="H136" s="52" t="str">
        <f>IF(Inicial!J116="SI",Inicial!H116,"N/A")</f>
        <v>N/A</v>
      </c>
      <c r="I136" s="54" t="str">
        <f>IF(Inicial!J116="SI",Inicial!I116,"N/A")</f>
        <v>N/A</v>
      </c>
      <c r="P136" s="6" t="str">
        <f t="shared" si="7"/>
        <v>Aceptable</v>
      </c>
      <c r="W136" s="6" t="str">
        <f t="shared" si="8"/>
        <v>Critico</v>
      </c>
    </row>
    <row r="137" spans="1:23" hidden="1">
      <c r="A137" s="51">
        <f>Inicial!A117</f>
        <v>0</v>
      </c>
      <c r="B137" s="52">
        <f>Inicial!B117</f>
        <v>0</v>
      </c>
      <c r="C137" s="52">
        <f>Inicial!C117</f>
        <v>0</v>
      </c>
      <c r="D137" s="53">
        <f>Inicial!D117</f>
        <v>0</v>
      </c>
      <c r="E137" s="51" t="str">
        <f>IF(Inicial!J117="SI",Inicial!E117,"N/A")</f>
        <v>N/A</v>
      </c>
      <c r="F137" s="52" t="str">
        <f>IF(Inicial!J117="SI",Inicial!F117,"N/A")</f>
        <v>N/A</v>
      </c>
      <c r="G137" s="52" t="str">
        <f>IF(Inicial!J117="SI",Inicial!G117,"N/A")</f>
        <v>N/A</v>
      </c>
      <c r="H137" s="52" t="str">
        <f>IF(Inicial!J117="SI",Inicial!H117,"N/A")</f>
        <v>N/A</v>
      </c>
      <c r="I137" s="54" t="str">
        <f>IF(Inicial!J117="SI",Inicial!I117,"N/A")</f>
        <v>N/A</v>
      </c>
      <c r="P137" s="6" t="str">
        <f t="shared" si="7"/>
        <v>Aceptable</v>
      </c>
      <c r="W137" s="6" t="str">
        <f t="shared" si="8"/>
        <v>Critico</v>
      </c>
    </row>
    <row r="138" spans="1:23" hidden="1">
      <c r="A138" s="51">
        <f>Inicial!A118</f>
        <v>0</v>
      </c>
      <c r="B138" s="52">
        <f>Inicial!B118</f>
        <v>0</v>
      </c>
      <c r="C138" s="52">
        <f>Inicial!C118</f>
        <v>0</v>
      </c>
      <c r="D138" s="53">
        <f>Inicial!D118</f>
        <v>0</v>
      </c>
      <c r="E138" s="51" t="str">
        <f>IF(Inicial!J118="SI",Inicial!E118,"N/A")</f>
        <v>N/A</v>
      </c>
      <c r="F138" s="52" t="str">
        <f>IF(Inicial!J118="SI",Inicial!F118,"N/A")</f>
        <v>N/A</v>
      </c>
      <c r="G138" s="52" t="str">
        <f>IF(Inicial!J118="SI",Inicial!G118,"N/A")</f>
        <v>N/A</v>
      </c>
      <c r="H138" s="52" t="str">
        <f>IF(Inicial!J118="SI",Inicial!H118,"N/A")</f>
        <v>N/A</v>
      </c>
      <c r="I138" s="54" t="str">
        <f>IF(Inicial!J118="SI",Inicial!I118,"N/A")</f>
        <v>N/A</v>
      </c>
      <c r="P138" s="6" t="str">
        <f t="shared" si="7"/>
        <v>Aceptable</v>
      </c>
      <c r="W138" s="6" t="str">
        <f t="shared" si="8"/>
        <v>Critico</v>
      </c>
    </row>
    <row r="139" spans="1:23" hidden="1">
      <c r="A139" s="51">
        <f>Inicial!A119</f>
        <v>0</v>
      </c>
      <c r="B139" s="52">
        <f>Inicial!B119</f>
        <v>0</v>
      </c>
      <c r="C139" s="52">
        <f>Inicial!C119</f>
        <v>0</v>
      </c>
      <c r="D139" s="53">
        <f>Inicial!D119</f>
        <v>0</v>
      </c>
      <c r="E139" s="51" t="str">
        <f>IF(Inicial!J119="SI",Inicial!E119,"N/A")</f>
        <v>N/A</v>
      </c>
      <c r="F139" s="52" t="str">
        <f>IF(Inicial!J119="SI",Inicial!F119,"N/A")</f>
        <v>N/A</v>
      </c>
      <c r="G139" s="52" t="str">
        <f>IF(Inicial!J119="SI",Inicial!G119,"N/A")</f>
        <v>N/A</v>
      </c>
      <c r="H139" s="52" t="str">
        <f>IF(Inicial!J119="SI",Inicial!H119,"N/A")</f>
        <v>N/A</v>
      </c>
      <c r="I139" s="54" t="str">
        <f>IF(Inicial!J119="SI",Inicial!I119,"N/A")</f>
        <v>N/A</v>
      </c>
      <c r="P139" s="6" t="str">
        <f t="shared" si="7"/>
        <v>Aceptable</v>
      </c>
      <c r="W139" s="6" t="str">
        <f t="shared" si="8"/>
        <v>Critico</v>
      </c>
    </row>
    <row r="140" spans="1:23" hidden="1">
      <c r="A140" s="51">
        <f>Inicial!A120</f>
        <v>0</v>
      </c>
      <c r="B140" s="52">
        <f>Inicial!B120</f>
        <v>0</v>
      </c>
      <c r="C140" s="52">
        <f>Inicial!C120</f>
        <v>0</v>
      </c>
      <c r="D140" s="53">
        <f>Inicial!D120</f>
        <v>0</v>
      </c>
      <c r="E140" s="51" t="str">
        <f>IF(Inicial!J120="SI",Inicial!E120,"N/A")</f>
        <v>N/A</v>
      </c>
      <c r="F140" s="52" t="str">
        <f>IF(Inicial!J120="SI",Inicial!F120,"N/A")</f>
        <v>N/A</v>
      </c>
      <c r="G140" s="52" t="str">
        <f>IF(Inicial!J120="SI",Inicial!G120,"N/A")</f>
        <v>N/A</v>
      </c>
      <c r="H140" s="52" t="str">
        <f>IF(Inicial!J120="SI",Inicial!H120,"N/A")</f>
        <v>N/A</v>
      </c>
      <c r="I140" s="54" t="str">
        <f>IF(Inicial!J120="SI",Inicial!I120,"N/A")</f>
        <v>N/A</v>
      </c>
      <c r="P140" s="6" t="str">
        <f t="shared" si="7"/>
        <v>Aceptable</v>
      </c>
      <c r="W140" s="6" t="str">
        <f t="shared" si="8"/>
        <v>Critico</v>
      </c>
    </row>
    <row r="141" spans="1:23" hidden="1">
      <c r="A141" s="51">
        <f>Inicial!A121</f>
        <v>0</v>
      </c>
      <c r="B141" s="52">
        <f>Inicial!B121</f>
        <v>0</v>
      </c>
      <c r="C141" s="52">
        <f>Inicial!C121</f>
        <v>0</v>
      </c>
      <c r="D141" s="53">
        <f>Inicial!D121</f>
        <v>0</v>
      </c>
      <c r="E141" s="51" t="str">
        <f>IF(Inicial!J121="SI",Inicial!E121,"N/A")</f>
        <v>N/A</v>
      </c>
      <c r="F141" s="52" t="str">
        <f>IF(Inicial!J121="SI",Inicial!F121,"N/A")</f>
        <v>N/A</v>
      </c>
      <c r="G141" s="52" t="str">
        <f>IF(Inicial!J121="SI",Inicial!G121,"N/A")</f>
        <v>N/A</v>
      </c>
      <c r="H141" s="52" t="str">
        <f>IF(Inicial!J121="SI",Inicial!H121,"N/A")</f>
        <v>N/A</v>
      </c>
      <c r="I141" s="54" t="str">
        <f>IF(Inicial!J121="SI",Inicial!I121,"N/A")</f>
        <v>N/A</v>
      </c>
      <c r="P141" s="6" t="str">
        <f t="shared" si="7"/>
        <v>Aceptable</v>
      </c>
      <c r="W141" s="6" t="str">
        <f t="shared" si="8"/>
        <v>Critico</v>
      </c>
    </row>
    <row r="142" spans="1:23" hidden="1">
      <c r="A142" s="51">
        <f>Inicial!A122</f>
        <v>0</v>
      </c>
      <c r="B142" s="52">
        <f>Inicial!B122</f>
        <v>0</v>
      </c>
      <c r="C142" s="52">
        <f>Inicial!C122</f>
        <v>0</v>
      </c>
      <c r="D142" s="53">
        <f>Inicial!D122</f>
        <v>0</v>
      </c>
      <c r="E142" s="51" t="str">
        <f>IF(Inicial!J122="SI",Inicial!E122,"N/A")</f>
        <v>N/A</v>
      </c>
      <c r="F142" s="52" t="str">
        <f>IF(Inicial!J122="SI",Inicial!F122,"N/A")</f>
        <v>N/A</v>
      </c>
      <c r="G142" s="52" t="str">
        <f>IF(Inicial!J122="SI",Inicial!G122,"N/A")</f>
        <v>N/A</v>
      </c>
      <c r="H142" s="52" t="str">
        <f>IF(Inicial!J122="SI",Inicial!H122,"N/A")</f>
        <v>N/A</v>
      </c>
      <c r="I142" s="54" t="str">
        <f>IF(Inicial!J122="SI",Inicial!I122,"N/A")</f>
        <v>N/A</v>
      </c>
      <c r="P142" s="6" t="str">
        <f t="shared" si="7"/>
        <v>Aceptable</v>
      </c>
      <c r="W142" s="6" t="str">
        <f t="shared" si="8"/>
        <v>Critico</v>
      </c>
    </row>
    <row r="143" spans="1:23" hidden="1">
      <c r="A143" s="51">
        <f>Inicial!A123</f>
        <v>0</v>
      </c>
      <c r="B143" s="52">
        <f>Inicial!B123</f>
        <v>0</v>
      </c>
      <c r="C143" s="52">
        <f>Inicial!C123</f>
        <v>0</v>
      </c>
      <c r="D143" s="53">
        <f>Inicial!D123</f>
        <v>0</v>
      </c>
      <c r="E143" s="51" t="str">
        <f>IF(Inicial!J123="SI",Inicial!E123,"N/A")</f>
        <v>N/A</v>
      </c>
      <c r="F143" s="52" t="str">
        <f>IF(Inicial!J123="SI",Inicial!F123,"N/A")</f>
        <v>N/A</v>
      </c>
      <c r="G143" s="52" t="str">
        <f>IF(Inicial!J123="SI",Inicial!G123,"N/A")</f>
        <v>N/A</v>
      </c>
      <c r="H143" s="52" t="str">
        <f>IF(Inicial!J123="SI",Inicial!H123,"N/A")</f>
        <v>N/A</v>
      </c>
      <c r="I143" s="54" t="str">
        <f>IF(Inicial!J123="SI",Inicial!I123,"N/A")</f>
        <v>N/A</v>
      </c>
      <c r="P143" s="6" t="str">
        <f t="shared" si="7"/>
        <v>Aceptable</v>
      </c>
      <c r="W143" s="6" t="str">
        <f t="shared" si="8"/>
        <v>Critico</v>
      </c>
    </row>
    <row r="144" spans="1:23" hidden="1">
      <c r="A144" s="51">
        <f>Inicial!A124</f>
        <v>0</v>
      </c>
      <c r="B144" s="52">
        <f>Inicial!B124</f>
        <v>0</v>
      </c>
      <c r="C144" s="52">
        <f>Inicial!C124</f>
        <v>0</v>
      </c>
      <c r="D144" s="53">
        <f>Inicial!D124</f>
        <v>0</v>
      </c>
      <c r="E144" s="51" t="str">
        <f>IF(Inicial!J124="SI",Inicial!E124,"N/A")</f>
        <v>N/A</v>
      </c>
      <c r="F144" s="52" t="str">
        <f>IF(Inicial!J124="SI",Inicial!F124,"N/A")</f>
        <v>N/A</v>
      </c>
      <c r="G144" s="52" t="str">
        <f>IF(Inicial!J124="SI",Inicial!G124,"N/A")</f>
        <v>N/A</v>
      </c>
      <c r="H144" s="52" t="str">
        <f>IF(Inicial!J124="SI",Inicial!H124,"N/A")</f>
        <v>N/A</v>
      </c>
      <c r="I144" s="54" t="str">
        <f>IF(Inicial!J124="SI",Inicial!I124,"N/A")</f>
        <v>N/A</v>
      </c>
      <c r="P144" s="6" t="str">
        <f t="shared" si="7"/>
        <v>Aceptable</v>
      </c>
      <c r="W144" s="6" t="str">
        <f t="shared" si="8"/>
        <v>Critico</v>
      </c>
    </row>
    <row r="145" spans="1:23" hidden="1">
      <c r="A145" s="51">
        <f>Inicial!A125</f>
        <v>0</v>
      </c>
      <c r="B145" s="52">
        <f>Inicial!B125</f>
        <v>0</v>
      </c>
      <c r="C145" s="52">
        <f>Inicial!C125</f>
        <v>0</v>
      </c>
      <c r="D145" s="53">
        <f>Inicial!D125</f>
        <v>0</v>
      </c>
      <c r="E145" s="51" t="str">
        <f>IF(Inicial!J125="SI",Inicial!E125,"N/A")</f>
        <v>N/A</v>
      </c>
      <c r="F145" s="52" t="str">
        <f>IF(Inicial!J125="SI",Inicial!F125,"N/A")</f>
        <v>N/A</v>
      </c>
      <c r="G145" s="52" t="str">
        <f>IF(Inicial!J125="SI",Inicial!G125,"N/A")</f>
        <v>N/A</v>
      </c>
      <c r="H145" s="52" t="str">
        <f>IF(Inicial!J125="SI",Inicial!H125,"N/A")</f>
        <v>N/A</v>
      </c>
      <c r="I145" s="54" t="str">
        <f>IF(Inicial!J125="SI",Inicial!I125,"N/A")</f>
        <v>N/A</v>
      </c>
      <c r="P145" s="6" t="str">
        <f t="shared" si="7"/>
        <v>Aceptable</v>
      </c>
      <c r="W145" s="6" t="str">
        <f t="shared" si="8"/>
        <v>Critico</v>
      </c>
    </row>
    <row r="146" spans="1:23" hidden="1">
      <c r="A146" s="51">
        <f>Inicial!A126</f>
        <v>0</v>
      </c>
      <c r="B146" s="52">
        <f>Inicial!B126</f>
        <v>0</v>
      </c>
      <c r="C146" s="52">
        <f>Inicial!C126</f>
        <v>0</v>
      </c>
      <c r="D146" s="53">
        <f>Inicial!D126</f>
        <v>0</v>
      </c>
      <c r="E146" s="51" t="str">
        <f>IF(Inicial!J126="SI",Inicial!E126,"N/A")</f>
        <v>N/A</v>
      </c>
      <c r="F146" s="52" t="str">
        <f>IF(Inicial!J126="SI",Inicial!F126,"N/A")</f>
        <v>N/A</v>
      </c>
      <c r="G146" s="52" t="str">
        <f>IF(Inicial!J126="SI",Inicial!G126,"N/A")</f>
        <v>N/A</v>
      </c>
      <c r="H146" s="52" t="str">
        <f>IF(Inicial!J126="SI",Inicial!H126,"N/A")</f>
        <v>N/A</v>
      </c>
      <c r="I146" s="54" t="str">
        <f>IF(Inicial!J126="SI",Inicial!I126,"N/A")</f>
        <v>N/A</v>
      </c>
      <c r="P146" s="6" t="str">
        <f t="shared" si="7"/>
        <v>Aceptable</v>
      </c>
      <c r="W146" s="6" t="str">
        <f t="shared" si="8"/>
        <v>Critico</v>
      </c>
    </row>
    <row r="147" spans="1:23" hidden="1">
      <c r="A147" s="51">
        <f>Inicial!A127</f>
        <v>0</v>
      </c>
      <c r="B147" s="52">
        <f>Inicial!B127</f>
        <v>0</v>
      </c>
      <c r="C147" s="52">
        <f>Inicial!C127</f>
        <v>0</v>
      </c>
      <c r="D147" s="53">
        <f>Inicial!D127</f>
        <v>0</v>
      </c>
      <c r="E147" s="51" t="str">
        <f>IF(Inicial!J127="SI",Inicial!E127,"N/A")</f>
        <v>N/A</v>
      </c>
      <c r="F147" s="52" t="str">
        <f>IF(Inicial!J127="SI",Inicial!F127,"N/A")</f>
        <v>N/A</v>
      </c>
      <c r="G147" s="52" t="str">
        <f>IF(Inicial!J127="SI",Inicial!G127,"N/A")</f>
        <v>N/A</v>
      </c>
      <c r="H147" s="52" t="str">
        <f>IF(Inicial!J127="SI",Inicial!H127,"N/A")</f>
        <v>N/A</v>
      </c>
      <c r="I147" s="54" t="str">
        <f>IF(Inicial!J127="SI",Inicial!I127,"N/A")</f>
        <v>N/A</v>
      </c>
      <c r="P147" s="6" t="str">
        <f t="shared" si="7"/>
        <v>Aceptable</v>
      </c>
      <c r="W147" s="6" t="str">
        <f t="shared" si="8"/>
        <v>Critico</v>
      </c>
    </row>
    <row r="148" spans="1:23" hidden="1">
      <c r="A148" s="51">
        <f>Inicial!A128</f>
        <v>0</v>
      </c>
      <c r="B148" s="52">
        <f>Inicial!B128</f>
        <v>0</v>
      </c>
      <c r="C148" s="52">
        <f>Inicial!C128</f>
        <v>0</v>
      </c>
      <c r="D148" s="53">
        <f>Inicial!D128</f>
        <v>0</v>
      </c>
      <c r="E148" s="51" t="str">
        <f>IF(Inicial!J128="SI",Inicial!E128,"N/A")</f>
        <v>N/A</v>
      </c>
      <c r="F148" s="52" t="str">
        <f>IF(Inicial!J128="SI",Inicial!F128,"N/A")</f>
        <v>N/A</v>
      </c>
      <c r="G148" s="52" t="str">
        <f>IF(Inicial!J128="SI",Inicial!G128,"N/A")</f>
        <v>N/A</v>
      </c>
      <c r="H148" s="52" t="str">
        <f>IF(Inicial!J128="SI",Inicial!H128,"N/A")</f>
        <v>N/A</v>
      </c>
      <c r="I148" s="54" t="str">
        <f>IF(Inicial!J128="SI",Inicial!I128,"N/A")</f>
        <v>N/A</v>
      </c>
      <c r="P148" s="6" t="str">
        <f t="shared" si="7"/>
        <v>Aceptable</v>
      </c>
      <c r="W148" s="6" t="str">
        <f t="shared" si="8"/>
        <v>Critico</v>
      </c>
    </row>
    <row r="149" spans="1:23" hidden="1">
      <c r="A149" s="51">
        <f>Inicial!A129</f>
        <v>0</v>
      </c>
      <c r="B149" s="52">
        <f>Inicial!B129</f>
        <v>0</v>
      </c>
      <c r="C149" s="52">
        <f>Inicial!C129</f>
        <v>0</v>
      </c>
      <c r="D149" s="53">
        <f>Inicial!D129</f>
        <v>0</v>
      </c>
      <c r="E149" s="51" t="str">
        <f>IF(Inicial!J129="SI",Inicial!E129,"N/A")</f>
        <v>N/A</v>
      </c>
      <c r="F149" s="52" t="str">
        <f>IF(Inicial!J129="SI",Inicial!F129,"N/A")</f>
        <v>N/A</v>
      </c>
      <c r="G149" s="52" t="str">
        <f>IF(Inicial!J129="SI",Inicial!G129,"N/A")</f>
        <v>N/A</v>
      </c>
      <c r="H149" s="52" t="str">
        <f>IF(Inicial!J129="SI",Inicial!H129,"N/A")</f>
        <v>N/A</v>
      </c>
      <c r="I149" s="54" t="str">
        <f>IF(Inicial!J129="SI",Inicial!I129,"N/A")</f>
        <v>N/A</v>
      </c>
      <c r="P149" s="6" t="str">
        <f t="shared" si="7"/>
        <v>Aceptable</v>
      </c>
      <c r="W149" s="6" t="str">
        <f t="shared" si="8"/>
        <v>Critico</v>
      </c>
    </row>
    <row r="150" spans="1:23" hidden="1">
      <c r="A150" s="51">
        <f>Inicial!A130</f>
        <v>0</v>
      </c>
      <c r="B150" s="52">
        <f>Inicial!B130</f>
        <v>0</v>
      </c>
      <c r="C150" s="52">
        <f>Inicial!C130</f>
        <v>0</v>
      </c>
      <c r="D150" s="53">
        <f>Inicial!D130</f>
        <v>0</v>
      </c>
      <c r="E150" s="51" t="str">
        <f>IF(Inicial!J130="SI",Inicial!E130,"N/A")</f>
        <v>N/A</v>
      </c>
      <c r="F150" s="52" t="str">
        <f>IF(Inicial!J130="SI",Inicial!F130,"N/A")</f>
        <v>N/A</v>
      </c>
      <c r="G150" s="52" t="str">
        <f>IF(Inicial!J130="SI",Inicial!G130,"N/A")</f>
        <v>N/A</v>
      </c>
      <c r="H150" s="52" t="str">
        <f>IF(Inicial!J130="SI",Inicial!H130,"N/A")</f>
        <v>N/A</v>
      </c>
      <c r="I150" s="54" t="str">
        <f>IF(Inicial!J130="SI",Inicial!I130,"N/A")</f>
        <v>N/A</v>
      </c>
      <c r="P150" s="6" t="str">
        <f t="shared" si="7"/>
        <v>Aceptable</v>
      </c>
      <c r="W150" s="6" t="str">
        <f t="shared" si="8"/>
        <v>Critico</v>
      </c>
    </row>
    <row r="151" spans="1:23" hidden="1">
      <c r="A151" s="51">
        <f>Inicial!A131</f>
        <v>0</v>
      </c>
      <c r="B151" s="52">
        <f>Inicial!B131</f>
        <v>0</v>
      </c>
      <c r="C151" s="52">
        <f>Inicial!C131</f>
        <v>0</v>
      </c>
      <c r="D151" s="53">
        <f>Inicial!D131</f>
        <v>0</v>
      </c>
      <c r="E151" s="51" t="str">
        <f>IF(Inicial!J131="SI",Inicial!E131,"N/A")</f>
        <v>N/A</v>
      </c>
      <c r="F151" s="52" t="str">
        <f>IF(Inicial!J131="SI",Inicial!F131,"N/A")</f>
        <v>N/A</v>
      </c>
      <c r="G151" s="52" t="str">
        <f>IF(Inicial!J131="SI",Inicial!G131,"N/A")</f>
        <v>N/A</v>
      </c>
      <c r="H151" s="52" t="str">
        <f>IF(Inicial!J131="SI",Inicial!H131,"N/A")</f>
        <v>N/A</v>
      </c>
      <c r="I151" s="54" t="str">
        <f>IF(Inicial!J131="SI",Inicial!I131,"N/A")</f>
        <v>N/A</v>
      </c>
      <c r="P151" s="6" t="str">
        <f t="shared" si="7"/>
        <v>Aceptable</v>
      </c>
      <c r="W151" s="6" t="str">
        <f t="shared" si="8"/>
        <v>Critico</v>
      </c>
    </row>
    <row r="152" spans="1:23" hidden="1">
      <c r="A152" s="51">
        <f>Inicial!A132</f>
        <v>0</v>
      </c>
      <c r="B152" s="52">
        <f>Inicial!B132</f>
        <v>0</v>
      </c>
      <c r="C152" s="52">
        <f>Inicial!C132</f>
        <v>0</v>
      </c>
      <c r="D152" s="53">
        <f>Inicial!D132</f>
        <v>0</v>
      </c>
      <c r="E152" s="51" t="str">
        <f>IF(Inicial!J132="SI",Inicial!E132,"N/A")</f>
        <v>N/A</v>
      </c>
      <c r="F152" s="52" t="str">
        <f>IF(Inicial!J132="SI",Inicial!F132,"N/A")</f>
        <v>N/A</v>
      </c>
      <c r="G152" s="52" t="str">
        <f>IF(Inicial!J132="SI",Inicial!G132,"N/A")</f>
        <v>N/A</v>
      </c>
      <c r="H152" s="52" t="str">
        <f>IF(Inicial!J132="SI",Inicial!H132,"N/A")</f>
        <v>N/A</v>
      </c>
      <c r="I152" s="54" t="str">
        <f>IF(Inicial!J132="SI",Inicial!I132,"N/A")</f>
        <v>N/A</v>
      </c>
      <c r="P152" s="6" t="str">
        <f t="shared" si="7"/>
        <v>Aceptable</v>
      </c>
      <c r="W152" s="6" t="str">
        <f t="shared" si="8"/>
        <v>Critico</v>
      </c>
    </row>
    <row r="153" spans="1:23" hidden="1">
      <c r="A153" s="51">
        <f>Inicial!A133</f>
        <v>0</v>
      </c>
      <c r="B153" s="52">
        <f>Inicial!B133</f>
        <v>0</v>
      </c>
      <c r="C153" s="52">
        <f>Inicial!C133</f>
        <v>0</v>
      </c>
      <c r="D153" s="53">
        <f>Inicial!D133</f>
        <v>0</v>
      </c>
      <c r="E153" s="51" t="str">
        <f>IF(Inicial!J133="SI",Inicial!E133,"N/A")</f>
        <v>N/A</v>
      </c>
      <c r="F153" s="52" t="str">
        <f>IF(Inicial!J133="SI",Inicial!F133,"N/A")</f>
        <v>N/A</v>
      </c>
      <c r="G153" s="52" t="str">
        <f>IF(Inicial!J133="SI",Inicial!G133,"N/A")</f>
        <v>N/A</v>
      </c>
      <c r="H153" s="52" t="str">
        <f>IF(Inicial!J133="SI",Inicial!H133,"N/A")</f>
        <v>N/A</v>
      </c>
      <c r="I153" s="54" t="str">
        <f>IF(Inicial!J133="SI",Inicial!I133,"N/A")</f>
        <v>N/A</v>
      </c>
      <c r="P153" s="6" t="str">
        <f t="shared" si="7"/>
        <v>Aceptable</v>
      </c>
      <c r="W153" s="6" t="str">
        <f t="shared" si="8"/>
        <v>Critico</v>
      </c>
    </row>
    <row r="154" spans="1:23" hidden="1">
      <c r="A154" s="51">
        <f>Inicial!A134</f>
        <v>0</v>
      </c>
      <c r="B154" s="52">
        <f>Inicial!B134</f>
        <v>0</v>
      </c>
      <c r="C154" s="52">
        <f>Inicial!C134</f>
        <v>0</v>
      </c>
      <c r="D154" s="53">
        <f>Inicial!D134</f>
        <v>0</v>
      </c>
      <c r="E154" s="51" t="str">
        <f>IF(Inicial!J134="SI",Inicial!E134,"N/A")</f>
        <v>N/A</v>
      </c>
      <c r="F154" s="52" t="str">
        <f>IF(Inicial!J134="SI",Inicial!F134,"N/A")</f>
        <v>N/A</v>
      </c>
      <c r="G154" s="52" t="str">
        <f>IF(Inicial!J134="SI",Inicial!G134,"N/A")</f>
        <v>N/A</v>
      </c>
      <c r="H154" s="52" t="str">
        <f>IF(Inicial!J134="SI",Inicial!H134,"N/A")</f>
        <v>N/A</v>
      </c>
      <c r="I154" s="54" t="str">
        <f>IF(Inicial!J134="SI",Inicial!I134,"N/A")</f>
        <v>N/A</v>
      </c>
      <c r="P154" s="6" t="str">
        <f t="shared" si="7"/>
        <v>Aceptable</v>
      </c>
      <c r="W154" s="6" t="str">
        <f t="shared" si="8"/>
        <v>Critico</v>
      </c>
    </row>
    <row r="155" spans="1:23" hidden="1">
      <c r="A155" s="51">
        <f>Inicial!A135</f>
        <v>0</v>
      </c>
      <c r="B155" s="52">
        <f>Inicial!B135</f>
        <v>0</v>
      </c>
      <c r="C155" s="52">
        <f>Inicial!C135</f>
        <v>0</v>
      </c>
      <c r="D155" s="53">
        <f>Inicial!D135</f>
        <v>0</v>
      </c>
      <c r="E155" s="51" t="str">
        <f>IF(Inicial!J135="SI",Inicial!E135,"N/A")</f>
        <v>N/A</v>
      </c>
      <c r="F155" s="52" t="str">
        <f>IF(Inicial!J135="SI",Inicial!F135,"N/A")</f>
        <v>N/A</v>
      </c>
      <c r="G155" s="52" t="str">
        <f>IF(Inicial!J135="SI",Inicial!G135,"N/A")</f>
        <v>N/A</v>
      </c>
      <c r="H155" s="52" t="str">
        <f>IF(Inicial!J135="SI",Inicial!H135,"N/A")</f>
        <v>N/A</v>
      </c>
      <c r="I155" s="54" t="str">
        <f>IF(Inicial!J135="SI",Inicial!I135,"N/A")</f>
        <v>N/A</v>
      </c>
      <c r="P155" s="6" t="str">
        <f t="shared" si="7"/>
        <v>Aceptable</v>
      </c>
      <c r="W155" s="6" t="str">
        <f t="shared" si="8"/>
        <v>Critico</v>
      </c>
    </row>
    <row r="156" spans="1:23" hidden="1">
      <c r="A156" s="51">
        <f>Inicial!A136</f>
        <v>0</v>
      </c>
      <c r="B156" s="52">
        <f>Inicial!B136</f>
        <v>0</v>
      </c>
      <c r="C156" s="52">
        <f>Inicial!C136</f>
        <v>0</v>
      </c>
      <c r="D156" s="53">
        <f>Inicial!D136</f>
        <v>0</v>
      </c>
      <c r="E156" s="51" t="str">
        <f>IF(Inicial!J136="SI",Inicial!E136,"N/A")</f>
        <v>N/A</v>
      </c>
      <c r="F156" s="52" t="str">
        <f>IF(Inicial!J136="SI",Inicial!F136,"N/A")</f>
        <v>N/A</v>
      </c>
      <c r="G156" s="52" t="str">
        <f>IF(Inicial!J136="SI",Inicial!G136,"N/A")</f>
        <v>N/A</v>
      </c>
      <c r="H156" s="52" t="str">
        <f>IF(Inicial!J136="SI",Inicial!H136,"N/A")</f>
        <v>N/A</v>
      </c>
      <c r="I156" s="54" t="str">
        <f>IF(Inicial!J136="SI",Inicial!I136,"N/A")</f>
        <v>N/A</v>
      </c>
      <c r="P156" s="6" t="str">
        <f t="shared" si="7"/>
        <v>Aceptable</v>
      </c>
      <c r="W156" s="6" t="str">
        <f t="shared" si="8"/>
        <v>Critico</v>
      </c>
    </row>
    <row r="157" spans="1:23" hidden="1">
      <c r="A157" s="51">
        <f>Inicial!A137</f>
        <v>0</v>
      </c>
      <c r="B157" s="52">
        <f>Inicial!B137</f>
        <v>0</v>
      </c>
      <c r="C157" s="52">
        <f>Inicial!C137</f>
        <v>0</v>
      </c>
      <c r="D157" s="53">
        <f>Inicial!D137</f>
        <v>0</v>
      </c>
      <c r="E157" s="51" t="str">
        <f>IF(Inicial!J137="SI",Inicial!E137,"N/A")</f>
        <v>N/A</v>
      </c>
      <c r="F157" s="52" t="str">
        <f>IF(Inicial!J137="SI",Inicial!F137,"N/A")</f>
        <v>N/A</v>
      </c>
      <c r="G157" s="52" t="str">
        <f>IF(Inicial!J137="SI",Inicial!G137,"N/A")</f>
        <v>N/A</v>
      </c>
      <c r="H157" s="52" t="str">
        <f>IF(Inicial!J137="SI",Inicial!H137,"N/A")</f>
        <v>N/A</v>
      </c>
      <c r="I157" s="54" t="str">
        <f>IF(Inicial!J137="SI",Inicial!I137,"N/A")</f>
        <v>N/A</v>
      </c>
      <c r="P157" s="6" t="str">
        <f t="shared" si="7"/>
        <v>Aceptable</v>
      </c>
      <c r="W157" s="6" t="str">
        <f t="shared" si="8"/>
        <v>Critico</v>
      </c>
    </row>
    <row r="158" spans="1:23" hidden="1">
      <c r="A158" s="51">
        <f>Inicial!A138</f>
        <v>0</v>
      </c>
      <c r="B158" s="52">
        <f>Inicial!B138</f>
        <v>0</v>
      </c>
      <c r="C158" s="52">
        <f>Inicial!C138</f>
        <v>0</v>
      </c>
      <c r="D158" s="53">
        <f>Inicial!D138</f>
        <v>0</v>
      </c>
      <c r="E158" s="51" t="str">
        <f>IF(Inicial!J138="SI",Inicial!E138,"N/A")</f>
        <v>N/A</v>
      </c>
      <c r="F158" s="52" t="str">
        <f>IF(Inicial!J138="SI",Inicial!F138,"N/A")</f>
        <v>N/A</v>
      </c>
      <c r="G158" s="52" t="str">
        <f>IF(Inicial!J138="SI",Inicial!G138,"N/A")</f>
        <v>N/A</v>
      </c>
      <c r="H158" s="52" t="str">
        <f>IF(Inicial!J138="SI",Inicial!H138,"N/A")</f>
        <v>N/A</v>
      </c>
      <c r="I158" s="54" t="str">
        <f>IF(Inicial!J138="SI",Inicial!I138,"N/A")</f>
        <v>N/A</v>
      </c>
      <c r="P158" s="6" t="str">
        <f t="shared" si="7"/>
        <v>Aceptable</v>
      </c>
      <c r="W158" s="6" t="str">
        <f t="shared" si="8"/>
        <v>Critico</v>
      </c>
    </row>
    <row r="159" spans="1:23" hidden="1">
      <c r="A159" s="51">
        <f>Inicial!A139</f>
        <v>0</v>
      </c>
      <c r="B159" s="52">
        <f>Inicial!B139</f>
        <v>0</v>
      </c>
      <c r="C159" s="52">
        <f>Inicial!C139</f>
        <v>0</v>
      </c>
      <c r="D159" s="53">
        <f>Inicial!D139</f>
        <v>0</v>
      </c>
      <c r="E159" s="51" t="str">
        <f>IF(Inicial!J139="SI",Inicial!E139,"N/A")</f>
        <v>N/A</v>
      </c>
      <c r="F159" s="52" t="str">
        <f>IF(Inicial!J139="SI",Inicial!F139,"N/A")</f>
        <v>N/A</v>
      </c>
      <c r="G159" s="52" t="str">
        <f>IF(Inicial!J139="SI",Inicial!G139,"N/A")</f>
        <v>N/A</v>
      </c>
      <c r="H159" s="52" t="str">
        <f>IF(Inicial!J139="SI",Inicial!H139,"N/A")</f>
        <v>N/A</v>
      </c>
      <c r="I159" s="54" t="str">
        <f>IF(Inicial!J139="SI",Inicial!I139,"N/A")</f>
        <v>N/A</v>
      </c>
      <c r="P159" s="6" t="str">
        <f t="shared" si="7"/>
        <v>Aceptable</v>
      </c>
      <c r="W159" s="6" t="str">
        <f t="shared" si="8"/>
        <v>Critico</v>
      </c>
    </row>
    <row r="160" spans="1:23" hidden="1">
      <c r="A160" s="51">
        <f>Inicial!A140</f>
        <v>0</v>
      </c>
      <c r="B160" s="52">
        <f>Inicial!B140</f>
        <v>0</v>
      </c>
      <c r="C160" s="52">
        <f>Inicial!C140</f>
        <v>0</v>
      </c>
      <c r="D160" s="53">
        <f>Inicial!D140</f>
        <v>0</v>
      </c>
      <c r="E160" s="51" t="str">
        <f>IF(Inicial!J140="SI",Inicial!E140,"N/A")</f>
        <v>N/A</v>
      </c>
      <c r="F160" s="52" t="str">
        <f>IF(Inicial!J140="SI",Inicial!F140,"N/A")</f>
        <v>N/A</v>
      </c>
      <c r="G160" s="52" t="str">
        <f>IF(Inicial!J140="SI",Inicial!G140,"N/A")</f>
        <v>N/A</v>
      </c>
      <c r="H160" s="52" t="str">
        <f>IF(Inicial!J140="SI",Inicial!H140,"N/A")</f>
        <v>N/A</v>
      </c>
      <c r="I160" s="54" t="str">
        <f>IF(Inicial!J140="SI",Inicial!I140,"N/A")</f>
        <v>N/A</v>
      </c>
      <c r="P160" s="6" t="str">
        <f t="shared" si="7"/>
        <v>Aceptable</v>
      </c>
      <c r="W160" s="6" t="str">
        <f t="shared" si="8"/>
        <v>Critico</v>
      </c>
    </row>
    <row r="161" spans="1:23" hidden="1">
      <c r="A161" s="51">
        <f>Inicial!A141</f>
        <v>0</v>
      </c>
      <c r="B161" s="52">
        <f>Inicial!B141</f>
        <v>0</v>
      </c>
      <c r="C161" s="52">
        <f>Inicial!C141</f>
        <v>0</v>
      </c>
      <c r="D161" s="53">
        <f>Inicial!D141</f>
        <v>0</v>
      </c>
      <c r="E161" s="51" t="str">
        <f>IF(Inicial!J141="SI",Inicial!E141,"N/A")</f>
        <v>N/A</v>
      </c>
      <c r="F161" s="52" t="str">
        <f>IF(Inicial!J141="SI",Inicial!F141,"N/A")</f>
        <v>N/A</v>
      </c>
      <c r="G161" s="52" t="str">
        <f>IF(Inicial!J141="SI",Inicial!G141,"N/A")</f>
        <v>N/A</v>
      </c>
      <c r="H161" s="52" t="str">
        <f>IF(Inicial!J141="SI",Inicial!H141,"N/A")</f>
        <v>N/A</v>
      </c>
      <c r="I161" s="54" t="str">
        <f>IF(Inicial!J141="SI",Inicial!I141,"N/A")</f>
        <v>N/A</v>
      </c>
      <c r="P161" s="6" t="str">
        <f t="shared" si="7"/>
        <v>Aceptable</v>
      </c>
      <c r="W161" s="6" t="str">
        <f t="shared" si="8"/>
        <v>Critico</v>
      </c>
    </row>
    <row r="162" spans="1:23" hidden="1">
      <c r="A162" s="51">
        <f>Inicial!A142</f>
        <v>0</v>
      </c>
      <c r="B162" s="52">
        <f>Inicial!B142</f>
        <v>0</v>
      </c>
      <c r="C162" s="52">
        <f>Inicial!C142</f>
        <v>0</v>
      </c>
      <c r="D162" s="53">
        <f>Inicial!D142</f>
        <v>0</v>
      </c>
      <c r="E162" s="51" t="str">
        <f>IF(Inicial!J142="SI",Inicial!E142,"N/A")</f>
        <v>N/A</v>
      </c>
      <c r="F162" s="52" t="str">
        <f>IF(Inicial!J142="SI",Inicial!F142,"N/A")</f>
        <v>N/A</v>
      </c>
      <c r="G162" s="52" t="str">
        <f>IF(Inicial!J142="SI",Inicial!G142,"N/A")</f>
        <v>N/A</v>
      </c>
      <c r="H162" s="52" t="str">
        <f>IF(Inicial!J142="SI",Inicial!H142,"N/A")</f>
        <v>N/A</v>
      </c>
      <c r="I162" s="54" t="str">
        <f>IF(Inicial!J142="SI",Inicial!I142,"N/A")</f>
        <v>N/A</v>
      </c>
      <c r="P162" s="6" t="str">
        <f t="shared" si="7"/>
        <v>Aceptable</v>
      </c>
      <c r="W162" s="6" t="str">
        <f t="shared" si="8"/>
        <v>Critico</v>
      </c>
    </row>
    <row r="163" spans="1:23" hidden="1">
      <c r="A163" s="51">
        <f>Inicial!A143</f>
        <v>0</v>
      </c>
      <c r="B163" s="52">
        <f>Inicial!B143</f>
        <v>0</v>
      </c>
      <c r="C163" s="52">
        <f>Inicial!C143</f>
        <v>0</v>
      </c>
      <c r="D163" s="53">
        <f>Inicial!D143</f>
        <v>0</v>
      </c>
      <c r="E163" s="51" t="str">
        <f>IF(Inicial!J143="SI",Inicial!E143,"N/A")</f>
        <v>N/A</v>
      </c>
      <c r="F163" s="52" t="str">
        <f>IF(Inicial!J143="SI",Inicial!F143,"N/A")</f>
        <v>N/A</v>
      </c>
      <c r="G163" s="52" t="str">
        <f>IF(Inicial!J143="SI",Inicial!G143,"N/A")</f>
        <v>N/A</v>
      </c>
      <c r="H163" s="52" t="str">
        <f>IF(Inicial!J143="SI",Inicial!H143,"N/A")</f>
        <v>N/A</v>
      </c>
      <c r="I163" s="54" t="str">
        <f>IF(Inicial!J143="SI",Inicial!I143,"N/A")</f>
        <v>N/A</v>
      </c>
      <c r="P163" s="6" t="str">
        <f t="shared" si="7"/>
        <v>Aceptable</v>
      </c>
      <c r="W163" s="6" t="str">
        <f t="shared" si="8"/>
        <v>Critico</v>
      </c>
    </row>
    <row r="164" spans="1:23" hidden="1">
      <c r="A164" s="51">
        <f>Inicial!A144</f>
        <v>0</v>
      </c>
      <c r="B164" s="52">
        <f>Inicial!B144</f>
        <v>0</v>
      </c>
      <c r="C164" s="52">
        <f>Inicial!C144</f>
        <v>0</v>
      </c>
      <c r="D164" s="53">
        <f>Inicial!D144</f>
        <v>0</v>
      </c>
      <c r="E164" s="51" t="str">
        <f>IF(Inicial!J144="SI",Inicial!E144,"N/A")</f>
        <v>N/A</v>
      </c>
      <c r="F164" s="52" t="str">
        <f>IF(Inicial!J144="SI",Inicial!F144,"N/A")</f>
        <v>N/A</v>
      </c>
      <c r="G164" s="52" t="str">
        <f>IF(Inicial!J144="SI",Inicial!G144,"N/A")</f>
        <v>N/A</v>
      </c>
      <c r="H164" s="52" t="str">
        <f>IF(Inicial!J144="SI",Inicial!H144,"N/A")</f>
        <v>N/A</v>
      </c>
      <c r="I164" s="54" t="str">
        <f>IF(Inicial!J144="SI",Inicial!I144,"N/A")</f>
        <v>N/A</v>
      </c>
      <c r="P164" s="6" t="str">
        <f t="shared" si="7"/>
        <v>Aceptable</v>
      </c>
      <c r="W164" s="6" t="str">
        <f t="shared" si="8"/>
        <v>Critico</v>
      </c>
    </row>
    <row r="165" spans="1:23" hidden="1">
      <c r="A165" s="51">
        <f>Inicial!A145</f>
        <v>0</v>
      </c>
      <c r="B165" s="52">
        <f>Inicial!B145</f>
        <v>0</v>
      </c>
      <c r="C165" s="52">
        <f>Inicial!C145</f>
        <v>0</v>
      </c>
      <c r="D165" s="53">
        <f>Inicial!D145</f>
        <v>0</v>
      </c>
      <c r="E165" s="51" t="str">
        <f>IF(Inicial!J145="SI",Inicial!E145,"N/A")</f>
        <v>N/A</v>
      </c>
      <c r="F165" s="52" t="str">
        <f>IF(Inicial!J145="SI",Inicial!F145,"N/A")</f>
        <v>N/A</v>
      </c>
      <c r="G165" s="52" t="str">
        <f>IF(Inicial!J145="SI",Inicial!G145,"N/A")</f>
        <v>N/A</v>
      </c>
      <c r="H165" s="52" t="str">
        <f>IF(Inicial!J145="SI",Inicial!H145,"N/A")</f>
        <v>N/A</v>
      </c>
      <c r="I165" s="54" t="str">
        <f>IF(Inicial!J145="SI",Inicial!I145,"N/A")</f>
        <v>N/A</v>
      </c>
      <c r="P165" s="6" t="str">
        <f t="shared" si="7"/>
        <v>Aceptable</v>
      </c>
      <c r="W165" s="6" t="str">
        <f t="shared" si="8"/>
        <v>Critico</v>
      </c>
    </row>
    <row r="166" spans="1:23" hidden="1">
      <c r="A166" s="51">
        <f>Inicial!A146</f>
        <v>0</v>
      </c>
      <c r="B166" s="52">
        <f>Inicial!B146</f>
        <v>0</v>
      </c>
      <c r="C166" s="52">
        <f>Inicial!C146</f>
        <v>0</v>
      </c>
      <c r="D166" s="53">
        <f>Inicial!D146</f>
        <v>0</v>
      </c>
      <c r="E166" s="51" t="str">
        <f>IF(Inicial!J146="SI",Inicial!E146,"N/A")</f>
        <v>N/A</v>
      </c>
      <c r="F166" s="52" t="str">
        <f>IF(Inicial!J146="SI",Inicial!F146,"N/A")</f>
        <v>N/A</v>
      </c>
      <c r="G166" s="52" t="str">
        <f>IF(Inicial!J146="SI",Inicial!G146,"N/A")</f>
        <v>N/A</v>
      </c>
      <c r="H166" s="52" t="str">
        <f>IF(Inicial!J146="SI",Inicial!H146,"N/A")</f>
        <v>N/A</v>
      </c>
      <c r="I166" s="54" t="str">
        <f>IF(Inicial!J146="SI",Inicial!I146,"N/A")</f>
        <v>N/A</v>
      </c>
      <c r="P166" s="6" t="str">
        <f t="shared" si="7"/>
        <v>Aceptable</v>
      </c>
      <c r="W166" s="6" t="str">
        <f t="shared" si="8"/>
        <v>Critico</v>
      </c>
    </row>
    <row r="167" spans="1:23" hidden="1">
      <c r="A167" s="51">
        <f>Inicial!A147</f>
        <v>0</v>
      </c>
      <c r="B167" s="52">
        <f>Inicial!B147</f>
        <v>0</v>
      </c>
      <c r="C167" s="52">
        <f>Inicial!C147</f>
        <v>0</v>
      </c>
      <c r="D167" s="53">
        <f>Inicial!D147</f>
        <v>0</v>
      </c>
      <c r="E167" s="51" t="str">
        <f>IF(Inicial!J147="SI",Inicial!E147,"N/A")</f>
        <v>N/A</v>
      </c>
      <c r="F167" s="52" t="str">
        <f>IF(Inicial!J147="SI",Inicial!F147,"N/A")</f>
        <v>N/A</v>
      </c>
      <c r="G167" s="52" t="str">
        <f>IF(Inicial!J147="SI",Inicial!G147,"N/A")</f>
        <v>N/A</v>
      </c>
      <c r="H167" s="52" t="str">
        <f>IF(Inicial!J147="SI",Inicial!H147,"N/A")</f>
        <v>N/A</v>
      </c>
      <c r="I167" s="54" t="str">
        <f>IF(Inicial!J147="SI",Inicial!I147,"N/A")</f>
        <v>N/A</v>
      </c>
      <c r="P167" s="6" t="str">
        <f t="shared" si="7"/>
        <v>Aceptable</v>
      </c>
      <c r="W167" s="6" t="str">
        <f t="shared" si="8"/>
        <v>Critico</v>
      </c>
    </row>
    <row r="168" spans="1:23" hidden="1">
      <c r="A168" s="51">
        <f>Inicial!A148</f>
        <v>0</v>
      </c>
      <c r="B168" s="52">
        <f>Inicial!B148</f>
        <v>0</v>
      </c>
      <c r="C168" s="52">
        <f>Inicial!C148</f>
        <v>0</v>
      </c>
      <c r="D168" s="53">
        <f>Inicial!D148</f>
        <v>0</v>
      </c>
      <c r="E168" s="51" t="str">
        <f>IF(Inicial!J148="SI",Inicial!E148,"N/A")</f>
        <v>N/A</v>
      </c>
      <c r="F168" s="52" t="str">
        <f>IF(Inicial!J148="SI",Inicial!F148,"N/A")</f>
        <v>N/A</v>
      </c>
      <c r="G168" s="52" t="str">
        <f>IF(Inicial!J148="SI",Inicial!G148,"N/A")</f>
        <v>N/A</v>
      </c>
      <c r="H168" s="52" t="str">
        <f>IF(Inicial!J148="SI",Inicial!H148,"N/A")</f>
        <v>N/A</v>
      </c>
      <c r="I168" s="54" t="str">
        <f>IF(Inicial!J148="SI",Inicial!I148,"N/A")</f>
        <v>N/A</v>
      </c>
      <c r="P168" s="6" t="str">
        <f t="shared" si="7"/>
        <v>Aceptable</v>
      </c>
      <c r="W168" s="6" t="str">
        <f t="shared" si="8"/>
        <v>Critico</v>
      </c>
    </row>
    <row r="169" spans="1:23" hidden="1">
      <c r="A169" s="51">
        <f>Inicial!A149</f>
        <v>0</v>
      </c>
      <c r="B169" s="52">
        <f>Inicial!B149</f>
        <v>0</v>
      </c>
      <c r="C169" s="52">
        <f>Inicial!C149</f>
        <v>0</v>
      </c>
      <c r="D169" s="53">
        <f>Inicial!D149</f>
        <v>0</v>
      </c>
      <c r="E169" s="51" t="str">
        <f>IF(Inicial!J149="SI",Inicial!E149,"N/A")</f>
        <v>N/A</v>
      </c>
      <c r="F169" s="52" t="str">
        <f>IF(Inicial!J149="SI",Inicial!F149,"N/A")</f>
        <v>N/A</v>
      </c>
      <c r="G169" s="52" t="str">
        <f>IF(Inicial!J149="SI",Inicial!G149,"N/A")</f>
        <v>N/A</v>
      </c>
      <c r="H169" s="52" t="str">
        <f>IF(Inicial!J149="SI",Inicial!H149,"N/A")</f>
        <v>N/A</v>
      </c>
      <c r="I169" s="54" t="str">
        <f>IF(Inicial!J149="SI",Inicial!I149,"N/A")</f>
        <v>N/A</v>
      </c>
      <c r="P169" s="6" t="str">
        <f t="shared" si="7"/>
        <v>Aceptable</v>
      </c>
      <c r="W169" s="6" t="str">
        <f t="shared" si="8"/>
        <v>Critico</v>
      </c>
    </row>
    <row r="170" spans="1:23" hidden="1">
      <c r="A170" s="51">
        <f>Inicial!A150</f>
        <v>0</v>
      </c>
      <c r="B170" s="52">
        <f>Inicial!B150</f>
        <v>0</v>
      </c>
      <c r="C170" s="52">
        <f>Inicial!C150</f>
        <v>0</v>
      </c>
      <c r="D170" s="53">
        <f>Inicial!D150</f>
        <v>0</v>
      </c>
      <c r="E170" s="51" t="str">
        <f>IF(Inicial!J150="SI",Inicial!E150,"N/A")</f>
        <v>N/A</v>
      </c>
      <c r="F170" s="52" t="str">
        <f>IF(Inicial!J150="SI",Inicial!F150,"N/A")</f>
        <v>N/A</v>
      </c>
      <c r="G170" s="52" t="str">
        <f>IF(Inicial!J150="SI",Inicial!G150,"N/A")</f>
        <v>N/A</v>
      </c>
      <c r="H170" s="52" t="str">
        <f>IF(Inicial!J150="SI",Inicial!H150,"N/A")</f>
        <v>N/A</v>
      </c>
      <c r="I170" s="54" t="str">
        <f>IF(Inicial!J150="SI",Inicial!I150,"N/A")</f>
        <v>N/A</v>
      </c>
      <c r="P170" s="6" t="str">
        <f t="shared" si="7"/>
        <v>Aceptable</v>
      </c>
      <c r="W170" s="6" t="str">
        <f t="shared" si="8"/>
        <v>Critico</v>
      </c>
    </row>
    <row r="171" spans="1:23" hidden="1">
      <c r="A171" s="51">
        <f>Inicial!A151</f>
        <v>0</v>
      </c>
      <c r="B171" s="52">
        <f>Inicial!B151</f>
        <v>0</v>
      </c>
      <c r="C171" s="52">
        <f>Inicial!C151</f>
        <v>0</v>
      </c>
      <c r="D171" s="53">
        <f>Inicial!D151</f>
        <v>0</v>
      </c>
      <c r="E171" s="51" t="str">
        <f>IF(Inicial!J151="SI",Inicial!E151,"N/A")</f>
        <v>N/A</v>
      </c>
      <c r="F171" s="52" t="str">
        <f>IF(Inicial!J151="SI",Inicial!F151,"N/A")</f>
        <v>N/A</v>
      </c>
      <c r="G171" s="52" t="str">
        <f>IF(Inicial!J151="SI",Inicial!G151,"N/A")</f>
        <v>N/A</v>
      </c>
      <c r="H171" s="52" t="str">
        <f>IF(Inicial!J151="SI",Inicial!H151,"N/A")</f>
        <v>N/A</v>
      </c>
      <c r="I171" s="54" t="str">
        <f>IF(Inicial!J151="SI",Inicial!I151,"N/A")</f>
        <v>N/A</v>
      </c>
      <c r="P171" s="6" t="str">
        <f t="shared" si="7"/>
        <v>Aceptable</v>
      </c>
      <c r="W171" s="6" t="str">
        <f t="shared" si="8"/>
        <v>Critico</v>
      </c>
    </row>
    <row r="172" spans="1:23" hidden="1">
      <c r="A172" s="51">
        <f>Inicial!A152</f>
        <v>0</v>
      </c>
      <c r="B172" s="52">
        <f>Inicial!B152</f>
        <v>0</v>
      </c>
      <c r="C172" s="52">
        <f>Inicial!C152</f>
        <v>0</v>
      </c>
      <c r="D172" s="53">
        <f>Inicial!D152</f>
        <v>0</v>
      </c>
      <c r="E172" s="51" t="str">
        <f>IF(Inicial!J152="SI",Inicial!E152,"N/A")</f>
        <v>N/A</v>
      </c>
      <c r="F172" s="52" t="str">
        <f>IF(Inicial!J152="SI",Inicial!F152,"N/A")</f>
        <v>N/A</v>
      </c>
      <c r="G172" s="52" t="str">
        <f>IF(Inicial!J152="SI",Inicial!G152,"N/A")</f>
        <v>N/A</v>
      </c>
      <c r="H172" s="52" t="str">
        <f>IF(Inicial!J152="SI",Inicial!H152,"N/A")</f>
        <v>N/A</v>
      </c>
      <c r="I172" s="54" t="str">
        <f>IF(Inicial!J152="SI",Inicial!I152,"N/A")</f>
        <v>N/A</v>
      </c>
      <c r="P172" s="6" t="str">
        <f t="shared" si="7"/>
        <v>Aceptable</v>
      </c>
      <c r="W172" s="6" t="str">
        <f t="shared" si="8"/>
        <v>Critico</v>
      </c>
    </row>
    <row r="173" spans="1:23" hidden="1">
      <c r="A173" s="51">
        <f>Inicial!A153</f>
        <v>0</v>
      </c>
      <c r="B173" s="52">
        <f>Inicial!B153</f>
        <v>0</v>
      </c>
      <c r="C173" s="52">
        <f>Inicial!C153</f>
        <v>0</v>
      </c>
      <c r="D173" s="53">
        <f>Inicial!D153</f>
        <v>0</v>
      </c>
      <c r="E173" s="51" t="str">
        <f>IF(Inicial!J153="SI",Inicial!E153,"N/A")</f>
        <v>N/A</v>
      </c>
      <c r="F173" s="52" t="str">
        <f>IF(Inicial!J153="SI",Inicial!F153,"N/A")</f>
        <v>N/A</v>
      </c>
      <c r="G173" s="52" t="str">
        <f>IF(Inicial!J153="SI",Inicial!G153,"N/A")</f>
        <v>N/A</v>
      </c>
      <c r="H173" s="52" t="str">
        <f>IF(Inicial!J153="SI",Inicial!H153,"N/A")</f>
        <v>N/A</v>
      </c>
      <c r="I173" s="54" t="str">
        <f>IF(Inicial!J153="SI",Inicial!I153,"N/A")</f>
        <v>N/A</v>
      </c>
      <c r="P173" s="6" t="str">
        <f t="shared" si="7"/>
        <v>Aceptable</v>
      </c>
      <c r="W173" s="6" t="str">
        <f t="shared" si="8"/>
        <v>Critico</v>
      </c>
    </row>
    <row r="174" spans="1:23" hidden="1">
      <c r="A174" s="51">
        <f>Inicial!A154</f>
        <v>0</v>
      </c>
      <c r="B174" s="52">
        <f>Inicial!B154</f>
        <v>0</v>
      </c>
      <c r="C174" s="52">
        <f>Inicial!C154</f>
        <v>0</v>
      </c>
      <c r="D174" s="53">
        <f>Inicial!D154</f>
        <v>0</v>
      </c>
      <c r="E174" s="51" t="str">
        <f>IF(Inicial!J154="SI",Inicial!E154,"N/A")</f>
        <v>N/A</v>
      </c>
      <c r="F174" s="52" t="str">
        <f>IF(Inicial!J154="SI",Inicial!F154,"N/A")</f>
        <v>N/A</v>
      </c>
      <c r="G174" s="52" t="str">
        <f>IF(Inicial!J154="SI",Inicial!G154,"N/A")</f>
        <v>N/A</v>
      </c>
      <c r="H174" s="52" t="str">
        <f>IF(Inicial!J154="SI",Inicial!H154,"N/A")</f>
        <v>N/A</v>
      </c>
      <c r="I174" s="54" t="str">
        <f>IF(Inicial!J154="SI",Inicial!I154,"N/A")</f>
        <v>N/A</v>
      </c>
      <c r="P174" s="6" t="str">
        <f t="shared" si="7"/>
        <v>Aceptable</v>
      </c>
      <c r="W174" s="6" t="str">
        <f t="shared" si="8"/>
        <v>Critico</v>
      </c>
    </row>
    <row r="175" spans="1:23" hidden="1">
      <c r="A175" s="51">
        <f>Inicial!A155</f>
        <v>0</v>
      </c>
      <c r="B175" s="52">
        <f>Inicial!B155</f>
        <v>0</v>
      </c>
      <c r="C175" s="52">
        <f>Inicial!C155</f>
        <v>0</v>
      </c>
      <c r="D175" s="53">
        <f>Inicial!D155</f>
        <v>0</v>
      </c>
      <c r="E175" s="51" t="str">
        <f>IF(Inicial!J155="SI",Inicial!E155,"N/A")</f>
        <v>N/A</v>
      </c>
      <c r="F175" s="52" t="str">
        <f>IF(Inicial!J155="SI",Inicial!F155,"N/A")</f>
        <v>N/A</v>
      </c>
      <c r="G175" s="52" t="str">
        <f>IF(Inicial!J155="SI",Inicial!G155,"N/A")</f>
        <v>N/A</v>
      </c>
      <c r="H175" s="52" t="str">
        <f>IF(Inicial!J155="SI",Inicial!H155,"N/A")</f>
        <v>N/A</v>
      </c>
      <c r="I175" s="54" t="str">
        <f>IF(Inicial!J155="SI",Inicial!I155,"N/A")</f>
        <v>N/A</v>
      </c>
      <c r="P175" s="6" t="str">
        <f t="shared" si="7"/>
        <v>Aceptable</v>
      </c>
      <c r="W175" s="6" t="str">
        <f t="shared" si="8"/>
        <v>Critico</v>
      </c>
    </row>
    <row r="176" spans="1:23" hidden="1">
      <c r="A176" s="51">
        <f>Inicial!A156</f>
        <v>0</v>
      </c>
      <c r="B176" s="52">
        <f>Inicial!B156</f>
        <v>0</v>
      </c>
      <c r="C176" s="52">
        <f>Inicial!C156</f>
        <v>0</v>
      </c>
      <c r="D176" s="53">
        <f>Inicial!D156</f>
        <v>0</v>
      </c>
      <c r="E176" s="51" t="str">
        <f>IF(Inicial!J156="SI",Inicial!E156,"N/A")</f>
        <v>N/A</v>
      </c>
      <c r="F176" s="52" t="str">
        <f>IF(Inicial!J156="SI",Inicial!F156,"N/A")</f>
        <v>N/A</v>
      </c>
      <c r="G176" s="52" t="str">
        <f>IF(Inicial!J156="SI",Inicial!G156,"N/A")</f>
        <v>N/A</v>
      </c>
      <c r="H176" s="52" t="str">
        <f>IF(Inicial!J156="SI",Inicial!H156,"N/A")</f>
        <v>N/A</v>
      </c>
      <c r="I176" s="54" t="str">
        <f>IF(Inicial!J156="SI",Inicial!I156,"N/A")</f>
        <v>N/A</v>
      </c>
      <c r="P176" s="6" t="str">
        <f t="shared" si="7"/>
        <v>Aceptable</v>
      </c>
      <c r="W176" s="6" t="str">
        <f t="shared" si="8"/>
        <v>Critico</v>
      </c>
    </row>
    <row r="177" spans="1:23" hidden="1">
      <c r="A177" s="51">
        <f>Inicial!A157</f>
        <v>0</v>
      </c>
      <c r="B177" s="52">
        <f>Inicial!B157</f>
        <v>0</v>
      </c>
      <c r="C177" s="52">
        <f>Inicial!C157</f>
        <v>0</v>
      </c>
      <c r="D177" s="53">
        <f>Inicial!D157</f>
        <v>0</v>
      </c>
      <c r="E177" s="51" t="str">
        <f>IF(Inicial!J157="SI",Inicial!E157,"N/A")</f>
        <v>N/A</v>
      </c>
      <c r="F177" s="52" t="str">
        <f>IF(Inicial!J157="SI",Inicial!F157,"N/A")</f>
        <v>N/A</v>
      </c>
      <c r="G177" s="52" t="str">
        <f>IF(Inicial!J157="SI",Inicial!G157,"N/A")</f>
        <v>N/A</v>
      </c>
      <c r="H177" s="52" t="str">
        <f>IF(Inicial!J157="SI",Inicial!H157,"N/A")</f>
        <v>N/A</v>
      </c>
      <c r="I177" s="54" t="str">
        <f>IF(Inicial!J157="SI",Inicial!I157,"N/A")</f>
        <v>N/A</v>
      </c>
      <c r="P177" s="6" t="str">
        <f t="shared" si="7"/>
        <v>Aceptable</v>
      </c>
      <c r="W177" s="6" t="str">
        <f t="shared" si="8"/>
        <v>Critico</v>
      </c>
    </row>
    <row r="178" spans="1:23" hidden="1">
      <c r="A178" s="51">
        <f>Inicial!A158</f>
        <v>0</v>
      </c>
      <c r="B178" s="52">
        <f>Inicial!B158</f>
        <v>0</v>
      </c>
      <c r="C178" s="52">
        <f>Inicial!C158</f>
        <v>0</v>
      </c>
      <c r="D178" s="53">
        <f>Inicial!D158</f>
        <v>0</v>
      </c>
      <c r="E178" s="51" t="str">
        <f>IF(Inicial!J158="SI",Inicial!E158,"N/A")</f>
        <v>N/A</v>
      </c>
      <c r="F178" s="52" t="str">
        <f>IF(Inicial!J158="SI",Inicial!F158,"N/A")</f>
        <v>N/A</v>
      </c>
      <c r="G178" s="52" t="str">
        <f>IF(Inicial!J158="SI",Inicial!G158,"N/A")</f>
        <v>N/A</v>
      </c>
      <c r="H178" s="52" t="str">
        <f>IF(Inicial!J158="SI",Inicial!H158,"N/A")</f>
        <v>N/A</v>
      </c>
      <c r="I178" s="54" t="str">
        <f>IF(Inicial!J158="SI",Inicial!I158,"N/A")</f>
        <v>N/A</v>
      </c>
      <c r="P178" s="6" t="str">
        <f t="shared" si="7"/>
        <v>Aceptable</v>
      </c>
      <c r="W178" s="6" t="str">
        <f t="shared" si="8"/>
        <v>Critico</v>
      </c>
    </row>
    <row r="179" spans="1:23" hidden="1">
      <c r="A179" s="51">
        <f>Inicial!A159</f>
        <v>0</v>
      </c>
      <c r="B179" s="52">
        <f>Inicial!B159</f>
        <v>0</v>
      </c>
      <c r="C179" s="52">
        <f>Inicial!C159</f>
        <v>0</v>
      </c>
      <c r="D179" s="53">
        <f>Inicial!D159</f>
        <v>0</v>
      </c>
      <c r="E179" s="51" t="str">
        <f>IF(Inicial!J159="SI",Inicial!E159,"N/A")</f>
        <v>N/A</v>
      </c>
      <c r="F179" s="52" t="str">
        <f>IF(Inicial!J159="SI",Inicial!F159,"N/A")</f>
        <v>N/A</v>
      </c>
      <c r="G179" s="52" t="str">
        <f>IF(Inicial!J159="SI",Inicial!G159,"N/A")</f>
        <v>N/A</v>
      </c>
      <c r="H179" s="52" t="str">
        <f>IF(Inicial!J159="SI",Inicial!H159,"N/A")</f>
        <v>N/A</v>
      </c>
      <c r="I179" s="54" t="str">
        <f>IF(Inicial!J159="SI",Inicial!I159,"N/A")</f>
        <v>N/A</v>
      </c>
      <c r="P179" s="6" t="str">
        <f t="shared" si="7"/>
        <v>Aceptable</v>
      </c>
      <c r="W179" s="6" t="str">
        <f t="shared" si="8"/>
        <v>Critico</v>
      </c>
    </row>
    <row r="180" spans="1:23" hidden="1">
      <c r="A180" s="51">
        <f>Inicial!A160</f>
        <v>0</v>
      </c>
      <c r="B180" s="52">
        <f>Inicial!B160</f>
        <v>0</v>
      </c>
      <c r="C180" s="52">
        <f>Inicial!C160</f>
        <v>0</v>
      </c>
      <c r="D180" s="53">
        <f>Inicial!D160</f>
        <v>0</v>
      </c>
      <c r="E180" s="51" t="str">
        <f>IF(Inicial!J160="SI",Inicial!E160,"N/A")</f>
        <v>N/A</v>
      </c>
      <c r="F180" s="52" t="str">
        <f>IF(Inicial!J160="SI",Inicial!F160,"N/A")</f>
        <v>N/A</v>
      </c>
      <c r="G180" s="52" t="str">
        <f>IF(Inicial!J160="SI",Inicial!G160,"N/A")</f>
        <v>N/A</v>
      </c>
      <c r="H180" s="52" t="str">
        <f>IF(Inicial!J160="SI",Inicial!H160,"N/A")</f>
        <v>N/A</v>
      </c>
      <c r="I180" s="54" t="str">
        <f>IF(Inicial!J160="SI",Inicial!I160,"N/A")</f>
        <v>N/A</v>
      </c>
      <c r="P180" s="6" t="str">
        <f t="shared" si="7"/>
        <v>Aceptable</v>
      </c>
      <c r="W180" s="6" t="str">
        <f t="shared" si="8"/>
        <v>Critico</v>
      </c>
    </row>
    <row r="181" spans="1:23" hidden="1">
      <c r="A181" s="51">
        <f>Inicial!A161</f>
        <v>0</v>
      </c>
      <c r="B181" s="52">
        <f>Inicial!B161</f>
        <v>0</v>
      </c>
      <c r="C181" s="52">
        <f>Inicial!C161</f>
        <v>0</v>
      </c>
      <c r="D181" s="53">
        <f>Inicial!D161</f>
        <v>0</v>
      </c>
      <c r="E181" s="51" t="str">
        <f>IF(Inicial!J161="SI",Inicial!E161,"N/A")</f>
        <v>N/A</v>
      </c>
      <c r="F181" s="52" t="str">
        <f>IF(Inicial!J161="SI",Inicial!F161,"N/A")</f>
        <v>N/A</v>
      </c>
      <c r="G181" s="52" t="str">
        <f>IF(Inicial!J161="SI",Inicial!G161,"N/A")</f>
        <v>N/A</v>
      </c>
      <c r="H181" s="52" t="str">
        <f>IF(Inicial!J161="SI",Inicial!H161,"N/A")</f>
        <v>N/A</v>
      </c>
      <c r="I181" s="54" t="str">
        <f>IF(Inicial!J161="SI",Inicial!I161,"N/A")</f>
        <v>N/A</v>
      </c>
      <c r="P181" s="6" t="str">
        <f t="shared" si="7"/>
        <v>Aceptable</v>
      </c>
      <c r="W181" s="6" t="str">
        <f t="shared" si="8"/>
        <v>Critico</v>
      </c>
    </row>
    <row r="182" spans="1:23" hidden="1">
      <c r="A182" s="51">
        <f>Inicial!A162</f>
        <v>0</v>
      </c>
      <c r="B182" s="52">
        <f>Inicial!B162</f>
        <v>0</v>
      </c>
      <c r="C182" s="52">
        <f>Inicial!C162</f>
        <v>0</v>
      </c>
      <c r="D182" s="53">
        <f>Inicial!D162</f>
        <v>0</v>
      </c>
      <c r="E182" s="51" t="str">
        <f>IF(Inicial!J162="SI",Inicial!E162,"N/A")</f>
        <v>N/A</v>
      </c>
      <c r="F182" s="52" t="str">
        <f>IF(Inicial!J162="SI",Inicial!F162,"N/A")</f>
        <v>N/A</v>
      </c>
      <c r="G182" s="52" t="str">
        <f>IF(Inicial!J162="SI",Inicial!G162,"N/A")</f>
        <v>N/A</v>
      </c>
      <c r="H182" s="52" t="str">
        <f>IF(Inicial!J162="SI",Inicial!H162,"N/A")</f>
        <v>N/A</v>
      </c>
      <c r="I182" s="54" t="str">
        <f>IF(Inicial!J162="SI",Inicial!I162,"N/A")</f>
        <v>N/A</v>
      </c>
      <c r="P182" s="6" t="str">
        <f t="shared" si="7"/>
        <v>Aceptable</v>
      </c>
      <c r="W182" s="6" t="str">
        <f t="shared" si="8"/>
        <v>Critico</v>
      </c>
    </row>
    <row r="183" spans="1:23" hidden="1">
      <c r="A183" s="51">
        <f>Inicial!A163</f>
        <v>0</v>
      </c>
      <c r="B183" s="52">
        <f>Inicial!B163</f>
        <v>0</v>
      </c>
      <c r="C183" s="52">
        <f>Inicial!C163</f>
        <v>0</v>
      </c>
      <c r="D183" s="53">
        <f>Inicial!D163</f>
        <v>0</v>
      </c>
      <c r="E183" s="51" t="str">
        <f>IF(Inicial!J163="SI",Inicial!E163,"N/A")</f>
        <v>N/A</v>
      </c>
      <c r="F183" s="52" t="str">
        <f>IF(Inicial!J163="SI",Inicial!F163,"N/A")</f>
        <v>N/A</v>
      </c>
      <c r="G183" s="52" t="str">
        <f>IF(Inicial!J163="SI",Inicial!G163,"N/A")</f>
        <v>N/A</v>
      </c>
      <c r="H183" s="52" t="str">
        <f>IF(Inicial!J163="SI",Inicial!H163,"N/A")</f>
        <v>N/A</v>
      </c>
      <c r="I183" s="54" t="str">
        <f>IF(Inicial!J163="SI",Inicial!I163,"N/A")</f>
        <v>N/A</v>
      </c>
      <c r="P183" s="6" t="str">
        <f t="shared" si="7"/>
        <v>Aceptable</v>
      </c>
      <c r="W183" s="6" t="str">
        <f t="shared" si="8"/>
        <v>Critico</v>
      </c>
    </row>
    <row r="184" spans="1:23" hidden="1">
      <c r="A184" s="51">
        <f>Inicial!A164</f>
        <v>0</v>
      </c>
      <c r="B184" s="52">
        <f>Inicial!B164</f>
        <v>0</v>
      </c>
      <c r="C184" s="52">
        <f>Inicial!C164</f>
        <v>0</v>
      </c>
      <c r="D184" s="53">
        <f>Inicial!D164</f>
        <v>0</v>
      </c>
      <c r="E184" s="51" t="str">
        <f>IF(Inicial!J164="SI",Inicial!E164,"N/A")</f>
        <v>N/A</v>
      </c>
      <c r="F184" s="52" t="str">
        <f>IF(Inicial!J164="SI",Inicial!F164,"N/A")</f>
        <v>N/A</v>
      </c>
      <c r="G184" s="52" t="str">
        <f>IF(Inicial!J164="SI",Inicial!G164,"N/A")</f>
        <v>N/A</v>
      </c>
      <c r="H184" s="52" t="str">
        <f>IF(Inicial!J164="SI",Inicial!H164,"N/A")</f>
        <v>N/A</v>
      </c>
      <c r="I184" s="54" t="str">
        <f>IF(Inicial!J164="SI",Inicial!I164,"N/A")</f>
        <v>N/A</v>
      </c>
      <c r="P184" s="6" t="str">
        <f t="shared" ref="P184:P239" si="9">IF(OR(J184="NO",K184="NO",L184="NO",M184="NO",N184="NO",O184="NO"),"No Aceptable","Aceptable")</f>
        <v>Aceptable</v>
      </c>
      <c r="W184" s="6" t="str">
        <f t="shared" ref="W184:W239" si="10">IF(AND(Q184="NO",R184="NO",S184="NO",T184="NO",U184="NO",V184="NO"),"No Critico","Critico")</f>
        <v>Critico</v>
      </c>
    </row>
    <row r="185" spans="1:23" hidden="1">
      <c r="A185" s="51">
        <f>Inicial!A165</f>
        <v>0</v>
      </c>
      <c r="B185" s="52">
        <f>Inicial!B165</f>
        <v>0</v>
      </c>
      <c r="C185" s="52">
        <f>Inicial!C165</f>
        <v>0</v>
      </c>
      <c r="D185" s="53">
        <f>Inicial!D165</f>
        <v>0</v>
      </c>
      <c r="E185" s="51" t="str">
        <f>IF(Inicial!J165="SI",Inicial!E165,"N/A")</f>
        <v>N/A</v>
      </c>
      <c r="F185" s="52" t="str">
        <f>IF(Inicial!J165="SI",Inicial!F165,"N/A")</f>
        <v>N/A</v>
      </c>
      <c r="G185" s="52" t="str">
        <f>IF(Inicial!J165="SI",Inicial!G165,"N/A")</f>
        <v>N/A</v>
      </c>
      <c r="H185" s="52" t="str">
        <f>IF(Inicial!J165="SI",Inicial!H165,"N/A")</f>
        <v>N/A</v>
      </c>
      <c r="I185" s="54" t="str">
        <f>IF(Inicial!J165="SI",Inicial!I165,"N/A")</f>
        <v>N/A</v>
      </c>
      <c r="P185" s="6" t="str">
        <f t="shared" si="9"/>
        <v>Aceptable</v>
      </c>
      <c r="W185" s="6" t="str">
        <f t="shared" si="10"/>
        <v>Critico</v>
      </c>
    </row>
    <row r="186" spans="1:23" hidden="1">
      <c r="A186" s="51">
        <f>Inicial!A166</f>
        <v>0</v>
      </c>
      <c r="B186" s="52">
        <f>Inicial!B166</f>
        <v>0</v>
      </c>
      <c r="C186" s="52">
        <f>Inicial!C166</f>
        <v>0</v>
      </c>
      <c r="D186" s="53">
        <f>Inicial!D166</f>
        <v>0</v>
      </c>
      <c r="E186" s="51" t="str">
        <f>IF(Inicial!J166="SI",Inicial!E166,"N/A")</f>
        <v>N/A</v>
      </c>
      <c r="F186" s="52" t="str">
        <f>IF(Inicial!J166="SI",Inicial!F166,"N/A")</f>
        <v>N/A</v>
      </c>
      <c r="G186" s="52" t="str">
        <f>IF(Inicial!J166="SI",Inicial!G166,"N/A")</f>
        <v>N/A</v>
      </c>
      <c r="H186" s="52" t="str">
        <f>IF(Inicial!J166="SI",Inicial!H166,"N/A")</f>
        <v>N/A</v>
      </c>
      <c r="I186" s="54" t="str">
        <f>IF(Inicial!J166="SI",Inicial!I166,"N/A")</f>
        <v>N/A</v>
      </c>
      <c r="P186" s="6" t="str">
        <f t="shared" si="9"/>
        <v>Aceptable</v>
      </c>
      <c r="W186" s="6" t="str">
        <f t="shared" si="10"/>
        <v>Critico</v>
      </c>
    </row>
    <row r="187" spans="1:23" hidden="1">
      <c r="A187" s="51">
        <f>Inicial!A167</f>
        <v>0</v>
      </c>
      <c r="B187" s="52">
        <f>Inicial!B167</f>
        <v>0</v>
      </c>
      <c r="C187" s="52">
        <f>Inicial!C167</f>
        <v>0</v>
      </c>
      <c r="D187" s="53">
        <f>Inicial!D167</f>
        <v>0</v>
      </c>
      <c r="E187" s="51" t="str">
        <f>IF(Inicial!J167="SI",Inicial!E167,"N/A")</f>
        <v>N/A</v>
      </c>
      <c r="F187" s="52" t="str">
        <f>IF(Inicial!J167="SI",Inicial!F167,"N/A")</f>
        <v>N/A</v>
      </c>
      <c r="G187" s="52" t="str">
        <f>IF(Inicial!J167="SI",Inicial!G167,"N/A")</f>
        <v>N/A</v>
      </c>
      <c r="H187" s="52" t="str">
        <f>IF(Inicial!J167="SI",Inicial!H167,"N/A")</f>
        <v>N/A</v>
      </c>
      <c r="I187" s="54" t="str">
        <f>IF(Inicial!J167="SI",Inicial!I167,"N/A")</f>
        <v>N/A</v>
      </c>
      <c r="P187" s="6" t="str">
        <f t="shared" si="9"/>
        <v>Aceptable</v>
      </c>
      <c r="W187" s="6" t="str">
        <f t="shared" si="10"/>
        <v>Critico</v>
      </c>
    </row>
    <row r="188" spans="1:23" hidden="1">
      <c r="A188" s="51">
        <f>Inicial!A168</f>
        <v>0</v>
      </c>
      <c r="B188" s="52">
        <f>Inicial!B168</f>
        <v>0</v>
      </c>
      <c r="C188" s="52">
        <f>Inicial!C168</f>
        <v>0</v>
      </c>
      <c r="D188" s="53">
        <f>Inicial!D168</f>
        <v>0</v>
      </c>
      <c r="E188" s="51" t="str">
        <f>IF(Inicial!J168="SI",Inicial!E168,"N/A")</f>
        <v>N/A</v>
      </c>
      <c r="F188" s="52" t="str">
        <f>IF(Inicial!J168="SI",Inicial!F168,"N/A")</f>
        <v>N/A</v>
      </c>
      <c r="G188" s="52" t="str">
        <f>IF(Inicial!J168="SI",Inicial!G168,"N/A")</f>
        <v>N/A</v>
      </c>
      <c r="H188" s="52" t="str">
        <f>IF(Inicial!J168="SI",Inicial!H168,"N/A")</f>
        <v>N/A</v>
      </c>
      <c r="I188" s="54" t="str">
        <f>IF(Inicial!J168="SI",Inicial!I168,"N/A")</f>
        <v>N/A</v>
      </c>
      <c r="P188" s="6" t="str">
        <f t="shared" si="9"/>
        <v>Aceptable</v>
      </c>
      <c r="W188" s="6" t="str">
        <f t="shared" si="10"/>
        <v>Critico</v>
      </c>
    </row>
    <row r="189" spans="1:23" hidden="1">
      <c r="A189" s="51">
        <f>Inicial!A169</f>
        <v>0</v>
      </c>
      <c r="B189" s="52">
        <f>Inicial!B169</f>
        <v>0</v>
      </c>
      <c r="C189" s="52">
        <f>Inicial!C169</f>
        <v>0</v>
      </c>
      <c r="D189" s="53">
        <f>Inicial!D169</f>
        <v>0</v>
      </c>
      <c r="E189" s="51" t="str">
        <f>IF(Inicial!J169="SI",Inicial!E169,"N/A")</f>
        <v>N/A</v>
      </c>
      <c r="F189" s="52" t="str">
        <f>IF(Inicial!J169="SI",Inicial!F169,"N/A")</f>
        <v>N/A</v>
      </c>
      <c r="G189" s="52" t="str">
        <f>IF(Inicial!J169="SI",Inicial!G169,"N/A")</f>
        <v>N/A</v>
      </c>
      <c r="H189" s="52" t="str">
        <f>IF(Inicial!J169="SI",Inicial!H169,"N/A")</f>
        <v>N/A</v>
      </c>
      <c r="I189" s="54" t="str">
        <f>IF(Inicial!J169="SI",Inicial!I169,"N/A")</f>
        <v>N/A</v>
      </c>
      <c r="P189" s="6" t="str">
        <f t="shared" si="9"/>
        <v>Aceptable</v>
      </c>
      <c r="W189" s="6" t="str">
        <f t="shared" si="10"/>
        <v>Critico</v>
      </c>
    </row>
    <row r="190" spans="1:23" hidden="1">
      <c r="A190" s="51">
        <f>Inicial!A170</f>
        <v>0</v>
      </c>
      <c r="B190" s="52">
        <f>Inicial!B170</f>
        <v>0</v>
      </c>
      <c r="C190" s="52">
        <f>Inicial!C170</f>
        <v>0</v>
      </c>
      <c r="D190" s="53">
        <f>Inicial!D170</f>
        <v>0</v>
      </c>
      <c r="E190" s="51" t="str">
        <f>IF(Inicial!J170="SI",Inicial!E170,"N/A")</f>
        <v>N/A</v>
      </c>
      <c r="F190" s="52" t="str">
        <f>IF(Inicial!J170="SI",Inicial!F170,"N/A")</f>
        <v>N/A</v>
      </c>
      <c r="G190" s="52" t="str">
        <f>IF(Inicial!J170="SI",Inicial!G170,"N/A")</f>
        <v>N/A</v>
      </c>
      <c r="H190" s="52" t="str">
        <f>IF(Inicial!J170="SI",Inicial!H170,"N/A")</f>
        <v>N/A</v>
      </c>
      <c r="I190" s="54" t="str">
        <f>IF(Inicial!J170="SI",Inicial!I170,"N/A")</f>
        <v>N/A</v>
      </c>
      <c r="P190" s="6" t="str">
        <f t="shared" si="9"/>
        <v>Aceptable</v>
      </c>
      <c r="W190" s="6" t="str">
        <f t="shared" si="10"/>
        <v>Critico</v>
      </c>
    </row>
    <row r="191" spans="1:23" hidden="1">
      <c r="A191" s="51">
        <f>Inicial!A171</f>
        <v>0</v>
      </c>
      <c r="B191" s="52">
        <f>Inicial!B171</f>
        <v>0</v>
      </c>
      <c r="C191" s="52">
        <f>Inicial!C171</f>
        <v>0</v>
      </c>
      <c r="D191" s="53">
        <f>Inicial!D171</f>
        <v>0</v>
      </c>
      <c r="E191" s="51" t="str">
        <f>IF(Inicial!J171="SI",Inicial!E171,"N/A")</f>
        <v>N/A</v>
      </c>
      <c r="F191" s="52" t="str">
        <f>IF(Inicial!J171="SI",Inicial!F171,"N/A")</f>
        <v>N/A</v>
      </c>
      <c r="G191" s="52" t="str">
        <f>IF(Inicial!J171="SI",Inicial!G171,"N/A")</f>
        <v>N/A</v>
      </c>
      <c r="H191" s="52" t="str">
        <f>IF(Inicial!J171="SI",Inicial!H171,"N/A")</f>
        <v>N/A</v>
      </c>
      <c r="I191" s="54" t="str">
        <f>IF(Inicial!J171="SI",Inicial!I171,"N/A")</f>
        <v>N/A</v>
      </c>
      <c r="P191" s="6" t="str">
        <f t="shared" si="9"/>
        <v>Aceptable</v>
      </c>
      <c r="W191" s="6" t="str">
        <f t="shared" si="10"/>
        <v>Critico</v>
      </c>
    </row>
    <row r="192" spans="1:23" hidden="1">
      <c r="A192" s="51">
        <f>Inicial!A172</f>
        <v>0</v>
      </c>
      <c r="B192" s="52">
        <f>Inicial!B172</f>
        <v>0</v>
      </c>
      <c r="C192" s="52">
        <f>Inicial!C172</f>
        <v>0</v>
      </c>
      <c r="D192" s="53">
        <f>Inicial!D172</f>
        <v>0</v>
      </c>
      <c r="E192" s="51" t="str">
        <f>IF(Inicial!J172="SI",Inicial!E172,"N/A")</f>
        <v>N/A</v>
      </c>
      <c r="F192" s="52" t="str">
        <f>IF(Inicial!J172="SI",Inicial!F172,"N/A")</f>
        <v>N/A</v>
      </c>
      <c r="G192" s="52" t="str">
        <f>IF(Inicial!J172="SI",Inicial!G172,"N/A")</f>
        <v>N/A</v>
      </c>
      <c r="H192" s="52" t="str">
        <f>IF(Inicial!J172="SI",Inicial!H172,"N/A")</f>
        <v>N/A</v>
      </c>
      <c r="I192" s="54" t="str">
        <f>IF(Inicial!J172="SI",Inicial!I172,"N/A")</f>
        <v>N/A</v>
      </c>
      <c r="P192" s="6" t="str">
        <f t="shared" si="9"/>
        <v>Aceptable</v>
      </c>
      <c r="W192" s="6" t="str">
        <f t="shared" si="10"/>
        <v>Critico</v>
      </c>
    </row>
    <row r="193" spans="1:23" hidden="1">
      <c r="A193" s="51">
        <f>Inicial!A173</f>
        <v>0</v>
      </c>
      <c r="B193" s="52">
        <f>Inicial!B173</f>
        <v>0</v>
      </c>
      <c r="C193" s="52">
        <f>Inicial!C173</f>
        <v>0</v>
      </c>
      <c r="D193" s="53">
        <f>Inicial!D173</f>
        <v>0</v>
      </c>
      <c r="E193" s="51" t="str">
        <f>IF(Inicial!J173="SI",Inicial!E173,"N/A")</f>
        <v>N/A</v>
      </c>
      <c r="F193" s="52" t="str">
        <f>IF(Inicial!J173="SI",Inicial!F173,"N/A")</f>
        <v>N/A</v>
      </c>
      <c r="G193" s="52" t="str">
        <f>IF(Inicial!J173="SI",Inicial!G173,"N/A")</f>
        <v>N/A</v>
      </c>
      <c r="H193" s="52" t="str">
        <f>IF(Inicial!J173="SI",Inicial!H173,"N/A")</f>
        <v>N/A</v>
      </c>
      <c r="I193" s="54" t="str">
        <f>IF(Inicial!J173="SI",Inicial!I173,"N/A")</f>
        <v>N/A</v>
      </c>
      <c r="P193" s="6" t="str">
        <f t="shared" si="9"/>
        <v>Aceptable</v>
      </c>
      <c r="W193" s="6" t="str">
        <f t="shared" si="10"/>
        <v>Critico</v>
      </c>
    </row>
    <row r="194" spans="1:23" hidden="1">
      <c r="A194" s="51">
        <f>Inicial!A174</f>
        <v>0</v>
      </c>
      <c r="B194" s="52">
        <f>Inicial!B174</f>
        <v>0</v>
      </c>
      <c r="C194" s="52">
        <f>Inicial!C174</f>
        <v>0</v>
      </c>
      <c r="D194" s="53">
        <f>Inicial!D174</f>
        <v>0</v>
      </c>
      <c r="E194" s="51" t="str">
        <f>IF(Inicial!J174="SI",Inicial!E174,"N/A")</f>
        <v>N/A</v>
      </c>
      <c r="F194" s="52" t="str">
        <f>IF(Inicial!J174="SI",Inicial!F174,"N/A")</f>
        <v>N/A</v>
      </c>
      <c r="G194" s="52" t="str">
        <f>IF(Inicial!J174="SI",Inicial!G174,"N/A")</f>
        <v>N/A</v>
      </c>
      <c r="H194" s="52" t="str">
        <f>IF(Inicial!J174="SI",Inicial!H174,"N/A")</f>
        <v>N/A</v>
      </c>
      <c r="I194" s="54" t="str">
        <f>IF(Inicial!J174="SI",Inicial!I174,"N/A")</f>
        <v>N/A</v>
      </c>
      <c r="P194" s="6" t="str">
        <f t="shared" si="9"/>
        <v>Aceptable</v>
      </c>
      <c r="W194" s="6" t="str">
        <f t="shared" si="10"/>
        <v>Critico</v>
      </c>
    </row>
    <row r="195" spans="1:23" hidden="1">
      <c r="A195" s="51">
        <f>Inicial!A175</f>
        <v>0</v>
      </c>
      <c r="B195" s="52">
        <f>Inicial!B175</f>
        <v>0</v>
      </c>
      <c r="C195" s="52">
        <f>Inicial!C175</f>
        <v>0</v>
      </c>
      <c r="D195" s="53">
        <f>Inicial!D175</f>
        <v>0</v>
      </c>
      <c r="E195" s="51" t="str">
        <f>IF(Inicial!J175="SI",Inicial!E175,"N/A")</f>
        <v>N/A</v>
      </c>
      <c r="F195" s="52" t="str">
        <f>IF(Inicial!J175="SI",Inicial!F175,"N/A")</f>
        <v>N/A</v>
      </c>
      <c r="G195" s="52" t="str">
        <f>IF(Inicial!J175="SI",Inicial!G175,"N/A")</f>
        <v>N/A</v>
      </c>
      <c r="H195" s="52" t="str">
        <f>IF(Inicial!J175="SI",Inicial!H175,"N/A")</f>
        <v>N/A</v>
      </c>
      <c r="I195" s="54" t="str">
        <f>IF(Inicial!J175="SI",Inicial!I175,"N/A")</f>
        <v>N/A</v>
      </c>
      <c r="P195" s="6" t="str">
        <f t="shared" si="9"/>
        <v>Aceptable</v>
      </c>
      <c r="W195" s="6" t="str">
        <f t="shared" si="10"/>
        <v>Critico</v>
      </c>
    </row>
    <row r="196" spans="1:23" hidden="1">
      <c r="A196" s="51">
        <f>Inicial!A176</f>
        <v>0</v>
      </c>
      <c r="B196" s="52">
        <f>Inicial!B176</f>
        <v>0</v>
      </c>
      <c r="C196" s="52">
        <f>Inicial!C176</f>
        <v>0</v>
      </c>
      <c r="D196" s="53">
        <f>Inicial!D176</f>
        <v>0</v>
      </c>
      <c r="E196" s="51" t="str">
        <f>IF(Inicial!J176="SI",Inicial!E176,"N/A")</f>
        <v>N/A</v>
      </c>
      <c r="F196" s="52" t="str">
        <f>IF(Inicial!J176="SI",Inicial!F176,"N/A")</f>
        <v>N/A</v>
      </c>
      <c r="G196" s="52" t="str">
        <f>IF(Inicial!J176="SI",Inicial!G176,"N/A")</f>
        <v>N/A</v>
      </c>
      <c r="H196" s="52" t="str">
        <f>IF(Inicial!J176="SI",Inicial!H176,"N/A")</f>
        <v>N/A</v>
      </c>
      <c r="I196" s="54" t="str">
        <f>IF(Inicial!J176="SI",Inicial!I176,"N/A")</f>
        <v>N/A</v>
      </c>
      <c r="P196" s="6" t="str">
        <f t="shared" si="9"/>
        <v>Aceptable</v>
      </c>
      <c r="W196" s="6" t="str">
        <f t="shared" si="10"/>
        <v>Critico</v>
      </c>
    </row>
    <row r="197" spans="1:23" hidden="1">
      <c r="A197" s="51">
        <f>Inicial!A177</f>
        <v>0</v>
      </c>
      <c r="B197" s="52">
        <f>Inicial!B177</f>
        <v>0</v>
      </c>
      <c r="C197" s="52">
        <f>Inicial!C177</f>
        <v>0</v>
      </c>
      <c r="D197" s="53">
        <f>Inicial!D177</f>
        <v>0</v>
      </c>
      <c r="E197" s="51" t="str">
        <f>IF(Inicial!J177="SI",Inicial!E177,"N/A")</f>
        <v>N/A</v>
      </c>
      <c r="F197" s="52" t="str">
        <f>IF(Inicial!J177="SI",Inicial!F177,"N/A")</f>
        <v>N/A</v>
      </c>
      <c r="G197" s="52" t="str">
        <f>IF(Inicial!J177="SI",Inicial!G177,"N/A")</f>
        <v>N/A</v>
      </c>
      <c r="H197" s="52" t="str">
        <f>IF(Inicial!J177="SI",Inicial!H177,"N/A")</f>
        <v>N/A</v>
      </c>
      <c r="I197" s="54" t="str">
        <f>IF(Inicial!J177="SI",Inicial!I177,"N/A")</f>
        <v>N/A</v>
      </c>
      <c r="P197" s="6" t="str">
        <f t="shared" si="9"/>
        <v>Aceptable</v>
      </c>
      <c r="W197" s="6" t="str">
        <f t="shared" si="10"/>
        <v>Critico</v>
      </c>
    </row>
    <row r="198" spans="1:23" hidden="1">
      <c r="A198" s="51">
        <f>Inicial!A178</f>
        <v>0</v>
      </c>
      <c r="B198" s="52">
        <f>Inicial!B178</f>
        <v>0</v>
      </c>
      <c r="C198" s="52">
        <f>Inicial!C178</f>
        <v>0</v>
      </c>
      <c r="D198" s="53">
        <f>Inicial!D178</f>
        <v>0</v>
      </c>
      <c r="E198" s="51" t="str">
        <f>IF(Inicial!J178="SI",Inicial!E178,"N/A")</f>
        <v>N/A</v>
      </c>
      <c r="F198" s="52" t="str">
        <f>IF(Inicial!J178="SI",Inicial!F178,"N/A")</f>
        <v>N/A</v>
      </c>
      <c r="G198" s="52" t="str">
        <f>IF(Inicial!J178="SI",Inicial!G178,"N/A")</f>
        <v>N/A</v>
      </c>
      <c r="H198" s="52" t="str">
        <f>IF(Inicial!J178="SI",Inicial!H178,"N/A")</f>
        <v>N/A</v>
      </c>
      <c r="I198" s="54" t="str">
        <f>IF(Inicial!J178="SI",Inicial!I178,"N/A")</f>
        <v>N/A</v>
      </c>
      <c r="P198" s="6" t="str">
        <f t="shared" si="9"/>
        <v>Aceptable</v>
      </c>
      <c r="W198" s="6" t="str">
        <f t="shared" si="10"/>
        <v>Critico</v>
      </c>
    </row>
    <row r="199" spans="1:23" hidden="1">
      <c r="A199" s="51">
        <f>Inicial!A179</f>
        <v>0</v>
      </c>
      <c r="B199" s="52">
        <f>Inicial!B179</f>
        <v>0</v>
      </c>
      <c r="C199" s="52">
        <f>Inicial!C179</f>
        <v>0</v>
      </c>
      <c r="D199" s="53">
        <f>Inicial!D179</f>
        <v>0</v>
      </c>
      <c r="E199" s="51" t="str">
        <f>IF(Inicial!J179="SI",Inicial!E179,"N/A")</f>
        <v>N/A</v>
      </c>
      <c r="F199" s="52" t="str">
        <f>IF(Inicial!J179="SI",Inicial!F179,"N/A")</f>
        <v>N/A</v>
      </c>
      <c r="G199" s="52" t="str">
        <f>IF(Inicial!J179="SI",Inicial!G179,"N/A")</f>
        <v>N/A</v>
      </c>
      <c r="H199" s="52" t="str">
        <f>IF(Inicial!J179="SI",Inicial!H179,"N/A")</f>
        <v>N/A</v>
      </c>
      <c r="I199" s="54" t="str">
        <f>IF(Inicial!J179="SI",Inicial!I179,"N/A")</f>
        <v>N/A</v>
      </c>
      <c r="P199" s="6" t="str">
        <f t="shared" si="9"/>
        <v>Aceptable</v>
      </c>
      <c r="W199" s="6" t="str">
        <f t="shared" si="10"/>
        <v>Critico</v>
      </c>
    </row>
    <row r="200" spans="1:23" hidden="1">
      <c r="A200" s="51">
        <f>Inicial!A180</f>
        <v>0</v>
      </c>
      <c r="B200" s="52">
        <f>Inicial!B180</f>
        <v>0</v>
      </c>
      <c r="C200" s="52">
        <f>Inicial!C180</f>
        <v>0</v>
      </c>
      <c r="D200" s="53">
        <f>Inicial!D180</f>
        <v>0</v>
      </c>
      <c r="E200" s="51" t="str">
        <f>IF(Inicial!J180="SI",Inicial!E180,"N/A")</f>
        <v>N/A</v>
      </c>
      <c r="F200" s="52" t="str">
        <f>IF(Inicial!J180="SI",Inicial!F180,"N/A")</f>
        <v>N/A</v>
      </c>
      <c r="G200" s="52" t="str">
        <f>IF(Inicial!J180="SI",Inicial!G180,"N/A")</f>
        <v>N/A</v>
      </c>
      <c r="H200" s="52" t="str">
        <f>IF(Inicial!J180="SI",Inicial!H180,"N/A")</f>
        <v>N/A</v>
      </c>
      <c r="I200" s="54" t="str">
        <f>IF(Inicial!J180="SI",Inicial!I180,"N/A")</f>
        <v>N/A</v>
      </c>
      <c r="P200" s="6" t="str">
        <f t="shared" si="9"/>
        <v>Aceptable</v>
      </c>
      <c r="W200" s="6" t="str">
        <f t="shared" si="10"/>
        <v>Critico</v>
      </c>
    </row>
    <row r="201" spans="1:23" hidden="1">
      <c r="A201" s="51">
        <f>Inicial!A181</f>
        <v>0</v>
      </c>
      <c r="B201" s="52">
        <f>Inicial!B181</f>
        <v>0</v>
      </c>
      <c r="C201" s="52">
        <f>Inicial!C181</f>
        <v>0</v>
      </c>
      <c r="D201" s="53">
        <f>Inicial!D181</f>
        <v>0</v>
      </c>
      <c r="E201" s="51" t="str">
        <f>IF(Inicial!J181="SI",Inicial!E181,"N/A")</f>
        <v>N/A</v>
      </c>
      <c r="F201" s="52" t="str">
        <f>IF(Inicial!J181="SI",Inicial!F181,"N/A")</f>
        <v>N/A</v>
      </c>
      <c r="G201" s="52" t="str">
        <f>IF(Inicial!J181="SI",Inicial!G181,"N/A")</f>
        <v>N/A</v>
      </c>
      <c r="H201" s="52" t="str">
        <f>IF(Inicial!J181="SI",Inicial!H181,"N/A")</f>
        <v>N/A</v>
      </c>
      <c r="I201" s="54" t="str">
        <f>IF(Inicial!J181="SI",Inicial!I181,"N/A")</f>
        <v>N/A</v>
      </c>
      <c r="P201" s="6" t="str">
        <f t="shared" si="9"/>
        <v>Aceptable</v>
      </c>
      <c r="W201" s="6" t="str">
        <f t="shared" si="10"/>
        <v>Critico</v>
      </c>
    </row>
    <row r="202" spans="1:23" hidden="1">
      <c r="A202" s="51">
        <f>Inicial!A182</f>
        <v>0</v>
      </c>
      <c r="B202" s="52">
        <f>Inicial!B182</f>
        <v>0</v>
      </c>
      <c r="C202" s="52">
        <f>Inicial!C182</f>
        <v>0</v>
      </c>
      <c r="D202" s="53">
        <f>Inicial!D182</f>
        <v>0</v>
      </c>
      <c r="E202" s="51" t="str">
        <f>IF(Inicial!J182="SI",Inicial!E182,"N/A")</f>
        <v>N/A</v>
      </c>
      <c r="F202" s="52" t="str">
        <f>IF(Inicial!J182="SI",Inicial!F182,"N/A")</f>
        <v>N/A</v>
      </c>
      <c r="G202" s="52" t="str">
        <f>IF(Inicial!J182="SI",Inicial!G182,"N/A")</f>
        <v>N/A</v>
      </c>
      <c r="H202" s="52" t="str">
        <f>IF(Inicial!J182="SI",Inicial!H182,"N/A")</f>
        <v>N/A</v>
      </c>
      <c r="I202" s="54" t="str">
        <f>IF(Inicial!J182="SI",Inicial!I182,"N/A")</f>
        <v>N/A</v>
      </c>
      <c r="P202" s="6" t="str">
        <f t="shared" si="9"/>
        <v>Aceptable</v>
      </c>
      <c r="W202" s="6" t="str">
        <f t="shared" si="10"/>
        <v>Critico</v>
      </c>
    </row>
    <row r="203" spans="1:23" hidden="1">
      <c r="A203" s="51">
        <f>Inicial!A183</f>
        <v>0</v>
      </c>
      <c r="B203" s="52">
        <f>Inicial!B183</f>
        <v>0</v>
      </c>
      <c r="C203" s="52">
        <f>Inicial!C183</f>
        <v>0</v>
      </c>
      <c r="D203" s="53">
        <f>Inicial!D183</f>
        <v>0</v>
      </c>
      <c r="E203" s="51" t="str">
        <f>IF(Inicial!J183="SI",Inicial!E183,"N/A")</f>
        <v>N/A</v>
      </c>
      <c r="F203" s="52" t="str">
        <f>IF(Inicial!J183="SI",Inicial!F183,"N/A")</f>
        <v>N/A</v>
      </c>
      <c r="G203" s="52" t="str">
        <f>IF(Inicial!J183="SI",Inicial!G183,"N/A")</f>
        <v>N/A</v>
      </c>
      <c r="H203" s="52" t="str">
        <f>IF(Inicial!J183="SI",Inicial!H183,"N/A")</f>
        <v>N/A</v>
      </c>
      <c r="I203" s="54" t="str">
        <f>IF(Inicial!J183="SI",Inicial!I183,"N/A")</f>
        <v>N/A</v>
      </c>
      <c r="P203" s="6" t="str">
        <f t="shared" si="9"/>
        <v>Aceptable</v>
      </c>
      <c r="W203" s="6" t="str">
        <f t="shared" si="10"/>
        <v>Critico</v>
      </c>
    </row>
    <row r="204" spans="1:23" hidden="1">
      <c r="A204" s="51">
        <f>Inicial!A184</f>
        <v>0</v>
      </c>
      <c r="B204" s="52">
        <f>Inicial!B184</f>
        <v>0</v>
      </c>
      <c r="C204" s="52">
        <f>Inicial!C184</f>
        <v>0</v>
      </c>
      <c r="D204" s="53">
        <f>Inicial!D184</f>
        <v>0</v>
      </c>
      <c r="E204" s="51" t="str">
        <f>IF(Inicial!J184="SI",Inicial!E184,"N/A")</f>
        <v>N/A</v>
      </c>
      <c r="F204" s="52" t="str">
        <f>IF(Inicial!J184="SI",Inicial!F184,"N/A")</f>
        <v>N/A</v>
      </c>
      <c r="G204" s="52" t="str">
        <f>IF(Inicial!J184="SI",Inicial!G184,"N/A")</f>
        <v>N/A</v>
      </c>
      <c r="H204" s="52" t="str">
        <f>IF(Inicial!J184="SI",Inicial!H184,"N/A")</f>
        <v>N/A</v>
      </c>
      <c r="I204" s="54" t="str">
        <f>IF(Inicial!J184="SI",Inicial!I184,"N/A")</f>
        <v>N/A</v>
      </c>
      <c r="P204" s="6" t="str">
        <f t="shared" si="9"/>
        <v>Aceptable</v>
      </c>
      <c r="W204" s="6" t="str">
        <f t="shared" si="10"/>
        <v>Critico</v>
      </c>
    </row>
    <row r="205" spans="1:23" hidden="1">
      <c r="A205" s="51">
        <f>Inicial!A185</f>
        <v>0</v>
      </c>
      <c r="B205" s="52">
        <f>Inicial!B185</f>
        <v>0</v>
      </c>
      <c r="C205" s="52">
        <f>Inicial!C185</f>
        <v>0</v>
      </c>
      <c r="D205" s="53">
        <f>Inicial!D185</f>
        <v>0</v>
      </c>
      <c r="E205" s="51" t="str">
        <f>IF(Inicial!J185="SI",Inicial!E185,"N/A")</f>
        <v>N/A</v>
      </c>
      <c r="F205" s="52" t="str">
        <f>IF(Inicial!J185="SI",Inicial!F185,"N/A")</f>
        <v>N/A</v>
      </c>
      <c r="G205" s="52" t="str">
        <f>IF(Inicial!J185="SI",Inicial!G185,"N/A")</f>
        <v>N/A</v>
      </c>
      <c r="H205" s="52" t="str">
        <f>IF(Inicial!J185="SI",Inicial!H185,"N/A")</f>
        <v>N/A</v>
      </c>
      <c r="I205" s="54" t="str">
        <f>IF(Inicial!J185="SI",Inicial!I185,"N/A")</f>
        <v>N/A</v>
      </c>
      <c r="P205" s="6" t="str">
        <f t="shared" si="9"/>
        <v>Aceptable</v>
      </c>
      <c r="W205" s="6" t="str">
        <f t="shared" si="10"/>
        <v>Critico</v>
      </c>
    </row>
    <row r="206" spans="1:23" hidden="1">
      <c r="A206" s="51">
        <f>Inicial!A186</f>
        <v>0</v>
      </c>
      <c r="B206" s="52">
        <f>Inicial!B186</f>
        <v>0</v>
      </c>
      <c r="C206" s="52">
        <f>Inicial!C186</f>
        <v>0</v>
      </c>
      <c r="D206" s="53">
        <f>Inicial!D186</f>
        <v>0</v>
      </c>
      <c r="E206" s="51" t="str">
        <f>IF(Inicial!J186="SI",Inicial!E186,"N/A")</f>
        <v>N/A</v>
      </c>
      <c r="F206" s="52" t="str">
        <f>IF(Inicial!J186="SI",Inicial!F186,"N/A")</f>
        <v>N/A</v>
      </c>
      <c r="G206" s="52" t="str">
        <f>IF(Inicial!J186="SI",Inicial!G186,"N/A")</f>
        <v>N/A</v>
      </c>
      <c r="H206" s="52" t="str">
        <f>IF(Inicial!J186="SI",Inicial!H186,"N/A")</f>
        <v>N/A</v>
      </c>
      <c r="I206" s="54" t="str">
        <f>IF(Inicial!J186="SI",Inicial!I186,"N/A")</f>
        <v>N/A</v>
      </c>
      <c r="P206" s="6" t="str">
        <f t="shared" si="9"/>
        <v>Aceptable</v>
      </c>
      <c r="W206" s="6" t="str">
        <f t="shared" si="10"/>
        <v>Critico</v>
      </c>
    </row>
    <row r="207" spans="1:23" hidden="1">
      <c r="A207" s="51">
        <f>Inicial!A187</f>
        <v>0</v>
      </c>
      <c r="B207" s="52">
        <f>Inicial!B187</f>
        <v>0</v>
      </c>
      <c r="C207" s="52">
        <f>Inicial!C187</f>
        <v>0</v>
      </c>
      <c r="D207" s="53">
        <f>Inicial!D187</f>
        <v>0</v>
      </c>
      <c r="E207" s="51" t="str">
        <f>IF(Inicial!J187="SI",Inicial!E187,"N/A")</f>
        <v>N/A</v>
      </c>
      <c r="F207" s="52" t="str">
        <f>IF(Inicial!J187="SI",Inicial!F187,"N/A")</f>
        <v>N/A</v>
      </c>
      <c r="G207" s="52" t="str">
        <f>IF(Inicial!J187="SI",Inicial!G187,"N/A")</f>
        <v>N/A</v>
      </c>
      <c r="H207" s="52" t="str">
        <f>IF(Inicial!J187="SI",Inicial!H187,"N/A")</f>
        <v>N/A</v>
      </c>
      <c r="I207" s="54" t="str">
        <f>IF(Inicial!J187="SI",Inicial!I187,"N/A")</f>
        <v>N/A</v>
      </c>
      <c r="P207" s="6" t="str">
        <f t="shared" si="9"/>
        <v>Aceptable</v>
      </c>
      <c r="W207" s="6" t="str">
        <f t="shared" si="10"/>
        <v>Critico</v>
      </c>
    </row>
    <row r="208" spans="1:23" hidden="1">
      <c r="A208" s="51">
        <f>Inicial!A188</f>
        <v>0</v>
      </c>
      <c r="B208" s="52">
        <f>Inicial!B188</f>
        <v>0</v>
      </c>
      <c r="C208" s="52">
        <f>Inicial!C188</f>
        <v>0</v>
      </c>
      <c r="D208" s="53">
        <f>Inicial!D188</f>
        <v>0</v>
      </c>
      <c r="E208" s="51" t="str">
        <f>IF(Inicial!J188="SI",Inicial!E188,"N/A")</f>
        <v>N/A</v>
      </c>
      <c r="F208" s="52" t="str">
        <f>IF(Inicial!J188="SI",Inicial!F188,"N/A")</f>
        <v>N/A</v>
      </c>
      <c r="G208" s="52" t="str">
        <f>IF(Inicial!J188="SI",Inicial!G188,"N/A")</f>
        <v>N/A</v>
      </c>
      <c r="H208" s="52" t="str">
        <f>IF(Inicial!J188="SI",Inicial!H188,"N/A")</f>
        <v>N/A</v>
      </c>
      <c r="I208" s="54" t="str">
        <f>IF(Inicial!J188="SI",Inicial!I188,"N/A")</f>
        <v>N/A</v>
      </c>
      <c r="P208" s="6" t="str">
        <f t="shared" si="9"/>
        <v>Aceptable</v>
      </c>
      <c r="W208" s="6" t="str">
        <f t="shared" si="10"/>
        <v>Critico</v>
      </c>
    </row>
    <row r="209" spans="1:23" hidden="1">
      <c r="A209" s="51">
        <f>Inicial!A189</f>
        <v>0</v>
      </c>
      <c r="B209" s="52">
        <f>Inicial!B189</f>
        <v>0</v>
      </c>
      <c r="C209" s="52">
        <f>Inicial!C189</f>
        <v>0</v>
      </c>
      <c r="D209" s="53">
        <f>Inicial!D189</f>
        <v>0</v>
      </c>
      <c r="E209" s="51" t="str">
        <f>IF(Inicial!J189="SI",Inicial!E189,"N/A")</f>
        <v>N/A</v>
      </c>
      <c r="F209" s="52" t="str">
        <f>IF(Inicial!J189="SI",Inicial!F189,"N/A")</f>
        <v>N/A</v>
      </c>
      <c r="G209" s="52" t="str">
        <f>IF(Inicial!J189="SI",Inicial!G189,"N/A")</f>
        <v>N/A</v>
      </c>
      <c r="H209" s="52" t="str">
        <f>IF(Inicial!J189="SI",Inicial!H189,"N/A")</f>
        <v>N/A</v>
      </c>
      <c r="I209" s="54" t="str">
        <f>IF(Inicial!J189="SI",Inicial!I189,"N/A")</f>
        <v>N/A</v>
      </c>
      <c r="P209" s="6" t="str">
        <f t="shared" si="9"/>
        <v>Aceptable</v>
      </c>
      <c r="W209" s="6" t="str">
        <f t="shared" si="10"/>
        <v>Critico</v>
      </c>
    </row>
    <row r="210" spans="1:23" hidden="1">
      <c r="A210" s="51">
        <f>Inicial!A190</f>
        <v>0</v>
      </c>
      <c r="B210" s="52">
        <f>Inicial!B190</f>
        <v>0</v>
      </c>
      <c r="C210" s="52">
        <f>Inicial!C190</f>
        <v>0</v>
      </c>
      <c r="D210" s="53">
        <f>Inicial!D190</f>
        <v>0</v>
      </c>
      <c r="E210" s="51" t="str">
        <f>IF(Inicial!J190="SI",Inicial!E190,"N/A")</f>
        <v>N/A</v>
      </c>
      <c r="F210" s="52" t="str">
        <f>IF(Inicial!J190="SI",Inicial!F190,"N/A")</f>
        <v>N/A</v>
      </c>
      <c r="G210" s="52" t="str">
        <f>IF(Inicial!J190="SI",Inicial!G190,"N/A")</f>
        <v>N/A</v>
      </c>
      <c r="H210" s="52" t="str">
        <f>IF(Inicial!J190="SI",Inicial!H190,"N/A")</f>
        <v>N/A</v>
      </c>
      <c r="I210" s="54" t="str">
        <f>IF(Inicial!J190="SI",Inicial!I190,"N/A")</f>
        <v>N/A</v>
      </c>
      <c r="P210" s="6" t="str">
        <f t="shared" si="9"/>
        <v>Aceptable</v>
      </c>
      <c r="W210" s="6" t="str">
        <f t="shared" si="10"/>
        <v>Critico</v>
      </c>
    </row>
    <row r="211" spans="1:23" hidden="1">
      <c r="A211" s="51">
        <f>Inicial!A191</f>
        <v>0</v>
      </c>
      <c r="B211" s="52">
        <f>Inicial!B191</f>
        <v>0</v>
      </c>
      <c r="C211" s="52">
        <f>Inicial!C191</f>
        <v>0</v>
      </c>
      <c r="D211" s="53">
        <f>Inicial!D191</f>
        <v>0</v>
      </c>
      <c r="E211" s="51" t="str">
        <f>IF(Inicial!J191="SI",Inicial!E191,"N/A")</f>
        <v>N/A</v>
      </c>
      <c r="F211" s="52" t="str">
        <f>IF(Inicial!J191="SI",Inicial!F191,"N/A")</f>
        <v>N/A</v>
      </c>
      <c r="G211" s="52" t="str">
        <f>IF(Inicial!J191="SI",Inicial!G191,"N/A")</f>
        <v>N/A</v>
      </c>
      <c r="H211" s="52" t="str">
        <f>IF(Inicial!J191="SI",Inicial!H191,"N/A")</f>
        <v>N/A</v>
      </c>
      <c r="I211" s="54" t="str">
        <f>IF(Inicial!J191="SI",Inicial!I191,"N/A")</f>
        <v>N/A</v>
      </c>
      <c r="P211" s="6" t="str">
        <f t="shared" si="9"/>
        <v>Aceptable</v>
      </c>
      <c r="W211" s="6" t="str">
        <f t="shared" si="10"/>
        <v>Critico</v>
      </c>
    </row>
    <row r="212" spans="1:23" hidden="1">
      <c r="A212" s="51">
        <f>Inicial!A192</f>
        <v>0</v>
      </c>
      <c r="B212" s="52">
        <f>Inicial!B192</f>
        <v>0</v>
      </c>
      <c r="C212" s="52">
        <f>Inicial!C192</f>
        <v>0</v>
      </c>
      <c r="D212" s="53">
        <f>Inicial!D192</f>
        <v>0</v>
      </c>
      <c r="E212" s="51" t="str">
        <f>IF(Inicial!J192="SI",Inicial!E192,"N/A")</f>
        <v>N/A</v>
      </c>
      <c r="F212" s="52" t="str">
        <f>IF(Inicial!J192="SI",Inicial!F192,"N/A")</f>
        <v>N/A</v>
      </c>
      <c r="G212" s="52" t="str">
        <f>IF(Inicial!J192="SI",Inicial!G192,"N/A")</f>
        <v>N/A</v>
      </c>
      <c r="H212" s="52" t="str">
        <f>IF(Inicial!J192="SI",Inicial!H192,"N/A")</f>
        <v>N/A</v>
      </c>
      <c r="I212" s="54" t="str">
        <f>IF(Inicial!J192="SI",Inicial!I192,"N/A")</f>
        <v>N/A</v>
      </c>
      <c r="P212" s="6" t="str">
        <f t="shared" si="9"/>
        <v>Aceptable</v>
      </c>
      <c r="W212" s="6" t="str">
        <f t="shared" si="10"/>
        <v>Critico</v>
      </c>
    </row>
    <row r="213" spans="1:23" hidden="1">
      <c r="A213" s="51">
        <f>Inicial!A193</f>
        <v>0</v>
      </c>
      <c r="B213" s="52">
        <f>Inicial!B193</f>
        <v>0</v>
      </c>
      <c r="C213" s="52">
        <f>Inicial!C193</f>
        <v>0</v>
      </c>
      <c r="D213" s="53">
        <f>Inicial!D193</f>
        <v>0</v>
      </c>
      <c r="E213" s="51" t="str">
        <f>IF(Inicial!J193="SI",Inicial!E193,"N/A")</f>
        <v>N/A</v>
      </c>
      <c r="F213" s="52" t="str">
        <f>IF(Inicial!J193="SI",Inicial!F193,"N/A")</f>
        <v>N/A</v>
      </c>
      <c r="G213" s="52" t="str">
        <f>IF(Inicial!J193="SI",Inicial!G193,"N/A")</f>
        <v>N/A</v>
      </c>
      <c r="H213" s="52" t="str">
        <f>IF(Inicial!J193="SI",Inicial!H193,"N/A")</f>
        <v>N/A</v>
      </c>
      <c r="I213" s="54" t="str">
        <f>IF(Inicial!J193="SI",Inicial!I193,"N/A")</f>
        <v>N/A</v>
      </c>
      <c r="P213" s="6" t="str">
        <f t="shared" si="9"/>
        <v>Aceptable</v>
      </c>
      <c r="W213" s="6" t="str">
        <f t="shared" si="10"/>
        <v>Critico</v>
      </c>
    </row>
    <row r="214" spans="1:23" hidden="1">
      <c r="A214" s="51">
        <f>Inicial!A194</f>
        <v>0</v>
      </c>
      <c r="B214" s="52">
        <f>Inicial!B194</f>
        <v>0</v>
      </c>
      <c r="C214" s="52">
        <f>Inicial!C194</f>
        <v>0</v>
      </c>
      <c r="D214" s="53">
        <f>Inicial!D194</f>
        <v>0</v>
      </c>
      <c r="E214" s="51" t="str">
        <f>IF(Inicial!J194="SI",Inicial!E194,"N/A")</f>
        <v>N/A</v>
      </c>
      <c r="F214" s="52" t="str">
        <f>IF(Inicial!J194="SI",Inicial!F194,"N/A")</f>
        <v>N/A</v>
      </c>
      <c r="G214" s="52" t="str">
        <f>IF(Inicial!J194="SI",Inicial!G194,"N/A")</f>
        <v>N/A</v>
      </c>
      <c r="H214" s="52" t="str">
        <f>IF(Inicial!J194="SI",Inicial!H194,"N/A")</f>
        <v>N/A</v>
      </c>
      <c r="I214" s="54" t="str">
        <f>IF(Inicial!J194="SI",Inicial!I194,"N/A")</f>
        <v>N/A</v>
      </c>
      <c r="P214" s="6" t="str">
        <f t="shared" si="9"/>
        <v>Aceptable</v>
      </c>
      <c r="W214" s="6" t="str">
        <f t="shared" si="10"/>
        <v>Critico</v>
      </c>
    </row>
    <row r="215" spans="1:23" hidden="1">
      <c r="A215" s="51">
        <f>Inicial!A195</f>
        <v>0</v>
      </c>
      <c r="B215" s="52">
        <f>Inicial!B195</f>
        <v>0</v>
      </c>
      <c r="C215" s="52">
        <f>Inicial!C195</f>
        <v>0</v>
      </c>
      <c r="D215" s="53">
        <f>Inicial!D195</f>
        <v>0</v>
      </c>
      <c r="E215" s="51" t="str">
        <f>IF(Inicial!J195="SI",Inicial!E195,"N/A")</f>
        <v>N/A</v>
      </c>
      <c r="F215" s="52" t="str">
        <f>IF(Inicial!J195="SI",Inicial!F195,"N/A")</f>
        <v>N/A</v>
      </c>
      <c r="G215" s="52" t="str">
        <f>IF(Inicial!J195="SI",Inicial!G195,"N/A")</f>
        <v>N/A</v>
      </c>
      <c r="H215" s="52" t="str">
        <f>IF(Inicial!J195="SI",Inicial!H195,"N/A")</f>
        <v>N/A</v>
      </c>
      <c r="I215" s="54" t="str">
        <f>IF(Inicial!J195="SI",Inicial!I195,"N/A")</f>
        <v>N/A</v>
      </c>
      <c r="P215" s="6" t="str">
        <f t="shared" si="9"/>
        <v>Aceptable</v>
      </c>
      <c r="W215" s="6" t="str">
        <f t="shared" si="10"/>
        <v>Critico</v>
      </c>
    </row>
    <row r="216" spans="1:23" hidden="1">
      <c r="A216" s="51">
        <f>Inicial!A196</f>
        <v>0</v>
      </c>
      <c r="B216" s="52">
        <f>Inicial!B196</f>
        <v>0</v>
      </c>
      <c r="C216" s="52">
        <f>Inicial!C196</f>
        <v>0</v>
      </c>
      <c r="D216" s="53">
        <f>Inicial!D196</f>
        <v>0</v>
      </c>
      <c r="E216" s="51" t="str">
        <f>IF(Inicial!J196="SI",Inicial!E196,"N/A")</f>
        <v>N/A</v>
      </c>
      <c r="F216" s="52" t="str">
        <f>IF(Inicial!J196="SI",Inicial!F196,"N/A")</f>
        <v>N/A</v>
      </c>
      <c r="G216" s="52" t="str">
        <f>IF(Inicial!J196="SI",Inicial!G196,"N/A")</f>
        <v>N/A</v>
      </c>
      <c r="H216" s="52" t="str">
        <f>IF(Inicial!J196="SI",Inicial!H196,"N/A")</f>
        <v>N/A</v>
      </c>
      <c r="I216" s="54" t="str">
        <f>IF(Inicial!J196="SI",Inicial!I196,"N/A")</f>
        <v>N/A</v>
      </c>
      <c r="P216" s="6" t="str">
        <f t="shared" si="9"/>
        <v>Aceptable</v>
      </c>
      <c r="W216" s="6" t="str">
        <f t="shared" si="10"/>
        <v>Critico</v>
      </c>
    </row>
    <row r="217" spans="1:23" hidden="1">
      <c r="A217" s="51">
        <f>Inicial!A197</f>
        <v>0</v>
      </c>
      <c r="B217" s="52">
        <f>Inicial!B197</f>
        <v>0</v>
      </c>
      <c r="C217" s="52">
        <f>Inicial!C197</f>
        <v>0</v>
      </c>
      <c r="D217" s="53">
        <f>Inicial!D197</f>
        <v>0</v>
      </c>
      <c r="E217" s="51" t="str">
        <f>IF(Inicial!J197="SI",Inicial!E197,"N/A")</f>
        <v>N/A</v>
      </c>
      <c r="F217" s="52" t="str">
        <f>IF(Inicial!J197="SI",Inicial!F197,"N/A")</f>
        <v>N/A</v>
      </c>
      <c r="G217" s="52" t="str">
        <f>IF(Inicial!J197="SI",Inicial!G197,"N/A")</f>
        <v>N/A</v>
      </c>
      <c r="H217" s="52" t="str">
        <f>IF(Inicial!J197="SI",Inicial!H197,"N/A")</f>
        <v>N/A</v>
      </c>
      <c r="I217" s="54" t="str">
        <f>IF(Inicial!J197="SI",Inicial!I197,"N/A")</f>
        <v>N/A</v>
      </c>
      <c r="P217" s="6" t="str">
        <f t="shared" si="9"/>
        <v>Aceptable</v>
      </c>
      <c r="W217" s="6" t="str">
        <f t="shared" si="10"/>
        <v>Critico</v>
      </c>
    </row>
    <row r="218" spans="1:23" hidden="1">
      <c r="A218" s="51">
        <f>Inicial!A198</f>
        <v>0</v>
      </c>
      <c r="B218" s="52">
        <f>Inicial!B198</f>
        <v>0</v>
      </c>
      <c r="C218" s="52">
        <f>Inicial!C198</f>
        <v>0</v>
      </c>
      <c r="D218" s="53">
        <f>Inicial!D198</f>
        <v>0</v>
      </c>
      <c r="E218" s="51" t="str">
        <f>IF(Inicial!J198="SI",Inicial!E198,"N/A")</f>
        <v>N/A</v>
      </c>
      <c r="F218" s="52" t="str">
        <f>IF(Inicial!J198="SI",Inicial!F198,"N/A")</f>
        <v>N/A</v>
      </c>
      <c r="G218" s="52" t="str">
        <f>IF(Inicial!J198="SI",Inicial!G198,"N/A")</f>
        <v>N/A</v>
      </c>
      <c r="H218" s="52" t="str">
        <f>IF(Inicial!J198="SI",Inicial!H198,"N/A")</f>
        <v>N/A</v>
      </c>
      <c r="I218" s="54" t="str">
        <f>IF(Inicial!J198="SI",Inicial!I198,"N/A")</f>
        <v>N/A</v>
      </c>
      <c r="P218" s="6" t="str">
        <f t="shared" si="9"/>
        <v>Aceptable</v>
      </c>
      <c r="W218" s="6" t="str">
        <f t="shared" si="10"/>
        <v>Critico</v>
      </c>
    </row>
    <row r="219" spans="1:23" hidden="1">
      <c r="A219" s="51">
        <f>Inicial!A199</f>
        <v>0</v>
      </c>
      <c r="B219" s="52">
        <f>Inicial!B199</f>
        <v>0</v>
      </c>
      <c r="C219" s="52">
        <f>Inicial!C199</f>
        <v>0</v>
      </c>
      <c r="D219" s="53">
        <f>Inicial!D199</f>
        <v>0</v>
      </c>
      <c r="E219" s="51" t="str">
        <f>IF(Inicial!J199="SI",Inicial!E199,"N/A")</f>
        <v>N/A</v>
      </c>
      <c r="F219" s="52" t="str">
        <f>IF(Inicial!J199="SI",Inicial!F199,"N/A")</f>
        <v>N/A</v>
      </c>
      <c r="G219" s="52" t="str">
        <f>IF(Inicial!J199="SI",Inicial!G199,"N/A")</f>
        <v>N/A</v>
      </c>
      <c r="H219" s="52" t="str">
        <f>IF(Inicial!J199="SI",Inicial!H199,"N/A")</f>
        <v>N/A</v>
      </c>
      <c r="I219" s="54" t="str">
        <f>IF(Inicial!J199="SI",Inicial!I199,"N/A")</f>
        <v>N/A</v>
      </c>
      <c r="P219" s="6" t="str">
        <f t="shared" si="9"/>
        <v>Aceptable</v>
      </c>
      <c r="W219" s="6" t="str">
        <f t="shared" si="10"/>
        <v>Critico</v>
      </c>
    </row>
    <row r="220" spans="1:23" hidden="1">
      <c r="A220" s="51">
        <f>Inicial!A200</f>
        <v>0</v>
      </c>
      <c r="B220" s="52">
        <f>Inicial!B200</f>
        <v>0</v>
      </c>
      <c r="C220" s="52">
        <f>Inicial!C200</f>
        <v>0</v>
      </c>
      <c r="D220" s="53">
        <f>Inicial!D200</f>
        <v>0</v>
      </c>
      <c r="E220" s="51" t="str">
        <f>IF(Inicial!J200="SI",Inicial!E200,"N/A")</f>
        <v>N/A</v>
      </c>
      <c r="F220" s="52" t="str">
        <f>IF(Inicial!J200="SI",Inicial!F200,"N/A")</f>
        <v>N/A</v>
      </c>
      <c r="G220" s="52" t="str">
        <f>IF(Inicial!J200="SI",Inicial!G200,"N/A")</f>
        <v>N/A</v>
      </c>
      <c r="H220" s="52" t="str">
        <f>IF(Inicial!J200="SI",Inicial!H200,"N/A")</f>
        <v>N/A</v>
      </c>
      <c r="I220" s="54" t="str">
        <f>IF(Inicial!J200="SI",Inicial!I200,"N/A")</f>
        <v>N/A</v>
      </c>
      <c r="P220" s="6" t="str">
        <f t="shared" si="9"/>
        <v>Aceptable</v>
      </c>
      <c r="W220" s="6" t="str">
        <f t="shared" si="10"/>
        <v>Critico</v>
      </c>
    </row>
    <row r="221" spans="1:23" hidden="1">
      <c r="A221" s="51">
        <f>Inicial!A201</f>
        <v>0</v>
      </c>
      <c r="B221" s="52">
        <f>Inicial!B201</f>
        <v>0</v>
      </c>
      <c r="C221" s="52">
        <f>Inicial!C201</f>
        <v>0</v>
      </c>
      <c r="D221" s="53">
        <f>Inicial!D201</f>
        <v>0</v>
      </c>
      <c r="E221" s="51" t="str">
        <f>IF(Inicial!J201="SI",Inicial!E201,"N/A")</f>
        <v>N/A</v>
      </c>
      <c r="F221" s="52" t="str">
        <f>IF(Inicial!J201="SI",Inicial!F201,"N/A")</f>
        <v>N/A</v>
      </c>
      <c r="G221" s="52" t="str">
        <f>IF(Inicial!J201="SI",Inicial!G201,"N/A")</f>
        <v>N/A</v>
      </c>
      <c r="H221" s="52" t="str">
        <f>IF(Inicial!J201="SI",Inicial!H201,"N/A")</f>
        <v>N/A</v>
      </c>
      <c r="I221" s="54" t="str">
        <f>IF(Inicial!J201="SI",Inicial!I201,"N/A")</f>
        <v>N/A</v>
      </c>
      <c r="P221" s="6" t="str">
        <f t="shared" si="9"/>
        <v>Aceptable</v>
      </c>
      <c r="W221" s="6" t="str">
        <f t="shared" si="10"/>
        <v>Critico</v>
      </c>
    </row>
    <row r="222" spans="1:23" hidden="1">
      <c r="A222" s="51">
        <f>Inicial!A202</f>
        <v>0</v>
      </c>
      <c r="B222" s="52">
        <f>Inicial!B202</f>
        <v>0</v>
      </c>
      <c r="C222" s="52">
        <f>Inicial!C202</f>
        <v>0</v>
      </c>
      <c r="D222" s="53">
        <f>Inicial!D202</f>
        <v>0</v>
      </c>
      <c r="E222" s="51" t="str">
        <f>IF(Inicial!J202="SI",Inicial!E202,"N/A")</f>
        <v>N/A</v>
      </c>
      <c r="F222" s="52" t="str">
        <f>IF(Inicial!J202="SI",Inicial!F202,"N/A")</f>
        <v>N/A</v>
      </c>
      <c r="G222" s="52" t="str">
        <f>IF(Inicial!J202="SI",Inicial!G202,"N/A")</f>
        <v>N/A</v>
      </c>
      <c r="H222" s="52" t="str">
        <f>IF(Inicial!J202="SI",Inicial!H202,"N/A")</f>
        <v>N/A</v>
      </c>
      <c r="I222" s="54" t="str">
        <f>IF(Inicial!J202="SI",Inicial!I202,"N/A")</f>
        <v>N/A</v>
      </c>
      <c r="P222" s="6" t="str">
        <f t="shared" si="9"/>
        <v>Aceptable</v>
      </c>
      <c r="W222" s="6" t="str">
        <f t="shared" si="10"/>
        <v>Critico</v>
      </c>
    </row>
    <row r="223" spans="1:23" hidden="1">
      <c r="A223" s="51">
        <f>Inicial!A203</f>
        <v>0</v>
      </c>
      <c r="B223" s="52">
        <f>Inicial!B203</f>
        <v>0</v>
      </c>
      <c r="C223" s="52">
        <f>Inicial!C203</f>
        <v>0</v>
      </c>
      <c r="D223" s="53">
        <f>Inicial!D203</f>
        <v>0</v>
      </c>
      <c r="E223" s="51" t="str">
        <f>IF(Inicial!J203="SI",Inicial!E203,"N/A")</f>
        <v>N/A</v>
      </c>
      <c r="F223" s="52" t="str">
        <f>IF(Inicial!J203="SI",Inicial!F203,"N/A")</f>
        <v>N/A</v>
      </c>
      <c r="G223" s="52" t="str">
        <f>IF(Inicial!J203="SI",Inicial!G203,"N/A")</f>
        <v>N/A</v>
      </c>
      <c r="H223" s="52" t="str">
        <f>IF(Inicial!J203="SI",Inicial!H203,"N/A")</f>
        <v>N/A</v>
      </c>
      <c r="I223" s="54" t="str">
        <f>IF(Inicial!J203="SI",Inicial!I203,"N/A")</f>
        <v>N/A</v>
      </c>
      <c r="P223" s="6" t="str">
        <f t="shared" si="9"/>
        <v>Aceptable</v>
      </c>
      <c r="W223" s="6" t="str">
        <f t="shared" si="10"/>
        <v>Critico</v>
      </c>
    </row>
    <row r="224" spans="1:23" hidden="1">
      <c r="A224" s="51">
        <f>Inicial!A204</f>
        <v>0</v>
      </c>
      <c r="B224" s="52">
        <f>Inicial!B204</f>
        <v>0</v>
      </c>
      <c r="C224" s="52">
        <f>Inicial!C204</f>
        <v>0</v>
      </c>
      <c r="D224" s="53">
        <f>Inicial!D204</f>
        <v>0</v>
      </c>
      <c r="E224" s="51" t="str">
        <f>IF(Inicial!J204="SI",Inicial!E204,"N/A")</f>
        <v>N/A</v>
      </c>
      <c r="F224" s="52" t="str">
        <f>IF(Inicial!J204="SI",Inicial!F204,"N/A")</f>
        <v>N/A</v>
      </c>
      <c r="G224" s="52" t="str">
        <f>IF(Inicial!J204="SI",Inicial!G204,"N/A")</f>
        <v>N/A</v>
      </c>
      <c r="H224" s="52" t="str">
        <f>IF(Inicial!J204="SI",Inicial!H204,"N/A")</f>
        <v>N/A</v>
      </c>
      <c r="I224" s="54" t="str">
        <f>IF(Inicial!J204="SI",Inicial!I204,"N/A")</f>
        <v>N/A</v>
      </c>
      <c r="P224" s="6" t="str">
        <f t="shared" si="9"/>
        <v>Aceptable</v>
      </c>
      <c r="W224" s="6" t="str">
        <f t="shared" si="10"/>
        <v>Critico</v>
      </c>
    </row>
    <row r="225" spans="1:23" hidden="1">
      <c r="A225" s="51">
        <f>Inicial!A205</f>
        <v>0</v>
      </c>
      <c r="B225" s="52">
        <f>Inicial!B205</f>
        <v>0</v>
      </c>
      <c r="C225" s="52">
        <f>Inicial!C205</f>
        <v>0</v>
      </c>
      <c r="D225" s="53">
        <f>Inicial!D205</f>
        <v>0</v>
      </c>
      <c r="E225" s="51" t="str">
        <f>IF(Inicial!J205="SI",Inicial!E205,"N/A")</f>
        <v>N/A</v>
      </c>
      <c r="F225" s="52" t="str">
        <f>IF(Inicial!J205="SI",Inicial!F205,"N/A")</f>
        <v>N/A</v>
      </c>
      <c r="G225" s="52" t="str">
        <f>IF(Inicial!J205="SI",Inicial!G205,"N/A")</f>
        <v>N/A</v>
      </c>
      <c r="H225" s="52" t="str">
        <f>IF(Inicial!J205="SI",Inicial!H205,"N/A")</f>
        <v>N/A</v>
      </c>
      <c r="I225" s="54" t="str">
        <f>IF(Inicial!J205="SI",Inicial!I205,"N/A")</f>
        <v>N/A</v>
      </c>
      <c r="P225" s="6" t="str">
        <f t="shared" si="9"/>
        <v>Aceptable</v>
      </c>
      <c r="W225" s="6" t="str">
        <f t="shared" si="10"/>
        <v>Critico</v>
      </c>
    </row>
    <row r="226" spans="1:23" hidden="1">
      <c r="A226" s="51">
        <f>Inicial!A206</f>
        <v>0</v>
      </c>
      <c r="B226" s="52">
        <f>Inicial!B206</f>
        <v>0</v>
      </c>
      <c r="C226" s="52">
        <f>Inicial!C206</f>
        <v>0</v>
      </c>
      <c r="D226" s="53">
        <f>Inicial!D206</f>
        <v>0</v>
      </c>
      <c r="E226" s="51" t="str">
        <f>IF(Inicial!J206="SI",Inicial!E206,"N/A")</f>
        <v>N/A</v>
      </c>
      <c r="F226" s="52" t="str">
        <f>IF(Inicial!J206="SI",Inicial!F206,"N/A")</f>
        <v>N/A</v>
      </c>
      <c r="G226" s="52" t="str">
        <f>IF(Inicial!J206="SI",Inicial!G206,"N/A")</f>
        <v>N/A</v>
      </c>
      <c r="H226" s="52" t="str">
        <f>IF(Inicial!J206="SI",Inicial!H206,"N/A")</f>
        <v>N/A</v>
      </c>
      <c r="I226" s="54" t="str">
        <f>IF(Inicial!J206="SI",Inicial!I206,"N/A")</f>
        <v>N/A</v>
      </c>
      <c r="P226" s="6" t="str">
        <f t="shared" si="9"/>
        <v>Aceptable</v>
      </c>
      <c r="W226" s="6" t="str">
        <f t="shared" si="10"/>
        <v>Critico</v>
      </c>
    </row>
    <row r="227" spans="1:23" hidden="1">
      <c r="A227" s="51">
        <f>Inicial!A207</f>
        <v>0</v>
      </c>
      <c r="B227" s="52">
        <f>Inicial!B207</f>
        <v>0</v>
      </c>
      <c r="C227" s="52">
        <f>Inicial!C207</f>
        <v>0</v>
      </c>
      <c r="D227" s="53">
        <f>Inicial!D207</f>
        <v>0</v>
      </c>
      <c r="E227" s="51" t="str">
        <f>IF(Inicial!J207="SI",Inicial!E207,"N/A")</f>
        <v>N/A</v>
      </c>
      <c r="F227" s="52" t="str">
        <f>IF(Inicial!J207="SI",Inicial!F207,"N/A")</f>
        <v>N/A</v>
      </c>
      <c r="G227" s="52" t="str">
        <f>IF(Inicial!J207="SI",Inicial!G207,"N/A")</f>
        <v>N/A</v>
      </c>
      <c r="H227" s="52" t="str">
        <f>IF(Inicial!J207="SI",Inicial!H207,"N/A")</f>
        <v>N/A</v>
      </c>
      <c r="I227" s="54" t="str">
        <f>IF(Inicial!J207="SI",Inicial!I207,"N/A")</f>
        <v>N/A</v>
      </c>
      <c r="P227" s="6" t="str">
        <f t="shared" si="9"/>
        <v>Aceptable</v>
      </c>
      <c r="W227" s="6" t="str">
        <f t="shared" si="10"/>
        <v>Critico</v>
      </c>
    </row>
    <row r="228" spans="1:23" hidden="1">
      <c r="A228" s="51">
        <f>Inicial!A208</f>
        <v>0</v>
      </c>
      <c r="P228" s="6" t="str">
        <f t="shared" si="9"/>
        <v>Aceptable</v>
      </c>
      <c r="W228" s="6" t="str">
        <f t="shared" si="10"/>
        <v>Critico</v>
      </c>
    </row>
    <row r="229" spans="1:23" hidden="1">
      <c r="A229" s="51">
        <f>Inicial!A209</f>
        <v>0</v>
      </c>
      <c r="P229" s="6" t="str">
        <f t="shared" si="9"/>
        <v>Aceptable</v>
      </c>
      <c r="W229" s="6" t="str">
        <f t="shared" si="10"/>
        <v>Critico</v>
      </c>
    </row>
    <row r="230" spans="1:23" hidden="1">
      <c r="A230" s="51">
        <f>Inicial!A210</f>
        <v>0</v>
      </c>
      <c r="P230" s="6" t="str">
        <f t="shared" si="9"/>
        <v>Aceptable</v>
      </c>
      <c r="W230" s="6" t="str">
        <f t="shared" si="10"/>
        <v>Critico</v>
      </c>
    </row>
    <row r="231" spans="1:23" hidden="1">
      <c r="A231" s="51">
        <f>Inicial!A211</f>
        <v>0</v>
      </c>
      <c r="P231" s="6" t="str">
        <f t="shared" si="9"/>
        <v>Aceptable</v>
      </c>
      <c r="W231" s="6" t="str">
        <f t="shared" si="10"/>
        <v>Critico</v>
      </c>
    </row>
    <row r="232" spans="1:23" hidden="1">
      <c r="A232" s="51">
        <f>Inicial!A212</f>
        <v>0</v>
      </c>
      <c r="P232" s="6" t="str">
        <f t="shared" si="9"/>
        <v>Aceptable</v>
      </c>
      <c r="W232" s="6" t="str">
        <f t="shared" si="10"/>
        <v>Critico</v>
      </c>
    </row>
    <row r="233" spans="1:23" hidden="1">
      <c r="A233" s="51">
        <f>Inicial!A213</f>
        <v>0</v>
      </c>
      <c r="P233" s="6" t="str">
        <f t="shared" si="9"/>
        <v>Aceptable</v>
      </c>
      <c r="W233" s="6" t="str">
        <f t="shared" si="10"/>
        <v>Critico</v>
      </c>
    </row>
    <row r="234" spans="1:23" hidden="1">
      <c r="A234" s="51">
        <f>Inicial!A214</f>
        <v>0</v>
      </c>
      <c r="P234" s="6" t="str">
        <f t="shared" si="9"/>
        <v>Aceptable</v>
      </c>
      <c r="W234" s="6" t="str">
        <f t="shared" si="10"/>
        <v>Critico</v>
      </c>
    </row>
    <row r="235" spans="1:23" hidden="1">
      <c r="A235" s="51">
        <f>Inicial!A215</f>
        <v>0</v>
      </c>
      <c r="P235" s="6" t="str">
        <f t="shared" si="9"/>
        <v>Aceptable</v>
      </c>
      <c r="W235" s="6" t="str">
        <f t="shared" si="10"/>
        <v>Critico</v>
      </c>
    </row>
    <row r="236" spans="1:23" hidden="1">
      <c r="A236" s="51">
        <f>Inicial!A216</f>
        <v>0</v>
      </c>
      <c r="P236" s="6" t="str">
        <f t="shared" si="9"/>
        <v>Aceptable</v>
      </c>
      <c r="W236" s="6" t="str">
        <f t="shared" si="10"/>
        <v>Critico</v>
      </c>
    </row>
    <row r="237" spans="1:23" hidden="1">
      <c r="A237" s="51">
        <f>Inicial!A217</f>
        <v>0</v>
      </c>
      <c r="P237" s="6" t="str">
        <f t="shared" si="9"/>
        <v>Aceptable</v>
      </c>
      <c r="W237" s="6" t="str">
        <f t="shared" si="10"/>
        <v>Critico</v>
      </c>
    </row>
    <row r="238" spans="1:23" hidden="1">
      <c r="A238" s="51">
        <f>Inicial!A218</f>
        <v>0</v>
      </c>
      <c r="P238" s="6" t="str">
        <f t="shared" si="9"/>
        <v>Aceptable</v>
      </c>
      <c r="W238" s="6" t="str">
        <f t="shared" si="10"/>
        <v>Critico</v>
      </c>
    </row>
    <row r="239" spans="1:23" hidden="1">
      <c r="A239" s="51">
        <f>Inicial!A219</f>
        <v>0</v>
      </c>
      <c r="P239" s="6" t="str">
        <f t="shared" si="9"/>
        <v>Aceptable</v>
      </c>
      <c r="W239" s="6" t="str">
        <f t="shared" si="10"/>
        <v>Critico</v>
      </c>
    </row>
    <row r="253" spans="20:20" ht="15">
      <c r="T253" s="45"/>
    </row>
    <row r="254" spans="20:20" ht="15">
      <c r="T254" s="45"/>
    </row>
    <row r="255" spans="20:20" ht="15">
      <c r="T255" s="45"/>
    </row>
    <row r="256" spans="20:20" ht="15">
      <c r="T256" s="45"/>
    </row>
    <row r="257" spans="20:20" ht="15">
      <c r="T257" s="45"/>
    </row>
    <row r="258" spans="20:20" ht="15">
      <c r="T258" s="45"/>
    </row>
    <row r="259" spans="20:20" ht="15">
      <c r="T259" s="45"/>
    </row>
    <row r="260" spans="20:20" ht="15">
      <c r="T260" s="45"/>
    </row>
    <row r="261" spans="20:20" ht="15">
      <c r="T261" s="45"/>
    </row>
    <row r="262" spans="20:20" ht="15">
      <c r="T262" s="45"/>
    </row>
    <row r="263" spans="20:20" ht="15">
      <c r="T263" s="45"/>
    </row>
    <row r="264" spans="20:20" ht="15">
      <c r="T264" s="45"/>
    </row>
  </sheetData>
  <autoFilter ref="A2:AC239" xr:uid="{92FED02D-6D46-46C4-94A2-A8488AC0AEFD}">
    <filterColumn colId="22">
      <filters>
        <filter val="No Critico"/>
      </filters>
    </filterColumn>
  </autoFilter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1" priority="9" operator="equal">
      <formula>"NO"</formula>
    </cfRule>
    <cfRule type="cellIs" dxfId="60" priority="10" operator="equal">
      <formula>"SI"</formula>
    </cfRule>
  </conditionalFormatting>
  <conditionalFormatting sqref="P3:P1048576">
    <cfRule type="cellIs" dxfId="59" priority="11" operator="equal">
      <formula>"No Aceptable"</formula>
    </cfRule>
    <cfRule type="cellIs" dxfId="58" priority="12" operator="equal">
      <formula>"Aceptable"</formula>
    </cfRule>
  </conditionalFormatting>
  <conditionalFormatting sqref="Q265:V290 Q253:S264 V253:V264 Q3:V252">
    <cfRule type="cellIs" dxfId="57" priority="5" operator="equal">
      <formula>"SI"</formula>
    </cfRule>
    <cfRule type="cellIs" dxfId="56" priority="6" operator="equal">
      <formula>"NO"</formula>
    </cfRule>
  </conditionalFormatting>
  <conditionalFormatting sqref="W3:W239">
    <cfRule type="cellIs" dxfId="55" priority="3" operator="equal">
      <formula>"No Critico"</formula>
    </cfRule>
    <cfRule type="cellIs" dxfId="54" priority="4" operator="equal">
      <formula>"Critico"</formula>
    </cfRule>
  </conditionalFormatting>
  <conditionalFormatting sqref="T253:U264">
    <cfRule type="cellIs" dxfId="53" priority="1" operator="equal">
      <formula>"NO"</formula>
    </cfRule>
    <cfRule type="cellIs" dxfId="52" priority="2" operator="equal">
      <formula>"SI"</formula>
    </cfRule>
  </conditionalFormatting>
  <dataValidations count="1">
    <dataValidation type="list" allowBlank="1" showInputMessage="1" showErrorMessage="1" sqref="O29:O31 O36 N29:N36 N3:O28 J3:M31 Q3:V290" xr:uid="{9CC706B0-5768-48BE-9FF6-CA6C40CD340B}">
      <formula1>"SI,NO,N/A"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sheetPr filterMode="1"/>
  <dimension ref="A1:BB285"/>
  <sheetViews>
    <sheetView workbookViewId="0">
      <pane xSplit="4" ySplit="2" topLeftCell="F46" activePane="bottomRight" state="frozen"/>
      <selection pane="bottomRight" activeCell="AE46" sqref="J46:AE68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50" customWidth="1"/>
    <col min="2" max="3" width="11.5703125" style="3" customWidth="1"/>
    <col min="4" max="4" width="14.28515625" style="3" customWidth="1"/>
    <col min="5" max="5" width="13.5703125" style="99" customWidth="1"/>
    <col min="6" max="6" width="11.5703125" style="3"/>
    <col min="7" max="8" width="11.5703125" style="7"/>
    <col min="9" max="9" width="11.5703125" style="100" customWidth="1"/>
    <col min="10" max="10" width="11.5703125" style="97"/>
    <col min="11" max="11" width="20.42578125" style="65" customWidth="1"/>
    <col min="12" max="12" width="12.42578125" style="65" customWidth="1"/>
    <col min="13" max="14" width="11.5703125" style="65"/>
    <col min="15" max="15" width="18.7109375" style="65" customWidth="1"/>
    <col min="16" max="28" width="11.5703125" style="65"/>
    <col min="29" max="29" width="11.5703125" style="67"/>
    <col min="30" max="30" width="11.5703125" style="69"/>
    <col min="31" max="31" width="11.5703125" style="68"/>
    <col min="32" max="37" width="11.5703125" style="65"/>
    <col min="38" max="38" width="14.28515625" style="65" customWidth="1"/>
    <col min="39" max="39" width="11.5703125" style="65"/>
    <col min="40" max="40" width="13.42578125" style="65" customWidth="1"/>
    <col min="41" max="54" width="11.5703125" style="65"/>
  </cols>
  <sheetData>
    <row r="1" spans="1:54" ht="22.15" customHeight="1">
      <c r="A1" s="144" t="s">
        <v>336</v>
      </c>
      <c r="B1" s="134"/>
      <c r="C1" s="134"/>
      <c r="D1" s="134"/>
      <c r="E1" s="134"/>
      <c r="F1" s="135" t="s">
        <v>306</v>
      </c>
      <c r="G1" s="135"/>
      <c r="H1" s="135" t="s">
        <v>307</v>
      </c>
      <c r="I1" s="136"/>
      <c r="J1" s="137" t="s">
        <v>337</v>
      </c>
      <c r="K1" s="138"/>
      <c r="L1" s="138"/>
      <c r="M1" s="138"/>
      <c r="N1" s="138"/>
      <c r="O1" s="138"/>
      <c r="P1" s="138"/>
      <c r="Q1" s="137" t="s">
        <v>338</v>
      </c>
      <c r="R1" s="138"/>
      <c r="S1" s="138"/>
      <c r="T1" s="138"/>
      <c r="U1" s="138"/>
      <c r="V1" s="138"/>
      <c r="W1" s="138"/>
      <c r="X1" s="143" t="s">
        <v>339</v>
      </c>
      <c r="Y1" s="138"/>
      <c r="Z1" s="138"/>
      <c r="AA1" s="138"/>
      <c r="AB1" s="138"/>
      <c r="AC1" s="138"/>
      <c r="AD1" s="139"/>
      <c r="AE1" s="137" t="s">
        <v>340</v>
      </c>
      <c r="AF1" s="138"/>
      <c r="AG1" s="138"/>
      <c r="AH1" s="138"/>
      <c r="AI1" s="138"/>
      <c r="AJ1" s="138"/>
      <c r="AK1" s="138"/>
      <c r="AL1" s="137" t="s">
        <v>341</v>
      </c>
      <c r="AM1" s="138"/>
      <c r="AN1" s="138"/>
      <c r="AO1" s="138"/>
      <c r="AP1" s="139"/>
      <c r="AQ1" s="137" t="s">
        <v>342</v>
      </c>
      <c r="AR1" s="138"/>
      <c r="AS1" s="138"/>
      <c r="AT1" s="138"/>
      <c r="AU1" s="138"/>
      <c r="AV1" s="139"/>
      <c r="AW1" s="140" t="s">
        <v>343</v>
      </c>
      <c r="AX1" s="141"/>
      <c r="AY1" s="141"/>
      <c r="AZ1" s="141"/>
      <c r="BA1" s="141"/>
      <c r="BB1" s="142"/>
    </row>
    <row r="2" spans="1:54" ht="88.15" customHeight="1">
      <c r="A2" s="48" t="s">
        <v>35</v>
      </c>
      <c r="B2" s="9" t="s">
        <v>36</v>
      </c>
      <c r="C2" s="9" t="s">
        <v>37</v>
      </c>
      <c r="D2" s="9" t="s">
        <v>38</v>
      </c>
      <c r="E2" s="98" t="s">
        <v>40</v>
      </c>
      <c r="F2" s="9" t="s">
        <v>311</v>
      </c>
      <c r="G2" s="9" t="s">
        <v>312</v>
      </c>
      <c r="H2" s="9" t="s">
        <v>313</v>
      </c>
      <c r="I2" s="49" t="s">
        <v>314</v>
      </c>
      <c r="J2" s="107" t="s">
        <v>344</v>
      </c>
      <c r="K2" s="108" t="s">
        <v>345</v>
      </c>
      <c r="L2" s="108" t="s">
        <v>346</v>
      </c>
      <c r="M2" s="108" t="s">
        <v>347</v>
      </c>
      <c r="N2" s="108" t="s">
        <v>348</v>
      </c>
      <c r="O2" s="108" t="s">
        <v>349</v>
      </c>
      <c r="P2" s="109" t="s">
        <v>350</v>
      </c>
      <c r="Q2" s="107" t="s">
        <v>351</v>
      </c>
      <c r="R2" s="110" t="s">
        <v>352</v>
      </c>
      <c r="S2" s="110" t="s">
        <v>353</v>
      </c>
      <c r="T2" s="110" t="s">
        <v>354</v>
      </c>
      <c r="U2" s="110" t="s">
        <v>355</v>
      </c>
      <c r="V2" s="110" t="s">
        <v>356</v>
      </c>
      <c r="W2" s="111" t="s">
        <v>357</v>
      </c>
      <c r="X2" s="107" t="s">
        <v>351</v>
      </c>
      <c r="Y2" s="108" t="s">
        <v>358</v>
      </c>
      <c r="Z2" s="108" t="s">
        <v>359</v>
      </c>
      <c r="AA2" s="108" t="s">
        <v>360</v>
      </c>
      <c r="AB2" s="108" t="s">
        <v>361</v>
      </c>
      <c r="AC2" s="112" t="s">
        <v>362</v>
      </c>
      <c r="AD2" s="113" t="s">
        <v>321</v>
      </c>
      <c r="AE2" s="108" t="s">
        <v>363</v>
      </c>
      <c r="AF2" s="108" t="s">
        <v>364</v>
      </c>
      <c r="AG2" s="108" t="s">
        <v>365</v>
      </c>
      <c r="AH2" s="108" t="s">
        <v>366</v>
      </c>
      <c r="AI2" s="108" t="s">
        <v>367</v>
      </c>
      <c r="AJ2" s="108" t="s">
        <v>368</v>
      </c>
      <c r="AK2" s="108" t="s">
        <v>369</v>
      </c>
      <c r="AL2" s="108" t="s">
        <v>370</v>
      </c>
      <c r="AM2" s="108" t="s">
        <v>371</v>
      </c>
      <c r="AN2" s="108" t="s">
        <v>372</v>
      </c>
      <c r="AO2" s="108" t="s">
        <v>373</v>
      </c>
      <c r="AP2" s="108" t="s">
        <v>374</v>
      </c>
      <c r="AQ2" s="108" t="s">
        <v>375</v>
      </c>
      <c r="AR2" s="108" t="s">
        <v>376</v>
      </c>
      <c r="AS2" s="108" t="s">
        <v>377</v>
      </c>
      <c r="AT2" s="108" t="s">
        <v>378</v>
      </c>
      <c r="AU2" s="108" t="s">
        <v>379</v>
      </c>
      <c r="AV2" s="108" t="s">
        <v>328</v>
      </c>
      <c r="AW2" s="108" t="s">
        <v>329</v>
      </c>
      <c r="AX2" s="108" t="s">
        <v>330</v>
      </c>
      <c r="AY2" s="108" t="s">
        <v>331</v>
      </c>
      <c r="AZ2" s="108" t="s">
        <v>332</v>
      </c>
      <c r="BA2" s="108" t="s">
        <v>333</v>
      </c>
      <c r="BB2" s="108" t="s">
        <v>334</v>
      </c>
    </row>
    <row r="3" spans="1:54" s="5" customFormat="1" ht="90.6" hidden="1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IF(Inicial!K3="SI",Inicial!E3,"N/A")</f>
        <v>N/A</v>
      </c>
      <c r="F3" s="52" t="str">
        <f>IF(Inicial!K3="SI",Inicial!F3,"N/A")</f>
        <v>N/A</v>
      </c>
      <c r="G3" s="52" t="str">
        <f>IF(Inicial!K3="SI",Inicial!G3,"N/A")</f>
        <v>N/A</v>
      </c>
      <c r="H3" s="52" t="str">
        <f>IF(Inicial!K3="SI",Inicial!H3,"N/A")</f>
        <v>N/A</v>
      </c>
      <c r="I3" s="54" t="str">
        <f>IF(Inicial!K3="SI",Inicial!I3,"N/A")</f>
        <v>N/A</v>
      </c>
      <c r="J3" s="97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9" t="str">
        <f>IF(OR(J3="NO",K3="NO",L3="NO",M3="NO",N3="NO",O3="NO",P3="NO",R3="NO",S3="NO",T3="NO",U3="NO", V3="NO",W3="NO",Y3="NO",Z3="NO",AA3="NO",AB3="NO",AC3="NO"),"No aceptable","Aceptable")</f>
        <v>Aceptable</v>
      </c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5" t="str" cm="1">
        <f t="array" ref="AV3">IF(OR(AE3:AU3="SI"),"Critico","No critico")</f>
        <v>No critico</v>
      </c>
      <c r="AW3" s="66"/>
      <c r="AX3" s="66"/>
      <c r="AY3" s="66"/>
      <c r="AZ3" s="66"/>
      <c r="BA3" s="66"/>
      <c r="BB3" s="66"/>
    </row>
    <row r="4" spans="1:54" ht="33.6" hidden="1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IF(Inicial!K4="SI",Inicial!E4,"N/A")</f>
        <v>N/A</v>
      </c>
      <c r="F4" s="52" t="str">
        <f>IF(Inicial!K4="SI",Inicial!F4,"N/A")</f>
        <v>N/A</v>
      </c>
      <c r="G4" s="52" t="str">
        <f>IF(Inicial!K4="SI",Inicial!G4,"N/A")</f>
        <v>N/A</v>
      </c>
      <c r="H4" s="52" t="str">
        <f>IF(Inicial!K4="SI",Inicial!H4,"N/A")</f>
        <v>N/A</v>
      </c>
      <c r="I4" s="54" t="str">
        <f>IF(Inicial!K4="SI",Inicial!I4,"N/A")</f>
        <v>N/A</v>
      </c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9" t="str">
        <f t="shared" ref="AD4:AD59" si="0">IF(OR(J4="NO",K4="NO",L4="NO",M4="NO",N4="NO",O4="NO",P4="NO",R4="NO",S4="NO",T4="NO",U4="NO", V4="NO",W4="NO",Y4="NO",Z4="NO",AA4="NO",AB4="NO",AC4="NO"),"No aceptable","Aceptable")</f>
        <v>Aceptable</v>
      </c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5" t="str" cm="1">
        <f t="array" ref="AV4">IF(OR(AE4:AU4="SI"),"Critico","No critico")</f>
        <v>No critico</v>
      </c>
      <c r="AW4" s="66"/>
      <c r="AX4" s="66"/>
      <c r="AY4" s="66"/>
      <c r="AZ4" s="66"/>
      <c r="BA4" s="66"/>
      <c r="BB4" s="66"/>
    </row>
    <row r="5" spans="1:54" ht="27.6" hidden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IF(Inicial!K5="SI",Inicial!E5,"N/A")</f>
        <v>N/A</v>
      </c>
      <c r="F5" s="52" t="str">
        <f>IF(Inicial!K5="SI",Inicial!F5,"N/A")</f>
        <v>N/A</v>
      </c>
      <c r="G5" s="52" t="str">
        <f>IF(Inicial!K5="SI",Inicial!G5,"N/A")</f>
        <v>N/A</v>
      </c>
      <c r="H5" s="52" t="str">
        <f>IF(Inicial!K5="SI",Inicial!H5,"N/A")</f>
        <v>N/A</v>
      </c>
      <c r="I5" s="54" t="str">
        <f>IF(Inicial!K5="SI",Inicial!I5,"N/A")</f>
        <v>N/A</v>
      </c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9" t="str">
        <f t="shared" si="0"/>
        <v>Aceptable</v>
      </c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5" t="str" cm="1">
        <f t="array" ref="AV5">IF(OR(AE5:AU5="SI"),"Critico","No critico")</f>
        <v>No critico</v>
      </c>
    </row>
    <row r="6" spans="1:54" ht="27.6" hidden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IF(Inicial!K6="SI",Inicial!E6,"N/A")</f>
        <v>N/A</v>
      </c>
      <c r="F6" s="52" t="str">
        <f>IF(Inicial!K6="SI",Inicial!F6,"N/A")</f>
        <v>N/A</v>
      </c>
      <c r="G6" s="52" t="str">
        <f>IF(Inicial!K6="SI",Inicial!G6,"N/A")</f>
        <v>N/A</v>
      </c>
      <c r="H6" s="52" t="str">
        <f>IF(Inicial!K6="SI",Inicial!H6,"N/A")</f>
        <v>N/A</v>
      </c>
      <c r="I6" s="54" t="str">
        <f>IF(Inicial!K6="SI",Inicial!I6,"N/A")</f>
        <v>N/A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9" t="str">
        <f t="shared" si="0"/>
        <v>Aceptable</v>
      </c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5" t="str" cm="1">
        <f t="array" ref="AV6">IF(OR(AE6:AU6="SI"),"Critico","No critico")</f>
        <v>No critico</v>
      </c>
    </row>
    <row r="7" spans="1:54" ht="27.6" hidden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IF(Inicial!K7="SI",Inicial!E7,"N/A")</f>
        <v>N/A</v>
      </c>
      <c r="F7" s="52" t="str">
        <f>IF(Inicial!K7="SI",Inicial!F7,"N/A")</f>
        <v>N/A</v>
      </c>
      <c r="G7" s="52" t="str">
        <f>IF(Inicial!K7="SI",Inicial!G7,"N/A")</f>
        <v>N/A</v>
      </c>
      <c r="H7" s="52" t="str">
        <f>IF(Inicial!K7="SI",Inicial!H7,"N/A")</f>
        <v>N/A</v>
      </c>
      <c r="I7" s="54" t="str">
        <f>IF(Inicial!K7="SI",Inicial!I7,"N/A")</f>
        <v>N/A</v>
      </c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9" t="str">
        <f t="shared" si="0"/>
        <v>Aceptable</v>
      </c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5" t="str" cm="1">
        <f t="array" ref="AV7">IF(OR(AE7:AU7="SI"),"Critico","No critico")</f>
        <v>No critico</v>
      </c>
    </row>
    <row r="8" spans="1:54" ht="27.6" hidden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IF(Inicial!K8="SI",Inicial!E8,"N/A")</f>
        <v>N/A</v>
      </c>
      <c r="F8" s="52" t="str">
        <f>IF(Inicial!K8="SI",Inicial!F8,"N/A")</f>
        <v>N/A</v>
      </c>
      <c r="G8" s="52" t="str">
        <f>IF(Inicial!K8="SI",Inicial!G8,"N/A")</f>
        <v>N/A</v>
      </c>
      <c r="H8" s="52" t="str">
        <f>IF(Inicial!K8="SI",Inicial!H8,"N/A")</f>
        <v>N/A</v>
      </c>
      <c r="I8" s="54" t="str">
        <f>IF(Inicial!K8="SI",Inicial!I8,"N/A")</f>
        <v>N/A</v>
      </c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9" t="str">
        <f t="shared" si="0"/>
        <v>Aceptable</v>
      </c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5" t="str" cm="1">
        <f t="array" ref="AV8">IF(OR(AE8:AU8="SI"),"Critico","No critico")</f>
        <v>No critico</v>
      </c>
    </row>
    <row r="9" spans="1:54" ht="27.6" hidden="1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IF(Inicial!K9="SI",Inicial!E9,"N/A")</f>
        <v>N/A</v>
      </c>
      <c r="F9" s="52" t="str">
        <f>IF(Inicial!K9="SI",Inicial!F9,"N/A")</f>
        <v>N/A</v>
      </c>
      <c r="G9" s="52" t="str">
        <f>IF(Inicial!K9="SI",Inicial!G9,"N/A")</f>
        <v>N/A</v>
      </c>
      <c r="H9" s="52" t="str">
        <f>IF(Inicial!K9="SI",Inicial!H9,"N/A")</f>
        <v>N/A</v>
      </c>
      <c r="I9" s="54" t="str">
        <f>IF(Inicial!K9="SI",Inicial!I9,"N/A")</f>
        <v>N/A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9" t="str">
        <f t="shared" si="0"/>
        <v>Aceptable</v>
      </c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5" t="str" cm="1">
        <f t="array" ref="AV9">IF(OR(AE9:AU9="SI"),"Critico","No critico")</f>
        <v>No critico</v>
      </c>
    </row>
    <row r="10" spans="1:54" ht="27.6" hidden="1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IF(Inicial!K10="SI",Inicial!E10,"N/A")</f>
        <v>N/A</v>
      </c>
      <c r="F10" s="52" t="str">
        <f>IF(Inicial!K10="SI",Inicial!F10,"N/A")</f>
        <v>N/A</v>
      </c>
      <c r="G10" s="52" t="str">
        <f>IF(Inicial!K10="SI",Inicial!G10,"N/A")</f>
        <v>N/A</v>
      </c>
      <c r="H10" s="52" t="str">
        <f>IF(Inicial!K10="SI",Inicial!H10,"N/A")</f>
        <v>N/A</v>
      </c>
      <c r="I10" s="54" t="str">
        <f>IF(Inicial!K10="SI",Inicial!I10,"N/A")</f>
        <v>N/A</v>
      </c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9" t="str">
        <f t="shared" si="0"/>
        <v>Aceptable</v>
      </c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5" t="str" cm="1">
        <f t="array" ref="AV10">IF(OR(AE10:AU10="SI"),"Critico","No critico")</f>
        <v>No critico</v>
      </c>
    </row>
    <row r="11" spans="1:54" ht="27.6" hidden="1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IF(Inicial!K11="SI",Inicial!E11,"N/A")</f>
        <v>N/A</v>
      </c>
      <c r="F11" s="52" t="str">
        <f>IF(Inicial!K11="SI",Inicial!F11,"N/A")</f>
        <v>N/A</v>
      </c>
      <c r="G11" s="52" t="str">
        <f>IF(Inicial!K11="SI",Inicial!G11,"N/A")</f>
        <v>N/A</v>
      </c>
      <c r="H11" s="52" t="str">
        <f>IF(Inicial!K11="SI",Inicial!H11,"N/A")</f>
        <v>N/A</v>
      </c>
      <c r="I11" s="54" t="str">
        <f>IF(Inicial!K11="SI",Inicial!I11,"N/A")</f>
        <v>N/A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9" t="str">
        <f t="shared" si="0"/>
        <v>Aceptable</v>
      </c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5" t="str" cm="1">
        <f t="array" ref="AV11">IF(OR(AE11:AU11="SI"),"Critico","No critico")</f>
        <v>No critico</v>
      </c>
    </row>
    <row r="12" spans="1:54" ht="27.6" hidden="1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IF(Inicial!K12="SI",Inicial!E12,"N/A")</f>
        <v>N/A</v>
      </c>
      <c r="F12" s="52" t="str">
        <f>IF(Inicial!K12="SI",Inicial!F12,"N/A")</f>
        <v>N/A</v>
      </c>
      <c r="G12" s="52" t="str">
        <f>IF(Inicial!K12="SI",Inicial!G12,"N/A")</f>
        <v>N/A</v>
      </c>
      <c r="H12" s="52" t="str">
        <f>IF(Inicial!K12="SI",Inicial!H12,"N/A")</f>
        <v>N/A</v>
      </c>
      <c r="I12" s="54" t="str">
        <f>IF(Inicial!K12="SI",Inicial!I12,"N/A")</f>
        <v>N/A</v>
      </c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9" t="str">
        <f t="shared" si="0"/>
        <v>Aceptable</v>
      </c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5" t="str" cm="1">
        <f t="array" ref="AV12">IF(OR(AE12:AU12="SI"),"Critico","No critico")</f>
        <v>No critico</v>
      </c>
    </row>
    <row r="13" spans="1:54" ht="27.6" hidden="1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IF(Inicial!K13="SI",Inicial!E13,"N/A")</f>
        <v>N/A</v>
      </c>
      <c r="F13" s="52" t="str">
        <f>IF(Inicial!K13="SI",Inicial!F13,"N/A")</f>
        <v>N/A</v>
      </c>
      <c r="G13" s="52" t="str">
        <f>IF(Inicial!K13="SI",Inicial!G13,"N/A")</f>
        <v>N/A</v>
      </c>
      <c r="H13" s="52" t="str">
        <f>IF(Inicial!K13="SI",Inicial!H13,"N/A")</f>
        <v>N/A</v>
      </c>
      <c r="I13" s="54" t="str">
        <f>IF(Inicial!K13="SI",Inicial!I13,"N/A")</f>
        <v>N/A</v>
      </c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9" t="str">
        <f t="shared" si="0"/>
        <v>Aceptable</v>
      </c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5" t="str" cm="1">
        <f t="array" ref="AV13">IF(OR(AE13:AU13="SI"),"Critico","No critico")</f>
        <v>No critico</v>
      </c>
    </row>
    <row r="14" spans="1:54" ht="27.6" hidden="1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IF(Inicial!K14="SI",Inicial!E14,"N/A")</f>
        <v>N/A</v>
      </c>
      <c r="F14" s="52" t="str">
        <f>IF(Inicial!K14="SI",Inicial!F14,"N/A")</f>
        <v>N/A</v>
      </c>
      <c r="G14" s="52" t="str">
        <f>IF(Inicial!K14="SI",Inicial!G14,"N/A")</f>
        <v>N/A</v>
      </c>
      <c r="H14" s="52" t="str">
        <f>IF(Inicial!K14="SI",Inicial!H14,"N/A")</f>
        <v>N/A</v>
      </c>
      <c r="I14" s="54" t="str">
        <f>IF(Inicial!K14="SI",Inicial!I14,"N/A")</f>
        <v>N/A</v>
      </c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9" t="str">
        <f t="shared" si="0"/>
        <v>Aceptable</v>
      </c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5" t="str" cm="1">
        <f t="array" ref="AV14">IF(OR(AE14:AU14="SI"),"Critico","No critico")</f>
        <v>No critico</v>
      </c>
    </row>
    <row r="15" spans="1:54" ht="27.6" hidden="1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IF(Inicial!K15="SI",Inicial!E15,"N/A")</f>
        <v>N/A</v>
      </c>
      <c r="F15" s="52" t="str">
        <f>IF(Inicial!K15="SI",Inicial!F15,"N/A")</f>
        <v>N/A</v>
      </c>
      <c r="G15" s="52" t="str">
        <f>IF(Inicial!K15="SI",Inicial!G15,"N/A")</f>
        <v>N/A</v>
      </c>
      <c r="H15" s="52" t="str">
        <f>IF(Inicial!K15="SI",Inicial!H15,"N/A")</f>
        <v>N/A</v>
      </c>
      <c r="I15" s="54" t="str">
        <f>IF(Inicial!K15="SI",Inicial!I15,"N/A")</f>
        <v>N/A</v>
      </c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9" t="str">
        <f t="shared" si="0"/>
        <v>Aceptable</v>
      </c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5" t="str" cm="1">
        <f t="array" ref="AV15">IF(OR(AE15:AU15="SI"),"Critico","No critico")</f>
        <v>No critico</v>
      </c>
    </row>
    <row r="16" spans="1:54" ht="27.6" hidden="1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IF(Inicial!K16="SI",Inicial!E16,"N/A")</f>
        <v>N/A</v>
      </c>
      <c r="F16" s="52" t="str">
        <f>IF(Inicial!K16="SI",Inicial!F16,"N/A")</f>
        <v>N/A</v>
      </c>
      <c r="G16" s="52" t="str">
        <f>IF(Inicial!K16="SI",Inicial!G16,"N/A")</f>
        <v>N/A</v>
      </c>
      <c r="H16" s="52" t="str">
        <f>IF(Inicial!K16="SI",Inicial!H16,"N/A")</f>
        <v>N/A</v>
      </c>
      <c r="I16" s="54" t="str">
        <f>IF(Inicial!K16="SI",Inicial!I16,"N/A")</f>
        <v>N/A</v>
      </c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9" t="str">
        <f t="shared" si="0"/>
        <v>Aceptable</v>
      </c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5" t="str" cm="1">
        <f t="array" ref="AV16">IF(OR(AE16:AU16="SI"),"Critico","No critico")</f>
        <v>No critico</v>
      </c>
    </row>
    <row r="17" spans="1:48" ht="27.6" hidden="1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IF(Inicial!K17="SI",Inicial!E17,"N/A")</f>
        <v>N/A</v>
      </c>
      <c r="F17" s="52" t="str">
        <f>IF(Inicial!K17="SI",Inicial!F17,"N/A")</f>
        <v>N/A</v>
      </c>
      <c r="G17" s="52" t="str">
        <f>IF(Inicial!K17="SI",Inicial!G17,"N/A")</f>
        <v>N/A</v>
      </c>
      <c r="H17" s="52" t="str">
        <f>IF(Inicial!K17="SI",Inicial!H17,"N/A")</f>
        <v>N/A</v>
      </c>
      <c r="I17" s="54" t="str">
        <f>IF(Inicial!K17="SI",Inicial!I17,"N/A")</f>
        <v>N/A</v>
      </c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9" t="str">
        <f t="shared" si="0"/>
        <v>Aceptable</v>
      </c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5" t="str" cm="1">
        <f t="array" ref="AV17">IF(OR(AE17:AU17="SI"),"Critico","No critico")</f>
        <v>No critico</v>
      </c>
    </row>
    <row r="18" spans="1:48" ht="27.6" hidden="1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IF(Inicial!K18="SI",Inicial!E18,"N/A")</f>
        <v>N/A</v>
      </c>
      <c r="F18" s="52" t="str">
        <f>IF(Inicial!K18="SI",Inicial!F18,"N/A")</f>
        <v>N/A</v>
      </c>
      <c r="G18" s="52" t="str">
        <f>IF(Inicial!K18="SI",Inicial!G18,"N/A")</f>
        <v>N/A</v>
      </c>
      <c r="H18" s="52" t="str">
        <f>IF(Inicial!K18="SI",Inicial!H18,"N/A")</f>
        <v>N/A</v>
      </c>
      <c r="I18" s="54" t="str">
        <f>IF(Inicial!K18="SI",Inicial!I18,"N/A")</f>
        <v>N/A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9" t="str">
        <f t="shared" si="0"/>
        <v>Aceptable</v>
      </c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5" t="str" cm="1">
        <f t="array" ref="AV18">IF(OR(AE18:AU18="SI"),"Critico","No critico")</f>
        <v>No critico</v>
      </c>
    </row>
    <row r="19" spans="1:48" ht="27.6" hidden="1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IF(Inicial!K19="SI",Inicial!E19,"N/A")</f>
        <v>N/A</v>
      </c>
      <c r="F19" s="52" t="str">
        <f>IF(Inicial!K19="SI",Inicial!F19,"N/A")</f>
        <v>N/A</v>
      </c>
      <c r="G19" s="52" t="str">
        <f>IF(Inicial!K19="SI",Inicial!G19,"N/A")</f>
        <v>N/A</v>
      </c>
      <c r="H19" s="52" t="str">
        <f>IF(Inicial!K19="SI",Inicial!H19,"N/A")</f>
        <v>N/A</v>
      </c>
      <c r="I19" s="54" t="str">
        <f>IF(Inicial!K19="SI",Inicial!I19,"N/A")</f>
        <v>N/A</v>
      </c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9" t="str">
        <f t="shared" si="0"/>
        <v>Aceptable</v>
      </c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5" t="str" cm="1">
        <f t="array" ref="AV19">IF(OR(AE19:AU19="SI"),"Critico","No critico")</f>
        <v>No critico</v>
      </c>
    </row>
    <row r="20" spans="1:48" ht="27.6" hidden="1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IF(Inicial!K20="SI",Inicial!E20,"N/A")</f>
        <v>N/A</v>
      </c>
      <c r="F20" s="52" t="str">
        <f>IF(Inicial!K20="SI",Inicial!F20,"N/A")</f>
        <v>N/A</v>
      </c>
      <c r="G20" s="52" t="str">
        <f>IF(Inicial!K20="SI",Inicial!G20,"N/A")</f>
        <v>N/A</v>
      </c>
      <c r="H20" s="52" t="str">
        <f>IF(Inicial!K20="SI",Inicial!H20,"N/A")</f>
        <v>N/A</v>
      </c>
      <c r="I20" s="54" t="str">
        <f>IF(Inicial!K20="SI",Inicial!I20,"N/A")</f>
        <v>N/A</v>
      </c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9" t="str">
        <f t="shared" si="0"/>
        <v>Aceptable</v>
      </c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5" t="str" cm="1">
        <f t="array" ref="AV20">IF(OR(AE20:AU20="SI"),"Critico","No critico")</f>
        <v>No critico</v>
      </c>
    </row>
    <row r="21" spans="1:48" ht="27.6" hidden="1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IF(Inicial!K21="SI",Inicial!E21,"N/A")</f>
        <v>N/A</v>
      </c>
      <c r="F21" s="52" t="str">
        <f>IF(Inicial!K21="SI",Inicial!F21,"N/A")</f>
        <v>N/A</v>
      </c>
      <c r="G21" s="52" t="str">
        <f>IF(Inicial!K21="SI",Inicial!G21,"N/A")</f>
        <v>N/A</v>
      </c>
      <c r="H21" s="52" t="str">
        <f>IF(Inicial!K21="SI",Inicial!H21,"N/A")</f>
        <v>N/A</v>
      </c>
      <c r="I21" s="54" t="str">
        <f>IF(Inicial!K21="SI",Inicial!I21,"N/A")</f>
        <v>N/A</v>
      </c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9" t="str">
        <f t="shared" si="0"/>
        <v>Aceptable</v>
      </c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5" t="str" cm="1">
        <f t="array" ref="AV21">IF(OR(AE21:AU21="SI"),"Critico","No critico")</f>
        <v>No critico</v>
      </c>
    </row>
    <row r="22" spans="1:48" ht="27.6" hidden="1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IF(Inicial!K22="SI",Inicial!E22,"N/A")</f>
        <v>07:20 - 15:30 / 15:30 - 01:05</v>
      </c>
      <c r="F22" s="52" t="str">
        <f>IF(Inicial!K22="SI",Inicial!F22,"N/A")</f>
        <v>N/A</v>
      </c>
      <c r="G22" s="52">
        <f>IF(Inicial!K22="SI",Inicial!G22,"N/A")</f>
        <v>2</v>
      </c>
      <c r="H22" s="52">
        <f>IF(Inicial!K22="SI",Inicial!H22,"N/A")</f>
        <v>36</v>
      </c>
      <c r="I22" s="54">
        <f>IF(Inicial!K22="SI",Inicial!I22,"N/A")</f>
        <v>52</v>
      </c>
      <c r="J22" s="97" t="s">
        <v>64</v>
      </c>
      <c r="K22" s="64" t="s">
        <v>64</v>
      </c>
      <c r="L22" s="64" t="s">
        <v>64</v>
      </c>
      <c r="M22" s="64" t="s">
        <v>64</v>
      </c>
      <c r="N22" s="64" t="s">
        <v>64</v>
      </c>
      <c r="O22" s="64" t="s">
        <v>64</v>
      </c>
      <c r="P22" s="64" t="s">
        <v>64</v>
      </c>
      <c r="Q22" s="64" t="s">
        <v>380</v>
      </c>
      <c r="R22" s="64" t="s">
        <v>64</v>
      </c>
      <c r="S22" s="64" t="s">
        <v>64</v>
      </c>
      <c r="T22" s="64" t="s">
        <v>64</v>
      </c>
      <c r="U22" s="64" t="s">
        <v>64</v>
      </c>
      <c r="V22" s="64" t="s">
        <v>64</v>
      </c>
      <c r="W22" s="64" t="s">
        <v>64</v>
      </c>
      <c r="X22" s="64" t="s">
        <v>380</v>
      </c>
      <c r="Y22" s="64" t="s">
        <v>64</v>
      </c>
      <c r="Z22" s="64" t="s">
        <v>64</v>
      </c>
      <c r="AA22" s="64" t="s">
        <v>64</v>
      </c>
      <c r="AB22" s="64" t="s">
        <v>64</v>
      </c>
      <c r="AC22" s="64" t="s">
        <v>64</v>
      </c>
      <c r="AD22" s="69" t="str">
        <f>IF(OR(J22="NO",K22="NO",L22="NO",M22="NO",N22="NO",O22="NO",P22="NO",Q22="NO",S22="NO",T22="NO",U22="NO", V22="NO",W22="NO",Y22="NO",Z22="NO",AA22="NO",AB22="NO",AC22="NO"),"No aceptable","Aceptable")</f>
        <v>Aceptable</v>
      </c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5" t="str" cm="1">
        <f t="array" ref="AV22">IF(OR(AE22:AU22="SI"),"Critico","No critico")</f>
        <v>No critico</v>
      </c>
    </row>
    <row r="23" spans="1:48" ht="41.45" hidden="1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IF(Inicial!K23="SI",Inicial!E23,"N/A")</f>
        <v>N/A</v>
      </c>
      <c r="F23" s="52" t="str">
        <f>IF(Inicial!K23="SI",Inicial!F23,"N/A")</f>
        <v>N/A</v>
      </c>
      <c r="G23" s="52" t="str">
        <f>IF(Inicial!K23="SI",Inicial!G23,"N/A")</f>
        <v>N/A</v>
      </c>
      <c r="H23" s="52" t="str">
        <f>IF(Inicial!K23="SI",Inicial!H23,"N/A")</f>
        <v>N/A</v>
      </c>
      <c r="I23" s="54" t="str">
        <f>IF(Inicial!K23="SI",Inicial!I23,"N/A")</f>
        <v>N/A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9" t="str">
        <f t="shared" si="0"/>
        <v>Aceptable</v>
      </c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5" t="str" cm="1">
        <f t="array" ref="AV23">IF(OR(AE23:AU23="SI"),"Critico","No critico")</f>
        <v>No critico</v>
      </c>
    </row>
    <row r="24" spans="1:48" hidden="1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54" t="e">
        <f>IF(Inicial!#REF!="SI",Inicial!#REF!,"N/A")</f>
        <v>#REF!</v>
      </c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9" t="str">
        <f t="shared" si="0"/>
        <v>Aceptable</v>
      </c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5" t="str" cm="1">
        <f t="array" ref="AV24">IF(OR(AE24:AU24="SI"),"Critico","No critico")</f>
        <v>No critico</v>
      </c>
    </row>
    <row r="25" spans="1:48" hidden="1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IF(Inicial!K24="SI",Inicial!E24,"N/A")</f>
        <v>N/A</v>
      </c>
      <c r="F25" s="52" t="str">
        <f>IF(Inicial!K24="SI",Inicial!F24,"N/A")</f>
        <v>N/A</v>
      </c>
      <c r="G25" s="52" t="str">
        <f>IF(Inicial!K24="SI",Inicial!G24,"N/A")</f>
        <v>N/A</v>
      </c>
      <c r="H25" s="52" t="str">
        <f>IF(Inicial!K24="SI",Inicial!H24,"N/A")</f>
        <v>N/A</v>
      </c>
      <c r="I25" s="54" t="str">
        <f>IF(Inicial!K24="SI",Inicial!I24,"N/A")</f>
        <v>N/A</v>
      </c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9" t="str">
        <f t="shared" si="0"/>
        <v>Aceptable</v>
      </c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5" t="str" cm="1">
        <f t="array" ref="AV25">IF(OR(AE25:AU25="SI"),"Critico","No critico")</f>
        <v>No critico</v>
      </c>
    </row>
    <row r="26" spans="1:48" ht="27.6" hidden="1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IF(Inicial!K25="SI",Inicial!E25,"N/A")</f>
        <v>N/A</v>
      </c>
      <c r="F26" s="52" t="str">
        <f>IF(Inicial!K25="SI",Inicial!F25,"N/A")</f>
        <v>N/A</v>
      </c>
      <c r="G26" s="52" t="str">
        <f>IF(Inicial!K25="SI",Inicial!G25,"N/A")</f>
        <v>N/A</v>
      </c>
      <c r="H26" s="52" t="str">
        <f>IF(Inicial!K25="SI",Inicial!H25,"N/A")</f>
        <v>N/A</v>
      </c>
      <c r="I26" s="54" t="str">
        <f>IF(Inicial!K25="SI",Inicial!I25,"N/A")</f>
        <v>N/A</v>
      </c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9" t="str">
        <f t="shared" si="0"/>
        <v>Aceptable</v>
      </c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5" t="str" cm="1">
        <f t="array" ref="AV26">IF(OR(AE26:AU26="SI"),"Critico","No critico")</f>
        <v>No critico</v>
      </c>
    </row>
    <row r="27" spans="1:48" ht="27.6" hidden="1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IF(Inicial!K26="SI",Inicial!E26,"N/A")</f>
        <v>N/A</v>
      </c>
      <c r="F27" s="52" t="str">
        <f>IF(Inicial!K26="SI",Inicial!F26,"N/A")</f>
        <v>N/A</v>
      </c>
      <c r="G27" s="52" t="str">
        <f>IF(Inicial!K26="SI",Inicial!G26,"N/A")</f>
        <v>N/A</v>
      </c>
      <c r="H27" s="52" t="str">
        <f>IF(Inicial!K26="SI",Inicial!H26,"N/A")</f>
        <v>N/A</v>
      </c>
      <c r="I27" s="54" t="str">
        <f>IF(Inicial!K26="SI",Inicial!I26,"N/A")</f>
        <v>N/A</v>
      </c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9" t="str">
        <f t="shared" si="0"/>
        <v>Aceptable</v>
      </c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5" t="str" cm="1">
        <f t="array" ref="AV27">IF(OR(AE27:AU27="SI"),"Critico","No critico")</f>
        <v>No critico</v>
      </c>
    </row>
    <row r="28" spans="1:48" ht="27.6" hidden="1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IF(Inicial!K27="SI",Inicial!E27,"N/A")</f>
        <v>N/A</v>
      </c>
      <c r="F28" s="52" t="str">
        <f>IF(Inicial!K27="SI",Inicial!F27,"N/A")</f>
        <v>N/A</v>
      </c>
      <c r="G28" s="52" t="str">
        <f>IF(Inicial!K27="SI",Inicial!G27,"N/A")</f>
        <v>N/A</v>
      </c>
      <c r="H28" s="52" t="str">
        <f>IF(Inicial!K27="SI",Inicial!H27,"N/A")</f>
        <v>N/A</v>
      </c>
      <c r="I28" s="54" t="str">
        <f>IF(Inicial!K27="SI",Inicial!I27,"N/A")</f>
        <v>N/A</v>
      </c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9" t="str">
        <f t="shared" si="0"/>
        <v>Aceptable</v>
      </c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5" t="str" cm="1">
        <f t="array" ref="AV28">IF(OR(AE28:AU28="SI"),"Critico","No critico")</f>
        <v>No critico</v>
      </c>
    </row>
    <row r="29" spans="1:48" hidden="1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 t="str">
        <f>IF(Inicial!K28="SI",Inicial!E28,"N/A")</f>
        <v>N/A</v>
      </c>
      <c r="F29" s="52" t="str">
        <f>IF(Inicial!K28="SI",Inicial!F28,"N/A")</f>
        <v>N/A</v>
      </c>
      <c r="G29" s="52" t="str">
        <f>IF(Inicial!K28="SI",Inicial!G28,"N/A")</f>
        <v>N/A</v>
      </c>
      <c r="H29" s="52" t="str">
        <f>IF(Inicial!K28="SI",Inicial!H28,"N/A")</f>
        <v>N/A</v>
      </c>
      <c r="I29" s="54" t="str">
        <f>IF(Inicial!K28="SI",Inicial!I28,"N/A")</f>
        <v>N/A</v>
      </c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9" t="str">
        <f t="shared" si="0"/>
        <v>Aceptable</v>
      </c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5" t="str" cm="1">
        <f t="array" ref="AV29">IF(OR(AE29:AU29="SI"),"Critico","No critico")</f>
        <v>No critico</v>
      </c>
    </row>
    <row r="30" spans="1:48" hidden="1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 t="str">
        <f>IF(Inicial!K29="SI",Inicial!E29,"N/A")</f>
        <v>N/A</v>
      </c>
      <c r="F30" s="52" t="str">
        <f>IF(Inicial!K29="SI",Inicial!F29,"N/A")</f>
        <v>N/A</v>
      </c>
      <c r="G30" s="52" t="str">
        <f>IF(Inicial!K29="SI",Inicial!G29,"N/A")</f>
        <v>N/A</v>
      </c>
      <c r="H30" s="52" t="str">
        <f>IF(Inicial!K29="SI",Inicial!H29,"N/A")</f>
        <v>N/A</v>
      </c>
      <c r="I30" s="54" t="str">
        <f>IF(Inicial!K29="SI",Inicial!I29,"N/A")</f>
        <v>N/A</v>
      </c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9" t="str">
        <f t="shared" si="0"/>
        <v>Aceptable</v>
      </c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5" t="str" cm="1">
        <f t="array" ref="AV30">IF(OR(AE30:AU30="SI"),"Critico","No critico")</f>
        <v>No critico</v>
      </c>
    </row>
    <row r="31" spans="1:48" hidden="1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 t="str">
        <f>IF(Inicial!K30="SI",Inicial!E30,"N/A")</f>
        <v>N/A</v>
      </c>
      <c r="F31" s="52" t="str">
        <f>IF(Inicial!K30="SI",Inicial!F30,"N/A")</f>
        <v>N/A</v>
      </c>
      <c r="G31" s="52" t="str">
        <f>IF(Inicial!K30="SI",Inicial!G30,"N/A")</f>
        <v>N/A</v>
      </c>
      <c r="H31" s="52" t="str">
        <f>IF(Inicial!K30="SI",Inicial!H30,"N/A")</f>
        <v>N/A</v>
      </c>
      <c r="I31" s="54" t="str">
        <f>IF(Inicial!K30="SI",Inicial!I30,"N/A")</f>
        <v>N/A</v>
      </c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9" t="str">
        <f t="shared" si="0"/>
        <v>Aceptable</v>
      </c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5" t="str" cm="1">
        <f t="array" ref="AV31">IF(OR(AE31:AU31="SI"),"Critico","No critico")</f>
        <v>No critico</v>
      </c>
    </row>
    <row r="32" spans="1:48" hidden="1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 t="str">
        <f>IF(Inicial!K31="SI",Inicial!E31,"N/A")</f>
        <v>N/A</v>
      </c>
      <c r="F32" s="52" t="str">
        <f>IF(Inicial!K31="SI",Inicial!F31,"N/A")</f>
        <v>N/A</v>
      </c>
      <c r="G32" s="52" t="str">
        <f>IF(Inicial!K31="SI",Inicial!G31,"N/A")</f>
        <v>N/A</v>
      </c>
      <c r="H32" s="52" t="str">
        <f>IF(Inicial!K31="SI",Inicial!H31,"N/A")</f>
        <v>N/A</v>
      </c>
      <c r="I32" s="54" t="str">
        <f>IF(Inicial!K31="SI",Inicial!I31,"N/A")</f>
        <v>N/A</v>
      </c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9" t="str">
        <f t="shared" si="0"/>
        <v>Aceptable</v>
      </c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5" t="str" cm="1">
        <f t="array" ref="AV32">IF(OR(AE32:AU32="SI"),"Critico","No critico")</f>
        <v>No critico</v>
      </c>
    </row>
    <row r="33" spans="1:48" hidden="1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 t="str">
        <f>IF(Inicial!K32="SI",Inicial!E32,"N/A")</f>
        <v>N/A</v>
      </c>
      <c r="F33" s="52" t="str">
        <f>IF(Inicial!K32="SI",Inicial!F32,"N/A")</f>
        <v>N/A</v>
      </c>
      <c r="G33" s="52" t="str">
        <f>IF(Inicial!K32="SI",Inicial!G32,"N/A")</f>
        <v>N/A</v>
      </c>
      <c r="H33" s="52" t="str">
        <f>IF(Inicial!K32="SI",Inicial!H32,"N/A")</f>
        <v>N/A</v>
      </c>
      <c r="I33" s="54" t="str">
        <f>IF(Inicial!K32="SI",Inicial!I32,"N/A")</f>
        <v>N/A</v>
      </c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9" t="str">
        <f t="shared" si="0"/>
        <v>Aceptable</v>
      </c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5" t="str" cm="1">
        <f t="array" ref="AV33">IF(OR(AE33:AU33="SI"),"Critico","No critico")</f>
        <v>No critico</v>
      </c>
    </row>
    <row r="34" spans="1:48" ht="27.6" hidden="1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 t="str">
        <f>IF(Inicial!K33="SI",Inicial!E33,"N/A")</f>
        <v>N/A</v>
      </c>
      <c r="F34" s="52" t="str">
        <f>IF(Inicial!K33="SI",Inicial!F33,"N/A")</f>
        <v>N/A</v>
      </c>
      <c r="G34" s="52" t="str">
        <f>IF(Inicial!K33="SI",Inicial!G33,"N/A")</f>
        <v>N/A</v>
      </c>
      <c r="H34" s="52" t="str">
        <f>IF(Inicial!K33="SI",Inicial!H33,"N/A")</f>
        <v>N/A</v>
      </c>
      <c r="I34" s="54" t="str">
        <f>IF(Inicial!K33="SI",Inicial!I33,"N/A")</f>
        <v>N/A</v>
      </c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9" t="str">
        <f t="shared" si="0"/>
        <v>Aceptable</v>
      </c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5" t="str" cm="1">
        <f t="array" ref="AV34">IF(OR(AE34:AU34="SI"),"Critico","No critico")</f>
        <v>No critico</v>
      </c>
    </row>
    <row r="35" spans="1:48" hidden="1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IF(Inicial!K34="SI",Inicial!E34,"N/A")</f>
        <v>N/A</v>
      </c>
      <c r="F35" s="52" t="str">
        <f>IF(Inicial!K34="SI",Inicial!F34,"N/A")</f>
        <v>N/A</v>
      </c>
      <c r="G35" s="52" t="str">
        <f>IF(Inicial!K34="SI",Inicial!G34,"N/A")</f>
        <v>N/A</v>
      </c>
      <c r="H35" s="52" t="str">
        <f>IF(Inicial!K34="SI",Inicial!H34,"N/A")</f>
        <v>N/A</v>
      </c>
      <c r="I35" s="54" t="str">
        <f>IF(Inicial!K34="SI",Inicial!I34,"N/A")</f>
        <v>N/A</v>
      </c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9" t="str">
        <f t="shared" si="0"/>
        <v>Aceptable</v>
      </c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5" t="str" cm="1">
        <f t="array" ref="AV35">IF(OR(AE35:AU35="SI"),"Critico","No critico")</f>
        <v>No critico</v>
      </c>
    </row>
    <row r="36" spans="1:48" ht="27.6" hidden="1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IF(Inicial!K35="SI",Inicial!E35,"N/A")</f>
        <v>N/A</v>
      </c>
      <c r="F36" s="52" t="str">
        <f>IF(Inicial!K35="SI",Inicial!F35,"N/A")</f>
        <v>N/A</v>
      </c>
      <c r="G36" s="52" t="str">
        <f>IF(Inicial!K35="SI",Inicial!G35,"N/A")</f>
        <v>N/A</v>
      </c>
      <c r="H36" s="52" t="str">
        <f>IF(Inicial!K35="SI",Inicial!H35,"N/A")</f>
        <v>N/A</v>
      </c>
      <c r="I36" s="54" t="str">
        <f>IF(Inicial!K35="SI",Inicial!I35,"N/A")</f>
        <v>N/A</v>
      </c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9" t="str">
        <f t="shared" si="0"/>
        <v>Aceptable</v>
      </c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5" t="str" cm="1">
        <f t="array" ref="AV36">IF(OR(AE36:AU36="SI"),"Critico","No critico")</f>
        <v>No critico</v>
      </c>
    </row>
    <row r="37" spans="1:48" ht="27.6" hidden="1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IF(Inicial!K36="SI",Inicial!E36,"N/A")</f>
        <v>N/A</v>
      </c>
      <c r="F37" s="52" t="str">
        <f>IF(Inicial!K36="SI",Inicial!F36,"N/A")</f>
        <v>N/A</v>
      </c>
      <c r="G37" s="52" t="str">
        <f>IF(Inicial!K36="SI",Inicial!G36,"N/A")</f>
        <v>N/A</v>
      </c>
      <c r="H37" s="52" t="str">
        <f>IF(Inicial!K36="SI",Inicial!H36,"N/A")</f>
        <v>N/A</v>
      </c>
      <c r="I37" s="54" t="str">
        <f>IF(Inicial!K36="SI",Inicial!I36,"N/A")</f>
        <v>N/A</v>
      </c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9" t="str">
        <f t="shared" si="0"/>
        <v>Aceptable</v>
      </c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5" t="str" cm="1">
        <f t="array" ref="AV37">IF(OR(AE37:AU37="SI"),"Critico","No critico")</f>
        <v>No critico</v>
      </c>
    </row>
    <row r="38" spans="1:48" ht="27.6" hidden="1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IF(Inicial!K37="SI",Inicial!E37,"N/A")</f>
        <v>N/A</v>
      </c>
      <c r="F38" s="52" t="str">
        <f>IF(Inicial!K37="SI",Inicial!F37,"N/A")</f>
        <v>N/A</v>
      </c>
      <c r="G38" s="52" t="str">
        <f>IF(Inicial!K37="SI",Inicial!G37,"N/A")</f>
        <v>N/A</v>
      </c>
      <c r="H38" s="52" t="str">
        <f>IF(Inicial!K37="SI",Inicial!H37,"N/A")</f>
        <v>N/A</v>
      </c>
      <c r="I38" s="54" t="str">
        <f>IF(Inicial!K37="SI",Inicial!I37,"N/A")</f>
        <v>N/A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9" t="str">
        <f t="shared" si="0"/>
        <v>Aceptable</v>
      </c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5" t="str" cm="1">
        <f t="array" ref="AV38">IF(OR(AE38:AU38="SI"),"Critico","No critico")</f>
        <v>No critico</v>
      </c>
    </row>
    <row r="39" spans="1:48" ht="27.6" hidden="1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IF(Inicial!K38="SI",Inicial!E38,"N/A")</f>
        <v>N/A</v>
      </c>
      <c r="F39" s="52" t="str">
        <f>IF(Inicial!K38="SI",Inicial!F38,"N/A")</f>
        <v>N/A</v>
      </c>
      <c r="G39" s="52" t="str">
        <f>IF(Inicial!K38="SI",Inicial!G38,"N/A")</f>
        <v>N/A</v>
      </c>
      <c r="H39" s="52" t="str">
        <f>IF(Inicial!K38="SI",Inicial!H38,"N/A")</f>
        <v>N/A</v>
      </c>
      <c r="I39" s="54" t="str">
        <f>IF(Inicial!K38="SI",Inicial!I38,"N/A")</f>
        <v>N/A</v>
      </c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69" t="str">
        <f t="shared" si="0"/>
        <v>Aceptable</v>
      </c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5" t="str" cm="1">
        <f t="array" ref="AV39">IF(OR(AE39:AU39="SI"),"Critico","No critico")</f>
        <v>No critico</v>
      </c>
    </row>
    <row r="40" spans="1:48" ht="27.6" hidden="1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IF(Inicial!K39="SI",Inicial!E39,"N/A")</f>
        <v>N/A</v>
      </c>
      <c r="F40" s="52" t="str">
        <f>IF(Inicial!K39="SI",Inicial!F39,"N/A")</f>
        <v>N/A</v>
      </c>
      <c r="G40" s="52" t="str">
        <f>IF(Inicial!K39="SI",Inicial!G39,"N/A")</f>
        <v>N/A</v>
      </c>
      <c r="H40" s="52" t="str">
        <f>IF(Inicial!K39="SI",Inicial!H39,"N/A")</f>
        <v>N/A</v>
      </c>
      <c r="I40" s="54" t="str">
        <f>IF(Inicial!K39="SI",Inicial!I39,"N/A")</f>
        <v>N/A</v>
      </c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9" t="str">
        <f t="shared" si="0"/>
        <v>Aceptable</v>
      </c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5" t="str" cm="1">
        <f t="array" ref="AV40">IF(OR(AE40:AU40="SI"),"Critico","No critico")</f>
        <v>No critico</v>
      </c>
    </row>
    <row r="41" spans="1:48" ht="27.6" hidden="1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IF(Inicial!K40="SI",Inicial!E40,"N/A")</f>
        <v>N/A</v>
      </c>
      <c r="F41" s="52" t="str">
        <f>IF(Inicial!K40="SI",Inicial!F40,"N/A")</f>
        <v>N/A</v>
      </c>
      <c r="G41" s="52" t="str">
        <f>IF(Inicial!K40="SI",Inicial!G40,"N/A")</f>
        <v>N/A</v>
      </c>
      <c r="H41" s="52" t="str">
        <f>IF(Inicial!K40="SI",Inicial!H40,"N/A")</f>
        <v>N/A</v>
      </c>
      <c r="I41" s="54" t="str">
        <f>IF(Inicial!K40="SI",Inicial!I40,"N/A")</f>
        <v>N/A</v>
      </c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9" t="str">
        <f t="shared" si="0"/>
        <v>Aceptable</v>
      </c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5" t="str" cm="1">
        <f t="array" ref="AV41">IF(OR(AE41:AU41="SI"),"Critico","No critico")</f>
        <v>No critico</v>
      </c>
    </row>
    <row r="42" spans="1:48" ht="27.6" hidden="1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IF(Inicial!K41="SI",Inicial!E41,"N/A")</f>
        <v>N/A</v>
      </c>
      <c r="F42" s="52" t="str">
        <f>IF(Inicial!K41="SI",Inicial!F41,"N/A")</f>
        <v>N/A</v>
      </c>
      <c r="G42" s="52" t="str">
        <f>IF(Inicial!K41="SI",Inicial!G41,"N/A")</f>
        <v>N/A</v>
      </c>
      <c r="H42" s="52" t="str">
        <f>IF(Inicial!K41="SI",Inicial!H41,"N/A")</f>
        <v>N/A</v>
      </c>
      <c r="I42" s="54" t="str">
        <f>IF(Inicial!K41="SI",Inicial!I41,"N/A")</f>
        <v>N/A</v>
      </c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9" t="str">
        <f t="shared" si="0"/>
        <v>Aceptable</v>
      </c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5" t="str" cm="1">
        <f t="array" ref="AV42">IF(OR(AE42:AU42="SI"),"Critico","No critico")</f>
        <v>No critico</v>
      </c>
    </row>
    <row r="43" spans="1:48" ht="27.6" hidden="1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IF(Inicial!K42="SI",Inicial!E42,"N/A")</f>
        <v>N/A</v>
      </c>
      <c r="F43" s="52" t="str">
        <f>IF(Inicial!K42="SI",Inicial!F42,"N/A")</f>
        <v>N/A</v>
      </c>
      <c r="G43" s="52" t="str">
        <f>IF(Inicial!K42="SI",Inicial!G42,"N/A")</f>
        <v>N/A</v>
      </c>
      <c r="H43" s="52" t="str">
        <f>IF(Inicial!K42="SI",Inicial!H42,"N/A")</f>
        <v>N/A</v>
      </c>
      <c r="I43" s="54" t="str">
        <f>IF(Inicial!K42="SI",Inicial!I42,"N/A")</f>
        <v>N/A</v>
      </c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9" t="str">
        <f t="shared" si="0"/>
        <v>Aceptable</v>
      </c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5" t="str" cm="1">
        <f t="array" ref="AV43">IF(OR(AE43:AU43="SI"),"Critico","No critico")</f>
        <v>No critico</v>
      </c>
    </row>
    <row r="44" spans="1:48" ht="41.45" hidden="1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IF(Inicial!K43="SI",Inicial!E43,"N/A")</f>
        <v>07:05 - 15:05  15:15 - 00:15</v>
      </c>
      <c r="F44" s="52" t="str">
        <f>IF(Inicial!K43="SI",Inicial!F43,"N/A")</f>
        <v>N/A</v>
      </c>
      <c r="G44" s="52">
        <f>IF(Inicial!K43="SI",Inicial!G43,"N/A")</f>
        <v>2</v>
      </c>
      <c r="H44" s="52">
        <f>IF(Inicial!K43="SI",Inicial!H43,"N/A")</f>
        <v>66</v>
      </c>
      <c r="I44" s="54">
        <f>IF(Inicial!K43="SI",Inicial!I43,"N/A")</f>
        <v>73</v>
      </c>
      <c r="J44" s="97" t="s">
        <v>64</v>
      </c>
      <c r="K44" s="64" t="s">
        <v>64</v>
      </c>
      <c r="L44" s="64" t="s">
        <v>64</v>
      </c>
      <c r="M44" s="64" t="s">
        <v>64</v>
      </c>
      <c r="N44" s="64" t="s">
        <v>115</v>
      </c>
      <c r="O44" s="64" t="s">
        <v>64</v>
      </c>
      <c r="P44" s="64" t="s">
        <v>64</v>
      </c>
      <c r="Q44" s="64" t="s">
        <v>380</v>
      </c>
      <c r="R44" s="64" t="s">
        <v>64</v>
      </c>
      <c r="S44" s="64" t="s">
        <v>64</v>
      </c>
      <c r="T44" s="64" t="s">
        <v>64</v>
      </c>
      <c r="U44" s="64" t="s">
        <v>64</v>
      </c>
      <c r="V44" s="64" t="s">
        <v>64</v>
      </c>
      <c r="W44" s="64" t="s">
        <v>64</v>
      </c>
      <c r="X44" s="64" t="s">
        <v>380</v>
      </c>
      <c r="Y44" s="64" t="s">
        <v>64</v>
      </c>
      <c r="Z44" s="64" t="s">
        <v>64</v>
      </c>
      <c r="AA44" s="64" t="s">
        <v>64</v>
      </c>
      <c r="AB44" s="64" t="s">
        <v>64</v>
      </c>
      <c r="AC44" s="64" t="s">
        <v>64</v>
      </c>
      <c r="AD44" s="69" t="str">
        <f t="shared" si="0"/>
        <v>No aceptable</v>
      </c>
      <c r="AE44" s="64" t="s">
        <v>115</v>
      </c>
      <c r="AF44" s="64" t="s">
        <v>115</v>
      </c>
      <c r="AG44" s="64" t="s">
        <v>115</v>
      </c>
      <c r="AH44" s="64" t="s">
        <v>115</v>
      </c>
      <c r="AI44" s="64" t="s">
        <v>115</v>
      </c>
      <c r="AJ44" s="64" t="s">
        <v>115</v>
      </c>
      <c r="AK44" s="64" t="s">
        <v>115</v>
      </c>
      <c r="AL44" s="64" t="s">
        <v>115</v>
      </c>
      <c r="AM44" s="64" t="s">
        <v>115</v>
      </c>
      <c r="AN44" s="64" t="s">
        <v>115</v>
      </c>
      <c r="AO44" s="64" t="s">
        <v>115</v>
      </c>
      <c r="AP44" s="64" t="s">
        <v>115</v>
      </c>
      <c r="AQ44" s="64" t="s">
        <v>115</v>
      </c>
      <c r="AR44" s="64" t="s">
        <v>115</v>
      </c>
      <c r="AS44" s="64" t="s">
        <v>115</v>
      </c>
      <c r="AT44" s="64" t="s">
        <v>115</v>
      </c>
      <c r="AU44" s="64" t="s">
        <v>115</v>
      </c>
      <c r="AV44" s="65" t="str" cm="1">
        <f t="array" ref="AV44">IF(OR(AE44:AU44="SI"),"Critico","No critico")</f>
        <v>No critico</v>
      </c>
    </row>
    <row r="45" spans="1:48" ht="41.45" hidden="1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IF(Inicial!K44="SI",Inicial!E44,"N/A")</f>
        <v>07:05 - 15:05  15:15 - 00:15</v>
      </c>
      <c r="F45" s="52" t="str">
        <f>IF(Inicial!K44="SI",Inicial!F44,"N/A")</f>
        <v>N/A</v>
      </c>
      <c r="G45" s="52">
        <f>IF(Inicial!K44="SI",Inicial!G44,"N/A")</f>
        <v>2</v>
      </c>
      <c r="H45" s="52">
        <f>IF(Inicial!K44="SI",Inicial!H44,"N/A")</f>
        <v>66</v>
      </c>
      <c r="I45" s="54">
        <f>IF(Inicial!K44="SI",Inicial!I44,"N/A")</f>
        <v>73</v>
      </c>
      <c r="J45" s="97" t="s">
        <v>64</v>
      </c>
      <c r="K45" s="64" t="s">
        <v>115</v>
      </c>
      <c r="L45" s="64" t="s">
        <v>64</v>
      </c>
      <c r="M45" s="64" t="s">
        <v>64</v>
      </c>
      <c r="N45" s="64" t="s">
        <v>115</v>
      </c>
      <c r="O45" s="64" t="s">
        <v>115</v>
      </c>
      <c r="P45" s="64" t="s">
        <v>64</v>
      </c>
      <c r="Q45" s="64" t="s">
        <v>381</v>
      </c>
      <c r="R45" s="64" t="s">
        <v>64</v>
      </c>
      <c r="S45" s="64" t="s">
        <v>64</v>
      </c>
      <c r="T45" s="64" t="s">
        <v>64</v>
      </c>
      <c r="U45" s="64" t="s">
        <v>64</v>
      </c>
      <c r="V45" s="64" t="s">
        <v>64</v>
      </c>
      <c r="W45" s="64" t="s">
        <v>64</v>
      </c>
      <c r="X45" s="64" t="s">
        <v>381</v>
      </c>
      <c r="Y45" s="64" t="s">
        <v>64</v>
      </c>
      <c r="Z45" s="64" t="s">
        <v>64</v>
      </c>
      <c r="AA45" s="64" t="s">
        <v>64</v>
      </c>
      <c r="AB45" s="64" t="s">
        <v>64</v>
      </c>
      <c r="AC45" s="64" t="s">
        <v>64</v>
      </c>
      <c r="AD45" s="69" t="str">
        <f t="shared" si="0"/>
        <v>No aceptable</v>
      </c>
      <c r="AE45" s="64" t="s">
        <v>115</v>
      </c>
      <c r="AF45" s="64" t="s">
        <v>115</v>
      </c>
      <c r="AG45" s="64" t="s">
        <v>115</v>
      </c>
      <c r="AH45" s="64" t="s">
        <v>115</v>
      </c>
      <c r="AI45" s="64" t="s">
        <v>115</v>
      </c>
      <c r="AJ45" s="64" t="s">
        <v>115</v>
      </c>
      <c r="AK45" s="64" t="s">
        <v>115</v>
      </c>
      <c r="AL45" s="64" t="s">
        <v>115</v>
      </c>
      <c r="AM45" s="64" t="s">
        <v>115</v>
      </c>
      <c r="AN45" s="64" t="s">
        <v>115</v>
      </c>
      <c r="AO45" s="64" t="s">
        <v>115</v>
      </c>
      <c r="AP45" s="64" t="s">
        <v>115</v>
      </c>
      <c r="AQ45" s="64" t="s">
        <v>115</v>
      </c>
      <c r="AR45" s="64" t="s">
        <v>115</v>
      </c>
      <c r="AS45" s="64" t="s">
        <v>115</v>
      </c>
      <c r="AT45" s="64" t="s">
        <v>115</v>
      </c>
      <c r="AU45" s="64" t="s">
        <v>115</v>
      </c>
      <c r="AV45" s="65" t="str" cm="1">
        <f t="array" ref="AV45">IF(OR(AE45:AU45="SI"),"Critico","No critico")</f>
        <v>No critico</v>
      </c>
    </row>
    <row r="46" spans="1:48" ht="27.6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IF(Inicial!K45="SI",Inicial!E45,"N/A")</f>
        <v>07:05 - 15:05  15:15 - 00:15</v>
      </c>
      <c r="F46" s="52" t="str">
        <f>IF(Inicial!K45="SI",Inicial!F45,"N/A")</f>
        <v>N/A</v>
      </c>
      <c r="G46" s="52">
        <f>IF(Inicial!K45="SI",Inicial!G45,"N/A")</f>
        <v>2</v>
      </c>
      <c r="H46" s="52">
        <f>IF(Inicial!K45="SI",Inicial!H45,"N/A")</f>
        <v>66</v>
      </c>
      <c r="I46" s="54">
        <f>IF(Inicial!K45="SI",Inicial!I45,"N/A")</f>
        <v>73</v>
      </c>
      <c r="J46" s="97" t="s">
        <v>115</v>
      </c>
      <c r="K46" s="64" t="s">
        <v>115</v>
      </c>
      <c r="L46" s="64" t="s">
        <v>115</v>
      </c>
      <c r="M46" s="64" t="s">
        <v>64</v>
      </c>
      <c r="N46" s="64" t="s">
        <v>64</v>
      </c>
      <c r="O46" s="64" t="s">
        <v>64</v>
      </c>
      <c r="P46" s="64" t="s">
        <v>64</v>
      </c>
      <c r="Q46" s="64" t="s">
        <v>380</v>
      </c>
      <c r="R46" s="64" t="s">
        <v>64</v>
      </c>
      <c r="S46" s="64" t="s">
        <v>64</v>
      </c>
      <c r="T46" s="64" t="s">
        <v>64</v>
      </c>
      <c r="U46" s="64" t="s">
        <v>64</v>
      </c>
      <c r="V46" s="64" t="s">
        <v>64</v>
      </c>
      <c r="W46" s="64" t="s">
        <v>64</v>
      </c>
      <c r="X46" s="64" t="s">
        <v>380</v>
      </c>
      <c r="Y46" s="64" t="s">
        <v>64</v>
      </c>
      <c r="Z46" s="64" t="s">
        <v>64</v>
      </c>
      <c r="AA46" s="64" t="s">
        <v>64</v>
      </c>
      <c r="AB46" s="64" t="s">
        <v>64</v>
      </c>
      <c r="AC46" s="64" t="s">
        <v>64</v>
      </c>
      <c r="AD46" s="69" t="str">
        <f t="shared" si="0"/>
        <v>No aceptable</v>
      </c>
      <c r="AE46" s="64" t="s">
        <v>115</v>
      </c>
      <c r="AF46" s="64" t="s">
        <v>115</v>
      </c>
      <c r="AG46" s="64" t="s">
        <v>115</v>
      </c>
      <c r="AH46" s="64" t="s">
        <v>115</v>
      </c>
      <c r="AI46" s="64" t="s">
        <v>115</v>
      </c>
      <c r="AJ46" s="64" t="s">
        <v>115</v>
      </c>
      <c r="AK46" s="64" t="s">
        <v>115</v>
      </c>
      <c r="AL46" s="64" t="s">
        <v>115</v>
      </c>
      <c r="AM46" s="64" t="s">
        <v>115</v>
      </c>
      <c r="AN46" s="64" t="s">
        <v>115</v>
      </c>
      <c r="AO46" s="64" t="s">
        <v>115</v>
      </c>
      <c r="AP46" s="64" t="s">
        <v>115</v>
      </c>
      <c r="AQ46" s="64" t="s">
        <v>115</v>
      </c>
      <c r="AR46" s="64" t="s">
        <v>115</v>
      </c>
      <c r="AS46" s="64" t="s">
        <v>115</v>
      </c>
      <c r="AT46" s="64" t="s">
        <v>115</v>
      </c>
      <c r="AU46" s="64" t="s">
        <v>115</v>
      </c>
      <c r="AV46" s="65" t="str" cm="1">
        <f t="array" ref="AV46">IF(OR(AE46:AU46="SI"),"Critico","No critico")</f>
        <v>No critico</v>
      </c>
    </row>
    <row r="47" spans="1:48" ht="41.45" hidden="1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IF(Inicial!K46="SI",Inicial!E46,"N/A")</f>
        <v>N/A</v>
      </c>
      <c r="F47" s="52" t="str">
        <f>IF(Inicial!K46="SI",Inicial!F46,"N/A")</f>
        <v>N/A</v>
      </c>
      <c r="G47" s="52" t="str">
        <f>IF(Inicial!K46="SI",Inicial!G46,"N/A")</f>
        <v>N/A</v>
      </c>
      <c r="H47" s="52" t="str">
        <f>IF(Inicial!K46="SI",Inicial!H46,"N/A")</f>
        <v>N/A</v>
      </c>
      <c r="I47" s="54" t="str">
        <f>IF(Inicial!K46="SI",Inicial!I46,"N/A")</f>
        <v>N/A</v>
      </c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9" t="str">
        <f t="shared" si="0"/>
        <v>Aceptable</v>
      </c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5" t="str" cm="1">
        <f t="array" ref="AV47">IF(OR(AE47:AU47="SI"),"Critico","No critico")</f>
        <v>No critico</v>
      </c>
    </row>
    <row r="48" spans="1:48" ht="27.6" hidden="1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IF(Inicial!K47="SI",Inicial!E47,"N/A")</f>
        <v>N/A</v>
      </c>
      <c r="F48" s="52" t="str">
        <f>IF(Inicial!K47="SI",Inicial!F47,"N/A")</f>
        <v>N/A</v>
      </c>
      <c r="G48" s="52" t="str">
        <f>IF(Inicial!K47="SI",Inicial!G47,"N/A")</f>
        <v>N/A</v>
      </c>
      <c r="H48" s="52" t="str">
        <f>IF(Inicial!K47="SI",Inicial!H47,"N/A")</f>
        <v>N/A</v>
      </c>
      <c r="I48" s="54" t="str">
        <f>IF(Inicial!K47="SI",Inicial!I47,"N/A")</f>
        <v>N/A</v>
      </c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9" t="str">
        <f t="shared" si="0"/>
        <v>Aceptable</v>
      </c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5" t="str" cm="1">
        <f t="array" ref="AV48">IF(OR(AE48:AU48="SI"),"Critico","No critico")</f>
        <v>No critico</v>
      </c>
    </row>
    <row r="49" spans="1:48" hidden="1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IF(Inicial!K48="SI",Inicial!E48,"N/A")</f>
        <v>N/A</v>
      </c>
      <c r="F49" s="52" t="str">
        <f>IF(Inicial!K48="SI",Inicial!F48,"N/A")</f>
        <v>N/A</v>
      </c>
      <c r="G49" s="52" t="str">
        <f>IF(Inicial!K48="SI",Inicial!G48,"N/A")</f>
        <v>N/A</v>
      </c>
      <c r="H49" s="52" t="str">
        <f>IF(Inicial!K48="SI",Inicial!H48,"N/A")</f>
        <v>N/A</v>
      </c>
      <c r="I49" s="54" t="str">
        <f>IF(Inicial!K48="SI",Inicial!I48,"N/A")</f>
        <v>N/A</v>
      </c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9" t="str">
        <f t="shared" si="0"/>
        <v>Aceptable</v>
      </c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5" t="str" cm="1">
        <f t="array" ref="AV49">IF(OR(AE49:AU49="SI"),"Critico","No critico")</f>
        <v>No critico</v>
      </c>
    </row>
    <row r="50" spans="1:48" ht="27.6" hidden="1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IF(Inicial!K49="SI",Inicial!E49,"N/A")</f>
        <v>N/A</v>
      </c>
      <c r="F50" s="52" t="str">
        <f>IF(Inicial!K49="SI",Inicial!F49,"N/A")</f>
        <v>N/A</v>
      </c>
      <c r="G50" s="52" t="str">
        <f>IF(Inicial!K49="SI",Inicial!G49,"N/A")</f>
        <v>N/A</v>
      </c>
      <c r="H50" s="52" t="str">
        <f>IF(Inicial!K49="SI",Inicial!H49,"N/A")</f>
        <v>N/A</v>
      </c>
      <c r="I50" s="54" t="str">
        <f>IF(Inicial!K49="SI",Inicial!I49,"N/A")</f>
        <v>N/A</v>
      </c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9" t="str">
        <f t="shared" si="0"/>
        <v>Aceptable</v>
      </c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5" t="str" cm="1">
        <f t="array" ref="AV50">IF(OR(AE50:AU50="SI"),"Critico","No critico")</f>
        <v>No critico</v>
      </c>
    </row>
    <row r="51" spans="1:48" hidden="1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54" t="e">
        <f>IF(Inicial!#REF!="SI",Inicial!#REF!,"N/A")</f>
        <v>#REF!</v>
      </c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9" t="str">
        <f t="shared" si="0"/>
        <v>Aceptable</v>
      </c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5" t="str" cm="1">
        <f t="array" ref="AV51">IF(OR(AE51:AU51="SI"),"Critico","No critico")</f>
        <v>No critico</v>
      </c>
    </row>
    <row r="52" spans="1:48" hidden="1">
      <c r="A52" s="51" t="e">
        <f>Inicial!#REF!</f>
        <v>#REF!</v>
      </c>
      <c r="B52" s="52" t="e">
        <f>Inicial!#REF!</f>
        <v>#REF!</v>
      </c>
      <c r="C52" s="52" t="e">
        <f>Inicial!#REF!</f>
        <v>#REF!</v>
      </c>
      <c r="D52" s="53" t="e">
        <f>Inicial!#REF!</f>
        <v>#REF!</v>
      </c>
      <c r="E52" s="51" t="e">
        <f>IF(Inicial!#REF!="SI",Inicial!#REF!,"N/A")</f>
        <v>#REF!</v>
      </c>
      <c r="F52" s="52" t="e">
        <f>IF(Inicial!#REF!="SI",Inicial!#REF!,"N/A")</f>
        <v>#REF!</v>
      </c>
      <c r="G52" s="52" t="e">
        <f>IF(Inicial!#REF!="SI",Inicial!#REF!,"N/A")</f>
        <v>#REF!</v>
      </c>
      <c r="H52" s="52" t="e">
        <f>IF(Inicial!#REF!="SI",Inicial!#REF!,"N/A")</f>
        <v>#REF!</v>
      </c>
      <c r="I52" s="54" t="e">
        <f>IF(Inicial!#REF!="SI",Inicial!#REF!,"N/A")</f>
        <v>#REF!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9" t="str">
        <f t="shared" si="0"/>
        <v>Aceptable</v>
      </c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5" t="str" cm="1">
        <f t="array" ref="AV52">IF(OR(AE52:AU52="SI"),"Critico","No critico")</f>
        <v>No critico</v>
      </c>
    </row>
    <row r="53" spans="1:48" hidden="1">
      <c r="A53" s="51">
        <f>Inicial!A50</f>
        <v>48</v>
      </c>
      <c r="B53" s="52" t="str">
        <f>Inicial!B50</f>
        <v>Procesos</v>
      </c>
      <c r="C53" s="52" t="str">
        <f>Inicial!C50</f>
        <v>Mesanina</v>
      </c>
      <c r="D53" s="53" t="str">
        <f>Inicial!D50</f>
        <v>Recolgado</v>
      </c>
      <c r="E53" s="51" t="str">
        <f>IF(Inicial!K50="SI",Inicial!E50,"N/A")</f>
        <v>N/A</v>
      </c>
      <c r="F53" s="52" t="str">
        <f>IF(Inicial!K50="SI",Inicial!F50,"N/A")</f>
        <v>N/A</v>
      </c>
      <c r="G53" s="52" t="str">
        <f>IF(Inicial!K50="SI",Inicial!G50,"N/A")</f>
        <v>N/A</v>
      </c>
      <c r="H53" s="52" t="str">
        <f>IF(Inicial!K50="SI",Inicial!H50,"N/A")</f>
        <v>N/A</v>
      </c>
      <c r="I53" s="54" t="str">
        <f>IF(Inicial!K50="SI",Inicial!I50,"N/A")</f>
        <v>N/A</v>
      </c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9" t="str">
        <f t="shared" si="0"/>
        <v>Aceptable</v>
      </c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5" t="str" cm="1">
        <f t="array" ref="AV53">IF(OR(AE53:AU53="SI"),"Critico","No critico")</f>
        <v>No critico</v>
      </c>
    </row>
    <row r="54" spans="1:48" hidden="1">
      <c r="A54" s="51" t="e">
        <f>Inicial!#REF!</f>
        <v>#REF!</v>
      </c>
      <c r="B54" s="52" t="e">
        <f>Inicial!#REF!</f>
        <v>#REF!</v>
      </c>
      <c r="C54" s="52" t="e">
        <f>Inicial!#REF!</f>
        <v>#REF!</v>
      </c>
      <c r="D54" s="53" t="e">
        <f>Inicial!#REF!</f>
        <v>#REF!</v>
      </c>
      <c r="E54" s="51" t="e">
        <f>IF(Inicial!#REF!="SI",Inicial!#REF!,"N/A")</f>
        <v>#REF!</v>
      </c>
      <c r="F54" s="52" t="e">
        <f>IF(Inicial!#REF!="SI",Inicial!#REF!,"N/A")</f>
        <v>#REF!</v>
      </c>
      <c r="G54" s="52" t="e">
        <f>IF(Inicial!#REF!="SI",Inicial!#REF!,"N/A")</f>
        <v>#REF!</v>
      </c>
      <c r="H54" s="52" t="e">
        <f>IF(Inicial!#REF!="SI",Inicial!#REF!,"N/A")</f>
        <v>#REF!</v>
      </c>
      <c r="I54" s="54" t="e">
        <f>IF(Inicial!#REF!="SI",Inicial!#REF!,"N/A")</f>
        <v>#REF!</v>
      </c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9" t="str">
        <f t="shared" si="0"/>
        <v>Aceptable</v>
      </c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5" t="str" cm="1">
        <f t="array" ref="AV54">IF(OR(AE54:AU54="SI"),"Critico","No critico")</f>
        <v>No critico</v>
      </c>
    </row>
    <row r="55" spans="1:48" hidden="1">
      <c r="A55" s="51">
        <f>Inicial!A51</f>
        <v>49</v>
      </c>
      <c r="B55" s="52" t="str">
        <f>Inicial!B51</f>
        <v>Procesos</v>
      </c>
      <c r="C55" s="52" t="str">
        <f>Inicial!C51</f>
        <v>Trozado</v>
      </c>
      <c r="D55" s="53" t="str">
        <f>Inicial!D51</f>
        <v>Tranferidor</v>
      </c>
      <c r="E55" s="51" t="str">
        <f>IF(Inicial!K51="SI",Inicial!E51,"N/A")</f>
        <v>N/A</v>
      </c>
      <c r="F55" s="52" t="str">
        <f>IF(Inicial!K51="SI",Inicial!F51,"N/A")</f>
        <v>N/A</v>
      </c>
      <c r="G55" s="52" t="str">
        <f>IF(Inicial!K51="SI",Inicial!G51,"N/A")</f>
        <v>N/A</v>
      </c>
      <c r="H55" s="52" t="str">
        <f>IF(Inicial!K51="SI",Inicial!H51,"N/A")</f>
        <v>N/A</v>
      </c>
      <c r="I55" s="54" t="str">
        <f>IF(Inicial!K51="SI",Inicial!I51,"N/A")</f>
        <v>N/A</v>
      </c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9" t="str">
        <f t="shared" si="0"/>
        <v>Aceptable</v>
      </c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5" t="str" cm="1">
        <f t="array" ref="AV55">IF(OR(AE55:AU55="SI"),"Critico","No critico")</f>
        <v>No critico</v>
      </c>
    </row>
    <row r="56" spans="1:48" hidden="1">
      <c r="A56" s="51">
        <f>Inicial!A52</f>
        <v>50</v>
      </c>
      <c r="B56" s="52" t="str">
        <f>Inicial!B52</f>
        <v>Procesos</v>
      </c>
      <c r="C56" s="52" t="str">
        <f>Inicial!C52</f>
        <v>Trozado</v>
      </c>
      <c r="D56" s="53" t="str">
        <f>Inicial!D52</f>
        <v>Transpaletero</v>
      </c>
      <c r="E56" s="51" t="str">
        <f>IF(Inicial!K52="SI",Inicial!E52,"N/A")</f>
        <v>N/A</v>
      </c>
      <c r="F56" s="52" t="str">
        <f>IF(Inicial!K52="SI",Inicial!F52,"N/A")</f>
        <v>N/A</v>
      </c>
      <c r="G56" s="52" t="str">
        <f>IF(Inicial!K52="SI",Inicial!G52,"N/A")</f>
        <v>N/A</v>
      </c>
      <c r="H56" s="52" t="str">
        <f>IF(Inicial!K52="SI",Inicial!H52,"N/A")</f>
        <v>N/A</v>
      </c>
      <c r="I56" s="54" t="str">
        <f>IF(Inicial!K52="SI",Inicial!I52,"N/A")</f>
        <v>N/A</v>
      </c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9" t="str">
        <f t="shared" si="0"/>
        <v>Aceptable</v>
      </c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5" t="str" cm="1">
        <f t="array" ref="AV56">IF(OR(AE56:AU56="SI"),"Critico","No critico")</f>
        <v>No critico</v>
      </c>
    </row>
    <row r="57" spans="1:48" hidden="1">
      <c r="A57" s="51">
        <f>Inicial!A53</f>
        <v>51</v>
      </c>
      <c r="B57" s="52" t="str">
        <f>Inicial!B53</f>
        <v>Procesos</v>
      </c>
      <c r="C57" s="52" t="str">
        <f>Inicial!C53</f>
        <v>Trozado L2</v>
      </c>
      <c r="D57" s="53" t="str">
        <f>Inicial!D53</f>
        <v>Trozado manual</v>
      </c>
      <c r="E57" s="51" t="str">
        <f>IF(Inicial!K53="SI",Inicial!E53,"N/A")</f>
        <v>N/A</v>
      </c>
      <c r="F57" s="52" t="str">
        <f>IF(Inicial!K53="SI",Inicial!F53,"N/A")</f>
        <v>N/A</v>
      </c>
      <c r="G57" s="52" t="str">
        <f>IF(Inicial!K53="SI",Inicial!G53,"N/A")</f>
        <v>N/A</v>
      </c>
      <c r="H57" s="52" t="str">
        <f>IF(Inicial!K53="SI",Inicial!H53,"N/A")</f>
        <v>N/A</v>
      </c>
      <c r="I57" s="54" t="str">
        <f>IF(Inicial!K53="SI",Inicial!I53,"N/A")</f>
        <v>N/A</v>
      </c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9" t="str">
        <f t="shared" si="0"/>
        <v>Aceptable</v>
      </c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5" t="str" cm="1">
        <f t="array" ref="AV57">IF(OR(AE57:AU57="SI"),"Critico","No critico")</f>
        <v>No critico</v>
      </c>
    </row>
    <row r="58" spans="1:48" hidden="1">
      <c r="A58" s="51">
        <f>Inicial!A54</f>
        <v>52</v>
      </c>
      <c r="B58" s="52" t="str">
        <f>Inicial!B54</f>
        <v>Procesos</v>
      </c>
      <c r="C58" s="52" t="str">
        <f>Inicial!C54</f>
        <v>Trozado</v>
      </c>
      <c r="D58" s="53" t="str">
        <f>Inicial!D54</f>
        <v>Maquinista</v>
      </c>
      <c r="E58" s="51" t="str">
        <f>IF(Inicial!K54="SI",Inicial!E54,"N/A")</f>
        <v>N/A</v>
      </c>
      <c r="F58" s="52" t="str">
        <f>IF(Inicial!K54="SI",Inicial!F54,"N/A")</f>
        <v>N/A</v>
      </c>
      <c r="G58" s="52" t="str">
        <f>IF(Inicial!K54="SI",Inicial!G54,"N/A")</f>
        <v>N/A</v>
      </c>
      <c r="H58" s="52" t="str">
        <f>IF(Inicial!K54="SI",Inicial!H54,"N/A")</f>
        <v>N/A</v>
      </c>
      <c r="I58" s="54" t="str">
        <f>IF(Inicial!K54="SI",Inicial!I54,"N/A")</f>
        <v>N/A</v>
      </c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9" t="str">
        <f t="shared" si="0"/>
        <v>Aceptable</v>
      </c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5" t="str" cm="1">
        <f t="array" ref="AV58">IF(OR(AE58:AU58="SI"),"Critico","No critico")</f>
        <v>No critico</v>
      </c>
    </row>
    <row r="59" spans="1:48" hidden="1">
      <c r="A59" s="51">
        <f>Inicial!A55</f>
        <v>53</v>
      </c>
      <c r="B59" s="52" t="str">
        <f>Inicial!B55</f>
        <v>Procesos</v>
      </c>
      <c r="C59" s="52" t="str">
        <f>Inicial!C55</f>
        <v>Trozado</v>
      </c>
      <c r="D59" s="53" t="str">
        <f>Inicial!D55</f>
        <v>Fechado</v>
      </c>
      <c r="E59" s="51" t="str">
        <f>IF(Inicial!K55="SI",Inicial!E55,"N/A")</f>
        <v>N/A</v>
      </c>
      <c r="F59" s="52" t="str">
        <f>IF(Inicial!K55="SI",Inicial!F55,"N/A")</f>
        <v>N/A</v>
      </c>
      <c r="G59" s="52" t="str">
        <f>IF(Inicial!K55="SI",Inicial!G55,"N/A")</f>
        <v>N/A</v>
      </c>
      <c r="H59" s="52" t="str">
        <f>IF(Inicial!K55="SI",Inicial!H55,"N/A")</f>
        <v>N/A</v>
      </c>
      <c r="I59" s="54" t="str">
        <f>IF(Inicial!K55="SI",Inicial!I55,"N/A")</f>
        <v>N/A</v>
      </c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9" t="str">
        <f t="shared" si="0"/>
        <v>Aceptable</v>
      </c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5" t="str" cm="1">
        <f t="array" ref="AV59">IF(OR(AE59:AU59="SI"),"Critico","No critico")</f>
        <v>No critico</v>
      </c>
    </row>
    <row r="60" spans="1:48" hidden="1">
      <c r="A60" s="51" t="e">
        <f>Inicial!#REF!</f>
        <v>#REF!</v>
      </c>
      <c r="B60" s="52" t="e">
        <f>Inicial!#REF!</f>
        <v>#REF!</v>
      </c>
      <c r="C60" s="52" t="e">
        <f>Inicial!#REF!</f>
        <v>#REF!</v>
      </c>
      <c r="D60" s="53" t="e">
        <f>Inicial!#REF!</f>
        <v>#REF!</v>
      </c>
      <c r="E60" s="51" t="e">
        <f>IF(Inicial!#REF!="SI",Inicial!#REF!,"N/A")</f>
        <v>#REF!</v>
      </c>
      <c r="F60" s="52" t="e">
        <f>IF(Inicial!#REF!="SI",Inicial!#REF!,"N/A")</f>
        <v>#REF!</v>
      </c>
      <c r="G60" s="52" t="e">
        <f>IF(Inicial!#REF!="SI",Inicial!#REF!,"N/A")</f>
        <v>#REF!</v>
      </c>
      <c r="H60" s="52" t="e">
        <f>IF(Inicial!#REF!="SI",Inicial!#REF!,"N/A")</f>
        <v>#REF!</v>
      </c>
      <c r="I60" s="54" t="e">
        <f>IF(Inicial!#REF!="SI",Inicial!#REF!,"N/A")</f>
        <v>#REF!</v>
      </c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9" t="str">
        <f t="shared" ref="AD60:AD90" si="1">IF(OR(J60="NO",K60="NO",L60="NO",M60="NO",N60="NO",O60="NO",P60="NO",R60="NO",S60="NO",T60="NO",U60="NO", V60="NO",W60="NO",Y60="NO",Z60="NO",AA60="NO",AB60="NO",AC60="NO"),"No aceptable","Aceptable")</f>
        <v>Aceptable</v>
      </c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5" t="str" cm="1">
        <f t="array" ref="AV60">IF(OR(AE60:AU60="SI"),"Critico","No critico")</f>
        <v>No critico</v>
      </c>
    </row>
    <row r="61" spans="1:48" ht="27.6" hidden="1">
      <c r="A61" s="51">
        <f>Inicial!A56</f>
        <v>54</v>
      </c>
      <c r="B61" s="52" t="str">
        <f>Inicial!B56</f>
        <v>Procesos</v>
      </c>
      <c r="C61" s="52" t="str">
        <f>Inicial!C56</f>
        <v>Trozado L1</v>
      </c>
      <c r="D61" s="53" t="str">
        <f>Inicial!D56</f>
        <v>Embalado pollo personal</v>
      </c>
      <c r="E61" s="51" t="str">
        <f>IF(Inicial!K56="SI",Inicial!E56,"N/A")</f>
        <v>N/A</v>
      </c>
      <c r="F61" s="52" t="str">
        <f>IF(Inicial!K56="SI",Inicial!F56,"N/A")</f>
        <v>N/A</v>
      </c>
      <c r="G61" s="52" t="str">
        <f>IF(Inicial!K56="SI",Inicial!G56,"N/A")</f>
        <v>N/A</v>
      </c>
      <c r="H61" s="52" t="str">
        <f>IF(Inicial!K56="SI",Inicial!H56,"N/A")</f>
        <v>N/A</v>
      </c>
      <c r="I61" s="54" t="str">
        <f>IF(Inicial!K56="SI",Inicial!I56,"N/A")</f>
        <v>N/A</v>
      </c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9" t="str">
        <f t="shared" si="1"/>
        <v>Aceptable</v>
      </c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5" t="str" cm="1">
        <f t="array" ref="AV61">IF(OR(AE61:AU61="SI"),"Critico","No critico")</f>
        <v>No critico</v>
      </c>
    </row>
    <row r="62" spans="1:48" hidden="1">
      <c r="A62" s="51">
        <f>Inicial!A57</f>
        <v>55</v>
      </c>
      <c r="B62" s="52" t="str">
        <f>Inicial!B57</f>
        <v>Procesos</v>
      </c>
      <c r="C62" s="52" t="str">
        <f>Inicial!C57</f>
        <v>Trozado</v>
      </c>
      <c r="D62" s="53" t="str">
        <f>Inicial!D57</f>
        <v>Programador</v>
      </c>
      <c r="E62" s="51" t="str">
        <f>IF(Inicial!K57="SI",Inicial!E57,"N/A")</f>
        <v>N/A</v>
      </c>
      <c r="F62" s="52" t="str">
        <f>IF(Inicial!K57="SI",Inicial!F57,"N/A")</f>
        <v>N/A</v>
      </c>
      <c r="G62" s="52" t="str">
        <f>IF(Inicial!K57="SI",Inicial!G57,"N/A")</f>
        <v>N/A</v>
      </c>
      <c r="H62" s="52" t="str">
        <f>IF(Inicial!K57="SI",Inicial!H57,"N/A")</f>
        <v>N/A</v>
      </c>
      <c r="I62" s="54" t="str">
        <f>IF(Inicial!K57="SI",Inicial!I57,"N/A")</f>
        <v>N/A</v>
      </c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9" t="str">
        <f t="shared" si="1"/>
        <v>Aceptable</v>
      </c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5" t="str" cm="1">
        <f t="array" ref="AV62">IF(OR(AE62:AU62="SI"),"Critico","No critico")</f>
        <v>No critico</v>
      </c>
    </row>
    <row r="63" spans="1:48">
      <c r="A63" s="51">
        <f>Inicial!A58</f>
        <v>56</v>
      </c>
      <c r="B63" s="52" t="str">
        <f>Inicial!B58</f>
        <v>Procesos</v>
      </c>
      <c r="C63" s="52" t="str">
        <f>Inicial!C58</f>
        <v>Trozado L5</v>
      </c>
      <c r="D63" s="53" t="str">
        <f>Inicial!D58</f>
        <v>Vacio espinazo</v>
      </c>
      <c r="E63" s="51" t="str">
        <f>IF(Inicial!K58="SI",Inicial!E58,"N/A")</f>
        <v>N/A</v>
      </c>
      <c r="F63" s="52" t="str">
        <f>IF(Inicial!K58="SI",Inicial!F58,"N/A")</f>
        <v>N/A</v>
      </c>
      <c r="G63" s="52" t="str">
        <f>IF(Inicial!K58="SI",Inicial!G58,"N/A")</f>
        <v>N/A</v>
      </c>
      <c r="H63" s="52" t="str">
        <f>IF(Inicial!K58="SI",Inicial!H58,"N/A")</f>
        <v>N/A</v>
      </c>
      <c r="I63" s="54" t="str">
        <f>IF(Inicial!K58="SI",Inicial!I58,"N/A")</f>
        <v>N/A</v>
      </c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9" t="str">
        <f t="shared" si="1"/>
        <v>Aceptable</v>
      </c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5" t="str" cm="1">
        <f t="array" ref="AV63">IF(OR(AE63:AU63="SI"),"Critico","No critico")</f>
        <v>No critico</v>
      </c>
    </row>
    <row r="64" spans="1:48" ht="27.6">
      <c r="A64" s="51">
        <f>Inicial!A59</f>
        <v>57</v>
      </c>
      <c r="B64" s="52" t="str">
        <f>Inicial!B59</f>
        <v>Procesos</v>
      </c>
      <c r="C64" s="52" t="str">
        <f>Inicial!C59</f>
        <v>Trozado L5</v>
      </c>
      <c r="D64" s="53" t="str">
        <f>Inicial!D59</f>
        <v>Vacio punta espinazo</v>
      </c>
      <c r="E64" s="51" t="str">
        <f>IF(Inicial!K59="SI",Inicial!E59,"N/A")</f>
        <v>N/A</v>
      </c>
      <c r="F64" s="52" t="str">
        <f>IF(Inicial!K59="SI",Inicial!F59,"N/A")</f>
        <v>N/A</v>
      </c>
      <c r="G64" s="52" t="str">
        <f>IF(Inicial!K59="SI",Inicial!G59,"N/A")</f>
        <v>N/A</v>
      </c>
      <c r="H64" s="52" t="str">
        <f>IF(Inicial!K59="SI",Inicial!H59,"N/A")</f>
        <v>N/A</v>
      </c>
      <c r="I64" s="54" t="str">
        <f>IF(Inicial!K59="SI",Inicial!I59,"N/A")</f>
        <v>N/A</v>
      </c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9" t="str">
        <f t="shared" si="1"/>
        <v>Aceptable</v>
      </c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5" t="str" cm="1">
        <f t="array" ref="AV64">IF(OR(AE64:AU64="SI"),"Critico","No critico")</f>
        <v>No critico</v>
      </c>
    </row>
    <row r="65" spans="1:48" ht="27.6" hidden="1">
      <c r="A65" s="51">
        <f>Inicial!A60</f>
        <v>58</v>
      </c>
      <c r="B65" s="52" t="str">
        <f>Inicial!B60</f>
        <v>Procesos</v>
      </c>
      <c r="C65" s="52" t="str">
        <f>Inicial!C60</f>
        <v>Trozado</v>
      </c>
      <c r="D65" s="53" t="str">
        <f>Inicial!D60</f>
        <v>Trozado manual cazuela</v>
      </c>
      <c r="E65" s="51" t="str">
        <f>IF(Inicial!K60="SI",Inicial!E60,"N/A")</f>
        <v>N/A</v>
      </c>
      <c r="F65" s="52" t="str">
        <f>IF(Inicial!K60="SI",Inicial!F60,"N/A")</f>
        <v>N/A</v>
      </c>
      <c r="G65" s="52" t="str">
        <f>IF(Inicial!K60="SI",Inicial!G60,"N/A")</f>
        <v>N/A</v>
      </c>
      <c r="H65" s="52" t="str">
        <f>IF(Inicial!K60="SI",Inicial!H60,"N/A")</f>
        <v>N/A</v>
      </c>
      <c r="I65" s="54" t="str">
        <f>IF(Inicial!K60="SI",Inicial!I60,"N/A")</f>
        <v>N/A</v>
      </c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9" t="str">
        <f t="shared" si="1"/>
        <v>Aceptable</v>
      </c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5" t="str" cm="1">
        <f t="array" ref="AV65">IF(OR(AE65:AU65="SI"),"Critico","No critico")</f>
        <v>No critico</v>
      </c>
    </row>
    <row r="66" spans="1:48" hidden="1">
      <c r="A66" s="51" t="e">
        <f>Inicial!#REF!</f>
        <v>#REF!</v>
      </c>
      <c r="B66" s="52" t="e">
        <f>Inicial!#REF!</f>
        <v>#REF!</v>
      </c>
      <c r="C66" s="52" t="e">
        <f>Inicial!#REF!</f>
        <v>#REF!</v>
      </c>
      <c r="D66" s="53" t="e">
        <f>Inicial!#REF!</f>
        <v>#REF!</v>
      </c>
      <c r="E66" s="51" t="e">
        <f>IF(Inicial!#REF!="SI",Inicial!#REF!,"N/A")</f>
        <v>#REF!</v>
      </c>
      <c r="F66" s="52" t="e">
        <f>IF(Inicial!#REF!="SI",Inicial!#REF!,"N/A")</f>
        <v>#REF!</v>
      </c>
      <c r="G66" s="52" t="e">
        <f>IF(Inicial!#REF!="SI",Inicial!#REF!,"N/A")</f>
        <v>#REF!</v>
      </c>
      <c r="H66" s="52" t="e">
        <f>IF(Inicial!#REF!="SI",Inicial!#REF!,"N/A")</f>
        <v>#REF!</v>
      </c>
      <c r="I66" s="54" t="e">
        <f>IF(Inicial!#REF!="SI",Inicial!#REF!,"N/A")</f>
        <v>#REF!</v>
      </c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9" t="str">
        <f t="shared" si="1"/>
        <v>Aceptable</v>
      </c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5" t="str" cm="1">
        <f t="array" ref="AV66">IF(OR(AE66:AU66="SI"),"Critico","No critico")</f>
        <v>No critico</v>
      </c>
    </row>
    <row r="67" spans="1:48" ht="27.6">
      <c r="A67" s="51">
        <f>Inicial!A61</f>
        <v>59</v>
      </c>
      <c r="B67" s="52" t="str">
        <f>Inicial!B61</f>
        <v>Procesos</v>
      </c>
      <c r="C67" s="52" t="str">
        <f>Inicial!C61</f>
        <v>Trozado L5</v>
      </c>
      <c r="D67" s="53" t="str">
        <f>Inicial!D61</f>
        <v>Traslado de Decomiso</v>
      </c>
      <c r="E67" s="51" t="str">
        <f>IF(Inicial!K61="SI",Inicial!E61,"N/A")</f>
        <v>N/A</v>
      </c>
      <c r="F67" s="52" t="str">
        <f>IF(Inicial!K61="SI",Inicial!F61,"N/A")</f>
        <v>N/A</v>
      </c>
      <c r="G67" s="52" t="str">
        <f>IF(Inicial!K61="SI",Inicial!G61,"N/A")</f>
        <v>N/A</v>
      </c>
      <c r="H67" s="52" t="str">
        <f>IF(Inicial!K61="SI",Inicial!H61,"N/A")</f>
        <v>N/A</v>
      </c>
      <c r="I67" s="54" t="str">
        <f>IF(Inicial!K61="SI",Inicial!I61,"N/A")</f>
        <v>N/A</v>
      </c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9" t="str">
        <f t="shared" si="1"/>
        <v>Aceptable</v>
      </c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5" t="str" cm="1">
        <f t="array" ref="AV67">IF(OR(AE67:AU67="SI"),"Critico","No critico")</f>
        <v>No critico</v>
      </c>
    </row>
    <row r="68" spans="1:48" ht="27.6">
      <c r="A68" s="51">
        <f>Inicial!A62</f>
        <v>60</v>
      </c>
      <c r="B68" s="52" t="str">
        <f>Inicial!B62</f>
        <v>Procesos</v>
      </c>
      <c r="C68" s="52" t="str">
        <f>Inicial!C62</f>
        <v>Trozado L5</v>
      </c>
      <c r="D68" s="53" t="str">
        <f>Inicial!D62</f>
        <v>Selección centro ala</v>
      </c>
      <c r="E68" s="51" t="str">
        <f>IF(Inicial!K62="SI",Inicial!E62,"N/A")</f>
        <v>N/A</v>
      </c>
      <c r="F68" s="52" t="str">
        <f>IF(Inicial!K62="SI",Inicial!F62,"N/A")</f>
        <v>N/A</v>
      </c>
      <c r="G68" s="52" t="str">
        <f>IF(Inicial!K62="SI",Inicial!G62,"N/A")</f>
        <v>N/A</v>
      </c>
      <c r="H68" s="52" t="str">
        <f>IF(Inicial!K62="SI",Inicial!H62,"N/A")</f>
        <v>N/A</v>
      </c>
      <c r="I68" s="54" t="str">
        <f>IF(Inicial!K62="SI",Inicial!I62,"N/A")</f>
        <v>N/A</v>
      </c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9" t="str">
        <f t="shared" si="1"/>
        <v>Aceptable</v>
      </c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5" t="str" cm="1">
        <f t="array" ref="AV68">IF(OR(AE68:AU68="SI"),"Critico","No critico")</f>
        <v>No critico</v>
      </c>
    </row>
    <row r="69" spans="1:48" hidden="1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54" t="e">
        <f>IF(Inicial!#REF!="SI",Inicial!#REF!,"N/A")</f>
        <v>#REF!</v>
      </c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9" t="str">
        <f t="shared" si="1"/>
        <v>Aceptable</v>
      </c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5" t="str" cm="1">
        <f t="array" ref="AV69">IF(OR(AE69:AU69="SI"),"Critico","No critico")</f>
        <v>No critico</v>
      </c>
    </row>
    <row r="70" spans="1:48" hidden="1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54" t="e">
        <f>IF(Inicial!#REF!="SI",Inicial!#REF!,"N/A")</f>
        <v>#REF!</v>
      </c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9" t="str">
        <f t="shared" si="1"/>
        <v>Aceptable</v>
      </c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5" t="str" cm="1">
        <f t="array" ref="AV70">IF(OR(AE70:AU70="SI"),"Critico","No critico")</f>
        <v>No critico</v>
      </c>
    </row>
    <row r="71" spans="1:48" hidden="1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54" t="e">
        <f>IF(Inicial!#REF!="SI",Inicial!#REF!,"N/A")</f>
        <v>#REF!</v>
      </c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9" t="str">
        <f t="shared" si="1"/>
        <v>Aceptable</v>
      </c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5" t="str" cm="1">
        <f t="array" ref="AV71">IF(OR(AE71:AU71="SI"),"Critico","No critico")</f>
        <v>No critico</v>
      </c>
    </row>
    <row r="72" spans="1:48" hidden="1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54" t="e">
        <f>IF(Inicial!#REF!="SI",Inicial!#REF!,"N/A")</f>
        <v>#REF!</v>
      </c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9" t="str">
        <f t="shared" si="1"/>
        <v>Aceptable</v>
      </c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5" t="str" cm="1">
        <f t="array" ref="AV72">IF(OR(AE72:AU72="SI"),"Critico","No critico")</f>
        <v>No critico</v>
      </c>
    </row>
    <row r="73" spans="1:48" hidden="1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54" t="e">
        <f>IF(Inicial!#REF!="SI",Inicial!#REF!,"N/A")</f>
        <v>#REF!</v>
      </c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9" t="str">
        <f t="shared" si="1"/>
        <v>Aceptable</v>
      </c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5" t="str" cm="1">
        <f t="array" ref="AV73">IF(OR(AE73:AU73="SI"),"Critico","No critico")</f>
        <v>No critico</v>
      </c>
    </row>
    <row r="74" spans="1:48" hidden="1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54" t="e">
        <f>IF(Inicial!#REF!="SI",Inicial!#REF!,"N/A")</f>
        <v>#REF!</v>
      </c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9" t="str">
        <f t="shared" si="1"/>
        <v>Aceptable</v>
      </c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5" t="str" cm="1">
        <f t="array" ref="AV74">IF(OR(AE74:AU74="SI"),"Critico","No critico")</f>
        <v>No critico</v>
      </c>
    </row>
    <row r="75" spans="1:48" hidden="1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54" t="e">
        <f>IF(Inicial!#REF!="SI",Inicial!#REF!,"N/A")</f>
        <v>#REF!</v>
      </c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9" t="str">
        <f t="shared" si="1"/>
        <v>Aceptable</v>
      </c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5" t="str" cm="1">
        <f t="array" ref="AV75">IF(OR(AE75:AU75="SI"),"Critico","No critico")</f>
        <v>No critico</v>
      </c>
    </row>
    <row r="76" spans="1:48" hidden="1">
      <c r="A76" s="51" t="e">
        <f>Inicial!#REF!</f>
        <v>#REF!</v>
      </c>
      <c r="B76" s="52" t="e">
        <f>Inicial!#REF!</f>
        <v>#REF!</v>
      </c>
      <c r="C76" s="52" t="e">
        <f>Inicial!#REF!</f>
        <v>#REF!</v>
      </c>
      <c r="D76" s="53" t="e">
        <f>Inicial!#REF!</f>
        <v>#REF!</v>
      </c>
      <c r="E76" s="51" t="e">
        <f>IF(Inicial!#REF!="SI",Inicial!#REF!,"N/A")</f>
        <v>#REF!</v>
      </c>
      <c r="F76" s="52" t="e">
        <f>IF(Inicial!#REF!="SI",Inicial!#REF!,"N/A")</f>
        <v>#REF!</v>
      </c>
      <c r="G76" s="52" t="e">
        <f>IF(Inicial!#REF!="SI",Inicial!#REF!,"N/A")</f>
        <v>#REF!</v>
      </c>
      <c r="H76" s="52" t="e">
        <f>IF(Inicial!#REF!="SI",Inicial!#REF!,"N/A")</f>
        <v>#REF!</v>
      </c>
      <c r="I76" s="54" t="e">
        <f>IF(Inicial!#REF!="SI",Inicial!#REF!,"N/A")</f>
        <v>#REF!</v>
      </c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9" t="str">
        <f t="shared" si="1"/>
        <v>Aceptable</v>
      </c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5" t="str" cm="1">
        <f t="array" ref="AV76">IF(OR(AE76:AU76="SI"),"Critico","No critico")</f>
        <v>No critico</v>
      </c>
    </row>
    <row r="77" spans="1:48" hidden="1">
      <c r="A77" s="51" t="e">
        <f>Inicial!#REF!</f>
        <v>#REF!</v>
      </c>
      <c r="B77" s="52" t="e">
        <f>Inicial!#REF!</f>
        <v>#REF!</v>
      </c>
      <c r="C77" s="52" t="e">
        <f>Inicial!#REF!</f>
        <v>#REF!</v>
      </c>
      <c r="D77" s="53" t="e">
        <f>Inicial!#REF!</f>
        <v>#REF!</v>
      </c>
      <c r="E77" s="51" t="e">
        <f>IF(Inicial!#REF!="SI",Inicial!#REF!,"N/A")</f>
        <v>#REF!</v>
      </c>
      <c r="F77" s="52" t="e">
        <f>IF(Inicial!#REF!="SI",Inicial!#REF!,"N/A")</f>
        <v>#REF!</v>
      </c>
      <c r="G77" s="52" t="e">
        <f>IF(Inicial!#REF!="SI",Inicial!#REF!,"N/A")</f>
        <v>#REF!</v>
      </c>
      <c r="H77" s="52" t="e">
        <f>IF(Inicial!#REF!="SI",Inicial!#REF!,"N/A")</f>
        <v>#REF!</v>
      </c>
      <c r="I77" s="54" t="e">
        <f>IF(Inicial!#REF!="SI",Inicial!#REF!,"N/A")</f>
        <v>#REF!</v>
      </c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9" t="str">
        <f t="shared" si="1"/>
        <v>Aceptable</v>
      </c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5" t="str" cm="1">
        <f t="array" ref="AV77">IF(OR(AE77:AU77="SI"),"Critico","No critico")</f>
        <v>No critico</v>
      </c>
    </row>
    <row r="78" spans="1:48" hidden="1">
      <c r="A78" s="51" t="e">
        <f>Inicial!#REF!</f>
        <v>#REF!</v>
      </c>
      <c r="B78" s="52" t="e">
        <f>Inicial!#REF!</f>
        <v>#REF!</v>
      </c>
      <c r="C78" s="52" t="e">
        <f>Inicial!#REF!</f>
        <v>#REF!</v>
      </c>
      <c r="D78" s="53" t="e">
        <f>Inicial!#REF!</f>
        <v>#REF!</v>
      </c>
      <c r="E78" s="51" t="e">
        <f>IF(Inicial!#REF!="SI",Inicial!#REF!,"N/A")</f>
        <v>#REF!</v>
      </c>
      <c r="F78" s="52" t="e">
        <f>IF(Inicial!#REF!="SI",Inicial!#REF!,"N/A")</f>
        <v>#REF!</v>
      </c>
      <c r="G78" s="52" t="e">
        <f>IF(Inicial!#REF!="SI",Inicial!#REF!,"N/A")</f>
        <v>#REF!</v>
      </c>
      <c r="H78" s="52" t="e">
        <f>IF(Inicial!#REF!="SI",Inicial!#REF!,"N/A")</f>
        <v>#REF!</v>
      </c>
      <c r="I78" s="54" t="e">
        <f>IF(Inicial!#REF!="SI",Inicial!#REF!,"N/A")</f>
        <v>#REF!</v>
      </c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9" t="str">
        <f t="shared" si="1"/>
        <v>Aceptable</v>
      </c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5" t="str" cm="1">
        <f t="array" ref="AV78">IF(OR(AE78:AU78="SI"),"Critico","No critico")</f>
        <v>No critico</v>
      </c>
    </row>
    <row r="79" spans="1:48" ht="27.6">
      <c r="A79" s="51">
        <f>Inicial!A63</f>
        <v>61</v>
      </c>
      <c r="B79" s="52" t="str">
        <f>Inicial!B63</f>
        <v>Procesos</v>
      </c>
      <c r="C79" s="52" t="str">
        <f>Inicial!C63</f>
        <v>Trozado L5</v>
      </c>
      <c r="D79" s="53" t="str">
        <f>Inicial!D63</f>
        <v xml:space="preserve">Selección trutro ala </v>
      </c>
      <c r="E79" s="51" t="str">
        <f>IF(Inicial!K63="SI",Inicial!E63,"N/A")</f>
        <v>N/A</v>
      </c>
      <c r="F79" s="52" t="str">
        <f>IF(Inicial!K63="SI",Inicial!F63,"N/A")</f>
        <v>N/A</v>
      </c>
      <c r="G79" s="52" t="str">
        <f>IF(Inicial!K63="SI",Inicial!G63,"N/A")</f>
        <v>N/A</v>
      </c>
      <c r="H79" s="52" t="str">
        <f>IF(Inicial!K63="SI",Inicial!H63,"N/A")</f>
        <v>N/A</v>
      </c>
      <c r="I79" s="54" t="str">
        <f>IF(Inicial!K63="SI",Inicial!I63,"N/A")</f>
        <v>N/A</v>
      </c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9" t="str">
        <f t="shared" si="1"/>
        <v>Aceptable</v>
      </c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5" t="str" cm="1">
        <f t="array" ref="AV79">IF(OR(AE79:AU79="SI"),"Critico","No critico")</f>
        <v>No critico</v>
      </c>
    </row>
    <row r="80" spans="1:48" ht="27.6" hidden="1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54" t="e">
        <f>IF(Inicial!#REF!="SI",Inicial!#REF!,"N/A")</f>
        <v>#REF!</v>
      </c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9" t="str">
        <f t="shared" si="1"/>
        <v>Aceptable</v>
      </c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5" t="str" cm="1">
        <f t="array" ref="AV80">IF(OR(AE80:AU80="SI"),"Critico","No critico")</f>
        <v>No critico</v>
      </c>
    </row>
    <row r="81" spans="1:48">
      <c r="A81" s="51">
        <f>Inicial!A64</f>
        <v>62</v>
      </c>
      <c r="B81" s="52" t="str">
        <f>Inicial!B64</f>
        <v>Procesos</v>
      </c>
      <c r="C81" s="52" t="str">
        <f>Inicial!C64</f>
        <v>Trozado L5</v>
      </c>
      <c r="D81" s="53" t="str">
        <f>Inicial!D64</f>
        <v>Mezclas</v>
      </c>
      <c r="E81" s="51" t="str">
        <f>IF(Inicial!K64="SI",Inicial!E64,"N/A")</f>
        <v>N/A</v>
      </c>
      <c r="F81" s="52" t="str">
        <f>IF(Inicial!K64="SI",Inicial!F64,"N/A")</f>
        <v>N/A</v>
      </c>
      <c r="G81" s="52" t="str">
        <f>IF(Inicial!K64="SI",Inicial!G64,"N/A")</f>
        <v>N/A</v>
      </c>
      <c r="H81" s="52" t="str">
        <f>IF(Inicial!K64="SI",Inicial!H64,"N/A")</f>
        <v>N/A</v>
      </c>
      <c r="I81" s="54" t="str">
        <f>IF(Inicial!K64="SI",Inicial!I64,"N/A")</f>
        <v>N/A</v>
      </c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9" t="str">
        <f t="shared" si="1"/>
        <v>Aceptable</v>
      </c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5" t="str" cm="1">
        <f t="array" ref="AV81">IF(OR(AE81:AU81="SI"),"Critico","No critico")</f>
        <v>No critico</v>
      </c>
    </row>
    <row r="82" spans="1:48" hidden="1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54" t="e">
        <f>IF(Inicial!#REF!="SI",Inicial!#REF!,"N/A")</f>
        <v>#REF!</v>
      </c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9" t="str">
        <f t="shared" si="1"/>
        <v>Aceptable</v>
      </c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5" t="str" cm="1">
        <f t="array" ref="AV82">IF(OR(AE82:AU82="SI"),"Critico","No critico")</f>
        <v>No critico</v>
      </c>
    </row>
    <row r="83" spans="1:48" hidden="1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54" t="e">
        <f>IF(Inicial!#REF!="SI",Inicial!#REF!,"N/A")</f>
        <v>#REF!</v>
      </c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9" t="str">
        <f t="shared" si="1"/>
        <v>Aceptable</v>
      </c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5" t="str" cm="1">
        <f t="array" ref="AV83">IF(OR(AE83:AU83="SI"),"Critico","No critico")</f>
        <v>No critico</v>
      </c>
    </row>
    <row r="84" spans="1:48" hidden="1">
      <c r="A84" s="51" t="e">
        <f>Inicial!#REF!</f>
        <v>#REF!</v>
      </c>
      <c r="B84" s="52" t="e">
        <f>Inicial!#REF!</f>
        <v>#REF!</v>
      </c>
      <c r="C84" s="52" t="e">
        <f>Inicial!#REF!</f>
        <v>#REF!</v>
      </c>
      <c r="D84" s="53" t="e">
        <f>Inicial!#REF!</f>
        <v>#REF!</v>
      </c>
      <c r="E84" s="51" t="e">
        <f>IF(Inicial!#REF!="SI",Inicial!#REF!,"N/A")</f>
        <v>#REF!</v>
      </c>
      <c r="F84" s="52" t="e">
        <f>IF(Inicial!#REF!="SI",Inicial!#REF!,"N/A")</f>
        <v>#REF!</v>
      </c>
      <c r="G84" s="52" t="e">
        <f>IF(Inicial!#REF!="SI",Inicial!#REF!,"N/A")</f>
        <v>#REF!</v>
      </c>
      <c r="H84" s="52" t="e">
        <f>IF(Inicial!#REF!="SI",Inicial!#REF!,"N/A")</f>
        <v>#REF!</v>
      </c>
      <c r="I84" s="54" t="e">
        <f>IF(Inicial!#REF!="SI",Inicial!#REF!,"N/A")</f>
        <v>#REF!</v>
      </c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9" t="str">
        <f t="shared" si="1"/>
        <v>Aceptable</v>
      </c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5" t="str" cm="1">
        <f t="array" ref="AV84">IF(OR(AE84:AU84="SI"),"Critico","No critico")</f>
        <v>No critico</v>
      </c>
    </row>
    <row r="85" spans="1:48" hidden="1">
      <c r="A85" s="51" t="e">
        <f>Inicial!#REF!</f>
        <v>#REF!</v>
      </c>
      <c r="B85" s="52" t="e">
        <f>Inicial!#REF!</f>
        <v>#REF!</v>
      </c>
      <c r="C85" s="52" t="e">
        <f>Inicial!#REF!</f>
        <v>#REF!</v>
      </c>
      <c r="D85" s="53" t="e">
        <f>Inicial!#REF!</f>
        <v>#REF!</v>
      </c>
      <c r="E85" s="51" t="e">
        <f>IF(Inicial!#REF!="SI",Inicial!#REF!,"N/A")</f>
        <v>#REF!</v>
      </c>
      <c r="F85" s="52" t="e">
        <f>IF(Inicial!#REF!="SI",Inicial!#REF!,"N/A")</f>
        <v>#REF!</v>
      </c>
      <c r="G85" s="52" t="e">
        <f>IF(Inicial!#REF!="SI",Inicial!#REF!,"N/A")</f>
        <v>#REF!</v>
      </c>
      <c r="H85" s="52" t="e">
        <f>IF(Inicial!#REF!="SI",Inicial!#REF!,"N/A")</f>
        <v>#REF!</v>
      </c>
      <c r="I85" s="54" t="e">
        <f>IF(Inicial!#REF!="SI",Inicial!#REF!,"N/A")</f>
        <v>#REF!</v>
      </c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9" t="str">
        <f t="shared" si="1"/>
        <v>Aceptable</v>
      </c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5" t="str" cm="1">
        <f t="array" ref="AV85">IF(OR(AE85:AU85="SI"),"Critico","No critico")</f>
        <v>No critico</v>
      </c>
    </row>
    <row r="86" spans="1:48" ht="21.6" hidden="1" customHeight="1">
      <c r="A86" s="51" t="e">
        <f>Inicial!#REF!</f>
        <v>#REF!</v>
      </c>
      <c r="B86" s="52" t="e">
        <f>Inicial!#REF!</f>
        <v>#REF!</v>
      </c>
      <c r="C86" s="52" t="e">
        <f>Inicial!#REF!</f>
        <v>#REF!</v>
      </c>
      <c r="D86" s="53" t="e">
        <f>Inicial!#REF!</f>
        <v>#REF!</v>
      </c>
      <c r="E86" s="51" t="e">
        <f>IF(Inicial!#REF!="SI",Inicial!#REF!,"N/A")</f>
        <v>#REF!</v>
      </c>
      <c r="F86" s="52" t="e">
        <f>IF(Inicial!#REF!="SI",Inicial!#REF!,"N/A")</f>
        <v>#REF!</v>
      </c>
      <c r="G86" s="52" t="e">
        <f>IF(Inicial!#REF!="SI",Inicial!#REF!,"N/A")</f>
        <v>#REF!</v>
      </c>
      <c r="H86" s="52" t="e">
        <f>IF(Inicial!#REF!="SI",Inicial!#REF!,"N/A")</f>
        <v>#REF!</v>
      </c>
      <c r="I86" s="54" t="e">
        <f>IF(Inicial!#REF!="SI",Inicial!#REF!,"N/A")</f>
        <v>#REF!</v>
      </c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9" t="str">
        <f t="shared" si="1"/>
        <v>Aceptable</v>
      </c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5" t="str" cm="1">
        <f t="array" ref="AV86">IF(OR(AE86:AU86="SI"),"Critico","No critico")</f>
        <v>No critico</v>
      </c>
    </row>
    <row r="87" spans="1:48" ht="27.6" hidden="1">
      <c r="A87" s="51">
        <f>Inicial!A65</f>
        <v>63</v>
      </c>
      <c r="B87" s="52" t="str">
        <f>Inicial!B65</f>
        <v>Procesos</v>
      </c>
      <c r="C87" s="52" t="str">
        <f>Inicial!C65</f>
        <v>Paletizado Fresco</v>
      </c>
      <c r="D87" s="53" t="str">
        <f>Inicial!D65</f>
        <v>Embalaje de producto</v>
      </c>
      <c r="E87" s="51" t="str">
        <f>IF(Inicial!K65="SI",Inicial!E65,"N/A")</f>
        <v>N/A</v>
      </c>
      <c r="F87" s="52" t="str">
        <f>IF(Inicial!K65="SI",Inicial!F65,"N/A")</f>
        <v>N/A</v>
      </c>
      <c r="G87" s="52" t="str">
        <f>IF(Inicial!K65="SI",Inicial!G65,"N/A")</f>
        <v>N/A</v>
      </c>
      <c r="H87" s="52" t="str">
        <f>IF(Inicial!K65="SI",Inicial!H65,"N/A")</f>
        <v>N/A</v>
      </c>
      <c r="I87" s="54" t="str">
        <f>IF(Inicial!K65="SI",Inicial!I65,"N/A")</f>
        <v>N/A</v>
      </c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69" t="str">
        <f t="shared" si="1"/>
        <v>Aceptable</v>
      </c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5" t="str" cm="1">
        <f t="array" ref="AV87">IF(OR(AE87:AU87="SI"),"Critico","No critico")</f>
        <v>No critico</v>
      </c>
    </row>
    <row r="88" spans="1:48" ht="27.6" hidden="1">
      <c r="A88" s="51">
        <f>Inicial!A66</f>
        <v>64</v>
      </c>
      <c r="B88" s="52" t="str">
        <f>Inicial!B66</f>
        <v>Procesos</v>
      </c>
      <c r="C88" s="52" t="str">
        <f>Inicial!C66</f>
        <v>Deshuesado Trutro</v>
      </c>
      <c r="D88" s="53" t="str">
        <f>Inicial!D66</f>
        <v>Despieladora</v>
      </c>
      <c r="E88" s="51" t="str">
        <f>IF(Inicial!K66="SI",Inicial!E66,"N/A")</f>
        <v>N/A</v>
      </c>
      <c r="F88" s="52" t="str">
        <f>IF(Inicial!K66="SI",Inicial!F66,"N/A")</f>
        <v>N/A</v>
      </c>
      <c r="G88" s="52" t="str">
        <f>IF(Inicial!K66="SI",Inicial!G66,"N/A")</f>
        <v>N/A</v>
      </c>
      <c r="H88" s="52" t="str">
        <f>IF(Inicial!K66="SI",Inicial!H66,"N/A")</f>
        <v>N/A</v>
      </c>
      <c r="I88" s="54" t="str">
        <f>IF(Inicial!K66="SI",Inicial!I66,"N/A")</f>
        <v>N/A</v>
      </c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9" t="str">
        <f t="shared" si="1"/>
        <v>Aceptable</v>
      </c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5" t="str" cm="1">
        <f t="array" ref="AV88">IF(OR(AE88:AU88="SI"),"Critico","No critico")</f>
        <v>No critico</v>
      </c>
    </row>
    <row r="89" spans="1:48" ht="27.6" hidden="1">
      <c r="A89" s="51">
        <f>Inicial!A67</f>
        <v>65</v>
      </c>
      <c r="B89" s="52" t="str">
        <f>Inicial!B67</f>
        <v>Procesos</v>
      </c>
      <c r="C89" s="52" t="str">
        <f>Inicial!C67</f>
        <v>Deshuesado Trutro</v>
      </c>
      <c r="D89" s="53" t="str">
        <f>Inicial!D67</f>
        <v>Colgado Trutro</v>
      </c>
      <c r="E89" s="51">
        <f>IF(Inicial!K67="SI",Inicial!E67,"N/A")</f>
        <v>0</v>
      </c>
      <c r="F89" s="52" t="str">
        <f>IF(Inicial!K67="SI",Inicial!F67,"N/A")</f>
        <v>N/A</v>
      </c>
      <c r="G89" s="52">
        <f>IF(Inicial!K67="SI",Inicial!G67,"N/A")</f>
        <v>2</v>
      </c>
      <c r="H89" s="52">
        <f>IF(Inicial!K67="SI",Inicial!H67,"N/A")</f>
        <v>0</v>
      </c>
      <c r="I89" s="54">
        <f>IF(Inicial!K67="SI",Inicial!I67,"N/A")</f>
        <v>0</v>
      </c>
      <c r="J89" s="97" t="s">
        <v>115</v>
      </c>
      <c r="K89" s="64" t="s">
        <v>115</v>
      </c>
      <c r="L89" s="64" t="s">
        <v>64</v>
      </c>
      <c r="M89" s="64" t="s">
        <v>64</v>
      </c>
      <c r="N89" s="64" t="s">
        <v>64</v>
      </c>
      <c r="O89" s="64" t="s">
        <v>64</v>
      </c>
      <c r="P89" s="64" t="s">
        <v>64</v>
      </c>
      <c r="Q89" s="64" t="s">
        <v>380</v>
      </c>
      <c r="R89" s="64" t="s">
        <v>64</v>
      </c>
      <c r="S89" s="64" t="s">
        <v>64</v>
      </c>
      <c r="T89" s="64" t="s">
        <v>64</v>
      </c>
      <c r="U89" s="64" t="s">
        <v>64</v>
      </c>
      <c r="V89" s="64" t="s">
        <v>64</v>
      </c>
      <c r="W89" s="64" t="s">
        <v>64</v>
      </c>
      <c r="X89" s="64" t="s">
        <v>380</v>
      </c>
      <c r="Y89" s="64" t="s">
        <v>64</v>
      </c>
      <c r="Z89" s="64" t="s">
        <v>115</v>
      </c>
      <c r="AA89" s="64" t="s">
        <v>64</v>
      </c>
      <c r="AB89" s="64" t="s">
        <v>64</v>
      </c>
      <c r="AC89" s="64" t="s">
        <v>64</v>
      </c>
      <c r="AD89" s="69" t="str">
        <f t="shared" si="1"/>
        <v>No aceptable</v>
      </c>
      <c r="AE89" s="64" t="s">
        <v>115</v>
      </c>
      <c r="AF89" s="64" t="s">
        <v>115</v>
      </c>
      <c r="AG89" s="64" t="s">
        <v>115</v>
      </c>
      <c r="AH89" s="64" t="s">
        <v>115</v>
      </c>
      <c r="AI89" s="64" t="s">
        <v>115</v>
      </c>
      <c r="AJ89" s="64" t="s">
        <v>115</v>
      </c>
      <c r="AK89" s="64" t="s">
        <v>115</v>
      </c>
      <c r="AL89" s="64" t="s">
        <v>115</v>
      </c>
      <c r="AM89" s="64" t="s">
        <v>115</v>
      </c>
      <c r="AN89" s="64" t="s">
        <v>115</v>
      </c>
      <c r="AO89" s="64" t="s">
        <v>115</v>
      </c>
      <c r="AP89" s="64" t="s">
        <v>115</v>
      </c>
      <c r="AQ89" s="64" t="s">
        <v>115</v>
      </c>
      <c r="AR89" s="64" t="s">
        <v>115</v>
      </c>
      <c r="AS89" s="64" t="s">
        <v>115</v>
      </c>
      <c r="AT89" s="64" t="s">
        <v>115</v>
      </c>
      <c r="AU89" s="64" t="s">
        <v>115</v>
      </c>
      <c r="AV89" s="65" t="str" cm="1">
        <f t="array" ref="AV89">IF(OR(AE89:AU89="SI"),"Critico","No critico")</f>
        <v>No critico</v>
      </c>
    </row>
    <row r="90" spans="1:48" ht="27.6" hidden="1">
      <c r="A90" s="51">
        <f>Inicial!A68</f>
        <v>66</v>
      </c>
      <c r="B90" s="52" t="str">
        <f>Inicial!B68</f>
        <v>Procesos</v>
      </c>
      <c r="C90" s="52" t="str">
        <f>Inicial!C68</f>
        <v>Deshuesado Trutro</v>
      </c>
      <c r="D90" s="53" t="str">
        <f>Inicial!D68</f>
        <v>Prolijado</v>
      </c>
      <c r="E90" s="51" t="str">
        <f>IF(Inicial!K68="SI",Inicial!E68,"N/A")</f>
        <v>N/A</v>
      </c>
      <c r="F90" s="52" t="str">
        <f>IF(Inicial!K68="SI",Inicial!F68,"N/A")</f>
        <v>N/A</v>
      </c>
      <c r="G90" s="52" t="str">
        <f>IF(Inicial!K68="SI",Inicial!G68,"N/A")</f>
        <v>N/A</v>
      </c>
      <c r="H90" s="52" t="str">
        <f>IF(Inicial!K68="SI",Inicial!H68,"N/A")</f>
        <v>N/A</v>
      </c>
      <c r="I90" s="54" t="str">
        <f>IF(Inicial!K68="SI",Inicial!I68,"N/A")</f>
        <v>N/A</v>
      </c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9" t="str">
        <f t="shared" si="1"/>
        <v>Aceptable</v>
      </c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5" t="str" cm="1">
        <f t="array" ref="AV90">IF(OR(AE90:AU90="SI"),"Critico","No critico")</f>
        <v>No critico</v>
      </c>
    </row>
    <row r="91" spans="1:48">
      <c r="A91" s="51"/>
      <c r="B91" s="52"/>
      <c r="C91" s="52"/>
      <c r="D91" s="53"/>
      <c r="E91" s="51"/>
      <c r="F91" s="52"/>
      <c r="G91" s="52"/>
      <c r="H91" s="52"/>
      <c r="I91" s="5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</row>
    <row r="92" spans="1:48">
      <c r="A92" s="51"/>
      <c r="B92" s="52"/>
      <c r="C92" s="52"/>
      <c r="D92" s="53"/>
      <c r="E92" s="51"/>
      <c r="F92" s="52"/>
      <c r="G92" s="52"/>
      <c r="H92" s="52"/>
      <c r="I92" s="5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</row>
    <row r="93" spans="1:48">
      <c r="A93" s="51"/>
      <c r="B93" s="52"/>
      <c r="C93" s="52"/>
      <c r="D93" s="53"/>
      <c r="E93" s="51"/>
      <c r="F93" s="52"/>
      <c r="G93" s="52"/>
      <c r="H93" s="52"/>
      <c r="I93" s="5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</row>
    <row r="94" spans="1:48">
      <c r="A94" s="51"/>
      <c r="B94" s="52"/>
      <c r="C94" s="52"/>
      <c r="D94" s="53"/>
      <c r="E94" s="51"/>
      <c r="F94" s="52"/>
      <c r="G94" s="52"/>
      <c r="H94" s="52"/>
      <c r="I94" s="5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</row>
    <row r="95" spans="1:48">
      <c r="A95" s="51"/>
      <c r="B95" s="52"/>
      <c r="C95" s="52"/>
      <c r="D95" s="53"/>
      <c r="E95" s="51"/>
      <c r="F95" s="52"/>
      <c r="G95" s="52"/>
      <c r="H95" s="52"/>
      <c r="I95" s="5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</row>
    <row r="96" spans="1:48">
      <c r="A96" s="51"/>
      <c r="B96" s="52"/>
      <c r="C96" s="52"/>
      <c r="D96" s="53"/>
      <c r="E96" s="51"/>
      <c r="F96" s="52"/>
      <c r="G96" s="52"/>
      <c r="H96" s="52"/>
      <c r="I96" s="5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  <c r="AC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</row>
    <row r="97" spans="1:47">
      <c r="A97" s="51"/>
      <c r="B97" s="52"/>
      <c r="C97" s="52"/>
      <c r="D97" s="53"/>
      <c r="E97" s="51"/>
      <c r="F97" s="52"/>
      <c r="G97" s="52"/>
      <c r="H97" s="52"/>
      <c r="I97" s="5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</row>
    <row r="98" spans="1:47">
      <c r="A98" s="51"/>
      <c r="B98" s="52"/>
      <c r="C98" s="52"/>
      <c r="D98" s="53"/>
      <c r="E98" s="51"/>
      <c r="F98" s="52"/>
      <c r="G98" s="52"/>
      <c r="H98" s="52"/>
      <c r="I98" s="5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</row>
    <row r="99" spans="1:47">
      <c r="A99" s="51"/>
      <c r="B99" s="52"/>
      <c r="C99" s="52"/>
      <c r="D99" s="53"/>
      <c r="E99" s="51"/>
      <c r="F99" s="52"/>
      <c r="G99" s="52"/>
      <c r="H99" s="52"/>
      <c r="I99" s="5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</row>
    <row r="100" spans="1:47">
      <c r="A100" s="51"/>
      <c r="B100" s="52"/>
      <c r="C100" s="52"/>
      <c r="D100" s="53"/>
      <c r="E100" s="51"/>
      <c r="F100" s="52"/>
      <c r="G100" s="52"/>
      <c r="H100" s="52"/>
      <c r="I100" s="5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</row>
    <row r="101" spans="1:47">
      <c r="A101" s="51"/>
      <c r="B101" s="52"/>
      <c r="C101" s="52"/>
      <c r="D101" s="53"/>
      <c r="E101" s="51"/>
      <c r="F101" s="52"/>
      <c r="G101" s="52"/>
      <c r="H101" s="52"/>
      <c r="I101" s="5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</row>
    <row r="102" spans="1:47">
      <c r="A102" s="51"/>
      <c r="B102" s="52"/>
      <c r="C102" s="52"/>
      <c r="D102" s="53"/>
      <c r="E102" s="51"/>
      <c r="F102" s="52"/>
      <c r="G102" s="52"/>
      <c r="H102" s="52"/>
      <c r="I102" s="5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</row>
    <row r="103" spans="1:47">
      <c r="A103" s="51"/>
      <c r="B103" s="52"/>
      <c r="C103" s="52"/>
      <c r="D103" s="53"/>
      <c r="E103" s="51"/>
      <c r="F103" s="52"/>
      <c r="G103" s="52"/>
      <c r="H103" s="52"/>
      <c r="I103" s="5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</row>
    <row r="104" spans="1:47">
      <c r="A104" s="51"/>
      <c r="B104" s="52"/>
      <c r="C104" s="52"/>
      <c r="D104" s="53"/>
      <c r="E104" s="51"/>
      <c r="F104" s="52"/>
      <c r="G104" s="52"/>
      <c r="H104" s="52"/>
      <c r="I104" s="5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</row>
    <row r="105" spans="1:47">
      <c r="A105" s="51"/>
      <c r="B105" s="52"/>
      <c r="C105" s="52"/>
      <c r="D105" s="53"/>
      <c r="E105" s="51"/>
      <c r="F105" s="52"/>
      <c r="G105" s="52"/>
      <c r="H105" s="52"/>
      <c r="I105" s="5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  <c r="AC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</row>
    <row r="106" spans="1:47">
      <c r="A106" s="51"/>
      <c r="B106" s="52"/>
      <c r="C106" s="52"/>
      <c r="D106" s="53"/>
      <c r="E106" s="51"/>
      <c r="F106" s="52"/>
      <c r="G106" s="52"/>
      <c r="H106" s="52"/>
      <c r="I106" s="5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</row>
    <row r="107" spans="1:47">
      <c r="A107" s="51"/>
      <c r="B107" s="52"/>
      <c r="C107" s="52"/>
      <c r="D107" s="53"/>
      <c r="E107" s="51"/>
      <c r="F107" s="52"/>
      <c r="G107" s="52"/>
      <c r="H107" s="52"/>
      <c r="I107" s="5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  <c r="AC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</row>
    <row r="108" spans="1:47">
      <c r="A108" s="51"/>
      <c r="B108" s="52"/>
      <c r="C108" s="52"/>
      <c r="D108" s="53"/>
      <c r="E108" s="51"/>
      <c r="F108" s="52"/>
      <c r="G108" s="52"/>
      <c r="H108" s="52"/>
      <c r="I108" s="5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  <c r="AC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</row>
    <row r="109" spans="1:47">
      <c r="A109" s="51"/>
      <c r="B109" s="52"/>
      <c r="C109" s="52"/>
      <c r="D109" s="53"/>
      <c r="E109" s="51"/>
      <c r="F109" s="52"/>
      <c r="G109" s="52"/>
      <c r="H109" s="52"/>
      <c r="I109" s="5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</row>
    <row r="110" spans="1:47">
      <c r="A110" s="51"/>
      <c r="B110" s="52"/>
      <c r="C110" s="52"/>
      <c r="D110" s="53"/>
      <c r="E110" s="51"/>
      <c r="F110" s="52"/>
      <c r="G110" s="52"/>
      <c r="H110" s="52"/>
      <c r="I110" s="5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</row>
    <row r="111" spans="1:47">
      <c r="A111" s="51"/>
      <c r="B111" s="52"/>
      <c r="C111" s="52"/>
      <c r="D111" s="53"/>
      <c r="E111" s="51"/>
      <c r="F111" s="52"/>
      <c r="G111" s="52"/>
      <c r="H111" s="52"/>
      <c r="I111" s="5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  <c r="AC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</row>
    <row r="112" spans="1:47">
      <c r="A112" s="51"/>
      <c r="B112" s="52"/>
      <c r="C112" s="52"/>
      <c r="D112" s="53"/>
      <c r="E112" s="51"/>
      <c r="F112" s="52"/>
      <c r="G112" s="52"/>
      <c r="H112" s="52"/>
      <c r="I112" s="5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</row>
    <row r="113" spans="1:47">
      <c r="A113" s="51"/>
      <c r="B113" s="52"/>
      <c r="C113" s="52"/>
      <c r="D113" s="53"/>
      <c r="E113" s="51"/>
      <c r="F113" s="52"/>
      <c r="G113" s="52"/>
      <c r="H113" s="52"/>
      <c r="I113" s="5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</row>
    <row r="114" spans="1:47">
      <c r="A114" s="51"/>
      <c r="B114" s="52"/>
      <c r="C114" s="52"/>
      <c r="D114" s="53"/>
      <c r="E114" s="51"/>
      <c r="F114" s="52"/>
      <c r="G114" s="52"/>
      <c r="H114" s="52"/>
      <c r="I114" s="5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  <c r="AC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</row>
    <row r="115" spans="1:47">
      <c r="A115" s="51"/>
      <c r="B115" s="52"/>
      <c r="C115" s="52"/>
      <c r="D115" s="53"/>
      <c r="E115" s="51"/>
      <c r="F115" s="52"/>
      <c r="G115" s="52"/>
      <c r="H115" s="52"/>
      <c r="I115" s="5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  <c r="AC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</row>
    <row r="116" spans="1:47">
      <c r="A116" s="51"/>
      <c r="B116" s="52"/>
      <c r="C116" s="52"/>
      <c r="D116" s="53"/>
      <c r="E116" s="51"/>
      <c r="F116" s="52"/>
      <c r="G116" s="52"/>
      <c r="H116" s="52"/>
      <c r="I116" s="5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</row>
    <row r="117" spans="1:47">
      <c r="A117" s="51"/>
      <c r="B117" s="52"/>
      <c r="C117" s="52"/>
      <c r="D117" s="53"/>
      <c r="E117" s="51"/>
      <c r="F117" s="52"/>
      <c r="G117" s="52"/>
      <c r="H117" s="52"/>
      <c r="I117" s="5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</row>
    <row r="118" spans="1:47">
      <c r="A118" s="51"/>
      <c r="B118" s="52"/>
      <c r="C118" s="52"/>
      <c r="D118" s="53"/>
      <c r="E118" s="51"/>
      <c r="F118" s="52"/>
      <c r="G118" s="52"/>
      <c r="H118" s="52"/>
      <c r="I118" s="5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</row>
    <row r="119" spans="1:47">
      <c r="A119" s="51"/>
      <c r="B119" s="52"/>
      <c r="C119" s="52"/>
      <c r="D119" s="53"/>
      <c r="E119" s="51"/>
      <c r="F119" s="52"/>
      <c r="G119" s="52"/>
      <c r="H119" s="52"/>
      <c r="I119" s="5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  <c r="AC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</row>
    <row r="120" spans="1:47">
      <c r="A120" s="51"/>
      <c r="B120" s="52"/>
      <c r="C120" s="52"/>
      <c r="D120" s="53"/>
      <c r="E120" s="51"/>
      <c r="F120" s="52"/>
      <c r="G120" s="52"/>
      <c r="H120" s="52"/>
      <c r="I120" s="5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</row>
    <row r="121" spans="1:47">
      <c r="A121" s="51"/>
      <c r="B121" s="52"/>
      <c r="C121" s="52"/>
      <c r="D121" s="53"/>
      <c r="E121" s="51"/>
      <c r="F121" s="52"/>
      <c r="G121" s="52"/>
      <c r="H121" s="52"/>
      <c r="I121" s="5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</row>
    <row r="122" spans="1:47">
      <c r="A122" s="51"/>
      <c r="B122" s="52"/>
      <c r="C122" s="52"/>
      <c r="D122" s="53"/>
      <c r="E122" s="51"/>
      <c r="F122" s="52"/>
      <c r="G122" s="52"/>
      <c r="H122" s="52"/>
      <c r="I122" s="5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</row>
    <row r="123" spans="1:47">
      <c r="A123" s="51"/>
      <c r="B123" s="52"/>
      <c r="C123" s="52"/>
      <c r="D123" s="53"/>
      <c r="E123" s="51"/>
      <c r="F123" s="52"/>
      <c r="G123" s="52"/>
      <c r="H123" s="52"/>
      <c r="I123" s="5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</row>
    <row r="124" spans="1:47">
      <c r="A124" s="51"/>
      <c r="B124" s="52"/>
      <c r="C124" s="52"/>
      <c r="D124" s="53"/>
      <c r="E124" s="51"/>
      <c r="F124" s="52"/>
      <c r="G124" s="52"/>
      <c r="H124" s="52"/>
      <c r="I124" s="5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  <c r="AC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</row>
    <row r="125" spans="1:47">
      <c r="A125" s="51"/>
      <c r="B125" s="52"/>
      <c r="C125" s="52"/>
      <c r="D125" s="53"/>
      <c r="E125" s="51"/>
      <c r="F125" s="52"/>
      <c r="G125" s="52"/>
      <c r="H125" s="52"/>
      <c r="I125" s="5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  <c r="AC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</row>
    <row r="126" spans="1:47">
      <c r="A126" s="51"/>
      <c r="B126" s="52"/>
      <c r="C126" s="52"/>
      <c r="D126" s="53"/>
      <c r="E126" s="51"/>
      <c r="F126" s="52"/>
      <c r="G126" s="52"/>
      <c r="H126" s="52"/>
      <c r="I126" s="5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  <c r="AC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</row>
    <row r="127" spans="1:47">
      <c r="A127" s="51"/>
      <c r="B127" s="52"/>
      <c r="C127" s="52"/>
      <c r="D127" s="53"/>
      <c r="E127" s="51"/>
      <c r="F127" s="52"/>
      <c r="G127" s="52"/>
      <c r="H127" s="52"/>
      <c r="I127" s="5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</row>
    <row r="128" spans="1:47">
      <c r="A128" s="51"/>
      <c r="B128" s="52"/>
      <c r="C128" s="52"/>
      <c r="D128" s="53"/>
      <c r="E128" s="51"/>
      <c r="F128" s="52"/>
      <c r="G128" s="52"/>
      <c r="H128" s="52"/>
      <c r="I128" s="5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</row>
    <row r="129" spans="1:47">
      <c r="A129" s="51"/>
      <c r="B129" s="52"/>
      <c r="C129" s="52"/>
      <c r="D129" s="53"/>
      <c r="E129" s="51"/>
      <c r="F129" s="52"/>
      <c r="G129" s="52"/>
      <c r="H129" s="52"/>
      <c r="I129" s="5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</row>
    <row r="130" spans="1:47">
      <c r="A130" s="51"/>
      <c r="B130" s="52"/>
      <c r="C130" s="52"/>
      <c r="D130" s="53"/>
      <c r="E130" s="51"/>
      <c r="F130" s="52"/>
      <c r="G130" s="52"/>
      <c r="H130" s="52"/>
      <c r="I130" s="5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  <c r="AC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</row>
    <row r="131" spans="1:47">
      <c r="A131" s="51"/>
      <c r="B131" s="52"/>
      <c r="C131" s="52"/>
      <c r="D131" s="53"/>
      <c r="E131" s="51"/>
      <c r="F131" s="52"/>
      <c r="G131" s="52"/>
      <c r="H131" s="52"/>
      <c r="I131" s="5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  <c r="AC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</row>
    <row r="132" spans="1:47">
      <c r="A132" s="51"/>
      <c r="B132" s="52"/>
      <c r="C132" s="52"/>
      <c r="D132" s="53"/>
      <c r="E132" s="51"/>
      <c r="F132" s="52"/>
      <c r="G132" s="52"/>
      <c r="H132" s="52"/>
      <c r="I132" s="5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</row>
    <row r="133" spans="1:47">
      <c r="A133" s="51"/>
      <c r="B133" s="52"/>
      <c r="C133" s="52"/>
      <c r="D133" s="53"/>
      <c r="E133" s="51"/>
      <c r="F133" s="52"/>
      <c r="G133" s="52"/>
      <c r="H133" s="52"/>
      <c r="I133" s="5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</row>
    <row r="134" spans="1:47">
      <c r="A134" s="51"/>
      <c r="B134" s="52"/>
      <c r="C134" s="52"/>
      <c r="D134" s="53"/>
      <c r="E134" s="51"/>
      <c r="F134" s="52"/>
      <c r="G134" s="52"/>
      <c r="H134" s="52"/>
      <c r="I134" s="5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</row>
    <row r="135" spans="1:47">
      <c r="A135" s="51"/>
      <c r="B135" s="52"/>
      <c r="C135" s="52"/>
      <c r="D135" s="53"/>
      <c r="E135" s="51"/>
      <c r="F135" s="52"/>
      <c r="G135" s="52"/>
      <c r="H135" s="52"/>
      <c r="I135" s="5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</row>
    <row r="136" spans="1:47">
      <c r="A136" s="51"/>
      <c r="B136" s="52"/>
      <c r="C136" s="52"/>
      <c r="D136" s="53"/>
      <c r="E136" s="51"/>
      <c r="F136" s="52"/>
      <c r="G136" s="52"/>
      <c r="H136" s="52"/>
      <c r="I136" s="5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</row>
    <row r="137" spans="1:47">
      <c r="A137" s="51"/>
      <c r="B137" s="52"/>
      <c r="C137" s="52"/>
      <c r="D137" s="53"/>
      <c r="E137" s="51"/>
      <c r="F137" s="52"/>
      <c r="G137" s="52"/>
      <c r="H137" s="52"/>
      <c r="I137" s="5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</row>
    <row r="138" spans="1:47">
      <c r="A138" s="51"/>
      <c r="B138" s="52"/>
      <c r="C138" s="52"/>
      <c r="D138" s="53"/>
      <c r="E138" s="51"/>
      <c r="F138" s="52"/>
      <c r="G138" s="52"/>
      <c r="H138" s="52"/>
      <c r="I138" s="5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</row>
    <row r="139" spans="1:47">
      <c r="A139" s="51"/>
      <c r="B139" s="52"/>
      <c r="C139" s="52"/>
      <c r="D139" s="53"/>
      <c r="E139" s="51"/>
      <c r="F139" s="52"/>
      <c r="G139" s="52"/>
      <c r="H139" s="52"/>
      <c r="I139" s="5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</row>
    <row r="140" spans="1:47">
      <c r="A140" s="51"/>
      <c r="B140" s="52"/>
      <c r="C140" s="52"/>
      <c r="D140" s="53"/>
      <c r="E140" s="51"/>
      <c r="F140" s="52"/>
      <c r="G140" s="52"/>
      <c r="H140" s="52"/>
      <c r="I140" s="5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</row>
    <row r="141" spans="1:47">
      <c r="A141" s="51"/>
      <c r="B141" s="52"/>
      <c r="C141" s="52"/>
      <c r="D141" s="53"/>
      <c r="E141" s="51"/>
      <c r="F141" s="52"/>
      <c r="G141" s="52"/>
      <c r="H141" s="52"/>
      <c r="I141" s="5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</row>
    <row r="142" spans="1:47">
      <c r="A142" s="51"/>
      <c r="B142" s="52"/>
      <c r="C142" s="52"/>
      <c r="D142" s="53"/>
      <c r="E142" s="51"/>
      <c r="F142" s="52"/>
      <c r="G142" s="52"/>
      <c r="H142" s="52"/>
      <c r="I142" s="5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</row>
    <row r="143" spans="1:47">
      <c r="A143" s="51"/>
      <c r="B143" s="52"/>
      <c r="C143" s="52"/>
      <c r="D143" s="53"/>
      <c r="E143" s="51"/>
      <c r="F143" s="52"/>
      <c r="G143" s="52"/>
      <c r="H143" s="52"/>
      <c r="I143" s="5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</row>
    <row r="144" spans="1:47">
      <c r="A144" s="51"/>
      <c r="B144" s="52"/>
      <c r="C144" s="52"/>
      <c r="D144" s="53"/>
      <c r="E144" s="51"/>
      <c r="F144" s="52"/>
      <c r="G144" s="52"/>
      <c r="H144" s="52"/>
      <c r="I144" s="5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</row>
    <row r="145" spans="1:47">
      <c r="A145" s="51"/>
      <c r="B145" s="52"/>
      <c r="C145" s="52"/>
      <c r="D145" s="53"/>
      <c r="E145" s="51"/>
      <c r="F145" s="52"/>
      <c r="G145" s="52"/>
      <c r="H145" s="52"/>
      <c r="I145" s="5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</row>
    <row r="146" spans="1:47">
      <c r="A146" s="51"/>
      <c r="B146" s="52"/>
      <c r="C146" s="52"/>
      <c r="D146" s="53"/>
      <c r="E146" s="51"/>
      <c r="F146" s="52"/>
      <c r="G146" s="52"/>
      <c r="H146" s="52"/>
      <c r="I146" s="5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</row>
    <row r="147" spans="1:47">
      <c r="A147" s="51"/>
      <c r="B147" s="52"/>
      <c r="C147" s="52"/>
      <c r="D147" s="53"/>
      <c r="E147" s="51"/>
      <c r="F147" s="52"/>
      <c r="G147" s="52"/>
      <c r="H147" s="52"/>
      <c r="I147" s="5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</row>
    <row r="148" spans="1:47">
      <c r="A148" s="51"/>
      <c r="B148" s="52"/>
      <c r="C148" s="52"/>
      <c r="D148" s="53"/>
      <c r="E148" s="51"/>
      <c r="F148" s="52"/>
      <c r="G148" s="52"/>
      <c r="H148" s="52"/>
      <c r="I148" s="5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</row>
    <row r="149" spans="1:47">
      <c r="A149" s="51"/>
      <c r="B149" s="52"/>
      <c r="C149" s="52"/>
      <c r="D149" s="53"/>
      <c r="E149" s="51"/>
      <c r="F149" s="52"/>
      <c r="G149" s="52"/>
      <c r="H149" s="52"/>
      <c r="I149" s="5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</row>
    <row r="150" spans="1:47">
      <c r="A150" s="51"/>
      <c r="B150" s="52"/>
      <c r="C150" s="52"/>
      <c r="D150" s="53"/>
      <c r="E150" s="51"/>
      <c r="F150" s="52"/>
      <c r="G150" s="52"/>
      <c r="H150" s="52"/>
      <c r="I150" s="5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</row>
    <row r="151" spans="1:47">
      <c r="A151" s="51"/>
      <c r="B151" s="52"/>
      <c r="C151" s="52"/>
      <c r="D151" s="53"/>
      <c r="E151" s="51"/>
      <c r="F151" s="52"/>
      <c r="G151" s="52"/>
      <c r="H151" s="52"/>
      <c r="I151" s="5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</row>
    <row r="152" spans="1:47">
      <c r="A152" s="51"/>
      <c r="B152" s="52"/>
      <c r="C152" s="52"/>
      <c r="D152" s="53"/>
      <c r="E152" s="51"/>
      <c r="F152" s="52"/>
      <c r="G152" s="52"/>
      <c r="H152" s="52"/>
      <c r="I152" s="5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</row>
    <row r="153" spans="1:47">
      <c r="A153" s="51"/>
      <c r="B153" s="52"/>
      <c r="C153" s="52"/>
      <c r="D153" s="53"/>
      <c r="E153" s="51"/>
      <c r="F153" s="52"/>
      <c r="G153" s="52"/>
      <c r="H153" s="52"/>
      <c r="I153" s="5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</row>
    <row r="154" spans="1:47">
      <c r="A154" s="51"/>
      <c r="B154" s="52"/>
      <c r="C154" s="52"/>
      <c r="D154" s="53"/>
      <c r="E154" s="51"/>
      <c r="F154" s="52"/>
      <c r="G154" s="52"/>
      <c r="H154" s="52"/>
      <c r="I154" s="5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</row>
    <row r="155" spans="1:47">
      <c r="A155" s="51"/>
      <c r="B155" s="52"/>
      <c r="C155" s="52"/>
      <c r="D155" s="53"/>
      <c r="E155" s="51"/>
      <c r="F155" s="52"/>
      <c r="G155" s="52"/>
      <c r="H155" s="52"/>
      <c r="I155" s="5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</row>
    <row r="156" spans="1:47">
      <c r="A156" s="51"/>
      <c r="B156" s="52"/>
      <c r="C156" s="52"/>
      <c r="D156" s="53"/>
      <c r="E156" s="51"/>
      <c r="F156" s="52"/>
      <c r="G156" s="52"/>
      <c r="H156" s="52"/>
      <c r="I156" s="5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</row>
    <row r="157" spans="1:47">
      <c r="A157" s="51"/>
      <c r="B157" s="52"/>
      <c r="C157" s="52"/>
      <c r="D157" s="53"/>
      <c r="E157" s="51"/>
      <c r="F157" s="52"/>
      <c r="G157" s="52"/>
      <c r="H157" s="52"/>
      <c r="I157" s="5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</row>
    <row r="158" spans="1:47">
      <c r="A158" s="51"/>
      <c r="B158" s="52"/>
      <c r="C158" s="52"/>
      <c r="D158" s="53"/>
      <c r="E158" s="51"/>
      <c r="F158" s="52"/>
      <c r="G158" s="52"/>
      <c r="H158" s="52"/>
      <c r="I158" s="5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</row>
    <row r="159" spans="1:47">
      <c r="A159" s="51"/>
      <c r="B159" s="52"/>
      <c r="C159" s="52"/>
      <c r="D159" s="53"/>
      <c r="E159" s="51"/>
      <c r="F159" s="52"/>
      <c r="G159" s="52"/>
      <c r="H159" s="52"/>
      <c r="I159" s="5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</row>
    <row r="160" spans="1:47">
      <c r="A160" s="51"/>
      <c r="B160" s="52"/>
      <c r="C160" s="52"/>
      <c r="D160" s="53"/>
      <c r="E160" s="51"/>
      <c r="F160" s="52"/>
      <c r="G160" s="52"/>
      <c r="H160" s="52"/>
      <c r="I160" s="5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</row>
    <row r="161" spans="1:47">
      <c r="A161" s="51"/>
      <c r="B161" s="52"/>
      <c r="C161" s="52"/>
      <c r="D161" s="53"/>
      <c r="E161" s="51"/>
      <c r="F161" s="52"/>
      <c r="G161" s="52"/>
      <c r="H161" s="52"/>
      <c r="I161" s="5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</row>
    <row r="162" spans="1:47">
      <c r="A162" s="51"/>
      <c r="B162" s="52"/>
      <c r="C162" s="52"/>
      <c r="D162" s="53"/>
      <c r="E162" s="51"/>
      <c r="F162" s="52"/>
      <c r="G162" s="52"/>
      <c r="H162" s="52"/>
      <c r="I162" s="5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</row>
    <row r="163" spans="1:47">
      <c r="A163" s="51"/>
      <c r="B163" s="52"/>
      <c r="C163" s="52"/>
      <c r="D163" s="53"/>
      <c r="E163" s="51"/>
      <c r="F163" s="52"/>
      <c r="G163" s="52"/>
      <c r="H163" s="52"/>
      <c r="I163" s="5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</row>
    <row r="164" spans="1:47">
      <c r="A164" s="51"/>
      <c r="B164" s="52"/>
      <c r="C164" s="52"/>
      <c r="D164" s="53"/>
      <c r="E164" s="51"/>
      <c r="F164" s="52"/>
      <c r="G164" s="52"/>
      <c r="H164" s="52"/>
      <c r="I164" s="5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</row>
    <row r="165" spans="1:47">
      <c r="A165" s="51"/>
      <c r="B165" s="52"/>
      <c r="C165" s="52"/>
      <c r="D165" s="53"/>
      <c r="E165" s="51"/>
      <c r="F165" s="52"/>
      <c r="G165" s="52"/>
      <c r="H165" s="52"/>
      <c r="I165" s="5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</row>
    <row r="166" spans="1:47">
      <c r="A166" s="51"/>
      <c r="B166" s="52"/>
      <c r="C166" s="52"/>
      <c r="D166" s="53"/>
      <c r="E166" s="51"/>
      <c r="F166" s="52"/>
      <c r="G166" s="52"/>
      <c r="H166" s="52"/>
      <c r="I166" s="5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</row>
    <row r="167" spans="1:47">
      <c r="A167" s="51"/>
      <c r="B167" s="52"/>
      <c r="C167" s="52"/>
      <c r="D167" s="53"/>
      <c r="E167" s="51"/>
      <c r="F167" s="52"/>
      <c r="G167" s="52"/>
      <c r="H167" s="52"/>
      <c r="I167" s="5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</row>
    <row r="168" spans="1:47">
      <c r="A168" s="51"/>
      <c r="B168" s="52"/>
      <c r="C168" s="52"/>
      <c r="D168" s="53"/>
      <c r="E168" s="51"/>
      <c r="F168" s="52"/>
      <c r="G168" s="52"/>
      <c r="H168" s="52"/>
      <c r="I168" s="5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</row>
    <row r="169" spans="1:47">
      <c r="A169" s="51"/>
      <c r="B169" s="52"/>
      <c r="C169" s="52"/>
      <c r="D169" s="53"/>
      <c r="E169" s="51"/>
      <c r="F169" s="52"/>
      <c r="G169" s="52"/>
      <c r="H169" s="52"/>
      <c r="I169" s="5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</row>
    <row r="170" spans="1:47">
      <c r="A170" s="51"/>
      <c r="B170" s="52"/>
      <c r="C170" s="52"/>
      <c r="D170" s="53"/>
      <c r="E170" s="51"/>
      <c r="F170" s="52"/>
      <c r="G170" s="52"/>
      <c r="H170" s="52"/>
      <c r="I170" s="5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</row>
    <row r="171" spans="1:47">
      <c r="A171" s="51"/>
      <c r="B171" s="52"/>
      <c r="C171" s="52"/>
      <c r="D171" s="53"/>
      <c r="E171" s="51"/>
      <c r="F171" s="52"/>
      <c r="G171" s="52"/>
      <c r="H171" s="52"/>
      <c r="I171" s="5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</row>
    <row r="172" spans="1:47">
      <c r="A172" s="51"/>
      <c r="B172" s="52"/>
      <c r="C172" s="52"/>
      <c r="D172" s="53"/>
      <c r="E172" s="51"/>
      <c r="F172" s="52"/>
      <c r="G172" s="52"/>
      <c r="H172" s="52"/>
      <c r="I172" s="5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  <c r="AC172" s="64"/>
    </row>
    <row r="173" spans="1:47">
      <c r="A173" s="51"/>
      <c r="B173" s="52"/>
      <c r="C173" s="52"/>
      <c r="D173" s="53"/>
      <c r="E173" s="51"/>
      <c r="F173" s="52"/>
      <c r="G173" s="52"/>
      <c r="H173" s="52"/>
      <c r="I173" s="5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  <c r="AC173" s="64"/>
    </row>
    <row r="174" spans="1:47">
      <c r="A174" s="51"/>
      <c r="B174" s="52"/>
      <c r="C174" s="52"/>
      <c r="D174" s="53"/>
      <c r="E174" s="51"/>
      <c r="F174" s="52"/>
      <c r="G174" s="52"/>
      <c r="H174" s="52"/>
      <c r="I174" s="5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</row>
    <row r="175" spans="1:47">
      <c r="A175" s="51"/>
      <c r="B175" s="52"/>
      <c r="C175" s="52"/>
      <c r="D175" s="53"/>
      <c r="E175" s="51"/>
      <c r="F175" s="52"/>
      <c r="G175" s="52"/>
      <c r="H175" s="52"/>
      <c r="I175" s="5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</row>
    <row r="176" spans="1:47">
      <c r="A176" s="51"/>
      <c r="B176" s="52"/>
      <c r="C176" s="52"/>
      <c r="D176" s="53"/>
      <c r="E176" s="51"/>
      <c r="F176" s="52"/>
      <c r="G176" s="52"/>
      <c r="H176" s="52"/>
      <c r="I176" s="5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  <c r="AC176" s="64"/>
    </row>
    <row r="177" spans="1:29">
      <c r="A177" s="51"/>
      <c r="B177" s="52"/>
      <c r="C177" s="52"/>
      <c r="D177" s="53"/>
      <c r="E177" s="51"/>
      <c r="F177" s="52"/>
      <c r="G177" s="52"/>
      <c r="H177" s="52"/>
      <c r="I177" s="5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</row>
    <row r="178" spans="1:29">
      <c r="A178" s="51"/>
      <c r="B178" s="52"/>
      <c r="C178" s="52"/>
      <c r="D178" s="53"/>
      <c r="E178" s="51"/>
      <c r="F178" s="52"/>
      <c r="G178" s="52"/>
      <c r="H178" s="52"/>
      <c r="I178" s="5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</row>
    <row r="179" spans="1:29">
      <c r="A179" s="51"/>
      <c r="B179" s="52"/>
      <c r="C179" s="52"/>
      <c r="D179" s="53"/>
      <c r="E179" s="51"/>
      <c r="F179" s="52"/>
      <c r="G179" s="52"/>
      <c r="H179" s="52"/>
      <c r="I179" s="5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  <c r="AC179" s="64"/>
    </row>
    <row r="180" spans="1:29">
      <c r="A180" s="51"/>
      <c r="B180" s="52"/>
      <c r="C180" s="52"/>
      <c r="D180" s="53"/>
      <c r="E180" s="51"/>
      <c r="F180" s="52"/>
      <c r="G180" s="52"/>
      <c r="H180" s="52"/>
      <c r="I180" s="5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</row>
    <row r="181" spans="1:29">
      <c r="A181" s="51"/>
      <c r="B181" s="52"/>
      <c r="C181" s="52"/>
      <c r="D181" s="53"/>
      <c r="E181" s="51"/>
      <c r="F181" s="52"/>
      <c r="G181" s="52"/>
      <c r="H181" s="52"/>
      <c r="I181" s="5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</row>
    <row r="182" spans="1:29">
      <c r="A182" s="51"/>
      <c r="B182" s="52"/>
      <c r="C182" s="52"/>
      <c r="D182" s="53"/>
      <c r="E182" s="51"/>
      <c r="F182" s="52"/>
      <c r="G182" s="52"/>
      <c r="H182" s="52"/>
      <c r="I182" s="5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  <c r="AC182" s="64"/>
    </row>
    <row r="183" spans="1:29">
      <c r="A183" s="51"/>
      <c r="B183" s="52"/>
      <c r="C183" s="52"/>
      <c r="D183" s="53"/>
      <c r="E183" s="51"/>
      <c r="F183" s="52"/>
      <c r="G183" s="52"/>
      <c r="H183" s="52"/>
      <c r="I183" s="5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</row>
    <row r="184" spans="1:29">
      <c r="A184" s="51"/>
      <c r="B184" s="52"/>
      <c r="C184" s="52"/>
      <c r="D184" s="53"/>
      <c r="E184" s="51"/>
      <c r="F184" s="52"/>
      <c r="G184" s="52"/>
      <c r="H184" s="52"/>
      <c r="I184" s="5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</row>
    <row r="185" spans="1:29">
      <c r="A185" s="51"/>
      <c r="B185" s="52"/>
      <c r="C185" s="52"/>
      <c r="D185" s="53"/>
      <c r="E185" s="51"/>
      <c r="F185" s="52"/>
      <c r="G185" s="52"/>
      <c r="H185" s="52"/>
      <c r="I185" s="5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  <c r="AC185" s="64"/>
    </row>
    <row r="186" spans="1:29">
      <c r="A186" s="51"/>
      <c r="B186" s="52"/>
      <c r="C186" s="52"/>
      <c r="D186" s="53"/>
      <c r="E186" s="51"/>
      <c r="F186" s="52"/>
      <c r="G186" s="52"/>
      <c r="H186" s="52"/>
      <c r="I186" s="5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</row>
    <row r="187" spans="1:29">
      <c r="A187" s="51"/>
      <c r="B187" s="52"/>
      <c r="C187" s="52"/>
      <c r="D187" s="53"/>
      <c r="E187" s="51"/>
      <c r="F187" s="52"/>
      <c r="G187" s="52"/>
      <c r="H187" s="52"/>
      <c r="I187" s="5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</row>
    <row r="188" spans="1:29">
      <c r="A188" s="51"/>
      <c r="B188" s="52"/>
      <c r="C188" s="52"/>
      <c r="D188" s="53"/>
      <c r="E188" s="51"/>
      <c r="F188" s="52"/>
      <c r="G188" s="52"/>
      <c r="H188" s="52"/>
      <c r="I188" s="5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</row>
    <row r="189" spans="1:29">
      <c r="A189" s="51"/>
      <c r="B189" s="52"/>
      <c r="C189" s="52"/>
      <c r="D189" s="53"/>
      <c r="E189" s="51"/>
      <c r="F189" s="52"/>
      <c r="G189" s="52"/>
      <c r="H189" s="52"/>
      <c r="I189" s="5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</row>
    <row r="190" spans="1:29">
      <c r="A190" s="51"/>
      <c r="B190" s="52"/>
      <c r="C190" s="52"/>
      <c r="D190" s="53"/>
      <c r="E190" s="51"/>
      <c r="F190" s="52"/>
      <c r="G190" s="52"/>
      <c r="H190" s="52"/>
      <c r="I190" s="5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</row>
    <row r="191" spans="1:29">
      <c r="A191" s="51"/>
      <c r="B191" s="52"/>
      <c r="C191" s="52"/>
      <c r="D191" s="53"/>
      <c r="E191" s="51"/>
      <c r="F191" s="52"/>
      <c r="G191" s="52"/>
      <c r="H191" s="52"/>
      <c r="I191" s="5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  <c r="AC191" s="64"/>
    </row>
    <row r="192" spans="1:29">
      <c r="A192" s="51"/>
      <c r="B192" s="52"/>
      <c r="C192" s="52"/>
      <c r="D192" s="53"/>
      <c r="E192" s="51"/>
      <c r="F192" s="52"/>
      <c r="G192" s="52"/>
      <c r="H192" s="52"/>
      <c r="I192" s="5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</row>
    <row r="193" spans="1:29">
      <c r="A193" s="51"/>
      <c r="B193" s="52"/>
      <c r="C193" s="52"/>
      <c r="D193" s="53"/>
      <c r="E193" s="51"/>
      <c r="F193" s="52"/>
      <c r="G193" s="52"/>
      <c r="H193" s="52"/>
      <c r="I193" s="5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</row>
    <row r="194" spans="1:29">
      <c r="A194" s="51"/>
      <c r="B194" s="52"/>
      <c r="C194" s="52"/>
      <c r="D194" s="53"/>
      <c r="E194" s="51"/>
      <c r="F194" s="52"/>
      <c r="G194" s="52"/>
      <c r="H194" s="52"/>
      <c r="I194" s="5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</row>
    <row r="195" spans="1:29">
      <c r="A195" s="51"/>
      <c r="B195" s="52"/>
      <c r="C195" s="52"/>
      <c r="D195" s="53"/>
      <c r="E195" s="51"/>
      <c r="F195" s="52"/>
      <c r="G195" s="52"/>
      <c r="H195" s="52"/>
      <c r="I195" s="5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</row>
    <row r="196" spans="1:29">
      <c r="A196" s="51"/>
      <c r="B196" s="52"/>
      <c r="C196" s="52"/>
      <c r="D196" s="53"/>
      <c r="E196" s="51"/>
      <c r="F196" s="52"/>
      <c r="G196" s="52"/>
      <c r="H196" s="52"/>
      <c r="I196" s="5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</row>
    <row r="197" spans="1:29">
      <c r="A197" s="51"/>
      <c r="B197" s="52"/>
      <c r="C197" s="52"/>
      <c r="D197" s="53"/>
      <c r="E197" s="51"/>
      <c r="F197" s="52"/>
      <c r="G197" s="52"/>
      <c r="H197" s="52"/>
      <c r="I197" s="5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  <c r="AC197" s="64"/>
    </row>
    <row r="198" spans="1:29">
      <c r="A198" s="51"/>
      <c r="B198" s="52"/>
      <c r="C198" s="52"/>
      <c r="D198" s="53"/>
      <c r="E198" s="51"/>
      <c r="F198" s="52"/>
      <c r="G198" s="52"/>
      <c r="H198" s="52"/>
      <c r="I198" s="5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</row>
    <row r="199" spans="1:29">
      <c r="A199" s="51"/>
      <c r="B199" s="52"/>
      <c r="C199" s="52"/>
      <c r="D199" s="53"/>
      <c r="E199" s="51"/>
      <c r="F199" s="52"/>
      <c r="G199" s="52"/>
      <c r="H199" s="52"/>
      <c r="I199" s="5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</row>
    <row r="200" spans="1:29">
      <c r="A200" s="51"/>
      <c r="B200" s="52"/>
      <c r="C200" s="52"/>
      <c r="D200" s="53"/>
      <c r="E200" s="51"/>
      <c r="F200" s="52"/>
      <c r="G200" s="52"/>
      <c r="H200" s="52"/>
      <c r="I200" s="5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  <c r="AC200" s="64"/>
    </row>
    <row r="201" spans="1:29">
      <c r="A201" s="51"/>
      <c r="B201" s="52"/>
      <c r="C201" s="52"/>
      <c r="D201" s="53"/>
      <c r="E201" s="51"/>
      <c r="F201" s="52"/>
      <c r="G201" s="52"/>
      <c r="H201" s="52"/>
      <c r="I201" s="5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</row>
    <row r="202" spans="1:29">
      <c r="A202" s="51"/>
      <c r="B202" s="52"/>
      <c r="C202" s="52"/>
      <c r="D202" s="53"/>
      <c r="E202" s="51"/>
      <c r="F202" s="52"/>
      <c r="G202" s="52"/>
      <c r="H202" s="52"/>
      <c r="I202" s="5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</row>
    <row r="203" spans="1:29">
      <c r="A203" s="51"/>
      <c r="B203" s="52"/>
      <c r="C203" s="52"/>
      <c r="D203" s="53"/>
      <c r="E203" s="51"/>
      <c r="F203" s="52"/>
      <c r="G203" s="52"/>
      <c r="H203" s="52"/>
      <c r="I203" s="5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  <c r="AC203" s="64"/>
    </row>
    <row r="204" spans="1:29">
      <c r="A204" s="51"/>
      <c r="B204" s="52"/>
      <c r="C204" s="52"/>
      <c r="D204" s="53"/>
      <c r="E204" s="51"/>
      <c r="F204" s="52"/>
      <c r="G204" s="52"/>
      <c r="H204" s="52"/>
      <c r="I204" s="5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</row>
    <row r="205" spans="1:29">
      <c r="A205" s="51"/>
      <c r="B205" s="52"/>
      <c r="C205" s="52"/>
      <c r="D205" s="53"/>
      <c r="E205" s="51"/>
      <c r="F205" s="52"/>
      <c r="G205" s="52"/>
      <c r="H205" s="52"/>
      <c r="I205" s="5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</row>
    <row r="206" spans="1:29">
      <c r="A206" s="51"/>
      <c r="B206" s="52"/>
      <c r="C206" s="52"/>
      <c r="D206" s="53"/>
      <c r="E206" s="51"/>
      <c r="F206" s="52"/>
      <c r="G206" s="52"/>
      <c r="H206" s="52"/>
      <c r="I206" s="5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</row>
    <row r="207" spans="1:29">
      <c r="A207" s="51"/>
      <c r="B207" s="52"/>
      <c r="C207" s="52"/>
      <c r="D207" s="53"/>
      <c r="E207" s="51"/>
      <c r="F207" s="52"/>
      <c r="G207" s="52"/>
      <c r="H207" s="52"/>
      <c r="I207" s="5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</row>
    <row r="208" spans="1:29">
      <c r="A208" s="51"/>
      <c r="B208" s="52"/>
      <c r="C208" s="52"/>
      <c r="D208" s="53"/>
      <c r="E208" s="51"/>
      <c r="F208" s="52"/>
      <c r="G208" s="52"/>
      <c r="H208" s="52"/>
      <c r="I208" s="5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</row>
    <row r="209" spans="1:29">
      <c r="A209" s="51"/>
      <c r="B209" s="52"/>
      <c r="C209" s="52"/>
      <c r="D209" s="53"/>
      <c r="E209" s="51"/>
      <c r="F209" s="52"/>
      <c r="G209" s="52"/>
      <c r="H209" s="52"/>
      <c r="I209" s="5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  <c r="AC209" s="64"/>
    </row>
    <row r="210" spans="1:29">
      <c r="A210" s="51"/>
      <c r="B210" s="52"/>
      <c r="C210" s="52"/>
      <c r="D210" s="53"/>
      <c r="E210" s="51"/>
      <c r="F210" s="52"/>
      <c r="G210" s="52"/>
      <c r="H210" s="52"/>
      <c r="I210" s="5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</row>
    <row r="211" spans="1:29">
      <c r="A211" s="51"/>
      <c r="B211" s="52"/>
      <c r="C211" s="52"/>
      <c r="D211" s="53"/>
      <c r="E211" s="51"/>
      <c r="F211" s="52"/>
      <c r="G211" s="52"/>
      <c r="H211" s="52"/>
      <c r="I211" s="5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</row>
    <row r="212" spans="1:29">
      <c r="A212" s="51"/>
      <c r="B212" s="52"/>
      <c r="C212" s="52"/>
      <c r="D212" s="53"/>
      <c r="E212" s="51"/>
      <c r="F212" s="52"/>
      <c r="G212" s="52"/>
      <c r="H212" s="52"/>
      <c r="I212" s="5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</row>
    <row r="213" spans="1:29">
      <c r="A213" s="51"/>
      <c r="B213" s="52"/>
      <c r="C213" s="52"/>
      <c r="D213" s="53"/>
      <c r="E213" s="51"/>
      <c r="F213" s="52"/>
      <c r="G213" s="52"/>
      <c r="H213" s="52"/>
      <c r="I213" s="5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</row>
    <row r="214" spans="1:29">
      <c r="A214" s="51"/>
      <c r="B214" s="52"/>
      <c r="C214" s="52"/>
      <c r="D214" s="53"/>
      <c r="E214" s="51"/>
      <c r="F214" s="52"/>
      <c r="G214" s="52"/>
      <c r="H214" s="52"/>
      <c r="I214" s="5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</row>
    <row r="215" spans="1:29">
      <c r="A215" s="51"/>
      <c r="B215" s="52"/>
      <c r="C215" s="52"/>
      <c r="D215" s="53"/>
      <c r="E215" s="51"/>
      <c r="F215" s="52"/>
      <c r="G215" s="52"/>
      <c r="H215" s="52"/>
      <c r="I215" s="5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  <c r="AC215" s="64"/>
    </row>
    <row r="216" spans="1:29">
      <c r="A216" s="51"/>
      <c r="B216" s="52"/>
      <c r="C216" s="52"/>
      <c r="D216" s="53"/>
      <c r="E216" s="51"/>
      <c r="F216" s="52"/>
      <c r="G216" s="52"/>
      <c r="H216" s="52"/>
      <c r="I216" s="5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</row>
    <row r="217" spans="1:29">
      <c r="A217" s="51"/>
      <c r="B217" s="52"/>
      <c r="C217" s="52"/>
      <c r="D217" s="53"/>
      <c r="E217" s="51"/>
      <c r="F217" s="52"/>
      <c r="G217" s="52"/>
      <c r="H217" s="52"/>
      <c r="I217" s="5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</row>
    <row r="218" spans="1:29">
      <c r="A218" s="51"/>
      <c r="B218" s="52"/>
      <c r="C218" s="52"/>
      <c r="D218" s="53"/>
      <c r="E218" s="51"/>
      <c r="F218" s="52"/>
      <c r="G218" s="52"/>
      <c r="H218" s="52"/>
      <c r="I218" s="54"/>
    </row>
    <row r="219" spans="1:29">
      <c r="A219" s="51"/>
      <c r="B219" s="52"/>
      <c r="C219" s="52"/>
      <c r="D219" s="53"/>
      <c r="E219" s="51"/>
      <c r="F219" s="52"/>
      <c r="G219" s="52"/>
      <c r="H219" s="52"/>
      <c r="I219" s="54"/>
    </row>
    <row r="220" spans="1:29">
      <c r="A220" s="51"/>
      <c r="B220" s="52"/>
      <c r="C220" s="52"/>
      <c r="D220" s="53"/>
      <c r="E220" s="51"/>
      <c r="F220" s="52"/>
      <c r="G220" s="52"/>
      <c r="H220" s="52"/>
      <c r="I220" s="54"/>
    </row>
    <row r="221" spans="1:29">
      <c r="A221" s="51"/>
      <c r="B221" s="52"/>
      <c r="C221" s="52"/>
      <c r="D221" s="53"/>
      <c r="E221" s="51"/>
      <c r="F221" s="52"/>
      <c r="G221" s="52"/>
      <c r="H221" s="52"/>
      <c r="I221" s="54"/>
    </row>
    <row r="222" spans="1:29">
      <c r="A222" s="51"/>
      <c r="B222" s="52"/>
      <c r="C222" s="52"/>
      <c r="D222" s="53"/>
      <c r="E222" s="51"/>
      <c r="F222" s="52"/>
      <c r="G222" s="52"/>
      <c r="H222" s="52"/>
      <c r="I222" s="54"/>
    </row>
    <row r="223" spans="1:29">
      <c r="A223" s="51"/>
      <c r="B223" s="52"/>
      <c r="C223" s="52"/>
      <c r="D223" s="53"/>
      <c r="E223" s="51"/>
      <c r="F223" s="52"/>
      <c r="G223" s="52"/>
      <c r="H223" s="52"/>
      <c r="I223" s="54"/>
    </row>
    <row r="224" spans="1:29">
      <c r="A224" s="51"/>
      <c r="B224" s="52"/>
      <c r="C224" s="52"/>
      <c r="D224" s="53"/>
      <c r="E224" s="51"/>
      <c r="F224" s="52"/>
      <c r="G224" s="52"/>
      <c r="H224" s="52"/>
      <c r="I224" s="54"/>
    </row>
    <row r="225" spans="1:9">
      <c r="A225" s="51"/>
      <c r="B225" s="52"/>
      <c r="C225" s="52"/>
      <c r="D225" s="53"/>
      <c r="E225" s="51"/>
      <c r="F225" s="52"/>
      <c r="G225" s="52"/>
      <c r="H225" s="52"/>
      <c r="I225" s="54"/>
    </row>
    <row r="226" spans="1:9">
      <c r="A226" s="51"/>
      <c r="B226" s="52"/>
      <c r="C226" s="52"/>
      <c r="D226" s="53"/>
      <c r="E226" s="51"/>
      <c r="F226" s="52"/>
      <c r="G226" s="52"/>
      <c r="H226" s="52"/>
      <c r="I226" s="54"/>
    </row>
    <row r="227" spans="1:9">
      <c r="A227" s="51"/>
      <c r="B227" s="52"/>
      <c r="C227" s="52"/>
      <c r="D227" s="53"/>
      <c r="E227" s="51"/>
      <c r="F227" s="52"/>
      <c r="G227" s="52"/>
      <c r="H227" s="52"/>
      <c r="I227" s="54"/>
    </row>
    <row r="228" spans="1:9">
      <c r="A228" s="51"/>
      <c r="B228" s="52"/>
      <c r="C228" s="52"/>
      <c r="D228" s="53"/>
      <c r="E228" s="51"/>
      <c r="F228" s="52"/>
      <c r="G228" s="52"/>
      <c r="H228" s="52"/>
      <c r="I228" s="54"/>
    </row>
    <row r="229" spans="1:9">
      <c r="A229" s="51"/>
      <c r="B229" s="52"/>
      <c r="C229" s="52"/>
      <c r="D229" s="53"/>
      <c r="E229" s="51"/>
      <c r="F229" s="52"/>
      <c r="G229" s="52"/>
      <c r="H229" s="52"/>
      <c r="I229" s="54"/>
    </row>
    <row r="230" spans="1:9">
      <c r="A230" s="51"/>
      <c r="B230" s="52"/>
      <c r="C230" s="52"/>
      <c r="D230" s="53"/>
      <c r="E230" s="51"/>
      <c r="F230" s="52"/>
      <c r="G230" s="52"/>
      <c r="H230" s="52"/>
      <c r="I230" s="54"/>
    </row>
    <row r="231" spans="1:9">
      <c r="A231" s="51"/>
      <c r="B231" s="52"/>
      <c r="C231" s="52"/>
      <c r="D231" s="53"/>
      <c r="E231" s="51"/>
      <c r="F231" s="52"/>
      <c r="G231" s="52"/>
      <c r="H231" s="52"/>
      <c r="I231" s="54"/>
    </row>
    <row r="232" spans="1:9">
      <c r="A232" s="51"/>
      <c r="B232" s="52"/>
      <c r="C232" s="52"/>
      <c r="D232" s="53"/>
      <c r="E232" s="51"/>
      <c r="F232" s="52"/>
      <c r="G232" s="52"/>
      <c r="H232" s="52"/>
      <c r="I232" s="54"/>
    </row>
    <row r="233" spans="1:9">
      <c r="A233" s="51"/>
      <c r="B233" s="52"/>
      <c r="C233" s="52"/>
      <c r="D233" s="53"/>
      <c r="E233" s="51"/>
      <c r="F233" s="52"/>
      <c r="G233" s="52"/>
      <c r="H233" s="52"/>
      <c r="I233" s="54"/>
    </row>
    <row r="234" spans="1:9">
      <c r="A234" s="51"/>
      <c r="B234" s="52"/>
      <c r="C234" s="52"/>
      <c r="D234" s="53"/>
      <c r="E234" s="51"/>
      <c r="F234" s="52"/>
      <c r="G234" s="52"/>
      <c r="H234" s="52"/>
      <c r="I234" s="54"/>
    </row>
    <row r="235" spans="1:9">
      <c r="A235" s="51"/>
      <c r="B235" s="52"/>
      <c r="C235" s="52"/>
      <c r="D235" s="53"/>
      <c r="E235" s="51"/>
      <c r="F235" s="52"/>
      <c r="G235" s="52"/>
      <c r="H235" s="52"/>
      <c r="I235" s="54"/>
    </row>
    <row r="236" spans="1:9">
      <c r="A236" s="51"/>
      <c r="B236" s="52"/>
      <c r="C236" s="52"/>
      <c r="D236" s="53"/>
      <c r="E236" s="51"/>
      <c r="F236" s="52"/>
      <c r="G236" s="52"/>
      <c r="H236" s="52"/>
      <c r="I236" s="54"/>
    </row>
    <row r="237" spans="1:9">
      <c r="A237" s="51"/>
      <c r="B237" s="52"/>
      <c r="C237" s="52"/>
      <c r="D237" s="53"/>
      <c r="E237" s="51"/>
      <c r="F237" s="52"/>
      <c r="G237" s="52"/>
      <c r="H237" s="52"/>
      <c r="I237" s="54"/>
    </row>
    <row r="238" spans="1:9">
      <c r="A238" s="51"/>
      <c r="B238" s="52"/>
      <c r="C238" s="52"/>
      <c r="D238" s="53"/>
      <c r="E238" s="51"/>
      <c r="F238" s="52"/>
      <c r="G238" s="52"/>
      <c r="H238" s="52"/>
      <c r="I238" s="54"/>
    </row>
    <row r="239" spans="1:9">
      <c r="A239" s="51"/>
      <c r="B239" s="52"/>
      <c r="C239" s="52"/>
      <c r="D239" s="53"/>
      <c r="E239" s="51"/>
      <c r="F239" s="52"/>
      <c r="G239" s="52"/>
      <c r="H239" s="52"/>
      <c r="I239" s="54"/>
    </row>
    <row r="240" spans="1:9">
      <c r="A240" s="51"/>
      <c r="B240" s="52"/>
      <c r="C240" s="52"/>
      <c r="D240" s="53"/>
      <c r="E240" s="51"/>
      <c r="F240" s="52"/>
      <c r="G240" s="52"/>
      <c r="H240" s="52"/>
      <c r="I240" s="54"/>
    </row>
    <row r="241" spans="1:9">
      <c r="A241" s="51"/>
      <c r="B241" s="52"/>
      <c r="C241" s="52"/>
      <c r="D241" s="53"/>
      <c r="E241" s="51"/>
      <c r="F241" s="52"/>
      <c r="G241" s="52"/>
      <c r="H241" s="52"/>
      <c r="I241" s="54"/>
    </row>
    <row r="242" spans="1:9">
      <c r="A242" s="51"/>
      <c r="B242" s="52"/>
      <c r="C242" s="52"/>
      <c r="D242" s="53"/>
      <c r="E242" s="51"/>
      <c r="F242" s="52"/>
      <c r="G242" s="52"/>
      <c r="H242" s="52"/>
      <c r="I242" s="54"/>
    </row>
    <row r="243" spans="1:9">
      <c r="A243" s="51"/>
      <c r="B243" s="52"/>
      <c r="C243" s="52"/>
      <c r="D243" s="53"/>
      <c r="E243" s="51"/>
      <c r="F243" s="52"/>
      <c r="G243" s="52"/>
      <c r="H243" s="52"/>
      <c r="I243" s="54"/>
    </row>
    <row r="244" spans="1:9">
      <c r="A244" s="51"/>
      <c r="B244" s="52"/>
      <c r="C244" s="52"/>
      <c r="D244" s="53"/>
      <c r="E244" s="51"/>
      <c r="F244" s="52"/>
      <c r="G244" s="52"/>
      <c r="H244" s="52"/>
      <c r="I244" s="54"/>
    </row>
    <row r="245" spans="1:9">
      <c r="A245" s="51"/>
      <c r="B245" s="52"/>
      <c r="C245" s="52"/>
      <c r="D245" s="53"/>
      <c r="E245" s="51"/>
      <c r="F245" s="52"/>
      <c r="G245" s="52"/>
      <c r="H245" s="52"/>
      <c r="I245" s="54"/>
    </row>
    <row r="246" spans="1:9">
      <c r="A246" s="51"/>
      <c r="B246" s="52"/>
      <c r="C246" s="52"/>
      <c r="D246" s="53"/>
      <c r="E246" s="51"/>
      <c r="F246" s="52"/>
      <c r="G246" s="52"/>
      <c r="H246" s="52"/>
      <c r="I246" s="54"/>
    </row>
    <row r="247" spans="1:9">
      <c r="A247" s="51"/>
      <c r="B247" s="52"/>
      <c r="C247" s="52"/>
      <c r="D247" s="53"/>
      <c r="E247" s="51"/>
      <c r="F247" s="52"/>
      <c r="G247" s="52"/>
      <c r="H247" s="52"/>
      <c r="I247" s="54"/>
    </row>
    <row r="248" spans="1:9">
      <c r="A248" s="51"/>
      <c r="B248" s="52"/>
      <c r="C248" s="52"/>
      <c r="D248" s="53"/>
      <c r="E248" s="51"/>
      <c r="F248" s="52"/>
      <c r="G248" s="52"/>
      <c r="H248" s="52"/>
      <c r="I248" s="54"/>
    </row>
    <row r="249" spans="1:9">
      <c r="A249" s="51"/>
      <c r="B249" s="52"/>
      <c r="C249" s="52"/>
      <c r="D249" s="53"/>
      <c r="E249" s="51"/>
      <c r="F249" s="52"/>
      <c r="G249" s="52"/>
      <c r="H249" s="52"/>
      <c r="I249" s="54"/>
    </row>
    <row r="250" spans="1:9">
      <c r="A250" s="51"/>
      <c r="B250" s="52"/>
      <c r="C250" s="52"/>
      <c r="D250" s="53"/>
      <c r="E250" s="51"/>
      <c r="F250" s="52"/>
      <c r="G250" s="52"/>
      <c r="H250" s="52"/>
      <c r="I250" s="54"/>
    </row>
    <row r="251" spans="1:9">
      <c r="A251" s="51"/>
      <c r="B251" s="52"/>
      <c r="C251" s="52"/>
      <c r="D251" s="53"/>
      <c r="E251" s="51"/>
      <c r="F251" s="52"/>
      <c r="G251" s="52"/>
      <c r="H251" s="52"/>
      <c r="I251" s="54"/>
    </row>
    <row r="252" spans="1:9">
      <c r="A252" s="51"/>
      <c r="B252" s="52"/>
      <c r="C252" s="52"/>
      <c r="D252" s="53"/>
      <c r="E252" s="51"/>
      <c r="F252" s="52"/>
      <c r="G252" s="52"/>
      <c r="H252" s="52"/>
      <c r="I252" s="54"/>
    </row>
    <row r="253" spans="1:9">
      <c r="A253" s="51"/>
      <c r="B253" s="52"/>
      <c r="C253" s="52"/>
      <c r="D253" s="53"/>
      <c r="E253" s="51"/>
      <c r="F253" s="52"/>
      <c r="G253" s="52"/>
      <c r="H253" s="52"/>
      <c r="I253" s="54"/>
    </row>
    <row r="254" spans="1:9">
      <c r="A254" s="51"/>
      <c r="B254" s="52"/>
      <c r="C254" s="52"/>
      <c r="D254" s="53"/>
      <c r="E254" s="51"/>
      <c r="F254" s="52"/>
      <c r="G254" s="52"/>
      <c r="H254" s="52"/>
      <c r="I254" s="54"/>
    </row>
    <row r="255" spans="1:9">
      <c r="A255" s="51"/>
      <c r="B255" s="52"/>
      <c r="C255" s="52"/>
      <c r="D255" s="53"/>
      <c r="E255" s="51"/>
      <c r="F255" s="52"/>
      <c r="G255" s="52"/>
      <c r="H255" s="52"/>
      <c r="I255" s="54"/>
    </row>
    <row r="256" spans="1:9">
      <c r="A256" s="51"/>
      <c r="B256" s="52"/>
      <c r="C256" s="52"/>
      <c r="D256" s="53"/>
      <c r="E256" s="51"/>
      <c r="F256" s="52"/>
      <c r="G256" s="52"/>
      <c r="H256" s="52"/>
      <c r="I256" s="54"/>
    </row>
    <row r="257" spans="1:9">
      <c r="A257" s="51"/>
      <c r="B257" s="52"/>
      <c r="C257" s="52"/>
      <c r="D257" s="53"/>
      <c r="E257" s="51"/>
      <c r="F257" s="52"/>
      <c r="G257" s="52"/>
      <c r="H257" s="52"/>
      <c r="I257" s="54"/>
    </row>
    <row r="258" spans="1:9">
      <c r="A258" s="51"/>
      <c r="B258" s="52"/>
      <c r="C258" s="52"/>
      <c r="D258" s="53"/>
      <c r="E258" s="51"/>
      <c r="F258" s="52"/>
      <c r="G258" s="52"/>
      <c r="H258" s="52"/>
      <c r="I258" s="54"/>
    </row>
    <row r="259" spans="1:9">
      <c r="A259" s="51"/>
      <c r="B259" s="52"/>
      <c r="C259" s="52"/>
      <c r="D259" s="53"/>
      <c r="E259" s="51"/>
      <c r="F259" s="52"/>
      <c r="G259" s="52"/>
      <c r="H259" s="52"/>
      <c r="I259" s="54"/>
    </row>
    <row r="260" spans="1:9">
      <c r="A260" s="51"/>
      <c r="B260" s="52"/>
      <c r="C260" s="52"/>
      <c r="D260" s="53"/>
      <c r="E260" s="51"/>
      <c r="F260" s="52"/>
      <c r="G260" s="52"/>
      <c r="H260" s="52"/>
      <c r="I260" s="54"/>
    </row>
    <row r="261" spans="1:9">
      <c r="A261" s="51"/>
      <c r="B261" s="52"/>
      <c r="C261" s="52"/>
      <c r="D261" s="53"/>
      <c r="E261" s="51"/>
      <c r="F261" s="52"/>
      <c r="G261" s="52"/>
      <c r="H261" s="52"/>
      <c r="I261" s="54"/>
    </row>
    <row r="262" spans="1:9">
      <c r="A262" s="51"/>
      <c r="B262" s="52"/>
      <c r="C262" s="52"/>
      <c r="D262" s="53"/>
      <c r="E262" s="51"/>
      <c r="F262" s="52"/>
      <c r="G262" s="52"/>
      <c r="H262" s="52"/>
      <c r="I262" s="54"/>
    </row>
    <row r="263" spans="1:9">
      <c r="A263" s="51"/>
      <c r="B263" s="52"/>
      <c r="C263" s="52"/>
      <c r="D263" s="53"/>
      <c r="E263" s="51"/>
      <c r="F263" s="52"/>
      <c r="G263" s="52"/>
      <c r="H263" s="52"/>
      <c r="I263" s="54"/>
    </row>
    <row r="264" spans="1:9">
      <c r="A264" s="51"/>
      <c r="B264" s="52"/>
      <c r="C264" s="52"/>
      <c r="D264" s="53"/>
      <c r="E264" s="51"/>
      <c r="F264" s="52"/>
      <c r="G264" s="52"/>
      <c r="H264" s="52"/>
      <c r="I264" s="54"/>
    </row>
    <row r="265" spans="1:9">
      <c r="A265" s="51"/>
      <c r="B265" s="52"/>
      <c r="C265" s="52"/>
      <c r="D265" s="53"/>
      <c r="E265" s="51"/>
      <c r="F265" s="52"/>
      <c r="G265" s="52"/>
      <c r="H265" s="52"/>
      <c r="I265" s="54"/>
    </row>
    <row r="266" spans="1:9">
      <c r="A266" s="51"/>
      <c r="B266" s="52"/>
      <c r="C266" s="52"/>
      <c r="D266" s="53"/>
      <c r="E266" s="51"/>
      <c r="F266" s="52"/>
      <c r="G266" s="52"/>
      <c r="H266" s="52"/>
      <c r="I266" s="54"/>
    </row>
    <row r="267" spans="1:9">
      <c r="A267" s="51"/>
      <c r="B267" s="52"/>
      <c r="C267" s="52"/>
      <c r="D267" s="53"/>
      <c r="E267" s="51"/>
      <c r="F267" s="52"/>
      <c r="G267" s="52"/>
      <c r="H267" s="52"/>
      <c r="I267" s="54"/>
    </row>
    <row r="268" spans="1:9">
      <c r="A268" s="51"/>
      <c r="B268" s="52"/>
      <c r="C268" s="52"/>
      <c r="D268" s="53"/>
      <c r="E268" s="51"/>
      <c r="F268" s="52"/>
      <c r="G268" s="52"/>
      <c r="H268" s="52"/>
      <c r="I268" s="54"/>
    </row>
    <row r="269" spans="1:9">
      <c r="A269" s="51"/>
      <c r="B269" s="52"/>
      <c r="C269" s="52"/>
      <c r="D269" s="53"/>
      <c r="E269" s="51"/>
      <c r="F269" s="52"/>
      <c r="G269" s="52"/>
      <c r="H269" s="52"/>
      <c r="I269" s="54"/>
    </row>
    <row r="270" spans="1:9">
      <c r="A270" s="51"/>
      <c r="B270" s="52"/>
      <c r="C270" s="52"/>
      <c r="D270" s="53"/>
      <c r="E270" s="51"/>
      <c r="F270" s="52"/>
      <c r="G270" s="52"/>
      <c r="H270" s="52"/>
      <c r="I270" s="54"/>
    </row>
    <row r="271" spans="1:9">
      <c r="A271" s="51"/>
      <c r="B271" s="52"/>
      <c r="C271" s="52"/>
      <c r="D271" s="53"/>
      <c r="E271" s="51"/>
      <c r="F271" s="52"/>
      <c r="G271" s="52"/>
      <c r="H271" s="52"/>
      <c r="I271" s="54"/>
    </row>
    <row r="272" spans="1:9">
      <c r="A272" s="51"/>
      <c r="B272" s="52"/>
      <c r="C272" s="52"/>
      <c r="D272" s="53"/>
      <c r="E272" s="51"/>
      <c r="F272" s="52"/>
      <c r="G272" s="52"/>
      <c r="H272" s="52"/>
      <c r="I272" s="54"/>
    </row>
    <row r="273" spans="1:9">
      <c r="A273" s="51"/>
      <c r="B273" s="52"/>
      <c r="C273" s="52"/>
      <c r="D273" s="53"/>
      <c r="E273" s="51"/>
      <c r="F273" s="52"/>
      <c r="G273" s="52"/>
      <c r="H273" s="52"/>
      <c r="I273" s="54"/>
    </row>
    <row r="274" spans="1:9">
      <c r="A274" s="51"/>
      <c r="B274" s="52"/>
      <c r="C274" s="52"/>
      <c r="D274" s="53"/>
      <c r="E274" s="51"/>
      <c r="F274" s="52"/>
      <c r="G274" s="52"/>
      <c r="H274" s="52"/>
      <c r="I274" s="54"/>
    </row>
    <row r="275" spans="1:9">
      <c r="A275" s="51"/>
      <c r="B275" s="52"/>
      <c r="C275" s="52"/>
      <c r="D275" s="53"/>
      <c r="E275" s="51"/>
      <c r="F275" s="52"/>
      <c r="G275" s="52"/>
      <c r="H275" s="52"/>
      <c r="I275" s="54"/>
    </row>
    <row r="276" spans="1:9">
      <c r="A276" s="51"/>
      <c r="B276" s="52"/>
      <c r="C276" s="52"/>
      <c r="D276" s="53"/>
      <c r="E276" s="51"/>
      <c r="F276" s="52"/>
      <c r="G276" s="52"/>
      <c r="H276" s="52"/>
      <c r="I276" s="54"/>
    </row>
    <row r="277" spans="1:9">
      <c r="A277" s="51"/>
      <c r="B277" s="52"/>
      <c r="C277" s="52"/>
      <c r="D277" s="53"/>
      <c r="E277" s="51"/>
      <c r="F277" s="52"/>
      <c r="G277" s="52"/>
      <c r="H277" s="52"/>
      <c r="I277" s="54"/>
    </row>
    <row r="278" spans="1:9">
      <c r="A278" s="51"/>
      <c r="B278" s="52"/>
      <c r="C278" s="52"/>
      <c r="D278" s="53"/>
      <c r="E278" s="51"/>
      <c r="F278" s="52"/>
      <c r="G278" s="52"/>
      <c r="H278" s="52"/>
      <c r="I278" s="54"/>
    </row>
    <row r="279" spans="1:9">
      <c r="A279" s="51"/>
      <c r="B279" s="52"/>
      <c r="C279" s="52"/>
      <c r="D279" s="53"/>
      <c r="E279" s="51"/>
      <c r="F279" s="52"/>
      <c r="G279" s="52"/>
      <c r="H279" s="52"/>
      <c r="I279" s="54"/>
    </row>
    <row r="280" spans="1:9">
      <c r="A280" s="51"/>
      <c r="B280" s="52"/>
      <c r="C280" s="52"/>
      <c r="D280" s="53"/>
      <c r="E280" s="51"/>
      <c r="F280" s="52"/>
      <c r="G280" s="52"/>
      <c r="H280" s="52"/>
      <c r="I280" s="54"/>
    </row>
    <row r="281" spans="1:9">
      <c r="A281" s="51"/>
      <c r="B281" s="52"/>
      <c r="C281" s="52"/>
      <c r="D281" s="53"/>
      <c r="E281" s="51"/>
      <c r="F281" s="52"/>
      <c r="G281" s="52"/>
      <c r="H281" s="52"/>
      <c r="I281" s="54"/>
    </row>
    <row r="282" spans="1:9">
      <c r="A282" s="51"/>
      <c r="B282" s="52"/>
      <c r="C282" s="52"/>
      <c r="D282" s="53"/>
      <c r="E282" s="51"/>
      <c r="F282" s="52"/>
      <c r="G282" s="52"/>
      <c r="H282" s="52"/>
      <c r="I282" s="54"/>
    </row>
    <row r="283" spans="1:9">
      <c r="A283" s="51"/>
      <c r="B283" s="52"/>
      <c r="C283" s="52"/>
      <c r="D283" s="53"/>
      <c r="E283" s="51"/>
      <c r="F283" s="52"/>
      <c r="G283" s="52"/>
      <c r="H283" s="52"/>
      <c r="I283" s="54"/>
    </row>
    <row r="284" spans="1:9">
      <c r="A284" s="51"/>
      <c r="B284" s="52"/>
      <c r="C284" s="52"/>
      <c r="D284" s="53"/>
      <c r="E284" s="51"/>
      <c r="F284" s="52"/>
      <c r="G284" s="52"/>
      <c r="H284" s="52"/>
      <c r="I284" s="54"/>
    </row>
    <row r="285" spans="1:9">
      <c r="A285" s="51"/>
      <c r="B285" s="52"/>
      <c r="C285" s="52"/>
      <c r="D285" s="53"/>
      <c r="E285" s="51"/>
      <c r="F285" s="52"/>
      <c r="G285" s="52"/>
      <c r="H285" s="52"/>
      <c r="I285" s="54"/>
    </row>
  </sheetData>
  <autoFilter ref="A2:BB90" xr:uid="{219CCCB6-AD06-40AF-BFCF-330308BEC65D}">
    <filterColumn colId="2">
      <filters>
        <filter val="Trozado L5"/>
      </filters>
    </filterColumn>
  </autoFilter>
  <mergeCells count="10">
    <mergeCell ref="F1:G1"/>
    <mergeCell ref="H1:I1"/>
    <mergeCell ref="A1:E1"/>
    <mergeCell ref="AE1:AK1"/>
    <mergeCell ref="AL1:AP1"/>
    <mergeCell ref="AQ1:AV1"/>
    <mergeCell ref="AW1:BB1"/>
    <mergeCell ref="J1:P1"/>
    <mergeCell ref="Q1:W1"/>
    <mergeCell ref="X1:AD1"/>
  </mergeCells>
  <conditionalFormatting sqref="J3:AC1048576">
    <cfRule type="cellIs" dxfId="51" priority="9" operator="equal">
      <formula>"NO"</formula>
    </cfRule>
    <cfRule type="cellIs" dxfId="50" priority="10" operator="equal">
      <formula>"SI"</formula>
    </cfRule>
  </conditionalFormatting>
  <conditionalFormatting sqref="AD3:AD90">
    <cfRule type="cellIs" dxfId="49" priority="7" operator="equal">
      <formula>"No Aceptable"</formula>
    </cfRule>
    <cfRule type="cellIs" dxfId="48" priority="8" operator="equal">
      <formula>"Aceptable"</formula>
    </cfRule>
  </conditionalFormatting>
  <conditionalFormatting sqref="AE3:AU162">
    <cfRule type="cellIs" dxfId="47" priority="4" operator="equal">
      <formula>"SI"</formula>
    </cfRule>
    <cfRule type="cellIs" dxfId="46" priority="5" operator="equal">
      <formula>"NO"</formula>
    </cfRule>
  </conditionalFormatting>
  <conditionalFormatting sqref="AV3:AV90">
    <cfRule type="cellIs" dxfId="45" priority="1" operator="equal">
      <formula>"Critico"</formula>
    </cfRule>
    <cfRule type="cellIs" dxfId="44" priority="2" operator="equal">
      <formula>"No Critico"</formula>
    </cfRule>
  </conditionalFormatting>
  <dataValidations count="3">
    <dataValidation type="list" allowBlank="1" showInputMessage="1" showErrorMessage="1" sqref="Q91:Q217 X91:X217 J3:P217 R3:W217 Y3:AC217" xr:uid="{8A5CA8CE-11D8-45B4-B8DC-ECF22B7EB625}">
      <formula1>"SI,NO,N/A"</formula1>
    </dataValidation>
    <dataValidation type="list" allowBlank="1" showInputMessage="1" showErrorMessage="1" sqref="Q3:Q90 X3:X90" xr:uid="{F42F1AF1-D6B9-4367-9F14-25D49AA2E629}">
      <formula1>"Derecha,Izquierda,Ambos"</formula1>
    </dataValidation>
    <dataValidation type="list" allowBlank="1" showInputMessage="1" showErrorMessage="1" sqref="AE3:AU162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sheetPr filterMode="1"/>
  <dimension ref="A1:BJ285"/>
  <sheetViews>
    <sheetView workbookViewId="0">
      <pane xSplit="9" ySplit="2" topLeftCell="AC45" activePane="bottomRight" state="frozen"/>
      <selection pane="bottomRight" activeCell="AH78" sqref="AH78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73" customWidth="1"/>
    <col min="6" max="6" width="11.5703125" style="1"/>
    <col min="9" max="9" width="11.5703125" style="74" customWidth="1"/>
    <col min="10" max="10" width="15.85546875" style="96" customWidth="1"/>
    <col min="11" max="11" width="18.28515625" style="4" customWidth="1"/>
    <col min="12" max="12" width="17.85546875" style="4" customWidth="1"/>
    <col min="13" max="13" width="15" style="4" customWidth="1"/>
    <col min="14" max="14" width="14.28515625" style="4" customWidth="1"/>
    <col min="15" max="15" width="18.28515625" style="4" customWidth="1"/>
    <col min="16" max="16" width="19.85546875" style="4" customWidth="1"/>
    <col min="17" max="17" width="20.28515625" style="4" customWidth="1"/>
    <col min="18" max="18" width="13.28515625" style="4" customWidth="1"/>
    <col min="19" max="19" width="19.42578125" style="4" customWidth="1"/>
    <col min="20" max="20" width="22" style="4" customWidth="1"/>
    <col min="21" max="24" width="11.5703125" style="4"/>
    <col min="25" max="25" width="34.28515625" style="4" customWidth="1"/>
    <col min="26" max="27" width="11.5703125" style="4"/>
    <col min="28" max="28" width="16.28515625" style="4" customWidth="1"/>
    <col min="29" max="30" width="11.5703125" style="4"/>
    <col min="31" max="32" width="14" style="4" customWidth="1"/>
    <col min="33" max="33" width="13.28515625" style="4" customWidth="1"/>
    <col min="34" max="34" width="30.140625" style="4" customWidth="1"/>
    <col min="35" max="35" width="14.7109375" style="4" customWidth="1"/>
    <col min="36" max="36" width="30.5703125" style="4" customWidth="1"/>
    <col min="37" max="38" width="11.5703125" style="4"/>
    <col min="39" max="39" width="14.28515625" style="4" customWidth="1"/>
    <col min="40" max="40" width="11.5703125" style="4"/>
    <col min="41" max="41" width="20" style="4" customWidth="1"/>
    <col min="42" max="42" width="15.5703125" style="4" customWidth="1"/>
    <col min="43" max="55" width="11.5703125" style="4"/>
    <col min="56" max="56" width="13.7109375" style="4" customWidth="1"/>
    <col min="57" max="60" width="11.5703125" style="4"/>
  </cols>
  <sheetData>
    <row r="1" spans="1:62" ht="51.6" customHeight="1" thickBot="1">
      <c r="A1" s="144" t="s">
        <v>382</v>
      </c>
      <c r="B1" s="134"/>
      <c r="C1" s="134"/>
      <c r="D1" s="134"/>
      <c r="E1" s="134"/>
      <c r="F1" s="134" t="s">
        <v>306</v>
      </c>
      <c r="G1" s="134"/>
      <c r="H1" s="134" t="s">
        <v>307</v>
      </c>
      <c r="I1" s="134"/>
      <c r="J1" s="150" t="s">
        <v>383</v>
      </c>
      <c r="K1" s="151"/>
      <c r="L1" s="152"/>
      <c r="M1" s="150" t="s">
        <v>384</v>
      </c>
      <c r="N1" s="151"/>
      <c r="O1" s="151"/>
      <c r="P1" s="152"/>
      <c r="Q1" s="150" t="s">
        <v>385</v>
      </c>
      <c r="R1" s="151"/>
      <c r="S1" s="151"/>
      <c r="T1" s="152"/>
      <c r="U1" s="150" t="s">
        <v>386</v>
      </c>
      <c r="V1" s="151"/>
      <c r="W1" s="151"/>
      <c r="X1" s="152"/>
      <c r="Y1" s="88" t="s">
        <v>387</v>
      </c>
      <c r="Z1" s="150" t="s">
        <v>388</v>
      </c>
      <c r="AA1" s="151"/>
      <c r="AB1" s="151"/>
      <c r="AC1" s="150" t="s">
        <v>389</v>
      </c>
      <c r="AD1" s="151"/>
      <c r="AE1" s="151"/>
      <c r="AF1" s="145" t="s">
        <v>390</v>
      </c>
      <c r="AG1" s="75" t="s">
        <v>391</v>
      </c>
      <c r="AH1" s="150" t="s">
        <v>392</v>
      </c>
      <c r="AI1" s="151"/>
      <c r="AJ1" s="151"/>
      <c r="AK1" s="151" t="s">
        <v>393</v>
      </c>
      <c r="AL1" s="151"/>
      <c r="AM1" s="151"/>
      <c r="AN1" s="152"/>
      <c r="AO1" s="87" t="s">
        <v>394</v>
      </c>
      <c r="AP1" s="150" t="s">
        <v>395</v>
      </c>
      <c r="AQ1" s="151"/>
      <c r="AR1" s="151"/>
      <c r="AS1" s="151"/>
      <c r="AT1" s="151"/>
      <c r="AU1" s="151"/>
      <c r="AV1" s="152"/>
      <c r="AW1" s="153" t="s">
        <v>396</v>
      </c>
      <c r="AX1" s="153"/>
      <c r="AY1" s="153"/>
      <c r="AZ1" s="153"/>
      <c r="BA1" s="153"/>
      <c r="BB1" s="153" t="s">
        <v>397</v>
      </c>
      <c r="BC1" s="150"/>
      <c r="BD1" s="94" t="s">
        <v>391</v>
      </c>
      <c r="BE1" s="147" t="s">
        <v>310</v>
      </c>
      <c r="BF1" s="148"/>
      <c r="BG1" s="148"/>
      <c r="BH1" s="148"/>
      <c r="BI1" s="148"/>
      <c r="BJ1" s="149"/>
    </row>
    <row r="2" spans="1:62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70" t="s">
        <v>40</v>
      </c>
      <c r="F2" s="71" t="s">
        <v>311</v>
      </c>
      <c r="G2" s="71" t="s">
        <v>312</v>
      </c>
      <c r="H2" s="71" t="s">
        <v>313</v>
      </c>
      <c r="I2" s="72" t="s">
        <v>314</v>
      </c>
      <c r="J2" s="95" t="s">
        <v>398</v>
      </c>
      <c r="K2" s="18" t="s">
        <v>399</v>
      </c>
      <c r="L2" s="18" t="s">
        <v>400</v>
      </c>
      <c r="M2" s="18" t="s">
        <v>401</v>
      </c>
      <c r="N2" s="18" t="s">
        <v>402</v>
      </c>
      <c r="O2" s="18" t="s">
        <v>403</v>
      </c>
      <c r="P2" s="18" t="s">
        <v>404</v>
      </c>
      <c r="Q2" s="18" t="s">
        <v>405</v>
      </c>
      <c r="R2" s="18" t="s">
        <v>406</v>
      </c>
      <c r="S2" s="18" t="s">
        <v>407</v>
      </c>
      <c r="T2" s="18" t="s">
        <v>408</v>
      </c>
      <c r="U2" s="18" t="s">
        <v>405</v>
      </c>
      <c r="V2" s="18" t="s">
        <v>406</v>
      </c>
      <c r="W2" s="18" t="s">
        <v>407</v>
      </c>
      <c r="X2" s="18" t="s">
        <v>409</v>
      </c>
      <c r="Y2" s="18" t="s">
        <v>410</v>
      </c>
      <c r="Z2" s="18" t="s">
        <v>411</v>
      </c>
      <c r="AA2" s="18" t="s">
        <v>412</v>
      </c>
      <c r="AB2" s="18" t="s">
        <v>413</v>
      </c>
      <c r="AC2" s="18" t="s">
        <v>414</v>
      </c>
      <c r="AD2" s="18" t="s">
        <v>415</v>
      </c>
      <c r="AE2" s="18" t="s">
        <v>416</v>
      </c>
      <c r="AF2" s="146"/>
      <c r="AG2" s="75" t="s">
        <v>321</v>
      </c>
      <c r="AH2" s="18" t="s">
        <v>417</v>
      </c>
      <c r="AI2" s="18" t="s">
        <v>418</v>
      </c>
      <c r="AJ2" s="18" t="s">
        <v>419</v>
      </c>
      <c r="AK2" s="18" t="s">
        <v>420</v>
      </c>
      <c r="AL2" s="18" t="s">
        <v>421</v>
      </c>
      <c r="AM2" s="18" t="s">
        <v>422</v>
      </c>
      <c r="AN2" s="18" t="s">
        <v>423</v>
      </c>
      <c r="AO2" s="18" t="s">
        <v>424</v>
      </c>
      <c r="AP2" s="18" t="s">
        <v>425</v>
      </c>
      <c r="AQ2" s="18" t="s">
        <v>426</v>
      </c>
      <c r="AR2" s="18" t="s">
        <v>427</v>
      </c>
      <c r="AS2" s="18" t="s">
        <v>428</v>
      </c>
      <c r="AT2" s="18" t="s">
        <v>429</v>
      </c>
      <c r="AU2" s="18" t="s">
        <v>430</v>
      </c>
      <c r="AV2" s="18" t="s">
        <v>431</v>
      </c>
      <c r="AW2" s="18" t="s">
        <v>432</v>
      </c>
      <c r="AX2" s="18" t="s">
        <v>433</v>
      </c>
      <c r="AY2" s="18" t="s">
        <v>434</v>
      </c>
      <c r="AZ2" s="18" t="s">
        <v>435</v>
      </c>
      <c r="BA2" s="18" t="s">
        <v>436</v>
      </c>
      <c r="BB2" s="18" t="s">
        <v>437</v>
      </c>
      <c r="BC2" s="18" t="s">
        <v>438</v>
      </c>
      <c r="BD2" s="18" t="s">
        <v>328</v>
      </c>
      <c r="BE2" s="18" t="s">
        <v>329</v>
      </c>
      <c r="BF2" s="18" t="s">
        <v>330</v>
      </c>
      <c r="BG2" s="18" t="s">
        <v>331</v>
      </c>
      <c r="BH2" s="18" t="s">
        <v>332</v>
      </c>
      <c r="BI2" s="13" t="s">
        <v>333</v>
      </c>
      <c r="BJ2" s="13" t="s">
        <v>334</v>
      </c>
    </row>
    <row r="3" spans="1:62" s="5" customFormat="1" ht="25.9" hidden="1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IF(Inicial!L3="SI",Inicial!E3,"N/A")</f>
        <v>N/A</v>
      </c>
      <c r="F3" s="52" t="str">
        <f>IF(Inicial!L3="SI",Inicial!F3,"N/A")</f>
        <v>N/A</v>
      </c>
      <c r="G3" s="52" t="str">
        <f>IF(Inicial!L3="SI",Inicial!G3,"N/A")</f>
        <v>N/A</v>
      </c>
      <c r="H3" s="52" t="str">
        <f>IF(Inicial!L3="SI",Inicial!H3,"N/A")</f>
        <v>N/A</v>
      </c>
      <c r="I3" s="54" t="str">
        <f>IF(Inicial!L3="SI",Inicial!I3,"N/A")</f>
        <v>N/A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6" t="str" cm="1">
        <f t="array" ref="AG3">IF(OR(M3:AF3="NO"),"No aceptable","Aceptable")</f>
        <v>Aceptable</v>
      </c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3" t="str" cm="1">
        <f t="array" ref="BD3">IF(OR(AK3:BC3="SI"),"Critico","No Critico")</f>
        <v>No Critico</v>
      </c>
      <c r="BE3" s="96"/>
      <c r="BF3" s="96"/>
      <c r="BG3" s="96"/>
      <c r="BH3" s="96"/>
      <c r="BI3" s="1"/>
      <c r="BJ3" s="1"/>
    </row>
    <row r="4" spans="1:62" ht="25.9" hidden="1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IF(Inicial!L4="SI",Inicial!E4,"N/A")</f>
        <v>N/A</v>
      </c>
      <c r="F4" s="52" t="str">
        <f>IF(Inicial!L4="SI",Inicial!F4,"N/A")</f>
        <v>N/A</v>
      </c>
      <c r="G4" s="52" t="str">
        <f>IF(Inicial!L4="SI",Inicial!G4,"N/A")</f>
        <v>N/A</v>
      </c>
      <c r="H4" s="52" t="str">
        <f>IF(Inicial!L4="SI",Inicial!H4,"N/A")</f>
        <v>N/A</v>
      </c>
      <c r="I4" s="54" t="str">
        <f>IF(Inicial!L4="SI",Inicial!I4,"N/A")</f>
        <v>N/A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6" t="str" cm="1">
        <f t="array" ref="AG4">IF(OR(M4:AF4="NO"),"No aceptable","Aceptable")</f>
        <v>Aceptable</v>
      </c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3" t="str" cm="1">
        <f t="array" ref="BD4">IF(OR(AK4:BC4="SI"),"Critico","No Critico")</f>
        <v>No Critico</v>
      </c>
      <c r="BE4" s="96"/>
      <c r="BF4" s="96"/>
      <c r="BG4" s="96"/>
      <c r="BH4" s="96"/>
      <c r="BI4" s="1"/>
      <c r="BJ4" s="1"/>
    </row>
    <row r="5" spans="1:62" ht="25.9" hidden="1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IF(Inicial!L5="SI",Inicial!E5,"N/A")</f>
        <v>N/A</v>
      </c>
      <c r="F5" s="52" t="str">
        <f>IF(Inicial!L5="SI",Inicial!F5,"N/A")</f>
        <v>N/A</v>
      </c>
      <c r="G5" s="52" t="str">
        <f>IF(Inicial!L5="SI",Inicial!G5,"N/A")</f>
        <v>N/A</v>
      </c>
      <c r="H5" s="52" t="str">
        <f>IF(Inicial!L5="SI",Inicial!H5,"N/A")</f>
        <v>N/A</v>
      </c>
      <c r="I5" s="54" t="str">
        <f>IF(Inicial!L5="SI",Inicial!I5,"N/A")</f>
        <v>N/A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6" t="str" cm="1">
        <f t="array" ref="AG5">IF(OR(M5:AF5="NO"),"No aceptable","Aceptable")</f>
        <v>Aceptable</v>
      </c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3" t="str" cm="1">
        <f t="array" ref="BD5">IF(OR(AK5:BC5="SI"),"Critico","No Critico")</f>
        <v>No Critico</v>
      </c>
      <c r="BE5" s="96"/>
      <c r="BF5" s="96"/>
      <c r="BG5" s="96"/>
      <c r="BH5" s="96"/>
      <c r="BI5" s="1"/>
      <c r="BJ5" s="1"/>
    </row>
    <row r="6" spans="1:62" ht="25.9" hidden="1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IF(Inicial!L6="SI",Inicial!E6,"N/A")</f>
        <v>N/A</v>
      </c>
      <c r="F6" s="52" t="str">
        <f>IF(Inicial!L6="SI",Inicial!F6,"N/A")</f>
        <v>N/A</v>
      </c>
      <c r="G6" s="52" t="str">
        <f>IF(Inicial!L6="SI",Inicial!G6,"N/A")</f>
        <v>N/A</v>
      </c>
      <c r="H6" s="52" t="str">
        <f>IF(Inicial!L6="SI",Inicial!H6,"N/A")</f>
        <v>N/A</v>
      </c>
      <c r="I6" s="54" t="str">
        <f>IF(Inicial!L6="SI",Inicial!I6,"N/A")</f>
        <v>N/A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6" t="str" cm="1">
        <f t="array" ref="AG6">IF(OR(M6:AF6="NO"),"No aceptable","Aceptable")</f>
        <v>Aceptable</v>
      </c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3" t="str" cm="1">
        <f t="array" ref="BD6">IF(OR(AK6:BC6="SI"),"Critico","No Critico")</f>
        <v>No Critico</v>
      </c>
    </row>
    <row r="7" spans="1:62" ht="34.15" hidden="1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IF(Inicial!L7="SI",Inicial!E7,"N/A")</f>
        <v>N/A</v>
      </c>
      <c r="F7" s="52" t="str">
        <f>IF(Inicial!L7="SI",Inicial!F7,"N/A")</f>
        <v>N/A</v>
      </c>
      <c r="G7" s="52" t="str">
        <f>IF(Inicial!L7="SI",Inicial!G7,"N/A")</f>
        <v>N/A</v>
      </c>
      <c r="H7" s="52" t="str">
        <f>IF(Inicial!L7="SI",Inicial!H7,"N/A")</f>
        <v>N/A</v>
      </c>
      <c r="I7" s="54" t="str">
        <f>IF(Inicial!L7="SI",Inicial!I7,"N/A")</f>
        <v>N/A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6" t="str" cm="1">
        <f t="array" ref="AG7">IF(OR(M7:AF7="NO"),"No aceptable","Aceptable")</f>
        <v>Aceptable</v>
      </c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3" t="str" cm="1">
        <f t="array" ref="BD7">IF(OR(AK7:BC7="SI"),"Critico","No Critico")</f>
        <v>No Critico</v>
      </c>
    </row>
    <row r="8" spans="1:62" ht="34.15" hidden="1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IF(Inicial!L8="SI",Inicial!E8,"N/A")</f>
        <v>N/A</v>
      </c>
      <c r="F8" s="52" t="str">
        <f>IF(Inicial!L8="SI",Inicial!F8,"N/A")</f>
        <v>N/A</v>
      </c>
      <c r="G8" s="52" t="str">
        <f>IF(Inicial!L8="SI",Inicial!G8,"N/A")</f>
        <v>N/A</v>
      </c>
      <c r="H8" s="52" t="str">
        <f>IF(Inicial!L8="SI",Inicial!H8,"N/A")</f>
        <v>N/A</v>
      </c>
      <c r="I8" s="54" t="str">
        <f>IF(Inicial!L8="SI",Inicial!I8,"N/A")</f>
        <v>N/A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6" t="str" cm="1">
        <f t="array" ref="AG8">IF(OR(M8:AF8="NO"),"No aceptable","Aceptable")</f>
        <v>Aceptable</v>
      </c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3" t="str" cm="1">
        <f t="array" ref="BD8">IF(OR(AK8:BC8="SI"),"Critico","No Critico")</f>
        <v>No Critico</v>
      </c>
    </row>
    <row r="9" spans="1:62" ht="34.15" hidden="1" customHeight="1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IF(Inicial!L9="SI",Inicial!E9,"N/A")</f>
        <v>N/A</v>
      </c>
      <c r="F9" s="52" t="str">
        <f>IF(Inicial!L9="SI",Inicial!F9,"N/A")</f>
        <v>N/A</v>
      </c>
      <c r="G9" s="52" t="str">
        <f>IF(Inicial!L9="SI",Inicial!G9,"N/A")</f>
        <v>N/A</v>
      </c>
      <c r="H9" s="52" t="str">
        <f>IF(Inicial!L9="SI",Inicial!H9,"N/A")</f>
        <v>N/A</v>
      </c>
      <c r="I9" s="54" t="str">
        <f>IF(Inicial!L9="SI",Inicial!I9,"N/A")</f>
        <v>N/A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6" t="str" cm="1">
        <f t="array" ref="AG9">IF(OR(M9:AF9="NO"),"No aceptable","Aceptable")</f>
        <v>Aceptable</v>
      </c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3" t="str" cm="1">
        <f t="array" ref="BD9">IF(OR(AK9:BC9="SI"),"Critico","No Critico")</f>
        <v>No Critico</v>
      </c>
    </row>
    <row r="10" spans="1:62" ht="34.15" hidden="1" customHeight="1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IF(Inicial!L10="SI",Inicial!E10,"N/A")</f>
        <v>N/A</v>
      </c>
      <c r="F10" s="52" t="str">
        <f>IF(Inicial!L10="SI",Inicial!F10,"N/A")</f>
        <v>N/A</v>
      </c>
      <c r="G10" s="52" t="str">
        <f>IF(Inicial!L10="SI",Inicial!G10,"N/A")</f>
        <v>N/A</v>
      </c>
      <c r="H10" s="52" t="str">
        <f>IF(Inicial!L10="SI",Inicial!H10,"N/A")</f>
        <v>N/A</v>
      </c>
      <c r="I10" s="54" t="str">
        <f>IF(Inicial!L10="SI",Inicial!I10,"N/A")</f>
        <v>N/A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6" t="str" cm="1">
        <f t="array" ref="AG10">IF(OR(M10:AF10="NO"),"No aceptable","Aceptable")</f>
        <v>Aceptable</v>
      </c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3" t="str" cm="1">
        <f t="array" ref="BD10">IF(OR(AK10:BC10="SI"),"Critico","No Critico")</f>
        <v>No Critico</v>
      </c>
    </row>
    <row r="11" spans="1:62" ht="34.15" hidden="1" customHeight="1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IF(Inicial!L11="SI",Inicial!E11,"N/A")</f>
        <v>07:05 - 15:05 - 15:05 - 00:05</v>
      </c>
      <c r="F11" s="52" t="str">
        <f>IF(Inicial!L11="SI",Inicial!F11,"N/A")</f>
        <v>N/A</v>
      </c>
      <c r="G11" s="52">
        <f>IF(Inicial!L11="SI",Inicial!G11,"N/A")</f>
        <v>2</v>
      </c>
      <c r="H11" s="52">
        <f>IF(Inicial!L11="SI",Inicial!H11,"N/A")</f>
        <v>40</v>
      </c>
      <c r="I11" s="54">
        <f>IF(Inicial!L11="SI",Inicial!I11,"N/A")</f>
        <v>20</v>
      </c>
      <c r="J11" s="77" t="s">
        <v>115</v>
      </c>
      <c r="K11" s="77" t="s">
        <v>64</v>
      </c>
      <c r="L11" s="77" t="s">
        <v>64</v>
      </c>
      <c r="M11" s="77" t="s">
        <v>64</v>
      </c>
      <c r="N11" s="77" t="s">
        <v>64</v>
      </c>
      <c r="O11" s="77" t="s">
        <v>64</v>
      </c>
      <c r="P11" s="77" t="s">
        <v>64</v>
      </c>
      <c r="Q11" s="77" t="s">
        <v>59</v>
      </c>
      <c r="R11" s="77" t="s">
        <v>59</v>
      </c>
      <c r="S11" s="77" t="s">
        <v>59</v>
      </c>
      <c r="T11" s="77" t="s">
        <v>59</v>
      </c>
      <c r="U11" s="77" t="s">
        <v>59</v>
      </c>
      <c r="V11" s="77" t="s">
        <v>59</v>
      </c>
      <c r="W11" s="77" t="s">
        <v>59</v>
      </c>
      <c r="X11" s="77" t="s">
        <v>59</v>
      </c>
      <c r="Y11" s="77" t="s">
        <v>115</v>
      </c>
      <c r="Z11" s="77" t="s">
        <v>64</v>
      </c>
      <c r="AA11" s="77" t="s">
        <v>64</v>
      </c>
      <c r="AB11" s="77" t="s">
        <v>64</v>
      </c>
      <c r="AC11" s="77" t="s">
        <v>115</v>
      </c>
      <c r="AD11" s="77" t="s">
        <v>64</v>
      </c>
      <c r="AE11" s="77" t="s">
        <v>64</v>
      </c>
      <c r="AF11" s="77" t="s">
        <v>64</v>
      </c>
      <c r="AG11" s="76" t="str" cm="1">
        <f t="array" ref="AG11">IF(OR(M11:AF11="NO"),"No aceptable","Aceptable")</f>
        <v>No aceptable</v>
      </c>
      <c r="AH11" s="77" t="s">
        <v>115</v>
      </c>
      <c r="AI11" s="77" t="s">
        <v>115</v>
      </c>
      <c r="AJ11" s="77" t="s">
        <v>115</v>
      </c>
      <c r="AK11" s="77" t="s">
        <v>115</v>
      </c>
      <c r="AL11" s="77" t="s">
        <v>115</v>
      </c>
      <c r="AM11" s="77" t="s">
        <v>115</v>
      </c>
      <c r="AN11" s="77" t="s">
        <v>115</v>
      </c>
      <c r="AO11" s="77" t="s">
        <v>115</v>
      </c>
      <c r="AP11" s="77" t="s">
        <v>115</v>
      </c>
      <c r="AQ11" s="77" t="s">
        <v>64</v>
      </c>
      <c r="AR11" s="77" t="s">
        <v>115</v>
      </c>
      <c r="AS11" s="77" t="s">
        <v>115</v>
      </c>
      <c r="AT11" s="77" t="s">
        <v>115</v>
      </c>
      <c r="AU11" s="77" t="s">
        <v>59</v>
      </c>
      <c r="AV11" s="77" t="s">
        <v>115</v>
      </c>
      <c r="AW11" s="77" t="s">
        <v>115</v>
      </c>
      <c r="AX11" s="77" t="s">
        <v>115</v>
      </c>
      <c r="AY11" s="77" t="s">
        <v>115</v>
      </c>
      <c r="AZ11" s="77" t="s">
        <v>115</v>
      </c>
      <c r="BA11" s="77" t="s">
        <v>115</v>
      </c>
      <c r="BB11" s="77" t="s">
        <v>59</v>
      </c>
      <c r="BC11" s="77" t="s">
        <v>59</v>
      </c>
      <c r="BD11" s="3" t="str" cm="1">
        <f t="array" ref="BD11">IF(OR(AK11:BC11="SI"),"Critico","No Critico")</f>
        <v>Critico</v>
      </c>
    </row>
    <row r="12" spans="1:62" ht="34.15" hidden="1" customHeight="1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IF(Inicial!L12="SI",Inicial!E12,"N/A")</f>
        <v>07:05 - 15:05 - 15:05 - 00:05</v>
      </c>
      <c r="F12" s="52" t="str">
        <f>IF(Inicial!L12="SI",Inicial!F12,"N/A")</f>
        <v>N/A</v>
      </c>
      <c r="G12" s="52">
        <f>IF(Inicial!L12="SI",Inicial!G12,"N/A")</f>
        <v>2</v>
      </c>
      <c r="H12" s="52">
        <f>IF(Inicial!L12="SI",Inicial!H12,"N/A")</f>
        <v>40</v>
      </c>
      <c r="I12" s="54">
        <f>IF(Inicial!L12="SI",Inicial!I12,"N/A")</f>
        <v>20</v>
      </c>
      <c r="J12" s="77" t="s">
        <v>115</v>
      </c>
      <c r="K12" s="77" t="s">
        <v>64</v>
      </c>
      <c r="L12" s="77" t="s">
        <v>64</v>
      </c>
      <c r="M12" s="77" t="s">
        <v>64</v>
      </c>
      <c r="N12" s="77" t="s">
        <v>64</v>
      </c>
      <c r="O12" s="77" t="s">
        <v>64</v>
      </c>
      <c r="P12" s="77" t="s">
        <v>64</v>
      </c>
      <c r="Q12" s="77" t="s">
        <v>59</v>
      </c>
      <c r="R12" s="77" t="s">
        <v>59</v>
      </c>
      <c r="S12" s="77" t="s">
        <v>59</v>
      </c>
      <c r="T12" s="77" t="s">
        <v>59</v>
      </c>
      <c r="U12" s="77" t="s">
        <v>64</v>
      </c>
      <c r="V12" s="77" t="s">
        <v>64</v>
      </c>
      <c r="W12" s="77" t="s">
        <v>64</v>
      </c>
      <c r="X12" s="77" t="s">
        <v>64</v>
      </c>
      <c r="Y12" s="77" t="s">
        <v>115</v>
      </c>
      <c r="Z12" s="77" t="s">
        <v>59</v>
      </c>
      <c r="AA12" s="77" t="s">
        <v>64</v>
      </c>
      <c r="AB12" s="77" t="s">
        <v>115</v>
      </c>
      <c r="AC12" s="77" t="s">
        <v>59</v>
      </c>
      <c r="AD12" s="77" t="s">
        <v>64</v>
      </c>
      <c r="AE12" s="77" t="s">
        <v>64</v>
      </c>
      <c r="AF12" s="77" t="s">
        <v>64</v>
      </c>
      <c r="AG12" s="76" t="str" cm="1">
        <f t="array" ref="AG12">IF(OR(M12:AF12="NO"),"No aceptable","Aceptable")</f>
        <v>No aceptable</v>
      </c>
      <c r="AH12" s="77" t="s">
        <v>115</v>
      </c>
      <c r="AI12" s="77" t="s">
        <v>115</v>
      </c>
      <c r="AJ12" s="77" t="s">
        <v>115</v>
      </c>
      <c r="AK12" s="77" t="s">
        <v>115</v>
      </c>
      <c r="AL12" s="77" t="s">
        <v>115</v>
      </c>
      <c r="AM12" s="77" t="s">
        <v>115</v>
      </c>
      <c r="AN12" s="77" t="s">
        <v>115</v>
      </c>
      <c r="AO12" s="77" t="s">
        <v>115</v>
      </c>
      <c r="AP12" s="77" t="s">
        <v>115</v>
      </c>
      <c r="AQ12" s="77" t="s">
        <v>115</v>
      </c>
      <c r="AR12" s="77" t="s">
        <v>115</v>
      </c>
      <c r="AS12" s="77" t="s">
        <v>115</v>
      </c>
      <c r="AT12" s="77" t="s">
        <v>115</v>
      </c>
      <c r="AU12" s="77" t="s">
        <v>115</v>
      </c>
      <c r="AV12" s="77" t="s">
        <v>115</v>
      </c>
      <c r="AW12" s="77" t="s">
        <v>115</v>
      </c>
      <c r="AX12" s="77" t="s">
        <v>115</v>
      </c>
      <c r="AY12" s="77" t="s">
        <v>115</v>
      </c>
      <c r="AZ12" s="77" t="s">
        <v>115</v>
      </c>
      <c r="BA12" s="77" t="s">
        <v>115</v>
      </c>
      <c r="BB12" s="77" t="s">
        <v>115</v>
      </c>
      <c r="BC12" s="77" t="s">
        <v>115</v>
      </c>
      <c r="BD12" s="3" t="str" cm="1">
        <f t="array" ref="BD12">IF(OR(AK12:BC12="SI"),"Critico","No Critico")</f>
        <v>No Critico</v>
      </c>
    </row>
    <row r="13" spans="1:62" ht="34.15" hidden="1" customHeight="1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IF(Inicial!L13="SI",Inicial!E13,"N/A")</f>
        <v>N/A</v>
      </c>
      <c r="F13" s="52" t="str">
        <f>IF(Inicial!L13="SI",Inicial!F13,"N/A")</f>
        <v>N/A</v>
      </c>
      <c r="G13" s="52" t="str">
        <f>IF(Inicial!L13="SI",Inicial!G13,"N/A")</f>
        <v>N/A</v>
      </c>
      <c r="H13" s="52" t="str">
        <f>IF(Inicial!L13="SI",Inicial!H13,"N/A")</f>
        <v>N/A</v>
      </c>
      <c r="I13" s="54" t="str">
        <f>IF(Inicial!L13="SI",Inicial!I13,"N/A")</f>
        <v>N/A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6" t="str" cm="1">
        <f t="array" ref="AG13">IF(OR(M13:AF13="NO"),"No aceptable","Aceptable")</f>
        <v>Aceptable</v>
      </c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3" t="str" cm="1">
        <f t="array" ref="BD13">IF(OR(AK13:BC13="SI"),"Critico","No Critico")</f>
        <v>No Critico</v>
      </c>
    </row>
    <row r="14" spans="1:62" ht="34.15" hidden="1" customHeight="1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IF(Inicial!L14="SI",Inicial!E14,"N/A")</f>
        <v>N/A</v>
      </c>
      <c r="F14" s="52" t="str">
        <f>IF(Inicial!L14="SI",Inicial!F14,"N/A")</f>
        <v>N/A</v>
      </c>
      <c r="G14" s="52" t="str">
        <f>IF(Inicial!L14="SI",Inicial!G14,"N/A")</f>
        <v>N/A</v>
      </c>
      <c r="H14" s="52" t="str">
        <f>IF(Inicial!L14="SI",Inicial!H14,"N/A")</f>
        <v>N/A</v>
      </c>
      <c r="I14" s="54" t="str">
        <f>IF(Inicial!L14="SI",Inicial!I14,"N/A")</f>
        <v>N/A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6" t="str" cm="1">
        <f t="array" ref="AG14">IF(OR(M14:AF14="NO"),"No aceptable","Aceptable")</f>
        <v>Aceptable</v>
      </c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3" t="str" cm="1">
        <f t="array" ref="BD14">IF(OR(AK14:BC14="SI"),"Critico","No Critico")</f>
        <v>No Critico</v>
      </c>
    </row>
    <row r="15" spans="1:62" ht="34.15" hidden="1" customHeight="1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IF(Inicial!L15="SI",Inicial!E15,"N/A")</f>
        <v>N/A</v>
      </c>
      <c r="F15" s="52" t="str">
        <f>IF(Inicial!L15="SI",Inicial!F15,"N/A")</f>
        <v>N/A</v>
      </c>
      <c r="G15" s="52" t="str">
        <f>IF(Inicial!L15="SI",Inicial!G15,"N/A")</f>
        <v>N/A</v>
      </c>
      <c r="H15" s="52" t="str">
        <f>IF(Inicial!L15="SI",Inicial!H15,"N/A")</f>
        <v>N/A</v>
      </c>
      <c r="I15" s="54" t="str">
        <f>IF(Inicial!L15="SI",Inicial!I15,"N/A")</f>
        <v>N/A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6" t="str" cm="1">
        <f t="array" ref="AG15">IF(OR(M15:AF15="NO"),"No aceptable","Aceptable")</f>
        <v>Aceptable</v>
      </c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3" t="str" cm="1">
        <f t="array" ref="BD15">IF(OR(AK15:BC15="SI"),"Critico","No Critico")</f>
        <v>No Critico</v>
      </c>
    </row>
    <row r="16" spans="1:62" ht="27.6" hidden="1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IF(Inicial!L16="SI",Inicial!E16,"N/A")</f>
        <v>N/A</v>
      </c>
      <c r="F16" s="52" t="str">
        <f>IF(Inicial!L16="SI",Inicial!F16,"N/A")</f>
        <v>N/A</v>
      </c>
      <c r="G16" s="52" t="str">
        <f>IF(Inicial!L16="SI",Inicial!G16,"N/A")</f>
        <v>N/A</v>
      </c>
      <c r="H16" s="52" t="str">
        <f>IF(Inicial!L16="SI",Inicial!H16,"N/A")</f>
        <v>N/A</v>
      </c>
      <c r="I16" s="54" t="str">
        <f>IF(Inicial!L16="SI",Inicial!I16,"N/A")</f>
        <v>N/A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6" t="str" cm="1">
        <f t="array" ref="AG16">IF(OR(M16:AF16="NO"),"No aceptable","Aceptable")</f>
        <v>Aceptable</v>
      </c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3" t="str" cm="1">
        <f t="array" ref="BD16">IF(OR(AK16:BC16="SI"),"Critico","No Critico")</f>
        <v>No Critico</v>
      </c>
    </row>
    <row r="17" spans="1:56" ht="27.6" hidden="1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IF(Inicial!L17="SI",Inicial!E17,"N/A")</f>
        <v>07:05 - 15:05 - 15:05 - 00:05</v>
      </c>
      <c r="F17" s="52" t="str">
        <f>IF(Inicial!L17="SI",Inicial!F17,"N/A")</f>
        <v>N/A</v>
      </c>
      <c r="G17" s="52">
        <f>IF(Inicial!L17="SI",Inicial!G17,"N/A")</f>
        <v>2</v>
      </c>
      <c r="H17" s="52">
        <f>IF(Inicial!L17="SI",Inicial!H17,"N/A")</f>
        <v>2</v>
      </c>
      <c r="I17" s="54">
        <f>IF(Inicial!L17="SI",Inicial!I17,"N/A")</f>
        <v>0</v>
      </c>
      <c r="J17" s="77" t="s">
        <v>115</v>
      </c>
      <c r="K17" s="77" t="s">
        <v>64</v>
      </c>
      <c r="L17" s="77" t="s">
        <v>64</v>
      </c>
      <c r="M17" s="77" t="s">
        <v>64</v>
      </c>
      <c r="N17" s="77" t="s">
        <v>64</v>
      </c>
      <c r="O17" s="77" t="s">
        <v>64</v>
      </c>
      <c r="P17" s="77" t="s">
        <v>64</v>
      </c>
      <c r="Q17" s="77" t="s">
        <v>59</v>
      </c>
      <c r="R17" s="77" t="s">
        <v>59</v>
      </c>
      <c r="S17" s="77" t="s">
        <v>59</v>
      </c>
      <c r="T17" s="77" t="s">
        <v>59</v>
      </c>
      <c r="U17" s="77" t="s">
        <v>64</v>
      </c>
      <c r="V17" s="77" t="s">
        <v>64</v>
      </c>
      <c r="W17" s="77" t="s">
        <v>64</v>
      </c>
      <c r="X17" s="77" t="s">
        <v>64</v>
      </c>
      <c r="Y17" s="77" t="s">
        <v>64</v>
      </c>
      <c r="Z17" s="77" t="s">
        <v>64</v>
      </c>
      <c r="AA17" s="77" t="s">
        <v>64</v>
      </c>
      <c r="AB17" s="77" t="s">
        <v>64</v>
      </c>
      <c r="AC17" s="77" t="s">
        <v>64</v>
      </c>
      <c r="AD17" s="77" t="s">
        <v>64</v>
      </c>
      <c r="AE17" s="77" t="s">
        <v>64</v>
      </c>
      <c r="AF17" s="77" t="s">
        <v>64</v>
      </c>
      <c r="AG17" s="76" t="str" cm="1">
        <f t="array" ref="AG17">IF(OR(M17:AF17="NO"),"No aceptable","Aceptable")</f>
        <v>Aceptable</v>
      </c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3" t="str" cm="1">
        <f t="array" ref="BD17">IF(OR(AK17:BC17="SI"),"Critico","No Critico")</f>
        <v>No Critico</v>
      </c>
    </row>
    <row r="18" spans="1:56" ht="27.6" hidden="1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IF(Inicial!L18="SI",Inicial!E18,"N/A")</f>
        <v>N/A</v>
      </c>
      <c r="F18" s="52" t="str">
        <f>IF(Inicial!L18="SI",Inicial!F18,"N/A")</f>
        <v>N/A</v>
      </c>
      <c r="G18" s="52" t="str">
        <f>IF(Inicial!L18="SI",Inicial!G18,"N/A")</f>
        <v>N/A</v>
      </c>
      <c r="H18" s="52" t="str">
        <f>IF(Inicial!L18="SI",Inicial!H18,"N/A")</f>
        <v>N/A</v>
      </c>
      <c r="I18" s="54" t="str">
        <f>IF(Inicial!L18="SI",Inicial!I18,"N/A")</f>
        <v>N/A</v>
      </c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6" t="str" cm="1">
        <f t="array" ref="AG18">IF(OR(M18:AF18="NO"),"No aceptable","Aceptable")</f>
        <v>Aceptable</v>
      </c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3" t="str" cm="1">
        <f t="array" ref="BD18">IF(OR(AK18:BC18="SI"),"Critico","No Critico")</f>
        <v>No Critico</v>
      </c>
    </row>
    <row r="19" spans="1:56" ht="27.6" hidden="1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IF(Inicial!L19="SI",Inicial!E19,"N/A")</f>
        <v>N/A</v>
      </c>
      <c r="F19" s="52" t="str">
        <f>IF(Inicial!L19="SI",Inicial!F19,"N/A")</f>
        <v>N/A</v>
      </c>
      <c r="G19" s="52" t="str">
        <f>IF(Inicial!L19="SI",Inicial!G19,"N/A")</f>
        <v>N/A</v>
      </c>
      <c r="H19" s="52" t="str">
        <f>IF(Inicial!L19="SI",Inicial!H19,"N/A")</f>
        <v>N/A</v>
      </c>
      <c r="I19" s="54" t="str">
        <f>IF(Inicial!L19="SI",Inicial!I19,"N/A")</f>
        <v>N/A</v>
      </c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6" t="str" cm="1">
        <f t="array" ref="AG19">IF(OR(M19:AF19="NO"),"No aceptable","Aceptable")</f>
        <v>Aceptable</v>
      </c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3" t="str" cm="1">
        <f t="array" ref="BD19">IF(OR(AK19:BC19="SI"),"Critico","No Critico")</f>
        <v>No Critico</v>
      </c>
    </row>
    <row r="20" spans="1:56" ht="27.6" hidden="1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IF(Inicial!L20="SI",Inicial!E20,"N/A")</f>
        <v>N/A</v>
      </c>
      <c r="F20" s="52" t="str">
        <f>IF(Inicial!L20="SI",Inicial!F20,"N/A")</f>
        <v>N/A</v>
      </c>
      <c r="G20" s="52" t="str">
        <f>IF(Inicial!L20="SI",Inicial!G20,"N/A")</f>
        <v>N/A</v>
      </c>
      <c r="H20" s="52" t="str">
        <f>IF(Inicial!L20="SI",Inicial!H20,"N/A")</f>
        <v>N/A</v>
      </c>
      <c r="I20" s="54" t="str">
        <f>IF(Inicial!L20="SI",Inicial!I20,"N/A")</f>
        <v>N/A</v>
      </c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6" t="str" cm="1">
        <f t="array" ref="AG20">IF(OR(M20:AF20="NO"),"No aceptable","Aceptable")</f>
        <v>Aceptable</v>
      </c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3" t="str" cm="1">
        <f t="array" ref="BD20">IF(OR(AK20:BC20="SI"),"Critico","No Critico")</f>
        <v>No Critico</v>
      </c>
    </row>
    <row r="21" spans="1:56" ht="27.6" hidden="1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IF(Inicial!L21="SI",Inicial!E21,"N/A")</f>
        <v>07:20 - 15:30 / 15:30 - 01:05</v>
      </c>
      <c r="F21" s="52" t="str">
        <f>IF(Inicial!L21="SI",Inicial!F21,"N/A")</f>
        <v>N/A</v>
      </c>
      <c r="G21" s="52">
        <f>IF(Inicial!L21="SI",Inicial!G21,"N/A")</f>
        <v>2</v>
      </c>
      <c r="H21" s="52">
        <f>IF(Inicial!L21="SI",Inicial!H21,"N/A")</f>
        <v>36</v>
      </c>
      <c r="I21" s="54">
        <f>IF(Inicial!L21="SI",Inicial!I21,"N/A")</f>
        <v>0</v>
      </c>
      <c r="J21" s="77" t="s">
        <v>115</v>
      </c>
      <c r="K21" s="77" t="s">
        <v>64</v>
      </c>
      <c r="L21" s="77" t="s">
        <v>64</v>
      </c>
      <c r="M21" s="77" t="s">
        <v>64</v>
      </c>
      <c r="N21" s="77" t="s">
        <v>64</v>
      </c>
      <c r="O21" s="77" t="s">
        <v>64</v>
      </c>
      <c r="P21" s="77" t="s">
        <v>64</v>
      </c>
      <c r="Q21" s="77" t="s">
        <v>59</v>
      </c>
      <c r="R21" s="77" t="s">
        <v>59</v>
      </c>
      <c r="S21" s="77" t="s">
        <v>59</v>
      </c>
      <c r="T21" s="77" t="s">
        <v>59</v>
      </c>
      <c r="U21" s="77" t="s">
        <v>59</v>
      </c>
      <c r="V21" s="77" t="s">
        <v>59</v>
      </c>
      <c r="W21" s="77" t="s">
        <v>59</v>
      </c>
      <c r="X21" s="77" t="s">
        <v>59</v>
      </c>
      <c r="Y21" s="77" t="s">
        <v>115</v>
      </c>
      <c r="Z21" s="77" t="s">
        <v>64</v>
      </c>
      <c r="AA21" s="77" t="s">
        <v>64</v>
      </c>
      <c r="AB21" s="77" t="s">
        <v>64</v>
      </c>
      <c r="AC21" s="77" t="s">
        <v>64</v>
      </c>
      <c r="AD21" s="77" t="s">
        <v>64</v>
      </c>
      <c r="AE21" s="77" t="s">
        <v>64</v>
      </c>
      <c r="AF21" s="77" t="s">
        <v>64</v>
      </c>
      <c r="AG21" s="76" t="str" cm="1">
        <f t="array" ref="AG21">IF(OR(M21:AF21="NO"),"No aceptable","Aceptable")</f>
        <v>No aceptable</v>
      </c>
      <c r="AH21" s="77" t="s">
        <v>64</v>
      </c>
      <c r="AI21" s="77" t="s">
        <v>115</v>
      </c>
      <c r="AJ21" s="77" t="s">
        <v>115</v>
      </c>
      <c r="AK21" s="77" t="s">
        <v>115</v>
      </c>
      <c r="AL21" s="77" t="s">
        <v>115</v>
      </c>
      <c r="AM21" s="77" t="s">
        <v>115</v>
      </c>
      <c r="AN21" s="77" t="s">
        <v>115</v>
      </c>
      <c r="AO21" s="77" t="s">
        <v>115</v>
      </c>
      <c r="AP21" s="77" t="s">
        <v>115</v>
      </c>
      <c r="AQ21" s="77" t="s">
        <v>115</v>
      </c>
      <c r="AR21" s="77" t="s">
        <v>115</v>
      </c>
      <c r="AS21" s="77" t="s">
        <v>115</v>
      </c>
      <c r="AT21" s="77" t="s">
        <v>115</v>
      </c>
      <c r="AU21" s="77" t="s">
        <v>115</v>
      </c>
      <c r="AV21" s="77" t="s">
        <v>115</v>
      </c>
      <c r="AW21" s="77" t="s">
        <v>115</v>
      </c>
      <c r="AX21" s="77" t="s">
        <v>115</v>
      </c>
      <c r="AY21" s="77" t="s">
        <v>115</v>
      </c>
      <c r="AZ21" s="77" t="s">
        <v>115</v>
      </c>
      <c r="BA21" s="77" t="s">
        <v>115</v>
      </c>
      <c r="BB21" s="77" t="s">
        <v>115</v>
      </c>
      <c r="BC21" s="77" t="s">
        <v>115</v>
      </c>
      <c r="BD21" s="3" t="str" cm="1">
        <f t="array" ref="BD21">IF(OR(AK21:BC21="SI"),"Critico","No Critico")</f>
        <v>No Critico</v>
      </c>
    </row>
    <row r="22" spans="1:56" ht="27.6" hidden="1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IF(Inicial!L22="SI",Inicial!E22,"N/A")</f>
        <v>N/A</v>
      </c>
      <c r="F22" s="52" t="str">
        <f>IF(Inicial!L22="SI",Inicial!F22,"N/A")</f>
        <v>N/A</v>
      </c>
      <c r="G22" s="52" t="str">
        <f>IF(Inicial!L22="SI",Inicial!G22,"N/A")</f>
        <v>N/A</v>
      </c>
      <c r="H22" s="52" t="str">
        <f>IF(Inicial!L22="SI",Inicial!H22,"N/A")</f>
        <v>N/A</v>
      </c>
      <c r="I22" s="54" t="str">
        <f>IF(Inicial!L22="SI",Inicial!I22,"N/A")</f>
        <v>N/A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6" t="str" cm="1">
        <f t="array" ref="AG22">IF(OR(M22:AF22="NO"),"No aceptable","Aceptable")</f>
        <v>Aceptable</v>
      </c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3" t="str" cm="1">
        <f t="array" ref="BD22">IF(OR(AK22:BC22="SI"),"Critico","No Critico")</f>
        <v>No Critico</v>
      </c>
    </row>
    <row r="23" spans="1:56" ht="41.45" hidden="1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IF(Inicial!L23="SI",Inicial!E23,"N/A")</f>
        <v>N/A</v>
      </c>
      <c r="F23" s="52" t="str">
        <f>IF(Inicial!L23="SI",Inicial!F23,"N/A")</f>
        <v>N/A</v>
      </c>
      <c r="G23" s="52" t="str">
        <f>IF(Inicial!L23="SI",Inicial!G23,"N/A")</f>
        <v>N/A</v>
      </c>
      <c r="H23" s="52" t="str">
        <f>IF(Inicial!L23="SI",Inicial!H23,"N/A")</f>
        <v>N/A</v>
      </c>
      <c r="I23" s="54" t="str">
        <f>IF(Inicial!L23="SI",Inicial!I23,"N/A")</f>
        <v>N/A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6" t="str" cm="1">
        <f t="array" ref="AG23">IF(OR(M23:AF23="NO"),"No aceptable","Aceptable")</f>
        <v>Aceptable</v>
      </c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3" t="str" cm="1">
        <f t="array" ref="BD23">IF(OR(AK23:BC23="SI"),"Critico","No Critico")</f>
        <v>No Critico</v>
      </c>
    </row>
    <row r="24" spans="1:56" ht="27.6" hidden="1">
      <c r="A24" s="51">
        <f>Inicial!A24</f>
        <v>22</v>
      </c>
      <c r="B24" s="52" t="str">
        <f>Inicial!B24</f>
        <v>Procesos</v>
      </c>
      <c r="C24" s="52" t="str">
        <f>Inicial!C24</f>
        <v>Envasado</v>
      </c>
      <c r="D24" s="53" t="str">
        <f>Inicial!D24</f>
        <v>Carro materiales</v>
      </c>
      <c r="E24" s="51" t="str">
        <f>IF(Inicial!L24="SI",Inicial!E24,"N/A")</f>
        <v>07:20 - 15:30 / 15:30 - 01:05</v>
      </c>
      <c r="F24" s="52" t="str">
        <f>IF(Inicial!L24="SI",Inicial!F24,"N/A")</f>
        <v>N/A</v>
      </c>
      <c r="G24" s="52">
        <f>IF(Inicial!L24="SI",Inicial!G24,"N/A")</f>
        <v>2</v>
      </c>
      <c r="H24" s="52">
        <f>IF(Inicial!L24="SI",Inicial!H24,"N/A")</f>
        <v>36</v>
      </c>
      <c r="I24" s="54">
        <f>IF(Inicial!L24="SI",Inicial!I24,"N/A")</f>
        <v>52</v>
      </c>
      <c r="J24" s="77" t="s">
        <v>115</v>
      </c>
      <c r="K24" s="77" t="s">
        <v>64</v>
      </c>
      <c r="L24" s="77" t="s">
        <v>64</v>
      </c>
      <c r="M24" s="77" t="s">
        <v>64</v>
      </c>
      <c r="N24" s="77" t="s">
        <v>64</v>
      </c>
      <c r="O24" s="77" t="s">
        <v>64</v>
      </c>
      <c r="P24" s="77" t="s">
        <v>64</v>
      </c>
      <c r="Q24" s="77" t="s">
        <v>59</v>
      </c>
      <c r="R24" s="77" t="s">
        <v>59</v>
      </c>
      <c r="S24" s="77" t="s">
        <v>59</v>
      </c>
      <c r="T24" s="77" t="s">
        <v>59</v>
      </c>
      <c r="U24" s="77" t="s">
        <v>64</v>
      </c>
      <c r="V24" s="77" t="s">
        <v>64</v>
      </c>
      <c r="W24" s="77" t="s">
        <v>64</v>
      </c>
      <c r="X24" s="77" t="s">
        <v>64</v>
      </c>
      <c r="Y24" s="77" t="s">
        <v>115</v>
      </c>
      <c r="Z24" s="77" t="s">
        <v>59</v>
      </c>
      <c r="AA24" s="77" t="s">
        <v>59</v>
      </c>
      <c r="AB24" s="77" t="s">
        <v>59</v>
      </c>
      <c r="AC24" s="77" t="s">
        <v>64</v>
      </c>
      <c r="AD24" s="77" t="s">
        <v>64</v>
      </c>
      <c r="AE24" s="77" t="s">
        <v>64</v>
      </c>
      <c r="AF24" s="77" t="s">
        <v>64</v>
      </c>
      <c r="AG24" s="76" t="str" cm="1">
        <f t="array" ref="AG24">IF(OR(M24:AF24="NO"),"No aceptable","Aceptable")</f>
        <v>No aceptable</v>
      </c>
      <c r="AH24" s="77" t="s">
        <v>64</v>
      </c>
      <c r="AI24" s="77" t="s">
        <v>115</v>
      </c>
      <c r="AJ24" s="77" t="s">
        <v>115</v>
      </c>
      <c r="AK24" s="77" t="s">
        <v>115</v>
      </c>
      <c r="AL24" s="77" t="s">
        <v>115</v>
      </c>
      <c r="AM24" s="77" t="s">
        <v>115</v>
      </c>
      <c r="AN24" s="77" t="s">
        <v>115</v>
      </c>
      <c r="AO24" s="77" t="s">
        <v>115</v>
      </c>
      <c r="AP24" s="77" t="s">
        <v>115</v>
      </c>
      <c r="AQ24" s="77" t="s">
        <v>115</v>
      </c>
      <c r="AR24" s="77" t="s">
        <v>115</v>
      </c>
      <c r="AS24" s="77" t="s">
        <v>115</v>
      </c>
      <c r="AT24" s="77" t="s">
        <v>115</v>
      </c>
      <c r="AU24" s="77" t="s">
        <v>115</v>
      </c>
      <c r="AV24" s="77" t="s">
        <v>115</v>
      </c>
      <c r="AW24" s="77" t="s">
        <v>115</v>
      </c>
      <c r="AX24" s="77" t="s">
        <v>115</v>
      </c>
      <c r="AY24" s="77" t="s">
        <v>115</v>
      </c>
      <c r="AZ24" s="77" t="s">
        <v>115</v>
      </c>
      <c r="BA24" s="77" t="s">
        <v>115</v>
      </c>
      <c r="BB24" s="77" t="s">
        <v>115</v>
      </c>
      <c r="BC24" s="77" t="s">
        <v>115</v>
      </c>
      <c r="BD24" s="3" t="str" cm="1">
        <f t="array" ref="BD24">IF(OR(AK24:BC24="SI"),"Critico","No Critico")</f>
        <v>No Critico</v>
      </c>
    </row>
    <row r="25" spans="1:56" ht="27.6" hidden="1">
      <c r="A25" s="51">
        <f>Inicial!A25</f>
        <v>23</v>
      </c>
      <c r="B25" s="52" t="str">
        <f>Inicial!B25</f>
        <v>Procesos</v>
      </c>
      <c r="C25" s="52" t="str">
        <f>Inicial!C25</f>
        <v>Envasado</v>
      </c>
      <c r="D25" s="53" t="str">
        <f>Inicial!D25</f>
        <v>Maquinista Termoselladora</v>
      </c>
      <c r="E25" s="51" t="str">
        <f>IF(Inicial!L25="SI",Inicial!E25,"N/A")</f>
        <v>07:00 - 15:00 / 16:00 - 01:05</v>
      </c>
      <c r="F25" s="52" t="str">
        <f>IF(Inicial!L25="SI",Inicial!F25,"N/A")</f>
        <v>N/A</v>
      </c>
      <c r="G25" s="52">
        <f>IF(Inicial!L25="SI",Inicial!G25,"N/A")</f>
        <v>2</v>
      </c>
      <c r="H25" s="52">
        <f>IF(Inicial!L25="SI",Inicial!H25,"N/A")</f>
        <v>36</v>
      </c>
      <c r="I25" s="54">
        <f>IF(Inicial!L25="SI",Inicial!I25,"N/A")</f>
        <v>52</v>
      </c>
      <c r="J25" s="77" t="s">
        <v>115</v>
      </c>
      <c r="K25" s="77" t="s">
        <v>64</v>
      </c>
      <c r="L25" s="77" t="s">
        <v>64</v>
      </c>
      <c r="M25" s="77" t="s">
        <v>64</v>
      </c>
      <c r="N25" s="77" t="s">
        <v>64</v>
      </c>
      <c r="O25" s="77" t="s">
        <v>64</v>
      </c>
      <c r="P25" s="77" t="s">
        <v>64</v>
      </c>
      <c r="Q25" s="77" t="s">
        <v>59</v>
      </c>
      <c r="R25" s="77" t="s">
        <v>59</v>
      </c>
      <c r="S25" s="77" t="s">
        <v>59</v>
      </c>
      <c r="T25" s="77" t="s">
        <v>59</v>
      </c>
      <c r="U25" s="77" t="s">
        <v>64</v>
      </c>
      <c r="V25" s="77" t="s">
        <v>64</v>
      </c>
      <c r="W25" s="77" t="s">
        <v>64</v>
      </c>
      <c r="X25" s="77" t="s">
        <v>64</v>
      </c>
      <c r="Y25" s="77" t="s">
        <v>64</v>
      </c>
      <c r="Z25" s="77" t="s">
        <v>64</v>
      </c>
      <c r="AA25" s="77" t="s">
        <v>64</v>
      </c>
      <c r="AB25" s="77" t="s">
        <v>64</v>
      </c>
      <c r="AC25" s="77" t="s">
        <v>64</v>
      </c>
      <c r="AD25" s="77" t="s">
        <v>64</v>
      </c>
      <c r="AE25" s="77" t="s">
        <v>64</v>
      </c>
      <c r="AF25" s="77" t="s">
        <v>64</v>
      </c>
      <c r="AG25" s="76" t="str" cm="1">
        <f t="array" ref="AG25">IF(OR(M25:AF25="NO"),"No aceptable","Aceptable")</f>
        <v>Aceptable</v>
      </c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3" t="str" cm="1">
        <f t="array" ref="BD25">IF(OR(AK25:BC25="SI"),"Critico","No Critico")</f>
        <v>No Critico</v>
      </c>
    </row>
    <row r="26" spans="1:56" ht="27.6" hidden="1">
      <c r="A26" s="51">
        <f>Inicial!A26</f>
        <v>24</v>
      </c>
      <c r="B26" s="52" t="str">
        <f>Inicial!B26</f>
        <v>Procesos</v>
      </c>
      <c r="C26" s="52" t="str">
        <f>Inicial!C26</f>
        <v>Envasado</v>
      </c>
      <c r="D26" s="53" t="str">
        <f>Inicial!D26</f>
        <v>Llenado de bandeja con pala</v>
      </c>
      <c r="E26" s="51" t="str">
        <f>IF(Inicial!L26="SI",Inicial!E26,"N/A")</f>
        <v>07:20 - 15:30 / 15:30 - 01:05</v>
      </c>
      <c r="F26" s="52" t="str">
        <f>IF(Inicial!L26="SI",Inicial!F26,"N/A")</f>
        <v>N/A</v>
      </c>
      <c r="G26" s="52">
        <f>IF(Inicial!L26="SI",Inicial!G26,"N/A")</f>
        <v>2</v>
      </c>
      <c r="H26" s="52">
        <f>IF(Inicial!L26="SI",Inicial!H26,"N/A")</f>
        <v>36</v>
      </c>
      <c r="I26" s="54">
        <f>IF(Inicial!L26="SI",Inicial!I26,"N/A")</f>
        <v>0</v>
      </c>
      <c r="J26" s="77" t="s">
        <v>115</v>
      </c>
      <c r="K26" s="77" t="s">
        <v>64</v>
      </c>
      <c r="L26" s="77" t="s">
        <v>64</v>
      </c>
      <c r="M26" s="77" t="s">
        <v>64</v>
      </c>
      <c r="N26" s="77" t="s">
        <v>64</v>
      </c>
      <c r="O26" s="77" t="s">
        <v>64</v>
      </c>
      <c r="P26" s="77" t="s">
        <v>64</v>
      </c>
      <c r="Q26" s="77" t="s">
        <v>59</v>
      </c>
      <c r="R26" s="77" t="s">
        <v>59</v>
      </c>
      <c r="S26" s="77" t="s">
        <v>59</v>
      </c>
      <c r="T26" s="77" t="s">
        <v>59</v>
      </c>
      <c r="U26" s="77" t="s">
        <v>115</v>
      </c>
      <c r="V26" s="77" t="s">
        <v>64</v>
      </c>
      <c r="W26" s="77" t="s">
        <v>115</v>
      </c>
      <c r="X26" s="77" t="s">
        <v>64</v>
      </c>
      <c r="Y26" s="77" t="s">
        <v>64</v>
      </c>
      <c r="Z26" s="77" t="s">
        <v>64</v>
      </c>
      <c r="AA26" s="77" t="s">
        <v>64</v>
      </c>
      <c r="AB26" s="77" t="s">
        <v>64</v>
      </c>
      <c r="AC26" s="77" t="s">
        <v>64</v>
      </c>
      <c r="AD26" s="77" t="s">
        <v>64</v>
      </c>
      <c r="AE26" s="77" t="s">
        <v>64</v>
      </c>
      <c r="AF26" s="77" t="s">
        <v>115</v>
      </c>
      <c r="AG26" s="76" t="str" cm="1">
        <f t="array" ref="AG26">IF(OR(M26:AF26="NO"),"No aceptable","Aceptable")</f>
        <v>No aceptable</v>
      </c>
      <c r="AH26" s="77" t="s">
        <v>115</v>
      </c>
      <c r="AI26" s="77" t="s">
        <v>115</v>
      </c>
      <c r="AJ26" s="77" t="s">
        <v>115</v>
      </c>
      <c r="AK26" s="77" t="s">
        <v>115</v>
      </c>
      <c r="AL26" s="77" t="s">
        <v>115</v>
      </c>
      <c r="AM26" s="77" t="s">
        <v>115</v>
      </c>
      <c r="AN26" s="77" t="s">
        <v>115</v>
      </c>
      <c r="AO26" s="77" t="s">
        <v>115</v>
      </c>
      <c r="AP26" s="77" t="s">
        <v>115</v>
      </c>
      <c r="AQ26" s="77" t="s">
        <v>115</v>
      </c>
      <c r="AR26" s="77" t="s">
        <v>115</v>
      </c>
      <c r="AS26" s="77" t="s">
        <v>115</v>
      </c>
      <c r="AT26" s="77" t="s">
        <v>59</v>
      </c>
      <c r="AU26" s="77" t="s">
        <v>59</v>
      </c>
      <c r="AV26" s="77" t="s">
        <v>59</v>
      </c>
      <c r="AW26" s="77" t="s">
        <v>115</v>
      </c>
      <c r="AX26" s="77" t="s">
        <v>115</v>
      </c>
      <c r="AY26" s="77" t="s">
        <v>115</v>
      </c>
      <c r="AZ26" s="77" t="s">
        <v>115</v>
      </c>
      <c r="BA26" s="77" t="s">
        <v>59</v>
      </c>
      <c r="BB26" s="77" t="s">
        <v>115</v>
      </c>
      <c r="BC26" s="77" t="s">
        <v>115</v>
      </c>
      <c r="BD26" s="3" t="str" cm="1">
        <f t="array" ref="BD26">IF(OR(AK26:BC26="SI"),"Critico","No Critico")</f>
        <v>No Critico</v>
      </c>
    </row>
    <row r="27" spans="1:56" ht="27.6" hidden="1">
      <c r="A27" s="51">
        <f>Inicial!A27</f>
        <v>25</v>
      </c>
      <c r="B27" s="52" t="str">
        <f>Inicial!B27</f>
        <v>Procesos</v>
      </c>
      <c r="C27" s="52" t="str">
        <f>Inicial!C27</f>
        <v>Envasado</v>
      </c>
      <c r="D27" s="53" t="str">
        <f>Inicial!D27</f>
        <v xml:space="preserve">Levantamiento de bandeja </v>
      </c>
      <c r="E27" s="51" t="str">
        <f>IF(Inicial!L27="SI",Inicial!E27,"N/A")</f>
        <v>07:20 - 15:30 / 15:30 - 01:05</v>
      </c>
      <c r="F27" s="52" t="str">
        <f>IF(Inicial!L27="SI",Inicial!F27,"N/A")</f>
        <v>N/A</v>
      </c>
      <c r="G27" s="52">
        <f>IF(Inicial!L27="SI",Inicial!G27,"N/A")</f>
        <v>2</v>
      </c>
      <c r="H27" s="52">
        <f>IF(Inicial!L27="SI",Inicial!H27,"N/A")</f>
        <v>36</v>
      </c>
      <c r="I27" s="54">
        <f>IF(Inicial!L27="SI",Inicial!I27,"N/A")</f>
        <v>0</v>
      </c>
      <c r="J27" s="77" t="s">
        <v>115</v>
      </c>
      <c r="K27" s="77" t="s">
        <v>64</v>
      </c>
      <c r="L27" s="77" t="s">
        <v>64</v>
      </c>
      <c r="M27" s="77" t="s">
        <v>64</v>
      </c>
      <c r="N27" s="77" t="s">
        <v>64</v>
      </c>
      <c r="O27" s="77" t="s">
        <v>64</v>
      </c>
      <c r="P27" s="77" t="s">
        <v>64</v>
      </c>
      <c r="Q27" s="77" t="s">
        <v>59</v>
      </c>
      <c r="R27" s="77" t="s">
        <v>59</v>
      </c>
      <c r="S27" s="77" t="s">
        <v>59</v>
      </c>
      <c r="T27" s="77" t="s">
        <v>59</v>
      </c>
      <c r="U27" s="77" t="s">
        <v>64</v>
      </c>
      <c r="V27" s="77" t="s">
        <v>64</v>
      </c>
      <c r="W27" s="77" t="s">
        <v>115</v>
      </c>
      <c r="X27" s="77" t="s">
        <v>64</v>
      </c>
      <c r="Y27" s="77" t="s">
        <v>64</v>
      </c>
      <c r="Z27" s="77" t="s">
        <v>64</v>
      </c>
      <c r="AA27" s="77" t="s">
        <v>64</v>
      </c>
      <c r="AB27" s="77" t="s">
        <v>64</v>
      </c>
      <c r="AC27" s="77" t="s">
        <v>59</v>
      </c>
      <c r="AD27" s="77" t="s">
        <v>59</v>
      </c>
      <c r="AE27" s="77" t="s">
        <v>59</v>
      </c>
      <c r="AF27" s="77" t="s">
        <v>64</v>
      </c>
      <c r="AG27" s="76" t="str" cm="1">
        <f t="array" ref="AG27">IF(OR(M27:AF27="NO"),"No aceptable","Aceptable")</f>
        <v>No aceptable</v>
      </c>
      <c r="AH27" s="77" t="s">
        <v>115</v>
      </c>
      <c r="AI27" s="77" t="s">
        <v>115</v>
      </c>
      <c r="AJ27" s="77" t="s">
        <v>115</v>
      </c>
      <c r="AK27" s="77" t="s">
        <v>115</v>
      </c>
      <c r="AL27" s="77" t="s">
        <v>115</v>
      </c>
      <c r="AM27" s="77" t="s">
        <v>115</v>
      </c>
      <c r="AN27" s="77" t="s">
        <v>115</v>
      </c>
      <c r="AO27" s="77" t="s">
        <v>115</v>
      </c>
      <c r="AP27" s="77" t="s">
        <v>115</v>
      </c>
      <c r="AQ27" s="77" t="s">
        <v>115</v>
      </c>
      <c r="AR27" s="77" t="s">
        <v>115</v>
      </c>
      <c r="AS27" s="77" t="s">
        <v>115</v>
      </c>
      <c r="AT27" s="77" t="s">
        <v>115</v>
      </c>
      <c r="AU27" s="77" t="s">
        <v>115</v>
      </c>
      <c r="AV27" s="77" t="s">
        <v>115</v>
      </c>
      <c r="AW27" s="77" t="s">
        <v>115</v>
      </c>
      <c r="AX27" s="77" t="s">
        <v>59</v>
      </c>
      <c r="AY27" s="77" t="s">
        <v>115</v>
      </c>
      <c r="AZ27" s="77" t="s">
        <v>59</v>
      </c>
      <c r="BA27" s="77" t="s">
        <v>59</v>
      </c>
      <c r="BB27" s="77" t="s">
        <v>115</v>
      </c>
      <c r="BC27" s="77" t="s">
        <v>115</v>
      </c>
      <c r="BD27" s="3" t="str" cm="1">
        <f t="array" ref="BD27">IF(OR(AK27:BC27="SI"),"Critico","No Critico")</f>
        <v>No Critico</v>
      </c>
    </row>
    <row r="28" spans="1:56" hidden="1">
      <c r="A28" s="51">
        <f>Inicial!A28</f>
        <v>26</v>
      </c>
      <c r="B28" s="52" t="str">
        <f>Inicial!B28</f>
        <v>Procesos</v>
      </c>
      <c r="C28" s="52" t="str">
        <f>Inicial!C28</f>
        <v>Mesanina</v>
      </c>
      <c r="D28" s="53" t="str">
        <f>Inicial!D28</f>
        <v>Puesto Fijo</v>
      </c>
      <c r="E28" s="51" t="str">
        <f>IF(Inicial!L28="SI",Inicial!E28,"N/A")</f>
        <v>N/A</v>
      </c>
      <c r="F28" s="52" t="str">
        <f>IF(Inicial!L28="SI",Inicial!F28,"N/A")</f>
        <v>N/A</v>
      </c>
      <c r="G28" s="52" t="str">
        <f>IF(Inicial!L28="SI",Inicial!G28,"N/A")</f>
        <v>N/A</v>
      </c>
      <c r="H28" s="52" t="str">
        <f>IF(Inicial!L28="SI",Inicial!H28,"N/A")</f>
        <v>N/A</v>
      </c>
      <c r="I28" s="54" t="str">
        <f>IF(Inicial!L28="SI",Inicial!I28,"N/A")</f>
        <v>N/A</v>
      </c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6" t="str" cm="1">
        <f t="array" ref="AG28">IF(OR(M28:AF28="NO"),"No aceptable","Aceptable")</f>
        <v>Aceptable</v>
      </c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3" t="str" cm="1">
        <f t="array" ref="BD28">IF(OR(AK28:BC28="SI"),"Critico","No Critico")</f>
        <v>No Critico</v>
      </c>
    </row>
    <row r="29" spans="1:56" hidden="1">
      <c r="A29" s="51">
        <f>Inicial!A29</f>
        <v>27</v>
      </c>
      <c r="B29" s="52" t="str">
        <f>Inicial!B29</f>
        <v>Procesos</v>
      </c>
      <c r="C29" s="52" t="str">
        <f>Inicial!C29</f>
        <v>Mesanina</v>
      </c>
      <c r="D29" s="53" t="str">
        <f>Inicial!D29</f>
        <v>Centro Punta</v>
      </c>
      <c r="E29" s="51" t="str">
        <f>IF(Inicial!L29="SI",Inicial!E29,"N/A")</f>
        <v>N/A</v>
      </c>
      <c r="F29" s="52" t="str">
        <f>IF(Inicial!L29="SI",Inicial!F29,"N/A")</f>
        <v>N/A</v>
      </c>
      <c r="G29" s="52" t="str">
        <f>IF(Inicial!L29="SI",Inicial!G29,"N/A")</f>
        <v>N/A</v>
      </c>
      <c r="H29" s="52" t="str">
        <f>IF(Inicial!L29="SI",Inicial!H29,"N/A")</f>
        <v>N/A</v>
      </c>
      <c r="I29" s="54" t="str">
        <f>IF(Inicial!L29="SI",Inicial!I29,"N/A")</f>
        <v>N/A</v>
      </c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6" t="str" cm="1">
        <f t="array" ref="AG29">IF(OR(M29:AF29="NO"),"No aceptable","Aceptable")</f>
        <v>Aceptable</v>
      </c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3" t="str" cm="1">
        <f t="array" ref="BD29">IF(OR(AK29:BC29="SI"),"Critico","No Critico")</f>
        <v>No Critico</v>
      </c>
    </row>
    <row r="30" spans="1:56" hidden="1">
      <c r="A30" s="51">
        <f>Inicial!A30</f>
        <v>28</v>
      </c>
      <c r="B30" s="52" t="str">
        <f>Inicial!B30</f>
        <v>Procesos</v>
      </c>
      <c r="C30" s="52" t="str">
        <f>Inicial!C30</f>
        <v>Mesanina</v>
      </c>
      <c r="D30" s="53" t="str">
        <f>Inicial!D30</f>
        <v>Reenganchador</v>
      </c>
      <c r="E30" s="51" t="str">
        <f>IF(Inicial!L30="SI",Inicial!E30,"N/A")</f>
        <v>N/A</v>
      </c>
      <c r="F30" s="52" t="str">
        <f>IF(Inicial!L30="SI",Inicial!F30,"N/A")</f>
        <v>N/A</v>
      </c>
      <c r="G30" s="52" t="str">
        <f>IF(Inicial!L30="SI",Inicial!G30,"N/A")</f>
        <v>N/A</v>
      </c>
      <c r="H30" s="52" t="str">
        <f>IF(Inicial!L30="SI",Inicial!H30,"N/A")</f>
        <v>N/A</v>
      </c>
      <c r="I30" s="54" t="str">
        <f>IF(Inicial!L30="SI",Inicial!I30,"N/A")</f>
        <v>N/A</v>
      </c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6" t="str" cm="1">
        <f t="array" ref="AG30">IF(OR(M30:AF30="NO"),"No aceptable","Aceptable")</f>
        <v>Aceptable</v>
      </c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3" t="str" cm="1">
        <f t="array" ref="BD30">IF(OR(AK30:BC30="SI"),"Critico","No Critico")</f>
        <v>No Critico</v>
      </c>
    </row>
    <row r="31" spans="1:56" hidden="1">
      <c r="A31" s="51">
        <f>Inicial!A31</f>
        <v>29</v>
      </c>
      <c r="B31" s="52" t="str">
        <f>Inicial!B31</f>
        <v>Procesos</v>
      </c>
      <c r="C31" s="52" t="str">
        <f>Inicial!C31</f>
        <v>Mesanina</v>
      </c>
      <c r="D31" s="53" t="str">
        <f>Inicial!D31</f>
        <v>Cazuelero</v>
      </c>
      <c r="E31" s="51" t="str">
        <f>IF(Inicial!L31="SI",Inicial!E31,"N/A")</f>
        <v>N/A</v>
      </c>
      <c r="F31" s="52" t="str">
        <f>IF(Inicial!L31="SI",Inicial!F31,"N/A")</f>
        <v>N/A</v>
      </c>
      <c r="G31" s="52" t="str">
        <f>IF(Inicial!L31="SI",Inicial!G31,"N/A")</f>
        <v>N/A</v>
      </c>
      <c r="H31" s="52" t="str">
        <f>IF(Inicial!L31="SI",Inicial!H31,"N/A")</f>
        <v>N/A</v>
      </c>
      <c r="I31" s="54" t="str">
        <f>IF(Inicial!L31="SI",Inicial!I31,"N/A")</f>
        <v>N/A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6" t="str" cm="1">
        <f t="array" ref="AG31">IF(OR(M31:AF31="NO"),"No aceptable","Aceptable")</f>
        <v>Aceptable</v>
      </c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3" t="str" cm="1">
        <f t="array" ref="BD31">IF(OR(AK31:BC31="SI"),"Critico","No Critico")</f>
        <v>No Critico</v>
      </c>
    </row>
    <row r="32" spans="1:56" ht="45" hidden="1" customHeight="1">
      <c r="A32" s="51">
        <f>Inicial!A32</f>
        <v>30</v>
      </c>
      <c r="B32" s="52" t="str">
        <f>Inicial!B32</f>
        <v>Procesos</v>
      </c>
      <c r="C32" s="52" t="str">
        <f>Inicial!C32</f>
        <v>Mesanina</v>
      </c>
      <c r="D32" s="53" t="str">
        <f>Inicial!D32</f>
        <v>Reproceso</v>
      </c>
      <c r="E32" s="51">
        <f>IF(Inicial!L32="SI",Inicial!E32,"N/A")</f>
        <v>0</v>
      </c>
      <c r="F32" s="52" t="str">
        <f>IF(Inicial!L32="SI",Inicial!F32,"N/A")</f>
        <v>N/A</v>
      </c>
      <c r="G32" s="52">
        <f>IF(Inicial!L32="SI",Inicial!G32,"N/A")</f>
        <v>2</v>
      </c>
      <c r="H32" s="52">
        <f>IF(Inicial!L32="SI",Inicial!H32,"N/A")</f>
        <v>32</v>
      </c>
      <c r="I32" s="54">
        <f>IF(Inicial!L32="SI",Inicial!I32,"N/A")</f>
        <v>20</v>
      </c>
      <c r="J32" s="77" t="s">
        <v>115</v>
      </c>
      <c r="K32" s="77" t="s">
        <v>64</v>
      </c>
      <c r="L32" s="77" t="s">
        <v>64</v>
      </c>
      <c r="M32" s="77" t="s">
        <v>64</v>
      </c>
      <c r="N32" s="77" t="s">
        <v>64</v>
      </c>
      <c r="O32" s="77" t="s">
        <v>64</v>
      </c>
      <c r="P32" s="77" t="s">
        <v>64</v>
      </c>
      <c r="Q32" s="77" t="s">
        <v>59</v>
      </c>
      <c r="R32" s="77" t="s">
        <v>59</v>
      </c>
      <c r="S32" s="77" t="s">
        <v>59</v>
      </c>
      <c r="T32" s="77" t="s">
        <v>59</v>
      </c>
      <c r="U32" s="77" t="s">
        <v>64</v>
      </c>
      <c r="V32" s="77" t="s">
        <v>64</v>
      </c>
      <c r="W32" s="77" t="s">
        <v>64</v>
      </c>
      <c r="X32" s="77" t="s">
        <v>64</v>
      </c>
      <c r="Y32" s="77" t="s">
        <v>64</v>
      </c>
      <c r="Z32" s="77" t="s">
        <v>59</v>
      </c>
      <c r="AA32" s="77" t="s">
        <v>59</v>
      </c>
      <c r="AB32" s="77" t="s">
        <v>59</v>
      </c>
      <c r="AC32" s="77" t="s">
        <v>64</v>
      </c>
      <c r="AD32" s="77" t="s">
        <v>64</v>
      </c>
      <c r="AE32" s="77" t="s">
        <v>64</v>
      </c>
      <c r="AF32" s="77" t="s">
        <v>64</v>
      </c>
      <c r="AG32" s="76" t="str" cm="1">
        <f t="array" ref="AG32">IF(OR(M32:AF32="NO"),"No aceptable","Aceptable")</f>
        <v>Aceptable</v>
      </c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3" t="str" cm="1">
        <f t="array" ref="BD32">IF(OR(AK32:BC32="SI"),"Critico","No Critico")</f>
        <v>No Critico</v>
      </c>
    </row>
    <row r="33" spans="1:56" ht="27.6" hidden="1">
      <c r="A33" s="51">
        <f>Inicial!A33</f>
        <v>31</v>
      </c>
      <c r="B33" s="52" t="str">
        <f>Inicial!B33</f>
        <v>Procesos</v>
      </c>
      <c r="C33" s="52" t="str">
        <f>Inicial!C33</f>
        <v>Mesanina</v>
      </c>
      <c r="D33" s="53" t="str">
        <f>Inicial!D33</f>
        <v>Transporte Cazuela</v>
      </c>
      <c r="E33" s="51">
        <f>IF(Inicial!L33="SI",Inicial!E33,"N/A")</f>
        <v>0</v>
      </c>
      <c r="F33" s="52" t="str">
        <f>IF(Inicial!L33="SI",Inicial!F33,"N/A")</f>
        <v>N/A</v>
      </c>
      <c r="G33" s="52">
        <f>IF(Inicial!L33="SI",Inicial!G33,"N/A")</f>
        <v>3</v>
      </c>
      <c r="H33" s="52">
        <f>IF(Inicial!L33="SI",Inicial!H33,"N/A")</f>
        <v>32</v>
      </c>
      <c r="I33" s="54">
        <f>IF(Inicial!L33="SI",Inicial!I33,"N/A")</f>
        <v>20</v>
      </c>
      <c r="J33" s="77" t="s">
        <v>115</v>
      </c>
      <c r="K33" s="77" t="s">
        <v>64</v>
      </c>
      <c r="L33" s="77" t="s">
        <v>115</v>
      </c>
      <c r="M33" s="77" t="s">
        <v>64</v>
      </c>
      <c r="N33" s="77" t="s">
        <v>64</v>
      </c>
      <c r="O33" s="77" t="s">
        <v>64</v>
      </c>
      <c r="P33" s="77" t="s">
        <v>64</v>
      </c>
      <c r="Q33" s="77" t="s">
        <v>59</v>
      </c>
      <c r="R33" s="77" t="s">
        <v>59</v>
      </c>
      <c r="S33" s="77" t="s">
        <v>59</v>
      </c>
      <c r="T33" s="77" t="s">
        <v>59</v>
      </c>
      <c r="U33" s="77" t="s">
        <v>64</v>
      </c>
      <c r="V33" s="77" t="s">
        <v>64</v>
      </c>
      <c r="W33" s="77" t="s">
        <v>64</v>
      </c>
      <c r="X33" s="77" t="s">
        <v>64</v>
      </c>
      <c r="Y33" s="77" t="s">
        <v>64</v>
      </c>
      <c r="Z33" s="77" t="s">
        <v>64</v>
      </c>
      <c r="AA33" s="77" t="s">
        <v>64</v>
      </c>
      <c r="AB33" s="77" t="s">
        <v>64</v>
      </c>
      <c r="AC33" s="77" t="s">
        <v>64</v>
      </c>
      <c r="AD33" s="77" t="s">
        <v>64</v>
      </c>
      <c r="AE33" s="77" t="s">
        <v>64</v>
      </c>
      <c r="AF33" s="77" t="s">
        <v>64</v>
      </c>
      <c r="AG33" s="76" t="str" cm="1">
        <f t="array" ref="AG33">IF(OR(M33:AF33="NO"),"No aceptable","Aceptable")</f>
        <v>Aceptable</v>
      </c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3" t="str" cm="1">
        <f t="array" ref="BD33">IF(OR(AK33:BC33="SI"),"Critico","No Critico")</f>
        <v>No Critico</v>
      </c>
    </row>
    <row r="34" spans="1:56" hidden="1">
      <c r="A34" s="51">
        <f>Inicial!A34</f>
        <v>32</v>
      </c>
      <c r="B34" s="52" t="str">
        <f>Inicial!B34</f>
        <v>Procesos</v>
      </c>
      <c r="C34" s="52" t="str">
        <f>Inicial!C34</f>
        <v>Mesanina</v>
      </c>
      <c r="D34" s="53" t="str">
        <f>Inicial!D34</f>
        <v>Maquinista</v>
      </c>
      <c r="E34" s="51" t="str">
        <f>IF(Inicial!L34="SI",Inicial!E34,"N/A")</f>
        <v>N/A</v>
      </c>
      <c r="F34" s="52" t="str">
        <f>IF(Inicial!L34="SI",Inicial!F34,"N/A")</f>
        <v>N/A</v>
      </c>
      <c r="G34" s="52" t="str">
        <f>IF(Inicial!L34="SI",Inicial!G34,"N/A")</f>
        <v>N/A</v>
      </c>
      <c r="H34" s="52" t="str">
        <f>IF(Inicial!L34="SI",Inicial!H34,"N/A")</f>
        <v>N/A</v>
      </c>
      <c r="I34" s="54" t="str">
        <f>IF(Inicial!L34="SI",Inicial!I34,"N/A")</f>
        <v>N/A</v>
      </c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6" t="str" cm="1">
        <f t="array" ref="AG34">IF(OR(M34:AF34="NO"),"No aceptable","Aceptable")</f>
        <v>Aceptable</v>
      </c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3" t="str" cm="1">
        <f t="array" ref="BD34">IF(OR(AK34:BC34="SI"),"Critico","No Critico")</f>
        <v>No Critico</v>
      </c>
    </row>
    <row r="35" spans="1:56" ht="27.6" hidden="1">
      <c r="A35" s="51">
        <f>Inicial!A35</f>
        <v>33</v>
      </c>
      <c r="B35" s="52" t="str">
        <f>Inicial!B35</f>
        <v>Procesos</v>
      </c>
      <c r="C35" s="52" t="str">
        <f>Inicial!C35</f>
        <v>Paletizado Fresco</v>
      </c>
      <c r="D35" s="53" t="str">
        <f>Inicial!D35</f>
        <v>Postura de bolsa y pañal</v>
      </c>
      <c r="E35" s="51" t="str">
        <f>IF(Inicial!L35="SI",Inicial!E35,"N/A")</f>
        <v>N/A</v>
      </c>
      <c r="F35" s="52" t="str">
        <f>IF(Inicial!L35="SI",Inicial!F35,"N/A")</f>
        <v>N/A</v>
      </c>
      <c r="G35" s="52" t="str">
        <f>IF(Inicial!L35="SI",Inicial!G35,"N/A")</f>
        <v>N/A</v>
      </c>
      <c r="H35" s="52" t="str">
        <f>IF(Inicial!L35="SI",Inicial!H35,"N/A")</f>
        <v>N/A</v>
      </c>
      <c r="I35" s="54" t="str">
        <f>IF(Inicial!L35="SI",Inicial!I35,"N/A")</f>
        <v>N/A</v>
      </c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6" t="str" cm="1">
        <f t="array" ref="AG35">IF(OR(M35:AF35="NO"),"No aceptable","Aceptable")</f>
        <v>Aceptable</v>
      </c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3" t="str" cm="1">
        <f t="array" ref="BD35">IF(OR(AK35:BC35="SI"),"Critico","No Critico")</f>
        <v>No Critico</v>
      </c>
    </row>
    <row r="36" spans="1:56" ht="27.6" hidden="1">
      <c r="A36" s="51">
        <f>Inicial!A36</f>
        <v>34</v>
      </c>
      <c r="B36" s="52" t="str">
        <f>Inicial!B36</f>
        <v>Procesos</v>
      </c>
      <c r="C36" s="52" t="str">
        <f>Inicial!C36</f>
        <v>Paletizado Fresco</v>
      </c>
      <c r="D36" s="53" t="str">
        <f>Inicial!D36</f>
        <v>PC global</v>
      </c>
      <c r="E36" s="51" t="str">
        <f>IF(Inicial!L36="SI",Inicial!E36,"N/A")</f>
        <v>N/A</v>
      </c>
      <c r="F36" s="52" t="str">
        <f>IF(Inicial!L36="SI",Inicial!F36,"N/A")</f>
        <v>N/A</v>
      </c>
      <c r="G36" s="52" t="str">
        <f>IF(Inicial!L36="SI",Inicial!G36,"N/A")</f>
        <v>N/A</v>
      </c>
      <c r="H36" s="52" t="str">
        <f>IF(Inicial!L36="SI",Inicial!H36,"N/A")</f>
        <v>N/A</v>
      </c>
      <c r="I36" s="54" t="str">
        <f>IF(Inicial!L36="SI",Inicial!I36,"N/A")</f>
        <v>N/A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6" t="str" cm="1">
        <f t="array" ref="AG36">IF(OR(M36:AF36="NO"),"No aceptable","Aceptable")</f>
        <v>Aceptable</v>
      </c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3" t="str" cm="1">
        <f t="array" ref="BD36">IF(OR(AK36:BC36="SI"),"Critico","No Critico")</f>
        <v>No Critico</v>
      </c>
    </row>
    <row r="37" spans="1:56" ht="27.6" hidden="1">
      <c r="A37" s="51">
        <f>Inicial!A37</f>
        <v>35</v>
      </c>
      <c r="B37" s="52" t="str">
        <f>Inicial!B37</f>
        <v>Procesos</v>
      </c>
      <c r="C37" s="52" t="str">
        <f>Inicial!C37</f>
        <v>Paletizado Fresco</v>
      </c>
      <c r="D37" s="53" t="str">
        <f>Inicial!D37</f>
        <v>Transpaletero</v>
      </c>
      <c r="E37" s="51" t="str">
        <f>IF(Inicial!L37="SI",Inicial!E37,"N/A")</f>
        <v>N/A</v>
      </c>
      <c r="F37" s="52" t="str">
        <f>IF(Inicial!L37="SI",Inicial!F37,"N/A")</f>
        <v>N/A</v>
      </c>
      <c r="G37" s="52" t="str">
        <f>IF(Inicial!L37="SI",Inicial!G37,"N/A")</f>
        <v>N/A</v>
      </c>
      <c r="H37" s="52" t="str">
        <f>IF(Inicial!L37="SI",Inicial!H37,"N/A")</f>
        <v>N/A</v>
      </c>
      <c r="I37" s="54" t="str">
        <f>IF(Inicial!L37="SI",Inicial!I37,"N/A")</f>
        <v>N/A</v>
      </c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6" t="str" cm="1">
        <f t="array" ref="AG37">IF(OR(M37:AF37="NO"),"No aceptable","Aceptable")</f>
        <v>Aceptable</v>
      </c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7"/>
      <c r="AY37" s="77"/>
      <c r="AZ37" s="77"/>
      <c r="BA37" s="77"/>
      <c r="BB37" s="77"/>
      <c r="BC37" s="77"/>
      <c r="BD37" s="3" t="str" cm="1">
        <f t="array" ref="BD37">IF(OR(AK37:BC37="SI"),"Critico","No Critico")</f>
        <v>No Critico</v>
      </c>
    </row>
    <row r="38" spans="1:56" ht="27.6" hidden="1">
      <c r="A38" s="51">
        <f>Inicial!A38</f>
        <v>36</v>
      </c>
      <c r="B38" s="52" t="str">
        <f>Inicial!B38</f>
        <v>Procesos</v>
      </c>
      <c r="C38" s="52" t="str">
        <f>Inicial!C38</f>
        <v>Paletizado Fresco</v>
      </c>
      <c r="D38" s="53" t="str">
        <f>Inicial!D38</f>
        <v>Maquinista</v>
      </c>
      <c r="E38" s="51" t="str">
        <f>IF(Inicial!L38="SI",Inicial!E38,"N/A")</f>
        <v>N/A</v>
      </c>
      <c r="F38" s="52" t="str">
        <f>IF(Inicial!L38="SI",Inicial!F38,"N/A")</f>
        <v>N/A</v>
      </c>
      <c r="G38" s="52" t="str">
        <f>IF(Inicial!L38="SI",Inicial!G38,"N/A")</f>
        <v>N/A</v>
      </c>
      <c r="H38" s="52" t="str">
        <f>IF(Inicial!L38="SI",Inicial!H38,"N/A")</f>
        <v>N/A</v>
      </c>
      <c r="I38" s="54" t="str">
        <f>IF(Inicial!L38="SI",Inicial!I38,"N/A")</f>
        <v>N/A</v>
      </c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6" t="str" cm="1">
        <f t="array" ref="AG38">IF(OR(M38:AF38="NO"),"No aceptable","Aceptable")</f>
        <v>Aceptable</v>
      </c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3" t="str" cm="1">
        <f t="array" ref="BD38">IF(OR(AK38:BC38="SI"),"Critico","No Critico")</f>
        <v>No Critico</v>
      </c>
    </row>
    <row r="39" spans="1:56" ht="27.6" hidden="1">
      <c r="A39" s="51">
        <f>Inicial!A39</f>
        <v>37</v>
      </c>
      <c r="B39" s="52" t="str">
        <f>Inicial!B39</f>
        <v>Procesos</v>
      </c>
      <c r="C39" s="52" t="str">
        <f>Inicial!C39</f>
        <v>Paletizado Fresco</v>
      </c>
      <c r="D39" s="53" t="str">
        <f>Inicial!D39</f>
        <v>Administrativo</v>
      </c>
      <c r="E39" s="51" t="str">
        <f>IF(Inicial!L39="SI",Inicial!E39,"N/A")</f>
        <v>N/A</v>
      </c>
      <c r="F39" s="52" t="str">
        <f>IF(Inicial!L39="SI",Inicial!F39,"N/A")</f>
        <v>N/A</v>
      </c>
      <c r="G39" s="52" t="str">
        <f>IF(Inicial!L39="SI",Inicial!G39,"N/A")</f>
        <v>N/A</v>
      </c>
      <c r="H39" s="52" t="str">
        <f>IF(Inicial!L39="SI",Inicial!H39,"N/A")</f>
        <v>N/A</v>
      </c>
      <c r="I39" s="54" t="str">
        <f>IF(Inicial!L39="SI",Inicial!I39,"N/A")</f>
        <v>N/A</v>
      </c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6" t="str" cm="1">
        <f t="array" ref="AG39">IF(OR(M39:AF39="NO"),"No aceptable","Aceptable")</f>
        <v>Aceptable</v>
      </c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3" t="str" cm="1">
        <f t="array" ref="BD39">IF(OR(AK39:BC39="SI"),"Critico","No Critico")</f>
        <v>No Critico</v>
      </c>
    </row>
    <row r="40" spans="1:56" ht="27.6" hidden="1">
      <c r="A40" s="51">
        <f>Inicial!A40</f>
        <v>38</v>
      </c>
      <c r="B40" s="52" t="str">
        <f>Inicial!B40</f>
        <v>Procesos</v>
      </c>
      <c r="C40" s="52" t="str">
        <f>Inicial!C40</f>
        <v>Paletizado Fresco</v>
      </c>
      <c r="D40" s="53" t="str">
        <f>Inicial!D40</f>
        <v xml:space="preserve">Jefe de Línea </v>
      </c>
      <c r="E40" s="51" t="str">
        <f>IF(Inicial!L40="SI",Inicial!E40,"N/A")</f>
        <v>N/A</v>
      </c>
      <c r="F40" s="52" t="str">
        <f>IF(Inicial!L40="SI",Inicial!F40,"N/A")</f>
        <v>N/A</v>
      </c>
      <c r="G40" s="52" t="str">
        <f>IF(Inicial!L40="SI",Inicial!G40,"N/A")</f>
        <v>N/A</v>
      </c>
      <c r="H40" s="52" t="str">
        <f>IF(Inicial!L40="SI",Inicial!H40,"N/A")</f>
        <v>N/A</v>
      </c>
      <c r="I40" s="54" t="str">
        <f>IF(Inicial!L40="SI",Inicial!I40,"N/A")</f>
        <v>N/A</v>
      </c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6" t="str" cm="1">
        <f t="array" ref="AG40">IF(OR(M40:AF40="NO"),"No aceptable","Aceptable")</f>
        <v>Aceptable</v>
      </c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7"/>
      <c r="BD40" s="3" t="str" cm="1">
        <f t="array" ref="BD40">IF(OR(AK40:BC40="SI"),"Critico","No Critico")</f>
        <v>No Critico</v>
      </c>
    </row>
    <row r="41" spans="1:56" ht="27.6" hidden="1">
      <c r="A41" s="51">
        <f>Inicial!A41</f>
        <v>39</v>
      </c>
      <c r="B41" s="52" t="str">
        <f>Inicial!B41</f>
        <v>Procesos</v>
      </c>
      <c r="C41" s="52" t="str">
        <f>Inicial!C41</f>
        <v>Paletizado Fresco</v>
      </c>
      <c r="D41" s="53" t="str">
        <f>Inicial!D41</f>
        <v>Paletizador</v>
      </c>
      <c r="E41" s="51" t="str">
        <f>IF(Inicial!L41="SI",Inicial!E41,"N/A")</f>
        <v>06:45 - 15:55 / 14:55 - 00:20</v>
      </c>
      <c r="F41" s="52" t="str">
        <f>IF(Inicial!L41="SI",Inicial!F41,"N/A")</f>
        <v>N/A</v>
      </c>
      <c r="G41" s="52">
        <f>IF(Inicial!L41="SI",Inicial!G41,"N/A")</f>
        <v>2</v>
      </c>
      <c r="H41" s="52">
        <f>IF(Inicial!L41="SI",Inicial!H41,"N/A")</f>
        <v>96</v>
      </c>
      <c r="I41" s="54">
        <f>IF(Inicial!L41="SI",Inicial!I41,"N/A")</f>
        <v>6</v>
      </c>
      <c r="J41" s="77" t="s">
        <v>115</v>
      </c>
      <c r="K41" s="77" t="s">
        <v>64</v>
      </c>
      <c r="L41" s="77" t="s">
        <v>64</v>
      </c>
      <c r="M41" s="77" t="s">
        <v>64</v>
      </c>
      <c r="N41" s="77" t="s">
        <v>64</v>
      </c>
      <c r="O41" s="77" t="s">
        <v>64</v>
      </c>
      <c r="P41" s="77" t="s">
        <v>64</v>
      </c>
      <c r="Q41" s="77" t="s">
        <v>59</v>
      </c>
      <c r="R41" s="77" t="s">
        <v>59</v>
      </c>
      <c r="S41" s="77" t="s">
        <v>59</v>
      </c>
      <c r="T41" s="77" t="s">
        <v>59</v>
      </c>
      <c r="U41" s="77" t="s">
        <v>59</v>
      </c>
      <c r="V41" s="77" t="s">
        <v>59</v>
      </c>
      <c r="W41" s="77" t="s">
        <v>59</v>
      </c>
      <c r="X41" s="77" t="s">
        <v>59</v>
      </c>
      <c r="Y41" s="77" t="s">
        <v>115</v>
      </c>
      <c r="Z41" s="77" t="s">
        <v>64</v>
      </c>
      <c r="AA41" s="77" t="s">
        <v>115</v>
      </c>
      <c r="AB41" s="77" t="s">
        <v>115</v>
      </c>
      <c r="AC41" s="77" t="s">
        <v>59</v>
      </c>
      <c r="AD41" s="77" t="s">
        <v>59</v>
      </c>
      <c r="AE41" s="77" t="s">
        <v>59</v>
      </c>
      <c r="AF41" s="77" t="s">
        <v>64</v>
      </c>
      <c r="AG41" s="76" t="str" cm="1">
        <f t="array" ref="AG41">IF(OR(M41:AF41="NO"),"No aceptable","Aceptable")</f>
        <v>No aceptable</v>
      </c>
      <c r="AH41" s="77" t="s">
        <v>115</v>
      </c>
      <c r="AI41" s="77" t="s">
        <v>115</v>
      </c>
      <c r="AJ41" s="77" t="s">
        <v>115</v>
      </c>
      <c r="AK41" s="77" t="s">
        <v>115</v>
      </c>
      <c r="AL41" s="77" t="s">
        <v>115</v>
      </c>
      <c r="AM41" s="77" t="s">
        <v>115</v>
      </c>
      <c r="AN41" s="77" t="s">
        <v>115</v>
      </c>
      <c r="AO41" s="77" t="s">
        <v>115</v>
      </c>
      <c r="AP41" s="77" t="s">
        <v>115</v>
      </c>
      <c r="AQ41" s="77" t="s">
        <v>115</v>
      </c>
      <c r="AR41" s="77" t="s">
        <v>115</v>
      </c>
      <c r="AS41" s="77" t="s">
        <v>115</v>
      </c>
      <c r="AT41" s="77" t="s">
        <v>59</v>
      </c>
      <c r="AU41" s="77" t="s">
        <v>59</v>
      </c>
      <c r="AV41" s="77" t="s">
        <v>59</v>
      </c>
      <c r="AW41" s="77" t="s">
        <v>115</v>
      </c>
      <c r="AX41" s="77" t="s">
        <v>59</v>
      </c>
      <c r="AY41" s="77" t="s">
        <v>59</v>
      </c>
      <c r="AZ41" s="77" t="s">
        <v>59</v>
      </c>
      <c r="BA41" s="77" t="s">
        <v>59</v>
      </c>
      <c r="BB41" s="77" t="s">
        <v>115</v>
      </c>
      <c r="BC41" s="77" t="s">
        <v>115</v>
      </c>
      <c r="BD41" s="3" t="str" cm="1">
        <f t="array" ref="BD41">IF(OR(AK41:BC41="SI"),"Critico","No Critico")</f>
        <v>No Critico</v>
      </c>
    </row>
    <row r="42" spans="1:56" ht="27.6" hidden="1">
      <c r="A42" s="51">
        <f>Inicial!A42</f>
        <v>40</v>
      </c>
      <c r="B42" s="52" t="str">
        <f>Inicial!B42</f>
        <v>Procesos</v>
      </c>
      <c r="C42" s="52" t="str">
        <f>Inicial!C42</f>
        <v>Paletizado Fresco</v>
      </c>
      <c r="D42" s="53" t="str">
        <f>Inicial!D42</f>
        <v>Supervisor</v>
      </c>
      <c r="E42" s="51" t="str">
        <f>IF(Inicial!L42="SI",Inicial!E42,"N/A")</f>
        <v>N/A</v>
      </c>
      <c r="F42" s="52" t="str">
        <f>IF(Inicial!L42="SI",Inicial!F42,"N/A")</f>
        <v>N/A</v>
      </c>
      <c r="G42" s="52" t="str">
        <f>IF(Inicial!L42="SI",Inicial!G42,"N/A")</f>
        <v>N/A</v>
      </c>
      <c r="H42" s="52" t="str">
        <f>IF(Inicial!L42="SI",Inicial!H42,"N/A")</f>
        <v>N/A</v>
      </c>
      <c r="I42" s="54" t="str">
        <f>IF(Inicial!L42="SI",Inicial!I42,"N/A")</f>
        <v>N/A</v>
      </c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6" t="str" cm="1">
        <f t="array" ref="AG42">IF(OR(M42:AF42="NO"),"No aceptable","Aceptable")</f>
        <v>Aceptable</v>
      </c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7"/>
      <c r="BD42" s="3" t="str" cm="1">
        <f t="array" ref="BD42">IF(OR(AK42:BC42="SI"),"Critico","No Critico")</f>
        <v>No Critico</v>
      </c>
    </row>
    <row r="43" spans="1:56" ht="41.45" hidden="1">
      <c r="A43" s="51">
        <f>Inicial!A43</f>
        <v>41</v>
      </c>
      <c r="B43" s="52" t="str">
        <f>Inicial!B43</f>
        <v>Procesos</v>
      </c>
      <c r="C43" s="52" t="str">
        <f>Inicial!C43</f>
        <v>Trozado L1</v>
      </c>
      <c r="D43" s="53" t="str">
        <f>Inicial!D43</f>
        <v>Pesador de producto derecha</v>
      </c>
      <c r="E43" s="51" t="str">
        <f>IF(Inicial!L43="SI",Inicial!E43,"N/A")</f>
        <v>N/A</v>
      </c>
      <c r="F43" s="52" t="str">
        <f>IF(Inicial!L43="SI",Inicial!F43,"N/A")</f>
        <v>N/A</v>
      </c>
      <c r="G43" s="52" t="str">
        <f>IF(Inicial!L43="SI",Inicial!G43,"N/A")</f>
        <v>N/A</v>
      </c>
      <c r="H43" s="52" t="str">
        <f>IF(Inicial!L43="SI",Inicial!H43,"N/A")</f>
        <v>N/A</v>
      </c>
      <c r="I43" s="54" t="str">
        <f>IF(Inicial!L43="SI",Inicial!I43,"N/A")</f>
        <v>N/A</v>
      </c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6" t="str" cm="1">
        <f t="array" ref="AG43">IF(OR(M43:AF43="NO"),"No aceptable","Aceptable")</f>
        <v>Aceptable</v>
      </c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7"/>
      <c r="BD43" s="3" t="str" cm="1">
        <f t="array" ref="BD43">IF(OR(AK43:BC43="SI"),"Critico","No Critico")</f>
        <v>No Critico</v>
      </c>
    </row>
    <row r="44" spans="1:56" ht="41.45" hidden="1">
      <c r="A44" s="51">
        <f>Inicial!A44</f>
        <v>42</v>
      </c>
      <c r="B44" s="52" t="str">
        <f>Inicial!B44</f>
        <v>Procesos</v>
      </c>
      <c r="C44" s="52" t="str">
        <f>Inicial!C44</f>
        <v>Trozado L2</v>
      </c>
      <c r="D44" s="53" t="str">
        <f>Inicial!D44</f>
        <v>Pesador de producto izquierda</v>
      </c>
      <c r="E44" s="51" t="str">
        <f>IF(Inicial!L44="SI",Inicial!E44,"N/A")</f>
        <v>N/A</v>
      </c>
      <c r="F44" s="52" t="str">
        <f>IF(Inicial!L44="SI",Inicial!F44,"N/A")</f>
        <v>N/A</v>
      </c>
      <c r="G44" s="52" t="str">
        <f>IF(Inicial!L44="SI",Inicial!G44,"N/A")</f>
        <v>N/A</v>
      </c>
      <c r="H44" s="52" t="str">
        <f>IF(Inicial!L44="SI",Inicial!H44,"N/A")</f>
        <v>N/A</v>
      </c>
      <c r="I44" s="54" t="str">
        <f>IF(Inicial!L44="SI",Inicial!I44,"N/A")</f>
        <v>N/A</v>
      </c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6" t="str" cm="1">
        <f t="array" ref="AG44">IF(OR(M44:AF44="NO"),"No aceptable","Aceptable")</f>
        <v>Aceptable</v>
      </c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3" t="str" cm="1">
        <f t="array" ref="BD44">IF(OR(AK44:BC44="SI"),"Critico","No Critico")</f>
        <v>No Critico</v>
      </c>
    </row>
    <row r="45" spans="1:56" ht="27.6">
      <c r="A45" s="51">
        <f>Inicial!A45</f>
        <v>43</v>
      </c>
      <c r="B45" s="52" t="str">
        <f>Inicial!B45</f>
        <v>Procesos</v>
      </c>
      <c r="C45" s="52" t="str">
        <f>Inicial!C45</f>
        <v>Trozado L5</v>
      </c>
      <c r="D45" s="53" t="str">
        <f>Inicial!D45</f>
        <v>Selección de  (trutro)</v>
      </c>
      <c r="E45" s="51" t="str">
        <f>IF(Inicial!L45="SI",Inicial!E45,"N/A")</f>
        <v>N/A</v>
      </c>
      <c r="F45" s="52" t="str">
        <f>IF(Inicial!L45="SI",Inicial!F45,"N/A")</f>
        <v>N/A</v>
      </c>
      <c r="G45" s="52" t="str">
        <f>IF(Inicial!L45="SI",Inicial!G45,"N/A")</f>
        <v>N/A</v>
      </c>
      <c r="H45" s="52" t="str">
        <f>IF(Inicial!L45="SI",Inicial!H45,"N/A")</f>
        <v>N/A</v>
      </c>
      <c r="I45" s="54" t="str">
        <f>IF(Inicial!L45="SI",Inicial!I45,"N/A")</f>
        <v>N/A</v>
      </c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6" t="str" cm="1">
        <f t="array" ref="AG45">IF(OR(M45:AF45="NO"),"No aceptable","Aceptable")</f>
        <v>Aceptable</v>
      </c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3" t="str" cm="1">
        <f t="array" ref="BD45">IF(OR(AK45:BC45="SI"),"Critico","No Critico")</f>
        <v>No Critico</v>
      </c>
    </row>
    <row r="46" spans="1:56" ht="41.45" hidden="1">
      <c r="A46" s="51">
        <f>Inicial!A46</f>
        <v>44</v>
      </c>
      <c r="B46" s="52" t="str">
        <f>Inicial!B46</f>
        <v>Procesos</v>
      </c>
      <c r="C46" s="52" t="str">
        <f>Inicial!C46</f>
        <v>Trozado L1</v>
      </c>
      <c r="D46" s="53" t="str">
        <f>Inicial!D46</f>
        <v>Embalado de producto en termoformadora</v>
      </c>
      <c r="E46" s="51" t="str">
        <f>IF(Inicial!L46="SI",Inicial!E46,"N/A")</f>
        <v>N/A</v>
      </c>
      <c r="F46" s="52" t="str">
        <f>IF(Inicial!L46="SI",Inicial!F46,"N/A")</f>
        <v>N/A</v>
      </c>
      <c r="G46" s="52" t="str">
        <f>IF(Inicial!L46="SI",Inicial!G46,"N/A")</f>
        <v>N/A</v>
      </c>
      <c r="H46" s="52" t="str">
        <f>IF(Inicial!L46="SI",Inicial!H46,"N/A")</f>
        <v>N/A</v>
      </c>
      <c r="I46" s="54" t="str">
        <f>IF(Inicial!L46="SI",Inicial!I46,"N/A")</f>
        <v>N/A</v>
      </c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6" t="str" cm="1">
        <f t="array" ref="AG46">IF(OR(M46:AF46="NO"),"No aceptable","Aceptable")</f>
        <v>Aceptable</v>
      </c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3" t="str" cm="1">
        <f t="array" ref="BD46">IF(OR(AK46:BC46="SI"),"Critico","No Critico")</f>
        <v>No Critico</v>
      </c>
    </row>
    <row r="47" spans="1:56" ht="27.6" hidden="1">
      <c r="A47" s="51">
        <f>Inicial!A47</f>
        <v>45</v>
      </c>
      <c r="B47" s="52" t="str">
        <f>Inicial!B47</f>
        <v>Procesos</v>
      </c>
      <c r="C47" s="52" t="str">
        <f>Inicial!C47</f>
        <v>Trozado L1</v>
      </c>
      <c r="D47" s="53" t="str">
        <f>Inicial!D47</f>
        <v>Chequeador de peso</v>
      </c>
      <c r="E47" s="51" t="str">
        <f>IF(Inicial!L47="SI",Inicial!E47,"N/A")</f>
        <v>07:05 - 15:05  15:15 - 00:15</v>
      </c>
      <c r="F47" s="52" t="str">
        <f>IF(Inicial!L47="SI",Inicial!F47,"N/A")</f>
        <v>N/A</v>
      </c>
      <c r="G47" s="52">
        <f>IF(Inicial!L47="SI",Inicial!G47,"N/A")</f>
        <v>2</v>
      </c>
      <c r="H47" s="52">
        <f>IF(Inicial!L47="SI",Inicial!H47,"N/A")</f>
        <v>66</v>
      </c>
      <c r="I47" s="54">
        <f>IF(Inicial!L47="SI",Inicial!I47,"N/A")</f>
        <v>73</v>
      </c>
      <c r="J47" s="77" t="s">
        <v>115</v>
      </c>
      <c r="K47" s="77" t="s">
        <v>64</v>
      </c>
      <c r="L47" s="77" t="s">
        <v>64</v>
      </c>
      <c r="M47" s="77" t="s">
        <v>64</v>
      </c>
      <c r="N47" s="77" t="s">
        <v>64</v>
      </c>
      <c r="O47" s="77" t="s">
        <v>64</v>
      </c>
      <c r="P47" s="77" t="s">
        <v>64</v>
      </c>
      <c r="Q47" s="77" t="s">
        <v>59</v>
      </c>
      <c r="R47" s="77" t="s">
        <v>59</v>
      </c>
      <c r="S47" s="77" t="s">
        <v>59</v>
      </c>
      <c r="T47" s="77" t="s">
        <v>59</v>
      </c>
      <c r="U47" s="77" t="s">
        <v>59</v>
      </c>
      <c r="V47" s="77" t="s">
        <v>59</v>
      </c>
      <c r="W47" s="77" t="s">
        <v>59</v>
      </c>
      <c r="X47" s="77" t="s">
        <v>59</v>
      </c>
      <c r="Y47" s="77" t="s">
        <v>115</v>
      </c>
      <c r="Z47" s="77" t="s">
        <v>64</v>
      </c>
      <c r="AA47" s="77" t="s">
        <v>64</v>
      </c>
      <c r="AB47" s="77" t="s">
        <v>115</v>
      </c>
      <c r="AC47" s="77" t="s">
        <v>59</v>
      </c>
      <c r="AD47" s="77" t="s">
        <v>59</v>
      </c>
      <c r="AE47" s="77" t="s">
        <v>59</v>
      </c>
      <c r="AF47" s="77" t="s">
        <v>64</v>
      </c>
      <c r="AG47" s="76" t="str" cm="1">
        <f t="array" ref="AG47">IF(OR(M47:AF47="NO"),"No aceptable","Aceptable")</f>
        <v>No aceptable</v>
      </c>
      <c r="AH47" s="77" t="s">
        <v>115</v>
      </c>
      <c r="AI47" s="77" t="s">
        <v>115</v>
      </c>
      <c r="AJ47" s="77" t="s">
        <v>115</v>
      </c>
      <c r="AK47" s="77" t="s">
        <v>115</v>
      </c>
      <c r="AL47" s="77" t="s">
        <v>115</v>
      </c>
      <c r="AM47" s="77" t="s">
        <v>115</v>
      </c>
      <c r="AN47" s="77" t="s">
        <v>115</v>
      </c>
      <c r="AO47" s="77" t="s">
        <v>115</v>
      </c>
      <c r="AP47" s="77" t="s">
        <v>115</v>
      </c>
      <c r="AQ47" s="77" t="s">
        <v>115</v>
      </c>
      <c r="AR47" s="77" t="s">
        <v>115</v>
      </c>
      <c r="AS47" s="77" t="s">
        <v>115</v>
      </c>
      <c r="AT47" s="77" t="s">
        <v>115</v>
      </c>
      <c r="AU47" s="77" t="s">
        <v>115</v>
      </c>
      <c r="AV47" s="77" t="s">
        <v>115</v>
      </c>
      <c r="AW47" s="77" t="s">
        <v>115</v>
      </c>
      <c r="AX47" s="77" t="s">
        <v>115</v>
      </c>
      <c r="AY47" s="77" t="s">
        <v>115</v>
      </c>
      <c r="AZ47" s="77" t="s">
        <v>115</v>
      </c>
      <c r="BA47" s="77" t="s">
        <v>115</v>
      </c>
      <c r="BB47" s="77" t="s">
        <v>115</v>
      </c>
      <c r="BC47" s="77" t="s">
        <v>115</v>
      </c>
      <c r="BD47" s="3" t="str" cm="1">
        <f t="array" ref="BD47">IF(OR(AK47:BC47="SI"),"Critico","No Critico")</f>
        <v>No Critico</v>
      </c>
    </row>
    <row r="48" spans="1:56" hidden="1">
      <c r="A48" s="51">
        <f>Inicial!A48</f>
        <v>46</v>
      </c>
      <c r="B48" s="52" t="str">
        <f>Inicial!B48</f>
        <v>Procesos</v>
      </c>
      <c r="C48" s="52" t="str">
        <f>Inicial!C48</f>
        <v>Trozado L2</v>
      </c>
      <c r="D48" s="53" t="str">
        <f>Inicial!D48</f>
        <v>Traslape</v>
      </c>
      <c r="E48" s="51" t="str">
        <f>IF(Inicial!L48="SI",Inicial!E48,"N/A")</f>
        <v>N/A</v>
      </c>
      <c r="F48" s="52" t="str">
        <f>IF(Inicial!L48="SI",Inicial!F48,"N/A")</f>
        <v>N/A</v>
      </c>
      <c r="G48" s="52" t="str">
        <f>IF(Inicial!L48="SI",Inicial!G48,"N/A")</f>
        <v>N/A</v>
      </c>
      <c r="H48" s="52" t="str">
        <f>IF(Inicial!L48="SI",Inicial!H48,"N/A")</f>
        <v>N/A</v>
      </c>
      <c r="I48" s="54" t="str">
        <f>IF(Inicial!L48="SI",Inicial!I48,"N/A")</f>
        <v>N/A</v>
      </c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6" t="str" cm="1">
        <f t="array" ref="AG48">IF(OR(M48:AF48="NO"),"No aceptable","Aceptable")</f>
        <v>Aceptable</v>
      </c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3" t="str" cm="1">
        <f t="array" ref="BD48">IF(OR(AK48:BC48="SI"),"Critico","No Critico")</f>
        <v>No Critico</v>
      </c>
    </row>
    <row r="49" spans="1:56" ht="27.6" hidden="1">
      <c r="A49" s="51">
        <f>Inicial!A49</f>
        <v>47</v>
      </c>
      <c r="B49" s="52" t="str">
        <f>Inicial!B49</f>
        <v>Procesos</v>
      </c>
      <c r="C49" s="52" t="str">
        <f>Inicial!C49</f>
        <v>Trozado L1</v>
      </c>
      <c r="D49" s="53" t="str">
        <f>Inicial!D49</f>
        <v>Volteador de bins</v>
      </c>
      <c r="E49" s="51" t="str">
        <f>IF(Inicial!L49="SI",Inicial!E49,"N/A")</f>
        <v>N/A</v>
      </c>
      <c r="F49" s="52" t="str">
        <f>IF(Inicial!L49="SI",Inicial!F49,"N/A")</f>
        <v>N/A</v>
      </c>
      <c r="G49" s="52" t="str">
        <f>IF(Inicial!L49="SI",Inicial!G49,"N/A")</f>
        <v>N/A</v>
      </c>
      <c r="H49" s="52" t="str">
        <f>IF(Inicial!L49="SI",Inicial!H49,"N/A")</f>
        <v>N/A</v>
      </c>
      <c r="I49" s="54" t="str">
        <f>IF(Inicial!L49="SI",Inicial!I49,"N/A")</f>
        <v>N/A</v>
      </c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6" t="str" cm="1">
        <f t="array" ref="AG49">IF(OR(M49:AF49="NO"),"No aceptable","Aceptable")</f>
        <v>Aceptable</v>
      </c>
      <c r="AH49" s="77"/>
      <c r="AI49" s="77"/>
      <c r="AJ49" s="77"/>
      <c r="AK49" s="77"/>
      <c r="AL49" s="77"/>
      <c r="AM49" s="77"/>
      <c r="AN49" s="77"/>
      <c r="AO49" s="77"/>
      <c r="AP49" s="77"/>
      <c r="AQ49" s="77"/>
      <c r="AR49" s="77"/>
      <c r="AS49" s="77"/>
      <c r="AT49" s="77"/>
      <c r="AU49" s="77"/>
      <c r="AV49" s="77"/>
      <c r="AW49" s="77"/>
      <c r="AX49" s="77"/>
      <c r="AY49" s="77"/>
      <c r="AZ49" s="77"/>
      <c r="BA49" s="77"/>
      <c r="BB49" s="77"/>
      <c r="BC49" s="77"/>
      <c r="BD49" s="3" t="str" cm="1">
        <f t="array" ref="BD49">IF(OR(AK49:BC49="SI"),"Critico","No Critico")</f>
        <v>No Critico</v>
      </c>
    </row>
    <row r="50" spans="1:56" hidden="1">
      <c r="A50" s="51" t="e">
        <f>Inicial!#REF!</f>
        <v>#REF!</v>
      </c>
      <c r="B50" s="52" t="e">
        <f>Inicial!#REF!</f>
        <v>#REF!</v>
      </c>
      <c r="C50" s="52" t="e">
        <f>Inicial!#REF!</f>
        <v>#REF!</v>
      </c>
      <c r="D50" s="53" t="e">
        <f>Inicial!#REF!</f>
        <v>#REF!</v>
      </c>
      <c r="E50" s="51" t="e">
        <f>IF(Inicial!#REF!="SI",Inicial!#REF!,"N/A")</f>
        <v>#REF!</v>
      </c>
      <c r="F50" s="52" t="e">
        <f>IF(Inicial!#REF!="SI",Inicial!#REF!,"N/A")</f>
        <v>#REF!</v>
      </c>
      <c r="G50" s="52" t="e">
        <f>IF(Inicial!#REF!="SI",Inicial!#REF!,"N/A")</f>
        <v>#REF!</v>
      </c>
      <c r="H50" s="52" t="e">
        <f>IF(Inicial!#REF!="SI",Inicial!#REF!,"N/A")</f>
        <v>#REF!</v>
      </c>
      <c r="I50" s="54" t="e">
        <f>IF(Inicial!#REF!="SI",Inicial!#REF!,"N/A")</f>
        <v>#REF!</v>
      </c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6" t="str" cm="1">
        <f t="array" ref="AG50">IF(OR(M50:AF50="NO"),"No aceptable","Aceptable")</f>
        <v>Aceptable</v>
      </c>
      <c r="AH50" s="77"/>
      <c r="AI50" s="77"/>
      <c r="AJ50" s="77"/>
      <c r="AK50" s="77"/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C50" s="77"/>
      <c r="BD50" s="3" t="str" cm="1">
        <f t="array" ref="BD50">IF(OR(AK50:BC50="SI"),"Critico","No Critico")</f>
        <v>No Critico</v>
      </c>
    </row>
    <row r="51" spans="1:56" hidden="1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54" t="e">
        <f>IF(Inicial!#REF!="SI",Inicial!#REF!,"N/A")</f>
        <v>#REF!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6" t="str" cm="1">
        <f t="array" ref="AG51">IF(OR(M51:AF51="NO"),"No aceptable","Aceptable")</f>
        <v>Aceptable</v>
      </c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3" t="str" cm="1">
        <f t="array" ref="BD51">IF(OR(AK51:BC51="SI"),"Critico","No Critico")</f>
        <v>No Critico</v>
      </c>
    </row>
    <row r="52" spans="1:56" hidden="1">
      <c r="A52" s="51">
        <f>Inicial!A50</f>
        <v>48</v>
      </c>
      <c r="B52" s="52" t="str">
        <f>Inicial!B50</f>
        <v>Procesos</v>
      </c>
      <c r="C52" s="52" t="str">
        <f>Inicial!C50</f>
        <v>Mesanina</v>
      </c>
      <c r="D52" s="53" t="str">
        <f>Inicial!D50</f>
        <v>Recolgado</v>
      </c>
      <c r="E52" s="51" t="str">
        <f>IF(Inicial!L50="SI",Inicial!E50,"N/A")</f>
        <v>N/A</v>
      </c>
      <c r="F52" s="52" t="str">
        <f>IF(Inicial!L50="SI",Inicial!F50,"N/A")</f>
        <v>N/A</v>
      </c>
      <c r="G52" s="52" t="str">
        <f>IF(Inicial!L50="SI",Inicial!G50,"N/A")</f>
        <v>N/A</v>
      </c>
      <c r="H52" s="52" t="str">
        <f>IF(Inicial!L50="SI",Inicial!H50,"N/A")</f>
        <v>N/A</v>
      </c>
      <c r="I52" s="54" t="str">
        <f>IF(Inicial!L50="SI",Inicial!I50,"N/A")</f>
        <v>N/A</v>
      </c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6" t="str" cm="1">
        <f t="array" ref="AG52">IF(OR(M52:AF52="NO"),"No aceptable","Aceptable")</f>
        <v>Aceptable</v>
      </c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3" t="str" cm="1">
        <f t="array" ref="BD52">IF(OR(AK52:BC52="SI"),"Critico","No Critico")</f>
        <v>No Critico</v>
      </c>
    </row>
    <row r="53" spans="1:56" hidden="1">
      <c r="A53" s="51" t="e">
        <f>Inicial!#REF!</f>
        <v>#REF!</v>
      </c>
      <c r="B53" s="52" t="e">
        <f>Inicial!#REF!</f>
        <v>#REF!</v>
      </c>
      <c r="C53" s="52" t="e">
        <f>Inicial!#REF!</f>
        <v>#REF!</v>
      </c>
      <c r="D53" s="53" t="e">
        <f>Inicial!#REF!</f>
        <v>#REF!</v>
      </c>
      <c r="E53" s="51" t="e">
        <f>IF(Inicial!#REF!="SI",Inicial!#REF!,"N/A")</f>
        <v>#REF!</v>
      </c>
      <c r="F53" s="52" t="e">
        <f>IF(Inicial!#REF!="SI",Inicial!#REF!,"N/A")</f>
        <v>#REF!</v>
      </c>
      <c r="G53" s="52" t="e">
        <f>IF(Inicial!#REF!="SI",Inicial!#REF!,"N/A")</f>
        <v>#REF!</v>
      </c>
      <c r="H53" s="52" t="e">
        <f>IF(Inicial!#REF!="SI",Inicial!#REF!,"N/A")</f>
        <v>#REF!</v>
      </c>
      <c r="I53" s="54" t="e">
        <f>IF(Inicial!#REF!="SI",Inicial!#REF!,"N/A")</f>
        <v>#REF!</v>
      </c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6" t="str" cm="1">
        <f t="array" ref="AG53">IF(OR(M53:AF53="NO"),"No aceptable","Aceptable")</f>
        <v>Aceptable</v>
      </c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3" t="str" cm="1">
        <f t="array" ref="BD53">IF(OR(AK53:BC53="SI"),"Critico","No Critico")</f>
        <v>No Critico</v>
      </c>
    </row>
    <row r="54" spans="1:56" hidden="1">
      <c r="A54" s="51">
        <f>Inicial!A51</f>
        <v>49</v>
      </c>
      <c r="B54" s="52" t="str">
        <f>Inicial!B51</f>
        <v>Procesos</v>
      </c>
      <c r="C54" s="52" t="str">
        <f>Inicial!C51</f>
        <v>Trozado</v>
      </c>
      <c r="D54" s="53" t="str">
        <f>Inicial!D51</f>
        <v>Tranferidor</v>
      </c>
      <c r="E54" s="51" t="str">
        <f>IF(Inicial!L51="SI",Inicial!E51,"N/A")</f>
        <v>N/A</v>
      </c>
      <c r="F54" s="52" t="str">
        <f>IF(Inicial!L51="SI",Inicial!F51,"N/A")</f>
        <v>N/A</v>
      </c>
      <c r="G54" s="52" t="str">
        <f>IF(Inicial!L51="SI",Inicial!G51,"N/A")</f>
        <v>N/A</v>
      </c>
      <c r="H54" s="52" t="str">
        <f>IF(Inicial!L51="SI",Inicial!H51,"N/A")</f>
        <v>N/A</v>
      </c>
      <c r="I54" s="54" t="str">
        <f>IF(Inicial!L51="SI",Inicial!I51,"N/A")</f>
        <v>N/A</v>
      </c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6" t="str" cm="1">
        <f t="array" ref="AG54">IF(OR(M54:AF54="NO"),"No aceptable","Aceptable")</f>
        <v>Aceptable</v>
      </c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7"/>
      <c r="AS54" s="77"/>
      <c r="AT54" s="77"/>
      <c r="AU54" s="77"/>
      <c r="AV54" s="77"/>
      <c r="AW54" s="77"/>
      <c r="AX54" s="77"/>
      <c r="AY54" s="77"/>
      <c r="AZ54" s="77"/>
      <c r="BA54" s="77"/>
      <c r="BB54" s="77"/>
      <c r="BC54" s="77"/>
      <c r="BD54" s="3" t="str" cm="1">
        <f t="array" ref="BD54">IF(OR(AK54:BC54="SI"),"Critico","No Critico")</f>
        <v>No Critico</v>
      </c>
    </row>
    <row r="55" spans="1:56" hidden="1">
      <c r="A55" s="51">
        <f>Inicial!A52</f>
        <v>50</v>
      </c>
      <c r="B55" s="52" t="str">
        <f>Inicial!B52</f>
        <v>Procesos</v>
      </c>
      <c r="C55" s="52" t="str">
        <f>Inicial!C52</f>
        <v>Trozado</v>
      </c>
      <c r="D55" s="53" t="str">
        <f>Inicial!D52</f>
        <v>Transpaletero</v>
      </c>
      <c r="E55" s="51" t="str">
        <f>IF(Inicial!L52="SI",Inicial!E52,"N/A")</f>
        <v>N/A</v>
      </c>
      <c r="F55" s="52" t="str">
        <f>IF(Inicial!L52="SI",Inicial!F52,"N/A")</f>
        <v>N/A</v>
      </c>
      <c r="G55" s="52" t="str">
        <f>IF(Inicial!L52="SI",Inicial!G52,"N/A")</f>
        <v>N/A</v>
      </c>
      <c r="H55" s="52" t="str">
        <f>IF(Inicial!L52="SI",Inicial!H52,"N/A")</f>
        <v>N/A</v>
      </c>
      <c r="I55" s="54" t="str">
        <f>IF(Inicial!L52="SI",Inicial!I52,"N/A")</f>
        <v>N/A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6" t="str" cm="1">
        <f t="array" ref="AG55">IF(OR(M55:AF55="NO"),"No aceptable","Aceptable")</f>
        <v>Aceptable</v>
      </c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3" t="str" cm="1">
        <f t="array" ref="BD55">IF(OR(AK55:BC55="SI"),"Critico","No Critico")</f>
        <v>No Critico</v>
      </c>
    </row>
    <row r="56" spans="1:56" hidden="1">
      <c r="A56" s="51">
        <f>Inicial!A53</f>
        <v>51</v>
      </c>
      <c r="B56" s="52" t="str">
        <f>Inicial!B53</f>
        <v>Procesos</v>
      </c>
      <c r="C56" s="52" t="str">
        <f>Inicial!C53</f>
        <v>Trozado L2</v>
      </c>
      <c r="D56" s="53" t="str">
        <f>Inicial!D53</f>
        <v>Trozado manual</v>
      </c>
      <c r="E56" s="51" t="str">
        <f>IF(Inicial!L53="SI",Inicial!E53,"N/A")</f>
        <v>N/A</v>
      </c>
      <c r="F56" s="52" t="str">
        <f>IF(Inicial!L53="SI",Inicial!F53,"N/A")</f>
        <v>N/A</v>
      </c>
      <c r="G56" s="52" t="str">
        <f>IF(Inicial!L53="SI",Inicial!G53,"N/A")</f>
        <v>N/A</v>
      </c>
      <c r="H56" s="52" t="str">
        <f>IF(Inicial!L53="SI",Inicial!H53,"N/A")</f>
        <v>N/A</v>
      </c>
      <c r="I56" s="54" t="str">
        <f>IF(Inicial!L53="SI",Inicial!I53,"N/A")</f>
        <v>N/A</v>
      </c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6" t="str" cm="1">
        <f t="array" ref="AG56">IF(OR(M56:AF56="NO"),"No aceptable","Aceptable")</f>
        <v>Aceptable</v>
      </c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3" t="str" cm="1">
        <f t="array" ref="BD56">IF(OR(AK56:BC56="SI"),"Critico","No Critico")</f>
        <v>No Critico</v>
      </c>
    </row>
    <row r="57" spans="1:56" hidden="1">
      <c r="A57" s="51">
        <f>Inicial!A54</f>
        <v>52</v>
      </c>
      <c r="B57" s="52" t="str">
        <f>Inicial!B54</f>
        <v>Procesos</v>
      </c>
      <c r="C57" s="52" t="str">
        <f>Inicial!C54</f>
        <v>Trozado</v>
      </c>
      <c r="D57" s="53" t="str">
        <f>Inicial!D54</f>
        <v>Maquinista</v>
      </c>
      <c r="E57" s="51" t="str">
        <f>IF(Inicial!L54="SI",Inicial!E54,"N/A")</f>
        <v>N/A</v>
      </c>
      <c r="F57" s="52" t="str">
        <f>IF(Inicial!L54="SI",Inicial!F54,"N/A")</f>
        <v>N/A</v>
      </c>
      <c r="G57" s="52" t="str">
        <f>IF(Inicial!L54="SI",Inicial!G54,"N/A")</f>
        <v>N/A</v>
      </c>
      <c r="H57" s="52" t="str">
        <f>IF(Inicial!L54="SI",Inicial!H54,"N/A")</f>
        <v>N/A</v>
      </c>
      <c r="I57" s="54" t="str">
        <f>IF(Inicial!L54="SI",Inicial!I54,"N/A")</f>
        <v>N/A</v>
      </c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6" t="str" cm="1">
        <f t="array" ref="AG57">IF(OR(M57:AF57="NO"),"No aceptable","Aceptable")</f>
        <v>Aceptable</v>
      </c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3" t="str" cm="1">
        <f t="array" ref="BD57">IF(OR(AK57:BC57="SI"),"Critico","No Critico")</f>
        <v>No Critico</v>
      </c>
    </row>
    <row r="58" spans="1:56" hidden="1">
      <c r="A58" s="51">
        <f>Inicial!A55</f>
        <v>53</v>
      </c>
      <c r="B58" s="52" t="str">
        <f>Inicial!B55</f>
        <v>Procesos</v>
      </c>
      <c r="C58" s="52" t="str">
        <f>Inicial!C55</f>
        <v>Trozado</v>
      </c>
      <c r="D58" s="53" t="str">
        <f>Inicial!D55</f>
        <v>Fechado</v>
      </c>
      <c r="E58" s="51" t="str">
        <f>IF(Inicial!L55="SI",Inicial!E55,"N/A")</f>
        <v>N/A</v>
      </c>
      <c r="F58" s="52" t="str">
        <f>IF(Inicial!L55="SI",Inicial!F55,"N/A")</f>
        <v>N/A</v>
      </c>
      <c r="G58" s="52" t="str">
        <f>IF(Inicial!L55="SI",Inicial!G55,"N/A")</f>
        <v>N/A</v>
      </c>
      <c r="H58" s="52" t="str">
        <f>IF(Inicial!L55="SI",Inicial!H55,"N/A")</f>
        <v>N/A</v>
      </c>
      <c r="I58" s="54" t="str">
        <f>IF(Inicial!L55="SI",Inicial!I55,"N/A")</f>
        <v>N/A</v>
      </c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6" t="str" cm="1">
        <f t="array" ref="AG58">IF(OR(M58:AF58="NO"),"No aceptable","Aceptable")</f>
        <v>Aceptable</v>
      </c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3" t="str" cm="1">
        <f t="array" ref="BD58">IF(OR(AK58:BC58="SI"),"Critico","No Critico")</f>
        <v>No Critico</v>
      </c>
    </row>
    <row r="59" spans="1:56" ht="27.6" hidden="1">
      <c r="A59" s="51">
        <f>Inicial!A56</f>
        <v>54</v>
      </c>
      <c r="B59" s="52" t="str">
        <f>Inicial!B56</f>
        <v>Procesos</v>
      </c>
      <c r="C59" s="52" t="str">
        <f>Inicial!C56</f>
        <v>Trozado L1</v>
      </c>
      <c r="D59" s="53" t="str">
        <f>Inicial!D56</f>
        <v>Embalado pollo personal</v>
      </c>
      <c r="E59" s="51" t="str">
        <f>IF(Inicial!L56="SI",Inicial!E56,"N/A")</f>
        <v>N/A</v>
      </c>
      <c r="F59" s="52" t="str">
        <f>IF(Inicial!L56="SI",Inicial!F56,"N/A")</f>
        <v>N/A</v>
      </c>
      <c r="G59" s="52" t="str">
        <f>IF(Inicial!L56="SI",Inicial!G56,"N/A")</f>
        <v>N/A</v>
      </c>
      <c r="H59" s="52" t="str">
        <f>IF(Inicial!L56="SI",Inicial!H56,"N/A")</f>
        <v>N/A</v>
      </c>
      <c r="I59" s="54" t="str">
        <f>IF(Inicial!L56="SI",Inicial!I56,"N/A")</f>
        <v>N/A</v>
      </c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6" t="str" cm="1">
        <f t="array" ref="AG59">IF(OR(M59:AF59="NO"),"No aceptable","Aceptable")</f>
        <v>Aceptable</v>
      </c>
      <c r="AH59" s="77"/>
      <c r="AI59" s="77"/>
      <c r="AJ59" s="77"/>
      <c r="AK59" s="77"/>
      <c r="AL59" s="77"/>
      <c r="AM59" s="77"/>
      <c r="AN59" s="77"/>
      <c r="AO59" s="77"/>
      <c r="AP59" s="77"/>
      <c r="AQ59" s="77"/>
      <c r="AR59" s="77"/>
      <c r="AS59" s="7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3" t="str" cm="1">
        <f t="array" ref="BD59">IF(OR(AK59:BC59="SI"),"Critico","No Critico")</f>
        <v>No Critico</v>
      </c>
    </row>
    <row r="60" spans="1:56" hidden="1">
      <c r="A60" s="51">
        <f>Inicial!A57</f>
        <v>55</v>
      </c>
      <c r="B60" s="52" t="str">
        <f>Inicial!B57</f>
        <v>Procesos</v>
      </c>
      <c r="C60" s="52" t="str">
        <f>Inicial!C57</f>
        <v>Trozado</v>
      </c>
      <c r="D60" s="53" t="str">
        <f>Inicial!D57</f>
        <v>Programador</v>
      </c>
      <c r="E60" s="51" t="str">
        <f>IF(Inicial!L57="SI",Inicial!E57,"N/A")</f>
        <v>N/A</v>
      </c>
      <c r="F60" s="52" t="str">
        <f>IF(Inicial!L57="SI",Inicial!F57,"N/A")</f>
        <v>N/A</v>
      </c>
      <c r="G60" s="52" t="str">
        <f>IF(Inicial!L57="SI",Inicial!G57,"N/A")</f>
        <v>N/A</v>
      </c>
      <c r="H60" s="52" t="str">
        <f>IF(Inicial!L57="SI",Inicial!H57,"N/A")</f>
        <v>N/A</v>
      </c>
      <c r="I60" s="54" t="str">
        <f>IF(Inicial!L57="SI",Inicial!I57,"N/A")</f>
        <v>N/A</v>
      </c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6" t="str" cm="1">
        <f t="array" ref="AG60">IF(OR(M60:AF60="NO"),"No aceptable","Aceptable")</f>
        <v>Aceptable</v>
      </c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3" t="str" cm="1">
        <f t="array" ref="BD60">IF(OR(AK60:BC60="SI"),"Critico","No Critico")</f>
        <v>No Critico</v>
      </c>
    </row>
    <row r="61" spans="1:56">
      <c r="A61" s="51">
        <f>Inicial!A58</f>
        <v>56</v>
      </c>
      <c r="B61" s="52" t="str">
        <f>Inicial!B58</f>
        <v>Procesos</v>
      </c>
      <c r="C61" s="52" t="str">
        <f>Inicial!C58</f>
        <v>Trozado L5</v>
      </c>
      <c r="D61" s="53" t="str">
        <f>Inicial!D58</f>
        <v>Vacio espinazo</v>
      </c>
      <c r="E61" s="51" t="str">
        <f>IF(Inicial!L58="SI",Inicial!E58,"N/A")</f>
        <v>N/A</v>
      </c>
      <c r="F61" s="52" t="str">
        <f>IF(Inicial!L58="SI",Inicial!F58,"N/A")</f>
        <v>N/A</v>
      </c>
      <c r="G61" s="52" t="str">
        <f>IF(Inicial!L58="SI",Inicial!G58,"N/A")</f>
        <v>N/A</v>
      </c>
      <c r="H61" s="52" t="str">
        <f>IF(Inicial!L58="SI",Inicial!H58,"N/A")</f>
        <v>N/A</v>
      </c>
      <c r="I61" s="54" t="str">
        <f>IF(Inicial!L58="SI",Inicial!I58,"N/A")</f>
        <v>N/A</v>
      </c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6" t="str" cm="1">
        <f t="array" ref="AG61">IF(OR(M61:AF61="NO"),"No aceptable","Aceptable")</f>
        <v>Aceptable</v>
      </c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3" t="str" cm="1">
        <f t="array" ref="BD61">IF(OR(AK61:BC61="SI"),"Critico","No Critico")</f>
        <v>No Critico</v>
      </c>
    </row>
    <row r="62" spans="1:56" ht="27.6">
      <c r="A62" s="51">
        <f>Inicial!A59</f>
        <v>57</v>
      </c>
      <c r="B62" s="52" t="str">
        <f>Inicial!B59</f>
        <v>Procesos</v>
      </c>
      <c r="C62" s="52" t="str">
        <f>Inicial!C59</f>
        <v>Trozado L5</v>
      </c>
      <c r="D62" s="53" t="str">
        <f>Inicial!D59</f>
        <v>Vacio punta espinazo</v>
      </c>
      <c r="E62" s="51" t="str">
        <f>IF(Inicial!L59="SI",Inicial!E59,"N/A")</f>
        <v>N/A</v>
      </c>
      <c r="F62" s="52" t="str">
        <f>IF(Inicial!L59="SI",Inicial!F59,"N/A")</f>
        <v>N/A</v>
      </c>
      <c r="G62" s="52" t="str">
        <f>IF(Inicial!L59="SI",Inicial!G59,"N/A")</f>
        <v>N/A</v>
      </c>
      <c r="H62" s="52" t="str">
        <f>IF(Inicial!L59="SI",Inicial!H59,"N/A")</f>
        <v>N/A</v>
      </c>
      <c r="I62" s="54" t="str">
        <f>IF(Inicial!L59="SI",Inicial!I59,"N/A")</f>
        <v>N/A</v>
      </c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6" t="str" cm="1">
        <f t="array" ref="AG62">IF(OR(M62:AF62="NO"),"No aceptable","Aceptable")</f>
        <v>Aceptable</v>
      </c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3" t="str" cm="1">
        <f t="array" ref="BD62">IF(OR(AK62:BC62="SI"),"Critico","No Critico")</f>
        <v>No Critico</v>
      </c>
    </row>
    <row r="63" spans="1:56" ht="27.6" hidden="1">
      <c r="A63" s="51">
        <f>Inicial!A60</f>
        <v>58</v>
      </c>
      <c r="B63" s="52" t="str">
        <f>Inicial!B60</f>
        <v>Procesos</v>
      </c>
      <c r="C63" s="52" t="str">
        <f>Inicial!C60</f>
        <v>Trozado</v>
      </c>
      <c r="D63" s="53" t="str">
        <f>Inicial!D60</f>
        <v>Trozado manual cazuela</v>
      </c>
      <c r="E63" s="51" t="str">
        <f>IF(Inicial!L60="SI",Inicial!E60,"N/A")</f>
        <v>N/A</v>
      </c>
      <c r="F63" s="52" t="str">
        <f>IF(Inicial!L60="SI",Inicial!F60,"N/A")</f>
        <v>N/A</v>
      </c>
      <c r="G63" s="52" t="str">
        <f>IF(Inicial!L60="SI",Inicial!G60,"N/A")</f>
        <v>N/A</v>
      </c>
      <c r="H63" s="52" t="str">
        <f>IF(Inicial!L60="SI",Inicial!H60,"N/A")</f>
        <v>N/A</v>
      </c>
      <c r="I63" s="54" t="str">
        <f>IF(Inicial!L60="SI",Inicial!I60,"N/A")</f>
        <v>N/A</v>
      </c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6" t="str" cm="1">
        <f t="array" ref="AG63">IF(OR(M63:AF63="NO"),"No aceptable","Aceptable")</f>
        <v>Aceptable</v>
      </c>
      <c r="AH63" s="77"/>
      <c r="AI63" s="77"/>
      <c r="AJ63" s="77"/>
      <c r="AK63" s="77"/>
      <c r="AL63" s="77"/>
      <c r="AM63" s="77"/>
      <c r="AN63" s="77"/>
      <c r="AO63" s="77"/>
      <c r="AP63" s="77"/>
      <c r="AQ63" s="77"/>
      <c r="AR63" s="77"/>
      <c r="AS63" s="7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3" t="str" cm="1">
        <f t="array" ref="BD63">IF(OR(AK63:BC63="SI"),"Critico","No Critico")</f>
        <v>No Critico</v>
      </c>
    </row>
    <row r="64" spans="1:56" ht="27.6">
      <c r="A64" s="51">
        <f>Inicial!A61</f>
        <v>59</v>
      </c>
      <c r="B64" s="52" t="str">
        <f>Inicial!B61</f>
        <v>Procesos</v>
      </c>
      <c r="C64" s="52" t="str">
        <f>Inicial!C61</f>
        <v>Trozado L5</v>
      </c>
      <c r="D64" s="53" t="str">
        <f>Inicial!D61</f>
        <v>Traslado de Decomiso</v>
      </c>
      <c r="E64" s="51" t="str">
        <f>IF(Inicial!L61="SI",Inicial!E61,"N/A")</f>
        <v>07:05 - 15:05  15:15 - 00:15</v>
      </c>
      <c r="F64" s="52" t="str">
        <f>IF(Inicial!L61="SI",Inicial!F61,"N/A")</f>
        <v>N/A</v>
      </c>
      <c r="G64" s="52">
        <f>IF(Inicial!L61="SI",Inicial!G61,"N/A")</f>
        <v>2</v>
      </c>
      <c r="H64" s="52">
        <f>IF(Inicial!L61="SI",Inicial!H61,"N/A")</f>
        <v>66</v>
      </c>
      <c r="I64" s="54">
        <f>IF(Inicial!L61="SI",Inicial!I61,"N/A")</f>
        <v>73</v>
      </c>
      <c r="J64" s="77" t="s">
        <v>115</v>
      </c>
      <c r="K64" s="77" t="s">
        <v>64</v>
      </c>
      <c r="L64" s="77" t="s">
        <v>64</v>
      </c>
      <c r="M64" s="77" t="s">
        <v>64</v>
      </c>
      <c r="N64" s="77" t="s">
        <v>64</v>
      </c>
      <c r="O64" s="77" t="s">
        <v>64</v>
      </c>
      <c r="P64" s="77" t="s">
        <v>64</v>
      </c>
      <c r="Q64" s="77" t="s">
        <v>59</v>
      </c>
      <c r="R64" s="77" t="s">
        <v>59</v>
      </c>
      <c r="S64" s="77" t="s">
        <v>59</v>
      </c>
      <c r="T64" s="77" t="s">
        <v>59</v>
      </c>
      <c r="U64" s="77" t="s">
        <v>64</v>
      </c>
      <c r="V64" s="77" t="s">
        <v>64</v>
      </c>
      <c r="W64" s="77" t="s">
        <v>64</v>
      </c>
      <c r="X64" s="77" t="s">
        <v>64</v>
      </c>
      <c r="Y64" s="77" t="s">
        <v>115</v>
      </c>
      <c r="Z64" s="77" t="s">
        <v>64</v>
      </c>
      <c r="AA64" s="77" t="s">
        <v>64</v>
      </c>
      <c r="AB64" s="77" t="s">
        <v>115</v>
      </c>
      <c r="AC64" s="77" t="s">
        <v>59</v>
      </c>
      <c r="AD64" s="77" t="s">
        <v>59</v>
      </c>
      <c r="AE64" s="77" t="s">
        <v>59</v>
      </c>
      <c r="AF64" s="77" t="s">
        <v>59</v>
      </c>
      <c r="AG64" s="76" t="str" cm="1">
        <f t="array" ref="AG64">IF(OR(M64:AF64="NO"),"No aceptable","Aceptable")</f>
        <v>No aceptable</v>
      </c>
      <c r="AH64" s="77" t="s">
        <v>64</v>
      </c>
      <c r="AI64" s="77" t="s">
        <v>115</v>
      </c>
      <c r="AJ64" s="77" t="s">
        <v>115</v>
      </c>
      <c r="AK64" s="77" t="s">
        <v>115</v>
      </c>
      <c r="AL64" s="77" t="s">
        <v>115</v>
      </c>
      <c r="AM64" s="77" t="s">
        <v>115</v>
      </c>
      <c r="AN64" s="77" t="s">
        <v>115</v>
      </c>
      <c r="AO64" s="77" t="s">
        <v>115</v>
      </c>
      <c r="AP64" s="77" t="s">
        <v>115</v>
      </c>
      <c r="AQ64" s="77" t="s">
        <v>115</v>
      </c>
      <c r="AR64" s="77" t="s">
        <v>115</v>
      </c>
      <c r="AS64" s="77" t="s">
        <v>115</v>
      </c>
      <c r="AT64" s="77" t="s">
        <v>115</v>
      </c>
      <c r="AU64" s="77" t="s">
        <v>59</v>
      </c>
      <c r="AV64" s="77" t="s">
        <v>59</v>
      </c>
      <c r="AW64" s="77" t="s">
        <v>115</v>
      </c>
      <c r="AX64" s="77" t="s">
        <v>115</v>
      </c>
      <c r="AY64" s="77" t="s">
        <v>59</v>
      </c>
      <c r="AZ64" s="77" t="s">
        <v>59</v>
      </c>
      <c r="BA64" s="77" t="s">
        <v>59</v>
      </c>
      <c r="BB64" s="77" t="s">
        <v>115</v>
      </c>
      <c r="BC64" s="77" t="s">
        <v>115</v>
      </c>
      <c r="BD64" s="3" t="str" cm="1">
        <f t="array" ref="BD64">IF(OR(AK64:BC64="SI"),"Critico","No Critico")</f>
        <v>No Critico</v>
      </c>
    </row>
    <row r="65" spans="1:56" ht="27.6">
      <c r="A65" s="51">
        <f>Inicial!A62</f>
        <v>60</v>
      </c>
      <c r="B65" s="52" t="str">
        <f>Inicial!B62</f>
        <v>Procesos</v>
      </c>
      <c r="C65" s="52" t="str">
        <f>Inicial!C62</f>
        <v>Trozado L5</v>
      </c>
      <c r="D65" s="53" t="str">
        <f>Inicial!D62</f>
        <v>Selección centro ala</v>
      </c>
      <c r="E65" s="51" t="str">
        <f>IF(Inicial!L62="SI",Inicial!E62,"N/A")</f>
        <v>N/A</v>
      </c>
      <c r="F65" s="52" t="str">
        <f>IF(Inicial!L62="SI",Inicial!F62,"N/A")</f>
        <v>N/A</v>
      </c>
      <c r="G65" s="52" t="str">
        <f>IF(Inicial!L62="SI",Inicial!G62,"N/A")</f>
        <v>N/A</v>
      </c>
      <c r="H65" s="52" t="str">
        <f>IF(Inicial!L62="SI",Inicial!H62,"N/A")</f>
        <v>N/A</v>
      </c>
      <c r="I65" s="54" t="str">
        <f>IF(Inicial!L62="SI",Inicial!I62,"N/A")</f>
        <v>N/A</v>
      </c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6" t="str" cm="1">
        <f t="array" ref="AG65">IF(OR(M65:AF65="NO"),"No aceptable","Aceptable")</f>
        <v>Aceptable</v>
      </c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3" t="str" cm="1">
        <f t="array" ref="BD65">IF(OR(AK65:BC65="SI"),"Critico","No Critico")</f>
        <v>No Critico</v>
      </c>
    </row>
    <row r="66" spans="1:56" hidden="1">
      <c r="A66" s="51" t="e">
        <f>Inicial!#REF!</f>
        <v>#REF!</v>
      </c>
      <c r="B66" s="52" t="e">
        <f>Inicial!#REF!</f>
        <v>#REF!</v>
      </c>
      <c r="C66" s="52" t="e">
        <f>Inicial!#REF!</f>
        <v>#REF!</v>
      </c>
      <c r="D66" s="53" t="e">
        <f>Inicial!#REF!</f>
        <v>#REF!</v>
      </c>
      <c r="E66" s="51" t="e">
        <f>IF(Inicial!#REF!="SI",Inicial!#REF!,"N/A")</f>
        <v>#REF!</v>
      </c>
      <c r="F66" s="52" t="e">
        <f>IF(Inicial!#REF!="SI",Inicial!#REF!,"N/A")</f>
        <v>#REF!</v>
      </c>
      <c r="G66" s="52" t="e">
        <f>IF(Inicial!#REF!="SI",Inicial!#REF!,"N/A")</f>
        <v>#REF!</v>
      </c>
      <c r="H66" s="52" t="e">
        <f>IF(Inicial!#REF!="SI",Inicial!#REF!,"N/A")</f>
        <v>#REF!</v>
      </c>
      <c r="I66" s="54" t="e">
        <f>IF(Inicial!#REF!="SI",Inicial!#REF!,"N/A")</f>
        <v>#REF!</v>
      </c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6" t="str" cm="1">
        <f t="array" ref="AG66">IF(OR(M66:AF66="NO"),"No aceptable","Aceptable")</f>
        <v>Aceptable</v>
      </c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3" t="str" cm="1">
        <f t="array" ref="BD66">IF(OR(AK66:BC66="SI"),"Critico","No Critico")</f>
        <v>No Critico</v>
      </c>
    </row>
    <row r="67" spans="1:56" hidden="1">
      <c r="A67" s="51" t="e">
        <f>Inicial!#REF!</f>
        <v>#REF!</v>
      </c>
      <c r="B67" s="52" t="e">
        <f>Inicial!#REF!</f>
        <v>#REF!</v>
      </c>
      <c r="C67" s="52" t="e">
        <f>Inicial!#REF!</f>
        <v>#REF!</v>
      </c>
      <c r="D67" s="53" t="e">
        <f>Inicial!#REF!</f>
        <v>#REF!</v>
      </c>
      <c r="E67" s="51" t="e">
        <f>IF(Inicial!#REF!="SI",Inicial!#REF!,"N/A")</f>
        <v>#REF!</v>
      </c>
      <c r="F67" s="52" t="e">
        <f>IF(Inicial!#REF!="SI",Inicial!#REF!,"N/A")</f>
        <v>#REF!</v>
      </c>
      <c r="G67" s="52" t="e">
        <f>IF(Inicial!#REF!="SI",Inicial!#REF!,"N/A")</f>
        <v>#REF!</v>
      </c>
      <c r="H67" s="52" t="e">
        <f>IF(Inicial!#REF!="SI",Inicial!#REF!,"N/A")</f>
        <v>#REF!</v>
      </c>
      <c r="I67" s="54" t="e">
        <f>IF(Inicial!#REF!="SI",Inicial!#REF!,"N/A")</f>
        <v>#REF!</v>
      </c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6" t="str" cm="1">
        <f t="array" ref="AG67">IF(OR(M67:AF67="NO"),"No aceptable","Aceptable")</f>
        <v>Aceptable</v>
      </c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3" t="str" cm="1">
        <f t="array" ref="BD67">IF(OR(AK67:BC67="SI"),"Critico","No Critico")</f>
        <v>No Critico</v>
      </c>
    </row>
    <row r="68" spans="1:56" hidden="1">
      <c r="A68" s="51" t="e">
        <f>Inicial!#REF!</f>
        <v>#REF!</v>
      </c>
      <c r="B68" s="52" t="e">
        <f>Inicial!#REF!</f>
        <v>#REF!</v>
      </c>
      <c r="C68" s="52" t="e">
        <f>Inicial!#REF!</f>
        <v>#REF!</v>
      </c>
      <c r="D68" s="53" t="e">
        <f>Inicial!#REF!</f>
        <v>#REF!</v>
      </c>
      <c r="E68" s="51" t="e">
        <f>IF(Inicial!#REF!="SI",Inicial!#REF!,"N/A")</f>
        <v>#REF!</v>
      </c>
      <c r="F68" s="52" t="e">
        <f>IF(Inicial!#REF!="SI",Inicial!#REF!,"N/A")</f>
        <v>#REF!</v>
      </c>
      <c r="G68" s="52" t="e">
        <f>IF(Inicial!#REF!="SI",Inicial!#REF!,"N/A")</f>
        <v>#REF!</v>
      </c>
      <c r="H68" s="52" t="e">
        <f>IF(Inicial!#REF!="SI",Inicial!#REF!,"N/A")</f>
        <v>#REF!</v>
      </c>
      <c r="I68" s="54" t="e">
        <f>IF(Inicial!#REF!="SI",Inicial!#REF!,"N/A")</f>
        <v>#REF!</v>
      </c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6" t="str" cm="1">
        <f t="array" ref="AG68">IF(OR(M68:AF68="NO"),"No aceptable","Aceptable")</f>
        <v>Aceptable</v>
      </c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3" t="str" cm="1">
        <f t="array" ref="BD68">IF(OR(AK68:BC68="SI"),"Critico","No Critico")</f>
        <v>No Critico</v>
      </c>
    </row>
    <row r="69" spans="1:56" hidden="1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54" t="e">
        <f>IF(Inicial!#REF!="SI",Inicial!#REF!,"N/A")</f>
        <v>#REF!</v>
      </c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6" t="str" cm="1">
        <f t="array" ref="AG69">IF(OR(M69:AF69="NO"),"No aceptable","Aceptable")</f>
        <v>Aceptable</v>
      </c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3" t="str" cm="1">
        <f t="array" ref="BD69">IF(OR(AK69:BC69="SI"),"Critico","No Critico")</f>
        <v>No Critico</v>
      </c>
    </row>
    <row r="70" spans="1:56" hidden="1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54" t="e">
        <f>IF(Inicial!#REF!="SI",Inicial!#REF!,"N/A")</f>
        <v>#REF!</v>
      </c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6" t="str" cm="1">
        <f t="array" ref="AG70">IF(OR(M70:AF70="NO"),"No aceptable","Aceptable")</f>
        <v>Aceptable</v>
      </c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3" t="str" cm="1">
        <f t="array" ref="BD70">IF(OR(AK70:BC70="SI"),"Critico","No Critico")</f>
        <v>No Critico</v>
      </c>
    </row>
    <row r="71" spans="1:56" hidden="1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54" t="e">
        <f>IF(Inicial!#REF!="SI",Inicial!#REF!,"N/A")</f>
        <v>#REF!</v>
      </c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6" t="str" cm="1">
        <f t="array" ref="AG71">IF(OR(M71:AF71="NO"),"No aceptable","Aceptable")</f>
        <v>Aceptable</v>
      </c>
      <c r="AH71" s="77"/>
      <c r="AI71" s="77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3" t="str" cm="1">
        <f t="array" ref="BD71">IF(OR(AK71:BC71="SI"),"Critico","No Critico")</f>
        <v>No Critico</v>
      </c>
    </row>
    <row r="72" spans="1:56" hidden="1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54" t="e">
        <f>IF(Inicial!#REF!="SI",Inicial!#REF!,"N/A")</f>
        <v>#REF!</v>
      </c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6" t="str" cm="1">
        <f t="array" ref="AG72">IF(OR(M72:AF72="NO"),"No aceptable","Aceptable")</f>
        <v>Aceptable</v>
      </c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3" t="str" cm="1">
        <f t="array" ref="BD72">IF(OR(AK72:BC72="SI"),"Critico","No Critico")</f>
        <v>No Critico</v>
      </c>
    </row>
    <row r="73" spans="1:56" hidden="1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54" t="e">
        <f>IF(Inicial!#REF!="SI",Inicial!#REF!,"N/A")</f>
        <v>#REF!</v>
      </c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6" t="str" cm="1">
        <f t="array" ref="AG73">IF(OR(M73:AF73="NO"),"No aceptable","Aceptable")</f>
        <v>Aceptable</v>
      </c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3" t="str" cm="1">
        <f t="array" ref="BD73">IF(OR(AK73:BC73="SI"),"Critico","No Critico")</f>
        <v>No Critico</v>
      </c>
    </row>
    <row r="74" spans="1:56" hidden="1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54" t="e">
        <f>IF(Inicial!#REF!="SI",Inicial!#REF!,"N/A")</f>
        <v>#REF!</v>
      </c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6" t="str" cm="1">
        <f t="array" ref="AG74">IF(OR(M74:AF74="NO"),"No aceptable","Aceptable")</f>
        <v>Aceptable</v>
      </c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3" t="str" cm="1">
        <f t="array" ref="BD74">IF(OR(AK74:BC74="SI"),"Critico","No Critico")</f>
        <v>No Critico</v>
      </c>
    </row>
    <row r="75" spans="1:56" hidden="1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54" t="e">
        <f>IF(Inicial!#REF!="SI",Inicial!#REF!,"N/A")</f>
        <v>#REF!</v>
      </c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6" t="str" cm="1">
        <f t="array" ref="AG75">IF(OR(M75:AF75="NO"),"No aceptable","Aceptable")</f>
        <v>Aceptable</v>
      </c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3" t="str" cm="1">
        <f t="array" ref="BD75">IF(OR(AK75:BC75="SI"),"Critico","No Critico")</f>
        <v>No Critico</v>
      </c>
    </row>
    <row r="76" spans="1:56" ht="27.6">
      <c r="A76" s="51">
        <f>Inicial!A63</f>
        <v>61</v>
      </c>
      <c r="B76" s="52" t="str">
        <f>Inicial!B63</f>
        <v>Procesos</v>
      </c>
      <c r="C76" s="52" t="str">
        <f>Inicial!C63</f>
        <v>Trozado L5</v>
      </c>
      <c r="D76" s="53" t="str">
        <f>Inicial!D63</f>
        <v xml:space="preserve">Selección trutro ala </v>
      </c>
      <c r="E76" s="51" t="str">
        <f>IF(Inicial!L63="SI",Inicial!E63,"N/A")</f>
        <v>N/A</v>
      </c>
      <c r="F76" s="52" t="str">
        <f>IF(Inicial!L63="SI",Inicial!F63,"N/A")</f>
        <v>N/A</v>
      </c>
      <c r="G76" s="52" t="str">
        <f>IF(Inicial!L63="SI",Inicial!G63,"N/A")</f>
        <v>N/A</v>
      </c>
      <c r="H76" s="52" t="str">
        <f>IF(Inicial!L63="SI",Inicial!H63,"N/A")</f>
        <v>N/A</v>
      </c>
      <c r="I76" s="54" t="str">
        <f>IF(Inicial!L63="SI",Inicial!I63,"N/A")</f>
        <v>N/A</v>
      </c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6" t="str" cm="1">
        <f t="array" ref="AG76">IF(OR(M76:AF76="NO"),"No aceptable","Aceptable")</f>
        <v>Aceptable</v>
      </c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3" t="str" cm="1">
        <f t="array" ref="BD76">IF(OR(AK76:BC76="SI"),"Critico","No Critico")</f>
        <v>No Critico</v>
      </c>
    </row>
    <row r="77" spans="1:56" ht="27.6" hidden="1">
      <c r="A77" s="51" t="e">
        <f>Inicial!#REF!</f>
        <v>#REF!</v>
      </c>
      <c r="B77" s="52" t="e">
        <f>Inicial!#REF!</f>
        <v>#REF!</v>
      </c>
      <c r="C77" s="52" t="e">
        <f>Inicial!#REF!</f>
        <v>#REF!</v>
      </c>
      <c r="D77" s="53" t="e">
        <f>Inicial!#REF!</f>
        <v>#REF!</v>
      </c>
      <c r="E77" s="51" t="e">
        <f>IF(Inicial!#REF!="SI",Inicial!#REF!,"N/A")</f>
        <v>#REF!</v>
      </c>
      <c r="F77" s="52" t="e">
        <f>IF(Inicial!#REF!="SI",Inicial!#REF!,"N/A")</f>
        <v>#REF!</v>
      </c>
      <c r="G77" s="52" t="e">
        <f>IF(Inicial!#REF!="SI",Inicial!#REF!,"N/A")</f>
        <v>#REF!</v>
      </c>
      <c r="H77" s="52" t="e">
        <f>IF(Inicial!#REF!="SI",Inicial!#REF!,"N/A")</f>
        <v>#REF!</v>
      </c>
      <c r="I77" s="54" t="e">
        <f>IF(Inicial!#REF!="SI",Inicial!#REF!,"N/A")</f>
        <v>#REF!</v>
      </c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6" t="str" cm="1">
        <f t="array" ref="AG77">IF(OR(M77:AF77="NO"),"No aceptable","Aceptable")</f>
        <v>Aceptable</v>
      </c>
      <c r="AH77" s="77"/>
      <c r="AI77" s="77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  <c r="AW77" s="77"/>
      <c r="AX77" s="77"/>
      <c r="AY77" s="77"/>
      <c r="AZ77" s="77"/>
      <c r="BA77" s="77"/>
      <c r="BB77" s="77"/>
      <c r="BC77" s="77"/>
      <c r="BD77" s="3" t="str" cm="1">
        <f t="array" ref="BD77">IF(OR(AK77:BC77="SI"),"Critico","No Critico")</f>
        <v>No Critico</v>
      </c>
    </row>
    <row r="78" spans="1:56" ht="27.6">
      <c r="A78" s="51">
        <f>Inicial!A64</f>
        <v>62</v>
      </c>
      <c r="B78" s="52" t="str">
        <f>Inicial!B64</f>
        <v>Procesos</v>
      </c>
      <c r="C78" s="52" t="str">
        <f>Inicial!C64</f>
        <v>Trozado L5</v>
      </c>
      <c r="D78" s="53" t="str">
        <f>Inicial!D64</f>
        <v>Mezclas</v>
      </c>
      <c r="E78" s="51" t="str">
        <f>IF(Inicial!L64="SI",Inicial!E64,"N/A")</f>
        <v>07:05 - 15:05  15:15 - 00:15</v>
      </c>
      <c r="F78" s="52" t="str">
        <f>IF(Inicial!L64="SI",Inicial!F64,"N/A")</f>
        <v>N/A</v>
      </c>
      <c r="G78" s="52">
        <f>IF(Inicial!L64="SI",Inicial!G64,"N/A")</f>
        <v>2</v>
      </c>
      <c r="H78" s="52">
        <f>IF(Inicial!L64="SI",Inicial!H64,"N/A")</f>
        <v>66</v>
      </c>
      <c r="I78" s="54">
        <f>IF(Inicial!L64="SI",Inicial!I64,"N/A")</f>
        <v>73</v>
      </c>
      <c r="J78" s="77" t="s">
        <v>115</v>
      </c>
      <c r="K78" s="77" t="s">
        <v>64</v>
      </c>
      <c r="L78" s="77" t="s">
        <v>64</v>
      </c>
      <c r="M78" s="77" t="s">
        <v>64</v>
      </c>
      <c r="N78" s="77" t="s">
        <v>64</v>
      </c>
      <c r="O78" s="77" t="s">
        <v>64</v>
      </c>
      <c r="P78" s="77" t="s">
        <v>64</v>
      </c>
      <c r="Q78" s="77" t="s">
        <v>59</v>
      </c>
      <c r="R78" s="77" t="s">
        <v>59</v>
      </c>
      <c r="S78" s="77" t="s">
        <v>59</v>
      </c>
      <c r="T78" s="77" t="s">
        <v>59</v>
      </c>
      <c r="U78" s="77" t="s">
        <v>115</v>
      </c>
      <c r="V78" s="77" t="s">
        <v>64</v>
      </c>
      <c r="W78" s="77" t="s">
        <v>64</v>
      </c>
      <c r="X78" s="77" t="s">
        <v>115</v>
      </c>
      <c r="Y78" s="77" t="s">
        <v>64</v>
      </c>
      <c r="Z78" s="77" t="s">
        <v>59</v>
      </c>
      <c r="AA78" s="77" t="s">
        <v>59</v>
      </c>
      <c r="AB78" s="77" t="s">
        <v>59</v>
      </c>
      <c r="AC78" s="77" t="s">
        <v>59</v>
      </c>
      <c r="AD78" s="77" t="s">
        <v>59</v>
      </c>
      <c r="AE78" s="77" t="s">
        <v>59</v>
      </c>
      <c r="AF78" s="77" t="s">
        <v>59</v>
      </c>
      <c r="AG78" s="76" t="str" cm="1">
        <f t="array" ref="AG78">IF(OR(M78:AF78="NO"),"No aceptable","Aceptable")</f>
        <v>No aceptable</v>
      </c>
      <c r="AH78" s="77" t="s">
        <v>115</v>
      </c>
      <c r="AI78" s="77" t="s">
        <v>115</v>
      </c>
      <c r="AJ78" s="77" t="s">
        <v>115</v>
      </c>
      <c r="AK78" s="77" t="s">
        <v>115</v>
      </c>
      <c r="AL78" s="77" t="s">
        <v>115</v>
      </c>
      <c r="AM78" s="77" t="s">
        <v>115</v>
      </c>
      <c r="AN78" s="77" t="s">
        <v>115</v>
      </c>
      <c r="AO78" s="77" t="s">
        <v>115</v>
      </c>
      <c r="AP78" s="77" t="s">
        <v>115</v>
      </c>
      <c r="AQ78" s="77" t="s">
        <v>115</v>
      </c>
      <c r="AR78" s="77" t="s">
        <v>115</v>
      </c>
      <c r="AS78" s="77" t="s">
        <v>115</v>
      </c>
      <c r="AT78" s="77" t="s">
        <v>59</v>
      </c>
      <c r="AU78" s="77" t="s">
        <v>115</v>
      </c>
      <c r="AV78" s="77" t="s">
        <v>59</v>
      </c>
      <c r="AW78" s="77" t="s">
        <v>115</v>
      </c>
      <c r="AX78" s="77" t="s">
        <v>59</v>
      </c>
      <c r="AY78" s="77" t="s">
        <v>115</v>
      </c>
      <c r="AZ78" s="77" t="s">
        <v>59</v>
      </c>
      <c r="BA78" s="77" t="s">
        <v>59</v>
      </c>
      <c r="BB78" s="77" t="s">
        <v>115</v>
      </c>
      <c r="BC78" s="77" t="s">
        <v>115</v>
      </c>
      <c r="BD78" s="3" t="str" cm="1">
        <f t="array" ref="BD78">IF(OR(AK78:BC78="SI"),"Critico","No Critico")</f>
        <v>No Critico</v>
      </c>
    </row>
    <row r="79" spans="1:56" hidden="1">
      <c r="A79" s="51" t="e">
        <f>Inicial!#REF!</f>
        <v>#REF!</v>
      </c>
      <c r="B79" s="52" t="e">
        <f>Inicial!#REF!</f>
        <v>#REF!</v>
      </c>
      <c r="C79" s="52" t="e">
        <f>Inicial!#REF!</f>
        <v>#REF!</v>
      </c>
      <c r="D79" s="53" t="e">
        <f>Inicial!#REF!</f>
        <v>#REF!</v>
      </c>
      <c r="E79" s="51" t="e">
        <f>IF(Inicial!#REF!="SI",Inicial!#REF!,"N/A")</f>
        <v>#REF!</v>
      </c>
      <c r="F79" s="52" t="e">
        <f>IF(Inicial!#REF!="SI",Inicial!#REF!,"N/A")</f>
        <v>#REF!</v>
      </c>
      <c r="G79" s="52" t="e">
        <f>IF(Inicial!#REF!="SI",Inicial!#REF!,"N/A")</f>
        <v>#REF!</v>
      </c>
      <c r="H79" s="52" t="e">
        <f>IF(Inicial!#REF!="SI",Inicial!#REF!,"N/A")</f>
        <v>#REF!</v>
      </c>
      <c r="I79" s="54" t="e">
        <f>IF(Inicial!#REF!="SI",Inicial!#REF!,"N/A")</f>
        <v>#REF!</v>
      </c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6" t="str" cm="1">
        <f t="array" ref="AG79">IF(OR(M79:AF79="NO"),"No aceptable","Aceptable")</f>
        <v>Aceptable</v>
      </c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3" t="str" cm="1">
        <f t="array" ref="BD79">IF(OR(AK79:BC79="SI"),"Critico","No Critico")</f>
        <v>No Critico</v>
      </c>
    </row>
    <row r="80" spans="1:56" hidden="1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54" t="e">
        <f>IF(Inicial!#REF!="SI",Inicial!#REF!,"N/A")</f>
        <v>#REF!</v>
      </c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6" t="str" cm="1">
        <f t="array" ref="AG80">IF(OR(M80:AF80="NO"),"No aceptable","Aceptable")</f>
        <v>Aceptable</v>
      </c>
      <c r="AH80" s="77"/>
      <c r="AI80" s="77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  <c r="AV80" s="77"/>
      <c r="AW80" s="77"/>
      <c r="AX80" s="77"/>
      <c r="AY80" s="77"/>
      <c r="AZ80" s="77"/>
      <c r="BA80" s="77"/>
      <c r="BB80" s="77"/>
      <c r="BC80" s="77"/>
      <c r="BD80" s="3" t="str" cm="1">
        <f t="array" ref="BD80">IF(OR(AK80:BC80="SI"),"Critico","No Critico")</f>
        <v>No Critico</v>
      </c>
    </row>
    <row r="81" spans="1:56" hidden="1">
      <c r="A81" s="51" t="e">
        <f>Inicial!#REF!</f>
        <v>#REF!</v>
      </c>
      <c r="B81" s="52" t="e">
        <f>Inicial!#REF!</f>
        <v>#REF!</v>
      </c>
      <c r="C81" s="52" t="e">
        <f>Inicial!#REF!</f>
        <v>#REF!</v>
      </c>
      <c r="D81" s="53" t="e">
        <f>Inicial!#REF!</f>
        <v>#REF!</v>
      </c>
      <c r="E81" s="51" t="e">
        <f>IF(Inicial!#REF!="SI",Inicial!#REF!,"N/A")</f>
        <v>#REF!</v>
      </c>
      <c r="F81" s="52" t="e">
        <f>IF(Inicial!#REF!="SI",Inicial!#REF!,"N/A")</f>
        <v>#REF!</v>
      </c>
      <c r="G81" s="52" t="e">
        <f>IF(Inicial!#REF!="SI",Inicial!#REF!,"N/A")</f>
        <v>#REF!</v>
      </c>
      <c r="H81" s="52" t="e">
        <f>IF(Inicial!#REF!="SI",Inicial!#REF!,"N/A")</f>
        <v>#REF!</v>
      </c>
      <c r="I81" s="54" t="e">
        <f>IF(Inicial!#REF!="SI",Inicial!#REF!,"N/A")</f>
        <v>#REF!</v>
      </c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6" t="str" cm="1">
        <f t="array" ref="AG81">IF(OR(M81:AF81="NO"),"No aceptable","Aceptable")</f>
        <v>Aceptable</v>
      </c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3" t="str" cm="1">
        <f t="array" ref="BD81">IF(OR(AK81:BC81="SI"),"Critico","No Critico")</f>
        <v>No Critico</v>
      </c>
    </row>
    <row r="82" spans="1:56" hidden="1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54" t="e">
        <f>IF(Inicial!#REF!="SI",Inicial!#REF!,"N/A")</f>
        <v>#REF!</v>
      </c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6" t="str" cm="1">
        <f t="array" ref="AG82">IF(OR(M82:AF82="NO"),"No aceptable","Aceptable")</f>
        <v>Aceptable</v>
      </c>
      <c r="AH82" s="77"/>
      <c r="AI82" s="77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  <c r="AV82" s="77"/>
      <c r="AW82" s="77"/>
      <c r="AX82" s="77"/>
      <c r="AY82" s="77"/>
      <c r="AZ82" s="77"/>
      <c r="BA82" s="77"/>
      <c r="BB82" s="77"/>
      <c r="BC82" s="77"/>
      <c r="BD82" s="3" t="str" cm="1">
        <f t="array" ref="BD82">IF(OR(AK82:BC82="SI"),"Critico","No Critico")</f>
        <v>No Critico</v>
      </c>
    </row>
    <row r="83" spans="1:56" hidden="1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54" t="e">
        <f>IF(Inicial!#REF!="SI",Inicial!#REF!,"N/A")</f>
        <v>#REF!</v>
      </c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6" t="str" cm="1">
        <f t="array" ref="AG83">IF(OR(M83:AF83="NO"),"No aceptable","Aceptable")</f>
        <v>Aceptable</v>
      </c>
      <c r="AH83" s="77"/>
      <c r="AI83" s="77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  <c r="AV83" s="77"/>
      <c r="AW83" s="77"/>
      <c r="AX83" s="77"/>
      <c r="AY83" s="77"/>
      <c r="AZ83" s="77"/>
      <c r="BA83" s="77"/>
      <c r="BB83" s="77"/>
      <c r="BC83" s="77"/>
      <c r="BD83" s="3" t="str" cm="1">
        <f t="array" ref="BD83">IF(OR(AK83:BC83="SI"),"Critico","No Critico")</f>
        <v>No Critico</v>
      </c>
    </row>
    <row r="84" spans="1:56" ht="27.6" hidden="1">
      <c r="A84" s="51">
        <f>Inicial!A65</f>
        <v>63</v>
      </c>
      <c r="B84" s="52" t="str">
        <f>Inicial!B65</f>
        <v>Procesos</v>
      </c>
      <c r="C84" s="52" t="str">
        <f>Inicial!C65</f>
        <v>Paletizado Fresco</v>
      </c>
      <c r="D84" s="53" t="str">
        <f>Inicial!D65</f>
        <v>Embalaje de producto</v>
      </c>
      <c r="E84" s="51" t="str">
        <f>IF(Inicial!L65="SI",Inicial!E65,"N/A")</f>
        <v>N/A</v>
      </c>
      <c r="F84" s="52" t="str">
        <f>IF(Inicial!L65="SI",Inicial!F65,"N/A")</f>
        <v>N/A</v>
      </c>
      <c r="G84" s="52" t="str">
        <f>IF(Inicial!L65="SI",Inicial!G65,"N/A")</f>
        <v>N/A</v>
      </c>
      <c r="H84" s="52" t="str">
        <f>IF(Inicial!L65="SI",Inicial!H65,"N/A")</f>
        <v>N/A</v>
      </c>
      <c r="I84" s="54" t="str">
        <f>IF(Inicial!L65="SI",Inicial!I65,"N/A")</f>
        <v>N/A</v>
      </c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6" t="str" cm="1">
        <f t="array" ref="AG84">IF(OR(M84:AF84="NO"),"No aceptable","Aceptable")</f>
        <v>Aceptable</v>
      </c>
      <c r="AH84" s="77"/>
      <c r="AI84" s="77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  <c r="AV84" s="77"/>
      <c r="AW84" s="77"/>
      <c r="AX84" s="77"/>
      <c r="AY84" s="77"/>
      <c r="AZ84" s="77"/>
      <c r="BA84" s="77"/>
      <c r="BB84" s="77"/>
      <c r="BC84" s="77"/>
      <c r="BD84" s="3" t="str" cm="1">
        <f t="array" ref="BD84">IF(OR(AK84:BC84="SI"),"Critico","No Critico")</f>
        <v>No Critico</v>
      </c>
    </row>
    <row r="85" spans="1:56" ht="27.6" hidden="1">
      <c r="A85" s="51">
        <f>Inicial!A66</f>
        <v>64</v>
      </c>
      <c r="B85" s="52" t="str">
        <f>Inicial!B66</f>
        <v>Procesos</v>
      </c>
      <c r="C85" s="52" t="str">
        <f>Inicial!C66</f>
        <v>Deshuesado Trutro</v>
      </c>
      <c r="D85" s="53" t="str">
        <f>Inicial!D66</f>
        <v>Despieladora</v>
      </c>
      <c r="E85" s="51" t="str">
        <f>IF(Inicial!L66="SI",Inicial!E66,"N/A")</f>
        <v>N/A</v>
      </c>
      <c r="F85" s="52" t="str">
        <f>IF(Inicial!L66="SI",Inicial!F66,"N/A")</f>
        <v>N/A</v>
      </c>
      <c r="G85" s="52" t="str">
        <f>IF(Inicial!L66="SI",Inicial!G66,"N/A")</f>
        <v>N/A</v>
      </c>
      <c r="H85" s="52" t="str">
        <f>IF(Inicial!L66="SI",Inicial!H66,"N/A")</f>
        <v>N/A</v>
      </c>
      <c r="I85" s="54" t="str">
        <f>IF(Inicial!L66="SI",Inicial!I66,"N/A")</f>
        <v>N/A</v>
      </c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6" t="str" cm="1">
        <f t="array" ref="AG85">IF(OR(M85:AF85="NO"),"No aceptable","Aceptable")</f>
        <v>Aceptable</v>
      </c>
      <c r="AH85" s="77"/>
      <c r="AI85" s="77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  <c r="AV85" s="77"/>
      <c r="AW85" s="77"/>
      <c r="AX85" s="77"/>
      <c r="AY85" s="77"/>
      <c r="AZ85" s="77"/>
      <c r="BA85" s="77"/>
      <c r="BB85" s="77"/>
      <c r="BC85" s="77"/>
      <c r="BD85" s="3" t="str" cm="1">
        <f t="array" ref="BD85">IF(OR(AK85:BC85="SI"),"Critico","No Critico")</f>
        <v>No Critico</v>
      </c>
    </row>
    <row r="86" spans="1:56" ht="27.6" hidden="1">
      <c r="A86" s="51">
        <f>Inicial!A67</f>
        <v>65</v>
      </c>
      <c r="B86" s="52" t="str">
        <f>Inicial!B67</f>
        <v>Procesos</v>
      </c>
      <c r="C86" s="52" t="str">
        <f>Inicial!C67</f>
        <v>Deshuesado Trutro</v>
      </c>
      <c r="D86" s="53" t="str">
        <f>Inicial!D67</f>
        <v>Colgado Trutro</v>
      </c>
      <c r="E86" s="51" t="str">
        <f>IF(Inicial!L67="SI",Inicial!E67,"N/A")</f>
        <v>N/A</v>
      </c>
      <c r="F86" s="52" t="str">
        <f>IF(Inicial!L67="SI",Inicial!F67,"N/A")</f>
        <v>N/A</v>
      </c>
      <c r="G86" s="52" t="str">
        <f>IF(Inicial!L67="SI",Inicial!G67,"N/A")</f>
        <v>N/A</v>
      </c>
      <c r="H86" s="52" t="str">
        <f>IF(Inicial!L67="SI",Inicial!H67,"N/A")</f>
        <v>N/A</v>
      </c>
      <c r="I86" s="54" t="str">
        <f>IF(Inicial!L67="SI",Inicial!I67,"N/A")</f>
        <v>N/A</v>
      </c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6" t="str" cm="1">
        <f t="array" ref="AG86">IF(OR(M86:AF86="NO"),"No aceptable","Aceptable")</f>
        <v>Aceptable</v>
      </c>
      <c r="AH86" s="77"/>
      <c r="AI86" s="77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  <c r="AV86" s="77"/>
      <c r="AW86" s="77"/>
      <c r="AX86" s="77"/>
      <c r="AY86" s="77"/>
      <c r="AZ86" s="77"/>
      <c r="BA86" s="77"/>
      <c r="BB86" s="77"/>
      <c r="BC86" s="77"/>
      <c r="BD86" s="3" t="str" cm="1">
        <f t="array" ref="BD86">IF(OR(AK86:BC86="SI"),"Critico","No Critico")</f>
        <v>No Critico</v>
      </c>
    </row>
    <row r="87" spans="1:56" ht="27.6" hidden="1">
      <c r="A87" s="51">
        <f>Inicial!A68</f>
        <v>66</v>
      </c>
      <c r="B87" s="52" t="str">
        <f>Inicial!B68</f>
        <v>Procesos</v>
      </c>
      <c r="C87" s="52" t="str">
        <f>Inicial!C68</f>
        <v>Deshuesado Trutro</v>
      </c>
      <c r="D87" s="53" t="str">
        <f>Inicial!D68</f>
        <v>Prolijado</v>
      </c>
      <c r="E87" s="51" t="str">
        <f>IF(Inicial!L68="SI",Inicial!E68,"N/A")</f>
        <v>N/A</v>
      </c>
      <c r="F87" s="52" t="str">
        <f>IF(Inicial!L68="SI",Inicial!F68,"N/A")</f>
        <v>N/A</v>
      </c>
      <c r="G87" s="52" t="str">
        <f>IF(Inicial!L68="SI",Inicial!G68,"N/A")</f>
        <v>N/A</v>
      </c>
      <c r="H87" s="52" t="str">
        <f>IF(Inicial!L68="SI",Inicial!H68,"N/A")</f>
        <v>N/A</v>
      </c>
      <c r="I87" s="54" t="str">
        <f>IF(Inicial!L68="SI",Inicial!I68,"N/A")</f>
        <v>N/A</v>
      </c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6" t="str" cm="1">
        <f t="array" ref="AG87">IF(OR(M87:AF87="NO"),"No aceptable","Aceptable")</f>
        <v>Aceptable</v>
      </c>
      <c r="AH87" s="77"/>
      <c r="AI87" s="77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  <c r="AV87" s="77"/>
      <c r="AW87" s="77"/>
      <c r="AX87" s="77"/>
      <c r="AY87" s="77"/>
      <c r="AZ87" s="77"/>
      <c r="BA87" s="77"/>
      <c r="BB87" s="77"/>
      <c r="BC87" s="77"/>
      <c r="BD87" s="3" t="str" cm="1">
        <f t="array" ref="BD87">IF(OR(AK87:BC87="SI"),"Critico","No Critico")</f>
        <v>No Critico</v>
      </c>
    </row>
    <row r="88" spans="1:56" ht="27.6" hidden="1">
      <c r="A88" s="51">
        <f>Inicial!A69</f>
        <v>67</v>
      </c>
      <c r="B88" s="52" t="str">
        <f>Inicial!B69</f>
        <v>Procesos</v>
      </c>
      <c r="C88" s="52" t="str">
        <f>Inicial!C69</f>
        <v>Deshuesado Trutro</v>
      </c>
      <c r="D88" s="53" t="str">
        <f>Inicial!D69</f>
        <v>Revision de trutro</v>
      </c>
      <c r="E88" s="51" t="str">
        <f>IF(Inicial!L69="SI",Inicial!E69,"N/A")</f>
        <v>N/A</v>
      </c>
      <c r="F88" s="52" t="str">
        <f>IF(Inicial!L69="SI",Inicial!F69,"N/A")</f>
        <v>N/A</v>
      </c>
      <c r="G88" s="52" t="str">
        <f>IF(Inicial!L69="SI",Inicial!G69,"N/A")</f>
        <v>N/A</v>
      </c>
      <c r="H88" s="52" t="str">
        <f>IF(Inicial!L69="SI",Inicial!H69,"N/A")</f>
        <v>N/A</v>
      </c>
      <c r="I88" s="54" t="str">
        <f>IF(Inicial!L69="SI",Inicial!I69,"N/A")</f>
        <v>N/A</v>
      </c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6" t="str" cm="1">
        <f t="array" ref="AG88">IF(OR(M88:AF88="NO"),"No aceptable","Aceptable")</f>
        <v>Aceptable</v>
      </c>
      <c r="AH88" s="77"/>
      <c r="AI88" s="77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  <c r="AV88" s="77"/>
      <c r="AW88" s="77"/>
      <c r="AX88" s="77"/>
      <c r="AY88" s="77"/>
      <c r="AZ88" s="77"/>
      <c r="BA88" s="77"/>
      <c r="BB88" s="77"/>
      <c r="BC88" s="77"/>
      <c r="BD88" s="3" t="str" cm="1">
        <f t="array" ref="BD88">IF(OR(AK88:BC88="SI"),"Critico","No Critico")</f>
        <v>No Critico</v>
      </c>
    </row>
    <row r="89" spans="1:56" hidden="1">
      <c r="A89" s="51">
        <f>Inicial!A70</f>
        <v>68</v>
      </c>
      <c r="B89" s="52" t="str">
        <f>Inicial!B70</f>
        <v>Procesos</v>
      </c>
      <c r="C89" s="52" t="str">
        <f>Inicial!C70</f>
        <v>Deshuesado Trutro</v>
      </c>
      <c r="D89" s="53" t="str">
        <f>Inicial!D70</f>
        <v>Deshuesado Trutro</v>
      </c>
      <c r="E89" s="51" t="str">
        <f>IF(Inicial!L70="SI",Inicial!E70,"N/A")</f>
        <v>N/A</v>
      </c>
      <c r="F89" s="52" t="str">
        <f>IF(Inicial!L70="SI",Inicial!F70,"N/A")</f>
        <v>N/A</v>
      </c>
      <c r="G89" s="52" t="str">
        <f>IF(Inicial!L70="SI",Inicial!G70,"N/A")</f>
        <v>N/A</v>
      </c>
      <c r="H89" s="52" t="str">
        <f>IF(Inicial!L70="SI",Inicial!H70,"N/A")</f>
        <v>N/A</v>
      </c>
      <c r="I89" s="54" t="str">
        <f>IF(Inicial!L70="SI",Inicial!I70,"N/A")</f>
        <v>N/A</v>
      </c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6" t="str" cm="1">
        <f t="array" ref="AG89">IF(OR(M89:AF89="NO"),"No aceptable","Aceptable")</f>
        <v>Aceptable</v>
      </c>
      <c r="AH89" s="77"/>
      <c r="AI89" s="77"/>
      <c r="AJ89" s="77"/>
      <c r="AK89" s="77"/>
      <c r="AL89" s="77"/>
      <c r="AM89" s="77"/>
      <c r="AN89" s="77"/>
      <c r="AO89" s="77"/>
      <c r="AP89" s="77"/>
      <c r="AQ89" s="77"/>
      <c r="AR89" s="77"/>
      <c r="AS89" s="77"/>
      <c r="AT89" s="77"/>
      <c r="AU89" s="77"/>
      <c r="AV89" s="77"/>
      <c r="AW89" s="77"/>
      <c r="AX89" s="77"/>
      <c r="AY89" s="77"/>
      <c r="AZ89" s="77"/>
      <c r="BA89" s="77"/>
      <c r="BB89" s="77"/>
      <c r="BC89" s="77"/>
      <c r="BD89" s="3" t="str" cm="1">
        <f t="array" ref="BD89">IF(OR(AK89:BC89="SI"),"Critico","No Critico")</f>
        <v>No Critico</v>
      </c>
    </row>
    <row r="90" spans="1:56" hidden="1">
      <c r="A90" s="51">
        <f>Inicial!A71</f>
        <v>0</v>
      </c>
      <c r="B90" s="52">
        <f>Inicial!B71</f>
        <v>0</v>
      </c>
      <c r="C90" s="52">
        <f>Inicial!C71</f>
        <v>0</v>
      </c>
      <c r="D90" s="53">
        <f>Inicial!D71</f>
        <v>0</v>
      </c>
      <c r="E90" s="51" t="str">
        <f>IF(Inicial!L71="SI",Inicial!E71,"N/A")</f>
        <v>N/A</v>
      </c>
      <c r="F90" s="52" t="str">
        <f>IF(Inicial!L71="SI",Inicial!F71,"N/A")</f>
        <v>N/A</v>
      </c>
      <c r="G90" s="52" t="str">
        <f>IF(Inicial!L71="SI",Inicial!G71,"N/A")</f>
        <v>N/A</v>
      </c>
      <c r="H90" s="52" t="str">
        <f>IF(Inicial!L71="SI",Inicial!H71,"N/A")</f>
        <v>N/A</v>
      </c>
      <c r="I90" s="54" t="str">
        <f>IF(Inicial!L71="SI",Inicial!I71,"N/A")</f>
        <v>N/A</v>
      </c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6" t="str" cm="1">
        <f t="array" ref="AG90">IF(OR(M90:AF90="NO"),"No aceptable","Aceptable")</f>
        <v>Aceptable</v>
      </c>
      <c r="AH90" s="77"/>
      <c r="AI90" s="77"/>
      <c r="AJ90" s="77"/>
      <c r="AK90" s="77"/>
      <c r="AL90" s="77"/>
      <c r="AM90" s="77"/>
      <c r="AN90" s="77"/>
      <c r="AO90" s="77"/>
      <c r="AP90" s="77"/>
      <c r="AQ90" s="77"/>
      <c r="AR90" s="77"/>
      <c r="AS90" s="77"/>
      <c r="AT90" s="77"/>
      <c r="AU90" s="77"/>
      <c r="AV90" s="77"/>
      <c r="AW90" s="77"/>
      <c r="AX90" s="77"/>
      <c r="AY90" s="77"/>
      <c r="AZ90" s="77"/>
      <c r="BA90" s="77"/>
      <c r="BB90" s="77"/>
      <c r="BC90" s="77"/>
      <c r="BD90" s="3" t="str" cm="1">
        <f t="array" ref="BD90">IF(OR(AK90:BC90="SI"),"Critico","No Critico")</f>
        <v>No Critico</v>
      </c>
    </row>
    <row r="91" spans="1:56" hidden="1">
      <c r="A91" s="51">
        <f>Inicial!A72</f>
        <v>0</v>
      </c>
      <c r="B91" s="52">
        <f>Inicial!B72</f>
        <v>0</v>
      </c>
      <c r="C91" s="52">
        <f>Inicial!C72</f>
        <v>0</v>
      </c>
      <c r="D91" s="53">
        <f>Inicial!D72</f>
        <v>0</v>
      </c>
      <c r="E91" s="51" t="str">
        <f>IF(Inicial!L72="SI",Inicial!E72,"N/A")</f>
        <v>N/A</v>
      </c>
      <c r="F91" s="52" t="str">
        <f>IF(Inicial!L72="SI",Inicial!F72,"N/A")</f>
        <v>N/A</v>
      </c>
      <c r="G91" s="52" t="str">
        <f>IF(Inicial!L72="SI",Inicial!G72,"N/A")</f>
        <v>N/A</v>
      </c>
      <c r="H91" s="52" t="str">
        <f>IF(Inicial!L72="SI",Inicial!H72,"N/A")</f>
        <v>N/A</v>
      </c>
      <c r="I91" s="54" t="str">
        <f>IF(Inicial!L72="SI",Inicial!I72,"N/A")</f>
        <v>N/A</v>
      </c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6" t="str" cm="1">
        <f t="array" ref="AG91">IF(OR(M91:AF91="NO"),"No aceptable","Aceptable")</f>
        <v>Aceptable</v>
      </c>
      <c r="AH91" s="77"/>
      <c r="AI91" s="77"/>
      <c r="AJ91" s="77"/>
      <c r="AK91" s="77"/>
      <c r="AL91" s="77"/>
      <c r="AM91" s="77"/>
      <c r="AN91" s="77"/>
      <c r="AO91" s="77"/>
      <c r="AP91" s="77"/>
      <c r="AQ91" s="77"/>
      <c r="AR91" s="77"/>
      <c r="AS91" s="77"/>
      <c r="AT91" s="77"/>
      <c r="AU91" s="77"/>
      <c r="AV91" s="77"/>
      <c r="AW91" s="77"/>
      <c r="AX91" s="77"/>
      <c r="AY91" s="77"/>
      <c r="AZ91" s="77"/>
      <c r="BA91" s="77"/>
      <c r="BB91" s="77"/>
      <c r="BC91" s="77"/>
      <c r="BD91" s="3" t="str" cm="1">
        <f t="array" ref="BD91">IF(OR(AK91:BC91="SI"),"Critico","No Critico")</f>
        <v>No Critico</v>
      </c>
    </row>
    <row r="92" spans="1:56" hidden="1">
      <c r="A92" s="51">
        <f>Inicial!A73</f>
        <v>0</v>
      </c>
      <c r="B92" s="52">
        <f>Inicial!B73</f>
        <v>0</v>
      </c>
      <c r="C92" s="52">
        <f>Inicial!C73</f>
        <v>0</v>
      </c>
      <c r="D92" s="53">
        <f>Inicial!D73</f>
        <v>0</v>
      </c>
      <c r="E92" s="51" t="str">
        <f>IF(Inicial!L73="SI",Inicial!E73,"N/A")</f>
        <v>N/A</v>
      </c>
      <c r="F92" s="52" t="str">
        <f>IF(Inicial!L73="SI",Inicial!F73,"N/A")</f>
        <v>N/A</v>
      </c>
      <c r="G92" s="52" t="str">
        <f>IF(Inicial!L73="SI",Inicial!G73,"N/A")</f>
        <v>N/A</v>
      </c>
      <c r="H92" s="52" t="str">
        <f>IF(Inicial!L73="SI",Inicial!H73,"N/A")</f>
        <v>N/A</v>
      </c>
      <c r="I92" s="54" t="str">
        <f>IF(Inicial!L73="SI",Inicial!I73,"N/A")</f>
        <v>N/A</v>
      </c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6" t="str" cm="1">
        <f t="array" ref="AG92">IF(OR(M92:AF92="NO"),"No aceptable","Aceptable")</f>
        <v>Aceptable</v>
      </c>
      <c r="AH92" s="77"/>
      <c r="AI92" s="77"/>
      <c r="AJ92" s="77"/>
      <c r="AK92" s="77"/>
      <c r="AL92" s="77"/>
      <c r="AM92" s="77"/>
      <c r="AN92" s="77"/>
      <c r="AO92" s="77"/>
      <c r="AP92" s="77"/>
      <c r="AQ92" s="77"/>
      <c r="AR92" s="77"/>
      <c r="AS92" s="77"/>
      <c r="AT92" s="77"/>
      <c r="AU92" s="77"/>
      <c r="AV92" s="77"/>
      <c r="AW92" s="77"/>
      <c r="AX92" s="77"/>
      <c r="AY92" s="77"/>
      <c r="AZ92" s="77"/>
      <c r="BA92" s="77"/>
      <c r="BB92" s="77"/>
      <c r="BC92" s="77"/>
      <c r="BD92" s="3" t="str" cm="1">
        <f t="array" ref="BD92">IF(OR(AK92:BC92="SI"),"Critico","No Critico")</f>
        <v>No Critico</v>
      </c>
    </row>
    <row r="93" spans="1:56" hidden="1">
      <c r="A93" s="51">
        <f>Inicial!A74</f>
        <v>0</v>
      </c>
      <c r="B93" s="52">
        <f>Inicial!B74</f>
        <v>0</v>
      </c>
      <c r="C93" s="52">
        <f>Inicial!C74</f>
        <v>0</v>
      </c>
      <c r="D93" s="53">
        <f>Inicial!D74</f>
        <v>0</v>
      </c>
      <c r="E93" s="51" t="str">
        <f>IF(Inicial!L74="SI",Inicial!E74,"N/A")</f>
        <v>N/A</v>
      </c>
      <c r="F93" s="52" t="str">
        <f>IF(Inicial!L74="SI",Inicial!F74,"N/A")</f>
        <v>N/A</v>
      </c>
      <c r="G93" s="52" t="str">
        <f>IF(Inicial!L74="SI",Inicial!G74,"N/A")</f>
        <v>N/A</v>
      </c>
      <c r="H93" s="52" t="str">
        <f>IF(Inicial!L74="SI",Inicial!H74,"N/A")</f>
        <v>N/A</v>
      </c>
      <c r="I93" s="54" t="str">
        <f>IF(Inicial!L74="SI",Inicial!I74,"N/A")</f>
        <v>N/A</v>
      </c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6" t="str" cm="1">
        <f t="array" ref="AG93">IF(OR(M93:AF93="NO"),"No aceptable","Aceptable")</f>
        <v>Aceptable</v>
      </c>
      <c r="AH93" s="77"/>
      <c r="AI93" s="77"/>
      <c r="AJ93" s="77"/>
      <c r="AK93" s="77"/>
      <c r="AL93" s="77"/>
      <c r="AM93" s="77"/>
      <c r="AN93" s="77"/>
      <c r="AO93" s="77"/>
      <c r="AP93" s="77"/>
      <c r="AQ93" s="77"/>
      <c r="AR93" s="77"/>
      <c r="AS93" s="77"/>
      <c r="AT93" s="77"/>
      <c r="AU93" s="77"/>
      <c r="AV93" s="77"/>
      <c r="AW93" s="77"/>
      <c r="AX93" s="77"/>
      <c r="AY93" s="77"/>
      <c r="AZ93" s="77"/>
      <c r="BA93" s="77"/>
      <c r="BB93" s="77"/>
      <c r="BC93" s="77"/>
      <c r="BD93" s="3" t="str" cm="1">
        <f t="array" ref="BD93">IF(OR(AK93:BC93="SI"),"Critico","No Critico")</f>
        <v>No Critico</v>
      </c>
    </row>
    <row r="94" spans="1:56" hidden="1">
      <c r="A94" s="51">
        <f>Inicial!A75</f>
        <v>0</v>
      </c>
      <c r="B94" s="52">
        <f>Inicial!B75</f>
        <v>0</v>
      </c>
      <c r="C94" s="52">
        <f>Inicial!C75</f>
        <v>0</v>
      </c>
      <c r="D94" s="53">
        <f>Inicial!D75</f>
        <v>0</v>
      </c>
      <c r="E94" s="51" t="str">
        <f>IF(Inicial!L75="SI",Inicial!E75,"N/A")</f>
        <v>N/A</v>
      </c>
      <c r="F94" s="52" t="str">
        <f>IF(Inicial!L75="SI",Inicial!F75,"N/A")</f>
        <v>N/A</v>
      </c>
      <c r="G94" s="52" t="str">
        <f>IF(Inicial!L75="SI",Inicial!G75,"N/A")</f>
        <v>N/A</v>
      </c>
      <c r="H94" s="52" t="str">
        <f>IF(Inicial!L75="SI",Inicial!H75,"N/A")</f>
        <v>N/A</v>
      </c>
      <c r="I94" s="54" t="str">
        <f>IF(Inicial!L75="SI",Inicial!I75,"N/A")</f>
        <v>N/A</v>
      </c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6" t="str" cm="1">
        <f t="array" ref="AG94">IF(OR(M94:AF94="NO"),"No aceptable","Aceptable")</f>
        <v>Aceptable</v>
      </c>
      <c r="AH94" s="77"/>
      <c r="AI94" s="77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3" t="str" cm="1">
        <f t="array" ref="BD94">IF(OR(AK94:BC94="SI"),"Critico","No Critico")</f>
        <v>No Critico</v>
      </c>
    </row>
    <row r="95" spans="1:56" hidden="1">
      <c r="A95" s="51">
        <f>Inicial!A76</f>
        <v>0</v>
      </c>
      <c r="B95" s="52">
        <f>Inicial!B76</f>
        <v>0</v>
      </c>
      <c r="C95" s="52">
        <f>Inicial!C76</f>
        <v>0</v>
      </c>
      <c r="D95" s="53">
        <f>Inicial!D76</f>
        <v>0</v>
      </c>
      <c r="E95" s="51" t="str">
        <f>IF(Inicial!L76="SI",Inicial!E76,"N/A")</f>
        <v>N/A</v>
      </c>
      <c r="F95" s="52" t="str">
        <f>IF(Inicial!L76="SI",Inicial!F76,"N/A")</f>
        <v>N/A</v>
      </c>
      <c r="G95" s="52" t="str">
        <f>IF(Inicial!L76="SI",Inicial!G76,"N/A")</f>
        <v>N/A</v>
      </c>
      <c r="H95" s="52" t="str">
        <f>IF(Inicial!L76="SI",Inicial!H76,"N/A")</f>
        <v>N/A</v>
      </c>
      <c r="I95" s="54" t="str">
        <f>IF(Inicial!L76="SI",Inicial!I76,"N/A")</f>
        <v>N/A</v>
      </c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6" t="str" cm="1">
        <f t="array" ref="AG95">IF(OR(M95:AF95="NO"),"No aceptable","Aceptable")</f>
        <v>Aceptable</v>
      </c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  <c r="AS95" s="77"/>
      <c r="AT95" s="77"/>
      <c r="AU95" s="77"/>
      <c r="AV95" s="77"/>
      <c r="AW95" s="77"/>
      <c r="AX95" s="77"/>
      <c r="AY95" s="77"/>
      <c r="AZ95" s="77"/>
      <c r="BA95" s="77"/>
      <c r="BB95" s="77"/>
      <c r="BC95" s="77"/>
      <c r="BD95" s="3" t="str" cm="1">
        <f t="array" ref="BD95">IF(OR(AK95:BC95="SI"),"Critico","No Critico")</f>
        <v>No Critico</v>
      </c>
    </row>
    <row r="96" spans="1:56" hidden="1">
      <c r="A96" s="51">
        <f>Inicial!A77</f>
        <v>0</v>
      </c>
      <c r="B96" s="52">
        <f>Inicial!B77</f>
        <v>0</v>
      </c>
      <c r="C96" s="52">
        <f>Inicial!C77</f>
        <v>0</v>
      </c>
      <c r="D96" s="53">
        <f>Inicial!D77</f>
        <v>0</v>
      </c>
      <c r="E96" s="51" t="str">
        <f>IF(Inicial!L77="SI",Inicial!E77,"N/A")</f>
        <v>N/A</v>
      </c>
      <c r="F96" s="52" t="str">
        <f>IF(Inicial!L77="SI",Inicial!F77,"N/A")</f>
        <v>N/A</v>
      </c>
      <c r="G96" s="52" t="str">
        <f>IF(Inicial!L77="SI",Inicial!G77,"N/A")</f>
        <v>N/A</v>
      </c>
      <c r="H96" s="52" t="str">
        <f>IF(Inicial!L77="SI",Inicial!H77,"N/A")</f>
        <v>N/A</v>
      </c>
      <c r="I96" s="54" t="str">
        <f>IF(Inicial!L77="SI",Inicial!I77,"N/A")</f>
        <v>N/A</v>
      </c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6" t="str" cm="1">
        <f t="array" ref="AG96">IF(OR(M96:AF96="NO"),"No aceptable","Aceptable")</f>
        <v>Aceptable</v>
      </c>
      <c r="AH96" s="77"/>
      <c r="AI96" s="77"/>
      <c r="AJ96" s="77"/>
      <c r="AK96" s="77"/>
      <c r="AL96" s="77"/>
      <c r="AM96" s="77"/>
      <c r="AN96" s="77"/>
      <c r="AO96" s="77"/>
      <c r="AP96" s="77"/>
      <c r="AQ96" s="77"/>
      <c r="AR96" s="77"/>
      <c r="AS96" s="77"/>
      <c r="AT96" s="77"/>
      <c r="AU96" s="77"/>
      <c r="AV96" s="77"/>
      <c r="AW96" s="77"/>
      <c r="AX96" s="77"/>
      <c r="AY96" s="77"/>
      <c r="AZ96" s="77"/>
      <c r="BA96" s="77"/>
      <c r="BB96" s="77"/>
      <c r="BC96" s="77"/>
      <c r="BD96" s="3" t="str" cm="1">
        <f t="array" ref="BD96">IF(OR(AK96:BC96="SI"),"Critico","No Critico")</f>
        <v>No Critico</v>
      </c>
    </row>
    <row r="97" spans="1:56" hidden="1">
      <c r="A97" s="51">
        <f>Inicial!A78</f>
        <v>0</v>
      </c>
      <c r="B97" s="52">
        <f>Inicial!B78</f>
        <v>0</v>
      </c>
      <c r="C97" s="52">
        <f>Inicial!C78</f>
        <v>0</v>
      </c>
      <c r="D97" s="53">
        <f>Inicial!D78</f>
        <v>0</v>
      </c>
      <c r="E97" s="51" t="str">
        <f>IF(Inicial!L78="SI",Inicial!E78,"N/A")</f>
        <v>N/A</v>
      </c>
      <c r="F97" s="52" t="str">
        <f>IF(Inicial!L78="SI",Inicial!F78,"N/A")</f>
        <v>N/A</v>
      </c>
      <c r="G97" s="52" t="str">
        <f>IF(Inicial!L78="SI",Inicial!G78,"N/A")</f>
        <v>N/A</v>
      </c>
      <c r="H97" s="52" t="str">
        <f>IF(Inicial!L78="SI",Inicial!H78,"N/A")</f>
        <v>N/A</v>
      </c>
      <c r="I97" s="54" t="str">
        <f>IF(Inicial!L78="SI",Inicial!I78,"N/A")</f>
        <v>N/A</v>
      </c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 t="str" cm="1">
        <f t="array" ref="AG97">IF(OR(M97:AF97="NO"),"No aceptable","Aceptable")</f>
        <v>Aceptable</v>
      </c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  <c r="AS97" s="77"/>
      <c r="AT97" s="77"/>
      <c r="AU97" s="77"/>
      <c r="AV97" s="77"/>
      <c r="AW97" s="77"/>
      <c r="AX97" s="77"/>
      <c r="AY97" s="77"/>
      <c r="AZ97" s="77"/>
      <c r="BA97" s="77"/>
      <c r="BB97" s="77"/>
      <c r="BC97" s="77"/>
      <c r="BD97" s="3" t="str" cm="1">
        <f t="array" ref="BD97">IF(OR(AK97:BC97="SI"),"Critico","No Critico")</f>
        <v>No Critico</v>
      </c>
    </row>
    <row r="98" spans="1:56" hidden="1">
      <c r="A98" s="51">
        <f>Inicial!A79</f>
        <v>0</v>
      </c>
      <c r="B98" s="52">
        <f>Inicial!B79</f>
        <v>0</v>
      </c>
      <c r="C98" s="52">
        <f>Inicial!C79</f>
        <v>0</v>
      </c>
      <c r="D98" s="53">
        <f>Inicial!D79</f>
        <v>0</v>
      </c>
      <c r="E98" s="51" t="str">
        <f>IF(Inicial!L79="SI",Inicial!E79,"N/A")</f>
        <v>N/A</v>
      </c>
      <c r="F98" s="52" t="str">
        <f>IF(Inicial!L79="SI",Inicial!F79,"N/A")</f>
        <v>N/A</v>
      </c>
      <c r="G98" s="52" t="str">
        <f>IF(Inicial!L79="SI",Inicial!G79,"N/A")</f>
        <v>N/A</v>
      </c>
      <c r="H98" s="52" t="str">
        <f>IF(Inicial!L79="SI",Inicial!H79,"N/A")</f>
        <v>N/A</v>
      </c>
      <c r="I98" s="54" t="str">
        <f>IF(Inicial!L79="SI",Inicial!I79,"N/A")</f>
        <v>N/A</v>
      </c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6" t="str" cm="1">
        <f t="array" ref="AG98">IF(OR(M98:AF98="NO"),"No aceptable","Aceptable")</f>
        <v>Aceptable</v>
      </c>
      <c r="AH98" s="77"/>
      <c r="AI98" s="77"/>
      <c r="AJ98" s="77"/>
      <c r="AK98" s="77"/>
      <c r="AL98" s="77"/>
      <c r="AM98" s="77"/>
      <c r="AN98" s="77"/>
      <c r="AO98" s="77"/>
      <c r="AP98" s="77"/>
      <c r="AQ98" s="77"/>
      <c r="AR98" s="77"/>
      <c r="AS98" s="77"/>
      <c r="AT98" s="77"/>
      <c r="AU98" s="77"/>
      <c r="AV98" s="77"/>
      <c r="AW98" s="77"/>
      <c r="AX98" s="77"/>
      <c r="AY98" s="77"/>
      <c r="AZ98" s="77"/>
      <c r="BA98" s="77"/>
      <c r="BB98" s="77"/>
      <c r="BC98" s="77"/>
      <c r="BD98" s="3" t="str" cm="1">
        <f t="array" ref="BD98">IF(OR(AK98:BC98="SI"),"Critico","No Critico")</f>
        <v>No Critico</v>
      </c>
    </row>
    <row r="99" spans="1:56" hidden="1">
      <c r="A99" s="51">
        <f>Inicial!A80</f>
        <v>0</v>
      </c>
      <c r="B99" s="52">
        <f>Inicial!B80</f>
        <v>0</v>
      </c>
      <c r="C99" s="52">
        <f>Inicial!C80</f>
        <v>0</v>
      </c>
      <c r="D99" s="53">
        <f>Inicial!D80</f>
        <v>0</v>
      </c>
      <c r="E99" s="51" t="str">
        <f>IF(Inicial!L80="SI",Inicial!E80,"N/A")</f>
        <v>N/A</v>
      </c>
      <c r="F99" s="52" t="str">
        <f>IF(Inicial!L80="SI",Inicial!F80,"N/A")</f>
        <v>N/A</v>
      </c>
      <c r="G99" s="52" t="str">
        <f>IF(Inicial!L80="SI",Inicial!G80,"N/A")</f>
        <v>N/A</v>
      </c>
      <c r="H99" s="52" t="str">
        <f>IF(Inicial!L80="SI",Inicial!H80,"N/A")</f>
        <v>N/A</v>
      </c>
      <c r="I99" s="54" t="str">
        <f>IF(Inicial!L80="SI",Inicial!I80,"N/A")</f>
        <v>N/A</v>
      </c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 t="str" cm="1">
        <f t="array" ref="AG99">IF(OR(M99:AF99="NO"),"No aceptable","Aceptable")</f>
        <v>Aceptable</v>
      </c>
      <c r="AH99" s="77"/>
      <c r="AI99" s="77"/>
      <c r="AJ99" s="77"/>
      <c r="AK99" s="77"/>
      <c r="AL99" s="77"/>
      <c r="AM99" s="77"/>
      <c r="AN99" s="77"/>
      <c r="AO99" s="77"/>
      <c r="AP99" s="77"/>
      <c r="AQ99" s="77"/>
      <c r="AR99" s="77"/>
      <c r="AS99" s="77"/>
      <c r="AT99" s="77"/>
      <c r="AU99" s="77"/>
      <c r="AV99" s="77"/>
      <c r="AW99" s="77"/>
      <c r="AX99" s="77"/>
      <c r="AY99" s="77"/>
      <c r="AZ99" s="77"/>
      <c r="BA99" s="77"/>
      <c r="BB99" s="77"/>
      <c r="BC99" s="77"/>
      <c r="BD99" s="3" t="str" cm="1">
        <f t="array" ref="BD99">IF(OR(AK99:BC99="SI"),"Critico","No Critico")</f>
        <v>No Critico</v>
      </c>
    </row>
    <row r="100" spans="1:56" hidden="1">
      <c r="A100" s="51">
        <f>Inicial!A81</f>
        <v>0</v>
      </c>
      <c r="B100" s="52">
        <f>Inicial!B81</f>
        <v>0</v>
      </c>
      <c r="C100" s="52">
        <f>Inicial!C81</f>
        <v>0</v>
      </c>
      <c r="D100" s="53">
        <f>Inicial!D81</f>
        <v>0</v>
      </c>
      <c r="E100" s="51" t="str">
        <f>IF(Inicial!L81="SI",Inicial!E81,"N/A")</f>
        <v>N/A</v>
      </c>
      <c r="F100" s="52" t="str">
        <f>IF(Inicial!L81="SI",Inicial!F81,"N/A")</f>
        <v>N/A</v>
      </c>
      <c r="G100" s="52" t="str">
        <f>IF(Inicial!L81="SI",Inicial!G81,"N/A")</f>
        <v>N/A</v>
      </c>
      <c r="H100" s="52" t="str">
        <f>IF(Inicial!L81="SI",Inicial!H81,"N/A")</f>
        <v>N/A</v>
      </c>
      <c r="I100" s="54" t="str">
        <f>IF(Inicial!L81="SI",Inicial!I81,"N/A")</f>
        <v>N/A</v>
      </c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6" t="str" cm="1">
        <f t="array" ref="AG100">IF(OR(M100:AF100="NO"),"No aceptable","Aceptable")</f>
        <v>Aceptable</v>
      </c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  <c r="AR100" s="77"/>
      <c r="AS100" s="77"/>
      <c r="AT100" s="77"/>
      <c r="AU100" s="77"/>
      <c r="AV100" s="77"/>
      <c r="AW100" s="77"/>
      <c r="AX100" s="77"/>
      <c r="AY100" s="77"/>
      <c r="AZ100" s="77"/>
      <c r="BA100" s="77"/>
      <c r="BB100" s="77"/>
      <c r="BC100" s="77"/>
      <c r="BD100" s="3" t="str" cm="1">
        <f t="array" ref="BD100">IF(OR(AK100:BC100="SI"),"Critico","No Critico")</f>
        <v>No Critico</v>
      </c>
    </row>
    <row r="101" spans="1:56" hidden="1">
      <c r="A101" s="51">
        <f>Inicial!A82</f>
        <v>0</v>
      </c>
      <c r="B101" s="52">
        <f>Inicial!B82</f>
        <v>0</v>
      </c>
      <c r="C101" s="52">
        <f>Inicial!C82</f>
        <v>0</v>
      </c>
      <c r="D101" s="53">
        <f>Inicial!D82</f>
        <v>0</v>
      </c>
      <c r="E101" s="51" t="str">
        <f>IF(Inicial!L82="SI",Inicial!E82,"N/A")</f>
        <v>N/A</v>
      </c>
      <c r="F101" s="52" t="str">
        <f>IF(Inicial!L82="SI",Inicial!F82,"N/A")</f>
        <v>N/A</v>
      </c>
      <c r="G101" s="52" t="str">
        <f>IF(Inicial!L82="SI",Inicial!G82,"N/A")</f>
        <v>N/A</v>
      </c>
      <c r="H101" s="52" t="str">
        <f>IF(Inicial!L82="SI",Inicial!H82,"N/A")</f>
        <v>N/A</v>
      </c>
      <c r="I101" s="54" t="str">
        <f>IF(Inicial!L82="SI",Inicial!I82,"N/A")</f>
        <v>N/A</v>
      </c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6" t="str" cm="1">
        <f t="array" ref="AG101">IF(OR(M101:AF101="NO"),"No aceptable","Aceptable")</f>
        <v>Aceptable</v>
      </c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3" t="str" cm="1">
        <f t="array" ref="BD101">IF(OR(AK101:BC101="SI"),"Critico","No Critico")</f>
        <v>No Critico</v>
      </c>
    </row>
    <row r="102" spans="1:56" hidden="1">
      <c r="A102" s="51">
        <f>Inicial!A83</f>
        <v>0</v>
      </c>
      <c r="B102" s="52">
        <f>Inicial!B83</f>
        <v>0</v>
      </c>
      <c r="C102" s="52">
        <f>Inicial!C83</f>
        <v>0</v>
      </c>
      <c r="D102" s="53">
        <f>Inicial!D83</f>
        <v>0</v>
      </c>
      <c r="E102" s="51" t="str">
        <f>IF(Inicial!L83="SI",Inicial!E83,"N/A")</f>
        <v>N/A</v>
      </c>
      <c r="F102" s="52" t="str">
        <f>IF(Inicial!L83="SI",Inicial!F83,"N/A")</f>
        <v>N/A</v>
      </c>
      <c r="G102" s="52" t="str">
        <f>IF(Inicial!L83="SI",Inicial!G83,"N/A")</f>
        <v>N/A</v>
      </c>
      <c r="H102" s="52" t="str">
        <f>IF(Inicial!L83="SI",Inicial!H83,"N/A")</f>
        <v>N/A</v>
      </c>
      <c r="I102" s="54" t="str">
        <f>IF(Inicial!L83="SI",Inicial!I83,"N/A")</f>
        <v>N/A</v>
      </c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6" t="str" cm="1">
        <f t="array" ref="AG102">IF(OR(M102:AF102="NO"),"No aceptable","Aceptable")</f>
        <v>Aceptable</v>
      </c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/>
      <c r="BB102" s="77"/>
      <c r="BC102" s="77"/>
      <c r="BD102" s="3" t="str" cm="1">
        <f t="array" ref="BD102">IF(OR(AK102:BC102="SI"),"Critico","No Critico")</f>
        <v>No Critico</v>
      </c>
    </row>
    <row r="103" spans="1:56" hidden="1">
      <c r="A103" s="51">
        <f>Inicial!A84</f>
        <v>0</v>
      </c>
      <c r="B103" s="52">
        <f>Inicial!B84</f>
        <v>0</v>
      </c>
      <c r="C103" s="52">
        <f>Inicial!C84</f>
        <v>0</v>
      </c>
      <c r="D103" s="53">
        <f>Inicial!D84</f>
        <v>0</v>
      </c>
      <c r="E103" s="51" t="str">
        <f>IF(Inicial!L84="SI",Inicial!E84,"N/A")</f>
        <v>N/A</v>
      </c>
      <c r="F103" s="52" t="str">
        <f>IF(Inicial!L84="SI",Inicial!F84,"N/A")</f>
        <v>N/A</v>
      </c>
      <c r="G103" s="52" t="str">
        <f>IF(Inicial!L84="SI",Inicial!G84,"N/A")</f>
        <v>N/A</v>
      </c>
      <c r="H103" s="52" t="str">
        <f>IF(Inicial!L84="SI",Inicial!H84,"N/A")</f>
        <v>N/A</v>
      </c>
      <c r="I103" s="54" t="str">
        <f>IF(Inicial!L84="SI",Inicial!I84,"N/A")</f>
        <v>N/A</v>
      </c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6" t="str" cm="1">
        <f t="array" ref="AG103">IF(OR(M103:AF103="NO"),"No aceptable","Aceptable")</f>
        <v>Aceptable</v>
      </c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  <c r="AZ103" s="77"/>
      <c r="BA103" s="77"/>
      <c r="BB103" s="77"/>
      <c r="BC103" s="77"/>
      <c r="BD103" s="3" t="str" cm="1">
        <f t="array" ref="BD103">IF(OR(AK103:BC103="SI"),"Critico","No Critico")</f>
        <v>No Critico</v>
      </c>
    </row>
    <row r="104" spans="1:56" hidden="1">
      <c r="A104" s="51">
        <f>Inicial!A85</f>
        <v>0</v>
      </c>
      <c r="B104" s="52">
        <f>Inicial!B85</f>
        <v>0</v>
      </c>
      <c r="C104" s="52">
        <f>Inicial!C85</f>
        <v>0</v>
      </c>
      <c r="D104" s="53">
        <f>Inicial!D85</f>
        <v>0</v>
      </c>
      <c r="E104" s="51" t="str">
        <f>IF(Inicial!L85="SI",Inicial!E85,"N/A")</f>
        <v>N/A</v>
      </c>
      <c r="F104" s="52" t="str">
        <f>IF(Inicial!L85="SI",Inicial!F85,"N/A")</f>
        <v>N/A</v>
      </c>
      <c r="G104" s="52" t="str">
        <f>IF(Inicial!L85="SI",Inicial!G85,"N/A")</f>
        <v>N/A</v>
      </c>
      <c r="H104" s="52" t="str">
        <f>IF(Inicial!L85="SI",Inicial!H85,"N/A")</f>
        <v>N/A</v>
      </c>
      <c r="I104" s="54" t="str">
        <f>IF(Inicial!L85="SI",Inicial!I85,"N/A")</f>
        <v>N/A</v>
      </c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6" t="str" cm="1">
        <f t="array" ref="AG104">IF(OR(M104:AF104="NO"),"No aceptable","Aceptable")</f>
        <v>Aceptable</v>
      </c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3" t="str" cm="1">
        <f t="array" ref="BD104">IF(OR(AK104:BC104="SI"),"Critico","No Critico")</f>
        <v>No Critico</v>
      </c>
    </row>
    <row r="105" spans="1:56" hidden="1">
      <c r="A105" s="51">
        <f>Inicial!A86</f>
        <v>0</v>
      </c>
      <c r="B105" s="52">
        <f>Inicial!B86</f>
        <v>0</v>
      </c>
      <c r="C105" s="52">
        <f>Inicial!C86</f>
        <v>0</v>
      </c>
      <c r="D105" s="53">
        <f>Inicial!D86</f>
        <v>0</v>
      </c>
      <c r="E105" s="51" t="str">
        <f>IF(Inicial!L86="SI",Inicial!E86,"N/A")</f>
        <v>N/A</v>
      </c>
      <c r="F105" s="52" t="str">
        <f>IF(Inicial!L86="SI",Inicial!F86,"N/A")</f>
        <v>N/A</v>
      </c>
      <c r="G105" s="52" t="str">
        <f>IF(Inicial!L86="SI",Inicial!G86,"N/A")</f>
        <v>N/A</v>
      </c>
      <c r="H105" s="52" t="str">
        <f>IF(Inicial!L86="SI",Inicial!H86,"N/A")</f>
        <v>N/A</v>
      </c>
      <c r="I105" s="54" t="str">
        <f>IF(Inicial!L86="SI",Inicial!I86,"N/A")</f>
        <v>N/A</v>
      </c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6" t="str" cm="1">
        <f t="array" ref="AG105">IF(OR(M105:AF105="NO"),"No aceptable","Aceptable")</f>
        <v>Aceptable</v>
      </c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3" t="str" cm="1">
        <f t="array" ref="BD105">IF(OR(AK105:BC105="SI"),"Critico","No Critico")</f>
        <v>No Critico</v>
      </c>
    </row>
    <row r="106" spans="1:56" hidden="1">
      <c r="A106" s="51">
        <f>Inicial!A87</f>
        <v>0</v>
      </c>
      <c r="B106" s="52">
        <f>Inicial!B87</f>
        <v>0</v>
      </c>
      <c r="C106" s="52">
        <f>Inicial!C87</f>
        <v>0</v>
      </c>
      <c r="D106" s="53">
        <f>Inicial!D87</f>
        <v>0</v>
      </c>
      <c r="E106" s="51" t="str">
        <f>IF(Inicial!L87="SI",Inicial!E87,"N/A")</f>
        <v>N/A</v>
      </c>
      <c r="F106" s="52" t="str">
        <f>IF(Inicial!L87="SI",Inicial!F87,"N/A")</f>
        <v>N/A</v>
      </c>
      <c r="G106" s="52" t="str">
        <f>IF(Inicial!L87="SI",Inicial!G87,"N/A")</f>
        <v>N/A</v>
      </c>
      <c r="H106" s="52" t="str">
        <f>IF(Inicial!L87="SI",Inicial!H87,"N/A")</f>
        <v>N/A</v>
      </c>
      <c r="I106" s="54" t="str">
        <f>IF(Inicial!L87="SI",Inicial!I87,"N/A")</f>
        <v>N/A</v>
      </c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6" t="str" cm="1">
        <f t="array" ref="AG106">IF(OR(M106:AF106="NO"),"No aceptable","Aceptable")</f>
        <v>Aceptable</v>
      </c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3" t="str" cm="1">
        <f t="array" ref="BD106">IF(OR(AK106:BC106="SI"),"Critico","No Critico")</f>
        <v>No Critico</v>
      </c>
    </row>
    <row r="107" spans="1:56" hidden="1">
      <c r="A107" s="51">
        <f>Inicial!A88</f>
        <v>0</v>
      </c>
      <c r="B107" s="52">
        <f>Inicial!B88</f>
        <v>0</v>
      </c>
      <c r="C107" s="52">
        <f>Inicial!C88</f>
        <v>0</v>
      </c>
      <c r="D107" s="53">
        <f>Inicial!D88</f>
        <v>0</v>
      </c>
      <c r="E107" s="51" t="str">
        <f>IF(Inicial!L88="SI",Inicial!E88,"N/A")</f>
        <v>N/A</v>
      </c>
      <c r="F107" s="52" t="str">
        <f>IF(Inicial!L88="SI",Inicial!F88,"N/A")</f>
        <v>N/A</v>
      </c>
      <c r="G107" s="52" t="str">
        <f>IF(Inicial!L88="SI",Inicial!G88,"N/A")</f>
        <v>N/A</v>
      </c>
      <c r="H107" s="52" t="str">
        <f>IF(Inicial!L88="SI",Inicial!H88,"N/A")</f>
        <v>N/A</v>
      </c>
      <c r="I107" s="54" t="str">
        <f>IF(Inicial!L88="SI",Inicial!I88,"N/A")</f>
        <v>N/A</v>
      </c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6" t="str" cm="1">
        <f t="array" ref="AG107">IF(OR(M107:AF107="NO"),"No aceptable","Aceptable")</f>
        <v>Aceptable</v>
      </c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3" t="str" cm="1">
        <f t="array" ref="BD107">IF(OR(AK107:BC107="SI"),"Critico","No Critico")</f>
        <v>No Critico</v>
      </c>
    </row>
    <row r="108" spans="1:56" hidden="1">
      <c r="A108" s="51">
        <f>Inicial!A89</f>
        <v>0</v>
      </c>
      <c r="B108" s="52">
        <f>Inicial!B89</f>
        <v>0</v>
      </c>
      <c r="C108" s="52">
        <f>Inicial!C89</f>
        <v>0</v>
      </c>
      <c r="D108" s="53">
        <f>Inicial!D89</f>
        <v>0</v>
      </c>
      <c r="E108" s="51" t="str">
        <f>IF(Inicial!L89="SI",Inicial!E89,"N/A")</f>
        <v>N/A</v>
      </c>
      <c r="F108" s="52" t="str">
        <f>IF(Inicial!L89="SI",Inicial!F89,"N/A")</f>
        <v>N/A</v>
      </c>
      <c r="G108" s="52" t="str">
        <f>IF(Inicial!L89="SI",Inicial!G89,"N/A")</f>
        <v>N/A</v>
      </c>
      <c r="H108" s="52" t="str">
        <f>IF(Inicial!L89="SI",Inicial!H89,"N/A")</f>
        <v>N/A</v>
      </c>
      <c r="I108" s="54" t="str">
        <f>IF(Inicial!L89="SI",Inicial!I89,"N/A")</f>
        <v>N/A</v>
      </c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6" t="str" cm="1">
        <f t="array" ref="AG108">IF(OR(M108:AF108="NO"),"No aceptable","Aceptable")</f>
        <v>Aceptable</v>
      </c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3" t="str" cm="1">
        <f t="array" ref="BD108">IF(OR(AK108:BC108="SI"),"Critico","No Critico")</f>
        <v>No Critico</v>
      </c>
    </row>
    <row r="109" spans="1:56" hidden="1">
      <c r="A109" s="51">
        <f>Inicial!A90</f>
        <v>0</v>
      </c>
      <c r="B109" s="52">
        <f>Inicial!B90</f>
        <v>0</v>
      </c>
      <c r="C109" s="52">
        <f>Inicial!C90</f>
        <v>0</v>
      </c>
      <c r="D109" s="53">
        <f>Inicial!D90</f>
        <v>0</v>
      </c>
      <c r="E109" s="51" t="str">
        <f>IF(Inicial!L90="SI",Inicial!E90,"N/A")</f>
        <v>N/A</v>
      </c>
      <c r="F109" s="52" t="str">
        <f>IF(Inicial!L90="SI",Inicial!F90,"N/A")</f>
        <v>N/A</v>
      </c>
      <c r="G109" s="52" t="str">
        <f>IF(Inicial!L90="SI",Inicial!G90,"N/A")</f>
        <v>N/A</v>
      </c>
      <c r="H109" s="52" t="str">
        <f>IF(Inicial!L90="SI",Inicial!H90,"N/A")</f>
        <v>N/A</v>
      </c>
      <c r="I109" s="54" t="str">
        <f>IF(Inicial!L90="SI",Inicial!I90,"N/A")</f>
        <v>N/A</v>
      </c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6" t="str" cm="1">
        <f t="array" ref="AG109">IF(OR(M109:AF109="NO"),"No aceptable","Aceptable")</f>
        <v>Aceptable</v>
      </c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3" t="str" cm="1">
        <f t="array" ref="BD109">IF(OR(AK109:BC109="SI"),"Critico","No Critico")</f>
        <v>No Critico</v>
      </c>
    </row>
    <row r="110" spans="1:56" hidden="1">
      <c r="A110" s="51">
        <f>Inicial!A91</f>
        <v>0</v>
      </c>
      <c r="B110" s="52">
        <f>Inicial!B91</f>
        <v>0</v>
      </c>
      <c r="C110" s="52">
        <f>Inicial!C91</f>
        <v>0</v>
      </c>
      <c r="D110" s="53">
        <f>Inicial!D91</f>
        <v>0</v>
      </c>
      <c r="E110" s="51" t="str">
        <f>IF(Inicial!L91="SI",Inicial!E91,"N/A")</f>
        <v>N/A</v>
      </c>
      <c r="F110" s="52" t="str">
        <f>IF(Inicial!L91="SI",Inicial!F91,"N/A")</f>
        <v>N/A</v>
      </c>
      <c r="G110" s="52" t="str">
        <f>IF(Inicial!L91="SI",Inicial!G91,"N/A")</f>
        <v>N/A</v>
      </c>
      <c r="H110" s="52" t="str">
        <f>IF(Inicial!L91="SI",Inicial!H91,"N/A")</f>
        <v>N/A</v>
      </c>
      <c r="I110" s="54" t="str">
        <f>IF(Inicial!L91="SI",Inicial!I91,"N/A")</f>
        <v>N/A</v>
      </c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6" t="str" cm="1">
        <f t="array" ref="AG110">IF(OR(M110:AF110="NO"),"No aceptable","Aceptable")</f>
        <v>Aceptable</v>
      </c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3" t="str" cm="1">
        <f t="array" ref="BD110">IF(OR(AK110:BC110="SI"),"Critico","No Critico")</f>
        <v>No Critico</v>
      </c>
    </row>
    <row r="111" spans="1:56" hidden="1">
      <c r="A111" s="51">
        <f>Inicial!A92</f>
        <v>0</v>
      </c>
      <c r="B111" s="52">
        <f>Inicial!B92</f>
        <v>0</v>
      </c>
      <c r="C111" s="52">
        <f>Inicial!C92</f>
        <v>0</v>
      </c>
      <c r="D111" s="53">
        <f>Inicial!D92</f>
        <v>0</v>
      </c>
      <c r="E111" s="51" t="str">
        <f>IF(Inicial!L92="SI",Inicial!E92,"N/A")</f>
        <v>N/A</v>
      </c>
      <c r="F111" s="52" t="str">
        <f>IF(Inicial!L92="SI",Inicial!F92,"N/A")</f>
        <v>N/A</v>
      </c>
      <c r="G111" s="52" t="str">
        <f>IF(Inicial!L92="SI",Inicial!G92,"N/A")</f>
        <v>N/A</v>
      </c>
      <c r="H111" s="52" t="str">
        <f>IF(Inicial!L92="SI",Inicial!H92,"N/A")</f>
        <v>N/A</v>
      </c>
      <c r="I111" s="54" t="str">
        <f>IF(Inicial!L92="SI",Inicial!I92,"N/A")</f>
        <v>N/A</v>
      </c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6" t="str" cm="1">
        <f t="array" ref="AG111">IF(OR(M111:AF111="NO"),"No aceptable","Aceptable")</f>
        <v>Aceptable</v>
      </c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3" t="str" cm="1">
        <f t="array" ref="BD111">IF(OR(AK111:BC111="SI"),"Critico","No Critico")</f>
        <v>No Critico</v>
      </c>
    </row>
    <row r="112" spans="1:56" hidden="1">
      <c r="A112" s="51">
        <f>Inicial!A93</f>
        <v>0</v>
      </c>
      <c r="B112" s="52">
        <f>Inicial!B93</f>
        <v>0</v>
      </c>
      <c r="C112" s="52">
        <f>Inicial!C93</f>
        <v>0</v>
      </c>
      <c r="D112" s="53">
        <f>Inicial!D93</f>
        <v>0</v>
      </c>
      <c r="E112" s="51" t="str">
        <f>IF(Inicial!L93="SI",Inicial!E93,"N/A")</f>
        <v>N/A</v>
      </c>
      <c r="F112" s="52" t="str">
        <f>IF(Inicial!L93="SI",Inicial!F93,"N/A")</f>
        <v>N/A</v>
      </c>
      <c r="G112" s="52" t="str">
        <f>IF(Inicial!L93="SI",Inicial!G93,"N/A")</f>
        <v>N/A</v>
      </c>
      <c r="H112" s="52" t="str">
        <f>IF(Inicial!L93="SI",Inicial!H93,"N/A")</f>
        <v>N/A</v>
      </c>
      <c r="I112" s="54" t="str">
        <f>IF(Inicial!L93="SI",Inicial!I93,"N/A")</f>
        <v>N/A</v>
      </c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6" t="str" cm="1">
        <f t="array" ref="AG112">IF(OR(M112:AF112="NO"),"No aceptable","Aceptable")</f>
        <v>Aceptable</v>
      </c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3" t="str" cm="1">
        <f t="array" ref="BD112">IF(OR(AK112:BC112="SI"),"Critico","No Critico")</f>
        <v>No Critico</v>
      </c>
    </row>
    <row r="113" spans="1:56" hidden="1">
      <c r="A113" s="51">
        <f>Inicial!A94</f>
        <v>0</v>
      </c>
      <c r="B113" s="52">
        <f>Inicial!B94</f>
        <v>0</v>
      </c>
      <c r="C113" s="52">
        <f>Inicial!C94</f>
        <v>0</v>
      </c>
      <c r="D113" s="53">
        <f>Inicial!D94</f>
        <v>0</v>
      </c>
      <c r="E113" s="51" t="str">
        <f>IF(Inicial!L94="SI",Inicial!E94,"N/A")</f>
        <v>N/A</v>
      </c>
      <c r="F113" s="52" t="str">
        <f>IF(Inicial!L94="SI",Inicial!F94,"N/A")</f>
        <v>N/A</v>
      </c>
      <c r="G113" s="52" t="str">
        <f>IF(Inicial!L94="SI",Inicial!G94,"N/A")</f>
        <v>N/A</v>
      </c>
      <c r="H113" s="52" t="str">
        <f>IF(Inicial!L94="SI",Inicial!H94,"N/A")</f>
        <v>N/A</v>
      </c>
      <c r="I113" s="54" t="str">
        <f>IF(Inicial!L94="SI",Inicial!I94,"N/A")</f>
        <v>N/A</v>
      </c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6" t="str" cm="1">
        <f t="array" ref="AG113">IF(OR(M113:AF113="NO"),"No aceptable","Aceptable")</f>
        <v>Aceptable</v>
      </c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3" t="str" cm="1">
        <f t="array" ref="BD113">IF(OR(AK113:BC113="SI"),"Critico","No Critico")</f>
        <v>No Critico</v>
      </c>
    </row>
    <row r="114" spans="1:56" hidden="1">
      <c r="A114" s="51">
        <f>Inicial!A95</f>
        <v>0</v>
      </c>
      <c r="B114" s="52">
        <f>Inicial!B95</f>
        <v>0</v>
      </c>
      <c r="C114" s="52">
        <f>Inicial!C95</f>
        <v>0</v>
      </c>
      <c r="D114" s="53">
        <f>Inicial!D95</f>
        <v>0</v>
      </c>
      <c r="E114" s="51" t="str">
        <f>IF(Inicial!L95="SI",Inicial!E95,"N/A")</f>
        <v>N/A</v>
      </c>
      <c r="F114" s="52" t="str">
        <f>IF(Inicial!L95="SI",Inicial!F95,"N/A")</f>
        <v>N/A</v>
      </c>
      <c r="G114" s="52" t="str">
        <f>IF(Inicial!L95="SI",Inicial!G95,"N/A")</f>
        <v>N/A</v>
      </c>
      <c r="H114" s="52" t="str">
        <f>IF(Inicial!L95="SI",Inicial!H95,"N/A")</f>
        <v>N/A</v>
      </c>
      <c r="I114" s="54" t="str">
        <f>IF(Inicial!L95="SI",Inicial!I95,"N/A")</f>
        <v>N/A</v>
      </c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6" t="str" cm="1">
        <f t="array" ref="AG114">IF(OR(M114:AF114="NO"),"No aceptable","Aceptable")</f>
        <v>Aceptable</v>
      </c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  <c r="AR114" s="77"/>
      <c r="AS114" s="77"/>
      <c r="AT114" s="77"/>
      <c r="AU114" s="77"/>
      <c r="AV114" s="77"/>
      <c r="AW114" s="77"/>
      <c r="AX114" s="77"/>
      <c r="AY114" s="77"/>
      <c r="AZ114" s="77"/>
      <c r="BA114" s="77"/>
      <c r="BB114" s="77"/>
      <c r="BC114" s="77"/>
      <c r="BD114" s="3" t="str" cm="1">
        <f t="array" ref="BD114">IF(OR(AK114:BC114="SI"),"Critico","No Critico")</f>
        <v>No Critico</v>
      </c>
    </row>
    <row r="115" spans="1:56" hidden="1">
      <c r="A115" s="51">
        <f>Inicial!A96</f>
        <v>0</v>
      </c>
      <c r="B115" s="52">
        <f>Inicial!B96</f>
        <v>0</v>
      </c>
      <c r="C115" s="52">
        <f>Inicial!C96</f>
        <v>0</v>
      </c>
      <c r="D115" s="53">
        <f>Inicial!D96</f>
        <v>0</v>
      </c>
      <c r="E115" s="51" t="str">
        <f>IF(Inicial!L96="SI",Inicial!E96,"N/A")</f>
        <v>N/A</v>
      </c>
      <c r="F115" s="52" t="str">
        <f>IF(Inicial!L96="SI",Inicial!F96,"N/A")</f>
        <v>N/A</v>
      </c>
      <c r="G115" s="52" t="str">
        <f>IF(Inicial!L96="SI",Inicial!G96,"N/A")</f>
        <v>N/A</v>
      </c>
      <c r="H115" s="52" t="str">
        <f>IF(Inicial!L96="SI",Inicial!H96,"N/A")</f>
        <v>N/A</v>
      </c>
      <c r="I115" s="54" t="str">
        <f>IF(Inicial!L96="SI",Inicial!I96,"N/A")</f>
        <v>N/A</v>
      </c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6" t="str" cm="1">
        <f t="array" ref="AG115">IF(OR(M115:AF115="NO"),"No aceptable","Aceptable")</f>
        <v>Aceptable</v>
      </c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3" t="str" cm="1">
        <f t="array" ref="BD115">IF(OR(AK115:BC115="SI"),"Critico","No Critico")</f>
        <v>No Critico</v>
      </c>
    </row>
    <row r="116" spans="1:56" hidden="1">
      <c r="A116" s="51">
        <f>Inicial!A97</f>
        <v>0</v>
      </c>
      <c r="B116" s="52">
        <f>Inicial!B97</f>
        <v>0</v>
      </c>
      <c r="C116" s="52">
        <f>Inicial!C97</f>
        <v>0</v>
      </c>
      <c r="D116" s="53">
        <f>Inicial!D97</f>
        <v>0</v>
      </c>
      <c r="E116" s="51" t="str">
        <f>IF(Inicial!L97="SI",Inicial!E97,"N/A")</f>
        <v>N/A</v>
      </c>
      <c r="F116" s="52" t="str">
        <f>IF(Inicial!L97="SI",Inicial!F97,"N/A")</f>
        <v>N/A</v>
      </c>
      <c r="G116" s="52" t="str">
        <f>IF(Inicial!L97="SI",Inicial!G97,"N/A")</f>
        <v>N/A</v>
      </c>
      <c r="H116" s="52" t="str">
        <f>IF(Inicial!L97="SI",Inicial!H97,"N/A")</f>
        <v>N/A</v>
      </c>
      <c r="I116" s="54" t="str">
        <f>IF(Inicial!L97="SI",Inicial!I97,"N/A")</f>
        <v>N/A</v>
      </c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6" t="str" cm="1">
        <f t="array" ref="AG116">IF(OR(M116:AF116="NO"),"No aceptable","Aceptable")</f>
        <v>Aceptable</v>
      </c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3" t="str" cm="1">
        <f t="array" ref="BD116">IF(OR(AK116:BC116="SI"),"Critico","No Critico")</f>
        <v>No Critico</v>
      </c>
    </row>
    <row r="117" spans="1:56" hidden="1">
      <c r="A117" s="51">
        <f>Inicial!A98</f>
        <v>0</v>
      </c>
      <c r="B117" s="52">
        <f>Inicial!B98</f>
        <v>0</v>
      </c>
      <c r="C117" s="52">
        <f>Inicial!C98</f>
        <v>0</v>
      </c>
      <c r="D117" s="53">
        <f>Inicial!D98</f>
        <v>0</v>
      </c>
      <c r="E117" s="51" t="str">
        <f>IF(Inicial!L98="SI",Inicial!E98,"N/A")</f>
        <v>N/A</v>
      </c>
      <c r="F117" s="52" t="str">
        <f>IF(Inicial!L98="SI",Inicial!F98,"N/A")</f>
        <v>N/A</v>
      </c>
      <c r="G117" s="52" t="str">
        <f>IF(Inicial!L98="SI",Inicial!G98,"N/A")</f>
        <v>N/A</v>
      </c>
      <c r="H117" s="52" t="str">
        <f>IF(Inicial!L98="SI",Inicial!H98,"N/A")</f>
        <v>N/A</v>
      </c>
      <c r="I117" s="54" t="str">
        <f>IF(Inicial!L98="SI",Inicial!I98,"N/A")</f>
        <v>N/A</v>
      </c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6" t="str" cm="1">
        <f t="array" ref="AG117">IF(OR(M117:AF117="NO"),"No aceptable","Aceptable")</f>
        <v>Aceptable</v>
      </c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3" t="str" cm="1">
        <f t="array" ref="BD117">IF(OR(AK117:BC117="SI"),"Critico","No Critico")</f>
        <v>No Critico</v>
      </c>
    </row>
    <row r="118" spans="1:56" hidden="1">
      <c r="A118" s="51">
        <f>Inicial!A99</f>
        <v>0</v>
      </c>
      <c r="B118" s="52">
        <f>Inicial!B99</f>
        <v>0</v>
      </c>
      <c r="C118" s="52">
        <f>Inicial!C99</f>
        <v>0</v>
      </c>
      <c r="D118" s="53">
        <f>Inicial!D99</f>
        <v>0</v>
      </c>
      <c r="E118" s="51" t="str">
        <f>IF(Inicial!L99="SI",Inicial!E99,"N/A")</f>
        <v>N/A</v>
      </c>
      <c r="F118" s="52" t="str">
        <f>IF(Inicial!L99="SI",Inicial!F99,"N/A")</f>
        <v>N/A</v>
      </c>
      <c r="G118" s="52" t="str">
        <f>IF(Inicial!L99="SI",Inicial!G99,"N/A")</f>
        <v>N/A</v>
      </c>
      <c r="H118" s="52" t="str">
        <f>IF(Inicial!L99="SI",Inicial!H99,"N/A")</f>
        <v>N/A</v>
      </c>
      <c r="I118" s="54" t="str">
        <f>IF(Inicial!L99="SI",Inicial!I99,"N/A")</f>
        <v>N/A</v>
      </c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6" t="str" cm="1">
        <f t="array" ref="AG118">IF(OR(M118:AF118="NO"),"No aceptable","Aceptable")</f>
        <v>Aceptable</v>
      </c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  <c r="AR118" s="77"/>
      <c r="AS118" s="77"/>
      <c r="AT118" s="77"/>
      <c r="AU118" s="77"/>
      <c r="AV118" s="77"/>
      <c r="AW118" s="77"/>
      <c r="AX118" s="77"/>
      <c r="AY118" s="77"/>
      <c r="AZ118" s="77"/>
      <c r="BA118" s="77"/>
      <c r="BB118" s="77"/>
      <c r="BC118" s="77"/>
      <c r="BD118" s="3" t="str" cm="1">
        <f t="array" ref="BD118">IF(OR(AK118:BC118="SI"),"Critico","No Critico")</f>
        <v>No Critico</v>
      </c>
    </row>
    <row r="119" spans="1:56" hidden="1">
      <c r="A119" s="51">
        <f>Inicial!A100</f>
        <v>0</v>
      </c>
      <c r="B119" s="52">
        <f>Inicial!B100</f>
        <v>0</v>
      </c>
      <c r="C119" s="52">
        <f>Inicial!C100</f>
        <v>0</v>
      </c>
      <c r="D119" s="53">
        <f>Inicial!D100</f>
        <v>0</v>
      </c>
      <c r="E119" s="51" t="str">
        <f>IF(Inicial!L100="SI",Inicial!E100,"N/A")</f>
        <v>N/A</v>
      </c>
      <c r="F119" s="52" t="str">
        <f>IF(Inicial!L100="SI",Inicial!F100,"N/A")</f>
        <v>N/A</v>
      </c>
      <c r="G119" s="52" t="str">
        <f>IF(Inicial!L100="SI",Inicial!G100,"N/A")</f>
        <v>N/A</v>
      </c>
      <c r="H119" s="52" t="str">
        <f>IF(Inicial!L100="SI",Inicial!H100,"N/A")</f>
        <v>N/A</v>
      </c>
      <c r="I119" s="54" t="str">
        <f>IF(Inicial!L100="SI",Inicial!I100,"N/A")</f>
        <v>N/A</v>
      </c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6" t="str" cm="1">
        <f t="array" ref="AG119">IF(OR(M119:AF119="NO"),"No aceptable","Aceptable")</f>
        <v>Aceptable</v>
      </c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  <c r="AR119" s="77"/>
      <c r="AS119" s="77"/>
      <c r="AT119" s="77"/>
      <c r="AU119" s="77"/>
      <c r="AV119" s="77"/>
      <c r="AW119" s="77"/>
      <c r="AX119" s="77"/>
      <c r="AY119" s="77"/>
      <c r="AZ119" s="77"/>
      <c r="BA119" s="77"/>
      <c r="BB119" s="77"/>
      <c r="BC119" s="77"/>
      <c r="BD119" s="3" t="str" cm="1">
        <f t="array" ref="BD119">IF(OR(AK119:BC119="SI"),"Critico","No Critico")</f>
        <v>No Critico</v>
      </c>
    </row>
    <row r="120" spans="1:56" hidden="1">
      <c r="A120" s="51">
        <f>Inicial!A101</f>
        <v>0</v>
      </c>
      <c r="B120" s="52">
        <f>Inicial!B101</f>
        <v>0</v>
      </c>
      <c r="C120" s="52">
        <f>Inicial!C101</f>
        <v>0</v>
      </c>
      <c r="D120" s="53">
        <f>Inicial!D101</f>
        <v>0</v>
      </c>
      <c r="E120" s="51" t="str">
        <f>IF(Inicial!L101="SI",Inicial!E101,"N/A")</f>
        <v>N/A</v>
      </c>
      <c r="F120" s="52" t="str">
        <f>IF(Inicial!L101="SI",Inicial!F101,"N/A")</f>
        <v>N/A</v>
      </c>
      <c r="G120" s="52" t="str">
        <f>IF(Inicial!L101="SI",Inicial!G101,"N/A")</f>
        <v>N/A</v>
      </c>
      <c r="H120" s="52" t="str">
        <f>IF(Inicial!L101="SI",Inicial!H101,"N/A")</f>
        <v>N/A</v>
      </c>
      <c r="I120" s="54" t="str">
        <f>IF(Inicial!L101="SI",Inicial!I101,"N/A")</f>
        <v>N/A</v>
      </c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6" t="str" cm="1">
        <f t="array" ref="AG120">IF(OR(M120:AF120="NO"),"No aceptable","Aceptable")</f>
        <v>Aceptable</v>
      </c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  <c r="AR120" s="77"/>
      <c r="AS120" s="77"/>
      <c r="AT120" s="77"/>
      <c r="AU120" s="77"/>
      <c r="AV120" s="77"/>
      <c r="AW120" s="77"/>
      <c r="AX120" s="77"/>
      <c r="AY120" s="77"/>
      <c r="AZ120" s="77"/>
      <c r="BA120" s="77"/>
      <c r="BB120" s="77"/>
      <c r="BC120" s="77"/>
      <c r="BD120" s="3" t="str" cm="1">
        <f t="array" ref="BD120">IF(OR(AK120:BC120="SI"),"Critico","No Critico")</f>
        <v>No Critico</v>
      </c>
    </row>
    <row r="121" spans="1:56" hidden="1">
      <c r="A121" s="51">
        <f>Inicial!A102</f>
        <v>0</v>
      </c>
      <c r="B121" s="52">
        <f>Inicial!B102</f>
        <v>0</v>
      </c>
      <c r="C121" s="52">
        <f>Inicial!C102</f>
        <v>0</v>
      </c>
      <c r="D121" s="53">
        <f>Inicial!D102</f>
        <v>0</v>
      </c>
      <c r="E121" s="51" t="str">
        <f>IF(Inicial!L102="SI",Inicial!E102,"N/A")</f>
        <v>N/A</v>
      </c>
      <c r="F121" s="52" t="str">
        <f>IF(Inicial!L102="SI",Inicial!F102,"N/A")</f>
        <v>N/A</v>
      </c>
      <c r="G121" s="52" t="str">
        <f>IF(Inicial!L102="SI",Inicial!G102,"N/A")</f>
        <v>N/A</v>
      </c>
      <c r="H121" s="52" t="str">
        <f>IF(Inicial!L102="SI",Inicial!H102,"N/A")</f>
        <v>N/A</v>
      </c>
      <c r="I121" s="54" t="str">
        <f>IF(Inicial!L102="SI",Inicial!I102,"N/A")</f>
        <v>N/A</v>
      </c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6" t="str" cm="1">
        <f t="array" ref="AG121">IF(OR(M121:AF121="NO"),"No aceptable","Aceptable")</f>
        <v>Aceptable</v>
      </c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  <c r="AR121" s="77"/>
      <c r="AS121" s="77"/>
      <c r="AT121" s="77"/>
      <c r="AU121" s="77"/>
      <c r="AV121" s="77"/>
      <c r="AW121" s="77"/>
      <c r="AX121" s="77"/>
      <c r="AY121" s="77"/>
      <c r="AZ121" s="77"/>
      <c r="BA121" s="77"/>
      <c r="BB121" s="77"/>
      <c r="BC121" s="77"/>
      <c r="BD121" s="3" t="str" cm="1">
        <f t="array" ref="BD121">IF(OR(AK121:BC121="SI"),"Critico","No Critico")</f>
        <v>No Critico</v>
      </c>
    </row>
    <row r="122" spans="1:56" hidden="1">
      <c r="A122" s="51">
        <f>Inicial!A103</f>
        <v>0</v>
      </c>
      <c r="B122" s="52">
        <f>Inicial!B103</f>
        <v>0</v>
      </c>
      <c r="C122" s="52">
        <f>Inicial!C103</f>
        <v>0</v>
      </c>
      <c r="D122" s="53">
        <f>Inicial!D103</f>
        <v>0</v>
      </c>
      <c r="E122" s="51" t="str">
        <f>IF(Inicial!L103="SI",Inicial!E103,"N/A")</f>
        <v>N/A</v>
      </c>
      <c r="F122" s="52" t="str">
        <f>IF(Inicial!L103="SI",Inicial!F103,"N/A")</f>
        <v>N/A</v>
      </c>
      <c r="G122" s="52" t="str">
        <f>IF(Inicial!L103="SI",Inicial!G103,"N/A")</f>
        <v>N/A</v>
      </c>
      <c r="H122" s="52" t="str">
        <f>IF(Inicial!L103="SI",Inicial!H103,"N/A")</f>
        <v>N/A</v>
      </c>
      <c r="I122" s="54" t="str">
        <f>IF(Inicial!L103="SI",Inicial!I103,"N/A")</f>
        <v>N/A</v>
      </c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6" t="str" cm="1">
        <f t="array" ref="AG122">IF(OR(M122:AF122="NO"),"No aceptable","Aceptable")</f>
        <v>Aceptable</v>
      </c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  <c r="AR122" s="77"/>
      <c r="AS122" s="77"/>
      <c r="AT122" s="77"/>
      <c r="AU122" s="77"/>
      <c r="AV122" s="77"/>
      <c r="AW122" s="77"/>
      <c r="AX122" s="77"/>
      <c r="AY122" s="77"/>
      <c r="AZ122" s="77"/>
      <c r="BA122" s="77"/>
      <c r="BB122" s="77"/>
      <c r="BC122" s="77"/>
      <c r="BD122" s="3" t="str" cm="1">
        <f t="array" ref="BD122">IF(OR(AK122:BC122="SI"),"Critico","No Critico")</f>
        <v>No Critico</v>
      </c>
    </row>
    <row r="123" spans="1:56" hidden="1">
      <c r="A123" s="51">
        <f>Inicial!A104</f>
        <v>0</v>
      </c>
      <c r="B123" s="52">
        <f>Inicial!B104</f>
        <v>0</v>
      </c>
      <c r="C123" s="52">
        <f>Inicial!C104</f>
        <v>0</v>
      </c>
      <c r="D123" s="53">
        <f>Inicial!D104</f>
        <v>0</v>
      </c>
      <c r="E123" s="51" t="str">
        <f>IF(Inicial!L104="SI",Inicial!E104,"N/A")</f>
        <v>N/A</v>
      </c>
      <c r="F123" s="52" t="str">
        <f>IF(Inicial!L104="SI",Inicial!F104,"N/A")</f>
        <v>N/A</v>
      </c>
      <c r="G123" s="52" t="str">
        <f>IF(Inicial!L104="SI",Inicial!G104,"N/A")</f>
        <v>N/A</v>
      </c>
      <c r="H123" s="52" t="str">
        <f>IF(Inicial!L104="SI",Inicial!H104,"N/A")</f>
        <v>N/A</v>
      </c>
      <c r="I123" s="54" t="str">
        <f>IF(Inicial!L104="SI",Inicial!I104,"N/A")</f>
        <v>N/A</v>
      </c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6" t="str" cm="1">
        <f t="array" ref="AG123">IF(OR(M123:AF123="NO"),"No aceptable","Aceptable")</f>
        <v>Aceptable</v>
      </c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77"/>
      <c r="AT123" s="77"/>
      <c r="AU123" s="77"/>
      <c r="AV123" s="77"/>
      <c r="AW123" s="77"/>
      <c r="AX123" s="77"/>
      <c r="AY123" s="77"/>
      <c r="AZ123" s="77"/>
      <c r="BA123" s="77"/>
      <c r="BB123" s="77"/>
      <c r="BC123" s="77"/>
      <c r="BD123" s="3" t="str" cm="1">
        <f t="array" ref="BD123">IF(OR(AK123:BC123="SI"),"Critico","No Critico")</f>
        <v>No Critico</v>
      </c>
    </row>
    <row r="124" spans="1:56" hidden="1">
      <c r="A124" s="51">
        <f>Inicial!A105</f>
        <v>0</v>
      </c>
      <c r="B124" s="52">
        <f>Inicial!B105</f>
        <v>0</v>
      </c>
      <c r="C124" s="52">
        <f>Inicial!C105</f>
        <v>0</v>
      </c>
      <c r="D124" s="53">
        <f>Inicial!D105</f>
        <v>0</v>
      </c>
      <c r="E124" s="51" t="str">
        <f>IF(Inicial!L105="SI",Inicial!E105,"N/A")</f>
        <v>N/A</v>
      </c>
      <c r="F124" s="52" t="str">
        <f>IF(Inicial!L105="SI",Inicial!F105,"N/A")</f>
        <v>N/A</v>
      </c>
      <c r="G124" s="52" t="str">
        <f>IF(Inicial!L105="SI",Inicial!G105,"N/A")</f>
        <v>N/A</v>
      </c>
      <c r="H124" s="52" t="str">
        <f>IF(Inicial!L105="SI",Inicial!H105,"N/A")</f>
        <v>N/A</v>
      </c>
      <c r="I124" s="54" t="str">
        <f>IF(Inicial!L105="SI",Inicial!I105,"N/A")</f>
        <v>N/A</v>
      </c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6" t="str" cm="1">
        <f t="array" ref="AG124">IF(OR(M124:AF124="NO"),"No aceptable","Aceptable")</f>
        <v>Aceptable</v>
      </c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77"/>
      <c r="AT124" s="77"/>
      <c r="AU124" s="77"/>
      <c r="AV124" s="77"/>
      <c r="AW124" s="77"/>
      <c r="AX124" s="77"/>
      <c r="AY124" s="77"/>
      <c r="AZ124" s="77"/>
      <c r="BA124" s="77"/>
      <c r="BB124" s="77"/>
      <c r="BC124" s="77"/>
      <c r="BD124" s="3" t="str" cm="1">
        <f t="array" ref="BD124">IF(OR(AK124:BC124="SI"),"Critico","No Critico")</f>
        <v>No Critico</v>
      </c>
    </row>
    <row r="125" spans="1:56" hidden="1">
      <c r="A125" s="51">
        <f>Inicial!A106</f>
        <v>0</v>
      </c>
      <c r="B125" s="52">
        <f>Inicial!B106</f>
        <v>0</v>
      </c>
      <c r="C125" s="52">
        <f>Inicial!C106</f>
        <v>0</v>
      </c>
      <c r="D125" s="53">
        <f>Inicial!D106</f>
        <v>0</v>
      </c>
      <c r="E125" s="51" t="str">
        <f>IF(Inicial!L106="SI",Inicial!E106,"N/A")</f>
        <v>N/A</v>
      </c>
      <c r="F125" s="52" t="str">
        <f>IF(Inicial!L106="SI",Inicial!F106,"N/A")</f>
        <v>N/A</v>
      </c>
      <c r="G125" s="52" t="str">
        <f>IF(Inicial!L106="SI",Inicial!G106,"N/A")</f>
        <v>N/A</v>
      </c>
      <c r="H125" s="52" t="str">
        <f>IF(Inicial!L106="SI",Inicial!H106,"N/A")</f>
        <v>N/A</v>
      </c>
      <c r="I125" s="54" t="str">
        <f>IF(Inicial!L106="SI",Inicial!I106,"N/A")</f>
        <v>N/A</v>
      </c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6" t="str" cm="1">
        <f t="array" ref="AG125">IF(OR(M125:AF125="NO"),"No aceptable","Aceptable")</f>
        <v>Aceptable</v>
      </c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  <c r="AR125" s="77"/>
      <c r="AS125" s="77"/>
      <c r="AT125" s="77"/>
      <c r="AU125" s="77"/>
      <c r="AV125" s="77"/>
      <c r="AW125" s="77"/>
      <c r="AX125" s="77"/>
      <c r="AY125" s="77"/>
      <c r="AZ125" s="77"/>
      <c r="BA125" s="77"/>
      <c r="BB125" s="77"/>
      <c r="BC125" s="77"/>
      <c r="BD125" s="3" t="str" cm="1">
        <f t="array" ref="BD125">IF(OR(AK125:BC125="SI"),"Critico","No Critico")</f>
        <v>No Critico</v>
      </c>
    </row>
    <row r="126" spans="1:56" hidden="1">
      <c r="A126" s="51">
        <f>Inicial!A107</f>
        <v>0</v>
      </c>
      <c r="B126" s="52">
        <f>Inicial!B107</f>
        <v>0</v>
      </c>
      <c r="C126" s="52">
        <f>Inicial!C107</f>
        <v>0</v>
      </c>
      <c r="D126" s="53">
        <f>Inicial!D107</f>
        <v>0</v>
      </c>
      <c r="E126" s="51" t="str">
        <f>IF(Inicial!L107="SI",Inicial!E107,"N/A")</f>
        <v>N/A</v>
      </c>
      <c r="F126" s="52" t="str">
        <f>IF(Inicial!L107="SI",Inicial!F107,"N/A")</f>
        <v>N/A</v>
      </c>
      <c r="G126" s="52" t="str">
        <f>IF(Inicial!L107="SI",Inicial!G107,"N/A")</f>
        <v>N/A</v>
      </c>
      <c r="H126" s="52" t="str">
        <f>IF(Inicial!L107="SI",Inicial!H107,"N/A")</f>
        <v>N/A</v>
      </c>
      <c r="I126" s="54" t="str">
        <f>IF(Inicial!L107="SI",Inicial!I107,"N/A")</f>
        <v>N/A</v>
      </c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6" t="str" cm="1">
        <f t="array" ref="AG126">IF(OR(M126:AF126="NO"),"No aceptable","Aceptable")</f>
        <v>Aceptable</v>
      </c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  <c r="AR126" s="77"/>
      <c r="AS126" s="77"/>
      <c r="AT126" s="77"/>
      <c r="AU126" s="77"/>
      <c r="AV126" s="77"/>
      <c r="AW126" s="77"/>
      <c r="AX126" s="77"/>
      <c r="AY126" s="77"/>
      <c r="AZ126" s="77"/>
      <c r="BA126" s="77"/>
      <c r="BB126" s="77"/>
      <c r="BC126" s="77"/>
      <c r="BD126" s="3" t="str" cm="1">
        <f t="array" ref="BD126">IF(OR(AK126:BC126="SI"),"Critico","No Critico")</f>
        <v>No Critico</v>
      </c>
    </row>
    <row r="127" spans="1:56" hidden="1">
      <c r="A127" s="51">
        <f>Inicial!A108</f>
        <v>0</v>
      </c>
      <c r="B127" s="52">
        <f>Inicial!B108</f>
        <v>0</v>
      </c>
      <c r="C127" s="52">
        <f>Inicial!C108</f>
        <v>0</v>
      </c>
      <c r="D127" s="53">
        <f>Inicial!D108</f>
        <v>0</v>
      </c>
      <c r="E127" s="51" t="str">
        <f>IF(Inicial!L108="SI",Inicial!E108,"N/A")</f>
        <v>N/A</v>
      </c>
      <c r="F127" s="52" t="str">
        <f>IF(Inicial!L108="SI",Inicial!F108,"N/A")</f>
        <v>N/A</v>
      </c>
      <c r="G127" s="52" t="str">
        <f>IF(Inicial!L108="SI",Inicial!G108,"N/A")</f>
        <v>N/A</v>
      </c>
      <c r="H127" s="52" t="str">
        <f>IF(Inicial!L108="SI",Inicial!H108,"N/A")</f>
        <v>N/A</v>
      </c>
      <c r="I127" s="54" t="str">
        <f>IF(Inicial!L108="SI",Inicial!I108,"N/A")</f>
        <v>N/A</v>
      </c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6" t="str" cm="1">
        <f t="array" ref="AG127">IF(OR(M127:AF127="NO"),"No aceptable","Aceptable")</f>
        <v>Aceptable</v>
      </c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  <c r="AR127" s="77"/>
      <c r="AS127" s="77"/>
      <c r="AT127" s="77"/>
      <c r="AU127" s="77"/>
      <c r="AV127" s="77"/>
      <c r="AW127" s="77"/>
      <c r="AX127" s="77"/>
      <c r="AY127" s="77"/>
      <c r="AZ127" s="77"/>
      <c r="BA127" s="77"/>
      <c r="BB127" s="77"/>
      <c r="BC127" s="77"/>
      <c r="BD127" s="3" t="str" cm="1">
        <f t="array" ref="BD127">IF(OR(AK127:BC127="SI"),"Critico","No Critico")</f>
        <v>No Critico</v>
      </c>
    </row>
    <row r="128" spans="1:56" hidden="1">
      <c r="A128" s="51">
        <f>Inicial!A109</f>
        <v>0</v>
      </c>
      <c r="B128" s="52">
        <f>Inicial!B109</f>
        <v>0</v>
      </c>
      <c r="C128" s="52">
        <f>Inicial!C109</f>
        <v>0</v>
      </c>
      <c r="D128" s="53">
        <f>Inicial!D109</f>
        <v>0</v>
      </c>
      <c r="E128" s="51" t="str">
        <f>IF(Inicial!L109="SI",Inicial!E109,"N/A")</f>
        <v>N/A</v>
      </c>
      <c r="F128" s="52" t="str">
        <f>IF(Inicial!L109="SI",Inicial!F109,"N/A")</f>
        <v>N/A</v>
      </c>
      <c r="G128" s="52" t="str">
        <f>IF(Inicial!L109="SI",Inicial!G109,"N/A")</f>
        <v>N/A</v>
      </c>
      <c r="H128" s="52" t="str">
        <f>IF(Inicial!L109="SI",Inicial!H109,"N/A")</f>
        <v>N/A</v>
      </c>
      <c r="I128" s="54" t="str">
        <f>IF(Inicial!L109="SI",Inicial!I109,"N/A")</f>
        <v>N/A</v>
      </c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6" t="str" cm="1">
        <f t="array" ref="AG128">IF(OR(M128:AF128="NO"),"No aceptable","Aceptable")</f>
        <v>Aceptable</v>
      </c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  <c r="AR128" s="77"/>
      <c r="AS128" s="77"/>
      <c r="AT128" s="77"/>
      <c r="AU128" s="77"/>
      <c r="AV128" s="77"/>
      <c r="AW128" s="77"/>
      <c r="AX128" s="77"/>
      <c r="AY128" s="77"/>
      <c r="AZ128" s="77"/>
      <c r="BA128" s="77"/>
      <c r="BB128" s="77"/>
      <c r="BC128" s="77"/>
      <c r="BD128" s="3" t="str" cm="1">
        <f t="array" ref="BD128">IF(OR(AK128:BC128="SI"),"Critico","No Critico")</f>
        <v>No Critico</v>
      </c>
    </row>
    <row r="129" spans="1:56" hidden="1">
      <c r="A129" s="51">
        <f>Inicial!A110</f>
        <v>0</v>
      </c>
      <c r="B129" s="52">
        <f>Inicial!B110</f>
        <v>0</v>
      </c>
      <c r="C129" s="52">
        <f>Inicial!C110</f>
        <v>0</v>
      </c>
      <c r="D129" s="53">
        <f>Inicial!D110</f>
        <v>0</v>
      </c>
      <c r="E129" s="51" t="str">
        <f>IF(Inicial!L110="SI",Inicial!E110,"N/A")</f>
        <v>N/A</v>
      </c>
      <c r="F129" s="52" t="str">
        <f>IF(Inicial!L110="SI",Inicial!F110,"N/A")</f>
        <v>N/A</v>
      </c>
      <c r="G129" s="52" t="str">
        <f>IF(Inicial!L110="SI",Inicial!G110,"N/A")</f>
        <v>N/A</v>
      </c>
      <c r="H129" s="52" t="str">
        <f>IF(Inicial!L110="SI",Inicial!H110,"N/A")</f>
        <v>N/A</v>
      </c>
      <c r="I129" s="54" t="str">
        <f>IF(Inicial!L110="SI",Inicial!I110,"N/A")</f>
        <v>N/A</v>
      </c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6" t="str" cm="1">
        <f t="array" ref="AG129">IF(OR(M129:AF129="NO"),"No aceptable","Aceptable")</f>
        <v>Aceptable</v>
      </c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  <c r="AZ129" s="77"/>
      <c r="BA129" s="77"/>
      <c r="BB129" s="77"/>
      <c r="BC129" s="77"/>
      <c r="BD129" s="3" t="str" cm="1">
        <f t="array" ref="BD129">IF(OR(AK129:BC129="SI"),"Critico","No Critico")</f>
        <v>No Critico</v>
      </c>
    </row>
    <row r="130" spans="1:56" hidden="1">
      <c r="A130" s="51">
        <f>Inicial!A111</f>
        <v>0</v>
      </c>
      <c r="B130" s="52">
        <f>Inicial!B111</f>
        <v>0</v>
      </c>
      <c r="C130" s="52">
        <f>Inicial!C111</f>
        <v>0</v>
      </c>
      <c r="D130" s="53">
        <f>Inicial!D111</f>
        <v>0</v>
      </c>
      <c r="E130" s="51" t="str">
        <f>IF(Inicial!L111="SI",Inicial!E111,"N/A")</f>
        <v>N/A</v>
      </c>
      <c r="F130" s="52" t="str">
        <f>IF(Inicial!L111="SI",Inicial!F111,"N/A")</f>
        <v>N/A</v>
      </c>
      <c r="G130" s="52" t="str">
        <f>IF(Inicial!L111="SI",Inicial!G111,"N/A")</f>
        <v>N/A</v>
      </c>
      <c r="H130" s="52" t="str">
        <f>IF(Inicial!L111="SI",Inicial!H111,"N/A")</f>
        <v>N/A</v>
      </c>
      <c r="I130" s="54" t="str">
        <f>IF(Inicial!L111="SI",Inicial!I111,"N/A")</f>
        <v>N/A</v>
      </c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6" t="str" cm="1">
        <f t="array" ref="AG130">IF(OR(M130:AF130="NO"),"No aceptable","Aceptable")</f>
        <v>Aceptable</v>
      </c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3" t="str" cm="1">
        <f t="array" ref="BD130">IF(OR(AK130:BC130="SI"),"Critico","No Critico")</f>
        <v>No Critico</v>
      </c>
    </row>
    <row r="131" spans="1:56" hidden="1">
      <c r="A131" s="51">
        <f>Inicial!A112</f>
        <v>0</v>
      </c>
      <c r="B131" s="52">
        <f>Inicial!B112</f>
        <v>0</v>
      </c>
      <c r="C131" s="52">
        <f>Inicial!C112</f>
        <v>0</v>
      </c>
      <c r="D131" s="53">
        <f>Inicial!D112</f>
        <v>0</v>
      </c>
      <c r="E131" s="51" t="str">
        <f>IF(Inicial!L112="SI",Inicial!E112,"N/A")</f>
        <v>N/A</v>
      </c>
      <c r="F131" s="52" t="str">
        <f>IF(Inicial!L112="SI",Inicial!F112,"N/A")</f>
        <v>N/A</v>
      </c>
      <c r="G131" s="52" t="str">
        <f>IF(Inicial!L112="SI",Inicial!G112,"N/A")</f>
        <v>N/A</v>
      </c>
      <c r="H131" s="52" t="str">
        <f>IF(Inicial!L112="SI",Inicial!H112,"N/A")</f>
        <v>N/A</v>
      </c>
      <c r="I131" s="54" t="str">
        <f>IF(Inicial!L112="SI",Inicial!I112,"N/A")</f>
        <v>N/A</v>
      </c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6" t="str" cm="1">
        <f t="array" ref="AG131">IF(OR(M131:AF131="NO"),"No aceptable","Aceptable")</f>
        <v>Aceptable</v>
      </c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3" t="str" cm="1">
        <f t="array" ref="BD131">IF(OR(AK131:BC131="SI"),"Critico","No Critico")</f>
        <v>No Critico</v>
      </c>
    </row>
    <row r="132" spans="1:56" hidden="1">
      <c r="A132" s="51">
        <f>Inicial!A113</f>
        <v>0</v>
      </c>
      <c r="B132" s="52">
        <f>Inicial!B113</f>
        <v>0</v>
      </c>
      <c r="C132" s="52">
        <f>Inicial!C113</f>
        <v>0</v>
      </c>
      <c r="D132" s="53">
        <f>Inicial!D113</f>
        <v>0</v>
      </c>
      <c r="E132" s="51" t="str">
        <f>IF(Inicial!L113="SI",Inicial!E113,"N/A")</f>
        <v>N/A</v>
      </c>
      <c r="F132" s="52" t="str">
        <f>IF(Inicial!L113="SI",Inicial!F113,"N/A")</f>
        <v>N/A</v>
      </c>
      <c r="G132" s="52" t="str">
        <f>IF(Inicial!L113="SI",Inicial!G113,"N/A")</f>
        <v>N/A</v>
      </c>
      <c r="H132" s="52" t="str">
        <f>IF(Inicial!L113="SI",Inicial!H113,"N/A")</f>
        <v>N/A</v>
      </c>
      <c r="I132" s="54" t="str">
        <f>IF(Inicial!L113="SI",Inicial!I113,"N/A")</f>
        <v>N/A</v>
      </c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6" t="str" cm="1">
        <f t="array" ref="AG132">IF(OR(M132:AF132="NO"),"No aceptable","Aceptable")</f>
        <v>Aceptable</v>
      </c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3" t="str" cm="1">
        <f t="array" ref="BD132">IF(OR(AK132:BC132="SI"),"Critico","No Critico")</f>
        <v>No Critico</v>
      </c>
    </row>
    <row r="133" spans="1:56" hidden="1">
      <c r="A133" s="51">
        <f>Inicial!A114</f>
        <v>0</v>
      </c>
      <c r="B133" s="52">
        <f>Inicial!B114</f>
        <v>0</v>
      </c>
      <c r="C133" s="52">
        <f>Inicial!C114</f>
        <v>0</v>
      </c>
      <c r="D133" s="53">
        <f>Inicial!D114</f>
        <v>0</v>
      </c>
      <c r="E133" s="51" t="str">
        <f>IF(Inicial!L114="SI",Inicial!E114,"N/A")</f>
        <v>N/A</v>
      </c>
      <c r="F133" s="52" t="str">
        <f>IF(Inicial!L114="SI",Inicial!F114,"N/A")</f>
        <v>N/A</v>
      </c>
      <c r="G133" s="52" t="str">
        <f>IF(Inicial!L114="SI",Inicial!G114,"N/A")</f>
        <v>N/A</v>
      </c>
      <c r="H133" s="52" t="str">
        <f>IF(Inicial!L114="SI",Inicial!H114,"N/A")</f>
        <v>N/A</v>
      </c>
      <c r="I133" s="54" t="str">
        <f>IF(Inicial!L114="SI",Inicial!I114,"N/A")</f>
        <v>N/A</v>
      </c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6" t="str" cm="1">
        <f t="array" ref="AG133">IF(OR(M133:AF133="NO"),"No aceptable","Aceptable")</f>
        <v>Aceptable</v>
      </c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3" t="str" cm="1">
        <f t="array" ref="BD133">IF(OR(AK133:BC133="SI"),"Critico","No Critico")</f>
        <v>No Critico</v>
      </c>
    </row>
    <row r="134" spans="1:56" hidden="1">
      <c r="A134" s="51">
        <f>Inicial!A115</f>
        <v>0</v>
      </c>
      <c r="B134" s="52">
        <f>Inicial!B115</f>
        <v>0</v>
      </c>
      <c r="C134" s="52">
        <f>Inicial!C115</f>
        <v>0</v>
      </c>
      <c r="D134" s="53">
        <f>Inicial!D115</f>
        <v>0</v>
      </c>
      <c r="E134" s="51" t="str">
        <f>IF(Inicial!L115="SI",Inicial!E115,"N/A")</f>
        <v>N/A</v>
      </c>
      <c r="F134" s="52" t="str">
        <f>IF(Inicial!L115="SI",Inicial!F115,"N/A")</f>
        <v>N/A</v>
      </c>
      <c r="G134" s="52" t="str">
        <f>IF(Inicial!L115="SI",Inicial!G115,"N/A")</f>
        <v>N/A</v>
      </c>
      <c r="H134" s="52" t="str">
        <f>IF(Inicial!L115="SI",Inicial!H115,"N/A")</f>
        <v>N/A</v>
      </c>
      <c r="I134" s="54" t="str">
        <f>IF(Inicial!L115="SI",Inicial!I115,"N/A")</f>
        <v>N/A</v>
      </c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6" t="str" cm="1">
        <f t="array" ref="AG134">IF(OR(M134:AF134="NO"),"No aceptable","Aceptable")</f>
        <v>Aceptable</v>
      </c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3" t="str" cm="1">
        <f t="array" ref="BD134">IF(OR(AK134:BC134="SI"),"Critico","No Critico")</f>
        <v>No Critico</v>
      </c>
    </row>
    <row r="135" spans="1:56" hidden="1">
      <c r="A135" s="51">
        <f>Inicial!A116</f>
        <v>0</v>
      </c>
      <c r="B135" s="52">
        <f>Inicial!B116</f>
        <v>0</v>
      </c>
      <c r="C135" s="52">
        <f>Inicial!C116</f>
        <v>0</v>
      </c>
      <c r="D135" s="53">
        <f>Inicial!D116</f>
        <v>0</v>
      </c>
      <c r="E135" s="51" t="str">
        <f>IF(Inicial!L116="SI",Inicial!E116,"N/A")</f>
        <v>N/A</v>
      </c>
      <c r="F135" s="52" t="str">
        <f>IF(Inicial!L116="SI",Inicial!F116,"N/A")</f>
        <v>N/A</v>
      </c>
      <c r="G135" s="52" t="str">
        <f>IF(Inicial!L116="SI",Inicial!G116,"N/A")</f>
        <v>N/A</v>
      </c>
      <c r="H135" s="52" t="str">
        <f>IF(Inicial!L116="SI",Inicial!H116,"N/A")</f>
        <v>N/A</v>
      </c>
      <c r="I135" s="54" t="str">
        <f>IF(Inicial!L116="SI",Inicial!I116,"N/A")</f>
        <v>N/A</v>
      </c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6" t="str" cm="1">
        <f t="array" ref="AG135">IF(OR(M135:AF135="NO"),"No aceptable","Aceptable")</f>
        <v>Aceptable</v>
      </c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3" t="str" cm="1">
        <f t="array" ref="BD135">IF(OR(AK135:BC135="SI"),"Critico","No Critico")</f>
        <v>No Critico</v>
      </c>
    </row>
    <row r="136" spans="1:56" hidden="1">
      <c r="A136" s="51">
        <f>Inicial!A117</f>
        <v>0</v>
      </c>
      <c r="B136" s="52">
        <f>Inicial!B117</f>
        <v>0</v>
      </c>
      <c r="C136" s="52">
        <f>Inicial!C117</f>
        <v>0</v>
      </c>
      <c r="D136" s="53">
        <f>Inicial!D117</f>
        <v>0</v>
      </c>
      <c r="E136" s="51" t="str">
        <f>IF(Inicial!L117="SI",Inicial!E117,"N/A")</f>
        <v>N/A</v>
      </c>
      <c r="F136" s="52" t="str">
        <f>IF(Inicial!L117="SI",Inicial!F117,"N/A")</f>
        <v>N/A</v>
      </c>
      <c r="G136" s="52" t="str">
        <f>IF(Inicial!L117="SI",Inicial!G117,"N/A")</f>
        <v>N/A</v>
      </c>
      <c r="H136" s="52" t="str">
        <f>IF(Inicial!L117="SI",Inicial!H117,"N/A")</f>
        <v>N/A</v>
      </c>
      <c r="I136" s="54" t="str">
        <f>IF(Inicial!L117="SI",Inicial!I117,"N/A")</f>
        <v>N/A</v>
      </c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6" t="str" cm="1">
        <f t="array" ref="AG136">IF(OR(M136:AF136="NO"),"No aceptable","Aceptable")</f>
        <v>Aceptable</v>
      </c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3" t="str" cm="1">
        <f t="array" ref="BD136">IF(OR(AK136:BC136="SI"),"Critico","No Critico")</f>
        <v>No Critico</v>
      </c>
    </row>
    <row r="137" spans="1:56" hidden="1">
      <c r="A137" s="51">
        <f>Inicial!A118</f>
        <v>0</v>
      </c>
      <c r="B137" s="52">
        <f>Inicial!B118</f>
        <v>0</v>
      </c>
      <c r="C137" s="52">
        <f>Inicial!C118</f>
        <v>0</v>
      </c>
      <c r="D137" s="53">
        <f>Inicial!D118</f>
        <v>0</v>
      </c>
      <c r="E137" s="51" t="str">
        <f>IF(Inicial!L118="SI",Inicial!E118,"N/A")</f>
        <v>N/A</v>
      </c>
      <c r="F137" s="52" t="str">
        <f>IF(Inicial!L118="SI",Inicial!F118,"N/A")</f>
        <v>N/A</v>
      </c>
      <c r="G137" s="52" t="str">
        <f>IF(Inicial!L118="SI",Inicial!G118,"N/A")</f>
        <v>N/A</v>
      </c>
      <c r="H137" s="52" t="str">
        <f>IF(Inicial!L118="SI",Inicial!H118,"N/A")</f>
        <v>N/A</v>
      </c>
      <c r="I137" s="54" t="str">
        <f>IF(Inicial!L118="SI",Inicial!I118,"N/A")</f>
        <v>N/A</v>
      </c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6" t="str" cm="1">
        <f t="array" ref="AG137">IF(OR(M137:AF137="NO"),"No aceptable","Aceptable")</f>
        <v>Aceptable</v>
      </c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3" t="str" cm="1">
        <f t="array" ref="BD137">IF(OR(AK137:BC137="SI"),"Critico","No Critico")</f>
        <v>No Critico</v>
      </c>
    </row>
    <row r="138" spans="1:56" hidden="1">
      <c r="A138" s="51">
        <f>Inicial!A119</f>
        <v>0</v>
      </c>
      <c r="B138" s="52">
        <f>Inicial!B119</f>
        <v>0</v>
      </c>
      <c r="C138" s="52">
        <f>Inicial!C119</f>
        <v>0</v>
      </c>
      <c r="D138" s="53">
        <f>Inicial!D119</f>
        <v>0</v>
      </c>
      <c r="E138" s="51" t="str">
        <f>IF(Inicial!L119="SI",Inicial!E119,"N/A")</f>
        <v>N/A</v>
      </c>
      <c r="F138" s="52" t="str">
        <f>IF(Inicial!L119="SI",Inicial!F119,"N/A")</f>
        <v>N/A</v>
      </c>
      <c r="G138" s="52" t="str">
        <f>IF(Inicial!L119="SI",Inicial!G119,"N/A")</f>
        <v>N/A</v>
      </c>
      <c r="H138" s="52" t="str">
        <f>IF(Inicial!L119="SI",Inicial!H119,"N/A")</f>
        <v>N/A</v>
      </c>
      <c r="I138" s="54" t="str">
        <f>IF(Inicial!L119="SI",Inicial!I119,"N/A")</f>
        <v>N/A</v>
      </c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6" t="str" cm="1">
        <f t="array" ref="AG138">IF(OR(M138:AF138="NO"),"No aceptable","Aceptable")</f>
        <v>Aceptable</v>
      </c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3" t="str" cm="1">
        <f t="array" ref="BD138">IF(OR(AK138:BC138="SI"),"Critico","No Critico")</f>
        <v>No Critico</v>
      </c>
    </row>
    <row r="139" spans="1:56" hidden="1">
      <c r="A139" s="51">
        <f>Inicial!A120</f>
        <v>0</v>
      </c>
      <c r="B139" s="52">
        <f>Inicial!B120</f>
        <v>0</v>
      </c>
      <c r="C139" s="52">
        <f>Inicial!C120</f>
        <v>0</v>
      </c>
      <c r="D139" s="53">
        <f>Inicial!D120</f>
        <v>0</v>
      </c>
      <c r="E139" s="51" t="str">
        <f>IF(Inicial!L120="SI",Inicial!E120,"N/A")</f>
        <v>N/A</v>
      </c>
      <c r="F139" s="52" t="str">
        <f>IF(Inicial!L120="SI",Inicial!F120,"N/A")</f>
        <v>N/A</v>
      </c>
      <c r="G139" s="52" t="str">
        <f>IF(Inicial!L120="SI",Inicial!G120,"N/A")</f>
        <v>N/A</v>
      </c>
      <c r="H139" s="52" t="str">
        <f>IF(Inicial!L120="SI",Inicial!H120,"N/A")</f>
        <v>N/A</v>
      </c>
      <c r="I139" s="54" t="str">
        <f>IF(Inicial!L120="SI",Inicial!I120,"N/A")</f>
        <v>N/A</v>
      </c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6" t="str" cm="1">
        <f t="array" ref="AG139">IF(OR(M139:AF139="NO"),"No aceptable","Aceptable")</f>
        <v>Aceptable</v>
      </c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3" t="str" cm="1">
        <f t="array" ref="BD139">IF(OR(AK139:BC139="SI"),"Critico","No Critico")</f>
        <v>No Critico</v>
      </c>
    </row>
    <row r="140" spans="1:56" hidden="1">
      <c r="A140" s="51">
        <f>Inicial!A121</f>
        <v>0</v>
      </c>
      <c r="B140" s="52">
        <f>Inicial!B121</f>
        <v>0</v>
      </c>
      <c r="C140" s="52">
        <f>Inicial!C121</f>
        <v>0</v>
      </c>
      <c r="D140" s="53">
        <f>Inicial!D121</f>
        <v>0</v>
      </c>
      <c r="E140" s="51" t="str">
        <f>IF(Inicial!L121="SI",Inicial!E121,"N/A")</f>
        <v>N/A</v>
      </c>
      <c r="F140" s="52" t="str">
        <f>IF(Inicial!L121="SI",Inicial!F121,"N/A")</f>
        <v>N/A</v>
      </c>
      <c r="G140" s="52" t="str">
        <f>IF(Inicial!L121="SI",Inicial!G121,"N/A")</f>
        <v>N/A</v>
      </c>
      <c r="H140" s="52" t="str">
        <f>IF(Inicial!L121="SI",Inicial!H121,"N/A")</f>
        <v>N/A</v>
      </c>
      <c r="I140" s="54" t="str">
        <f>IF(Inicial!L121="SI",Inicial!I121,"N/A")</f>
        <v>N/A</v>
      </c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6" t="str" cm="1">
        <f t="array" ref="AG140">IF(OR(M140:AF140="NO"),"No aceptable","Aceptable")</f>
        <v>Aceptable</v>
      </c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  <c r="AR140" s="77"/>
      <c r="AS140" s="77"/>
      <c r="AT140" s="77"/>
      <c r="AU140" s="77"/>
      <c r="AV140" s="77"/>
      <c r="AW140" s="77"/>
      <c r="AX140" s="77"/>
      <c r="AY140" s="77"/>
      <c r="AZ140" s="77"/>
      <c r="BA140" s="77"/>
      <c r="BB140" s="77"/>
      <c r="BC140" s="77"/>
      <c r="BD140" s="3" t="str" cm="1">
        <f t="array" ref="BD140">IF(OR(AK140:BC140="SI"),"Critico","No Critico")</f>
        <v>No Critico</v>
      </c>
    </row>
    <row r="141" spans="1:56" hidden="1">
      <c r="A141" s="51">
        <f>Inicial!A122</f>
        <v>0</v>
      </c>
      <c r="B141" s="52">
        <f>Inicial!B122</f>
        <v>0</v>
      </c>
      <c r="C141" s="52">
        <f>Inicial!C122</f>
        <v>0</v>
      </c>
      <c r="D141" s="53">
        <f>Inicial!D122</f>
        <v>0</v>
      </c>
      <c r="E141" s="51" t="str">
        <f>IF(Inicial!L122="SI",Inicial!E122,"N/A")</f>
        <v>N/A</v>
      </c>
      <c r="F141" s="52" t="str">
        <f>IF(Inicial!L122="SI",Inicial!F122,"N/A")</f>
        <v>N/A</v>
      </c>
      <c r="G141" s="52" t="str">
        <f>IF(Inicial!L122="SI",Inicial!G122,"N/A")</f>
        <v>N/A</v>
      </c>
      <c r="H141" s="52" t="str">
        <f>IF(Inicial!L122="SI",Inicial!H122,"N/A")</f>
        <v>N/A</v>
      </c>
      <c r="I141" s="54" t="str">
        <f>IF(Inicial!L122="SI",Inicial!I122,"N/A")</f>
        <v>N/A</v>
      </c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6" t="str" cm="1">
        <f t="array" ref="AG141">IF(OR(M141:AF141="NO"),"No aceptable","Aceptable")</f>
        <v>Aceptable</v>
      </c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3" t="str" cm="1">
        <f t="array" ref="BD141">IF(OR(AK141:BC141="SI"),"Critico","No Critico")</f>
        <v>No Critico</v>
      </c>
    </row>
    <row r="142" spans="1:56" hidden="1">
      <c r="A142" s="51">
        <f>Inicial!A123</f>
        <v>0</v>
      </c>
      <c r="B142" s="52">
        <f>Inicial!B123</f>
        <v>0</v>
      </c>
      <c r="C142" s="52">
        <f>Inicial!C123</f>
        <v>0</v>
      </c>
      <c r="D142" s="53">
        <f>Inicial!D123</f>
        <v>0</v>
      </c>
      <c r="E142" s="51" t="str">
        <f>IF(Inicial!L123="SI",Inicial!E123,"N/A")</f>
        <v>N/A</v>
      </c>
      <c r="F142" s="52" t="str">
        <f>IF(Inicial!L123="SI",Inicial!F123,"N/A")</f>
        <v>N/A</v>
      </c>
      <c r="G142" s="52" t="str">
        <f>IF(Inicial!L123="SI",Inicial!G123,"N/A")</f>
        <v>N/A</v>
      </c>
      <c r="H142" s="52" t="str">
        <f>IF(Inicial!L123="SI",Inicial!H123,"N/A")</f>
        <v>N/A</v>
      </c>
      <c r="I142" s="54" t="str">
        <f>IF(Inicial!L123="SI",Inicial!I123,"N/A")</f>
        <v>N/A</v>
      </c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6" t="str" cm="1">
        <f t="array" ref="AG142">IF(OR(M142:AF142="NO"),"No aceptable","Aceptable")</f>
        <v>Aceptable</v>
      </c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/>
      <c r="BB142" s="77"/>
      <c r="BC142" s="77"/>
      <c r="BD142" s="3" t="str" cm="1">
        <f t="array" ref="BD142">IF(OR(AK142:BC142="SI"),"Critico","No Critico")</f>
        <v>No Critico</v>
      </c>
    </row>
    <row r="143" spans="1:56" hidden="1">
      <c r="A143" s="51">
        <f>Inicial!A124</f>
        <v>0</v>
      </c>
      <c r="B143" s="52">
        <f>Inicial!B124</f>
        <v>0</v>
      </c>
      <c r="C143" s="52">
        <f>Inicial!C124</f>
        <v>0</v>
      </c>
      <c r="D143" s="53">
        <f>Inicial!D124</f>
        <v>0</v>
      </c>
      <c r="E143" s="51" t="str">
        <f>IF(Inicial!L124="SI",Inicial!E124,"N/A")</f>
        <v>N/A</v>
      </c>
      <c r="F143" s="52" t="str">
        <f>IF(Inicial!L124="SI",Inicial!F124,"N/A")</f>
        <v>N/A</v>
      </c>
      <c r="G143" s="52" t="str">
        <f>IF(Inicial!L124="SI",Inicial!G124,"N/A")</f>
        <v>N/A</v>
      </c>
      <c r="H143" s="52" t="str">
        <f>IF(Inicial!L124="SI",Inicial!H124,"N/A")</f>
        <v>N/A</v>
      </c>
      <c r="I143" s="54" t="str">
        <f>IF(Inicial!L124="SI",Inicial!I124,"N/A")</f>
        <v>N/A</v>
      </c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6" t="str" cm="1">
        <f t="array" ref="AG143">IF(OR(M143:AF143="NO"),"No aceptable","Aceptable")</f>
        <v>Aceptable</v>
      </c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  <c r="AR143" s="77"/>
      <c r="AS143" s="77"/>
      <c r="AT143" s="77"/>
      <c r="AU143" s="77"/>
      <c r="AV143" s="77"/>
      <c r="AW143" s="77"/>
      <c r="AX143" s="77"/>
      <c r="AY143" s="77"/>
      <c r="AZ143" s="77"/>
      <c r="BA143" s="77"/>
      <c r="BB143" s="77"/>
      <c r="BC143" s="77"/>
      <c r="BD143" s="3" t="str" cm="1">
        <f t="array" ref="BD143">IF(OR(AK143:BC143="SI"),"Critico","No Critico")</f>
        <v>No Critico</v>
      </c>
    </row>
    <row r="144" spans="1:56" hidden="1">
      <c r="A144" s="51">
        <f>Inicial!A125</f>
        <v>0</v>
      </c>
      <c r="B144" s="52">
        <f>Inicial!B125</f>
        <v>0</v>
      </c>
      <c r="C144" s="52">
        <f>Inicial!C125</f>
        <v>0</v>
      </c>
      <c r="D144" s="53">
        <f>Inicial!D125</f>
        <v>0</v>
      </c>
      <c r="E144" s="51" t="str">
        <f>IF(Inicial!L125="SI",Inicial!E125,"N/A")</f>
        <v>N/A</v>
      </c>
      <c r="F144" s="52" t="str">
        <f>IF(Inicial!L125="SI",Inicial!F125,"N/A")</f>
        <v>N/A</v>
      </c>
      <c r="G144" s="52" t="str">
        <f>IF(Inicial!L125="SI",Inicial!G125,"N/A")</f>
        <v>N/A</v>
      </c>
      <c r="H144" s="52" t="str">
        <f>IF(Inicial!L125="SI",Inicial!H125,"N/A")</f>
        <v>N/A</v>
      </c>
      <c r="I144" s="54" t="str">
        <f>IF(Inicial!L125="SI",Inicial!I125,"N/A")</f>
        <v>N/A</v>
      </c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6" t="str" cm="1">
        <f t="array" ref="AG144">IF(OR(M144:AF144="NO"),"No aceptable","Aceptable")</f>
        <v>Aceptable</v>
      </c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  <c r="AR144" s="77"/>
      <c r="AS144" s="77"/>
      <c r="AT144" s="77"/>
      <c r="AU144" s="77"/>
      <c r="AV144" s="77"/>
      <c r="AW144" s="77"/>
      <c r="AX144" s="77"/>
      <c r="AY144" s="77"/>
      <c r="AZ144" s="77"/>
      <c r="BA144" s="77"/>
      <c r="BB144" s="77"/>
      <c r="BC144" s="77"/>
      <c r="BD144" s="3" t="str" cm="1">
        <f t="array" ref="BD144">IF(OR(AK144:BC144="SI"),"Critico","No Critico")</f>
        <v>No Critico</v>
      </c>
    </row>
    <row r="145" spans="1:56" hidden="1">
      <c r="A145" s="51">
        <f>Inicial!A126</f>
        <v>0</v>
      </c>
      <c r="B145" s="52">
        <f>Inicial!B126</f>
        <v>0</v>
      </c>
      <c r="C145" s="52">
        <f>Inicial!C126</f>
        <v>0</v>
      </c>
      <c r="D145" s="53">
        <f>Inicial!D126</f>
        <v>0</v>
      </c>
      <c r="E145" s="51" t="str">
        <f>IF(Inicial!L126="SI",Inicial!E126,"N/A")</f>
        <v>N/A</v>
      </c>
      <c r="F145" s="52" t="str">
        <f>IF(Inicial!L126="SI",Inicial!F126,"N/A")</f>
        <v>N/A</v>
      </c>
      <c r="G145" s="52" t="str">
        <f>IF(Inicial!L126="SI",Inicial!G126,"N/A")</f>
        <v>N/A</v>
      </c>
      <c r="H145" s="52" t="str">
        <f>IF(Inicial!L126="SI",Inicial!H126,"N/A")</f>
        <v>N/A</v>
      </c>
      <c r="I145" s="54" t="str">
        <f>IF(Inicial!L126="SI",Inicial!I126,"N/A")</f>
        <v>N/A</v>
      </c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6" t="str" cm="1">
        <f t="array" ref="AG145">IF(OR(M145:AF145="NO"),"No aceptable","Aceptable")</f>
        <v>Aceptable</v>
      </c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  <c r="AR145" s="77"/>
      <c r="AS145" s="77"/>
      <c r="AT145" s="77"/>
      <c r="AU145" s="77"/>
      <c r="AV145" s="77"/>
      <c r="AW145" s="77"/>
      <c r="AX145" s="77"/>
      <c r="AY145" s="77"/>
      <c r="AZ145" s="77"/>
      <c r="BA145" s="77"/>
      <c r="BB145" s="77"/>
      <c r="BC145" s="77"/>
      <c r="BD145" s="3" t="str" cm="1">
        <f t="array" ref="BD145">IF(OR(AK145:BC145="SI"),"Critico","No Critico")</f>
        <v>No Critico</v>
      </c>
    </row>
    <row r="146" spans="1:56" hidden="1">
      <c r="A146" s="51">
        <f>Inicial!A127</f>
        <v>0</v>
      </c>
      <c r="B146" s="52">
        <f>Inicial!B127</f>
        <v>0</v>
      </c>
      <c r="C146" s="52">
        <f>Inicial!C127</f>
        <v>0</v>
      </c>
      <c r="D146" s="53">
        <f>Inicial!D127</f>
        <v>0</v>
      </c>
      <c r="E146" s="51" t="str">
        <f>IF(Inicial!L127="SI",Inicial!E127,"N/A")</f>
        <v>N/A</v>
      </c>
      <c r="F146" s="52" t="str">
        <f>IF(Inicial!L127="SI",Inicial!F127,"N/A")</f>
        <v>N/A</v>
      </c>
      <c r="G146" s="52" t="str">
        <f>IF(Inicial!L127="SI",Inicial!G127,"N/A")</f>
        <v>N/A</v>
      </c>
      <c r="H146" s="52" t="str">
        <f>IF(Inicial!L127="SI",Inicial!H127,"N/A")</f>
        <v>N/A</v>
      </c>
      <c r="I146" s="54" t="str">
        <f>IF(Inicial!L127="SI",Inicial!I127,"N/A")</f>
        <v>N/A</v>
      </c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6" t="str" cm="1">
        <f t="array" ref="AG146">IF(OR(M146:AF146="NO"),"No aceptable","Aceptable")</f>
        <v>Aceptable</v>
      </c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  <c r="AR146" s="77"/>
      <c r="AS146" s="77"/>
      <c r="AT146" s="77"/>
      <c r="AU146" s="77"/>
      <c r="AV146" s="77"/>
      <c r="AW146" s="77"/>
      <c r="AX146" s="77"/>
      <c r="AY146" s="77"/>
      <c r="AZ146" s="77"/>
      <c r="BA146" s="77"/>
      <c r="BB146" s="77"/>
      <c r="BC146" s="77"/>
      <c r="BD146" s="3" t="str" cm="1">
        <f t="array" ref="BD146">IF(OR(AK146:BC146="SI"),"Critico","No Critico")</f>
        <v>No Critico</v>
      </c>
    </row>
    <row r="147" spans="1:56" hidden="1">
      <c r="A147" s="51">
        <f>Inicial!A128</f>
        <v>0</v>
      </c>
      <c r="B147" s="52">
        <f>Inicial!B128</f>
        <v>0</v>
      </c>
      <c r="C147" s="52">
        <f>Inicial!C128</f>
        <v>0</v>
      </c>
      <c r="D147" s="53">
        <f>Inicial!D128</f>
        <v>0</v>
      </c>
      <c r="E147" s="51" t="str">
        <f>IF(Inicial!L128="SI",Inicial!E128,"N/A")</f>
        <v>N/A</v>
      </c>
      <c r="F147" s="52" t="str">
        <f>IF(Inicial!L128="SI",Inicial!F128,"N/A")</f>
        <v>N/A</v>
      </c>
      <c r="G147" s="52" t="str">
        <f>IF(Inicial!L128="SI",Inicial!G128,"N/A")</f>
        <v>N/A</v>
      </c>
      <c r="H147" s="52" t="str">
        <f>IF(Inicial!L128="SI",Inicial!H128,"N/A")</f>
        <v>N/A</v>
      </c>
      <c r="I147" s="54" t="str">
        <f>IF(Inicial!L128="SI",Inicial!I128,"N/A")</f>
        <v>N/A</v>
      </c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6" t="str" cm="1">
        <f t="array" ref="AG147">IF(OR(M147:AF147="NO"),"No aceptable","Aceptable")</f>
        <v>Aceptable</v>
      </c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  <c r="AR147" s="77"/>
      <c r="AS147" s="77"/>
      <c r="AT147" s="77"/>
      <c r="AU147" s="77"/>
      <c r="AV147" s="77"/>
      <c r="AW147" s="77"/>
      <c r="AX147" s="77"/>
      <c r="AY147" s="77"/>
      <c r="AZ147" s="77"/>
      <c r="BA147" s="77"/>
      <c r="BB147" s="77"/>
      <c r="BC147" s="77"/>
      <c r="BD147" s="3" t="str" cm="1">
        <f t="array" ref="BD147">IF(OR(AK147:BC147="SI"),"Critico","No Critico")</f>
        <v>No Critico</v>
      </c>
    </row>
    <row r="148" spans="1:56" hidden="1">
      <c r="A148" s="51">
        <f>Inicial!A129</f>
        <v>0</v>
      </c>
      <c r="B148" s="52">
        <f>Inicial!B129</f>
        <v>0</v>
      </c>
      <c r="C148" s="52">
        <f>Inicial!C129</f>
        <v>0</v>
      </c>
      <c r="D148" s="53">
        <f>Inicial!D129</f>
        <v>0</v>
      </c>
      <c r="E148" s="51" t="str">
        <f>IF(Inicial!L129="SI",Inicial!E129,"N/A")</f>
        <v>N/A</v>
      </c>
      <c r="F148" s="52" t="str">
        <f>IF(Inicial!L129="SI",Inicial!F129,"N/A")</f>
        <v>N/A</v>
      </c>
      <c r="G148" s="52" t="str">
        <f>IF(Inicial!L129="SI",Inicial!G129,"N/A")</f>
        <v>N/A</v>
      </c>
      <c r="H148" s="52" t="str">
        <f>IF(Inicial!L129="SI",Inicial!H129,"N/A")</f>
        <v>N/A</v>
      </c>
      <c r="I148" s="54" t="str">
        <f>IF(Inicial!L129="SI",Inicial!I129,"N/A")</f>
        <v>N/A</v>
      </c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6" t="str" cm="1">
        <f t="array" ref="AG148">IF(OR(M148:AF148="NO"),"No aceptable","Aceptable")</f>
        <v>Aceptable</v>
      </c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  <c r="AR148" s="77"/>
      <c r="AS148" s="77"/>
      <c r="AT148" s="77"/>
      <c r="AU148" s="77"/>
      <c r="AV148" s="77"/>
      <c r="AW148" s="77"/>
      <c r="AX148" s="77"/>
      <c r="AY148" s="77"/>
      <c r="AZ148" s="77"/>
      <c r="BA148" s="77"/>
      <c r="BB148" s="77"/>
      <c r="BC148" s="77"/>
      <c r="BD148" s="3" t="str" cm="1">
        <f t="array" ref="BD148">IF(OR(AK148:BC148="SI"),"Critico","No Critico")</f>
        <v>No Critico</v>
      </c>
    </row>
    <row r="149" spans="1:56" hidden="1">
      <c r="A149" s="51">
        <f>Inicial!A130</f>
        <v>0</v>
      </c>
      <c r="B149" s="52">
        <f>Inicial!B130</f>
        <v>0</v>
      </c>
      <c r="C149" s="52">
        <f>Inicial!C130</f>
        <v>0</v>
      </c>
      <c r="D149" s="53">
        <f>Inicial!D130</f>
        <v>0</v>
      </c>
      <c r="E149" s="51" t="str">
        <f>IF(Inicial!L130="SI",Inicial!E130,"N/A")</f>
        <v>N/A</v>
      </c>
      <c r="F149" s="52" t="str">
        <f>IF(Inicial!L130="SI",Inicial!F130,"N/A")</f>
        <v>N/A</v>
      </c>
      <c r="G149" s="52" t="str">
        <f>IF(Inicial!L130="SI",Inicial!G130,"N/A")</f>
        <v>N/A</v>
      </c>
      <c r="H149" s="52" t="str">
        <f>IF(Inicial!L130="SI",Inicial!H130,"N/A")</f>
        <v>N/A</v>
      </c>
      <c r="I149" s="54" t="str">
        <f>IF(Inicial!L130="SI",Inicial!I130,"N/A")</f>
        <v>N/A</v>
      </c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6" t="str" cm="1">
        <f t="array" ref="AG149">IF(OR(M149:AF149="NO"),"No aceptable","Aceptable")</f>
        <v>Aceptable</v>
      </c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3" t="str" cm="1">
        <f t="array" ref="BD149">IF(OR(AK149:BC149="SI"),"Critico","No Critico")</f>
        <v>No Critico</v>
      </c>
    </row>
    <row r="150" spans="1:56" hidden="1">
      <c r="A150" s="51">
        <f>Inicial!A131</f>
        <v>0</v>
      </c>
      <c r="B150" s="52">
        <f>Inicial!B131</f>
        <v>0</v>
      </c>
      <c r="C150" s="52">
        <f>Inicial!C131</f>
        <v>0</v>
      </c>
      <c r="D150" s="53">
        <f>Inicial!D131</f>
        <v>0</v>
      </c>
      <c r="E150" s="51" t="str">
        <f>IF(Inicial!L131="SI",Inicial!E131,"N/A")</f>
        <v>N/A</v>
      </c>
      <c r="F150" s="52" t="str">
        <f>IF(Inicial!L131="SI",Inicial!F131,"N/A")</f>
        <v>N/A</v>
      </c>
      <c r="G150" s="52" t="str">
        <f>IF(Inicial!L131="SI",Inicial!G131,"N/A")</f>
        <v>N/A</v>
      </c>
      <c r="H150" s="52" t="str">
        <f>IF(Inicial!L131="SI",Inicial!H131,"N/A")</f>
        <v>N/A</v>
      </c>
      <c r="I150" s="54" t="str">
        <f>IF(Inicial!L131="SI",Inicial!I131,"N/A")</f>
        <v>N/A</v>
      </c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6" t="str" cm="1">
        <f t="array" ref="AG150">IF(OR(M150:AF150="NO"),"No aceptable","Aceptable")</f>
        <v>Aceptable</v>
      </c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3" t="str" cm="1">
        <f t="array" ref="BD150">IF(OR(AK150:BC150="SI"),"Critico","No Critico")</f>
        <v>No Critico</v>
      </c>
    </row>
    <row r="151" spans="1:56" hidden="1">
      <c r="A151" s="51">
        <f>Inicial!A132</f>
        <v>0</v>
      </c>
      <c r="B151" s="52">
        <f>Inicial!B132</f>
        <v>0</v>
      </c>
      <c r="C151" s="52">
        <f>Inicial!C132</f>
        <v>0</v>
      </c>
      <c r="D151" s="53">
        <f>Inicial!D132</f>
        <v>0</v>
      </c>
      <c r="E151" s="51" t="str">
        <f>IF(Inicial!L132="SI",Inicial!E132,"N/A")</f>
        <v>N/A</v>
      </c>
      <c r="F151" s="52" t="str">
        <f>IF(Inicial!L132="SI",Inicial!F132,"N/A")</f>
        <v>N/A</v>
      </c>
      <c r="G151" s="52" t="str">
        <f>IF(Inicial!L132="SI",Inicial!G132,"N/A")</f>
        <v>N/A</v>
      </c>
      <c r="H151" s="52" t="str">
        <f>IF(Inicial!L132="SI",Inicial!H132,"N/A")</f>
        <v>N/A</v>
      </c>
      <c r="I151" s="54" t="str">
        <f>IF(Inicial!L132="SI",Inicial!I132,"N/A")</f>
        <v>N/A</v>
      </c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6" t="str" cm="1">
        <f t="array" ref="AG151">IF(OR(M151:AF151="NO"),"No aceptable","Aceptable")</f>
        <v>Aceptable</v>
      </c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3" t="str" cm="1">
        <f t="array" ref="BD151">IF(OR(AK151:BC151="SI"),"Critico","No Critico")</f>
        <v>No Critico</v>
      </c>
    </row>
    <row r="152" spans="1:56" hidden="1">
      <c r="A152" s="51">
        <f>Inicial!A133</f>
        <v>0</v>
      </c>
      <c r="B152" s="52">
        <f>Inicial!B133</f>
        <v>0</v>
      </c>
      <c r="C152" s="52">
        <f>Inicial!C133</f>
        <v>0</v>
      </c>
      <c r="D152" s="53">
        <f>Inicial!D133</f>
        <v>0</v>
      </c>
      <c r="E152" s="51" t="str">
        <f>IF(Inicial!L133="SI",Inicial!E133,"N/A")</f>
        <v>N/A</v>
      </c>
      <c r="F152" s="52" t="str">
        <f>IF(Inicial!L133="SI",Inicial!F133,"N/A")</f>
        <v>N/A</v>
      </c>
      <c r="G152" s="52" t="str">
        <f>IF(Inicial!L133="SI",Inicial!G133,"N/A")</f>
        <v>N/A</v>
      </c>
      <c r="H152" s="52" t="str">
        <f>IF(Inicial!L133="SI",Inicial!H133,"N/A")</f>
        <v>N/A</v>
      </c>
      <c r="I152" s="54" t="str">
        <f>IF(Inicial!L133="SI",Inicial!I133,"N/A")</f>
        <v>N/A</v>
      </c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6" t="str" cm="1">
        <f t="array" ref="AG152">IF(OR(M152:AF152="NO"),"No aceptable","Aceptable")</f>
        <v>Aceptable</v>
      </c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3" t="str" cm="1">
        <f t="array" ref="BD152">IF(OR(AK152:BC152="SI"),"Critico","No Critico")</f>
        <v>No Critico</v>
      </c>
    </row>
    <row r="153" spans="1:56" hidden="1">
      <c r="A153" s="51">
        <f>Inicial!A134</f>
        <v>0</v>
      </c>
      <c r="B153" s="52">
        <f>Inicial!B134</f>
        <v>0</v>
      </c>
      <c r="C153" s="52">
        <f>Inicial!C134</f>
        <v>0</v>
      </c>
      <c r="D153" s="53">
        <f>Inicial!D134</f>
        <v>0</v>
      </c>
      <c r="E153" s="51" t="str">
        <f>IF(Inicial!L134="SI",Inicial!E134,"N/A")</f>
        <v>N/A</v>
      </c>
      <c r="F153" s="52" t="str">
        <f>IF(Inicial!L134="SI",Inicial!F134,"N/A")</f>
        <v>N/A</v>
      </c>
      <c r="G153" s="52" t="str">
        <f>IF(Inicial!L134="SI",Inicial!G134,"N/A")</f>
        <v>N/A</v>
      </c>
      <c r="H153" s="52" t="str">
        <f>IF(Inicial!L134="SI",Inicial!H134,"N/A")</f>
        <v>N/A</v>
      </c>
      <c r="I153" s="54" t="str">
        <f>IF(Inicial!L134="SI",Inicial!I134,"N/A")</f>
        <v>N/A</v>
      </c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6" t="str" cm="1">
        <f t="array" ref="AG153">IF(OR(M153:AF153="NO"),"No aceptable","Aceptable")</f>
        <v>Aceptable</v>
      </c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3" t="str" cm="1">
        <f t="array" ref="BD153">IF(OR(AK153:BC153="SI"),"Critico","No Critico")</f>
        <v>No Critico</v>
      </c>
    </row>
    <row r="154" spans="1:56" hidden="1">
      <c r="A154" s="51">
        <f>Inicial!A135</f>
        <v>0</v>
      </c>
      <c r="B154" s="52">
        <f>Inicial!B135</f>
        <v>0</v>
      </c>
      <c r="C154" s="52">
        <f>Inicial!C135</f>
        <v>0</v>
      </c>
      <c r="D154" s="53">
        <f>Inicial!D135</f>
        <v>0</v>
      </c>
      <c r="E154" s="51" t="str">
        <f>IF(Inicial!L135="SI",Inicial!E135,"N/A")</f>
        <v>N/A</v>
      </c>
      <c r="F154" s="52" t="str">
        <f>IF(Inicial!L135="SI",Inicial!F135,"N/A")</f>
        <v>N/A</v>
      </c>
      <c r="G154" s="52" t="str">
        <f>IF(Inicial!L135="SI",Inicial!G135,"N/A")</f>
        <v>N/A</v>
      </c>
      <c r="H154" s="52" t="str">
        <f>IF(Inicial!L135="SI",Inicial!H135,"N/A")</f>
        <v>N/A</v>
      </c>
      <c r="I154" s="54" t="str">
        <f>IF(Inicial!L135="SI",Inicial!I135,"N/A")</f>
        <v>N/A</v>
      </c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6" t="str" cm="1">
        <f t="array" ref="AG154">IF(OR(M154:AF154="NO"),"No aceptable","Aceptable")</f>
        <v>Aceptable</v>
      </c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3" t="str" cm="1">
        <f t="array" ref="BD154">IF(OR(AK154:BC154="SI"),"Critico","No Critico")</f>
        <v>No Critico</v>
      </c>
    </row>
    <row r="155" spans="1:56" hidden="1">
      <c r="A155" s="51">
        <f>Inicial!A136</f>
        <v>0</v>
      </c>
      <c r="B155" s="52">
        <f>Inicial!B136</f>
        <v>0</v>
      </c>
      <c r="C155" s="52">
        <f>Inicial!C136</f>
        <v>0</v>
      </c>
      <c r="D155" s="53">
        <f>Inicial!D136</f>
        <v>0</v>
      </c>
      <c r="E155" s="51" t="str">
        <f>IF(Inicial!L136="SI",Inicial!E136,"N/A")</f>
        <v>N/A</v>
      </c>
      <c r="F155" s="52" t="str">
        <f>IF(Inicial!L136="SI",Inicial!F136,"N/A")</f>
        <v>N/A</v>
      </c>
      <c r="G155" s="52" t="str">
        <f>IF(Inicial!L136="SI",Inicial!G136,"N/A")</f>
        <v>N/A</v>
      </c>
      <c r="H155" s="52" t="str">
        <f>IF(Inicial!L136="SI",Inicial!H136,"N/A")</f>
        <v>N/A</v>
      </c>
      <c r="I155" s="54" t="str">
        <f>IF(Inicial!L136="SI",Inicial!I136,"N/A")</f>
        <v>N/A</v>
      </c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6" t="str" cm="1">
        <f t="array" ref="AG155">IF(OR(M155:AF155="NO"),"No aceptable","Aceptable")</f>
        <v>Aceptable</v>
      </c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3" t="str" cm="1">
        <f t="array" ref="BD155">IF(OR(AK155:BC155="SI"),"Critico","No Critico")</f>
        <v>No Critico</v>
      </c>
    </row>
    <row r="156" spans="1:56" hidden="1">
      <c r="A156" s="51">
        <f>Inicial!A137</f>
        <v>0</v>
      </c>
      <c r="B156" s="52">
        <f>Inicial!B137</f>
        <v>0</v>
      </c>
      <c r="C156" s="52">
        <f>Inicial!C137</f>
        <v>0</v>
      </c>
      <c r="D156" s="53">
        <f>Inicial!D137</f>
        <v>0</v>
      </c>
      <c r="E156" s="51" t="str">
        <f>IF(Inicial!L137="SI",Inicial!E137,"N/A")</f>
        <v>N/A</v>
      </c>
      <c r="F156" s="52" t="str">
        <f>IF(Inicial!L137="SI",Inicial!F137,"N/A")</f>
        <v>N/A</v>
      </c>
      <c r="G156" s="52" t="str">
        <f>IF(Inicial!L137="SI",Inicial!G137,"N/A")</f>
        <v>N/A</v>
      </c>
      <c r="H156" s="52" t="str">
        <f>IF(Inicial!L137="SI",Inicial!H137,"N/A")</f>
        <v>N/A</v>
      </c>
      <c r="I156" s="54" t="str">
        <f>IF(Inicial!L137="SI",Inicial!I137,"N/A")</f>
        <v>N/A</v>
      </c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6" t="str" cm="1">
        <f t="array" ref="AG156">IF(OR(M156:AF156="NO"),"No aceptable","Aceptable")</f>
        <v>Aceptable</v>
      </c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3" t="str" cm="1">
        <f t="array" ref="BD156">IF(OR(AK156:BC156="SI"),"Critico","No Critico")</f>
        <v>No Critico</v>
      </c>
    </row>
    <row r="157" spans="1:56" hidden="1">
      <c r="A157" s="51">
        <f>Inicial!A138</f>
        <v>0</v>
      </c>
      <c r="B157" s="52">
        <f>Inicial!B138</f>
        <v>0</v>
      </c>
      <c r="C157" s="52">
        <f>Inicial!C138</f>
        <v>0</v>
      </c>
      <c r="D157" s="53">
        <f>Inicial!D138</f>
        <v>0</v>
      </c>
      <c r="E157" s="51" t="str">
        <f>IF(Inicial!L138="SI",Inicial!E138,"N/A")</f>
        <v>N/A</v>
      </c>
      <c r="F157" s="52" t="str">
        <f>IF(Inicial!L138="SI",Inicial!F138,"N/A")</f>
        <v>N/A</v>
      </c>
      <c r="G157" s="52" t="str">
        <f>IF(Inicial!L138="SI",Inicial!G138,"N/A")</f>
        <v>N/A</v>
      </c>
      <c r="H157" s="52" t="str">
        <f>IF(Inicial!L138="SI",Inicial!H138,"N/A")</f>
        <v>N/A</v>
      </c>
      <c r="I157" s="54" t="str">
        <f>IF(Inicial!L138="SI",Inicial!I138,"N/A")</f>
        <v>N/A</v>
      </c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6" t="str" cm="1">
        <f t="array" ref="AG157">IF(OR(M157:AF157="NO"),"No aceptable","Aceptable")</f>
        <v>Aceptable</v>
      </c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3" t="str" cm="1">
        <f t="array" ref="BD157">IF(OR(AK157:BC157="SI"),"Critico","No Critico")</f>
        <v>No Critico</v>
      </c>
    </row>
    <row r="158" spans="1:56" hidden="1">
      <c r="A158" s="51">
        <f>Inicial!A139</f>
        <v>0</v>
      </c>
      <c r="B158" s="52">
        <f>Inicial!B139</f>
        <v>0</v>
      </c>
      <c r="C158" s="52">
        <f>Inicial!C139</f>
        <v>0</v>
      </c>
      <c r="D158" s="53">
        <f>Inicial!D139</f>
        <v>0</v>
      </c>
      <c r="E158" s="51" t="str">
        <f>IF(Inicial!L139="SI",Inicial!E139,"N/A")</f>
        <v>N/A</v>
      </c>
      <c r="F158" s="52" t="str">
        <f>IF(Inicial!L139="SI",Inicial!F139,"N/A")</f>
        <v>N/A</v>
      </c>
      <c r="G158" s="52" t="str">
        <f>IF(Inicial!L139="SI",Inicial!G139,"N/A")</f>
        <v>N/A</v>
      </c>
      <c r="H158" s="52" t="str">
        <f>IF(Inicial!L139="SI",Inicial!H139,"N/A")</f>
        <v>N/A</v>
      </c>
      <c r="I158" s="54" t="str">
        <f>IF(Inicial!L139="SI",Inicial!I139,"N/A")</f>
        <v>N/A</v>
      </c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6" t="str" cm="1">
        <f t="array" ref="AG158">IF(OR(M158:AF158="NO"),"No aceptable","Aceptable")</f>
        <v>Aceptable</v>
      </c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3" t="str" cm="1">
        <f t="array" ref="BD158">IF(OR(AK158:BC158="SI"),"Critico","No Critico")</f>
        <v>No Critico</v>
      </c>
    </row>
    <row r="159" spans="1:56" hidden="1">
      <c r="A159" s="51">
        <f>Inicial!A140</f>
        <v>0</v>
      </c>
      <c r="B159" s="52">
        <f>Inicial!B140</f>
        <v>0</v>
      </c>
      <c r="C159" s="52">
        <f>Inicial!C140</f>
        <v>0</v>
      </c>
      <c r="D159" s="53">
        <f>Inicial!D140</f>
        <v>0</v>
      </c>
      <c r="E159" s="51" t="str">
        <f>IF(Inicial!L140="SI",Inicial!E140,"N/A")</f>
        <v>N/A</v>
      </c>
      <c r="F159" s="52" t="str">
        <f>IF(Inicial!L140="SI",Inicial!F140,"N/A")</f>
        <v>N/A</v>
      </c>
      <c r="G159" s="52" t="str">
        <f>IF(Inicial!L140="SI",Inicial!G140,"N/A")</f>
        <v>N/A</v>
      </c>
      <c r="H159" s="52" t="str">
        <f>IF(Inicial!L140="SI",Inicial!H140,"N/A")</f>
        <v>N/A</v>
      </c>
      <c r="I159" s="54" t="str">
        <f>IF(Inicial!L140="SI",Inicial!I140,"N/A")</f>
        <v>N/A</v>
      </c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6" t="str" cm="1">
        <f t="array" ref="AG159">IF(OR(M159:AF159="NO"),"No aceptable","Aceptable")</f>
        <v>Aceptable</v>
      </c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3" t="str" cm="1">
        <f t="array" ref="BD159">IF(OR(AK159:BC159="SI"),"Critico","No Critico")</f>
        <v>No Critico</v>
      </c>
    </row>
    <row r="160" spans="1:56" hidden="1">
      <c r="A160" s="51">
        <f>Inicial!A141</f>
        <v>0</v>
      </c>
      <c r="B160" s="52">
        <f>Inicial!B141</f>
        <v>0</v>
      </c>
      <c r="C160" s="52">
        <f>Inicial!C141</f>
        <v>0</v>
      </c>
      <c r="D160" s="53">
        <f>Inicial!D141</f>
        <v>0</v>
      </c>
      <c r="E160" s="51" t="str">
        <f>IF(Inicial!L141="SI",Inicial!E141,"N/A")</f>
        <v>N/A</v>
      </c>
      <c r="F160" s="52" t="str">
        <f>IF(Inicial!L141="SI",Inicial!F141,"N/A")</f>
        <v>N/A</v>
      </c>
      <c r="G160" s="52" t="str">
        <f>IF(Inicial!L141="SI",Inicial!G141,"N/A")</f>
        <v>N/A</v>
      </c>
      <c r="H160" s="52" t="str">
        <f>IF(Inicial!L141="SI",Inicial!H141,"N/A")</f>
        <v>N/A</v>
      </c>
      <c r="I160" s="54" t="str">
        <f>IF(Inicial!L141="SI",Inicial!I141,"N/A")</f>
        <v>N/A</v>
      </c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6" t="str" cm="1">
        <f t="array" ref="AG160">IF(OR(M160:AF160="NO"),"No aceptable","Aceptable")</f>
        <v>Aceptable</v>
      </c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3" t="str" cm="1">
        <f t="array" ref="BD160">IF(OR(AK160:BC160="SI"),"Critico","No Critico")</f>
        <v>No Critico</v>
      </c>
    </row>
    <row r="161" spans="1:56" hidden="1">
      <c r="A161" s="51">
        <f>Inicial!A142</f>
        <v>0</v>
      </c>
      <c r="B161" s="52">
        <f>Inicial!B142</f>
        <v>0</v>
      </c>
      <c r="C161" s="52">
        <f>Inicial!C142</f>
        <v>0</v>
      </c>
      <c r="D161" s="53">
        <f>Inicial!D142</f>
        <v>0</v>
      </c>
      <c r="E161" s="51" t="str">
        <f>IF(Inicial!L142="SI",Inicial!E142,"N/A")</f>
        <v>N/A</v>
      </c>
      <c r="F161" s="52" t="str">
        <f>IF(Inicial!L142="SI",Inicial!F142,"N/A")</f>
        <v>N/A</v>
      </c>
      <c r="G161" s="52" t="str">
        <f>IF(Inicial!L142="SI",Inicial!G142,"N/A")</f>
        <v>N/A</v>
      </c>
      <c r="H161" s="52" t="str">
        <f>IF(Inicial!L142="SI",Inicial!H142,"N/A")</f>
        <v>N/A</v>
      </c>
      <c r="I161" s="54" t="str">
        <f>IF(Inicial!L142="SI",Inicial!I142,"N/A")</f>
        <v>N/A</v>
      </c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6" t="str" cm="1">
        <f t="array" ref="AG161">IF(OR(M161:AF161="NO"),"No aceptable","Aceptable")</f>
        <v>Aceptable</v>
      </c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  <c r="AR161" s="77"/>
      <c r="AS161" s="77"/>
      <c r="AT161" s="77"/>
      <c r="AU161" s="77"/>
      <c r="AV161" s="77"/>
      <c r="AW161" s="77"/>
      <c r="AX161" s="77"/>
      <c r="AY161" s="77"/>
      <c r="AZ161" s="77"/>
      <c r="BA161" s="77"/>
      <c r="BB161" s="77"/>
      <c r="BC161" s="77"/>
      <c r="BD161" s="3" t="str" cm="1">
        <f t="array" ref="BD161">IF(OR(AK161:BC161="SI"),"Critico","No Critico")</f>
        <v>No Critico</v>
      </c>
    </row>
    <row r="162" spans="1:56" hidden="1">
      <c r="A162" s="51">
        <f>Inicial!A143</f>
        <v>0</v>
      </c>
      <c r="B162" s="52">
        <f>Inicial!B143</f>
        <v>0</v>
      </c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6" t="str" cm="1">
        <f t="array" ref="AG162">IF(OR(M162:AF162="NO"),"No aceptable","Aceptable")</f>
        <v>Aceptable</v>
      </c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  <c r="AR162" s="77"/>
      <c r="AS162" s="77"/>
      <c r="AT162" s="77"/>
      <c r="AU162" s="77"/>
      <c r="AV162" s="77"/>
      <c r="AW162" s="77"/>
      <c r="AX162" s="77"/>
      <c r="AY162" s="77"/>
      <c r="AZ162" s="77"/>
      <c r="BA162" s="77"/>
      <c r="BB162" s="77"/>
      <c r="BC162" s="77"/>
      <c r="BD162" s="3" t="str" cm="1">
        <f t="array" ref="BD162">IF(OR(AK162:BC162="SI"),"Critico","No Critico")</f>
        <v>No Critico</v>
      </c>
    </row>
    <row r="163" spans="1:56" hidden="1">
      <c r="A163" s="51">
        <f>Inicial!A144</f>
        <v>0</v>
      </c>
      <c r="B163" s="52">
        <f>Inicial!B144</f>
        <v>0</v>
      </c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6" t="str" cm="1">
        <f t="array" ref="AG163">IF(OR(M163:AF163="NO"),"No aceptable","Aceptable")</f>
        <v>Aceptable</v>
      </c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  <c r="AR163" s="77"/>
      <c r="AS163" s="77"/>
      <c r="AT163" s="77"/>
      <c r="AU163" s="77"/>
      <c r="AV163" s="77"/>
      <c r="AW163" s="77"/>
      <c r="AX163" s="77"/>
      <c r="AY163" s="77"/>
      <c r="AZ163" s="77"/>
      <c r="BA163" s="77"/>
      <c r="BB163" s="77"/>
      <c r="BC163" s="77"/>
      <c r="BD163" s="3" t="str" cm="1">
        <f t="array" ref="BD163">IF(OR(AK163:BC163="SI"),"Critico","No Critico")</f>
        <v>No Critico</v>
      </c>
    </row>
    <row r="164" spans="1:56" hidden="1">
      <c r="A164" s="51">
        <f>Inicial!A145</f>
        <v>0</v>
      </c>
      <c r="B164" s="52">
        <f>Inicial!B145</f>
        <v>0</v>
      </c>
      <c r="AG164" s="76" t="str" cm="1">
        <f t="array" ref="AG164">IF(OR(M164:AF164="NO"),"No aceptable","Aceptable")</f>
        <v>Aceptable</v>
      </c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  <c r="AR164" s="77"/>
      <c r="AS164" s="77"/>
      <c r="AT164" s="77"/>
      <c r="AU164" s="77"/>
      <c r="AV164" s="77"/>
      <c r="AW164" s="77"/>
      <c r="AX164" s="77"/>
      <c r="AY164" s="77"/>
      <c r="AZ164" s="77"/>
      <c r="BA164" s="77"/>
      <c r="BB164" s="77"/>
      <c r="BC164" s="77"/>
      <c r="BD164" s="3" t="str" cm="1">
        <f t="array" ref="BD164">IF(OR(AK164:BC164="SI"),"Critico","No Critico")</f>
        <v>No Critico</v>
      </c>
    </row>
    <row r="165" spans="1:56" hidden="1">
      <c r="A165" s="51">
        <f>Inicial!A146</f>
        <v>0</v>
      </c>
      <c r="B165" s="52">
        <f>Inicial!B146</f>
        <v>0</v>
      </c>
      <c r="AG165" s="76" t="str" cm="1">
        <f t="array" ref="AG165">IF(OR(M165:AF165="NO"),"No aceptable","Aceptable")</f>
        <v>Aceptable</v>
      </c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  <c r="AR165" s="77"/>
      <c r="AS165" s="77"/>
      <c r="AT165" s="77"/>
      <c r="AU165" s="77"/>
      <c r="AV165" s="77"/>
      <c r="AW165" s="77"/>
      <c r="AX165" s="77"/>
      <c r="AY165" s="77"/>
      <c r="AZ165" s="77"/>
      <c r="BA165" s="77"/>
      <c r="BB165" s="77"/>
      <c r="BC165" s="77"/>
      <c r="BD165" s="3" t="str" cm="1">
        <f t="array" ref="BD165">IF(OR(AK165:BC165="SI"),"Critico","No Critico")</f>
        <v>No Critico</v>
      </c>
    </row>
    <row r="166" spans="1:56"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  <c r="AR166" s="77"/>
      <c r="AS166" s="77"/>
      <c r="AT166" s="77"/>
      <c r="AU166" s="77"/>
      <c r="AV166" s="77"/>
      <c r="AW166" s="77"/>
      <c r="AX166" s="77"/>
      <c r="AY166" s="77"/>
      <c r="AZ166" s="77"/>
      <c r="BA166" s="77"/>
      <c r="BB166" s="77"/>
      <c r="BC166" s="77"/>
    </row>
    <row r="167" spans="1:56"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  <c r="AR167" s="77"/>
      <c r="AS167" s="77"/>
      <c r="AT167" s="77"/>
      <c r="AU167" s="77"/>
      <c r="AV167" s="77"/>
      <c r="AW167" s="77"/>
      <c r="AX167" s="77"/>
      <c r="AY167" s="77"/>
      <c r="AZ167" s="77"/>
      <c r="BA167" s="77"/>
      <c r="BB167" s="77"/>
      <c r="BC167" s="77"/>
    </row>
    <row r="168" spans="1:56"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  <c r="AR168" s="77"/>
      <c r="AS168" s="77"/>
      <c r="AT168" s="77"/>
      <c r="AU168" s="77"/>
      <c r="AV168" s="77"/>
      <c r="AW168" s="77"/>
      <c r="AX168" s="77"/>
      <c r="AY168" s="77"/>
      <c r="AZ168" s="77"/>
      <c r="BA168" s="77"/>
      <c r="BB168" s="77"/>
      <c r="BC168" s="77"/>
    </row>
    <row r="169" spans="1:56"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  <c r="AR169" s="77"/>
      <c r="AS169" s="77"/>
      <c r="AT169" s="77"/>
      <c r="AU169" s="77"/>
      <c r="AV169" s="77"/>
      <c r="AW169" s="77"/>
      <c r="AX169" s="77"/>
      <c r="AY169" s="77"/>
      <c r="AZ169" s="77"/>
      <c r="BA169" s="77"/>
      <c r="BB169" s="77"/>
      <c r="BC169" s="77"/>
    </row>
    <row r="170" spans="1:56"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  <c r="AR170" s="77"/>
      <c r="AS170" s="77"/>
      <c r="AT170" s="77"/>
      <c r="AU170" s="77"/>
      <c r="AV170" s="77"/>
      <c r="AW170" s="77"/>
      <c r="AX170" s="77"/>
      <c r="AY170" s="77"/>
      <c r="AZ170" s="77"/>
      <c r="BA170" s="77"/>
      <c r="BB170" s="77"/>
      <c r="BC170" s="77"/>
    </row>
    <row r="171" spans="1:56"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  <c r="AR171" s="77"/>
      <c r="AS171" s="77"/>
      <c r="AT171" s="77"/>
      <c r="AU171" s="77"/>
      <c r="AV171" s="77"/>
      <c r="AW171" s="77"/>
      <c r="AX171" s="77"/>
      <c r="AY171" s="77"/>
      <c r="AZ171" s="77"/>
      <c r="BA171" s="77"/>
      <c r="BB171" s="77"/>
      <c r="BC171" s="77"/>
    </row>
    <row r="172" spans="1:56"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  <c r="AR172" s="77"/>
      <c r="AS172" s="77"/>
      <c r="AT172" s="77"/>
      <c r="AU172" s="77"/>
      <c r="AV172" s="77"/>
      <c r="AW172" s="77"/>
      <c r="AX172" s="77"/>
      <c r="AY172" s="77"/>
      <c r="AZ172" s="77"/>
      <c r="BA172" s="77"/>
      <c r="BB172" s="77"/>
      <c r="BC172" s="77"/>
    </row>
    <row r="173" spans="1:56"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  <c r="AR173" s="77"/>
      <c r="AS173" s="77"/>
      <c r="AT173" s="77"/>
      <c r="AU173" s="77"/>
      <c r="AV173" s="77"/>
      <c r="AW173" s="77"/>
      <c r="AX173" s="77"/>
      <c r="AY173" s="77"/>
      <c r="AZ173" s="77"/>
      <c r="BA173" s="77"/>
      <c r="BB173" s="77"/>
      <c r="BC173" s="77"/>
    </row>
    <row r="174" spans="1:56"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  <c r="AR174" s="77"/>
      <c r="AS174" s="77"/>
      <c r="AT174" s="77"/>
      <c r="AU174" s="77"/>
      <c r="AV174" s="77"/>
      <c r="AW174" s="77"/>
      <c r="AX174" s="77"/>
      <c r="AY174" s="77"/>
      <c r="AZ174" s="77"/>
      <c r="BA174" s="77"/>
      <c r="BB174" s="77"/>
      <c r="BC174" s="77"/>
    </row>
    <row r="175" spans="1:56"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  <c r="AR175" s="77"/>
      <c r="AS175" s="77"/>
      <c r="AT175" s="77"/>
      <c r="AU175" s="77"/>
      <c r="AV175" s="77"/>
      <c r="AW175" s="77"/>
      <c r="AX175" s="77"/>
      <c r="AY175" s="77"/>
      <c r="AZ175" s="77"/>
      <c r="BA175" s="77"/>
      <c r="BB175" s="77"/>
      <c r="BC175" s="77"/>
    </row>
    <row r="176" spans="1:56"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  <c r="AR176" s="77"/>
      <c r="AS176" s="77"/>
      <c r="AT176" s="77"/>
      <c r="AU176" s="77"/>
      <c r="AV176" s="77"/>
      <c r="AW176" s="77"/>
      <c r="AX176" s="77"/>
      <c r="AY176" s="77"/>
      <c r="AZ176" s="77"/>
      <c r="BA176" s="77"/>
      <c r="BB176" s="77"/>
      <c r="BC176" s="77"/>
    </row>
    <row r="177" spans="34:55"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  <c r="AR177" s="77"/>
      <c r="AS177" s="77"/>
      <c r="AT177" s="77"/>
      <c r="AU177" s="77"/>
      <c r="AV177" s="77"/>
      <c r="AW177" s="77"/>
      <c r="AX177" s="77"/>
      <c r="AY177" s="77"/>
      <c r="AZ177" s="77"/>
      <c r="BA177" s="77"/>
      <c r="BB177" s="77"/>
      <c r="BC177" s="77"/>
    </row>
    <row r="178" spans="34:55"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</row>
    <row r="179" spans="34:55"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  <c r="AR179" s="77"/>
      <c r="AS179" s="77"/>
      <c r="AT179" s="77"/>
      <c r="AU179" s="77"/>
      <c r="AV179" s="77"/>
      <c r="AW179" s="77"/>
      <c r="AX179" s="77"/>
      <c r="AY179" s="77"/>
      <c r="AZ179" s="77"/>
      <c r="BA179" s="77"/>
      <c r="BB179" s="77"/>
      <c r="BC179" s="77"/>
    </row>
    <row r="180" spans="34:55"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</row>
    <row r="181" spans="34:55"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</row>
    <row r="182" spans="34:55"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</row>
    <row r="183" spans="34:55"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  <c r="AR183" s="77"/>
      <c r="AS183" s="77"/>
      <c r="AT183" s="77"/>
      <c r="AU183" s="77"/>
      <c r="AV183" s="77"/>
      <c r="AW183" s="77"/>
      <c r="AX183" s="77"/>
      <c r="AY183" s="77"/>
      <c r="AZ183" s="77"/>
      <c r="BA183" s="77"/>
      <c r="BB183" s="77"/>
      <c r="BC183" s="77"/>
    </row>
    <row r="184" spans="34:55"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  <c r="AR184" s="77"/>
      <c r="AS184" s="77"/>
      <c r="AT184" s="77"/>
      <c r="AU184" s="77"/>
      <c r="AV184" s="77"/>
      <c r="AW184" s="77"/>
      <c r="AX184" s="77"/>
      <c r="AY184" s="77"/>
      <c r="AZ184" s="77"/>
      <c r="BA184" s="77"/>
      <c r="BB184" s="77"/>
      <c r="BC184" s="77"/>
    </row>
    <row r="185" spans="34:55"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  <c r="AR185" s="77"/>
      <c r="AS185" s="77"/>
      <c r="AT185" s="77"/>
      <c r="AU185" s="77"/>
      <c r="AV185" s="77"/>
      <c r="AW185" s="77"/>
      <c r="AX185" s="77"/>
      <c r="AY185" s="77"/>
      <c r="AZ185" s="77"/>
      <c r="BA185" s="77"/>
      <c r="BB185" s="77"/>
      <c r="BC185" s="77"/>
    </row>
    <row r="186" spans="34:55"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</row>
    <row r="187" spans="34:55"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  <c r="AR187" s="77"/>
      <c r="AS187" s="77"/>
      <c r="AT187" s="77"/>
      <c r="AU187" s="77"/>
      <c r="AV187" s="77"/>
      <c r="AW187" s="77"/>
      <c r="AX187" s="77"/>
      <c r="AY187" s="77"/>
      <c r="AZ187" s="77"/>
      <c r="BA187" s="77"/>
      <c r="BB187" s="77"/>
      <c r="BC187" s="77"/>
    </row>
    <row r="188" spans="34:55"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  <c r="AR188" s="77"/>
      <c r="AS188" s="77"/>
      <c r="AT188" s="77"/>
      <c r="AU188" s="77"/>
      <c r="AV188" s="77"/>
      <c r="AW188" s="77"/>
      <c r="AX188" s="77"/>
      <c r="AY188" s="77"/>
      <c r="AZ188" s="77"/>
      <c r="BA188" s="77"/>
      <c r="BB188" s="77"/>
      <c r="BC188" s="77"/>
    </row>
    <row r="189" spans="34:55">
      <c r="AH189" s="77"/>
      <c r="AI189" s="77"/>
      <c r="AJ189" s="77"/>
      <c r="AK189" s="77"/>
      <c r="AL189" s="77"/>
      <c r="AM189" s="77"/>
      <c r="AN189" s="77"/>
      <c r="AO189" s="77"/>
      <c r="AP189" s="77"/>
      <c r="AQ189" s="77"/>
      <c r="AR189" s="77"/>
      <c r="AS189" s="77"/>
      <c r="AT189" s="77"/>
      <c r="AU189" s="77"/>
      <c r="AV189" s="77"/>
      <c r="AW189" s="77"/>
      <c r="AX189" s="77"/>
      <c r="AY189" s="77"/>
      <c r="AZ189" s="77"/>
      <c r="BA189" s="77"/>
      <c r="BB189" s="77"/>
      <c r="BC189" s="77"/>
    </row>
    <row r="190" spans="34:55"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  <c r="AR190" s="77"/>
      <c r="AS190" s="77"/>
      <c r="AT190" s="77"/>
      <c r="AU190" s="77"/>
      <c r="AV190" s="77"/>
      <c r="AW190" s="77"/>
      <c r="AX190" s="77"/>
      <c r="AY190" s="77"/>
      <c r="AZ190" s="77"/>
      <c r="BA190" s="77"/>
      <c r="BB190" s="77"/>
      <c r="BC190" s="77"/>
    </row>
    <row r="191" spans="34:55"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  <c r="AR191" s="77"/>
      <c r="AS191" s="77"/>
      <c r="AT191" s="77"/>
      <c r="AU191" s="77"/>
      <c r="AV191" s="77"/>
      <c r="AW191" s="77"/>
      <c r="AX191" s="77"/>
      <c r="AY191" s="77"/>
      <c r="AZ191" s="77"/>
      <c r="BA191" s="77"/>
      <c r="BB191" s="77"/>
      <c r="BC191" s="77"/>
    </row>
    <row r="192" spans="34:55"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</row>
    <row r="193" spans="34:55"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</row>
    <row r="194" spans="34:55"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</row>
    <row r="195" spans="34:55"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</row>
    <row r="196" spans="34:55"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</row>
    <row r="197" spans="34:55"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</row>
    <row r="198" spans="34:55"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</row>
    <row r="199" spans="34:55"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  <c r="AR199" s="77"/>
      <c r="AS199" s="77"/>
      <c r="AT199" s="77"/>
      <c r="AU199" s="77"/>
      <c r="AV199" s="77"/>
      <c r="AW199" s="77"/>
      <c r="AX199" s="77"/>
      <c r="AY199" s="77"/>
      <c r="AZ199" s="77"/>
      <c r="BA199" s="77"/>
      <c r="BB199" s="77"/>
      <c r="BC199" s="77"/>
    </row>
    <row r="200" spans="34:55"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  <c r="AR200" s="77"/>
      <c r="AS200" s="77"/>
      <c r="AT200" s="77"/>
      <c r="AU200" s="77"/>
      <c r="AV200" s="77"/>
      <c r="AW200" s="77"/>
      <c r="AX200" s="77"/>
      <c r="AY200" s="77"/>
      <c r="AZ200" s="77"/>
      <c r="BA200" s="77"/>
      <c r="BB200" s="77"/>
      <c r="BC200" s="77"/>
    </row>
    <row r="201" spans="34:55"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  <c r="AR201" s="77"/>
      <c r="AS201" s="77"/>
      <c r="AT201" s="77"/>
      <c r="AU201" s="77"/>
      <c r="AV201" s="77"/>
      <c r="AW201" s="77"/>
      <c r="AX201" s="77"/>
      <c r="AY201" s="77"/>
      <c r="AZ201" s="77"/>
      <c r="BA201" s="77"/>
      <c r="BB201" s="77"/>
      <c r="BC201" s="77"/>
    </row>
    <row r="202" spans="34:55"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  <c r="AR202" s="77"/>
      <c r="AS202" s="77"/>
      <c r="AT202" s="77"/>
      <c r="AU202" s="77"/>
      <c r="AV202" s="77"/>
      <c r="AW202" s="77"/>
      <c r="AX202" s="77"/>
      <c r="AY202" s="77"/>
      <c r="AZ202" s="77"/>
      <c r="BA202" s="77"/>
      <c r="BB202" s="77"/>
      <c r="BC202" s="77"/>
    </row>
    <row r="203" spans="34:55">
      <c r="AH203" s="77"/>
      <c r="AI203" s="77"/>
      <c r="AJ203" s="77"/>
      <c r="AK203" s="77"/>
      <c r="AL203" s="77"/>
      <c r="AM203" s="77"/>
      <c r="AN203" s="77"/>
      <c r="AO203" s="77"/>
      <c r="AP203" s="77"/>
      <c r="AQ203" s="77"/>
      <c r="AR203" s="77"/>
      <c r="AS203" s="77"/>
      <c r="AT203" s="77"/>
      <c r="AU203" s="77"/>
      <c r="AV203" s="77"/>
      <c r="AW203" s="77"/>
      <c r="AX203" s="77"/>
      <c r="AY203" s="77"/>
      <c r="AZ203" s="77"/>
      <c r="BA203" s="77"/>
      <c r="BB203" s="77"/>
      <c r="BC203" s="77"/>
    </row>
    <row r="204" spans="34:55"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  <c r="AR204" s="77"/>
      <c r="AS204" s="77"/>
      <c r="AT204" s="77"/>
      <c r="AU204" s="77"/>
      <c r="AV204" s="77"/>
      <c r="AW204" s="77"/>
      <c r="AX204" s="77"/>
      <c r="AY204" s="77"/>
      <c r="AZ204" s="77"/>
      <c r="BA204" s="77"/>
      <c r="BB204" s="77"/>
      <c r="BC204" s="77"/>
    </row>
    <row r="205" spans="34:55"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  <c r="AR205" s="77"/>
      <c r="AS205" s="77"/>
      <c r="AT205" s="77"/>
      <c r="AU205" s="77"/>
      <c r="AV205" s="77"/>
      <c r="AW205" s="77"/>
      <c r="AX205" s="77"/>
      <c r="AY205" s="77"/>
      <c r="AZ205" s="77"/>
      <c r="BA205" s="77"/>
      <c r="BB205" s="77"/>
      <c r="BC205" s="77"/>
    </row>
    <row r="206" spans="34:55"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  <c r="AR206" s="77"/>
      <c r="AS206" s="77"/>
      <c r="AT206" s="77"/>
      <c r="AU206" s="77"/>
      <c r="AV206" s="77"/>
      <c r="AW206" s="77"/>
      <c r="AX206" s="77"/>
      <c r="AY206" s="77"/>
      <c r="AZ206" s="77"/>
      <c r="BA206" s="77"/>
      <c r="BB206" s="77"/>
      <c r="BC206" s="77"/>
    </row>
    <row r="207" spans="34:55"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  <c r="AR207" s="77"/>
      <c r="AS207" s="77"/>
      <c r="AT207" s="77"/>
      <c r="AU207" s="77"/>
      <c r="AV207" s="77"/>
      <c r="AW207" s="77"/>
      <c r="AX207" s="77"/>
      <c r="AY207" s="77"/>
      <c r="AZ207" s="77"/>
      <c r="BA207" s="77"/>
      <c r="BB207" s="77"/>
      <c r="BC207" s="77"/>
    </row>
    <row r="208" spans="34:55">
      <c r="AH208" s="77"/>
      <c r="AI208" s="77"/>
      <c r="AJ208" s="77"/>
      <c r="AK208" s="77"/>
      <c r="AL208" s="77"/>
      <c r="AM208" s="77"/>
      <c r="AN208" s="77"/>
      <c r="AO208" s="77"/>
      <c r="AP208" s="77"/>
      <c r="AQ208" s="77"/>
      <c r="AR208" s="77"/>
      <c r="AS208" s="77"/>
      <c r="AT208" s="77"/>
      <c r="AU208" s="77"/>
      <c r="AV208" s="77"/>
      <c r="AW208" s="77"/>
      <c r="AX208" s="77"/>
      <c r="AY208" s="77"/>
      <c r="AZ208" s="77"/>
      <c r="BA208" s="77"/>
      <c r="BB208" s="77"/>
      <c r="BC208" s="77"/>
    </row>
    <row r="209" spans="34:55"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</row>
    <row r="210" spans="34:55"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  <c r="AR210" s="77"/>
      <c r="AS210" s="77"/>
      <c r="AT210" s="77"/>
      <c r="AU210" s="77"/>
      <c r="AV210" s="77"/>
      <c r="AW210" s="77"/>
      <c r="AX210" s="77"/>
      <c r="AY210" s="77"/>
      <c r="AZ210" s="77"/>
      <c r="BA210" s="77"/>
      <c r="BB210" s="77"/>
      <c r="BC210" s="77"/>
    </row>
    <row r="211" spans="34:55"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  <c r="AR211" s="77"/>
      <c r="AS211" s="77"/>
      <c r="AT211" s="77"/>
      <c r="AU211" s="77"/>
      <c r="AV211" s="77"/>
      <c r="AW211" s="77"/>
      <c r="AX211" s="77"/>
      <c r="AY211" s="77"/>
      <c r="AZ211" s="77"/>
      <c r="BA211" s="77"/>
      <c r="BB211" s="77"/>
      <c r="BC211" s="77"/>
    </row>
    <row r="212" spans="34:55"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  <c r="AR212" s="77"/>
      <c r="AS212" s="77"/>
      <c r="AT212" s="77"/>
      <c r="AU212" s="77"/>
      <c r="AV212" s="77"/>
      <c r="AW212" s="77"/>
      <c r="AX212" s="77"/>
      <c r="AY212" s="77"/>
      <c r="AZ212" s="77"/>
      <c r="BA212" s="77"/>
      <c r="BB212" s="77"/>
      <c r="BC212" s="77"/>
    </row>
    <row r="213" spans="34:55"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  <c r="AR213" s="77"/>
      <c r="AS213" s="77"/>
      <c r="AT213" s="77"/>
      <c r="AU213" s="77"/>
      <c r="AV213" s="77"/>
      <c r="AW213" s="77"/>
      <c r="AX213" s="77"/>
      <c r="AY213" s="77"/>
      <c r="AZ213" s="77"/>
      <c r="BA213" s="77"/>
      <c r="BB213" s="77"/>
      <c r="BC213" s="77"/>
    </row>
    <row r="214" spans="34:55"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  <c r="AR214" s="77"/>
      <c r="AS214" s="77"/>
      <c r="AT214" s="77"/>
      <c r="AU214" s="77"/>
      <c r="AV214" s="77"/>
      <c r="AW214" s="77"/>
      <c r="AX214" s="77"/>
      <c r="AY214" s="77"/>
      <c r="AZ214" s="77"/>
      <c r="BA214" s="77"/>
      <c r="BB214" s="77"/>
      <c r="BC214" s="77"/>
    </row>
    <row r="215" spans="34:55"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  <c r="AR215" s="77"/>
      <c r="AS215" s="77"/>
      <c r="AT215" s="77"/>
      <c r="AU215" s="77"/>
      <c r="AV215" s="77"/>
      <c r="AW215" s="77"/>
      <c r="AX215" s="77"/>
      <c r="AY215" s="77"/>
      <c r="AZ215" s="77"/>
      <c r="BA215" s="77"/>
      <c r="BB215" s="77"/>
      <c r="BC215" s="77"/>
    </row>
    <row r="216" spans="34:55"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  <c r="AR216" s="77"/>
      <c r="AS216" s="77"/>
      <c r="AT216" s="77"/>
      <c r="AU216" s="77"/>
      <c r="AV216" s="77"/>
      <c r="AW216" s="77"/>
      <c r="AX216" s="77"/>
      <c r="AY216" s="77"/>
      <c r="AZ216" s="77"/>
      <c r="BA216" s="77"/>
      <c r="BB216" s="77"/>
      <c r="BC216" s="77"/>
    </row>
    <row r="217" spans="34:55"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  <c r="AR217" s="77"/>
      <c r="AS217" s="77"/>
      <c r="AT217" s="77"/>
      <c r="AU217" s="77"/>
      <c r="AV217" s="77"/>
      <c r="AW217" s="77"/>
      <c r="AX217" s="77"/>
      <c r="AY217" s="77"/>
      <c r="AZ217" s="77"/>
      <c r="BA217" s="77"/>
      <c r="BB217" s="77"/>
      <c r="BC217" s="77"/>
    </row>
    <row r="218" spans="34:55"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  <c r="AR218" s="77"/>
      <c r="AS218" s="77"/>
      <c r="AT218" s="77"/>
      <c r="AU218" s="77"/>
      <c r="AV218" s="77"/>
      <c r="AW218" s="77"/>
      <c r="AX218" s="77"/>
      <c r="AY218" s="77"/>
      <c r="AZ218" s="77"/>
      <c r="BA218" s="77"/>
      <c r="BB218" s="77"/>
      <c r="BC218" s="77"/>
    </row>
    <row r="219" spans="34:55"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  <c r="AR219" s="77"/>
      <c r="AS219" s="77"/>
      <c r="AT219" s="77"/>
      <c r="AU219" s="77"/>
      <c r="AV219" s="77"/>
      <c r="AW219" s="77"/>
      <c r="AX219" s="77"/>
      <c r="AY219" s="77"/>
      <c r="AZ219" s="77"/>
      <c r="BA219" s="77"/>
      <c r="BB219" s="77"/>
      <c r="BC219" s="77"/>
    </row>
    <row r="220" spans="34:55"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  <c r="AR220" s="77"/>
      <c r="AS220" s="77"/>
      <c r="AT220" s="77"/>
      <c r="AU220" s="77"/>
      <c r="AV220" s="77"/>
      <c r="AW220" s="77"/>
      <c r="AX220" s="77"/>
      <c r="AY220" s="77"/>
      <c r="AZ220" s="77"/>
      <c r="BA220" s="77"/>
      <c r="BB220" s="77"/>
      <c r="BC220" s="77"/>
    </row>
    <row r="221" spans="34:55">
      <c r="AH221" s="77"/>
      <c r="AI221" s="77"/>
      <c r="AJ221" s="77"/>
      <c r="AK221" s="77"/>
      <c r="AL221" s="77"/>
      <c r="AM221" s="77"/>
      <c r="AN221" s="77"/>
      <c r="AO221" s="77"/>
      <c r="AP221" s="77"/>
      <c r="AQ221" s="77"/>
      <c r="AR221" s="77"/>
      <c r="AS221" s="77"/>
      <c r="AT221" s="77"/>
      <c r="AU221" s="77"/>
      <c r="AV221" s="77"/>
      <c r="AW221" s="77"/>
      <c r="AX221" s="77"/>
      <c r="AY221" s="77"/>
      <c r="AZ221" s="77"/>
      <c r="BA221" s="77"/>
      <c r="BB221" s="77"/>
      <c r="BC221" s="77"/>
    </row>
    <row r="222" spans="34:55"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/>
      <c r="BB222" s="77"/>
      <c r="BC222" s="77"/>
    </row>
    <row r="223" spans="34:55"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  <c r="AR223" s="77"/>
      <c r="AS223" s="77"/>
      <c r="AT223" s="77"/>
      <c r="AU223" s="77"/>
      <c r="AV223" s="77"/>
      <c r="AW223" s="77"/>
      <c r="AX223" s="77"/>
      <c r="AY223" s="77"/>
      <c r="AZ223" s="77"/>
      <c r="BA223" s="77"/>
      <c r="BB223" s="77"/>
      <c r="BC223" s="77"/>
    </row>
    <row r="224" spans="34:55"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  <c r="AR224" s="77"/>
      <c r="AS224" s="77"/>
      <c r="AT224" s="77"/>
      <c r="AU224" s="77"/>
      <c r="AV224" s="77"/>
      <c r="AW224" s="77"/>
      <c r="AX224" s="77"/>
      <c r="AY224" s="77"/>
      <c r="AZ224" s="77"/>
      <c r="BA224" s="77"/>
      <c r="BB224" s="77"/>
      <c r="BC224" s="77"/>
    </row>
    <row r="225" spans="34:55"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  <c r="AR225" s="77"/>
      <c r="AS225" s="77"/>
      <c r="AT225" s="77"/>
      <c r="AU225" s="77"/>
      <c r="AV225" s="77"/>
      <c r="AW225" s="77"/>
      <c r="AX225" s="77"/>
      <c r="AY225" s="77"/>
      <c r="AZ225" s="77"/>
      <c r="BA225" s="77"/>
      <c r="BB225" s="77"/>
      <c r="BC225" s="77"/>
    </row>
    <row r="226" spans="34:55"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  <c r="AR226" s="77"/>
      <c r="AS226" s="77"/>
      <c r="AT226" s="77"/>
      <c r="AU226" s="77"/>
      <c r="AV226" s="77"/>
      <c r="AW226" s="77"/>
      <c r="AX226" s="77"/>
      <c r="AY226" s="77"/>
      <c r="AZ226" s="77"/>
      <c r="BA226" s="77"/>
      <c r="BB226" s="77"/>
      <c r="BC226" s="77"/>
    </row>
    <row r="227" spans="34:55"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  <c r="AR227" s="77"/>
      <c r="AS227" s="77"/>
      <c r="AT227" s="77"/>
      <c r="AU227" s="77"/>
      <c r="AV227" s="77"/>
      <c r="AW227" s="77"/>
      <c r="AX227" s="77"/>
      <c r="AY227" s="77"/>
      <c r="AZ227" s="77"/>
      <c r="BA227" s="77"/>
      <c r="BB227" s="77"/>
      <c r="BC227" s="77"/>
    </row>
    <row r="228" spans="34:55"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  <c r="AR228" s="77"/>
      <c r="AS228" s="77"/>
      <c r="AT228" s="77"/>
      <c r="AU228" s="77"/>
      <c r="AV228" s="77"/>
      <c r="AW228" s="77"/>
      <c r="AX228" s="77"/>
      <c r="AY228" s="77"/>
      <c r="AZ228" s="77"/>
      <c r="BA228" s="77"/>
      <c r="BB228" s="77"/>
      <c r="BC228" s="77"/>
    </row>
    <row r="229" spans="34:55">
      <c r="AH229" s="77"/>
      <c r="AI229" s="77"/>
      <c r="AJ229" s="77"/>
      <c r="AK229" s="77"/>
      <c r="AL229" s="77"/>
      <c r="AM229" s="77"/>
      <c r="AN229" s="77"/>
      <c r="AO229" s="77"/>
      <c r="AP229" s="77"/>
      <c r="AQ229" s="77"/>
      <c r="AR229" s="77"/>
      <c r="AS229" s="77"/>
      <c r="AT229" s="77"/>
      <c r="AU229" s="77"/>
      <c r="AV229" s="77"/>
      <c r="AW229" s="77"/>
      <c r="AX229" s="77"/>
      <c r="AY229" s="77"/>
      <c r="AZ229" s="77"/>
      <c r="BA229" s="77"/>
      <c r="BB229" s="77"/>
      <c r="BC229" s="77"/>
    </row>
    <row r="230" spans="34:55"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  <c r="AR230" s="77"/>
      <c r="AS230" s="77"/>
      <c r="AT230" s="77"/>
      <c r="AU230" s="77"/>
      <c r="AV230" s="77"/>
      <c r="AW230" s="77"/>
      <c r="AX230" s="77"/>
      <c r="AY230" s="77"/>
      <c r="AZ230" s="77"/>
      <c r="BA230" s="77"/>
      <c r="BB230" s="77"/>
      <c r="BC230" s="77"/>
    </row>
    <row r="231" spans="34:55"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</row>
    <row r="232" spans="34:55">
      <c r="AH232" s="77"/>
      <c r="AI232" s="77"/>
      <c r="AJ232" s="77"/>
      <c r="AK232" s="77"/>
      <c r="AL232" s="77"/>
      <c r="AM232" s="77"/>
      <c r="AN232" s="77"/>
      <c r="AO232" s="77"/>
      <c r="AP232" s="77"/>
      <c r="AQ232" s="77"/>
      <c r="AR232" s="77"/>
      <c r="AS232" s="77"/>
      <c r="AT232" s="77"/>
      <c r="AU232" s="77"/>
      <c r="AV232" s="77"/>
      <c r="AW232" s="77"/>
      <c r="AX232" s="77"/>
      <c r="AY232" s="77"/>
      <c r="AZ232" s="77"/>
      <c r="BA232" s="77"/>
      <c r="BB232" s="77"/>
      <c r="BC232" s="77"/>
    </row>
    <row r="233" spans="34:55"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  <c r="AR233" s="77"/>
      <c r="AS233" s="77"/>
      <c r="AT233" s="77"/>
      <c r="AU233" s="77"/>
      <c r="AV233" s="77"/>
      <c r="AW233" s="77"/>
      <c r="AX233" s="77"/>
      <c r="AY233" s="77"/>
      <c r="AZ233" s="77"/>
      <c r="BA233" s="77"/>
      <c r="BB233" s="77"/>
      <c r="BC233" s="77"/>
    </row>
    <row r="234" spans="34:55"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  <c r="AR234" s="77"/>
      <c r="AS234" s="77"/>
      <c r="AT234" s="77"/>
      <c r="AU234" s="77"/>
      <c r="AV234" s="77"/>
      <c r="AW234" s="77"/>
      <c r="AX234" s="77"/>
      <c r="AY234" s="77"/>
      <c r="AZ234" s="77"/>
      <c r="BA234" s="77"/>
      <c r="BB234" s="77"/>
      <c r="BC234" s="77"/>
    </row>
    <row r="235" spans="34:55"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</row>
    <row r="236" spans="34:55"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  <c r="AR236" s="77"/>
      <c r="AS236" s="77"/>
      <c r="AT236" s="77"/>
      <c r="AU236" s="77"/>
      <c r="AV236" s="77"/>
      <c r="AW236" s="77"/>
      <c r="AX236" s="77"/>
      <c r="AY236" s="77"/>
      <c r="AZ236" s="77"/>
      <c r="BA236" s="77"/>
      <c r="BB236" s="77"/>
      <c r="BC236" s="77"/>
    </row>
    <row r="237" spans="34:55"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  <c r="AR237" s="77"/>
      <c r="AS237" s="77"/>
      <c r="AT237" s="77"/>
      <c r="AU237" s="77"/>
      <c r="AV237" s="77"/>
      <c r="AW237" s="77"/>
      <c r="AX237" s="77"/>
      <c r="AY237" s="77"/>
      <c r="AZ237" s="77"/>
      <c r="BA237" s="77"/>
      <c r="BB237" s="77"/>
      <c r="BC237" s="77"/>
    </row>
    <row r="238" spans="34:55"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  <c r="AR238" s="77"/>
      <c r="AS238" s="77"/>
      <c r="AT238" s="77"/>
      <c r="AU238" s="77"/>
      <c r="AV238" s="77"/>
      <c r="AW238" s="77"/>
      <c r="AX238" s="77"/>
      <c r="AY238" s="77"/>
      <c r="AZ238" s="77"/>
      <c r="BA238" s="77"/>
      <c r="BB238" s="77"/>
      <c r="BC238" s="77"/>
    </row>
    <row r="239" spans="34:55"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  <c r="AR239" s="77"/>
      <c r="AS239" s="77"/>
      <c r="AT239" s="77"/>
      <c r="AU239" s="77"/>
      <c r="AV239" s="77"/>
      <c r="AW239" s="77"/>
      <c r="AX239" s="77"/>
      <c r="AY239" s="77"/>
      <c r="AZ239" s="77"/>
      <c r="BA239" s="77"/>
      <c r="BB239" s="77"/>
      <c r="BC239" s="77"/>
    </row>
    <row r="240" spans="34:55"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  <c r="AR240" s="77"/>
      <c r="AS240" s="77"/>
      <c r="AT240" s="77"/>
      <c r="AU240" s="77"/>
      <c r="AV240" s="77"/>
      <c r="AW240" s="77"/>
      <c r="AX240" s="77"/>
      <c r="AY240" s="77"/>
      <c r="AZ240" s="77"/>
      <c r="BA240" s="77"/>
      <c r="BB240" s="77"/>
      <c r="BC240" s="77"/>
    </row>
    <row r="241" spans="34:55"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  <c r="AR241" s="77"/>
      <c r="AS241" s="77"/>
      <c r="AT241" s="77"/>
      <c r="AU241" s="77"/>
      <c r="AV241" s="77"/>
      <c r="AW241" s="77"/>
      <c r="AX241" s="77"/>
      <c r="AY241" s="77"/>
      <c r="AZ241" s="77"/>
      <c r="BA241" s="77"/>
      <c r="BB241" s="77"/>
      <c r="BC241" s="77"/>
    </row>
    <row r="242" spans="34:55"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  <c r="AR242" s="77"/>
      <c r="AS242" s="77"/>
      <c r="AT242" s="77"/>
      <c r="AU242" s="77"/>
      <c r="AV242" s="77"/>
      <c r="AW242" s="77"/>
      <c r="AX242" s="77"/>
      <c r="AY242" s="77"/>
      <c r="AZ242" s="77"/>
      <c r="BA242" s="77"/>
      <c r="BB242" s="77"/>
      <c r="BC242" s="77"/>
    </row>
    <row r="243" spans="34:55"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  <c r="AR243" s="77"/>
      <c r="AS243" s="77"/>
      <c r="AT243" s="77"/>
      <c r="AU243" s="77"/>
      <c r="AV243" s="77"/>
      <c r="AW243" s="77"/>
      <c r="AX243" s="77"/>
      <c r="AY243" s="77"/>
      <c r="AZ243" s="77"/>
      <c r="BA243" s="77"/>
      <c r="BB243" s="77"/>
      <c r="BC243" s="77"/>
    </row>
    <row r="244" spans="34:55"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  <c r="AR244" s="77"/>
      <c r="AS244" s="77"/>
      <c r="AT244" s="77"/>
      <c r="AU244" s="77"/>
      <c r="AV244" s="77"/>
      <c r="AW244" s="77"/>
      <c r="AX244" s="77"/>
      <c r="AY244" s="77"/>
      <c r="AZ244" s="77"/>
      <c r="BA244" s="77"/>
      <c r="BB244" s="77"/>
      <c r="BC244" s="77"/>
    </row>
    <row r="245" spans="34:55"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  <c r="AR245" s="77"/>
      <c r="AS245" s="77"/>
      <c r="AT245" s="77"/>
      <c r="AU245" s="77"/>
      <c r="AV245" s="77"/>
      <c r="AW245" s="77"/>
      <c r="AX245" s="77"/>
      <c r="AY245" s="77"/>
      <c r="AZ245" s="77"/>
      <c r="BA245" s="77"/>
      <c r="BB245" s="77"/>
      <c r="BC245" s="77"/>
    </row>
    <row r="246" spans="34:55"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  <c r="AR246" s="77"/>
      <c r="AS246" s="77"/>
      <c r="AT246" s="77"/>
      <c r="AU246" s="77"/>
      <c r="AV246" s="77"/>
      <c r="AW246" s="77"/>
      <c r="AX246" s="77"/>
      <c r="AY246" s="77"/>
      <c r="AZ246" s="77"/>
      <c r="BA246" s="77"/>
      <c r="BB246" s="77"/>
      <c r="BC246" s="77"/>
    </row>
    <row r="247" spans="34:55"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  <c r="AR247" s="77"/>
      <c r="AS247" s="77"/>
      <c r="AT247" s="77"/>
      <c r="AU247" s="77"/>
      <c r="AV247" s="77"/>
      <c r="AW247" s="77"/>
      <c r="AX247" s="77"/>
      <c r="AY247" s="77"/>
      <c r="AZ247" s="77"/>
      <c r="BA247" s="77"/>
      <c r="BB247" s="77"/>
      <c r="BC247" s="77"/>
    </row>
    <row r="248" spans="34:55"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  <c r="AR248" s="77"/>
      <c r="AS248" s="77"/>
      <c r="AT248" s="77"/>
      <c r="AU248" s="77"/>
      <c r="AV248" s="77"/>
      <c r="AW248" s="77"/>
      <c r="AX248" s="77"/>
      <c r="AY248" s="77"/>
      <c r="AZ248" s="77"/>
      <c r="BA248" s="77"/>
      <c r="BB248" s="77"/>
      <c r="BC248" s="77"/>
    </row>
    <row r="249" spans="34:55"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  <c r="AR249" s="77"/>
      <c r="AS249" s="77"/>
      <c r="AT249" s="77"/>
      <c r="AU249" s="77"/>
      <c r="AV249" s="77"/>
      <c r="AW249" s="77"/>
      <c r="AX249" s="77"/>
      <c r="AY249" s="77"/>
      <c r="AZ249" s="77"/>
      <c r="BA249" s="77"/>
      <c r="BB249" s="77"/>
      <c r="BC249" s="77"/>
    </row>
    <row r="250" spans="34:55"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  <c r="AR250" s="77"/>
      <c r="AS250" s="77"/>
      <c r="AT250" s="77"/>
      <c r="AU250" s="77"/>
      <c r="AV250" s="77"/>
      <c r="AW250" s="77"/>
      <c r="AX250" s="77"/>
      <c r="AY250" s="77"/>
      <c r="AZ250" s="77"/>
      <c r="BA250" s="77"/>
      <c r="BB250" s="77"/>
      <c r="BC250" s="77"/>
    </row>
    <row r="251" spans="34:55"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  <c r="AR251" s="77"/>
      <c r="AS251" s="77"/>
      <c r="AT251" s="77"/>
      <c r="AU251" s="77"/>
      <c r="AV251" s="77"/>
      <c r="AW251" s="77"/>
      <c r="AX251" s="77"/>
      <c r="AY251" s="77"/>
      <c r="AZ251" s="77"/>
      <c r="BA251" s="77"/>
      <c r="BB251" s="77"/>
      <c r="BC251" s="77"/>
    </row>
    <row r="252" spans="34:55"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  <c r="AR252" s="77"/>
      <c r="AS252" s="77"/>
      <c r="AT252" s="77"/>
      <c r="AU252" s="77"/>
      <c r="AV252" s="77"/>
      <c r="AW252" s="77"/>
      <c r="AX252" s="77"/>
      <c r="AY252" s="77"/>
      <c r="AZ252" s="77"/>
      <c r="BA252" s="77"/>
      <c r="BB252" s="77"/>
      <c r="BC252" s="77"/>
    </row>
    <row r="253" spans="34:55"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  <c r="AR253" s="77"/>
      <c r="AS253" s="77"/>
      <c r="AT253" s="77"/>
      <c r="AU253" s="77"/>
      <c r="AV253" s="77"/>
      <c r="AW253" s="77"/>
      <c r="AX253" s="77"/>
      <c r="AY253" s="77"/>
      <c r="AZ253" s="77"/>
      <c r="BA253" s="77"/>
      <c r="BB253" s="77"/>
      <c r="BC253" s="77"/>
    </row>
    <row r="254" spans="34:55"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  <c r="AR254" s="77"/>
      <c r="AS254" s="77"/>
      <c r="AT254" s="77"/>
      <c r="AU254" s="77"/>
      <c r="AV254" s="77"/>
      <c r="AW254" s="77"/>
      <c r="AX254" s="77"/>
      <c r="AY254" s="77"/>
      <c r="AZ254" s="77"/>
      <c r="BA254" s="77"/>
      <c r="BB254" s="77"/>
      <c r="BC254" s="77"/>
    </row>
    <row r="255" spans="34:55"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  <c r="AR255" s="77"/>
      <c r="AS255" s="77"/>
      <c r="AT255" s="77"/>
      <c r="AU255" s="77"/>
      <c r="AV255" s="77"/>
      <c r="AW255" s="77"/>
      <c r="AX255" s="77"/>
      <c r="AY255" s="77"/>
      <c r="AZ255" s="77"/>
      <c r="BA255" s="77"/>
      <c r="BB255" s="77"/>
      <c r="BC255" s="77"/>
    </row>
    <row r="256" spans="34:55"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  <c r="AR256" s="77"/>
      <c r="AS256" s="77"/>
      <c r="AT256" s="77"/>
      <c r="AU256" s="77"/>
      <c r="AV256" s="77"/>
      <c r="AW256" s="77"/>
      <c r="AX256" s="77"/>
      <c r="AY256" s="77"/>
      <c r="AZ256" s="77"/>
      <c r="BA256" s="77"/>
      <c r="BB256" s="77"/>
      <c r="BC256" s="77"/>
    </row>
    <row r="257" spans="34:55"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  <c r="AR257" s="77"/>
      <c r="AS257" s="77"/>
      <c r="AT257" s="77"/>
      <c r="AU257" s="77"/>
      <c r="AV257" s="77"/>
      <c r="AW257" s="77"/>
      <c r="AX257" s="77"/>
      <c r="AY257" s="77"/>
      <c r="AZ257" s="77"/>
      <c r="BA257" s="77"/>
      <c r="BB257" s="77"/>
      <c r="BC257" s="77"/>
    </row>
    <row r="258" spans="34:55">
      <c r="AH258" s="77"/>
      <c r="AI258" s="77"/>
      <c r="AJ258" s="77"/>
      <c r="AK258" s="77"/>
      <c r="AL258" s="77"/>
      <c r="AM258" s="77"/>
      <c r="AN258" s="77"/>
      <c r="AO258" s="77"/>
      <c r="AP258" s="77"/>
      <c r="AQ258" s="77"/>
      <c r="AR258" s="77"/>
      <c r="AS258" s="77"/>
      <c r="AT258" s="77"/>
      <c r="AU258" s="77"/>
      <c r="AV258" s="77"/>
      <c r="AW258" s="77"/>
      <c r="AX258" s="77"/>
      <c r="AY258" s="77"/>
      <c r="AZ258" s="77"/>
      <c r="BA258" s="77"/>
      <c r="BB258" s="77"/>
      <c r="BC258" s="77"/>
    </row>
    <row r="259" spans="34:55"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  <c r="AR259" s="77"/>
      <c r="AS259" s="77"/>
      <c r="AT259" s="77"/>
      <c r="AU259" s="77"/>
      <c r="AV259" s="77"/>
      <c r="AW259" s="77"/>
      <c r="AX259" s="77"/>
      <c r="AY259" s="77"/>
      <c r="AZ259" s="77"/>
      <c r="BA259" s="77"/>
      <c r="BB259" s="77"/>
      <c r="BC259" s="77"/>
    </row>
    <row r="260" spans="34:55">
      <c r="AH260" s="77"/>
      <c r="AI260" s="77"/>
      <c r="AJ260" s="77"/>
      <c r="AK260" s="77"/>
      <c r="AL260" s="77"/>
      <c r="AM260" s="77"/>
      <c r="AN260" s="77"/>
      <c r="AO260" s="77"/>
      <c r="AP260" s="77"/>
      <c r="AQ260" s="77"/>
      <c r="AR260" s="77"/>
      <c r="AS260" s="77"/>
      <c r="AT260" s="77"/>
      <c r="AU260" s="77"/>
      <c r="AV260" s="77"/>
      <c r="AW260" s="77"/>
      <c r="AX260" s="77"/>
      <c r="AY260" s="77"/>
      <c r="AZ260" s="77"/>
      <c r="BA260" s="77"/>
      <c r="BB260" s="77"/>
      <c r="BC260" s="77"/>
    </row>
    <row r="261" spans="34:55"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  <c r="AR261" s="77"/>
      <c r="AS261" s="77"/>
      <c r="AT261" s="77"/>
      <c r="AU261" s="77"/>
      <c r="AV261" s="77"/>
      <c r="AW261" s="77"/>
      <c r="AX261" s="77"/>
      <c r="AY261" s="77"/>
      <c r="AZ261" s="77"/>
      <c r="BA261" s="77"/>
      <c r="BB261" s="77"/>
      <c r="BC261" s="77"/>
    </row>
    <row r="262" spans="34:55"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/>
      <c r="BB262" s="77"/>
      <c r="BC262" s="77"/>
    </row>
    <row r="263" spans="34:55"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  <c r="AR263" s="77"/>
      <c r="AS263" s="77"/>
      <c r="AT263" s="77"/>
      <c r="AU263" s="77"/>
      <c r="AV263" s="77"/>
      <c r="AW263" s="77"/>
      <c r="AX263" s="77"/>
      <c r="AY263" s="77"/>
      <c r="AZ263" s="77"/>
      <c r="BA263" s="77"/>
      <c r="BB263" s="77"/>
      <c r="BC263" s="77"/>
    </row>
    <row r="264" spans="34:55"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  <c r="AR264" s="77"/>
      <c r="AS264" s="77"/>
      <c r="AT264" s="77"/>
      <c r="AU264" s="77"/>
      <c r="AV264" s="77"/>
      <c r="AW264" s="77"/>
      <c r="AX264" s="77"/>
      <c r="AY264" s="77"/>
      <c r="AZ264" s="77"/>
      <c r="BA264" s="77"/>
      <c r="BB264" s="77"/>
      <c r="BC264" s="77"/>
    </row>
    <row r="265" spans="34:55"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  <c r="AR265" s="77"/>
      <c r="AS265" s="77"/>
      <c r="AT265" s="77"/>
      <c r="AU265" s="77"/>
      <c r="AV265" s="77"/>
      <c r="AW265" s="77"/>
      <c r="AX265" s="77"/>
      <c r="AY265" s="77"/>
      <c r="AZ265" s="77"/>
      <c r="BA265" s="77"/>
      <c r="BB265" s="77"/>
      <c r="BC265" s="77"/>
    </row>
    <row r="266" spans="34:55"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  <c r="AR266" s="77"/>
      <c r="AS266" s="77"/>
      <c r="AT266" s="77"/>
      <c r="AU266" s="77"/>
      <c r="AV266" s="77"/>
      <c r="AW266" s="77"/>
      <c r="AX266" s="77"/>
      <c r="AY266" s="77"/>
      <c r="AZ266" s="77"/>
      <c r="BA266" s="77"/>
      <c r="BB266" s="77"/>
      <c r="BC266" s="77"/>
    </row>
    <row r="267" spans="34:55"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  <c r="AR267" s="77"/>
      <c r="AS267" s="77"/>
      <c r="AT267" s="77"/>
      <c r="AU267" s="77"/>
      <c r="AV267" s="77"/>
      <c r="AW267" s="77"/>
      <c r="AX267" s="77"/>
      <c r="AY267" s="77"/>
      <c r="AZ267" s="77"/>
      <c r="BA267" s="77"/>
      <c r="BB267" s="77"/>
      <c r="BC267" s="77"/>
    </row>
    <row r="268" spans="34:55"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  <c r="AR268" s="77"/>
      <c r="AS268" s="77"/>
      <c r="AT268" s="77"/>
      <c r="AU268" s="77"/>
      <c r="AV268" s="77"/>
      <c r="AW268" s="77"/>
      <c r="AX268" s="77"/>
      <c r="AY268" s="77"/>
      <c r="AZ268" s="77"/>
      <c r="BA268" s="77"/>
      <c r="BB268" s="77"/>
      <c r="BC268" s="77"/>
    </row>
    <row r="269" spans="34:55"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</row>
    <row r="270" spans="34:55"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  <c r="AR270" s="77"/>
      <c r="AS270" s="77"/>
      <c r="AT270" s="77"/>
      <c r="AU270" s="77"/>
      <c r="AV270" s="77"/>
      <c r="AW270" s="77"/>
      <c r="AX270" s="77"/>
      <c r="AY270" s="77"/>
      <c r="AZ270" s="77"/>
      <c r="BA270" s="77"/>
      <c r="BB270" s="77"/>
      <c r="BC270" s="77"/>
    </row>
    <row r="271" spans="34:55"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  <c r="AR271" s="77"/>
      <c r="AS271" s="77"/>
      <c r="AT271" s="77"/>
      <c r="AU271" s="77"/>
      <c r="AV271" s="77"/>
      <c r="AW271" s="77"/>
      <c r="AX271" s="77"/>
      <c r="AY271" s="77"/>
      <c r="AZ271" s="77"/>
      <c r="BA271" s="77"/>
      <c r="BB271" s="77"/>
      <c r="BC271" s="77"/>
    </row>
    <row r="272" spans="34:55"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  <c r="AR272" s="77"/>
      <c r="AS272" s="77"/>
      <c r="AT272" s="77"/>
      <c r="AU272" s="77"/>
      <c r="AV272" s="77"/>
      <c r="AW272" s="77"/>
      <c r="AX272" s="77"/>
      <c r="AY272" s="77"/>
      <c r="AZ272" s="77"/>
      <c r="BA272" s="77"/>
      <c r="BB272" s="77"/>
      <c r="BC272" s="77"/>
    </row>
    <row r="273" spans="34:55"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  <c r="AR273" s="77"/>
      <c r="AS273" s="77"/>
      <c r="AT273" s="77"/>
      <c r="AU273" s="77"/>
      <c r="AV273" s="77"/>
      <c r="AW273" s="77"/>
      <c r="AX273" s="77"/>
      <c r="AY273" s="77"/>
      <c r="AZ273" s="77"/>
      <c r="BA273" s="77"/>
      <c r="BB273" s="77"/>
      <c r="BC273" s="77"/>
    </row>
    <row r="274" spans="34:55"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  <c r="AR274" s="77"/>
      <c r="AS274" s="77"/>
      <c r="AT274" s="77"/>
      <c r="AU274" s="77"/>
      <c r="AV274" s="77"/>
      <c r="AW274" s="77"/>
      <c r="AX274" s="77"/>
      <c r="AY274" s="77"/>
      <c r="AZ274" s="77"/>
      <c r="BA274" s="77"/>
      <c r="BB274" s="77"/>
      <c r="BC274" s="77"/>
    </row>
    <row r="275" spans="34:55"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  <c r="AR275" s="77"/>
      <c r="AS275" s="77"/>
      <c r="AT275" s="77"/>
      <c r="AU275" s="77"/>
      <c r="AV275" s="77"/>
      <c r="AW275" s="77"/>
      <c r="AX275" s="77"/>
      <c r="AY275" s="77"/>
      <c r="AZ275" s="77"/>
      <c r="BA275" s="77"/>
      <c r="BB275" s="77"/>
      <c r="BC275" s="77"/>
    </row>
    <row r="276" spans="34:55"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  <c r="AR276" s="77"/>
      <c r="AS276" s="77"/>
      <c r="AT276" s="77"/>
      <c r="AU276" s="77"/>
      <c r="AV276" s="77"/>
      <c r="AW276" s="77"/>
      <c r="AX276" s="77"/>
      <c r="AY276" s="77"/>
      <c r="AZ276" s="77"/>
      <c r="BA276" s="77"/>
      <c r="BB276" s="77"/>
      <c r="BC276" s="77"/>
    </row>
    <row r="277" spans="34:55"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  <c r="AR277" s="77"/>
      <c r="AS277" s="77"/>
      <c r="AT277" s="77"/>
      <c r="AU277" s="77"/>
      <c r="AV277" s="77"/>
      <c r="AW277" s="77"/>
      <c r="AX277" s="77"/>
      <c r="AY277" s="77"/>
      <c r="AZ277" s="77"/>
      <c r="BA277" s="77"/>
      <c r="BB277" s="77"/>
      <c r="BC277" s="77"/>
    </row>
    <row r="278" spans="34:55"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  <c r="AR278" s="77"/>
      <c r="AS278" s="77"/>
      <c r="AT278" s="77"/>
      <c r="AU278" s="77"/>
      <c r="AV278" s="77"/>
      <c r="AW278" s="77"/>
      <c r="AX278" s="77"/>
      <c r="AY278" s="77"/>
      <c r="AZ278" s="77"/>
      <c r="BA278" s="77"/>
      <c r="BB278" s="77"/>
      <c r="BC278" s="77"/>
    </row>
    <row r="279" spans="34:55"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  <c r="AR279" s="77"/>
      <c r="AS279" s="77"/>
      <c r="AT279" s="77"/>
      <c r="AU279" s="77"/>
      <c r="AV279" s="77"/>
      <c r="AW279" s="77"/>
      <c r="AX279" s="77"/>
      <c r="AY279" s="77"/>
      <c r="AZ279" s="77"/>
      <c r="BA279" s="77"/>
      <c r="BB279" s="77"/>
      <c r="BC279" s="77"/>
    </row>
    <row r="280" spans="34:55"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  <c r="AR280" s="77"/>
      <c r="AS280" s="77"/>
      <c r="AT280" s="77"/>
      <c r="AU280" s="77"/>
      <c r="AV280" s="77"/>
      <c r="AW280" s="77"/>
      <c r="AX280" s="77"/>
      <c r="AY280" s="77"/>
      <c r="AZ280" s="77"/>
      <c r="BA280" s="77"/>
      <c r="BB280" s="77"/>
      <c r="BC280" s="77"/>
    </row>
    <row r="281" spans="34:55"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  <c r="AR281" s="77"/>
      <c r="AS281" s="77"/>
      <c r="AT281" s="77"/>
      <c r="AU281" s="77"/>
      <c r="AV281" s="77"/>
      <c r="AW281" s="77"/>
      <c r="AX281" s="77"/>
      <c r="AY281" s="77"/>
      <c r="AZ281" s="77"/>
      <c r="BA281" s="77"/>
      <c r="BB281" s="77"/>
      <c r="BC281" s="77"/>
    </row>
    <row r="282" spans="34:55">
      <c r="AH282" s="77"/>
      <c r="AI282" s="77"/>
      <c r="AJ282" s="77"/>
      <c r="AK282" s="77"/>
      <c r="AL282" s="77"/>
      <c r="AM282" s="77"/>
      <c r="AN282" s="77"/>
      <c r="AO282" s="77"/>
      <c r="AP282" s="77"/>
      <c r="AQ282" s="77"/>
      <c r="AR282" s="77"/>
      <c r="AS282" s="77"/>
      <c r="AT282" s="77"/>
      <c r="AU282" s="77"/>
      <c r="AV282" s="77"/>
      <c r="AW282" s="77"/>
      <c r="AX282" s="77"/>
      <c r="AY282" s="77"/>
      <c r="AZ282" s="77"/>
      <c r="BA282" s="77"/>
      <c r="BB282" s="77"/>
      <c r="BC282" s="77"/>
    </row>
    <row r="283" spans="34:55">
      <c r="AH283" s="77"/>
      <c r="AI283" s="77"/>
      <c r="AJ283" s="77"/>
      <c r="AK283" s="77"/>
      <c r="AL283" s="77"/>
      <c r="AM283" s="77"/>
      <c r="AN283" s="77"/>
      <c r="AO283" s="77"/>
      <c r="AP283" s="77"/>
      <c r="AQ283" s="77"/>
      <c r="AR283" s="77"/>
      <c r="AS283" s="77"/>
      <c r="AT283" s="77"/>
      <c r="AU283" s="77"/>
      <c r="AV283" s="77"/>
      <c r="AW283" s="77"/>
      <c r="AX283" s="77"/>
      <c r="AY283" s="77"/>
      <c r="AZ283" s="77"/>
      <c r="BA283" s="77"/>
      <c r="BB283" s="77"/>
      <c r="BC283" s="77"/>
    </row>
    <row r="284" spans="34:55">
      <c r="AH284" s="77"/>
      <c r="AI284" s="77"/>
      <c r="AJ284" s="77"/>
      <c r="AK284" s="77"/>
      <c r="AL284" s="77"/>
      <c r="AM284" s="77"/>
      <c r="AN284" s="77"/>
      <c r="AO284" s="77"/>
      <c r="AP284" s="77"/>
      <c r="AQ284" s="77"/>
      <c r="AR284" s="77"/>
      <c r="AS284" s="77"/>
      <c r="AT284" s="77"/>
      <c r="AU284" s="77"/>
      <c r="AV284" s="77"/>
      <c r="AW284" s="77"/>
      <c r="AX284" s="77"/>
      <c r="AY284" s="77"/>
      <c r="AZ284" s="77"/>
      <c r="BA284" s="77"/>
      <c r="BB284" s="77"/>
      <c r="BC284" s="77"/>
    </row>
    <row r="285" spans="34:55">
      <c r="AH285" s="77"/>
      <c r="AI285" s="77"/>
      <c r="AJ285" s="77"/>
      <c r="AK285" s="77"/>
      <c r="AL285" s="77"/>
      <c r="AM285" s="77"/>
      <c r="AN285" s="77"/>
      <c r="AO285" s="77"/>
      <c r="AP285" s="77"/>
      <c r="AQ285" s="77"/>
      <c r="AR285" s="77"/>
      <c r="AS285" s="77"/>
      <c r="AT285" s="77"/>
      <c r="AU285" s="77"/>
      <c r="AV285" s="77"/>
      <c r="AW285" s="77"/>
      <c r="AX285" s="77"/>
      <c r="AY285" s="77"/>
      <c r="AZ285" s="77"/>
      <c r="BA285" s="77"/>
      <c r="BB285" s="77"/>
      <c r="BC285" s="77"/>
    </row>
  </sheetData>
  <autoFilter ref="A2:BJ165" xr:uid="{C44DB3DA-B8B8-47B7-BE7B-56E5A5B0650B}">
    <filterColumn colId="2">
      <filters>
        <filter val="Trozado L5"/>
      </filters>
    </filterColumn>
  </autoFilter>
  <mergeCells count="16">
    <mergeCell ref="AF1:AF2"/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F1:G1"/>
    <mergeCell ref="H1:I1"/>
    <mergeCell ref="J1:L1"/>
    <mergeCell ref="M1:P1"/>
    <mergeCell ref="Q1:T1"/>
    <mergeCell ref="AC1:AE1"/>
  </mergeCells>
  <conditionalFormatting sqref="J3:AF1048576">
    <cfRule type="cellIs" dxfId="43" priority="9" operator="equal">
      <formula>"NO"</formula>
    </cfRule>
    <cfRule type="cellIs" dxfId="42" priority="10" operator="equal">
      <formula>"SI"</formula>
    </cfRule>
  </conditionalFormatting>
  <conditionalFormatting sqref="AG3:AG165">
    <cfRule type="cellIs" dxfId="41" priority="13" operator="equal">
      <formula>"No Aceptable"</formula>
    </cfRule>
    <cfRule type="cellIs" dxfId="40" priority="14" operator="equal">
      <formula>"Aceptable"</formula>
    </cfRule>
  </conditionalFormatting>
  <conditionalFormatting sqref="J7:AF163 AH3:BC156">
    <cfRule type="cellIs" dxfId="39" priority="2" operator="equal">
      <formula>"N/A"</formula>
    </cfRule>
  </conditionalFormatting>
  <conditionalFormatting sqref="AH3:BC285">
    <cfRule type="cellIs" dxfId="38" priority="7" operator="equal">
      <formula>"SI"</formula>
    </cfRule>
    <cfRule type="cellIs" dxfId="37" priority="8" operator="equal">
      <formula>"NO"</formula>
    </cfRule>
  </conditionalFormatting>
  <conditionalFormatting sqref="BD3:BD165">
    <cfRule type="cellIs" dxfId="36" priority="3" operator="equal">
      <formula>"Critico"</formula>
    </cfRule>
    <cfRule type="cellIs" dxfId="35" priority="4" operator="equal">
      <formula>"No critico"</formula>
    </cfRule>
  </conditionalFormatting>
  <dataValidations count="7">
    <dataValidation type="list" allowBlank="1" showInputMessage="1" showErrorMessage="1" sqref="Y65:AC67 R78:AF110 J3:AF64 Q65:Q110 AH3:BC285" xr:uid="{97D30316-9369-4F76-BA67-ABAAFD1B7974}">
      <formula1>"SI,NO,N/A"</formula1>
    </dataValidation>
    <dataValidation type="list" allowBlank="1" showInputMessage="1" showErrorMessage="1" sqref="J65:P80" xr:uid="{4A39053C-3CA0-4008-B468-445D04CA0FD7}">
      <formula1>"SI,NO"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sheetPr filterMode="1"/>
  <dimension ref="A1:AT270"/>
  <sheetViews>
    <sheetView workbookViewId="0">
      <pane xSplit="9" ySplit="2" topLeftCell="T46" activePane="bottomRight" state="frozen"/>
      <selection pane="bottomRight" activeCell="J59" sqref="J59:W6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44" t="s">
        <v>439</v>
      </c>
      <c r="B1" s="134"/>
      <c r="C1" s="134"/>
      <c r="D1" s="134"/>
      <c r="E1" s="134"/>
      <c r="F1" s="134" t="s">
        <v>306</v>
      </c>
      <c r="G1" s="134"/>
      <c r="H1" s="134" t="s">
        <v>307</v>
      </c>
      <c r="I1" s="134"/>
      <c r="J1" s="150" t="s">
        <v>440</v>
      </c>
      <c r="K1" s="151"/>
      <c r="L1" s="152"/>
      <c r="M1" s="150" t="s">
        <v>441</v>
      </c>
      <c r="N1" s="151"/>
      <c r="O1" s="151"/>
      <c r="P1" s="151"/>
      <c r="Q1" s="152"/>
      <c r="R1" s="17" t="s">
        <v>442</v>
      </c>
      <c r="S1" s="17" t="s">
        <v>443</v>
      </c>
      <c r="T1" s="17" t="s">
        <v>444</v>
      </c>
      <c r="U1" s="17" t="s">
        <v>445</v>
      </c>
      <c r="V1" s="17" t="s">
        <v>446</v>
      </c>
      <c r="W1" s="10" t="s">
        <v>391</v>
      </c>
      <c r="X1" s="150" t="s">
        <v>447</v>
      </c>
      <c r="Y1" s="151"/>
      <c r="Z1" s="151"/>
      <c r="AA1" s="151" t="s">
        <v>448</v>
      </c>
      <c r="AB1" s="151"/>
      <c r="AC1" s="151"/>
      <c r="AD1" s="151"/>
      <c r="AE1" s="152"/>
      <c r="AF1" s="15" t="s">
        <v>394</v>
      </c>
      <c r="AG1" s="17" t="s">
        <v>449</v>
      </c>
      <c r="AH1" s="17" t="s">
        <v>450</v>
      </c>
      <c r="AI1" s="17" t="s">
        <v>451</v>
      </c>
      <c r="AJ1" s="17" t="s">
        <v>452</v>
      </c>
      <c r="AK1" s="17" t="s">
        <v>453</v>
      </c>
      <c r="AL1" s="17" t="s">
        <v>454</v>
      </c>
      <c r="AM1" s="17" t="s">
        <v>454</v>
      </c>
      <c r="AN1" s="16" t="s">
        <v>391</v>
      </c>
      <c r="AO1" s="147" t="s">
        <v>310</v>
      </c>
      <c r="AP1" s="148"/>
      <c r="AQ1" s="148"/>
      <c r="AR1" s="148"/>
      <c r="AS1" s="148"/>
      <c r="AT1" s="149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311</v>
      </c>
      <c r="G2" s="9" t="s">
        <v>312</v>
      </c>
      <c r="H2" s="9" t="s">
        <v>313</v>
      </c>
      <c r="I2" s="9" t="s">
        <v>314</v>
      </c>
      <c r="J2" s="13" t="s">
        <v>398</v>
      </c>
      <c r="K2" s="13" t="s">
        <v>455</v>
      </c>
      <c r="L2" s="13" t="s">
        <v>456</v>
      </c>
      <c r="M2" s="13" t="s">
        <v>457</v>
      </c>
      <c r="N2" s="13" t="s">
        <v>458</v>
      </c>
      <c r="O2" s="13" t="s">
        <v>459</v>
      </c>
      <c r="P2" s="13" t="s">
        <v>460</v>
      </c>
      <c r="Q2" s="13" t="s">
        <v>461</v>
      </c>
      <c r="R2" s="13" t="s">
        <v>462</v>
      </c>
      <c r="S2" s="13" t="s">
        <v>463</v>
      </c>
      <c r="T2" s="13" t="s">
        <v>464</v>
      </c>
      <c r="U2" s="13" t="s">
        <v>465</v>
      </c>
      <c r="V2" s="13" t="s">
        <v>466</v>
      </c>
      <c r="W2" s="10" t="s">
        <v>321</v>
      </c>
      <c r="X2" s="13" t="s">
        <v>417</v>
      </c>
      <c r="Y2" s="13" t="s">
        <v>418</v>
      </c>
      <c r="Z2" s="13" t="s">
        <v>419</v>
      </c>
      <c r="AA2" s="13" t="s">
        <v>467</v>
      </c>
      <c r="AB2" s="13" t="s">
        <v>468</v>
      </c>
      <c r="AC2" s="13" t="s">
        <v>469</v>
      </c>
      <c r="AD2" s="13" t="s">
        <v>470</v>
      </c>
      <c r="AE2" s="13" t="s">
        <v>471</v>
      </c>
      <c r="AF2" s="13" t="s">
        <v>424</v>
      </c>
      <c r="AG2" s="13" t="s">
        <v>472</v>
      </c>
      <c r="AH2" s="13" t="s">
        <v>473</v>
      </c>
      <c r="AI2" s="13" t="s">
        <v>474</v>
      </c>
      <c r="AJ2" s="13" t="s">
        <v>475</v>
      </c>
      <c r="AK2" s="13" t="s">
        <v>476</v>
      </c>
      <c r="AL2" s="13" t="s">
        <v>477</v>
      </c>
      <c r="AM2" s="13" t="s">
        <v>478</v>
      </c>
      <c r="AN2" s="13" t="s">
        <v>328</v>
      </c>
      <c r="AO2" s="13" t="s">
        <v>329</v>
      </c>
      <c r="AP2" s="13" t="s">
        <v>330</v>
      </c>
      <c r="AQ2" s="13" t="s">
        <v>331</v>
      </c>
      <c r="AR2" s="13" t="s">
        <v>332</v>
      </c>
      <c r="AS2" s="13" t="s">
        <v>333</v>
      </c>
      <c r="AT2" s="13" t="s">
        <v>334</v>
      </c>
    </row>
    <row r="3" spans="1:46" s="5" customFormat="1" ht="25.9" hidden="1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IF(Inicial!M3="SI",Inicial!E3,"N/A")</f>
        <v>N/A</v>
      </c>
      <c r="F3" s="52" t="str">
        <f>IF(Inicial!M3="SI",Inicial!F3,"N/A")</f>
        <v>N/A</v>
      </c>
      <c r="G3" s="52" t="str">
        <f>IF(Inicial!M3="SI",Inicial!G3,"N/A")</f>
        <v>N/A</v>
      </c>
      <c r="H3" s="52" t="str">
        <f>IF(Inicial!M3="SI",Inicial!H3,"N/A")</f>
        <v>N/A</v>
      </c>
      <c r="I3" s="54" t="str">
        <f>IF(Inicial!M3="SI",Inicial!I3,"N/A")</f>
        <v>N/A</v>
      </c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12" t="str" cm="1">
        <f t="array" ref="W3">IF(OR(M3:V3="NO"),"No aceptable","Aceptable")</f>
        <v>Aceptable</v>
      </c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3" t="str" cm="1">
        <f t="array" ref="AN3">IF(OR(AA3:AM3="SI"),"Critico","No Critico")</f>
        <v>No Critico</v>
      </c>
      <c r="AO3" s="1"/>
      <c r="AP3" s="1"/>
      <c r="AQ3" s="1"/>
      <c r="AR3" s="1"/>
      <c r="AS3" s="1"/>
      <c r="AT3" s="1"/>
    </row>
    <row r="4" spans="1:46" ht="25.9" hidden="1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IF(Inicial!M4="SI",Inicial!E4,"N/A")</f>
        <v>N/A</v>
      </c>
      <c r="F4" s="52" t="str">
        <f>IF(Inicial!M4="SI",Inicial!F4,"N/A")</f>
        <v>N/A</v>
      </c>
      <c r="G4" s="52" t="str">
        <f>IF(Inicial!M4="SI",Inicial!G4,"N/A")</f>
        <v>N/A</v>
      </c>
      <c r="H4" s="52" t="str">
        <f>IF(Inicial!M4="SI",Inicial!H4,"N/A")</f>
        <v>N/A</v>
      </c>
      <c r="I4" s="54" t="str">
        <f>IF(Inicial!M4="SI",Inicial!I4,"N/A")</f>
        <v>N/A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12" t="str" cm="1">
        <f t="array" ref="W4">IF(OR(M4:V4="NO"),"No aceptable","Aceptable")</f>
        <v>Aceptable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25.9" hidden="1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IF(Inicial!M5="SI",Inicial!E5,"N/A")</f>
        <v>N/A</v>
      </c>
      <c r="F5" s="52" t="str">
        <f>IF(Inicial!M5="SI",Inicial!F5,"N/A")</f>
        <v>N/A</v>
      </c>
      <c r="G5" s="52" t="str">
        <f>IF(Inicial!M5="SI",Inicial!G5,"N/A")</f>
        <v>N/A</v>
      </c>
      <c r="H5" s="52" t="str">
        <f>IF(Inicial!M5="SI",Inicial!H5,"N/A")</f>
        <v>N/A</v>
      </c>
      <c r="I5" s="54" t="str">
        <f>IF(Inicial!M5="SI",Inicial!I5,"N/A")</f>
        <v>N/A</v>
      </c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12" t="str" cm="1">
        <f t="array" ref="W5">IF(OR(M5:V5="NO"),"No aceptable","Aceptable")</f>
        <v>Aceptable</v>
      </c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25.9" hidden="1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IF(Inicial!M6="SI",Inicial!E6,"N/A")</f>
        <v>N/A</v>
      </c>
      <c r="F6" s="52" t="str">
        <f>IF(Inicial!M6="SI",Inicial!F6,"N/A")</f>
        <v>N/A</v>
      </c>
      <c r="G6" s="52" t="str">
        <f>IF(Inicial!M6="SI",Inicial!G6,"N/A")</f>
        <v>N/A</v>
      </c>
      <c r="H6" s="52" t="str">
        <f>IF(Inicial!M6="SI",Inicial!H6,"N/A")</f>
        <v>N/A</v>
      </c>
      <c r="I6" s="54" t="str">
        <f>IF(Inicial!M6="SI",Inicial!I6,"N/A")</f>
        <v>N/A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12" t="str" cm="1">
        <f t="array" ref="W6">IF(OR(M6:V6="NO"),"No aceptable","Aceptable")</f>
        <v>Aceptable</v>
      </c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3" t="str" cm="1">
        <f t="array" ref="AN6">IF(OR(AA6:AM6="SI"),"Critico","No Critico")</f>
        <v>No Critico</v>
      </c>
    </row>
    <row r="7" spans="1:46" ht="25.9" hidden="1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IF(Inicial!M7="SI",Inicial!E7,"N/A")</f>
        <v>N/A</v>
      </c>
      <c r="F7" s="52" t="str">
        <f>IF(Inicial!M7="SI",Inicial!F7,"N/A")</f>
        <v>N/A</v>
      </c>
      <c r="G7" s="52" t="str">
        <f>IF(Inicial!M7="SI",Inicial!G7,"N/A")</f>
        <v>N/A</v>
      </c>
      <c r="H7" s="52" t="str">
        <f>IF(Inicial!M7="SI",Inicial!H7,"N/A")</f>
        <v>N/A</v>
      </c>
      <c r="I7" s="54" t="str">
        <f>IF(Inicial!M7="SI",Inicial!I7,"N/A")</f>
        <v>N/A</v>
      </c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12" t="str" cm="1">
        <f t="array" ref="W7">IF(OR(M7:V7="NO"),"No aceptable","Aceptable")</f>
        <v>Aceptable</v>
      </c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3" t="str" cm="1">
        <f t="array" ref="AN7">IF(OR(AA7:AM7="SI"),"Critico","No Critico")</f>
        <v>No Critico</v>
      </c>
    </row>
    <row r="8" spans="1:46" ht="25.9" hidden="1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IF(Inicial!M8="SI",Inicial!E8,"N/A")</f>
        <v>N/A</v>
      </c>
      <c r="F8" s="52" t="str">
        <f>IF(Inicial!M8="SI",Inicial!F8,"N/A")</f>
        <v>N/A</v>
      </c>
      <c r="G8" s="52" t="str">
        <f>IF(Inicial!M8="SI",Inicial!G8,"N/A")</f>
        <v>N/A</v>
      </c>
      <c r="H8" s="52" t="str">
        <f>IF(Inicial!M8="SI",Inicial!H8,"N/A")</f>
        <v>N/A</v>
      </c>
      <c r="I8" s="54" t="str">
        <f>IF(Inicial!M8="SI",Inicial!I8,"N/A")</f>
        <v>N/A</v>
      </c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12" t="str" cm="1">
        <f t="array" ref="W8">IF(OR(M8:V8="NO"),"No aceptable","Aceptable")</f>
        <v>Aceptable</v>
      </c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3" t="str" cm="1">
        <f t="array" ref="AN8">IF(OR(AA8:AM8="SI"),"Critico","No Critico")</f>
        <v>No Critico</v>
      </c>
    </row>
    <row r="9" spans="1:46" ht="27.6" hidden="1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IF(Inicial!M9="SI",Inicial!E9,"N/A")</f>
        <v>N/A</v>
      </c>
      <c r="F9" s="52" t="str">
        <f>IF(Inicial!M9="SI",Inicial!F9,"N/A")</f>
        <v>N/A</v>
      </c>
      <c r="G9" s="52" t="str">
        <f>IF(Inicial!M9="SI",Inicial!G9,"N/A")</f>
        <v>N/A</v>
      </c>
      <c r="H9" s="52" t="str">
        <f>IF(Inicial!M9="SI",Inicial!H9,"N/A")</f>
        <v>N/A</v>
      </c>
      <c r="I9" s="54" t="str">
        <f>IF(Inicial!M9="SI",Inicial!I9,"N/A")</f>
        <v>N/A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12" t="str" cm="1">
        <f t="array" ref="W9">IF(OR(M9:V9="NO"),"No aceptable","Aceptable")</f>
        <v>Aceptable</v>
      </c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3" t="str" cm="1">
        <f t="array" ref="AN9">IF(OR(AA9:AM9="SI"),"Critico","No Critico")</f>
        <v>No Critico</v>
      </c>
    </row>
    <row r="10" spans="1:46" ht="27.6" hidden="1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IF(Inicial!M10="SI",Inicial!E10,"N/A")</f>
        <v>N/A</v>
      </c>
      <c r="F10" s="52" t="str">
        <f>IF(Inicial!M10="SI",Inicial!F10,"N/A")</f>
        <v>N/A</v>
      </c>
      <c r="G10" s="52" t="str">
        <f>IF(Inicial!M10="SI",Inicial!G10,"N/A")</f>
        <v>N/A</v>
      </c>
      <c r="H10" s="52" t="str">
        <f>IF(Inicial!M10="SI",Inicial!H10,"N/A")</f>
        <v>N/A</v>
      </c>
      <c r="I10" s="54" t="str">
        <f>IF(Inicial!M10="SI",Inicial!I10,"N/A")</f>
        <v>N/A</v>
      </c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12" t="str" cm="1">
        <f t="array" ref="W10">IF(OR(M10:V10="NO"),"No aceptable","Aceptable")</f>
        <v>Aceptable</v>
      </c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3" t="str" cm="1">
        <f t="array" ref="AN10">IF(OR(AA10:AM10="SI"),"Critico","No Critico")</f>
        <v>No Critico</v>
      </c>
    </row>
    <row r="11" spans="1:46" ht="27.6" hidden="1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IF(Inicial!M11="SI",Inicial!E11,"N/A")</f>
        <v>07:05 - 15:05 - 15:05 - 00:05</v>
      </c>
      <c r="F11" s="52" t="str">
        <f>IF(Inicial!M11="SI",Inicial!F11,"N/A")</f>
        <v>N/A</v>
      </c>
      <c r="G11" s="52">
        <f>IF(Inicial!M11="SI",Inicial!G11,"N/A")</f>
        <v>2</v>
      </c>
      <c r="H11" s="52">
        <f>IF(Inicial!M11="SI",Inicial!H11,"N/A")</f>
        <v>40</v>
      </c>
      <c r="I11" s="54">
        <f>IF(Inicial!M11="SI",Inicial!I11,"N/A")</f>
        <v>20</v>
      </c>
      <c r="J11" s="77" t="s">
        <v>115</v>
      </c>
      <c r="K11" s="77" t="s">
        <v>64</v>
      </c>
      <c r="L11" s="77" t="s">
        <v>64</v>
      </c>
      <c r="M11" s="77" t="s">
        <v>59</v>
      </c>
      <c r="N11" s="77" t="s">
        <v>64</v>
      </c>
      <c r="O11" s="77" t="s">
        <v>59</v>
      </c>
      <c r="P11" s="77" t="s">
        <v>59</v>
      </c>
      <c r="Q11" s="77" t="s">
        <v>59</v>
      </c>
      <c r="R11" s="77" t="s">
        <v>64</v>
      </c>
      <c r="S11" s="77" t="s">
        <v>64</v>
      </c>
      <c r="T11" s="77" t="s">
        <v>64</v>
      </c>
      <c r="U11" s="77" t="s">
        <v>64</v>
      </c>
      <c r="V11" s="77" t="s">
        <v>64</v>
      </c>
      <c r="W11" s="12" t="str" cm="1">
        <f t="array" ref="W11">IF(OR(M11:V11="NO"),"No aceptable","Aceptable")</f>
        <v>Aceptable</v>
      </c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3" t="str" cm="1">
        <f t="array" ref="AN11">IF(OR(AA11:AM11="SI"),"Critico","No Critico")</f>
        <v>No Critico</v>
      </c>
    </row>
    <row r="12" spans="1:46" ht="27.6" hidden="1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IF(Inicial!M12="SI",Inicial!E12,"N/A")</f>
        <v>07:05 - 15:05 - 15:05 - 00:05</v>
      </c>
      <c r="F12" s="52" t="str">
        <f>IF(Inicial!M12="SI",Inicial!F12,"N/A")</f>
        <v>N/A</v>
      </c>
      <c r="G12" s="52">
        <f>IF(Inicial!M12="SI",Inicial!G12,"N/A")</f>
        <v>2</v>
      </c>
      <c r="H12" s="52">
        <f>IF(Inicial!M12="SI",Inicial!H12,"N/A")</f>
        <v>40</v>
      </c>
      <c r="I12" s="54">
        <f>IF(Inicial!M12="SI",Inicial!I12,"N/A")</f>
        <v>20</v>
      </c>
      <c r="J12" s="77" t="s">
        <v>115</v>
      </c>
      <c r="K12" s="77" t="s">
        <v>64</v>
      </c>
      <c r="L12" s="77" t="s">
        <v>64</v>
      </c>
      <c r="M12" s="77" t="s">
        <v>64</v>
      </c>
      <c r="N12" s="77" t="s">
        <v>64</v>
      </c>
      <c r="O12" s="77" t="s">
        <v>64</v>
      </c>
      <c r="P12" s="77" t="s">
        <v>64</v>
      </c>
      <c r="Q12" s="77" t="s">
        <v>64</v>
      </c>
      <c r="R12" s="77" t="s">
        <v>64</v>
      </c>
      <c r="S12" s="77" t="s">
        <v>64</v>
      </c>
      <c r="T12" s="77" t="s">
        <v>64</v>
      </c>
      <c r="U12" s="77" t="s">
        <v>64</v>
      </c>
      <c r="V12" s="77" t="s">
        <v>64</v>
      </c>
      <c r="W12" s="12" t="str" cm="1">
        <f t="array" ref="W12">IF(OR(M12:V12="NO"),"No aceptable","Aceptable")</f>
        <v>Aceptable</v>
      </c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3" t="str" cm="1">
        <f t="array" ref="AN12">IF(OR(AA12:AM12="SI"),"Critico","No Critico")</f>
        <v>No Critico</v>
      </c>
    </row>
    <row r="13" spans="1:46" ht="27.6" hidden="1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IF(Inicial!M13="SI",Inicial!E13,"N/A")</f>
        <v>N/A</v>
      </c>
      <c r="F13" s="52" t="str">
        <f>IF(Inicial!M13="SI",Inicial!F13,"N/A")</f>
        <v>N/A</v>
      </c>
      <c r="G13" s="52" t="str">
        <f>IF(Inicial!M13="SI",Inicial!G13,"N/A")</f>
        <v>N/A</v>
      </c>
      <c r="H13" s="52" t="str">
        <f>IF(Inicial!M13="SI",Inicial!H13,"N/A")</f>
        <v>N/A</v>
      </c>
      <c r="I13" s="54" t="str">
        <f>IF(Inicial!M13="SI",Inicial!I13,"N/A")</f>
        <v>N/A</v>
      </c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12" t="str" cm="1">
        <f t="array" ref="W13">IF(OR(M13:V13="NO"),"No aceptable","Aceptable")</f>
        <v>Aceptable</v>
      </c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3" t="str" cm="1">
        <f t="array" ref="AN13">IF(OR(AA13:AM13="SI"),"Critico","No Critico")</f>
        <v>No Critico</v>
      </c>
    </row>
    <row r="14" spans="1:46" ht="27.6" hidden="1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IF(Inicial!M14="SI",Inicial!E14,"N/A")</f>
        <v>N/A</v>
      </c>
      <c r="F14" s="52" t="str">
        <f>IF(Inicial!M14="SI",Inicial!F14,"N/A")</f>
        <v>N/A</v>
      </c>
      <c r="G14" s="52" t="str">
        <f>IF(Inicial!M14="SI",Inicial!G14,"N/A")</f>
        <v>N/A</v>
      </c>
      <c r="H14" s="52" t="str">
        <f>IF(Inicial!M14="SI",Inicial!H14,"N/A")</f>
        <v>N/A</v>
      </c>
      <c r="I14" s="54" t="str">
        <f>IF(Inicial!M14="SI",Inicial!I14,"N/A")</f>
        <v>N/A</v>
      </c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12" t="str" cm="1">
        <f t="array" ref="W14">IF(OR(M14:V14="NO"),"No aceptable","Aceptable")</f>
        <v>Aceptable</v>
      </c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3" t="str" cm="1">
        <f t="array" ref="AN14">IF(OR(AA14:AM14="SI"),"Critico","No Critico")</f>
        <v>No Critico</v>
      </c>
    </row>
    <row r="15" spans="1:46" ht="27.6" hidden="1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IF(Inicial!M15="SI",Inicial!E15,"N/A")</f>
        <v>N/A</v>
      </c>
      <c r="F15" s="52" t="str">
        <f>IF(Inicial!M15="SI",Inicial!F15,"N/A")</f>
        <v>N/A</v>
      </c>
      <c r="G15" s="52" t="str">
        <f>IF(Inicial!M15="SI",Inicial!G15,"N/A")</f>
        <v>N/A</v>
      </c>
      <c r="H15" s="52" t="str">
        <f>IF(Inicial!M15="SI",Inicial!H15,"N/A")</f>
        <v>N/A</v>
      </c>
      <c r="I15" s="54" t="str">
        <f>IF(Inicial!M15="SI",Inicial!I15,"N/A")</f>
        <v>N/A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12" t="str" cm="1">
        <f t="array" ref="W15">IF(OR(M15:V15="NO"),"No aceptable","Aceptable")</f>
        <v>Aceptable</v>
      </c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3" t="str" cm="1">
        <f t="array" ref="AN15">IF(OR(AA15:AM15="SI"),"Critico","No Critico")</f>
        <v>No Critico</v>
      </c>
    </row>
    <row r="16" spans="1:46" ht="27.6" hidden="1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IF(Inicial!M16="SI",Inicial!E16,"N/A")</f>
        <v>N/A</v>
      </c>
      <c r="F16" s="52" t="str">
        <f>IF(Inicial!M16="SI",Inicial!F16,"N/A")</f>
        <v>N/A</v>
      </c>
      <c r="G16" s="52" t="str">
        <f>IF(Inicial!M16="SI",Inicial!G16,"N/A")</f>
        <v>N/A</v>
      </c>
      <c r="H16" s="52" t="str">
        <f>IF(Inicial!M16="SI",Inicial!H16,"N/A")</f>
        <v>N/A</v>
      </c>
      <c r="I16" s="54" t="str">
        <f>IF(Inicial!M16="SI",Inicial!I16,"N/A")</f>
        <v>N/A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12" t="str" cm="1">
        <f t="array" ref="W16">IF(OR(M16:V16="NO"),"No aceptable","Aceptable")</f>
        <v>Aceptable</v>
      </c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3" t="str" cm="1">
        <f t="array" ref="AN16">IF(OR(AA16:AM16="SI"),"Critico","No Critico")</f>
        <v>No Critico</v>
      </c>
    </row>
    <row r="17" spans="1:40" ht="27.6" hidden="1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IF(Inicial!M17="SI",Inicial!E17,"N/A")</f>
        <v>07:05 - 15:05 - 15:05 - 00:05</v>
      </c>
      <c r="F17" s="52" t="str">
        <f>IF(Inicial!M17="SI",Inicial!F17,"N/A")</f>
        <v>N/A</v>
      </c>
      <c r="G17" s="52">
        <f>IF(Inicial!M17="SI",Inicial!G17,"N/A")</f>
        <v>2</v>
      </c>
      <c r="H17" s="52">
        <f>IF(Inicial!M17="SI",Inicial!H17,"N/A")</f>
        <v>2</v>
      </c>
      <c r="I17" s="54">
        <f>IF(Inicial!M17="SI",Inicial!I17,"N/A")</f>
        <v>0</v>
      </c>
      <c r="J17" s="77" t="s">
        <v>115</v>
      </c>
      <c r="K17" s="77" t="s">
        <v>64</v>
      </c>
      <c r="L17" s="77" t="s">
        <v>64</v>
      </c>
      <c r="M17" s="77" t="s">
        <v>64</v>
      </c>
      <c r="N17" s="77" t="s">
        <v>64</v>
      </c>
      <c r="O17" s="77" t="s">
        <v>64</v>
      </c>
      <c r="P17" s="77" t="s">
        <v>64</v>
      </c>
      <c r="Q17" s="77" t="s">
        <v>64</v>
      </c>
      <c r="R17" s="77" t="s">
        <v>64</v>
      </c>
      <c r="S17" s="77" t="s">
        <v>64</v>
      </c>
      <c r="T17" s="77" t="s">
        <v>64</v>
      </c>
      <c r="U17" s="77" t="s">
        <v>64</v>
      </c>
      <c r="V17" s="77" t="s">
        <v>64</v>
      </c>
      <c r="W17" s="12" t="str" cm="1">
        <f t="array" ref="W17">IF(OR(M17:V17="NO"),"No aceptable","Aceptable")</f>
        <v>Aceptable</v>
      </c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3" t="str" cm="1">
        <f t="array" ref="AN17">IF(OR(AA17:AM17="SI"),"Critico","No Critico")</f>
        <v>No Critico</v>
      </c>
    </row>
    <row r="18" spans="1:40" ht="27.6" hidden="1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IF(Inicial!M18="SI",Inicial!E18,"N/A")</f>
        <v>N/A</v>
      </c>
      <c r="F18" s="52" t="str">
        <f>IF(Inicial!M18="SI",Inicial!F18,"N/A")</f>
        <v>N/A</v>
      </c>
      <c r="G18" s="52" t="str">
        <f>IF(Inicial!M18="SI",Inicial!G18,"N/A")</f>
        <v>N/A</v>
      </c>
      <c r="H18" s="52" t="str">
        <f>IF(Inicial!M18="SI",Inicial!H18,"N/A")</f>
        <v>N/A</v>
      </c>
      <c r="I18" s="54" t="str">
        <f>IF(Inicial!M18="SI",Inicial!I18,"N/A")</f>
        <v>N/A</v>
      </c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12" t="str" cm="1">
        <f t="array" ref="W18">IF(OR(M18:V18="NO"),"No aceptable","Aceptable")</f>
        <v>Aceptable</v>
      </c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3" t="str" cm="1">
        <f t="array" ref="AN18">IF(OR(AA18:AM18="SI"),"Critico","No Critico")</f>
        <v>No Critico</v>
      </c>
    </row>
    <row r="19" spans="1:40" ht="27.6" hidden="1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IF(Inicial!M19="SI",Inicial!E19,"N/A")</f>
        <v>N/A</v>
      </c>
      <c r="F19" s="52" t="str">
        <f>IF(Inicial!M19="SI",Inicial!F19,"N/A")</f>
        <v>N/A</v>
      </c>
      <c r="G19" s="52" t="str">
        <f>IF(Inicial!M19="SI",Inicial!G19,"N/A")</f>
        <v>N/A</v>
      </c>
      <c r="H19" s="52" t="str">
        <f>IF(Inicial!M19="SI",Inicial!H19,"N/A")</f>
        <v>N/A</v>
      </c>
      <c r="I19" s="54" t="str">
        <f>IF(Inicial!M19="SI",Inicial!I19,"N/A")</f>
        <v>N/A</v>
      </c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12" t="str" cm="1">
        <f t="array" ref="W19">IF(OR(M19:V19="NO"),"No aceptable","Aceptable")</f>
        <v>Aceptable</v>
      </c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3" t="str" cm="1">
        <f t="array" ref="AN19">IF(OR(AA19:AM19="SI"),"Critico","No Critico")</f>
        <v>No Critico</v>
      </c>
    </row>
    <row r="20" spans="1:40" ht="27.6" hidden="1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IF(Inicial!M20="SI",Inicial!E20,"N/A")</f>
        <v>N/A</v>
      </c>
      <c r="F20" s="52" t="str">
        <f>IF(Inicial!M20="SI",Inicial!F20,"N/A")</f>
        <v>N/A</v>
      </c>
      <c r="G20" s="52" t="str">
        <f>IF(Inicial!M20="SI",Inicial!G20,"N/A")</f>
        <v>N/A</v>
      </c>
      <c r="H20" s="52" t="str">
        <f>IF(Inicial!M20="SI",Inicial!H20,"N/A")</f>
        <v>N/A</v>
      </c>
      <c r="I20" s="54" t="str">
        <f>IF(Inicial!M20="SI",Inicial!I20,"N/A")</f>
        <v>N/A</v>
      </c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12" t="str" cm="1">
        <f t="array" ref="W20">IF(OR(M20:V20="NO"),"No aceptable","Aceptable")</f>
        <v>Aceptable</v>
      </c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3" t="str" cm="1">
        <f t="array" ref="AN20">IF(OR(AA20:AM20="SI"),"Critico","No Critico")</f>
        <v>No Critico</v>
      </c>
    </row>
    <row r="21" spans="1:40" ht="27.6" hidden="1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IF(Inicial!M21="SI",Inicial!E21,"N/A")</f>
        <v>07:20 - 15:30 / 15:30 - 01:05</v>
      </c>
      <c r="F21" s="52" t="str">
        <f>IF(Inicial!M21="SI",Inicial!F21,"N/A")</f>
        <v>N/A</v>
      </c>
      <c r="G21" s="52">
        <f>IF(Inicial!M21="SI",Inicial!G21,"N/A")</f>
        <v>2</v>
      </c>
      <c r="H21" s="52">
        <f>IF(Inicial!M21="SI",Inicial!H21,"N/A")</f>
        <v>36</v>
      </c>
      <c r="I21" s="54">
        <f>IF(Inicial!M21="SI",Inicial!I21,"N/A")</f>
        <v>0</v>
      </c>
      <c r="J21" s="77" t="s">
        <v>115</v>
      </c>
      <c r="K21" s="77" t="s">
        <v>64</v>
      </c>
      <c r="L21" s="77" t="s">
        <v>64</v>
      </c>
      <c r="M21" s="77" t="s">
        <v>64</v>
      </c>
      <c r="N21" s="77" t="s">
        <v>64</v>
      </c>
      <c r="O21" s="77" t="s">
        <v>64</v>
      </c>
      <c r="P21" s="77" t="s">
        <v>64</v>
      </c>
      <c r="Q21" s="77" t="s">
        <v>64</v>
      </c>
      <c r="R21" s="77" t="s">
        <v>64</v>
      </c>
      <c r="S21" s="77" t="s">
        <v>64</v>
      </c>
      <c r="T21" s="77" t="s">
        <v>64</v>
      </c>
      <c r="U21" s="77" t="s">
        <v>64</v>
      </c>
      <c r="V21" s="77" t="s">
        <v>64</v>
      </c>
      <c r="W21" s="12" t="str" cm="1">
        <f t="array" ref="W21">IF(OR(M21:V21="NO"),"No aceptable","Aceptable")</f>
        <v>Aceptable</v>
      </c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3" t="str" cm="1">
        <f t="array" ref="AN21">IF(OR(AA21:AM21="SI"),"Critico","No Critico")</f>
        <v>No Critico</v>
      </c>
    </row>
    <row r="22" spans="1:40" ht="27.6" hidden="1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IF(Inicial!M22="SI",Inicial!E22,"N/A")</f>
        <v>N/A</v>
      </c>
      <c r="F22" s="52" t="str">
        <f>IF(Inicial!M22="SI",Inicial!F22,"N/A")</f>
        <v>N/A</v>
      </c>
      <c r="G22" s="52" t="str">
        <f>IF(Inicial!M22="SI",Inicial!G22,"N/A")</f>
        <v>N/A</v>
      </c>
      <c r="H22" s="52" t="str">
        <f>IF(Inicial!M22="SI",Inicial!H22,"N/A")</f>
        <v>N/A</v>
      </c>
      <c r="I22" s="54" t="str">
        <f>IF(Inicial!M22="SI",Inicial!I22,"N/A")</f>
        <v>N/A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12" t="str" cm="1">
        <f t="array" ref="W22">IF(OR(M22:V22="NO"),"No aceptable","Aceptable")</f>
        <v>Aceptable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3" t="str" cm="1">
        <f t="array" ref="AN22">IF(OR(AA22:AM22="SI"),"Critico","No Critico")</f>
        <v>No Critico</v>
      </c>
    </row>
    <row r="23" spans="1:40" ht="41.45" hidden="1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IF(Inicial!M23="SI",Inicial!E23,"N/A")</f>
        <v>N/A</v>
      </c>
      <c r="F23" s="52" t="str">
        <f>IF(Inicial!M23="SI",Inicial!F23,"N/A")</f>
        <v>N/A</v>
      </c>
      <c r="G23" s="52" t="str">
        <f>IF(Inicial!M23="SI",Inicial!G23,"N/A")</f>
        <v>N/A</v>
      </c>
      <c r="H23" s="52" t="str">
        <f>IF(Inicial!M23="SI",Inicial!H23,"N/A")</f>
        <v>N/A</v>
      </c>
      <c r="I23" s="54" t="str">
        <f>IF(Inicial!M23="SI",Inicial!I23,"N/A")</f>
        <v>N/A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2" t="str" cm="1">
        <f t="array" ref="W23">IF(OR(M23:V23="NO"),"No aceptable","Aceptable")</f>
        <v>Aceptable</v>
      </c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3" t="str" cm="1">
        <f t="array" ref="AN23">IF(OR(AA23:AM23="SI"),"Critico","No Critico")</f>
        <v>No Critico</v>
      </c>
    </row>
    <row r="24" spans="1:40" hidden="1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54" t="e">
        <f>IF(Inicial!#REF!="SI",Inicial!#REF!,"N/A")</f>
        <v>#REF!</v>
      </c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12" t="str" cm="1">
        <f t="array" ref="W24">IF(OR(M24:V24="NO"),"No aceptable","Aceptable")</f>
        <v>Aceptable</v>
      </c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3" t="str" cm="1">
        <f t="array" ref="AN24">IF(OR(AA24:AM24="SI"),"Critico","No Critico")</f>
        <v>No Critico</v>
      </c>
    </row>
    <row r="25" spans="1:40" ht="27.6" hidden="1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IF(Inicial!M24="SI",Inicial!E24,"N/A")</f>
        <v>07:20 - 15:30 / 15:30 - 01:05</v>
      </c>
      <c r="F25" s="52" t="str">
        <f>IF(Inicial!M24="SI",Inicial!F24,"N/A")</f>
        <v>N/A</v>
      </c>
      <c r="G25" s="52">
        <f>IF(Inicial!M24="SI",Inicial!G24,"N/A")</f>
        <v>2</v>
      </c>
      <c r="H25" s="52">
        <f>IF(Inicial!M24="SI",Inicial!H24,"N/A")</f>
        <v>36</v>
      </c>
      <c r="I25" s="54">
        <f>IF(Inicial!M24="SI",Inicial!I24,"N/A")</f>
        <v>52</v>
      </c>
      <c r="J25" s="77" t="s">
        <v>115</v>
      </c>
      <c r="K25" s="77" t="s">
        <v>64</v>
      </c>
      <c r="L25" s="77" t="s">
        <v>64</v>
      </c>
      <c r="M25" s="77" t="s">
        <v>64</v>
      </c>
      <c r="N25" s="77" t="s">
        <v>64</v>
      </c>
      <c r="O25" s="77" t="s">
        <v>64</v>
      </c>
      <c r="P25" s="77" t="s">
        <v>64</v>
      </c>
      <c r="Q25" s="77" t="s">
        <v>64</v>
      </c>
      <c r="R25" s="77" t="s">
        <v>64</v>
      </c>
      <c r="S25" s="77" t="s">
        <v>64</v>
      </c>
      <c r="T25" s="77" t="s">
        <v>64</v>
      </c>
      <c r="U25" s="77" t="s">
        <v>64</v>
      </c>
      <c r="V25" s="77" t="s">
        <v>64</v>
      </c>
      <c r="W25" s="12" t="str" cm="1">
        <f t="array" ref="W25">IF(OR(M25:V25="NO"),"No aceptable","Aceptable")</f>
        <v>Aceptable</v>
      </c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3" t="str" cm="1">
        <f t="array" ref="AN25">IF(OR(AA25:AM25="SI"),"Critico","No Critico")</f>
        <v>No Critico</v>
      </c>
    </row>
    <row r="26" spans="1:40" ht="27.6" hidden="1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IF(Inicial!M25="SI",Inicial!E25,"N/A")</f>
        <v>07:00 - 15:00 / 16:00 - 01:05</v>
      </c>
      <c r="F26" s="52" t="str">
        <f>IF(Inicial!M25="SI",Inicial!F25,"N/A")</f>
        <v>N/A</v>
      </c>
      <c r="G26" s="52">
        <f>IF(Inicial!M25="SI",Inicial!G25,"N/A")</f>
        <v>2</v>
      </c>
      <c r="H26" s="52">
        <f>IF(Inicial!M25="SI",Inicial!H25,"N/A")</f>
        <v>36</v>
      </c>
      <c r="I26" s="54">
        <f>IF(Inicial!M25="SI",Inicial!I25,"N/A")</f>
        <v>52</v>
      </c>
      <c r="J26" s="77" t="s">
        <v>115</v>
      </c>
      <c r="K26" s="77" t="s">
        <v>64</v>
      </c>
      <c r="L26" s="77" t="s">
        <v>64</v>
      </c>
      <c r="M26" s="77" t="s">
        <v>64</v>
      </c>
      <c r="N26" s="77" t="s">
        <v>64</v>
      </c>
      <c r="O26" s="77" t="s">
        <v>64</v>
      </c>
      <c r="P26" s="77" t="s">
        <v>64</v>
      </c>
      <c r="Q26" s="77" t="s">
        <v>64</v>
      </c>
      <c r="R26" s="77" t="s">
        <v>64</v>
      </c>
      <c r="S26" s="77" t="s">
        <v>64</v>
      </c>
      <c r="T26" s="77" t="s">
        <v>64</v>
      </c>
      <c r="U26" s="77" t="s">
        <v>64</v>
      </c>
      <c r="V26" s="77" t="s">
        <v>64</v>
      </c>
      <c r="W26" s="12" t="str" cm="1">
        <f t="array" ref="W26">IF(OR(M26:V26="NO"),"No aceptable","Aceptable")</f>
        <v>Aceptable</v>
      </c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3" t="str" cm="1">
        <f t="array" ref="AN26">IF(OR(AA26:AM26="SI"),"Critico","No Critico")</f>
        <v>No Critico</v>
      </c>
    </row>
    <row r="27" spans="1:40" ht="27.6" hidden="1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IF(Inicial!M26="SI",Inicial!E26,"N/A")</f>
        <v>07:20 - 15:30 / 15:30 - 01:05</v>
      </c>
      <c r="F27" s="52" t="str">
        <f>IF(Inicial!M26="SI",Inicial!F26,"N/A")</f>
        <v>N/A</v>
      </c>
      <c r="G27" s="52">
        <f>IF(Inicial!M26="SI",Inicial!G26,"N/A")</f>
        <v>2</v>
      </c>
      <c r="H27" s="52">
        <f>IF(Inicial!M26="SI",Inicial!H26,"N/A")</f>
        <v>36</v>
      </c>
      <c r="I27" s="54">
        <f>IF(Inicial!M26="SI",Inicial!I26,"N/A")</f>
        <v>0</v>
      </c>
      <c r="J27" s="77" t="s">
        <v>115</v>
      </c>
      <c r="K27" s="77" t="s">
        <v>64</v>
      </c>
      <c r="L27" s="77" t="s">
        <v>64</v>
      </c>
      <c r="M27" s="77" t="s">
        <v>59</v>
      </c>
      <c r="N27" s="77" t="s">
        <v>64</v>
      </c>
      <c r="O27" s="77" t="s">
        <v>59</v>
      </c>
      <c r="P27" s="77" t="s">
        <v>64</v>
      </c>
      <c r="Q27" s="77" t="s">
        <v>64</v>
      </c>
      <c r="R27" s="77" t="s">
        <v>115</v>
      </c>
      <c r="S27" s="77" t="s">
        <v>64</v>
      </c>
      <c r="T27" s="77" t="s">
        <v>64</v>
      </c>
      <c r="U27" s="77" t="s">
        <v>64</v>
      </c>
      <c r="V27" s="77" t="s">
        <v>64</v>
      </c>
      <c r="W27" s="12" t="str" cm="1">
        <f t="array" ref="W27">IF(OR(M27:V27="NO"),"No aceptable","Aceptable")</f>
        <v>No aceptable</v>
      </c>
      <c r="X27" s="77" t="s">
        <v>115</v>
      </c>
      <c r="Y27" s="77" t="s">
        <v>115</v>
      </c>
      <c r="Z27" s="77" t="s">
        <v>115</v>
      </c>
      <c r="AA27" s="77" t="s">
        <v>115</v>
      </c>
      <c r="AB27" s="77" t="s">
        <v>115</v>
      </c>
      <c r="AC27" s="77" t="s">
        <v>115</v>
      </c>
      <c r="AD27" s="77" t="s">
        <v>115</v>
      </c>
      <c r="AE27" s="77" t="s">
        <v>115</v>
      </c>
      <c r="AF27" s="77" t="s">
        <v>115</v>
      </c>
      <c r="AG27" s="77" t="s">
        <v>115</v>
      </c>
      <c r="AH27" s="77" t="s">
        <v>115</v>
      </c>
      <c r="AI27" s="77" t="s">
        <v>115</v>
      </c>
      <c r="AJ27" s="77" t="s">
        <v>115</v>
      </c>
      <c r="AK27" s="77" t="s">
        <v>115</v>
      </c>
      <c r="AL27" s="77" t="s">
        <v>115</v>
      </c>
      <c r="AM27" s="77" t="s">
        <v>115</v>
      </c>
      <c r="AN27" s="3" t="str" cm="1">
        <f t="array" ref="AN27">IF(OR(AA27:AM27="SI"),"Critico","No Critico")</f>
        <v>No Critico</v>
      </c>
    </row>
    <row r="28" spans="1:40" ht="27.6" hidden="1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IF(Inicial!M27="SI",Inicial!E27,"N/A")</f>
        <v>07:20 - 15:30 / 15:30 - 01:05</v>
      </c>
      <c r="F28" s="52" t="str">
        <f>IF(Inicial!M27="SI",Inicial!F27,"N/A")</f>
        <v>N/A</v>
      </c>
      <c r="G28" s="52">
        <f>IF(Inicial!M27="SI",Inicial!G27,"N/A")</f>
        <v>2</v>
      </c>
      <c r="H28" s="52">
        <f>IF(Inicial!M27="SI",Inicial!H27,"N/A")</f>
        <v>36</v>
      </c>
      <c r="I28" s="54">
        <f>IF(Inicial!M27="SI",Inicial!I27,"N/A")</f>
        <v>0</v>
      </c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2" t="str" cm="1">
        <f t="array" ref="W28">IF(OR(M28:V28="NO"),"No aceptable","Aceptable")</f>
        <v>Aceptable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3" t="str" cm="1">
        <f t="array" ref="AN28">IF(OR(AA28:AM28="SI"),"Critico","No Critico")</f>
        <v>No Critico</v>
      </c>
    </row>
    <row r="29" spans="1:40" hidden="1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 t="str">
        <f>IF(Inicial!M28="SI",Inicial!E28,"N/A")</f>
        <v>N/A</v>
      </c>
      <c r="F29" s="52" t="str">
        <f>IF(Inicial!M28="SI",Inicial!F28,"N/A")</f>
        <v>N/A</v>
      </c>
      <c r="G29" s="52" t="str">
        <f>IF(Inicial!M28="SI",Inicial!G28,"N/A")</f>
        <v>N/A</v>
      </c>
      <c r="H29" s="52" t="str">
        <f>IF(Inicial!M28="SI",Inicial!H28,"N/A")</f>
        <v>N/A</v>
      </c>
      <c r="I29" s="54" t="str">
        <f>IF(Inicial!M28="SI",Inicial!I28,"N/A")</f>
        <v>N/A</v>
      </c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2" t="str" cm="1">
        <f t="array" ref="W29">IF(OR(M29:V29="NO"),"No aceptable","Aceptable")</f>
        <v>Aceptable</v>
      </c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3" t="str" cm="1">
        <f t="array" ref="AN29">IF(OR(AA29:AM29="SI"),"Critico","No Critico")</f>
        <v>No Critico</v>
      </c>
    </row>
    <row r="30" spans="1:40" hidden="1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 t="str">
        <f>IF(Inicial!M29="SI",Inicial!E29,"N/A")</f>
        <v>N/A</v>
      </c>
      <c r="F30" s="52" t="str">
        <f>IF(Inicial!M29="SI",Inicial!F29,"N/A")</f>
        <v>N/A</v>
      </c>
      <c r="G30" s="52" t="str">
        <f>IF(Inicial!M29="SI",Inicial!G29,"N/A")</f>
        <v>N/A</v>
      </c>
      <c r="H30" s="52" t="str">
        <f>IF(Inicial!M29="SI",Inicial!H29,"N/A")</f>
        <v>N/A</v>
      </c>
      <c r="I30" s="54" t="str">
        <f>IF(Inicial!M29="SI",Inicial!I29,"N/A")</f>
        <v>N/A</v>
      </c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12" t="str" cm="1">
        <f t="array" ref="W30">IF(OR(M30:V30="NO"),"No aceptable","Aceptable")</f>
        <v>Aceptable</v>
      </c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3" t="str" cm="1">
        <f t="array" ref="AN30">IF(OR(AA30:AM30="SI"),"Critico","No Critico")</f>
        <v>No Critico</v>
      </c>
    </row>
    <row r="31" spans="1:40" hidden="1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 t="str">
        <f>IF(Inicial!M30="SI",Inicial!E30,"N/A")</f>
        <v>N/A</v>
      </c>
      <c r="F31" s="52" t="str">
        <f>IF(Inicial!M30="SI",Inicial!F30,"N/A")</f>
        <v>N/A</v>
      </c>
      <c r="G31" s="52" t="str">
        <f>IF(Inicial!M30="SI",Inicial!G30,"N/A")</f>
        <v>N/A</v>
      </c>
      <c r="H31" s="52" t="str">
        <f>IF(Inicial!M30="SI",Inicial!H30,"N/A")</f>
        <v>N/A</v>
      </c>
      <c r="I31" s="54" t="str">
        <f>IF(Inicial!M30="SI",Inicial!I30,"N/A")</f>
        <v>N/A</v>
      </c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12" t="str" cm="1">
        <f t="array" ref="W31">IF(OR(M31:V31="NO"),"No aceptable","Aceptable")</f>
        <v>Aceptable</v>
      </c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3" t="str" cm="1">
        <f t="array" ref="AN31">IF(OR(AA31:AM31="SI"),"Critico","No Critico")</f>
        <v>No Critico</v>
      </c>
    </row>
    <row r="32" spans="1:40" hidden="1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 t="str">
        <f>IF(Inicial!M31="SI",Inicial!E31,"N/A")</f>
        <v>N/A</v>
      </c>
      <c r="F32" s="52" t="str">
        <f>IF(Inicial!M31="SI",Inicial!F31,"N/A")</f>
        <v>N/A</v>
      </c>
      <c r="G32" s="52" t="str">
        <f>IF(Inicial!M31="SI",Inicial!G31,"N/A")</f>
        <v>N/A</v>
      </c>
      <c r="H32" s="52" t="str">
        <f>IF(Inicial!M31="SI",Inicial!H31,"N/A")</f>
        <v>N/A</v>
      </c>
      <c r="I32" s="54" t="str">
        <f>IF(Inicial!M31="SI",Inicial!I31,"N/A")</f>
        <v>N/A</v>
      </c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12" t="str" cm="1">
        <f t="array" ref="W32">IF(OR(M32:V32="NO"),"No aceptable","Aceptable")</f>
        <v>Aceptable</v>
      </c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3" t="str" cm="1">
        <f t="array" ref="AN32">IF(OR(AA32:AM32="SI"),"Critico","No Critico")</f>
        <v>No Critico</v>
      </c>
    </row>
    <row r="33" spans="1:40" hidden="1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>
        <f>IF(Inicial!M32="SI",Inicial!E32,"N/A")</f>
        <v>0</v>
      </c>
      <c r="F33" s="52" t="str">
        <f>IF(Inicial!M32="SI",Inicial!F32,"N/A")</f>
        <v>N/A</v>
      </c>
      <c r="G33" s="52">
        <f>IF(Inicial!M32="SI",Inicial!G32,"N/A")</f>
        <v>2</v>
      </c>
      <c r="H33" s="52">
        <f>IF(Inicial!M32="SI",Inicial!H32,"N/A")</f>
        <v>32</v>
      </c>
      <c r="I33" s="54">
        <f>IF(Inicial!M32="SI",Inicial!I32,"N/A")</f>
        <v>20</v>
      </c>
      <c r="J33" s="77" t="s">
        <v>115</v>
      </c>
      <c r="K33" s="77" t="s">
        <v>64</v>
      </c>
      <c r="L33" s="77" t="s">
        <v>64</v>
      </c>
      <c r="M33" s="77" t="s">
        <v>64</v>
      </c>
      <c r="N33" s="77" t="s">
        <v>64</v>
      </c>
      <c r="O33" s="77" t="s">
        <v>64</v>
      </c>
      <c r="P33" s="77" t="s">
        <v>64</v>
      </c>
      <c r="Q33" s="77" t="s">
        <v>64</v>
      </c>
      <c r="R33" s="77" t="s">
        <v>64</v>
      </c>
      <c r="S33" s="77" t="s">
        <v>64</v>
      </c>
      <c r="T33" s="77" t="s">
        <v>64</v>
      </c>
      <c r="U33" s="77" t="s">
        <v>64</v>
      </c>
      <c r="V33" s="77" t="s">
        <v>64</v>
      </c>
      <c r="W33" s="12" t="str" cm="1">
        <f t="array" ref="W33">IF(OR(M33:V33="NO"),"No aceptable","Aceptable")</f>
        <v>Aceptable</v>
      </c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3" t="str" cm="1">
        <f t="array" ref="AN33">IF(OR(AA33:AM33="SI"),"Critico","No Critico")</f>
        <v>No Critico</v>
      </c>
    </row>
    <row r="34" spans="1:40" ht="27.6" hidden="1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>
        <f>IF(Inicial!M33="SI",Inicial!E33,"N/A")</f>
        <v>0</v>
      </c>
      <c r="F34" s="52" t="str">
        <f>IF(Inicial!M33="SI",Inicial!F33,"N/A")</f>
        <v>N/A</v>
      </c>
      <c r="G34" s="52">
        <f>IF(Inicial!M33="SI",Inicial!G33,"N/A")</f>
        <v>3</v>
      </c>
      <c r="H34" s="52">
        <f>IF(Inicial!M33="SI",Inicial!H33,"N/A")</f>
        <v>32</v>
      </c>
      <c r="I34" s="54">
        <f>IF(Inicial!M33="SI",Inicial!I33,"N/A")</f>
        <v>20</v>
      </c>
      <c r="J34" s="77" t="s">
        <v>115</v>
      </c>
      <c r="K34" s="77" t="s">
        <v>64</v>
      </c>
      <c r="L34" s="77" t="s">
        <v>64</v>
      </c>
      <c r="M34" s="77" t="s">
        <v>64</v>
      </c>
      <c r="N34" s="77" t="s">
        <v>64</v>
      </c>
      <c r="O34" s="77" t="s">
        <v>64</v>
      </c>
      <c r="P34" s="77" t="s">
        <v>64</v>
      </c>
      <c r="Q34" s="77" t="s">
        <v>64</v>
      </c>
      <c r="R34" s="77" t="s">
        <v>64</v>
      </c>
      <c r="S34" s="77" t="s">
        <v>64</v>
      </c>
      <c r="T34" s="77" t="s">
        <v>64</v>
      </c>
      <c r="U34" s="77" t="s">
        <v>64</v>
      </c>
      <c r="V34" s="77" t="s">
        <v>64</v>
      </c>
      <c r="W34" s="12" t="str" cm="1">
        <f t="array" ref="W34">IF(OR(M34:V34="NO"),"No aceptable","Aceptable")</f>
        <v>Aceptable</v>
      </c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3" t="str" cm="1">
        <f t="array" ref="AN34">IF(OR(AA34:AM34="SI"),"Critico","No Critico")</f>
        <v>No Critico</v>
      </c>
    </row>
    <row r="35" spans="1:40" hidden="1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IF(Inicial!M34="SI",Inicial!E34,"N/A")</f>
        <v>N/A</v>
      </c>
      <c r="F35" s="52" t="str">
        <f>IF(Inicial!M34="SI",Inicial!F34,"N/A")</f>
        <v>N/A</v>
      </c>
      <c r="G35" s="52" t="str">
        <f>IF(Inicial!M34="SI",Inicial!G34,"N/A")</f>
        <v>N/A</v>
      </c>
      <c r="H35" s="52" t="str">
        <f>IF(Inicial!M34="SI",Inicial!H34,"N/A")</f>
        <v>N/A</v>
      </c>
      <c r="I35" s="54" t="str">
        <f>IF(Inicial!M34="SI",Inicial!I34,"N/A")</f>
        <v>N/A</v>
      </c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12" t="str" cm="1">
        <f t="array" ref="W35">IF(OR(M35:V35="NO"),"No aceptable","Aceptable")</f>
        <v>Aceptable</v>
      </c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3" t="str" cm="1">
        <f t="array" ref="AN35">IF(OR(AA35:AM35="SI"),"Critico","No Critico")</f>
        <v>No Critico</v>
      </c>
    </row>
    <row r="36" spans="1:40" ht="27.6" hidden="1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IF(Inicial!M35="SI",Inicial!E35,"N/A")</f>
        <v>N/A</v>
      </c>
      <c r="F36" s="52" t="str">
        <f>IF(Inicial!M35="SI",Inicial!F35,"N/A")</f>
        <v>N/A</v>
      </c>
      <c r="G36" s="52" t="str">
        <f>IF(Inicial!M35="SI",Inicial!G35,"N/A")</f>
        <v>N/A</v>
      </c>
      <c r="H36" s="52" t="str">
        <f>IF(Inicial!M35="SI",Inicial!H35,"N/A")</f>
        <v>N/A</v>
      </c>
      <c r="I36" s="54" t="str">
        <f>IF(Inicial!M35="SI",Inicial!I35,"N/A")</f>
        <v>N/A</v>
      </c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12" t="str" cm="1">
        <f t="array" ref="W36">IF(OR(M36:V36="NO"),"No aceptable","Aceptable")</f>
        <v>Aceptable</v>
      </c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3" t="str" cm="1">
        <f t="array" ref="AN36">IF(OR(AA36:AM36="SI"),"Critico","No Critico")</f>
        <v>No Critico</v>
      </c>
    </row>
    <row r="37" spans="1:40" ht="27.6" hidden="1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IF(Inicial!M36="SI",Inicial!E36,"N/A")</f>
        <v>06:45 - 15:55 / 14:55 - 00:20</v>
      </c>
      <c r="F37" s="52" t="str">
        <f>IF(Inicial!M36="SI",Inicial!F36,"N/A")</f>
        <v>N/A</v>
      </c>
      <c r="G37" s="52">
        <f>IF(Inicial!M36="SI",Inicial!G36,"N/A")</f>
        <v>2</v>
      </c>
      <c r="H37" s="52">
        <f>IF(Inicial!M36="SI",Inicial!H36,"N/A")</f>
        <v>13</v>
      </c>
      <c r="I37" s="54">
        <f>IF(Inicial!M36="SI",Inicial!I36,"N/A")</f>
        <v>1</v>
      </c>
      <c r="J37" s="77" t="s">
        <v>115</v>
      </c>
      <c r="K37" s="77" t="s">
        <v>64</v>
      </c>
      <c r="L37" s="77" t="s">
        <v>64</v>
      </c>
      <c r="M37" s="77" t="s">
        <v>59</v>
      </c>
      <c r="N37" s="77" t="s">
        <v>64</v>
      </c>
      <c r="O37" s="77" t="s">
        <v>59</v>
      </c>
      <c r="P37" s="77" t="s">
        <v>59</v>
      </c>
      <c r="Q37" s="77" t="s">
        <v>59</v>
      </c>
      <c r="R37" s="77" t="s">
        <v>64</v>
      </c>
      <c r="S37" s="77" t="s">
        <v>64</v>
      </c>
      <c r="T37" s="77" t="s">
        <v>64</v>
      </c>
      <c r="U37" s="77" t="s">
        <v>64</v>
      </c>
      <c r="V37" s="77" t="s">
        <v>64</v>
      </c>
      <c r="W37" s="12" t="str" cm="1">
        <f t="array" ref="W37">IF(OR(M37:V37="NO"),"No aceptable","Aceptable")</f>
        <v>Aceptable</v>
      </c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3" t="str" cm="1">
        <f t="array" ref="AN37">IF(OR(AA37:AM37="SI"),"Critico","No Critico")</f>
        <v>No Critico</v>
      </c>
    </row>
    <row r="38" spans="1:40" ht="27.6" hidden="1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IF(Inicial!M37="SI",Inicial!E37,"N/A")</f>
        <v>N/A</v>
      </c>
      <c r="F38" s="52" t="str">
        <f>IF(Inicial!M37="SI",Inicial!F37,"N/A")</f>
        <v>N/A</v>
      </c>
      <c r="G38" s="52" t="str">
        <f>IF(Inicial!M37="SI",Inicial!G37,"N/A")</f>
        <v>N/A</v>
      </c>
      <c r="H38" s="52" t="str">
        <f>IF(Inicial!M37="SI",Inicial!H37,"N/A")</f>
        <v>N/A</v>
      </c>
      <c r="I38" s="54" t="str">
        <f>IF(Inicial!M37="SI",Inicial!I37,"N/A")</f>
        <v>N/A</v>
      </c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12" t="str" cm="1">
        <f t="array" ref="W38">IF(OR(M38:V38="NO"),"No aceptable","Aceptable")</f>
        <v>Aceptable</v>
      </c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3" t="str" cm="1">
        <f t="array" ref="AN38">IF(OR(AA38:AM38="SI"),"Critico","No Critico")</f>
        <v>No Critico</v>
      </c>
    </row>
    <row r="39" spans="1:40" ht="27.6" hidden="1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IF(Inicial!M38="SI",Inicial!E38,"N/A")</f>
        <v>N/A</v>
      </c>
      <c r="F39" s="52" t="str">
        <f>IF(Inicial!M38="SI",Inicial!F38,"N/A")</f>
        <v>N/A</v>
      </c>
      <c r="G39" s="52" t="str">
        <f>IF(Inicial!M38="SI",Inicial!G38,"N/A")</f>
        <v>N/A</v>
      </c>
      <c r="H39" s="52" t="str">
        <f>IF(Inicial!M38="SI",Inicial!H38,"N/A")</f>
        <v>N/A</v>
      </c>
      <c r="I39" s="54" t="str">
        <f>IF(Inicial!M38="SI",Inicial!I38,"N/A")</f>
        <v>N/A</v>
      </c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12" t="str" cm="1">
        <f t="array" ref="W39">IF(OR(M39:V39="NO"),"No aceptable","Aceptable")</f>
        <v>Aceptable</v>
      </c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3" t="str" cm="1">
        <f t="array" ref="AN39">IF(OR(AA39:AM39="SI"),"Critico","No Critico")</f>
        <v>No Critico</v>
      </c>
    </row>
    <row r="40" spans="1:40" ht="27.6" hidden="1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IF(Inicial!M39="SI",Inicial!E39,"N/A")</f>
        <v>N/A</v>
      </c>
      <c r="F40" s="52" t="str">
        <f>IF(Inicial!M39="SI",Inicial!F39,"N/A")</f>
        <v>N/A</v>
      </c>
      <c r="G40" s="52" t="str">
        <f>IF(Inicial!M39="SI",Inicial!G39,"N/A")</f>
        <v>N/A</v>
      </c>
      <c r="H40" s="52" t="str">
        <f>IF(Inicial!M39="SI",Inicial!H39,"N/A")</f>
        <v>N/A</v>
      </c>
      <c r="I40" s="54" t="str">
        <f>IF(Inicial!M39="SI",Inicial!I39,"N/A")</f>
        <v>N/A</v>
      </c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12" t="str" cm="1">
        <f t="array" ref="W40">IF(OR(M40:V40="NO"),"No aceptable","Aceptable")</f>
        <v>Aceptable</v>
      </c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3" t="str" cm="1">
        <f t="array" ref="AN40">IF(OR(AA40:AM40="SI"),"Critico","No Critico")</f>
        <v>No Critico</v>
      </c>
    </row>
    <row r="41" spans="1:40" ht="27.6" hidden="1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IF(Inicial!M40="SI",Inicial!E40,"N/A")</f>
        <v>N/A</v>
      </c>
      <c r="F41" s="52" t="str">
        <f>IF(Inicial!M40="SI",Inicial!F40,"N/A")</f>
        <v>N/A</v>
      </c>
      <c r="G41" s="52" t="str">
        <f>IF(Inicial!M40="SI",Inicial!G40,"N/A")</f>
        <v>N/A</v>
      </c>
      <c r="H41" s="52" t="str">
        <f>IF(Inicial!M40="SI",Inicial!H40,"N/A")</f>
        <v>N/A</v>
      </c>
      <c r="I41" s="54" t="str">
        <f>IF(Inicial!M40="SI",Inicial!I40,"N/A")</f>
        <v>N/A</v>
      </c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12" t="str" cm="1">
        <f t="array" ref="W41">IF(OR(M41:V41="NO"),"No aceptable","Aceptable")</f>
        <v>Aceptable</v>
      </c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3" t="str" cm="1">
        <f t="array" ref="AN41">IF(OR(AA41:AM41="SI"),"Critico","No Critico")</f>
        <v>No Critico</v>
      </c>
    </row>
    <row r="42" spans="1:40" ht="27.6" hidden="1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IF(Inicial!M41="SI",Inicial!E41,"N/A")</f>
        <v>06:45 - 15:55 / 14:55 - 00:20</v>
      </c>
      <c r="F42" s="52" t="str">
        <f>IF(Inicial!M41="SI",Inicial!F41,"N/A")</f>
        <v>N/A</v>
      </c>
      <c r="G42" s="52">
        <f>IF(Inicial!M41="SI",Inicial!G41,"N/A")</f>
        <v>2</v>
      </c>
      <c r="H42" s="52">
        <f>IF(Inicial!M41="SI",Inicial!H41,"N/A")</f>
        <v>96</v>
      </c>
      <c r="I42" s="54">
        <f>IF(Inicial!M41="SI",Inicial!I41,"N/A")</f>
        <v>6</v>
      </c>
      <c r="J42" s="77" t="s">
        <v>115</v>
      </c>
      <c r="K42" s="77" t="s">
        <v>64</v>
      </c>
      <c r="L42" s="77" t="s">
        <v>64</v>
      </c>
      <c r="M42" s="77" t="s">
        <v>59</v>
      </c>
      <c r="N42" s="77" t="s">
        <v>64</v>
      </c>
      <c r="O42" s="77" t="s">
        <v>59</v>
      </c>
      <c r="P42" s="77" t="s">
        <v>59</v>
      </c>
      <c r="Q42" s="77" t="s">
        <v>59</v>
      </c>
      <c r="R42" s="77" t="s">
        <v>64</v>
      </c>
      <c r="S42" s="77" t="s">
        <v>64</v>
      </c>
      <c r="T42" s="77" t="s">
        <v>64</v>
      </c>
      <c r="U42" s="77" t="s">
        <v>64</v>
      </c>
      <c r="V42" s="77" t="s">
        <v>64</v>
      </c>
      <c r="W42" s="12" t="str" cm="1">
        <f t="array" ref="W42">IF(OR(M42:V42="NO"),"No aceptable","Aceptable")</f>
        <v>Aceptable</v>
      </c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3" t="str" cm="1">
        <f t="array" ref="AN42">IF(OR(AA42:AM42="SI"),"Critico","No Critico")</f>
        <v>No Critico</v>
      </c>
    </row>
    <row r="43" spans="1:40" ht="27.6" hidden="1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IF(Inicial!M42="SI",Inicial!E42,"N/A")</f>
        <v>N/A</v>
      </c>
      <c r="F43" s="52" t="str">
        <f>IF(Inicial!M42="SI",Inicial!F42,"N/A")</f>
        <v>N/A</v>
      </c>
      <c r="G43" s="52" t="str">
        <f>IF(Inicial!M42="SI",Inicial!G42,"N/A")</f>
        <v>N/A</v>
      </c>
      <c r="H43" s="52" t="str">
        <f>IF(Inicial!M42="SI",Inicial!H42,"N/A")</f>
        <v>N/A</v>
      </c>
      <c r="I43" s="54" t="str">
        <f>IF(Inicial!M42="SI",Inicial!I42,"N/A")</f>
        <v>N/A</v>
      </c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12" t="str" cm="1">
        <f t="array" ref="W43">IF(OR(M43:V43="NO"),"No aceptable","Aceptable")</f>
        <v>Aceptable</v>
      </c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3" t="str" cm="1">
        <f t="array" ref="AN43">IF(OR(AA43:AM43="SI"),"Critico","No Critico")</f>
        <v>No Critico</v>
      </c>
    </row>
    <row r="44" spans="1:40" ht="41.45" hidden="1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IF(Inicial!M43="SI",Inicial!E43,"N/A")</f>
        <v>07:05 - 15:05  15:15 - 00:15</v>
      </c>
      <c r="F44" s="52" t="str">
        <f>IF(Inicial!M43="SI",Inicial!F43,"N/A")</f>
        <v>N/A</v>
      </c>
      <c r="G44" s="52">
        <f>IF(Inicial!M43="SI",Inicial!G43,"N/A")</f>
        <v>2</v>
      </c>
      <c r="H44" s="52">
        <f>IF(Inicial!M43="SI",Inicial!H43,"N/A")</f>
        <v>66</v>
      </c>
      <c r="I44" s="54">
        <f>IF(Inicial!M43="SI",Inicial!I43,"N/A")</f>
        <v>73</v>
      </c>
      <c r="J44" s="77" t="s">
        <v>115</v>
      </c>
      <c r="K44" s="77" t="s">
        <v>64</v>
      </c>
      <c r="L44" s="77" t="s">
        <v>64</v>
      </c>
      <c r="M44" s="77" t="s">
        <v>64</v>
      </c>
      <c r="N44" s="77" t="s">
        <v>64</v>
      </c>
      <c r="O44" s="77" t="s">
        <v>64</v>
      </c>
      <c r="P44" s="77" t="s">
        <v>64</v>
      </c>
      <c r="Q44" s="77" t="s">
        <v>64</v>
      </c>
      <c r="R44" s="77" t="s">
        <v>64</v>
      </c>
      <c r="S44" s="77" t="s">
        <v>64</v>
      </c>
      <c r="T44" s="77" t="s">
        <v>64</v>
      </c>
      <c r="U44" s="77" t="s">
        <v>64</v>
      </c>
      <c r="V44" s="77" t="s">
        <v>64</v>
      </c>
      <c r="W44" s="12" t="str" cm="1">
        <f t="array" ref="W44">IF(OR(M44:V44="NO"),"No aceptable","Aceptable")</f>
        <v>Aceptable</v>
      </c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3" t="str" cm="1">
        <f t="array" ref="AN44">IF(OR(AA44:AM44="SI"),"Critico","No Critico")</f>
        <v>No Critico</v>
      </c>
    </row>
    <row r="45" spans="1:40" ht="41.45" hidden="1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IF(Inicial!M44="SI",Inicial!E44,"N/A")</f>
        <v>07:05 - 15:05  15:15 - 00:15</v>
      </c>
      <c r="F45" s="52" t="str">
        <f>IF(Inicial!M44="SI",Inicial!F44,"N/A")</f>
        <v>N/A</v>
      </c>
      <c r="G45" s="52">
        <f>IF(Inicial!M44="SI",Inicial!G44,"N/A")</f>
        <v>2</v>
      </c>
      <c r="H45" s="52">
        <f>IF(Inicial!M44="SI",Inicial!H44,"N/A")</f>
        <v>66</v>
      </c>
      <c r="I45" s="54">
        <f>IF(Inicial!M44="SI",Inicial!I44,"N/A")</f>
        <v>73</v>
      </c>
      <c r="J45" s="77" t="s">
        <v>115</v>
      </c>
      <c r="K45" s="77" t="s">
        <v>64</v>
      </c>
      <c r="L45" s="77" t="s">
        <v>64</v>
      </c>
      <c r="M45" s="77" t="s">
        <v>64</v>
      </c>
      <c r="N45" s="77" t="s">
        <v>64</v>
      </c>
      <c r="O45" s="77" t="s">
        <v>64</v>
      </c>
      <c r="P45" s="77" t="s">
        <v>64</v>
      </c>
      <c r="Q45" s="77" t="s">
        <v>64</v>
      </c>
      <c r="R45" s="77" t="s">
        <v>64</v>
      </c>
      <c r="S45" s="77" t="s">
        <v>64</v>
      </c>
      <c r="T45" s="77" t="s">
        <v>64</v>
      </c>
      <c r="U45" s="77" t="s">
        <v>64</v>
      </c>
      <c r="V45" s="77" t="s">
        <v>64</v>
      </c>
      <c r="W45" s="12" t="str" cm="1">
        <f t="array" ref="W45">IF(OR(M45:V45="NO"),"No aceptable","Aceptable")</f>
        <v>Aceptable</v>
      </c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3" t="str" cm="1">
        <f t="array" ref="AN45">IF(OR(AA45:AM45="SI"),"Critico","No Critico")</f>
        <v>No Critico</v>
      </c>
    </row>
    <row r="46" spans="1:40" ht="27.6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IF(Inicial!M45="SI",Inicial!E45,"N/A")</f>
        <v>N/A</v>
      </c>
      <c r="F46" s="52" t="str">
        <f>IF(Inicial!M45="SI",Inicial!F45,"N/A")</f>
        <v>N/A</v>
      </c>
      <c r="G46" s="52" t="str">
        <f>IF(Inicial!M45="SI",Inicial!G45,"N/A")</f>
        <v>N/A</v>
      </c>
      <c r="H46" s="52" t="str">
        <f>IF(Inicial!M45="SI",Inicial!H45,"N/A")</f>
        <v>N/A</v>
      </c>
      <c r="I46" s="54" t="str">
        <f>IF(Inicial!M45="SI",Inicial!I45,"N/A")</f>
        <v>N/A</v>
      </c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12" t="str" cm="1">
        <f t="array" ref="W46">IF(OR(M46:V46="NO"),"No aceptable","Aceptable")</f>
        <v>Aceptable</v>
      </c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3" t="str" cm="1">
        <f t="array" ref="AN46">IF(OR(AA46:AM46="SI"),"Critico","No Critico")</f>
        <v>No Critico</v>
      </c>
    </row>
    <row r="47" spans="1:40" ht="41.45" hidden="1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IF(Inicial!M46="SI",Inicial!E46,"N/A")</f>
        <v>N/A</v>
      </c>
      <c r="F47" s="52" t="str">
        <f>IF(Inicial!M46="SI",Inicial!F46,"N/A")</f>
        <v>N/A</v>
      </c>
      <c r="G47" s="52" t="str">
        <f>IF(Inicial!M46="SI",Inicial!G46,"N/A")</f>
        <v>N/A</v>
      </c>
      <c r="H47" s="52" t="str">
        <f>IF(Inicial!M46="SI",Inicial!H46,"N/A")</f>
        <v>N/A</v>
      </c>
      <c r="I47" s="54" t="str">
        <f>IF(Inicial!M46="SI",Inicial!I46,"N/A")</f>
        <v>N/A</v>
      </c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12" t="str" cm="1">
        <f t="array" ref="W47">IF(OR(M47:V47="NO"),"No aceptable","Aceptable")</f>
        <v>Aceptable</v>
      </c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3" t="str" cm="1">
        <f t="array" ref="AN47">IF(OR(AA47:AM47="SI"),"Critico","No Critico")</f>
        <v>No Critico</v>
      </c>
    </row>
    <row r="48" spans="1:40" ht="27.6" hidden="1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IF(Inicial!M47="SI",Inicial!E47,"N/A")</f>
        <v>07:05 - 15:05  15:15 - 00:15</v>
      </c>
      <c r="F48" s="52" t="str">
        <f>IF(Inicial!M47="SI",Inicial!F47,"N/A")</f>
        <v>N/A</v>
      </c>
      <c r="G48" s="52">
        <f>IF(Inicial!M47="SI",Inicial!G47,"N/A")</f>
        <v>2</v>
      </c>
      <c r="H48" s="52">
        <f>IF(Inicial!M47="SI",Inicial!H47,"N/A")</f>
        <v>66</v>
      </c>
      <c r="I48" s="54">
        <f>IF(Inicial!M47="SI",Inicial!I47,"N/A")</f>
        <v>73</v>
      </c>
      <c r="J48" s="77" t="s">
        <v>115</v>
      </c>
      <c r="K48" s="77" t="s">
        <v>64</v>
      </c>
      <c r="L48" s="77" t="s">
        <v>64</v>
      </c>
      <c r="M48" s="77" t="s">
        <v>59</v>
      </c>
      <c r="N48" s="77" t="s">
        <v>64</v>
      </c>
      <c r="O48" s="77" t="s">
        <v>59</v>
      </c>
      <c r="P48" s="77" t="s">
        <v>59</v>
      </c>
      <c r="Q48" s="77" t="s">
        <v>59</v>
      </c>
      <c r="R48" s="77" t="s">
        <v>59</v>
      </c>
      <c r="S48" s="77" t="s">
        <v>64</v>
      </c>
      <c r="T48" s="77" t="s">
        <v>64</v>
      </c>
      <c r="U48" s="77" t="s">
        <v>64</v>
      </c>
      <c r="V48" s="77" t="s">
        <v>64</v>
      </c>
      <c r="W48" s="12" t="str" cm="1">
        <f t="array" ref="W48">IF(OR(M48:V48="NO"),"No aceptable","Aceptable")</f>
        <v>Aceptable</v>
      </c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3" t="str" cm="1">
        <f t="array" ref="AN48">IF(OR(AA48:AM48="SI"),"Critico","No Critico")</f>
        <v>No Critico</v>
      </c>
    </row>
    <row r="49" spans="1:40" hidden="1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IF(Inicial!M48="SI",Inicial!E48,"N/A")</f>
        <v>N/A</v>
      </c>
      <c r="F49" s="52" t="str">
        <f>IF(Inicial!M48="SI",Inicial!F48,"N/A")</f>
        <v>N/A</v>
      </c>
      <c r="G49" s="52" t="str">
        <f>IF(Inicial!M48="SI",Inicial!G48,"N/A")</f>
        <v>N/A</v>
      </c>
      <c r="H49" s="52" t="str">
        <f>IF(Inicial!M48="SI",Inicial!H48,"N/A")</f>
        <v>N/A</v>
      </c>
      <c r="I49" s="54" t="str">
        <f>IF(Inicial!M48="SI",Inicial!I48,"N/A")</f>
        <v>N/A</v>
      </c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12" t="str" cm="1">
        <f t="array" ref="W49">IF(OR(M49:V49="NO"),"No aceptable","Aceptable")</f>
        <v>Aceptable</v>
      </c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3" t="str" cm="1">
        <f t="array" ref="AN49">IF(OR(AA49:AM49="SI"),"Critico","No Critico")</f>
        <v>No Critico</v>
      </c>
    </row>
    <row r="50" spans="1:40" ht="27.6" hidden="1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IF(Inicial!M49="SI",Inicial!E49,"N/A")</f>
        <v>07:05 - 15:05  15:15 - 00:15</v>
      </c>
      <c r="F50" s="52" t="str">
        <f>IF(Inicial!M49="SI",Inicial!F49,"N/A")</f>
        <v>N/A</v>
      </c>
      <c r="G50" s="52">
        <f>IF(Inicial!M49="SI",Inicial!G49,"N/A")</f>
        <v>2</v>
      </c>
      <c r="H50" s="52">
        <f>IF(Inicial!M49="SI",Inicial!H49,"N/A")</f>
        <v>66</v>
      </c>
      <c r="I50" s="54">
        <f>IF(Inicial!M49="SI",Inicial!I49,"N/A")</f>
        <v>0</v>
      </c>
      <c r="J50" s="77" t="s">
        <v>64</v>
      </c>
      <c r="K50" s="77" t="s">
        <v>64</v>
      </c>
      <c r="L50" s="77" t="s">
        <v>64</v>
      </c>
      <c r="M50" s="77" t="s">
        <v>64</v>
      </c>
      <c r="N50" s="77" t="s">
        <v>64</v>
      </c>
      <c r="O50" s="77" t="s">
        <v>64</v>
      </c>
      <c r="P50" s="77" t="s">
        <v>64</v>
      </c>
      <c r="Q50" s="77" t="s">
        <v>64</v>
      </c>
      <c r="R50" s="77" t="s">
        <v>64</v>
      </c>
      <c r="S50" s="77" t="s">
        <v>64</v>
      </c>
      <c r="T50" s="77" t="s">
        <v>64</v>
      </c>
      <c r="U50" s="77" t="s">
        <v>64</v>
      </c>
      <c r="V50" s="77" t="s">
        <v>64</v>
      </c>
      <c r="W50" s="12" t="str" cm="1">
        <f t="array" ref="W50">IF(OR(M50:V50="NO"),"No aceptable","Aceptable")</f>
        <v>Aceptable</v>
      </c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3" t="str" cm="1">
        <f t="array" ref="AN50">IF(OR(AA50:AM50="SI"),"Critico","No Critico")</f>
        <v>No Critico</v>
      </c>
    </row>
    <row r="51" spans="1:40" hidden="1">
      <c r="A51" s="51">
        <f>Inicial!A50</f>
        <v>48</v>
      </c>
      <c r="B51" s="52" t="str">
        <f>Inicial!B50</f>
        <v>Procesos</v>
      </c>
      <c r="C51" s="52" t="str">
        <f>Inicial!C50</f>
        <v>Mesanina</v>
      </c>
      <c r="D51" s="53" t="str">
        <f>Inicial!D50</f>
        <v>Recolgado</v>
      </c>
      <c r="E51" s="51" t="str">
        <f>IF(Inicial!M50="SI",Inicial!E50,"N/A")</f>
        <v>N/A</v>
      </c>
      <c r="F51" s="52" t="str">
        <f>IF(Inicial!M50="SI",Inicial!F50,"N/A")</f>
        <v>N/A</v>
      </c>
      <c r="G51" s="52" t="str">
        <f>IF(Inicial!M50="SI",Inicial!G50,"N/A")</f>
        <v>N/A</v>
      </c>
      <c r="H51" s="52" t="str">
        <f>IF(Inicial!M50="SI",Inicial!H50,"N/A")</f>
        <v>N/A</v>
      </c>
      <c r="I51" s="54" t="str">
        <f>IF(Inicial!M50="SI",Inicial!I50,"N/A")</f>
        <v>N/A</v>
      </c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12" t="str" cm="1">
        <f t="array" ref="W51">IF(OR(M51:V51="NO"),"No aceptable","Aceptable")</f>
        <v>Aceptable</v>
      </c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3" t="str" cm="1">
        <f t="array" ref="AN51">IF(OR(AA51:AM51="SI"),"Critico","No Critico")</f>
        <v>No Critico</v>
      </c>
    </row>
    <row r="52" spans="1:40" ht="27.6" hidden="1">
      <c r="A52" s="51">
        <f>Inicial!A51</f>
        <v>49</v>
      </c>
      <c r="B52" s="52" t="str">
        <f>Inicial!B51</f>
        <v>Procesos</v>
      </c>
      <c r="C52" s="52" t="str">
        <f>Inicial!C51</f>
        <v>Trozado</v>
      </c>
      <c r="D52" s="53" t="str">
        <f>Inicial!D51</f>
        <v>Tranferidor</v>
      </c>
      <c r="E52" s="51" t="str">
        <f>IF(Inicial!M51="SI",Inicial!E51,"N/A")</f>
        <v>07:05 - 15:05  15:15 - 00:15</v>
      </c>
      <c r="F52" s="52" t="str">
        <f>IF(Inicial!M51="SI",Inicial!F51,"N/A")</f>
        <v>N/A</v>
      </c>
      <c r="G52" s="52">
        <f>IF(Inicial!M51="SI",Inicial!G51,"N/A")</f>
        <v>2</v>
      </c>
      <c r="H52" s="52">
        <f>IF(Inicial!M51="SI",Inicial!H51,"N/A")</f>
        <v>66</v>
      </c>
      <c r="I52" s="54">
        <f>IF(Inicial!M51="SI",Inicial!I51,"N/A")</f>
        <v>0</v>
      </c>
      <c r="J52" s="77" t="s">
        <v>115</v>
      </c>
      <c r="K52" s="77" t="s">
        <v>64</v>
      </c>
      <c r="L52" s="77" t="s">
        <v>64</v>
      </c>
      <c r="M52" s="77" t="s">
        <v>64</v>
      </c>
      <c r="N52" s="77" t="s">
        <v>64</v>
      </c>
      <c r="O52" s="77" t="s">
        <v>64</v>
      </c>
      <c r="P52" s="77" t="s">
        <v>64</v>
      </c>
      <c r="Q52" s="77" t="s">
        <v>64</v>
      </c>
      <c r="R52" s="77" t="s">
        <v>64</v>
      </c>
      <c r="S52" s="77" t="s">
        <v>64</v>
      </c>
      <c r="T52" s="77" t="s">
        <v>64</v>
      </c>
      <c r="U52" s="77" t="s">
        <v>64</v>
      </c>
      <c r="V52" s="77" t="s">
        <v>64</v>
      </c>
      <c r="W52" s="12" t="str" cm="1">
        <f t="array" ref="W52">IF(OR(M52:V52="NO"),"No aceptable","Aceptable")</f>
        <v>Aceptable</v>
      </c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3" t="str" cm="1">
        <f t="array" ref="AN52">IF(OR(AA52:AM52="SI"),"Critico","No Critico")</f>
        <v>No Critico</v>
      </c>
    </row>
    <row r="53" spans="1:40" hidden="1">
      <c r="A53" s="51">
        <f>Inicial!A52</f>
        <v>50</v>
      </c>
      <c r="B53" s="52" t="str">
        <f>Inicial!B52</f>
        <v>Procesos</v>
      </c>
      <c r="C53" s="52" t="str">
        <f>Inicial!C52</f>
        <v>Trozado</v>
      </c>
      <c r="D53" s="53" t="str">
        <f>Inicial!D52</f>
        <v>Transpaletero</v>
      </c>
      <c r="E53" s="51" t="str">
        <f>IF(Inicial!M52="SI",Inicial!E52,"N/A")</f>
        <v>N/A</v>
      </c>
      <c r="F53" s="52" t="str">
        <f>IF(Inicial!M52="SI",Inicial!F52,"N/A")</f>
        <v>N/A</v>
      </c>
      <c r="G53" s="52" t="str">
        <f>IF(Inicial!M52="SI",Inicial!G52,"N/A")</f>
        <v>N/A</v>
      </c>
      <c r="H53" s="52" t="str">
        <f>IF(Inicial!M52="SI",Inicial!H52,"N/A")</f>
        <v>N/A</v>
      </c>
      <c r="I53" s="54" t="str">
        <f>IF(Inicial!M52="SI",Inicial!I52,"N/A")</f>
        <v>N/A</v>
      </c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12" t="str" cm="1">
        <f t="array" ref="W53">IF(OR(M53:V53="NO"),"No aceptable","Aceptable")</f>
        <v>Aceptable</v>
      </c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3" t="str" cm="1">
        <f t="array" ref="AN53">IF(OR(AA53:AM53="SI"),"Critico","No Critico")</f>
        <v>No Critico</v>
      </c>
    </row>
    <row r="54" spans="1:40" hidden="1">
      <c r="A54" s="51">
        <f>Inicial!A53</f>
        <v>51</v>
      </c>
      <c r="B54" s="52" t="str">
        <f>Inicial!B53</f>
        <v>Procesos</v>
      </c>
      <c r="C54" s="52" t="str">
        <f>Inicial!C53</f>
        <v>Trozado L2</v>
      </c>
      <c r="D54" s="53" t="str">
        <f>Inicial!D53</f>
        <v>Trozado manual</v>
      </c>
      <c r="E54" s="51" t="str">
        <f>IF(Inicial!M53="SI",Inicial!E53,"N/A")</f>
        <v>N/A</v>
      </c>
      <c r="F54" s="52" t="str">
        <f>IF(Inicial!M53="SI",Inicial!F53,"N/A")</f>
        <v>N/A</v>
      </c>
      <c r="G54" s="52" t="str">
        <f>IF(Inicial!M53="SI",Inicial!G53,"N/A")</f>
        <v>N/A</v>
      </c>
      <c r="H54" s="52" t="str">
        <f>IF(Inicial!M53="SI",Inicial!H53,"N/A")</f>
        <v>N/A</v>
      </c>
      <c r="I54" s="54" t="str">
        <f>IF(Inicial!M53="SI",Inicial!I53,"N/A")</f>
        <v>N/A</v>
      </c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12" t="str" cm="1">
        <f t="array" ref="W54">IF(OR(M54:V54="NO"),"No aceptable","Aceptable")</f>
        <v>Aceptable</v>
      </c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3" t="str" cm="1">
        <f t="array" ref="AN54">IF(OR(AA54:AM54="SI"),"Critico","No Critico")</f>
        <v>No Critico</v>
      </c>
    </row>
    <row r="55" spans="1:40" hidden="1">
      <c r="A55" s="51">
        <f>Inicial!A54</f>
        <v>52</v>
      </c>
      <c r="B55" s="52" t="str">
        <f>Inicial!B54</f>
        <v>Procesos</v>
      </c>
      <c r="C55" s="52" t="str">
        <f>Inicial!C54</f>
        <v>Trozado</v>
      </c>
      <c r="D55" s="53" t="str">
        <f>Inicial!D54</f>
        <v>Maquinista</v>
      </c>
      <c r="E55" s="51" t="str">
        <f>IF(Inicial!M54="SI",Inicial!E54,"N/A")</f>
        <v>N/A</v>
      </c>
      <c r="F55" s="52" t="str">
        <f>IF(Inicial!M54="SI",Inicial!F54,"N/A")</f>
        <v>N/A</v>
      </c>
      <c r="G55" s="52" t="str">
        <f>IF(Inicial!M54="SI",Inicial!G54,"N/A")</f>
        <v>N/A</v>
      </c>
      <c r="H55" s="52" t="str">
        <f>IF(Inicial!M54="SI",Inicial!H54,"N/A")</f>
        <v>N/A</v>
      </c>
      <c r="I55" s="54" t="str">
        <f>IF(Inicial!M54="SI",Inicial!I54,"N/A")</f>
        <v>N/A</v>
      </c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12" t="str" cm="1">
        <f t="array" ref="W55">IF(OR(M55:V55="NO"),"No aceptable","Aceptable")</f>
        <v>Aceptable</v>
      </c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3" t="str" cm="1">
        <f t="array" ref="AN55">IF(OR(AA55:AM55="SI"),"Critico","No Critico")</f>
        <v>No Critico</v>
      </c>
    </row>
    <row r="56" spans="1:40" hidden="1">
      <c r="A56" s="51">
        <f>Inicial!A55</f>
        <v>53</v>
      </c>
      <c r="B56" s="52" t="str">
        <f>Inicial!B55</f>
        <v>Procesos</v>
      </c>
      <c r="C56" s="52" t="str">
        <f>Inicial!C55</f>
        <v>Trozado</v>
      </c>
      <c r="D56" s="53" t="str">
        <f>Inicial!D55</f>
        <v>Fechado</v>
      </c>
      <c r="E56" s="51" t="str">
        <f>IF(Inicial!M55="SI",Inicial!E55,"N/A")</f>
        <v>N/A</v>
      </c>
      <c r="F56" s="52" t="str">
        <f>IF(Inicial!M55="SI",Inicial!F55,"N/A")</f>
        <v>N/A</v>
      </c>
      <c r="G56" s="52" t="str">
        <f>IF(Inicial!M55="SI",Inicial!G55,"N/A")</f>
        <v>N/A</v>
      </c>
      <c r="H56" s="52" t="str">
        <f>IF(Inicial!M55="SI",Inicial!H55,"N/A")</f>
        <v>N/A</v>
      </c>
      <c r="I56" s="54" t="str">
        <f>IF(Inicial!M55="SI",Inicial!I55,"N/A")</f>
        <v>N/A</v>
      </c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12" t="str" cm="1">
        <f t="array" ref="W56">IF(OR(M56:V56="NO"),"No aceptable","Aceptable")</f>
        <v>Aceptable</v>
      </c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3" t="str" cm="1">
        <f t="array" ref="AN56">IF(OR(AA56:AM56="SI"),"Critico","No Critico")</f>
        <v>No Critico</v>
      </c>
    </row>
    <row r="57" spans="1:40" ht="27.6" hidden="1">
      <c r="A57" s="51">
        <f>Inicial!A56</f>
        <v>54</v>
      </c>
      <c r="B57" s="52" t="str">
        <f>Inicial!B56</f>
        <v>Procesos</v>
      </c>
      <c r="C57" s="52" t="str">
        <f>Inicial!C56</f>
        <v>Trozado L1</v>
      </c>
      <c r="D57" s="53" t="str">
        <f>Inicial!D56</f>
        <v>Embalado pollo personal</v>
      </c>
      <c r="E57" s="51" t="str">
        <f>IF(Inicial!M56="SI",Inicial!E56,"N/A")</f>
        <v>07:05 - 15:05  15:15 - 00:15</v>
      </c>
      <c r="F57" s="52" t="str">
        <f>IF(Inicial!M56="SI",Inicial!F56,"N/A")</f>
        <v>N/A</v>
      </c>
      <c r="G57" s="52">
        <f>IF(Inicial!M56="SI",Inicial!G56,"N/A")</f>
        <v>2</v>
      </c>
      <c r="H57" s="52">
        <f>IF(Inicial!M56="SI",Inicial!H56,"N/A")</f>
        <v>66</v>
      </c>
      <c r="I57" s="54">
        <f>IF(Inicial!M56="SI",Inicial!I56,"N/A")</f>
        <v>73</v>
      </c>
      <c r="J57" s="77" t="s">
        <v>115</v>
      </c>
      <c r="K57" s="77" t="s">
        <v>64</v>
      </c>
      <c r="L57" s="77" t="s">
        <v>64</v>
      </c>
      <c r="M57" s="77" t="s">
        <v>64</v>
      </c>
      <c r="N57" s="77" t="s">
        <v>64</v>
      </c>
      <c r="O57" s="77" t="s">
        <v>64</v>
      </c>
      <c r="P57" s="77" t="s">
        <v>64</v>
      </c>
      <c r="Q57" s="77" t="s">
        <v>64</v>
      </c>
      <c r="R57" s="77" t="s">
        <v>64</v>
      </c>
      <c r="S57" s="77" t="s">
        <v>64</v>
      </c>
      <c r="T57" s="77" t="s">
        <v>64</v>
      </c>
      <c r="U57" s="77" t="s">
        <v>115</v>
      </c>
      <c r="V57" s="77" t="s">
        <v>64</v>
      </c>
      <c r="W57" s="12" t="str" cm="1">
        <f t="array" ref="W57">IF(OR(M57:V57="NO"),"No aceptable","Aceptable")</f>
        <v>No aceptable</v>
      </c>
      <c r="X57" s="77" t="s">
        <v>115</v>
      </c>
      <c r="Y57" s="77" t="s">
        <v>115</v>
      </c>
      <c r="Z57" s="77" t="s">
        <v>115</v>
      </c>
      <c r="AA57" s="77" t="s">
        <v>115</v>
      </c>
      <c r="AB57" s="77" t="s">
        <v>115</v>
      </c>
      <c r="AC57" s="77" t="s">
        <v>115</v>
      </c>
      <c r="AD57" s="77" t="s">
        <v>115</v>
      </c>
      <c r="AE57" s="77" t="s">
        <v>115</v>
      </c>
      <c r="AF57" s="77" t="s">
        <v>115</v>
      </c>
      <c r="AG57" s="77" t="s">
        <v>115</v>
      </c>
      <c r="AH57" s="77" t="s">
        <v>115</v>
      </c>
      <c r="AI57" s="77" t="s">
        <v>115</v>
      </c>
      <c r="AJ57" s="77" t="s">
        <v>115</v>
      </c>
      <c r="AK57" s="77" t="s">
        <v>115</v>
      </c>
      <c r="AL57" s="77" t="s">
        <v>115</v>
      </c>
      <c r="AM57" s="77" t="s">
        <v>115</v>
      </c>
      <c r="AN57" s="3" t="str" cm="1">
        <f t="array" ref="AN57">IF(OR(AA57:AM57="SI"),"Critico","No Critico")</f>
        <v>No Critico</v>
      </c>
    </row>
    <row r="58" spans="1:40" ht="26.25" hidden="1" customHeight="1">
      <c r="A58" s="51">
        <f>Inicial!A57</f>
        <v>55</v>
      </c>
      <c r="B58" s="52" t="str">
        <f>Inicial!B57</f>
        <v>Procesos</v>
      </c>
      <c r="C58" s="52" t="str">
        <f>Inicial!C57</f>
        <v>Trozado</v>
      </c>
      <c r="D58" s="53" t="str">
        <f>Inicial!D57</f>
        <v>Programador</v>
      </c>
      <c r="E58" s="51" t="str">
        <f>IF(Inicial!M57="SI",Inicial!E57,"N/A")</f>
        <v>07:05 - 15:05  15:15 - 00:15</v>
      </c>
      <c r="F58" s="52" t="str">
        <f>IF(Inicial!M57="SI",Inicial!F57,"N/A")</f>
        <v>N/A</v>
      </c>
      <c r="G58" s="52">
        <f>IF(Inicial!M57="SI",Inicial!G57,"N/A")</f>
        <v>2</v>
      </c>
      <c r="H58" s="52">
        <f>IF(Inicial!M57="SI",Inicial!H57,"N/A")</f>
        <v>66</v>
      </c>
      <c r="I58" s="54">
        <f>IF(Inicial!M57="SI",Inicial!I57,"N/A")</f>
        <v>73</v>
      </c>
      <c r="J58" s="77" t="s">
        <v>115</v>
      </c>
      <c r="K58" s="77" t="s">
        <v>64</v>
      </c>
      <c r="L58" s="77" t="s">
        <v>64</v>
      </c>
      <c r="M58" s="77" t="s">
        <v>64</v>
      </c>
      <c r="N58" s="77" t="s">
        <v>64</v>
      </c>
      <c r="O58" s="77" t="s">
        <v>64</v>
      </c>
      <c r="P58" s="77" t="s">
        <v>64</v>
      </c>
      <c r="Q58" s="77" t="s">
        <v>64</v>
      </c>
      <c r="R58" s="77" t="s">
        <v>64</v>
      </c>
      <c r="S58" s="77" t="s">
        <v>64</v>
      </c>
      <c r="T58" s="77" t="s">
        <v>64</v>
      </c>
      <c r="U58" s="77" t="s">
        <v>64</v>
      </c>
      <c r="V58" s="77" t="s">
        <v>64</v>
      </c>
      <c r="W58" s="12" t="str" cm="1">
        <f t="array" ref="W58">IF(OR(M58:V58="NO"),"No aceptable","Aceptable")</f>
        <v>Aceptable</v>
      </c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3" t="str" cm="1">
        <f t="array" ref="AN58">IF(OR(AA58:AM58="SI"),"Critico","No Critico")</f>
        <v>No Critico</v>
      </c>
    </row>
    <row r="59" spans="1:40" ht="36" customHeight="1">
      <c r="A59" s="51">
        <f>Inicial!A58</f>
        <v>56</v>
      </c>
      <c r="B59" s="52" t="str">
        <f>Inicial!B58</f>
        <v>Procesos</v>
      </c>
      <c r="C59" s="52" t="str">
        <f>Inicial!C58</f>
        <v>Trozado L5</v>
      </c>
      <c r="D59" s="53" t="str">
        <f>Inicial!D58</f>
        <v>Vacio espinazo</v>
      </c>
      <c r="E59" s="51" t="str">
        <f>IF(Inicial!M58="SI",Inicial!E58,"N/A")</f>
        <v>N/A</v>
      </c>
      <c r="F59" s="52" t="str">
        <f>IF(Inicial!M58="SI",Inicial!F58,"N/A")</f>
        <v>N/A</v>
      </c>
      <c r="G59" s="52" t="str">
        <f>IF(Inicial!M58="SI",Inicial!G58,"N/A")</f>
        <v>N/A</v>
      </c>
      <c r="H59" s="52" t="str">
        <f>IF(Inicial!M58="SI",Inicial!H58,"N/A")</f>
        <v>N/A</v>
      </c>
      <c r="I59" s="54" t="str">
        <f>IF(Inicial!M58="SI",Inicial!I58,"N/A")</f>
        <v>N/A</v>
      </c>
      <c r="J59" s="77" t="s">
        <v>115</v>
      </c>
      <c r="K59" s="77" t="s">
        <v>64</v>
      </c>
      <c r="L59" s="77" t="s">
        <v>64</v>
      </c>
      <c r="M59" s="77" t="s">
        <v>64</v>
      </c>
      <c r="N59" s="77" t="s">
        <v>64</v>
      </c>
      <c r="O59" s="77" t="s">
        <v>64</v>
      </c>
      <c r="P59" s="77" t="s">
        <v>64</v>
      </c>
      <c r="Q59" s="77" t="s">
        <v>64</v>
      </c>
      <c r="R59" s="77" t="s">
        <v>64</v>
      </c>
      <c r="S59" s="77" t="s">
        <v>64</v>
      </c>
      <c r="T59" s="77" t="s">
        <v>64</v>
      </c>
      <c r="U59" s="77" t="s">
        <v>64</v>
      </c>
      <c r="V59" s="77" t="s">
        <v>64</v>
      </c>
      <c r="W59" s="12" t="str" cm="1">
        <f t="array" ref="W59">IF(OR(M59:V59="NO"),"No aceptable","Aceptable")</f>
        <v>Aceptable</v>
      </c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3" t="str" cm="1">
        <f t="array" ref="AN59">IF(OR(AA59:AM59="SI"),"Critico","No Critico")</f>
        <v>No Critico</v>
      </c>
    </row>
    <row r="60" spans="1:40" ht="27.6">
      <c r="A60" s="51">
        <f>Inicial!A59</f>
        <v>57</v>
      </c>
      <c r="B60" s="52" t="str">
        <f>Inicial!B59</f>
        <v>Procesos</v>
      </c>
      <c r="C60" s="52" t="str">
        <f>Inicial!C59</f>
        <v>Trozado L5</v>
      </c>
      <c r="D60" s="53" t="str">
        <f>Inicial!D59</f>
        <v>Vacio punta espinazo</v>
      </c>
      <c r="E60" s="51" t="str">
        <f>IF(Inicial!M59="SI",Inicial!E59,"N/A")</f>
        <v>N/A</v>
      </c>
      <c r="F60" s="52" t="str">
        <f>IF(Inicial!M59="SI",Inicial!F59,"N/A")</f>
        <v>N/A</v>
      </c>
      <c r="G60" s="52" t="str">
        <f>IF(Inicial!M59="SI",Inicial!G59,"N/A")</f>
        <v>N/A</v>
      </c>
      <c r="H60" s="52" t="str">
        <f>IF(Inicial!M59="SI",Inicial!H59,"N/A")</f>
        <v>N/A</v>
      </c>
      <c r="I60" s="54" t="str">
        <f>IF(Inicial!M59="SI",Inicial!I59,"N/A")</f>
        <v>N/A</v>
      </c>
      <c r="J60" s="77" t="s">
        <v>115</v>
      </c>
      <c r="K60" s="77" t="s">
        <v>64</v>
      </c>
      <c r="L60" s="77" t="s">
        <v>64</v>
      </c>
      <c r="M60" s="77" t="s">
        <v>64</v>
      </c>
      <c r="N60" s="77" t="s">
        <v>64</v>
      </c>
      <c r="O60" s="77" t="s">
        <v>64</v>
      </c>
      <c r="P60" s="77" t="s">
        <v>64</v>
      </c>
      <c r="Q60" s="77" t="s">
        <v>64</v>
      </c>
      <c r="R60" s="77" t="s">
        <v>64</v>
      </c>
      <c r="S60" s="77" t="s">
        <v>64</v>
      </c>
      <c r="T60" s="77" t="s">
        <v>64</v>
      </c>
      <c r="U60" s="77" t="s">
        <v>64</v>
      </c>
      <c r="V60" s="77" t="s">
        <v>64</v>
      </c>
      <c r="W60" s="12" t="str" cm="1">
        <f t="array" ref="W60">IF(OR(M60:V60="NO"),"No aceptable","Aceptable")</f>
        <v>Aceptable</v>
      </c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3" t="str" cm="1">
        <f t="array" ref="AN60">IF(OR(AA60:AM60="SI"),"Critico","No Critico")</f>
        <v>No Critico</v>
      </c>
    </row>
    <row r="61" spans="1:40" ht="27.6" hidden="1">
      <c r="A61" s="51">
        <f>Inicial!A60</f>
        <v>58</v>
      </c>
      <c r="B61" s="52" t="str">
        <f>Inicial!B60</f>
        <v>Procesos</v>
      </c>
      <c r="C61" s="52" t="str">
        <f>Inicial!C60</f>
        <v>Trozado</v>
      </c>
      <c r="D61" s="53" t="str">
        <f>Inicial!D60</f>
        <v>Trozado manual cazuela</v>
      </c>
      <c r="E61" s="51" t="str">
        <f>IF(Inicial!M60="SI",Inicial!E60,"N/A")</f>
        <v>N/A</v>
      </c>
      <c r="F61" s="52" t="str">
        <f>IF(Inicial!M60="SI",Inicial!F60,"N/A")</f>
        <v>N/A</v>
      </c>
      <c r="G61" s="52" t="str">
        <f>IF(Inicial!M60="SI",Inicial!G60,"N/A")</f>
        <v>N/A</v>
      </c>
      <c r="H61" s="52" t="str">
        <f>IF(Inicial!M60="SI",Inicial!H60,"N/A")</f>
        <v>N/A</v>
      </c>
      <c r="I61" s="54" t="str">
        <f>IF(Inicial!M60="SI",Inicial!I60,"N/A")</f>
        <v>N/A</v>
      </c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12" t="str" cm="1">
        <f t="array" ref="W61">IF(OR(M61:V61="NO"),"No aceptable","Aceptable")</f>
        <v>Aceptable</v>
      </c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3" t="str" cm="1">
        <f t="array" ref="AN61">IF(OR(AA61:AM61="SI"),"Critico","No Critico")</f>
        <v>No Critico</v>
      </c>
    </row>
    <row r="62" spans="1:40" ht="27.6">
      <c r="A62" s="51">
        <f>Inicial!A61</f>
        <v>59</v>
      </c>
      <c r="B62" s="52" t="str">
        <f>Inicial!B61</f>
        <v>Procesos</v>
      </c>
      <c r="C62" s="52" t="str">
        <f>Inicial!C61</f>
        <v>Trozado L5</v>
      </c>
      <c r="D62" s="53" t="str">
        <f>Inicial!D61</f>
        <v>Traslado de Decomiso</v>
      </c>
      <c r="E62" s="51" t="str">
        <f>IF(Inicial!M61="SI",Inicial!E61,"N/A")</f>
        <v>07:05 - 15:05  15:15 - 00:15</v>
      </c>
      <c r="F62" s="52" t="str">
        <f>IF(Inicial!M61="SI",Inicial!F61,"N/A")</f>
        <v>N/A</v>
      </c>
      <c r="G62" s="52">
        <f>IF(Inicial!M61="SI",Inicial!G61,"N/A")</f>
        <v>2</v>
      </c>
      <c r="H62" s="52">
        <f>IF(Inicial!M61="SI",Inicial!H61,"N/A")</f>
        <v>66</v>
      </c>
      <c r="I62" s="54">
        <f>IF(Inicial!M61="SI",Inicial!I61,"N/A")</f>
        <v>73</v>
      </c>
      <c r="J62" s="77" t="s">
        <v>115</v>
      </c>
      <c r="K62" s="77" t="s">
        <v>64</v>
      </c>
      <c r="L62" s="77" t="s">
        <v>64</v>
      </c>
      <c r="M62" s="77" t="s">
        <v>64</v>
      </c>
      <c r="N62" s="77" t="s">
        <v>64</v>
      </c>
      <c r="O62" s="77" t="s">
        <v>64</v>
      </c>
      <c r="P62" s="77" t="s">
        <v>64</v>
      </c>
      <c r="Q62" s="77" t="s">
        <v>64</v>
      </c>
      <c r="R62" s="77" t="s">
        <v>64</v>
      </c>
      <c r="S62" s="77" t="s">
        <v>64</v>
      </c>
      <c r="T62" s="77" t="s">
        <v>64</v>
      </c>
      <c r="U62" s="77" t="s">
        <v>64</v>
      </c>
      <c r="V62" s="77" t="s">
        <v>64</v>
      </c>
      <c r="W62" s="12" t="str" cm="1">
        <f t="array" ref="W62">IF(OR(M62:V62="NO"),"No aceptable","Aceptable")</f>
        <v>Aceptable</v>
      </c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3" t="str" cm="1">
        <f t="array" ref="AN62">IF(OR(AA62:AM62="SI"),"Critico","No Critico")</f>
        <v>No Critico</v>
      </c>
    </row>
    <row r="63" spans="1:40" ht="27.6">
      <c r="A63" s="51">
        <f>Inicial!A62</f>
        <v>60</v>
      </c>
      <c r="B63" s="52" t="str">
        <f>Inicial!B62</f>
        <v>Procesos</v>
      </c>
      <c r="C63" s="52" t="str">
        <f>Inicial!C62</f>
        <v>Trozado L5</v>
      </c>
      <c r="D63" s="53" t="str">
        <f>Inicial!D62</f>
        <v>Selección centro ala</v>
      </c>
      <c r="E63" s="51" t="str">
        <f>IF(Inicial!M62="SI",Inicial!E62,"N/A")</f>
        <v>N/A</v>
      </c>
      <c r="F63" s="52" t="str">
        <f>IF(Inicial!M62="SI",Inicial!F62,"N/A")</f>
        <v>N/A</v>
      </c>
      <c r="G63" s="52" t="str">
        <f>IF(Inicial!M62="SI",Inicial!G62,"N/A")</f>
        <v>N/A</v>
      </c>
      <c r="H63" s="52" t="str">
        <f>IF(Inicial!M62="SI",Inicial!H62,"N/A")</f>
        <v>N/A</v>
      </c>
      <c r="I63" s="54" t="str">
        <f>IF(Inicial!M62="SI",Inicial!I62,"N/A")</f>
        <v>N/A</v>
      </c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12" t="str" cm="1">
        <f t="array" ref="W63">IF(OR(M63:V63="NO"),"No aceptable","Aceptable")</f>
        <v>Aceptable</v>
      </c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3" t="str" cm="1">
        <f t="array" ref="AN63">IF(OR(AA63:AM63="SI"),"Critico","No Critico")</f>
        <v>No Critico</v>
      </c>
    </row>
    <row r="64" spans="1:40" ht="27.6">
      <c r="A64" s="51">
        <f>Inicial!A63</f>
        <v>61</v>
      </c>
      <c r="B64" s="52" t="str">
        <f>Inicial!B63</f>
        <v>Procesos</v>
      </c>
      <c r="C64" s="52" t="str">
        <f>Inicial!C63</f>
        <v>Trozado L5</v>
      </c>
      <c r="D64" s="53" t="str">
        <f>Inicial!D63</f>
        <v xml:space="preserve">Selección trutro ala </v>
      </c>
      <c r="E64" s="51" t="str">
        <f>IF(Inicial!M63="SI",Inicial!E63,"N/A")</f>
        <v>N/A</v>
      </c>
      <c r="F64" s="52" t="str">
        <f>IF(Inicial!M63="SI",Inicial!F63,"N/A")</f>
        <v>N/A</v>
      </c>
      <c r="G64" s="52" t="str">
        <f>IF(Inicial!M63="SI",Inicial!G63,"N/A")</f>
        <v>N/A</v>
      </c>
      <c r="H64" s="52" t="str">
        <f>IF(Inicial!M63="SI",Inicial!H63,"N/A")</f>
        <v>N/A</v>
      </c>
      <c r="I64" s="54" t="str">
        <f>IF(Inicial!M63="SI",Inicial!I63,"N/A")</f>
        <v>N/A</v>
      </c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12" t="str" cm="1">
        <f t="array" ref="W64">IF(OR(M64:V64="NO"),"No aceptable","Aceptable")</f>
        <v>Aceptable</v>
      </c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3" t="str" cm="1">
        <f t="array" ref="AN64">IF(OR(AA64:AM64="SI"),"Critico","No Critico")</f>
        <v>No Critico</v>
      </c>
    </row>
    <row r="65" spans="1:40" ht="27.6" hidden="1">
      <c r="A65" s="51" t="e">
        <f>Inicial!#REF!</f>
        <v>#REF!</v>
      </c>
      <c r="B65" s="52" t="e">
        <f>Inicial!#REF!</f>
        <v>#REF!</v>
      </c>
      <c r="C65" s="52" t="e">
        <f>Inicial!#REF!</f>
        <v>#REF!</v>
      </c>
      <c r="D65" s="53" t="e">
        <f>Inicial!#REF!</f>
        <v>#REF!</v>
      </c>
      <c r="E65" s="51" t="e">
        <f>IF(Inicial!#REF!="SI",Inicial!#REF!,"N/A")</f>
        <v>#REF!</v>
      </c>
      <c r="F65" s="52" t="e">
        <f>IF(Inicial!#REF!="SI",Inicial!#REF!,"N/A")</f>
        <v>#REF!</v>
      </c>
      <c r="G65" s="52" t="e">
        <f>IF(Inicial!#REF!="SI",Inicial!#REF!,"N/A")</f>
        <v>#REF!</v>
      </c>
      <c r="H65" s="52" t="e">
        <f>IF(Inicial!#REF!="SI",Inicial!#REF!,"N/A")</f>
        <v>#REF!</v>
      </c>
      <c r="I65" s="54" t="e">
        <f>IF(Inicial!#REF!="SI",Inicial!#REF!,"N/A")</f>
        <v>#REF!</v>
      </c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12" t="str" cm="1">
        <f t="array" ref="W65">IF(OR(M65:V65="NO"),"No aceptable","Aceptable")</f>
        <v>Aceptable</v>
      </c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3" t="str" cm="1">
        <f t="array" ref="AN65">IF(OR(AA65:AM65="SI"),"Critico","No Critico")</f>
        <v>No Critico</v>
      </c>
    </row>
    <row r="66" spans="1:40" ht="27.6">
      <c r="A66" s="51">
        <f>Inicial!A64</f>
        <v>62</v>
      </c>
      <c r="B66" s="52" t="str">
        <f>Inicial!B64</f>
        <v>Procesos</v>
      </c>
      <c r="C66" s="52" t="str">
        <f>Inicial!C64</f>
        <v>Trozado L5</v>
      </c>
      <c r="D66" s="53" t="str">
        <f>Inicial!D64</f>
        <v>Mezclas</v>
      </c>
      <c r="E66" s="51" t="str">
        <f>IF(Inicial!M64="SI",Inicial!E64,"N/A")</f>
        <v>07:05 - 15:05  15:15 - 00:15</v>
      </c>
      <c r="F66" s="52" t="str">
        <f>IF(Inicial!M64="SI",Inicial!F64,"N/A")</f>
        <v>N/A</v>
      </c>
      <c r="G66" s="52">
        <f>IF(Inicial!M64="SI",Inicial!G64,"N/A")</f>
        <v>2</v>
      </c>
      <c r="H66" s="52">
        <f>IF(Inicial!M64="SI",Inicial!H64,"N/A")</f>
        <v>66</v>
      </c>
      <c r="I66" s="54">
        <f>IF(Inicial!M64="SI",Inicial!I64,"N/A")</f>
        <v>73</v>
      </c>
      <c r="J66" s="77" t="s">
        <v>115</v>
      </c>
      <c r="K66" s="77" t="s">
        <v>64</v>
      </c>
      <c r="L66" s="77" t="s">
        <v>64</v>
      </c>
      <c r="M66" s="77" t="s">
        <v>59</v>
      </c>
      <c r="N66" s="77" t="s">
        <v>64</v>
      </c>
      <c r="O66" s="77" t="s">
        <v>59</v>
      </c>
      <c r="P66" s="77" t="s">
        <v>59</v>
      </c>
      <c r="Q66" s="77" t="s">
        <v>59</v>
      </c>
      <c r="R66" s="77" t="s">
        <v>64</v>
      </c>
      <c r="S66" s="77" t="s">
        <v>64</v>
      </c>
      <c r="T66" s="77" t="s">
        <v>64</v>
      </c>
      <c r="U66" s="77" t="s">
        <v>64</v>
      </c>
      <c r="V66" s="77" t="s">
        <v>64</v>
      </c>
      <c r="W66" s="12" t="str" cm="1">
        <f t="array" ref="W66">IF(OR(M66:V66="NO"),"No aceptable","Aceptable")</f>
        <v>Aceptable</v>
      </c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3" t="str" cm="1">
        <f t="array" ref="AN66">IF(OR(AA66:AM66="SI"),"Critico","No Critico")</f>
        <v>No Critico</v>
      </c>
    </row>
    <row r="67" spans="1:40" hidden="1">
      <c r="A67" s="51" t="e">
        <f>Inicial!#REF!</f>
        <v>#REF!</v>
      </c>
      <c r="B67" s="52" t="e">
        <f>Inicial!#REF!</f>
        <v>#REF!</v>
      </c>
      <c r="C67" s="52" t="e">
        <f>Inicial!#REF!</f>
        <v>#REF!</v>
      </c>
      <c r="D67" s="53" t="e">
        <f>Inicial!#REF!</f>
        <v>#REF!</v>
      </c>
      <c r="E67" s="51" t="e">
        <f>IF(Inicial!#REF!="SI",Inicial!#REF!,"N/A")</f>
        <v>#REF!</v>
      </c>
      <c r="F67" s="52" t="e">
        <f>IF(Inicial!#REF!="SI",Inicial!#REF!,"N/A")</f>
        <v>#REF!</v>
      </c>
      <c r="G67" s="52" t="e">
        <f>IF(Inicial!#REF!="SI",Inicial!#REF!,"N/A")</f>
        <v>#REF!</v>
      </c>
      <c r="H67" s="52" t="e">
        <f>IF(Inicial!#REF!="SI",Inicial!#REF!,"N/A")</f>
        <v>#REF!</v>
      </c>
      <c r="I67" s="54" t="e">
        <f>IF(Inicial!#REF!="SI",Inicial!#REF!,"N/A")</f>
        <v>#REF!</v>
      </c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12" t="str" cm="1">
        <f t="array" ref="W67">IF(OR(M67:V67="NO"),"No aceptable","Aceptable")</f>
        <v>Aceptable</v>
      </c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3" t="str" cm="1">
        <f t="array" ref="AN67">IF(OR(AA67:AM67="SI"),"Critico","No Critico")</f>
        <v>No Critico</v>
      </c>
    </row>
    <row r="68" spans="1:40" ht="26.25" hidden="1" customHeight="1">
      <c r="A68" s="51">
        <f>Inicial!A65</f>
        <v>63</v>
      </c>
      <c r="B68" s="52" t="str">
        <f>Inicial!B65</f>
        <v>Procesos</v>
      </c>
      <c r="C68" s="52" t="str">
        <f>Inicial!C65</f>
        <v>Paletizado Fresco</v>
      </c>
      <c r="D68" s="53" t="str">
        <f>Inicial!D65</f>
        <v>Embalaje de producto</v>
      </c>
      <c r="E68" s="51" t="str">
        <f>IF(Inicial!M65="SI",Inicial!E65,"N/A")</f>
        <v>06:55 - 14:55 / 14:55 - 00:20</v>
      </c>
      <c r="F68" s="52" t="str">
        <f>IF(Inicial!M65="SI",Inicial!F65,"N/A")</f>
        <v>N/A</v>
      </c>
      <c r="G68" s="52">
        <f>IF(Inicial!M65="SI",Inicial!G65,"N/A")</f>
        <v>2</v>
      </c>
      <c r="H68" s="52">
        <f>IF(Inicial!M65="SI",Inicial!H65,"N/A")</f>
        <v>99</v>
      </c>
      <c r="I68" s="54">
        <f>IF(Inicial!M65="SI",Inicial!I65,"N/A")</f>
        <v>6</v>
      </c>
      <c r="J68" s="77" t="s">
        <v>115</v>
      </c>
      <c r="K68" s="77" t="s">
        <v>64</v>
      </c>
      <c r="L68" s="77" t="s">
        <v>64</v>
      </c>
      <c r="M68" s="77" t="s">
        <v>59</v>
      </c>
      <c r="N68" s="77" t="s">
        <v>64</v>
      </c>
      <c r="O68" s="77" t="s">
        <v>59</v>
      </c>
      <c r="P68" s="77" t="s">
        <v>59</v>
      </c>
      <c r="Q68" s="77" t="s">
        <v>59</v>
      </c>
      <c r="R68" s="77" t="s">
        <v>64</v>
      </c>
      <c r="S68" s="77" t="s">
        <v>64</v>
      </c>
      <c r="T68" s="77" t="s">
        <v>64</v>
      </c>
      <c r="U68" s="77" t="s">
        <v>64</v>
      </c>
      <c r="V68" s="77" t="s">
        <v>64</v>
      </c>
      <c r="W68" s="12" t="str" cm="1">
        <f t="array" ref="W68">IF(OR(M68:V68="NO"),"No aceptable","Aceptable")</f>
        <v>Aceptable</v>
      </c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3" t="str" cm="1">
        <f t="array" ref="AN68">IF(OR(AA68:AM68="SI"),"Critico","No Critico")</f>
        <v>No Critico</v>
      </c>
    </row>
    <row r="69" spans="1:40" hidden="1">
      <c r="A69" s="51">
        <f>Inicial!A66</f>
        <v>64</v>
      </c>
      <c r="B69" s="52"/>
      <c r="C69" s="52"/>
      <c r="D69" s="53"/>
      <c r="E69" s="51"/>
      <c r="F69" s="52"/>
      <c r="G69" s="52"/>
      <c r="H69" s="52"/>
      <c r="I69" s="54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12" t="str" cm="1">
        <f t="array" ref="W69">IF(OR(M69:V69="NO"),"No aceptable","Aceptable")</f>
        <v>Aceptable</v>
      </c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3" t="str" cm="1">
        <f t="array" ref="AN69">IF(OR(AA69:AM69="SI"),"Critico","No Critico")</f>
        <v>No Critico</v>
      </c>
    </row>
    <row r="70" spans="1:40" hidden="1">
      <c r="A70" s="51">
        <f>Inicial!A67</f>
        <v>65</v>
      </c>
      <c r="B70" s="52"/>
      <c r="C70" s="52"/>
      <c r="D70" s="53"/>
      <c r="E70" s="51"/>
      <c r="F70" s="52"/>
      <c r="G70" s="52"/>
      <c r="H70" s="52"/>
      <c r="I70" s="54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12" t="str" cm="1">
        <f t="array" ref="W70">IF(OR(M70:V70="NO"),"No aceptable","Aceptable")</f>
        <v>Aceptable</v>
      </c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3" t="str" cm="1">
        <f t="array" ref="AN70">IF(OR(AA70:AM70="SI"),"Critico","No Critico")</f>
        <v>No Critico</v>
      </c>
    </row>
    <row r="71" spans="1:40" hidden="1">
      <c r="A71" s="51">
        <f>Inicial!A68</f>
        <v>66</v>
      </c>
      <c r="B71" s="52"/>
      <c r="C71" s="52"/>
      <c r="D71" s="53"/>
      <c r="E71" s="51"/>
      <c r="F71" s="52"/>
      <c r="G71" s="52"/>
      <c r="H71" s="52"/>
      <c r="I71" s="54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12" t="str" cm="1">
        <f t="array" ref="W71">IF(OR(M71:V71="NO"),"No aceptable","Aceptable")</f>
        <v>Aceptable</v>
      </c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3" t="str" cm="1">
        <f t="array" ref="AN71">IF(OR(AA71:AM71="SI"),"Critico","No Critico")</f>
        <v>No Critico</v>
      </c>
    </row>
    <row r="72" spans="1:40" hidden="1">
      <c r="A72" s="51">
        <f>Inicial!A69</f>
        <v>67</v>
      </c>
      <c r="B72" s="52"/>
      <c r="C72" s="52"/>
      <c r="D72" s="53"/>
      <c r="E72" s="51"/>
      <c r="F72" s="52"/>
      <c r="G72" s="52"/>
      <c r="H72" s="52"/>
      <c r="I72" s="54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12" t="str" cm="1">
        <f t="array" ref="W72">IF(OR(M72:V72="NO"),"No aceptable","Aceptable")</f>
        <v>Aceptable</v>
      </c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3" t="str" cm="1">
        <f t="array" ref="AN72">IF(OR(AA72:AM72="SI"),"Critico","No Critico")</f>
        <v>No Critico</v>
      </c>
    </row>
    <row r="73" spans="1:40" hidden="1">
      <c r="A73" s="51">
        <f>Inicial!A70</f>
        <v>68</v>
      </c>
      <c r="B73" s="52"/>
      <c r="C73" s="52"/>
      <c r="D73" s="53"/>
      <c r="E73" s="51"/>
      <c r="F73" s="52"/>
      <c r="G73" s="52"/>
      <c r="H73" s="52"/>
      <c r="I73" s="54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12" t="str" cm="1">
        <f t="array" ref="W73">IF(OR(M73:V73="NO"),"No aceptable","Aceptable")</f>
        <v>Aceptable</v>
      </c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3" t="str" cm="1">
        <f t="array" ref="AN73">IF(OR(AA73:AM73="SI"),"Critico","No Critico")</f>
        <v>No Critico</v>
      </c>
    </row>
    <row r="74" spans="1:40" hidden="1">
      <c r="A74" s="51">
        <f>Inicial!A71</f>
        <v>0</v>
      </c>
      <c r="B74" s="52"/>
      <c r="C74" s="52"/>
      <c r="D74" s="53"/>
      <c r="E74" s="51"/>
      <c r="F74" s="52"/>
      <c r="G74" s="52"/>
      <c r="H74" s="52"/>
      <c r="I74" s="54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12" t="str" cm="1">
        <f t="array" ref="W74">IF(OR(M74:V74="NO"),"No aceptable","Aceptable")</f>
        <v>Aceptable</v>
      </c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3" t="str" cm="1">
        <f t="array" ref="AN74">IF(OR(AA74:AM74="SI"),"Critico","No Critico")</f>
        <v>No Critico</v>
      </c>
    </row>
    <row r="75" spans="1:40" hidden="1">
      <c r="A75" s="51">
        <f>Inicial!A72</f>
        <v>0</v>
      </c>
      <c r="B75" s="52"/>
      <c r="C75" s="52"/>
      <c r="D75" s="53"/>
      <c r="E75" s="51"/>
      <c r="F75" s="52"/>
      <c r="G75" s="52"/>
      <c r="H75" s="52"/>
      <c r="I75" s="54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12" t="str" cm="1">
        <f t="array" ref="W75">IF(OR(M75:V75="NO"),"No aceptable","Aceptable")</f>
        <v>Aceptable</v>
      </c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3" t="str" cm="1">
        <f t="array" ref="AN75">IF(OR(AA75:AM75="SI"),"Critico","No Critico")</f>
        <v>No Critico</v>
      </c>
    </row>
    <row r="76" spans="1:40" hidden="1">
      <c r="A76" s="51">
        <f>Inicial!A73</f>
        <v>0</v>
      </c>
      <c r="B76" s="52"/>
      <c r="C76" s="52"/>
      <c r="D76" s="53"/>
      <c r="E76" s="51"/>
      <c r="F76" s="52"/>
      <c r="G76" s="52"/>
      <c r="H76" s="52"/>
      <c r="I76" s="54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12" t="str" cm="1">
        <f t="array" ref="W76">IF(OR(M76:V76="NO"),"No aceptable","Aceptable")</f>
        <v>Aceptable</v>
      </c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3" t="str" cm="1">
        <f t="array" ref="AN76">IF(OR(AA76:AM76="SI"),"Critico","No Critico")</f>
        <v>No Critico</v>
      </c>
    </row>
    <row r="77" spans="1:40" hidden="1">
      <c r="A77" s="51">
        <f>Inicial!A74</f>
        <v>0</v>
      </c>
      <c r="B77" s="52"/>
      <c r="C77" s="52"/>
      <c r="D77" s="53"/>
      <c r="E77" s="51"/>
      <c r="F77" s="52"/>
      <c r="G77" s="52"/>
      <c r="H77" s="52"/>
      <c r="I77" s="54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12" t="str" cm="1">
        <f t="array" ref="W77">IF(OR(M77:V77="NO"),"No aceptable","Aceptable")</f>
        <v>Aceptable</v>
      </c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3" t="str" cm="1">
        <f t="array" ref="AN77">IF(OR(AA77:AM77="SI"),"Critico","No Critico")</f>
        <v>No Critico</v>
      </c>
    </row>
    <row r="78" spans="1:40" hidden="1">
      <c r="A78" s="51">
        <f>Inicial!A75</f>
        <v>0</v>
      </c>
      <c r="B78" s="52"/>
      <c r="C78" s="52"/>
      <c r="D78" s="53"/>
      <c r="E78" s="51"/>
      <c r="F78" s="52"/>
      <c r="G78" s="52"/>
      <c r="H78" s="52"/>
      <c r="I78" s="54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12" t="str" cm="1">
        <f t="array" ref="W78">IF(OR(M78:V78="NO"),"No aceptable","Aceptable")</f>
        <v>Aceptable</v>
      </c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3" t="str" cm="1">
        <f t="array" ref="AN78">IF(OR(AA78:AM78="SI"),"Critico","No Critico")</f>
        <v>No Critico</v>
      </c>
    </row>
    <row r="79" spans="1:40" hidden="1">
      <c r="A79" s="51">
        <f>Inicial!A76</f>
        <v>0</v>
      </c>
      <c r="B79" s="52"/>
      <c r="C79" s="52"/>
      <c r="D79" s="53"/>
      <c r="E79" s="51"/>
      <c r="F79" s="52"/>
      <c r="G79" s="52"/>
      <c r="H79" s="52"/>
      <c r="I79" s="54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12" t="str" cm="1">
        <f t="array" ref="W79">IF(OR(M79:V79="NO"),"No aceptable","Aceptable")</f>
        <v>Aceptable</v>
      </c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3" t="str" cm="1">
        <f t="array" ref="AN79">IF(OR(AA79:AM79="SI"),"Critico","No Critico")</f>
        <v>No Critico</v>
      </c>
    </row>
    <row r="80" spans="1:40" hidden="1">
      <c r="A80" s="51">
        <f>Inicial!A77</f>
        <v>0</v>
      </c>
      <c r="B80" s="52"/>
      <c r="C80" s="52"/>
      <c r="D80" s="53"/>
      <c r="E80" s="51"/>
      <c r="F80" s="52"/>
      <c r="G80" s="52"/>
      <c r="H80" s="52"/>
      <c r="I80" s="54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12" t="str" cm="1">
        <f t="array" ref="W80">IF(OR(M80:V80="NO"),"No aceptable","Aceptable")</f>
        <v>Aceptable</v>
      </c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3" t="str" cm="1">
        <f t="array" ref="AN80">IF(OR(AA80:AM80="SI"),"Critico","No Critico")</f>
        <v>No Critico</v>
      </c>
    </row>
    <row r="81" spans="1:40" hidden="1">
      <c r="A81" s="51">
        <f>Inicial!A78</f>
        <v>0</v>
      </c>
      <c r="B81" s="52"/>
      <c r="C81" s="52"/>
      <c r="D81" s="53"/>
      <c r="E81" s="51"/>
      <c r="F81" s="52"/>
      <c r="G81" s="52"/>
      <c r="H81" s="52"/>
      <c r="I81" s="54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12" t="str" cm="1">
        <f t="array" ref="W81">IF(OR(M81:V81="NO"),"No aceptable","Aceptable")</f>
        <v>Aceptable</v>
      </c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3" t="str" cm="1">
        <f t="array" ref="AN81">IF(OR(AA81:AM81="SI"),"Critico","No Critico")</f>
        <v>No Critico</v>
      </c>
    </row>
    <row r="82" spans="1:40" hidden="1">
      <c r="A82" s="51">
        <f>Inicial!A79</f>
        <v>0</v>
      </c>
      <c r="B82" s="52"/>
      <c r="C82" s="52"/>
      <c r="D82" s="53"/>
      <c r="E82" s="51"/>
      <c r="F82" s="52"/>
      <c r="G82" s="52"/>
      <c r="H82" s="52"/>
      <c r="I82" s="54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12" t="str" cm="1">
        <f t="array" ref="W82">IF(OR(M82:V82="NO"),"No aceptable","Aceptable")</f>
        <v>Aceptable</v>
      </c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3" t="str" cm="1">
        <f t="array" ref="AN82">IF(OR(AA82:AM82="SI"),"Critico","No Critico")</f>
        <v>No Critico</v>
      </c>
    </row>
    <row r="83" spans="1:40" hidden="1">
      <c r="A83" s="51">
        <f>Inicial!A80</f>
        <v>0</v>
      </c>
      <c r="B83" s="52"/>
      <c r="C83" s="52"/>
      <c r="D83" s="53"/>
      <c r="E83" s="51"/>
      <c r="F83" s="52"/>
      <c r="G83" s="52"/>
      <c r="H83" s="52"/>
      <c r="I83" s="54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12" t="str" cm="1">
        <f t="array" ref="W83">IF(OR(M83:V83="NO"),"No aceptable","Aceptable")</f>
        <v>Aceptable</v>
      </c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3" t="str" cm="1">
        <f t="array" ref="AN83">IF(OR(AA83:AM83="SI"),"Critico","No Critico")</f>
        <v>No Critico</v>
      </c>
    </row>
    <row r="84" spans="1:40" hidden="1">
      <c r="A84" s="51">
        <f>Inicial!A81</f>
        <v>0</v>
      </c>
      <c r="B84" s="52"/>
      <c r="C84" s="52"/>
      <c r="D84" s="53"/>
      <c r="E84" s="51"/>
      <c r="F84" s="52"/>
      <c r="G84" s="52"/>
      <c r="H84" s="52"/>
      <c r="I84" s="54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12" t="str" cm="1">
        <f t="array" ref="W84">IF(OR(M84:V84="NO"),"No aceptable","Aceptable")</f>
        <v>Aceptable</v>
      </c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3" t="str" cm="1">
        <f t="array" ref="AN84">IF(OR(AA84:AM84="SI"),"Critico","No Critico")</f>
        <v>No Critico</v>
      </c>
    </row>
    <row r="85" spans="1:40" hidden="1">
      <c r="A85" s="51">
        <f>Inicial!A82</f>
        <v>0</v>
      </c>
      <c r="B85" s="52"/>
      <c r="C85" s="52"/>
      <c r="D85" s="53"/>
      <c r="E85" s="51"/>
      <c r="F85" s="52"/>
      <c r="G85" s="52"/>
      <c r="H85" s="52"/>
      <c r="I85" s="54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12" t="str" cm="1">
        <f t="array" ref="W85">IF(OR(M85:V85="NO"),"No aceptable","Aceptable")</f>
        <v>Aceptable</v>
      </c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3" t="str" cm="1">
        <f t="array" ref="AN85">IF(OR(AA85:AM85="SI"),"Critico","No Critico")</f>
        <v>No Critico</v>
      </c>
    </row>
    <row r="86" spans="1:40" hidden="1">
      <c r="A86" s="51">
        <f>Inicial!A83</f>
        <v>0</v>
      </c>
      <c r="B86" s="52"/>
      <c r="C86" s="52"/>
      <c r="D86" s="53"/>
      <c r="E86" s="51"/>
      <c r="F86" s="52"/>
      <c r="G86" s="52"/>
      <c r="H86" s="52"/>
      <c r="I86" s="54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12" t="str" cm="1">
        <f t="array" ref="W86">IF(OR(M86:V86="NO"),"No aceptable","Aceptable")</f>
        <v>Aceptable</v>
      </c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3" t="str" cm="1">
        <f t="array" ref="AN86">IF(OR(AA86:AM86="SI"),"Critico","No Critico")</f>
        <v>No Critico</v>
      </c>
    </row>
    <row r="87" spans="1:40" hidden="1">
      <c r="A87" s="51">
        <f>Inicial!A84</f>
        <v>0</v>
      </c>
      <c r="B87" s="52"/>
      <c r="C87" s="52"/>
      <c r="D87" s="53"/>
      <c r="E87" s="51"/>
      <c r="F87" s="52"/>
      <c r="G87" s="52"/>
      <c r="H87" s="52"/>
      <c r="I87" s="54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12" t="str" cm="1">
        <f t="array" ref="W87">IF(OR(M87:V87="NO"),"No aceptable","Aceptable")</f>
        <v>Aceptable</v>
      </c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3" t="str" cm="1">
        <f t="array" ref="AN87">IF(OR(AA87:AM87="SI"),"Critico","No Critico")</f>
        <v>No Critico</v>
      </c>
    </row>
    <row r="88" spans="1:40" hidden="1">
      <c r="A88" s="51">
        <f>Inicial!A85</f>
        <v>0</v>
      </c>
      <c r="B88" s="52"/>
      <c r="C88" s="52"/>
      <c r="D88" s="53"/>
      <c r="E88" s="51"/>
      <c r="F88" s="52"/>
      <c r="G88" s="52"/>
      <c r="H88" s="52"/>
      <c r="I88" s="54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12" t="str" cm="1">
        <f t="array" ref="W88">IF(OR(M88:V88="NO"),"No aceptable","Aceptable")</f>
        <v>Aceptable</v>
      </c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3" t="str" cm="1">
        <f t="array" ref="AN88">IF(OR(AA88:AM88="SI"),"Critico","No Critico")</f>
        <v>No Critico</v>
      </c>
    </row>
    <row r="89" spans="1:40" hidden="1">
      <c r="A89" s="51">
        <f>Inicial!A86</f>
        <v>0</v>
      </c>
      <c r="B89" s="52"/>
      <c r="C89" s="52"/>
      <c r="D89" s="53"/>
      <c r="E89" s="51"/>
      <c r="F89" s="52"/>
      <c r="G89" s="52"/>
      <c r="H89" s="52"/>
      <c r="I89" s="54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12" t="str" cm="1">
        <f t="array" ref="W89">IF(OR(M89:V89="NO"),"No aceptable","Aceptable")</f>
        <v>Aceptable</v>
      </c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3" t="str" cm="1">
        <f t="array" ref="AN89">IF(OR(AA89:AM89="SI"),"Critico","No Critico")</f>
        <v>No Critico</v>
      </c>
    </row>
    <row r="90" spans="1:40" hidden="1">
      <c r="A90" s="51">
        <f>Inicial!A87</f>
        <v>0</v>
      </c>
      <c r="B90" s="52"/>
      <c r="C90" s="52"/>
      <c r="D90" s="53"/>
      <c r="E90" s="51"/>
      <c r="F90" s="52"/>
      <c r="G90" s="52"/>
      <c r="H90" s="52"/>
      <c r="I90" s="54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12" t="str" cm="1">
        <f t="array" ref="W90">IF(OR(M90:V90="NO"),"No aceptable","Aceptable")</f>
        <v>Aceptable</v>
      </c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3" t="str" cm="1">
        <f t="array" ref="AN90">IF(OR(AA90:AM90="SI"),"Critico","No Critico")</f>
        <v>No Critico</v>
      </c>
    </row>
    <row r="91" spans="1:40" hidden="1">
      <c r="A91" s="51">
        <f>Inicial!A88</f>
        <v>0</v>
      </c>
      <c r="B91" s="52"/>
      <c r="C91" s="52"/>
      <c r="D91" s="53"/>
      <c r="E91" s="51"/>
      <c r="F91" s="52"/>
      <c r="G91" s="52"/>
      <c r="H91" s="52"/>
      <c r="I91" s="54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12" t="str" cm="1">
        <f t="array" ref="W91">IF(OR(M91:V91="NO"),"No aceptable","Aceptable")</f>
        <v>Aceptable</v>
      </c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3" t="str" cm="1">
        <f t="array" ref="AN91">IF(OR(AA91:AM91="SI"),"Critico","No Critico")</f>
        <v>No Critico</v>
      </c>
    </row>
    <row r="92" spans="1:40" hidden="1">
      <c r="A92" s="51">
        <f>Inicial!A89</f>
        <v>0</v>
      </c>
      <c r="B92" s="52"/>
      <c r="C92" s="52"/>
      <c r="D92" s="53"/>
      <c r="E92" s="51"/>
      <c r="F92" s="52"/>
      <c r="G92" s="52"/>
      <c r="H92" s="52"/>
      <c r="I92" s="54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12" t="str" cm="1">
        <f t="array" ref="W92">IF(OR(M92:V92="NO"),"No aceptable","Aceptable")</f>
        <v>Aceptable</v>
      </c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3" t="str" cm="1">
        <f t="array" ref="AN92">IF(OR(AA92:AM92="SI"),"Critico","No Critico")</f>
        <v>No Critico</v>
      </c>
    </row>
    <row r="93" spans="1:40" hidden="1">
      <c r="A93" s="51">
        <f>Inicial!A90</f>
        <v>0</v>
      </c>
      <c r="B93" s="52"/>
      <c r="C93" s="52"/>
      <c r="D93" s="53"/>
      <c r="E93" s="51"/>
      <c r="F93" s="52"/>
      <c r="G93" s="52"/>
      <c r="H93" s="52"/>
      <c r="I93" s="54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12" t="str" cm="1">
        <f t="array" ref="W93">IF(OR(M93:V93="NO"),"No aceptable","Aceptable")</f>
        <v>Aceptable</v>
      </c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3" t="str" cm="1">
        <f t="array" ref="AN93">IF(OR(AA93:AM93="SI"),"Critico","No Critico")</f>
        <v>No Critico</v>
      </c>
    </row>
    <row r="94" spans="1:40" hidden="1">
      <c r="A94" s="51">
        <f>Inicial!A91</f>
        <v>0</v>
      </c>
      <c r="B94" s="52"/>
      <c r="C94" s="52"/>
      <c r="D94" s="53"/>
      <c r="E94" s="51"/>
      <c r="F94" s="52"/>
      <c r="G94" s="52"/>
      <c r="H94" s="52"/>
      <c r="I94" s="54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12" t="str" cm="1">
        <f t="array" ref="W94">IF(OR(M94:V94="NO"),"No aceptable","Aceptable")</f>
        <v>Aceptable</v>
      </c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3" t="str" cm="1">
        <f t="array" ref="AN94">IF(OR(AA94:AM94="SI"),"Critico","No Critico")</f>
        <v>No Critico</v>
      </c>
    </row>
    <row r="95" spans="1:40" hidden="1">
      <c r="A95" s="51">
        <f>Inicial!A92</f>
        <v>0</v>
      </c>
      <c r="B95" s="52"/>
      <c r="C95" s="52"/>
      <c r="D95" s="53"/>
      <c r="E95" s="51"/>
      <c r="F95" s="52"/>
      <c r="G95" s="52"/>
      <c r="H95" s="52"/>
      <c r="I95" s="54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12" t="str" cm="1">
        <f t="array" ref="W95">IF(OR(M95:V95="NO"),"No aceptable","Aceptable")</f>
        <v>Aceptable</v>
      </c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3" t="str" cm="1">
        <f t="array" ref="AN95">IF(OR(AA95:AM95="SI"),"Critico","No Critico")</f>
        <v>No Critico</v>
      </c>
    </row>
    <row r="96" spans="1:40" hidden="1">
      <c r="A96" s="51">
        <f>Inicial!A93</f>
        <v>0</v>
      </c>
      <c r="B96" s="52"/>
      <c r="C96" s="52"/>
      <c r="D96" s="53"/>
      <c r="E96" s="51"/>
      <c r="F96" s="52"/>
      <c r="G96" s="52"/>
      <c r="H96" s="52"/>
      <c r="I96" s="54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12" t="str" cm="1">
        <f t="array" ref="W96">IF(OR(M96:V96="NO"),"No aceptable","Aceptable")</f>
        <v>Aceptable</v>
      </c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3" t="str" cm="1">
        <f t="array" ref="AN96">IF(OR(AA96:AM96="SI"),"Critico","No Critico")</f>
        <v>No Critico</v>
      </c>
    </row>
    <row r="97" spans="1:40" hidden="1">
      <c r="A97" s="51">
        <f>Inicial!A94</f>
        <v>0</v>
      </c>
      <c r="B97" s="52"/>
      <c r="C97" s="52"/>
      <c r="D97" s="53"/>
      <c r="E97" s="51"/>
      <c r="F97" s="52"/>
      <c r="G97" s="52"/>
      <c r="H97" s="52"/>
      <c r="I97" s="54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12" t="str" cm="1">
        <f t="array" ref="W97">IF(OR(M97:V97="NO"),"No aceptable","Aceptable")</f>
        <v>Aceptable</v>
      </c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3" t="str" cm="1">
        <f t="array" ref="AN97">IF(OR(AA97:AM97="SI"),"Critico","No Critico")</f>
        <v>No Critico</v>
      </c>
    </row>
    <row r="98" spans="1:40" hidden="1">
      <c r="A98" s="51">
        <f>Inicial!A95</f>
        <v>0</v>
      </c>
      <c r="B98" s="52"/>
      <c r="C98" s="52"/>
      <c r="D98" s="53"/>
      <c r="E98" s="51"/>
      <c r="F98" s="52"/>
      <c r="G98" s="52"/>
      <c r="H98" s="52"/>
      <c r="I98" s="54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12" t="str" cm="1">
        <f t="array" ref="W98">IF(OR(M98:V98="NO"),"No aceptable","Aceptable")</f>
        <v>Aceptable</v>
      </c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3" t="str" cm="1">
        <f t="array" ref="AN98">IF(OR(AA98:AM98="SI"),"Critico","No Critico")</f>
        <v>No Critico</v>
      </c>
    </row>
    <row r="99" spans="1:40" hidden="1">
      <c r="A99" s="51">
        <f>Inicial!A96</f>
        <v>0</v>
      </c>
      <c r="B99" s="52"/>
      <c r="C99" s="52"/>
      <c r="D99" s="53"/>
      <c r="E99" s="51"/>
      <c r="F99" s="52"/>
      <c r="G99" s="52"/>
      <c r="H99" s="52"/>
      <c r="I99" s="54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12" t="str" cm="1">
        <f t="array" ref="W99">IF(OR(M99:V99="NO"),"No aceptable","Aceptable")</f>
        <v>Aceptable</v>
      </c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3" t="str" cm="1">
        <f t="array" ref="AN99">IF(OR(AA99:AM99="SI"),"Critico","No Critico")</f>
        <v>No Critico</v>
      </c>
    </row>
    <row r="100" spans="1:40" hidden="1">
      <c r="A100" s="51">
        <f>Inicial!A97</f>
        <v>0</v>
      </c>
      <c r="B100" s="52"/>
      <c r="C100" s="52"/>
      <c r="D100" s="53"/>
      <c r="E100" s="51"/>
      <c r="F100" s="52"/>
      <c r="G100" s="52"/>
      <c r="H100" s="52"/>
      <c r="I100" s="54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12" t="str" cm="1">
        <f t="array" ref="W100">IF(OR(M100:V100="NO"),"No aceptable","Aceptable")</f>
        <v>Aceptable</v>
      </c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3" t="str" cm="1">
        <f t="array" ref="AN100">IF(OR(AA100:AM100="SI"),"Critico","No Critico")</f>
        <v>No Critico</v>
      </c>
    </row>
    <row r="101" spans="1:40" hidden="1">
      <c r="A101" s="51">
        <f>Inicial!A98</f>
        <v>0</v>
      </c>
      <c r="B101" s="52"/>
      <c r="C101" s="52"/>
      <c r="D101" s="53"/>
      <c r="E101" s="51"/>
      <c r="F101" s="52"/>
      <c r="G101" s="52"/>
      <c r="H101" s="52"/>
      <c r="I101" s="54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12" t="str" cm="1">
        <f t="array" ref="W101">IF(OR(M101:V101="NO"),"No aceptable","Aceptable")</f>
        <v>Aceptable</v>
      </c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3" t="str" cm="1">
        <f t="array" ref="AN101">IF(OR(AA101:AM101="SI"),"Critico","No Critico")</f>
        <v>No Critico</v>
      </c>
    </row>
    <row r="102" spans="1:40" hidden="1">
      <c r="A102" s="51">
        <f>Inicial!A99</f>
        <v>0</v>
      </c>
      <c r="B102" s="52"/>
      <c r="C102" s="52"/>
      <c r="D102" s="53"/>
      <c r="E102" s="51"/>
      <c r="F102" s="52"/>
      <c r="G102" s="52"/>
      <c r="H102" s="52"/>
      <c r="I102" s="54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12" t="str" cm="1">
        <f t="array" ref="W102">IF(OR(M102:V102="NO"),"No aceptable","Aceptable")</f>
        <v>Aceptable</v>
      </c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3" t="str" cm="1">
        <f t="array" ref="AN102">IF(OR(AA102:AM102="SI"),"Critico","No Critico")</f>
        <v>No Critico</v>
      </c>
    </row>
    <row r="103" spans="1:40" hidden="1">
      <c r="A103" s="51">
        <f>Inicial!A100</f>
        <v>0</v>
      </c>
      <c r="B103" s="52"/>
      <c r="C103" s="52"/>
      <c r="D103" s="53"/>
      <c r="E103" s="51"/>
      <c r="F103" s="52"/>
      <c r="G103" s="52"/>
      <c r="H103" s="52"/>
      <c r="I103" s="54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12" t="str" cm="1">
        <f t="array" ref="W103">IF(OR(M103:V103="NO"),"No aceptable","Aceptable")</f>
        <v>Aceptable</v>
      </c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3" t="str" cm="1">
        <f t="array" ref="AN103">IF(OR(AA103:AM103="SI"),"Critico","No Critico")</f>
        <v>No Critico</v>
      </c>
    </row>
    <row r="104" spans="1:40" hidden="1">
      <c r="A104" s="51">
        <f>Inicial!A101</f>
        <v>0</v>
      </c>
      <c r="B104" s="52"/>
      <c r="C104" s="52"/>
      <c r="D104" s="53"/>
      <c r="E104" s="51"/>
      <c r="F104" s="52"/>
      <c r="G104" s="52"/>
      <c r="H104" s="52"/>
      <c r="I104" s="54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12" t="str" cm="1">
        <f t="array" ref="W104">IF(OR(M104:V104="NO"),"No aceptable","Aceptable")</f>
        <v>Aceptable</v>
      </c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3" t="str" cm="1">
        <f t="array" ref="AN104">IF(OR(AA104:AM104="SI"),"Critico","No Critico")</f>
        <v>No Critico</v>
      </c>
    </row>
    <row r="105" spans="1:40" hidden="1">
      <c r="A105" s="51">
        <f>Inicial!A102</f>
        <v>0</v>
      </c>
      <c r="B105" s="52"/>
      <c r="C105" s="52"/>
      <c r="D105" s="53"/>
      <c r="E105" s="51"/>
      <c r="F105" s="52"/>
      <c r="G105" s="52"/>
      <c r="H105" s="52"/>
      <c r="I105" s="54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12" t="str" cm="1">
        <f t="array" ref="W105">IF(OR(M105:V105="NO"),"No aceptable","Aceptable")</f>
        <v>Aceptable</v>
      </c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3" t="str" cm="1">
        <f t="array" ref="AN105">IF(OR(AA105:AM105="SI"),"Critico","No Critico")</f>
        <v>No Critico</v>
      </c>
    </row>
    <row r="106" spans="1:40" hidden="1">
      <c r="A106" s="51">
        <f>Inicial!A103</f>
        <v>0</v>
      </c>
      <c r="B106" s="52"/>
      <c r="C106" s="52"/>
      <c r="D106" s="53"/>
      <c r="E106" s="51"/>
      <c r="F106" s="52"/>
      <c r="G106" s="52"/>
      <c r="H106" s="52"/>
      <c r="I106" s="54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12" t="str" cm="1">
        <f t="array" ref="W106">IF(OR(M106:V106="NO"),"No aceptable","Aceptable")</f>
        <v>Aceptable</v>
      </c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3" t="str" cm="1">
        <f t="array" ref="AN106">IF(OR(AA106:AM106="SI"),"Critico","No Critico")</f>
        <v>No Critico</v>
      </c>
    </row>
    <row r="107" spans="1:40" hidden="1">
      <c r="A107" s="51">
        <f>Inicial!A104</f>
        <v>0</v>
      </c>
      <c r="B107" s="52"/>
      <c r="C107" s="52"/>
      <c r="D107" s="53"/>
      <c r="E107" s="51"/>
      <c r="F107" s="52"/>
      <c r="G107" s="52"/>
      <c r="H107" s="52"/>
      <c r="I107" s="54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12" t="str" cm="1">
        <f t="array" ref="W107">IF(OR(M107:V107="NO"),"No aceptable","Aceptable")</f>
        <v>Aceptable</v>
      </c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3" t="str" cm="1">
        <f t="array" ref="AN107">IF(OR(AA107:AM107="SI"),"Critico","No Critico")</f>
        <v>No Critico</v>
      </c>
    </row>
    <row r="108" spans="1:40" hidden="1">
      <c r="A108" s="51">
        <f>Inicial!A105</f>
        <v>0</v>
      </c>
      <c r="B108" s="52"/>
      <c r="C108" s="52"/>
      <c r="D108" s="53"/>
      <c r="E108" s="51"/>
      <c r="F108" s="52"/>
      <c r="G108" s="52"/>
      <c r="H108" s="52"/>
      <c r="I108" s="54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12" t="str" cm="1">
        <f t="array" ref="W108">IF(OR(M108:V108="NO"),"No aceptable","Aceptable")</f>
        <v>Aceptable</v>
      </c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3" t="str" cm="1">
        <f t="array" ref="AN108">IF(OR(AA108:AM108="SI"),"Critico","No Critico")</f>
        <v>No Critico</v>
      </c>
    </row>
    <row r="109" spans="1:40" hidden="1">
      <c r="A109" s="51">
        <f>Inicial!A106</f>
        <v>0</v>
      </c>
      <c r="B109" s="52"/>
      <c r="C109" s="52"/>
      <c r="D109" s="53"/>
      <c r="E109" s="51"/>
      <c r="F109" s="52"/>
      <c r="G109" s="52"/>
      <c r="H109" s="52"/>
      <c r="I109" s="54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12" t="str" cm="1">
        <f t="array" ref="W109">IF(OR(M109:V109="NO"),"No aceptable","Aceptable")</f>
        <v>Aceptable</v>
      </c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3" t="str" cm="1">
        <f t="array" ref="AN109">IF(OR(AA109:AM109="SI"),"Critico","No Critico")</f>
        <v>No Critico</v>
      </c>
    </row>
    <row r="110" spans="1:40" hidden="1">
      <c r="A110" s="51">
        <f>Inicial!A107</f>
        <v>0</v>
      </c>
      <c r="B110" s="52"/>
      <c r="C110" s="52"/>
      <c r="D110" s="53"/>
      <c r="E110" s="51"/>
      <c r="F110" s="52"/>
      <c r="G110" s="52"/>
      <c r="H110" s="52"/>
      <c r="I110" s="54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12" t="str" cm="1">
        <f t="array" ref="W110">IF(OR(M110:V110="NO"),"No aceptable","Aceptable")</f>
        <v>Aceptable</v>
      </c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3" t="str" cm="1">
        <f t="array" ref="AN110">IF(OR(AA110:AM110="SI"),"Critico","No Critico")</f>
        <v>No Critico</v>
      </c>
    </row>
    <row r="111" spans="1:40" hidden="1">
      <c r="A111" s="51">
        <f>Inicial!A108</f>
        <v>0</v>
      </c>
      <c r="B111" s="52"/>
      <c r="C111" s="52"/>
      <c r="D111" s="53"/>
      <c r="E111" s="51"/>
      <c r="F111" s="52"/>
      <c r="G111" s="52"/>
      <c r="H111" s="52"/>
      <c r="I111" s="54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12" t="str" cm="1">
        <f t="array" ref="W111">IF(OR(M111:V111="NO"),"No aceptable","Aceptable")</f>
        <v>Aceptable</v>
      </c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3" t="str" cm="1">
        <f t="array" ref="AN111">IF(OR(AA111:AM111="SI"),"Critico","No Critico")</f>
        <v>No Critico</v>
      </c>
    </row>
    <row r="112" spans="1:40" hidden="1">
      <c r="A112" s="51">
        <f>Inicial!A109</f>
        <v>0</v>
      </c>
      <c r="B112" s="52"/>
      <c r="C112" s="52"/>
      <c r="D112" s="53"/>
      <c r="E112" s="51"/>
      <c r="F112" s="52"/>
      <c r="G112" s="52"/>
      <c r="H112" s="52"/>
      <c r="I112" s="54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12" t="str" cm="1">
        <f t="array" ref="W112">IF(OR(M112:V112="NO"),"No aceptable","Aceptable")</f>
        <v>Aceptable</v>
      </c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3" t="str" cm="1">
        <f t="array" ref="AN112">IF(OR(AA112:AM112="SI"),"Critico","No Critico")</f>
        <v>No Critico</v>
      </c>
    </row>
    <row r="113" spans="1:40" hidden="1">
      <c r="A113" s="51">
        <f>Inicial!A110</f>
        <v>0</v>
      </c>
      <c r="B113" s="52"/>
      <c r="C113" s="52"/>
      <c r="D113" s="53"/>
      <c r="E113" s="51"/>
      <c r="F113" s="52"/>
      <c r="G113" s="52"/>
      <c r="H113" s="52"/>
      <c r="I113" s="54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12" t="str" cm="1">
        <f t="array" ref="W113">IF(OR(M113:V113="NO"),"No aceptable","Aceptable")</f>
        <v>Aceptable</v>
      </c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3" t="str" cm="1">
        <f t="array" ref="AN113">IF(OR(AA113:AM113="SI"),"Critico","No Critico")</f>
        <v>No Critico</v>
      </c>
    </row>
    <row r="114" spans="1:40" hidden="1">
      <c r="A114" s="51">
        <f>Inicial!A111</f>
        <v>0</v>
      </c>
      <c r="B114" s="52"/>
      <c r="C114" s="52"/>
      <c r="D114" s="53"/>
      <c r="E114" s="51"/>
      <c r="F114" s="52"/>
      <c r="G114" s="52"/>
      <c r="H114" s="52"/>
      <c r="I114" s="54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12" t="str" cm="1">
        <f t="array" ref="W114">IF(OR(M114:V114="NO"),"No aceptable","Aceptable")</f>
        <v>Aceptable</v>
      </c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3" t="str" cm="1">
        <f t="array" ref="AN114">IF(OR(AA114:AM114="SI"),"Critico","No Critico")</f>
        <v>No Critico</v>
      </c>
    </row>
    <row r="115" spans="1:40" hidden="1">
      <c r="A115" s="51">
        <f>Inicial!A112</f>
        <v>0</v>
      </c>
      <c r="B115" s="52"/>
      <c r="C115" s="52"/>
      <c r="D115" s="53"/>
      <c r="E115" s="51"/>
      <c r="F115" s="52"/>
      <c r="G115" s="52"/>
      <c r="H115" s="52"/>
      <c r="I115" s="54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12" t="str" cm="1">
        <f t="array" ref="W115">IF(OR(M115:V115="NO"),"No aceptable","Aceptable")</f>
        <v>Aceptable</v>
      </c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3" t="str" cm="1">
        <f t="array" ref="AN115">IF(OR(AA115:AM115="SI"),"Critico","No Critico")</f>
        <v>No Critico</v>
      </c>
    </row>
    <row r="116" spans="1:40" hidden="1">
      <c r="A116" s="51">
        <f>Inicial!A113</f>
        <v>0</v>
      </c>
      <c r="B116" s="52"/>
      <c r="C116" s="52"/>
      <c r="D116" s="53"/>
      <c r="E116" s="51"/>
      <c r="F116" s="52"/>
      <c r="G116" s="52"/>
      <c r="H116" s="52"/>
      <c r="I116" s="54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12" t="str" cm="1">
        <f t="array" ref="W116">IF(OR(M116:V116="NO"),"No aceptable","Aceptable")</f>
        <v>Aceptable</v>
      </c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3" t="str" cm="1">
        <f t="array" ref="AN116">IF(OR(AA116:AM116="SI"),"Critico","No Critico")</f>
        <v>No Critico</v>
      </c>
    </row>
    <row r="117" spans="1:40" hidden="1">
      <c r="A117" s="51">
        <f>Inicial!A114</f>
        <v>0</v>
      </c>
      <c r="B117" s="52"/>
      <c r="C117" s="52"/>
      <c r="D117" s="53"/>
      <c r="E117" s="51"/>
      <c r="F117" s="52"/>
      <c r="G117" s="52"/>
      <c r="H117" s="52"/>
      <c r="I117" s="54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12" t="str" cm="1">
        <f t="array" ref="W117">IF(OR(M117:V117="NO"),"No aceptable","Aceptable")</f>
        <v>Aceptable</v>
      </c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3" t="str" cm="1">
        <f t="array" ref="AN117">IF(OR(AA117:AM117="SI"),"Critico","No Critico")</f>
        <v>No Critico</v>
      </c>
    </row>
    <row r="118" spans="1:40" hidden="1">
      <c r="A118" s="51">
        <f>Inicial!A115</f>
        <v>0</v>
      </c>
      <c r="B118" s="52"/>
      <c r="C118" s="52"/>
      <c r="D118" s="53"/>
      <c r="E118" s="51"/>
      <c r="F118" s="52"/>
      <c r="G118" s="52"/>
      <c r="H118" s="52"/>
      <c r="I118" s="54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12" t="str" cm="1">
        <f t="array" ref="W118">IF(OR(M118:V118="NO"),"No aceptable","Aceptable")</f>
        <v>Aceptable</v>
      </c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3" t="str" cm="1">
        <f t="array" ref="AN118">IF(OR(AA118:AM118="SI"),"Critico","No Critico")</f>
        <v>No Critico</v>
      </c>
    </row>
    <row r="119" spans="1:40" hidden="1">
      <c r="A119" s="51">
        <f>Inicial!A116</f>
        <v>0</v>
      </c>
      <c r="B119" s="52"/>
      <c r="C119" s="52"/>
      <c r="D119" s="53"/>
      <c r="E119" s="51"/>
      <c r="F119" s="52"/>
      <c r="G119" s="52"/>
      <c r="H119" s="52"/>
      <c r="I119" s="54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12" t="str" cm="1">
        <f t="array" ref="W119">IF(OR(M119:V119="NO"),"No aceptable","Aceptable")</f>
        <v>Aceptable</v>
      </c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3" t="str" cm="1">
        <f t="array" ref="AN119">IF(OR(AA119:AM119="SI"),"Critico","No Critico")</f>
        <v>No Critico</v>
      </c>
    </row>
    <row r="120" spans="1:40" hidden="1">
      <c r="A120" s="51">
        <f>Inicial!A117</f>
        <v>0</v>
      </c>
      <c r="B120" s="52"/>
      <c r="C120" s="52"/>
      <c r="D120" s="53"/>
      <c r="E120" s="51"/>
      <c r="F120" s="52"/>
      <c r="G120" s="52"/>
      <c r="H120" s="52"/>
      <c r="I120" s="54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12" t="str" cm="1">
        <f t="array" ref="W120">IF(OR(M120:V120="NO"),"No aceptable","Aceptable")</f>
        <v>Aceptable</v>
      </c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3" t="str" cm="1">
        <f t="array" ref="AN120">IF(OR(AA120:AM120="SI"),"Critico","No Critico")</f>
        <v>No Critico</v>
      </c>
    </row>
    <row r="121" spans="1:40" hidden="1">
      <c r="A121" s="51">
        <f>Inicial!A118</f>
        <v>0</v>
      </c>
      <c r="B121" s="52"/>
      <c r="C121" s="52"/>
      <c r="D121" s="53"/>
      <c r="E121" s="51"/>
      <c r="F121" s="52"/>
      <c r="G121" s="52"/>
      <c r="H121" s="52"/>
      <c r="I121" s="54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12" t="str" cm="1">
        <f t="array" ref="W121">IF(OR(M121:V121="NO"),"No aceptable","Aceptable")</f>
        <v>Aceptable</v>
      </c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3" t="str" cm="1">
        <f t="array" ref="AN121">IF(OR(AA121:AM121="SI"),"Critico","No Critico")</f>
        <v>No Critico</v>
      </c>
    </row>
    <row r="122" spans="1:40" hidden="1">
      <c r="A122" s="51">
        <f>Inicial!A119</f>
        <v>0</v>
      </c>
      <c r="B122" s="52"/>
      <c r="C122" s="52"/>
      <c r="D122" s="53"/>
      <c r="E122" s="51"/>
      <c r="F122" s="52"/>
      <c r="G122" s="52"/>
      <c r="H122" s="52"/>
      <c r="I122" s="54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12" t="str" cm="1">
        <f t="array" ref="W122">IF(OR(M122:V122="NO"),"No aceptable","Aceptable")</f>
        <v>Aceptable</v>
      </c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3" t="str" cm="1">
        <f t="array" ref="AN122">IF(OR(AA122:AM122="SI"),"Critico","No Critico")</f>
        <v>No Critico</v>
      </c>
    </row>
    <row r="123" spans="1:40" hidden="1">
      <c r="A123" s="51">
        <f>Inicial!A120</f>
        <v>0</v>
      </c>
      <c r="B123" s="52"/>
      <c r="C123" s="52"/>
      <c r="D123" s="53"/>
      <c r="E123" s="51"/>
      <c r="F123" s="52"/>
      <c r="G123" s="52"/>
      <c r="H123" s="52"/>
      <c r="I123" s="54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12" t="str" cm="1">
        <f t="array" ref="W123">IF(OR(M123:V123="NO"),"No aceptable","Aceptable")</f>
        <v>Aceptable</v>
      </c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3" t="str" cm="1">
        <f t="array" ref="AN123">IF(OR(AA123:AM123="SI"),"Critico","No Critico")</f>
        <v>No Critico</v>
      </c>
    </row>
    <row r="124" spans="1:40" hidden="1">
      <c r="A124" s="51">
        <f>Inicial!A121</f>
        <v>0</v>
      </c>
      <c r="B124" s="52"/>
      <c r="C124" s="52"/>
      <c r="D124" s="53"/>
      <c r="E124" s="51"/>
      <c r="F124" s="52"/>
      <c r="G124" s="52"/>
      <c r="H124" s="52"/>
      <c r="I124" s="54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12" t="str" cm="1">
        <f t="array" ref="W124">IF(OR(M124:V124="NO"),"No aceptable","Aceptable")</f>
        <v>Aceptable</v>
      </c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3" t="str" cm="1">
        <f t="array" ref="AN124">IF(OR(AA124:AM124="SI"),"Critico","No Critico")</f>
        <v>No Critico</v>
      </c>
    </row>
    <row r="125" spans="1:40" hidden="1">
      <c r="A125" s="51">
        <f>Inicial!A122</f>
        <v>0</v>
      </c>
      <c r="B125" s="52"/>
      <c r="C125" s="52"/>
      <c r="D125" s="53"/>
      <c r="E125" s="51"/>
      <c r="F125" s="52"/>
      <c r="G125" s="52"/>
      <c r="H125" s="52"/>
      <c r="I125" s="54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12" t="str" cm="1">
        <f t="array" ref="W125">IF(OR(M125:V125="NO"),"No aceptable","Aceptable")</f>
        <v>Aceptable</v>
      </c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3" t="str" cm="1">
        <f t="array" ref="AN125">IF(OR(AA125:AM125="SI"),"Critico","No Critico")</f>
        <v>No Critico</v>
      </c>
    </row>
    <row r="126" spans="1:40" hidden="1">
      <c r="A126" s="51">
        <f>Inicial!A123</f>
        <v>0</v>
      </c>
      <c r="B126" s="52"/>
      <c r="C126" s="52"/>
      <c r="D126" s="53"/>
      <c r="E126" s="51"/>
      <c r="F126" s="52"/>
      <c r="G126" s="52"/>
      <c r="H126" s="52"/>
      <c r="I126" s="54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12" t="str" cm="1">
        <f t="array" ref="W126">IF(OR(M126:V126="NO"),"No aceptable","Aceptable")</f>
        <v>Aceptable</v>
      </c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3" t="str" cm="1">
        <f t="array" ref="AN126">IF(OR(AA126:AM126="SI"),"Critico","No Critico")</f>
        <v>No Critico</v>
      </c>
    </row>
    <row r="127" spans="1:40" hidden="1">
      <c r="A127" s="51">
        <f>Inicial!A124</f>
        <v>0</v>
      </c>
      <c r="B127" s="52"/>
      <c r="C127" s="52"/>
      <c r="D127" s="53"/>
      <c r="E127" s="51"/>
      <c r="F127" s="52"/>
      <c r="G127" s="52"/>
      <c r="H127" s="52"/>
      <c r="I127" s="54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12" t="str" cm="1">
        <f t="array" ref="W127">IF(OR(M127:V127="NO"),"No aceptable","Aceptable")</f>
        <v>Aceptable</v>
      </c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3" t="str" cm="1">
        <f t="array" ref="AN127">IF(OR(AA127:AM127="SI"),"Critico","No Critico")</f>
        <v>No Critico</v>
      </c>
    </row>
    <row r="128" spans="1:40" hidden="1">
      <c r="A128" s="51">
        <f>Inicial!A125</f>
        <v>0</v>
      </c>
      <c r="B128" s="52"/>
      <c r="C128" s="52"/>
      <c r="D128" s="53"/>
      <c r="E128" s="51"/>
      <c r="F128" s="52"/>
      <c r="G128" s="52"/>
      <c r="H128" s="52"/>
      <c r="I128" s="54"/>
      <c r="W128" s="12" t="str" cm="1">
        <f t="array" ref="W128">IF(OR(M128:V128="NO"),"No aceptable","Aceptable")</f>
        <v>Aceptable</v>
      </c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3" t="str" cm="1">
        <f t="array" ref="AN128">IF(OR(AA128:AM128="SI"),"Critico","No Critico")</f>
        <v>No Critico</v>
      </c>
    </row>
    <row r="129" spans="1:40" hidden="1">
      <c r="A129" s="51">
        <f>Inicial!A126</f>
        <v>0</v>
      </c>
      <c r="B129" s="52"/>
      <c r="C129" s="52"/>
      <c r="D129" s="53"/>
      <c r="E129" s="51"/>
      <c r="F129" s="52"/>
      <c r="G129" s="52"/>
      <c r="H129" s="52"/>
      <c r="I129" s="54"/>
      <c r="W129" s="12" t="str" cm="1">
        <f t="array" ref="W129">IF(OR(M129:V129="NO"),"No aceptable","Aceptable")</f>
        <v>Aceptable</v>
      </c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3" t="str" cm="1">
        <f t="array" ref="AN129">IF(OR(AA129:AM129="SI"),"Critico","No Critico")</f>
        <v>No Critico</v>
      </c>
    </row>
    <row r="130" spans="1:40" hidden="1">
      <c r="A130" s="51">
        <f>Inicial!A127</f>
        <v>0</v>
      </c>
      <c r="B130" s="52"/>
      <c r="C130" s="52"/>
      <c r="D130" s="53"/>
      <c r="E130" s="51"/>
      <c r="F130" s="52"/>
      <c r="G130" s="52"/>
      <c r="H130" s="52"/>
      <c r="I130" s="54"/>
      <c r="W130" s="12" t="str" cm="1">
        <f t="array" ref="W130">IF(OR(M130:V130="NO"),"No aceptable","Aceptable")</f>
        <v>Aceptable</v>
      </c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3" t="str" cm="1">
        <f t="array" ref="AN130">IF(OR(AA130:AM130="SI"),"Critico","No Critico")</f>
        <v>No Critico</v>
      </c>
    </row>
    <row r="131" spans="1:40" hidden="1">
      <c r="A131" s="51">
        <f>Inicial!A128</f>
        <v>0</v>
      </c>
      <c r="B131" s="52"/>
      <c r="C131" s="52"/>
      <c r="D131" s="53"/>
      <c r="E131" s="51"/>
      <c r="F131" s="52"/>
      <c r="G131" s="52"/>
      <c r="H131" s="52"/>
      <c r="I131" s="54"/>
      <c r="W131" s="12" t="str" cm="1">
        <f t="array" ref="W131">IF(OR(M131:V131="NO"),"No aceptable","Aceptable")</f>
        <v>Aceptable</v>
      </c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3" t="str" cm="1">
        <f t="array" ref="AN131">IF(OR(AA131:AM131="SI"),"Critico","No Critico")</f>
        <v>No Critico</v>
      </c>
    </row>
    <row r="132" spans="1:40" hidden="1">
      <c r="A132" s="51">
        <f>Inicial!A129</f>
        <v>0</v>
      </c>
      <c r="B132" s="52"/>
      <c r="C132" s="52"/>
      <c r="D132" s="53"/>
      <c r="E132" s="51"/>
      <c r="F132" s="52"/>
      <c r="G132" s="52"/>
      <c r="H132" s="52"/>
      <c r="I132" s="54"/>
      <c r="W132" s="12" t="str" cm="1">
        <f t="array" ref="W132">IF(OR(M132:V132="NO"),"No aceptable","Aceptable")</f>
        <v>Aceptable</v>
      </c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3" t="str" cm="1">
        <f t="array" ref="AN132">IF(OR(AA132:AM132="SI"),"Critico","No Critico")</f>
        <v>No Critico</v>
      </c>
    </row>
    <row r="133" spans="1:40" hidden="1">
      <c r="A133" s="51">
        <f>Inicial!A130</f>
        <v>0</v>
      </c>
      <c r="B133" s="52"/>
      <c r="C133" s="52"/>
      <c r="D133" s="53"/>
      <c r="E133" s="51"/>
      <c r="F133" s="52"/>
      <c r="G133" s="52"/>
      <c r="H133" s="52"/>
      <c r="I133" s="54"/>
      <c r="W133" s="12" t="str" cm="1">
        <f t="array" ref="W133">IF(OR(M133:V133="NO"),"No aceptable","Aceptable")</f>
        <v>Aceptable</v>
      </c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3" t="str" cm="1">
        <f t="array" ref="AN133">IF(OR(AA133:AM133="SI"),"Critico","No Critico")</f>
        <v>No Critico</v>
      </c>
    </row>
    <row r="134" spans="1:40" hidden="1">
      <c r="A134" s="51">
        <f>Inicial!A131</f>
        <v>0</v>
      </c>
      <c r="B134" s="52"/>
      <c r="C134" s="52"/>
      <c r="D134" s="53"/>
      <c r="E134" s="51"/>
      <c r="F134" s="52"/>
      <c r="G134" s="52"/>
      <c r="H134" s="52"/>
      <c r="I134" s="54"/>
      <c r="W134" s="12" t="str" cm="1">
        <f t="array" ref="W134">IF(OR(M134:V134="NO"),"No aceptable","Aceptable")</f>
        <v>Aceptable</v>
      </c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3" t="str" cm="1">
        <f t="array" ref="AN134">IF(OR(AA134:AM134="SI"),"Critico","No Critico")</f>
        <v>No Critico</v>
      </c>
    </row>
    <row r="135" spans="1:40" hidden="1">
      <c r="A135" s="51">
        <f>Inicial!A132</f>
        <v>0</v>
      </c>
      <c r="B135" s="52"/>
      <c r="C135" s="52"/>
      <c r="D135" s="53"/>
      <c r="E135" s="51"/>
      <c r="F135" s="52"/>
      <c r="G135" s="52"/>
      <c r="H135" s="52"/>
      <c r="I135" s="54"/>
      <c r="W135" s="12" t="str" cm="1">
        <f t="array" ref="W135">IF(OR(M135:V135="NO"),"No aceptable","Aceptable")</f>
        <v>Aceptable</v>
      </c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3" t="str" cm="1">
        <f t="array" ref="AN135">IF(OR(AA135:AM135="SI"),"Critico","No Critico")</f>
        <v>No Critico</v>
      </c>
    </row>
    <row r="136" spans="1:40" hidden="1">
      <c r="A136" s="51">
        <f>Inicial!A133</f>
        <v>0</v>
      </c>
      <c r="B136" s="52"/>
      <c r="C136" s="52"/>
      <c r="D136" s="53"/>
      <c r="E136" s="51"/>
      <c r="F136" s="52"/>
      <c r="G136" s="52"/>
      <c r="H136" s="52"/>
      <c r="I136" s="54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 hidden="1">
      <c r="A137" s="51">
        <f>Inicial!A134</f>
        <v>0</v>
      </c>
      <c r="B137" s="52"/>
      <c r="C137" s="52"/>
      <c r="D137" s="53"/>
      <c r="E137" s="51"/>
      <c r="F137" s="52"/>
      <c r="G137" s="52"/>
      <c r="H137" s="52"/>
      <c r="I137" s="54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 hidden="1">
      <c r="A138" s="51">
        <f>Inicial!A135</f>
        <v>0</v>
      </c>
      <c r="B138" s="52"/>
      <c r="C138" s="52"/>
      <c r="D138" s="53"/>
      <c r="E138" s="51"/>
      <c r="F138" s="52"/>
      <c r="G138" s="52"/>
      <c r="H138" s="52"/>
      <c r="I138" s="54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 hidden="1">
      <c r="A139" s="51">
        <f>Inicial!A136</f>
        <v>0</v>
      </c>
      <c r="B139" s="52"/>
      <c r="C139" s="52"/>
      <c r="D139" s="53"/>
      <c r="E139" s="51"/>
      <c r="F139" s="52"/>
      <c r="G139" s="52"/>
      <c r="H139" s="52"/>
      <c r="I139" s="54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 hidden="1">
      <c r="A140" s="51">
        <f>Inicial!A137</f>
        <v>0</v>
      </c>
      <c r="B140" s="52"/>
      <c r="C140" s="52"/>
      <c r="D140" s="53"/>
      <c r="E140" s="51"/>
      <c r="F140" s="52"/>
      <c r="G140" s="52"/>
      <c r="H140" s="52"/>
      <c r="I140" s="54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 hidden="1">
      <c r="A141" s="51">
        <f>Inicial!A138</f>
        <v>0</v>
      </c>
      <c r="B141" s="52"/>
      <c r="C141" s="52"/>
      <c r="D141" s="53"/>
      <c r="E141" s="51"/>
      <c r="F141" s="52"/>
      <c r="G141" s="52"/>
      <c r="H141" s="52"/>
      <c r="I141" s="54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 hidden="1">
      <c r="A142" s="51">
        <f>Inicial!A139</f>
        <v>0</v>
      </c>
      <c r="B142" s="52"/>
      <c r="C142" s="52"/>
      <c r="D142" s="53"/>
      <c r="E142" s="51"/>
      <c r="F142" s="52"/>
      <c r="G142" s="52"/>
      <c r="H142" s="52"/>
      <c r="I142" s="54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 hidden="1">
      <c r="A143" s="51">
        <f>Inicial!A140</f>
        <v>0</v>
      </c>
      <c r="B143" s="52"/>
      <c r="C143" s="52"/>
      <c r="D143" s="53"/>
      <c r="E143" s="51"/>
      <c r="F143" s="52"/>
      <c r="G143" s="52"/>
      <c r="H143" s="52"/>
      <c r="I143" s="54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 hidden="1">
      <c r="A144" s="51">
        <f>Inicial!A141</f>
        <v>0</v>
      </c>
      <c r="B144" s="52"/>
      <c r="C144" s="52"/>
      <c r="D144" s="53"/>
      <c r="E144" s="51"/>
      <c r="F144" s="52"/>
      <c r="G144" s="52"/>
      <c r="H144" s="52"/>
      <c r="I144" s="54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 hidden="1">
      <c r="A145" s="51">
        <f>Inicial!A142</f>
        <v>0</v>
      </c>
      <c r="B145" s="52"/>
      <c r="C145" s="52"/>
      <c r="D145" s="53"/>
      <c r="E145" s="51"/>
      <c r="F145" s="52"/>
      <c r="G145" s="52"/>
      <c r="H145" s="52"/>
      <c r="I145" s="54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 hidden="1">
      <c r="A146" s="51">
        <f>Inicial!A143</f>
        <v>0</v>
      </c>
      <c r="B146" s="52"/>
      <c r="C146" s="52"/>
      <c r="D146" s="53"/>
      <c r="E146" s="51"/>
      <c r="F146" s="52"/>
      <c r="G146" s="52"/>
      <c r="H146" s="52"/>
      <c r="I146" s="54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 hidden="1">
      <c r="A147" s="51">
        <f>Inicial!A144</f>
        <v>0</v>
      </c>
      <c r="B147" s="52"/>
      <c r="C147" s="52"/>
      <c r="D147" s="53"/>
      <c r="E147" s="51"/>
      <c r="F147" s="52"/>
      <c r="G147" s="52"/>
      <c r="H147" s="52"/>
      <c r="I147" s="54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 hidden="1">
      <c r="A148" s="51">
        <f>Inicial!A145</f>
        <v>0</v>
      </c>
      <c r="B148" s="52"/>
      <c r="C148" s="52"/>
      <c r="D148" s="53"/>
      <c r="E148" s="51"/>
      <c r="F148" s="52"/>
      <c r="G148" s="52"/>
      <c r="H148" s="52"/>
      <c r="I148" s="54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 hidden="1">
      <c r="A149" s="51">
        <f>Inicial!A146</f>
        <v>0</v>
      </c>
      <c r="B149" s="52"/>
      <c r="C149" s="52"/>
      <c r="D149" s="53"/>
      <c r="E149" s="51"/>
      <c r="F149" s="52"/>
      <c r="G149" s="52"/>
      <c r="H149" s="52"/>
      <c r="I149" s="54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>
      <c r="A150" s="51"/>
      <c r="B150" s="52"/>
      <c r="C150" s="52"/>
      <c r="D150" s="53"/>
      <c r="E150" s="51"/>
      <c r="F150" s="52"/>
      <c r="G150" s="52"/>
      <c r="H150" s="52"/>
      <c r="I150" s="54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</row>
    <row r="151" spans="1:40"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</row>
    <row r="152" spans="1:40"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</row>
    <row r="153" spans="1:40"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</row>
    <row r="154" spans="1:40"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</row>
    <row r="155" spans="1:40"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</row>
    <row r="156" spans="1:40"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</row>
    <row r="157" spans="1:40"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</row>
    <row r="158" spans="1:40"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</row>
    <row r="159" spans="1:40"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</row>
    <row r="160" spans="1:40"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</row>
    <row r="161" spans="24:39"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</row>
    <row r="162" spans="24:39"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</row>
    <row r="163" spans="24:39"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</row>
    <row r="164" spans="24:39"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</row>
    <row r="165" spans="24:39"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</row>
    <row r="166" spans="24:39"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</row>
    <row r="167" spans="24:39"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</row>
    <row r="168" spans="24:39"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</row>
    <row r="169" spans="24:39"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</row>
    <row r="170" spans="24:39"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</row>
    <row r="171" spans="24:39"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</row>
    <row r="172" spans="24:39"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</row>
    <row r="173" spans="24:39"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</row>
    <row r="174" spans="24:39"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</row>
    <row r="175" spans="24:39"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</row>
    <row r="176" spans="24:39"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</row>
    <row r="177" spans="24:39"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</row>
    <row r="178" spans="24:39"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</row>
    <row r="179" spans="24:39"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24:39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24:39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24:39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24:39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24:39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24:39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24:39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24:39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24:39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24:39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24:39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24:39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24:39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 ht="15"/>
  </sheetData>
  <autoFilter ref="A2:AT149" xr:uid="{50BD82D4-F022-4A8A-A70B-E1EDDA566995}">
    <filterColumn colId="2">
      <filters>
        <filter val="Trozado L5"/>
      </filters>
    </filterColumn>
  </autoFilter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V127 X3:AM135">
    <cfRule type="cellIs" dxfId="34" priority="1" operator="equal">
      <formula>"N/A"</formula>
    </cfRule>
  </conditionalFormatting>
  <conditionalFormatting sqref="J3:V149">
    <cfRule type="cellIs" dxfId="33" priority="2" operator="equal">
      <formula>"NO"</formula>
    </cfRule>
    <cfRule type="cellIs" dxfId="32" priority="3" operator="equal">
      <formula>"SI"</formula>
    </cfRule>
  </conditionalFormatting>
  <conditionalFormatting sqref="J150:W1048576">
    <cfRule type="cellIs" dxfId="31" priority="20" operator="equal">
      <formula>"NO"</formula>
    </cfRule>
    <cfRule type="cellIs" dxfId="30" priority="21" operator="equal">
      <formula>"SI"</formula>
    </cfRule>
  </conditionalFormatting>
  <conditionalFormatting sqref="W3:W149">
    <cfRule type="cellIs" dxfId="29" priority="12" operator="equal">
      <formula>"No Aceptable"</formula>
    </cfRule>
    <cfRule type="cellIs" dxfId="28" priority="13" operator="equal">
      <formula>"Aceptable"</formula>
    </cfRule>
  </conditionalFormatting>
  <conditionalFormatting sqref="X3:AM269">
    <cfRule type="cellIs" dxfId="27" priority="5" operator="equal">
      <formula>"SI"</formula>
    </cfRule>
    <cfRule type="cellIs" dxfId="26" priority="6" operator="equal">
      <formula>"NO"</formula>
    </cfRule>
  </conditionalFormatting>
  <conditionalFormatting sqref="AN3:AN149">
    <cfRule type="cellIs" dxfId="25" priority="10" operator="equal">
      <formula>"No critico"</formula>
    </cfRule>
    <cfRule type="cellIs" dxfId="24" priority="11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X3:AM269 J3:V127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69"/>
  <sheetViews>
    <sheetView zoomScale="69" zoomScaleNormal="69" workbookViewId="0">
      <pane xSplit="9" ySplit="2" topLeftCell="J26" activePane="bottomRight" state="frozen"/>
      <selection pane="bottomRight" activeCell="A26" sqref="A2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54" t="s">
        <v>479</v>
      </c>
      <c r="B1" s="154"/>
      <c r="C1" s="154"/>
      <c r="D1" s="154"/>
      <c r="E1" s="154"/>
      <c r="F1" s="134" t="s">
        <v>306</v>
      </c>
      <c r="G1" s="134"/>
      <c r="H1" s="134" t="s">
        <v>307</v>
      </c>
      <c r="I1" s="134"/>
      <c r="J1" s="150" t="s">
        <v>480</v>
      </c>
      <c r="K1" s="151"/>
      <c r="L1" s="151"/>
      <c r="M1" s="152"/>
      <c r="N1" s="150" t="s">
        <v>481</v>
      </c>
      <c r="O1" s="151"/>
      <c r="P1" s="151"/>
      <c r="Q1" s="150" t="s">
        <v>482</v>
      </c>
      <c r="R1" s="151"/>
      <c r="S1" s="151"/>
      <c r="T1" s="150" t="s">
        <v>483</v>
      </c>
      <c r="U1" s="151"/>
      <c r="V1" s="151"/>
      <c r="W1" s="17" t="s">
        <v>484</v>
      </c>
      <c r="X1" s="75" t="s">
        <v>391</v>
      </c>
      <c r="Y1" s="150" t="s">
        <v>480</v>
      </c>
      <c r="Z1" s="151"/>
      <c r="AA1" s="151"/>
      <c r="AB1" s="152"/>
      <c r="AC1" s="150" t="s">
        <v>485</v>
      </c>
      <c r="AD1" s="151"/>
      <c r="AE1" s="151"/>
      <c r="AF1" s="152"/>
      <c r="AG1" s="150" t="s">
        <v>486</v>
      </c>
      <c r="AH1" s="151"/>
      <c r="AI1" s="152"/>
      <c r="AJ1" s="150" t="s">
        <v>487</v>
      </c>
      <c r="AK1" s="151"/>
      <c r="AL1" s="152"/>
      <c r="AM1" s="16" t="s">
        <v>488</v>
      </c>
      <c r="AN1" s="16" t="s">
        <v>391</v>
      </c>
      <c r="AO1" s="147" t="s">
        <v>310</v>
      </c>
      <c r="AP1" s="148"/>
      <c r="AQ1" s="148"/>
      <c r="AR1" s="148"/>
      <c r="AS1" s="148"/>
      <c r="AT1" s="149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311</v>
      </c>
      <c r="G2" s="9" t="s">
        <v>312</v>
      </c>
      <c r="H2" s="9" t="s">
        <v>313</v>
      </c>
      <c r="I2" s="9" t="s">
        <v>314</v>
      </c>
      <c r="J2" s="13" t="s">
        <v>489</v>
      </c>
      <c r="K2" s="13" t="s">
        <v>490</v>
      </c>
      <c r="L2" s="13" t="s">
        <v>491</v>
      </c>
      <c r="M2" s="13" t="s">
        <v>492</v>
      </c>
      <c r="N2" s="13" t="s">
        <v>493</v>
      </c>
      <c r="O2" s="13" t="s">
        <v>494</v>
      </c>
      <c r="P2" s="13" t="s">
        <v>495</v>
      </c>
      <c r="Q2" s="13" t="s">
        <v>496</v>
      </c>
      <c r="R2" s="13" t="s">
        <v>497</v>
      </c>
      <c r="S2" s="13" t="s">
        <v>498</v>
      </c>
      <c r="T2" s="18" t="s">
        <v>499</v>
      </c>
      <c r="U2" s="18" t="s">
        <v>500</v>
      </c>
      <c r="V2" s="18" t="s">
        <v>501</v>
      </c>
      <c r="W2" s="13" t="s">
        <v>502</v>
      </c>
      <c r="X2" s="75" t="s">
        <v>321</v>
      </c>
      <c r="Y2" s="19" t="s">
        <v>503</v>
      </c>
      <c r="Z2" s="19" t="s">
        <v>504</v>
      </c>
      <c r="AA2" s="19" t="s">
        <v>505</v>
      </c>
      <c r="AB2" s="19" t="s">
        <v>506</v>
      </c>
      <c r="AC2" s="19" t="s">
        <v>507</v>
      </c>
      <c r="AD2" s="19" t="s">
        <v>508</v>
      </c>
      <c r="AE2" s="19" t="s">
        <v>509</v>
      </c>
      <c r="AF2" s="13" t="s">
        <v>510</v>
      </c>
      <c r="AG2" s="13" t="s">
        <v>511</v>
      </c>
      <c r="AH2" s="13" t="s">
        <v>512</v>
      </c>
      <c r="AI2" s="13" t="s">
        <v>513</v>
      </c>
      <c r="AJ2" s="13" t="s">
        <v>514</v>
      </c>
      <c r="AK2" s="13" t="s">
        <v>515</v>
      </c>
      <c r="AL2" s="13" t="s">
        <v>516</v>
      </c>
      <c r="AM2" s="13" t="s">
        <v>517</v>
      </c>
      <c r="AN2" s="13" t="s">
        <v>328</v>
      </c>
      <c r="AO2" s="13" t="s">
        <v>329</v>
      </c>
      <c r="AP2" s="13" t="s">
        <v>330</v>
      </c>
      <c r="AQ2" s="13" t="s">
        <v>331</v>
      </c>
      <c r="AR2" s="13" t="s">
        <v>332</v>
      </c>
      <c r="AS2" s="13" t="s">
        <v>333</v>
      </c>
      <c r="AT2" s="13" t="s">
        <v>334</v>
      </c>
    </row>
    <row r="3" spans="1:46" s="5" customFormat="1" ht="25.9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IF(Inicial!N3="SI",Inicial!E3,"N/A")</f>
        <v>N/A</v>
      </c>
      <c r="F3" s="52" t="str">
        <f>IF(Inicial!N3="SI",Inicial!F3,"N/A")</f>
        <v>N/A</v>
      </c>
      <c r="G3" s="52" t="str">
        <f>IF(Inicial!N3="SI",Inicial!G3,"N/A")</f>
        <v>N/A</v>
      </c>
      <c r="H3" s="52" t="str">
        <f>IF(Inicial!N3="SI",Inicial!H3,"N/A")</f>
        <v>N/A</v>
      </c>
      <c r="I3" s="54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76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IF(Inicial!N4="SI",Inicial!E4,"N/A")</f>
        <v>N/A</v>
      </c>
      <c r="F4" s="52" t="str">
        <f>IF(Inicial!N4="SI",Inicial!F4,"N/A")</f>
        <v>N/A</v>
      </c>
      <c r="G4" s="52" t="str">
        <f>IF(Inicial!N4="SI",Inicial!G4,"N/A")</f>
        <v>N/A</v>
      </c>
      <c r="H4" s="52" t="str">
        <f>IF(Inicial!N4="SI",Inicial!H4,"N/A")</f>
        <v>N/A</v>
      </c>
      <c r="I4" s="54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76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IF(Inicial!N5="SI",Inicial!E5,"N/A")</f>
        <v>N/A</v>
      </c>
      <c r="F5" s="52" t="str">
        <f>IF(Inicial!N5="SI",Inicial!F5,"N/A")</f>
        <v>N/A</v>
      </c>
      <c r="G5" s="52" t="str">
        <f>IF(Inicial!N5="SI",Inicial!G5,"N/A")</f>
        <v>N/A</v>
      </c>
      <c r="H5" s="52" t="str">
        <f>IF(Inicial!N5="SI",Inicial!H5,"N/A")</f>
        <v>N/A</v>
      </c>
      <c r="I5" s="54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76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IF(Inicial!N6="SI",Inicial!E6,"N/A")</f>
        <v>N/A</v>
      </c>
      <c r="F6" s="52" t="str">
        <f>IF(Inicial!N6="SI",Inicial!F6,"N/A")</f>
        <v>N/A</v>
      </c>
      <c r="G6" s="52" t="str">
        <f>IF(Inicial!N6="SI",Inicial!G6,"N/A")</f>
        <v>N/A</v>
      </c>
      <c r="H6" s="52" t="str">
        <f>IF(Inicial!N6="SI",Inicial!H6,"N/A")</f>
        <v>N/A</v>
      </c>
      <c r="I6" s="54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76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IF(Inicial!N7="SI",Inicial!E7,"N/A")</f>
        <v>N/A</v>
      </c>
      <c r="F7" s="52" t="str">
        <f>IF(Inicial!N7="SI",Inicial!F7,"N/A")</f>
        <v>N/A</v>
      </c>
      <c r="G7" s="52" t="str">
        <f>IF(Inicial!N7="SI",Inicial!G7,"N/A")</f>
        <v>N/A</v>
      </c>
      <c r="H7" s="52" t="str">
        <f>IF(Inicial!N7="SI",Inicial!H7,"N/A")</f>
        <v>N/A</v>
      </c>
      <c r="I7" s="54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76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IF(Inicial!N8="SI",Inicial!E8,"N/A")</f>
        <v>N/A</v>
      </c>
      <c r="F8" s="52" t="str">
        <f>IF(Inicial!N8="SI",Inicial!F8,"N/A")</f>
        <v>N/A</v>
      </c>
      <c r="G8" s="52" t="str">
        <f>IF(Inicial!N8="SI",Inicial!G8,"N/A")</f>
        <v>N/A</v>
      </c>
      <c r="H8" s="52" t="str">
        <f>IF(Inicial!N8="SI",Inicial!H8,"N/A")</f>
        <v>N/A</v>
      </c>
      <c r="I8" s="54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76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 ht="27.6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IF(Inicial!N9="SI",Inicial!E9,"N/A")</f>
        <v>N/A</v>
      </c>
      <c r="F9" s="52" t="str">
        <f>IF(Inicial!N9="SI",Inicial!F9,"N/A")</f>
        <v>N/A</v>
      </c>
      <c r="G9" s="52" t="str">
        <f>IF(Inicial!N9="SI",Inicial!G9,"N/A")</f>
        <v>N/A</v>
      </c>
      <c r="H9" s="52" t="str">
        <f>IF(Inicial!N9="SI",Inicial!H9,"N/A")</f>
        <v>N/A</v>
      </c>
      <c r="I9" s="54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76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 ht="27.6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IF(Inicial!N10="SI",Inicial!E10,"N/A")</f>
        <v>N/A</v>
      </c>
      <c r="F10" s="52" t="str">
        <f>IF(Inicial!N10="SI",Inicial!F10,"N/A")</f>
        <v>N/A</v>
      </c>
      <c r="G10" s="52" t="str">
        <f>IF(Inicial!N10="SI",Inicial!G10,"N/A")</f>
        <v>N/A</v>
      </c>
      <c r="H10" s="52" t="str">
        <f>IF(Inicial!N10="SI",Inicial!H10,"N/A")</f>
        <v>N/A</v>
      </c>
      <c r="I10" s="54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76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 ht="27.6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IF(Inicial!N11="SI",Inicial!E11,"N/A")</f>
        <v>N/A</v>
      </c>
      <c r="F11" s="52" t="str">
        <f>IF(Inicial!N11="SI",Inicial!F11,"N/A")</f>
        <v>N/A</v>
      </c>
      <c r="G11" s="52" t="str">
        <f>IF(Inicial!N11="SI",Inicial!G11,"N/A")</f>
        <v>N/A</v>
      </c>
      <c r="H11" s="52" t="str">
        <f>IF(Inicial!N11="SI",Inicial!H11,"N/A")</f>
        <v>N/A</v>
      </c>
      <c r="I11" s="54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76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 ht="27.6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IF(Inicial!N12="SI",Inicial!E12,"N/A")</f>
        <v>N/A</v>
      </c>
      <c r="F12" s="52" t="str">
        <f>IF(Inicial!N12="SI",Inicial!F12,"N/A")</f>
        <v>N/A</v>
      </c>
      <c r="G12" s="52" t="str">
        <f>IF(Inicial!N12="SI",Inicial!G12,"N/A")</f>
        <v>N/A</v>
      </c>
      <c r="H12" s="52" t="str">
        <f>IF(Inicial!N12="SI",Inicial!H12,"N/A")</f>
        <v>N/A</v>
      </c>
      <c r="I12" s="54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76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 ht="27.6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IF(Inicial!N13="SI",Inicial!E13,"N/A")</f>
        <v>N/A</v>
      </c>
      <c r="F13" s="52" t="str">
        <f>IF(Inicial!N13="SI",Inicial!F13,"N/A")</f>
        <v>N/A</v>
      </c>
      <c r="G13" s="52" t="str">
        <f>IF(Inicial!N13="SI",Inicial!G13,"N/A")</f>
        <v>N/A</v>
      </c>
      <c r="H13" s="52" t="str">
        <f>IF(Inicial!N13="SI",Inicial!H13,"N/A")</f>
        <v>N/A</v>
      </c>
      <c r="I13" s="54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76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 ht="27.6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IF(Inicial!N14="SI",Inicial!E14,"N/A")</f>
        <v>N/A</v>
      </c>
      <c r="F14" s="52" t="str">
        <f>IF(Inicial!N14="SI",Inicial!F14,"N/A")</f>
        <v>N/A</v>
      </c>
      <c r="G14" s="52" t="str">
        <f>IF(Inicial!N14="SI",Inicial!G14,"N/A")</f>
        <v>N/A</v>
      </c>
      <c r="H14" s="52" t="str">
        <f>IF(Inicial!N14="SI",Inicial!H14,"N/A")</f>
        <v>N/A</v>
      </c>
      <c r="I14" s="54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76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7.6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IF(Inicial!N15="SI",Inicial!E15,"N/A")</f>
        <v>N/A</v>
      </c>
      <c r="F15" s="52" t="str">
        <f>IF(Inicial!N15="SI",Inicial!F15,"N/A")</f>
        <v>N/A</v>
      </c>
      <c r="G15" s="52" t="str">
        <f>IF(Inicial!N15="SI",Inicial!G15,"N/A")</f>
        <v>N/A</v>
      </c>
      <c r="H15" s="52" t="str">
        <f>IF(Inicial!N15="SI",Inicial!H15,"N/A")</f>
        <v>N/A</v>
      </c>
      <c r="I15" s="54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76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 ht="27.6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IF(Inicial!N16="SI",Inicial!E16,"N/A")</f>
        <v>N/A</v>
      </c>
      <c r="F16" s="52" t="str">
        <f>IF(Inicial!N16="SI",Inicial!F16,"N/A")</f>
        <v>N/A</v>
      </c>
      <c r="G16" s="52" t="str">
        <f>IF(Inicial!N16="SI",Inicial!G16,"N/A")</f>
        <v>N/A</v>
      </c>
      <c r="H16" s="52" t="str">
        <f>IF(Inicial!N16="SI",Inicial!H16,"N/A")</f>
        <v>N/A</v>
      </c>
      <c r="I16" s="54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76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27.6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IF(Inicial!N17="SI",Inicial!E17,"N/A")</f>
        <v>N/A</v>
      </c>
      <c r="F17" s="52" t="str">
        <f>IF(Inicial!N17="SI",Inicial!F17,"N/A")</f>
        <v>N/A</v>
      </c>
      <c r="G17" s="52" t="str">
        <f>IF(Inicial!N17="SI",Inicial!G17,"N/A")</f>
        <v>N/A</v>
      </c>
      <c r="H17" s="52" t="str">
        <f>IF(Inicial!N17="SI",Inicial!H17,"N/A")</f>
        <v>N/A</v>
      </c>
      <c r="I17" s="54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76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 ht="27.6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IF(Inicial!N18="SI",Inicial!E18,"N/A")</f>
        <v>N/A</v>
      </c>
      <c r="F18" s="52" t="str">
        <f>IF(Inicial!N18="SI",Inicial!F18,"N/A")</f>
        <v>N/A</v>
      </c>
      <c r="G18" s="52" t="str">
        <f>IF(Inicial!N18="SI",Inicial!G18,"N/A")</f>
        <v>N/A</v>
      </c>
      <c r="H18" s="52" t="str">
        <f>IF(Inicial!N18="SI",Inicial!H18,"N/A")</f>
        <v>N/A</v>
      </c>
      <c r="I18" s="54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76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 ht="27.6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IF(Inicial!N19="SI",Inicial!E19,"N/A")</f>
        <v>N/A</v>
      </c>
      <c r="F19" s="52" t="str">
        <f>IF(Inicial!N19="SI",Inicial!F19,"N/A")</f>
        <v>N/A</v>
      </c>
      <c r="G19" s="52" t="str">
        <f>IF(Inicial!N19="SI",Inicial!G19,"N/A")</f>
        <v>N/A</v>
      </c>
      <c r="H19" s="52" t="str">
        <f>IF(Inicial!N19="SI",Inicial!H19,"N/A")</f>
        <v>N/A</v>
      </c>
      <c r="I19" s="54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76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 ht="27.6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IF(Inicial!N20="SI",Inicial!E20,"N/A")</f>
        <v>N/A</v>
      </c>
      <c r="F20" s="52" t="str">
        <f>IF(Inicial!N20="SI",Inicial!F20,"N/A")</f>
        <v>N/A</v>
      </c>
      <c r="G20" s="52" t="str">
        <f>IF(Inicial!N20="SI",Inicial!G20,"N/A")</f>
        <v>N/A</v>
      </c>
      <c r="H20" s="52" t="str">
        <f>IF(Inicial!N20="SI",Inicial!H20,"N/A")</f>
        <v>N/A</v>
      </c>
      <c r="I20" s="54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76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 ht="27.6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IF(Inicial!N21="SI",Inicial!E21,"N/A")</f>
        <v>N/A</v>
      </c>
      <c r="F21" s="52" t="str">
        <f>IF(Inicial!N21="SI",Inicial!F21,"N/A")</f>
        <v>N/A</v>
      </c>
      <c r="G21" s="52" t="str">
        <f>IF(Inicial!N21="SI",Inicial!G21,"N/A")</f>
        <v>N/A</v>
      </c>
      <c r="H21" s="52" t="str">
        <f>IF(Inicial!N21="SI",Inicial!H21,"N/A")</f>
        <v>N/A</v>
      </c>
      <c r="I21" s="54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76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 ht="27.6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IF(Inicial!N22="SI",Inicial!E22,"N/A")</f>
        <v>N/A</v>
      </c>
      <c r="F22" s="52" t="str">
        <f>IF(Inicial!N22="SI",Inicial!F22,"N/A")</f>
        <v>N/A</v>
      </c>
      <c r="G22" s="52" t="str">
        <f>IF(Inicial!N22="SI",Inicial!G22,"N/A")</f>
        <v>N/A</v>
      </c>
      <c r="H22" s="52" t="str">
        <f>IF(Inicial!N22="SI",Inicial!H22,"N/A")</f>
        <v>N/A</v>
      </c>
      <c r="I22" s="54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77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 ht="41.45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IF(Inicial!N23="SI",Inicial!E23,"N/A")</f>
        <v>N/A</v>
      </c>
      <c r="F23" s="52" t="str">
        <f>IF(Inicial!N23="SI",Inicial!F23,"N/A")</f>
        <v>N/A</v>
      </c>
      <c r="G23" s="52" t="str">
        <f>IF(Inicial!N23="SI",Inicial!G23,"N/A")</f>
        <v>N/A</v>
      </c>
      <c r="H23" s="52" t="str">
        <f>IF(Inicial!N23="SI",Inicial!H23,"N/A")</f>
        <v>N/A</v>
      </c>
      <c r="I23" s="54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77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54" t="e">
        <f>IF(Inicial!#REF!="SI",Inicial!#REF!,"N/A")</f>
        <v>#REF!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77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IF(Inicial!N24="SI",Inicial!E24,"N/A")</f>
        <v>N/A</v>
      </c>
      <c r="F25" s="52" t="str">
        <f>IF(Inicial!N24="SI",Inicial!F24,"N/A")</f>
        <v>N/A</v>
      </c>
      <c r="G25" s="52" t="str">
        <f>IF(Inicial!N24="SI",Inicial!G24,"N/A")</f>
        <v>N/A</v>
      </c>
      <c r="H25" s="52" t="str">
        <f>IF(Inicial!N24="SI",Inicial!H24,"N/A")</f>
        <v>N/A</v>
      </c>
      <c r="I25" s="54" t="str">
        <f>IF(Inicial!N24="SI",Inicial!I24,"N/A")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77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 ht="27.6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IF(Inicial!N25="SI",Inicial!E25,"N/A")</f>
        <v>N/A</v>
      </c>
      <c r="F26" s="52" t="str">
        <f>IF(Inicial!N25="SI",Inicial!F25,"N/A")</f>
        <v>N/A</v>
      </c>
      <c r="G26" s="52" t="str">
        <f>IF(Inicial!N25="SI",Inicial!G25,"N/A")</f>
        <v>N/A</v>
      </c>
      <c r="H26" s="52" t="str">
        <f>IF(Inicial!N25="SI",Inicial!H25,"N/A")</f>
        <v>N/A</v>
      </c>
      <c r="I26" s="54" t="str">
        <f>IF(Inicial!N25="SI",Inicial!I25,"N/A")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77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 ht="27.6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IF(Inicial!N26="SI",Inicial!E26,"N/A")</f>
        <v>N/A</v>
      </c>
      <c r="F27" s="52" t="str">
        <f>IF(Inicial!N26="SI",Inicial!F26,"N/A")</f>
        <v>N/A</v>
      </c>
      <c r="G27" s="52" t="str">
        <f>IF(Inicial!N26="SI",Inicial!G26,"N/A")</f>
        <v>N/A</v>
      </c>
      <c r="H27" s="52" t="str">
        <f>IF(Inicial!N26="SI",Inicial!H26,"N/A")</f>
        <v>N/A</v>
      </c>
      <c r="I27" s="54" t="str">
        <f>IF(Inicial!N26="SI",Inicial!I26,"N/A")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77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 ht="31.15" customHeight="1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IF(Inicial!N27="SI",Inicial!E27,"N/A")</f>
        <v>N/A</v>
      </c>
      <c r="F28" s="52" t="str">
        <f>IF(Inicial!N27="SI",Inicial!F27,"N/A")</f>
        <v>N/A</v>
      </c>
      <c r="G28" s="52" t="str">
        <f>IF(Inicial!N27="SI",Inicial!G27,"N/A")</f>
        <v>N/A</v>
      </c>
      <c r="H28" s="52" t="str">
        <f>IF(Inicial!N27="SI",Inicial!H27,"N/A")</f>
        <v>N/A</v>
      </c>
      <c r="I28" s="54" t="str">
        <f>IF(Inicial!N27="SI",Inicial!I27,"N/A")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77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 t="str">
        <f>IF(Inicial!N28="SI",Inicial!E28,"N/A")</f>
        <v>N/A</v>
      </c>
      <c r="F29" s="52" t="str">
        <f>IF(Inicial!N28="SI",Inicial!F28,"N/A")</f>
        <v>N/A</v>
      </c>
      <c r="G29" s="52" t="str">
        <f>IF(Inicial!N28="SI",Inicial!G28,"N/A")</f>
        <v>N/A</v>
      </c>
      <c r="H29" s="52" t="str">
        <f>IF(Inicial!N28="SI",Inicial!H28,"N/A")</f>
        <v>N/A</v>
      </c>
      <c r="I29" s="54" t="str">
        <f>IF(Inicial!N28="SI",Inicial!I28,"N/A")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77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 t="str">
        <f>IF(Inicial!N29="SI",Inicial!E29,"N/A")</f>
        <v>N/A</v>
      </c>
      <c r="F30" s="52" t="str">
        <f>IF(Inicial!N29="SI",Inicial!F29,"N/A")</f>
        <v>N/A</v>
      </c>
      <c r="G30" s="52" t="str">
        <f>IF(Inicial!N29="SI",Inicial!G29,"N/A")</f>
        <v>N/A</v>
      </c>
      <c r="H30" s="52" t="str">
        <f>IF(Inicial!N29="SI",Inicial!H29,"N/A")</f>
        <v>N/A</v>
      </c>
      <c r="I30" s="54" t="str">
        <f>IF(Inicial!N29="SI",Inicial!I29,"N/A")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77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 t="str">
        <f>IF(Inicial!N30="SI",Inicial!E30,"N/A")</f>
        <v>N/A</v>
      </c>
      <c r="F31" s="52" t="str">
        <f>IF(Inicial!N30="SI",Inicial!F30,"N/A")</f>
        <v>N/A</v>
      </c>
      <c r="G31" s="52" t="str">
        <f>IF(Inicial!N30="SI",Inicial!G30,"N/A")</f>
        <v>N/A</v>
      </c>
      <c r="H31" s="52" t="str">
        <f>IF(Inicial!N30="SI",Inicial!H30,"N/A")</f>
        <v>N/A</v>
      </c>
      <c r="I31" s="54" t="str">
        <f>IF(Inicial!N30="SI",Inicial!I30,"N/A")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77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 t="str">
        <f>IF(Inicial!N31="SI",Inicial!E31,"N/A")</f>
        <v>N/A</v>
      </c>
      <c r="F32" s="52" t="str">
        <f>IF(Inicial!N31="SI",Inicial!F31,"N/A")</f>
        <v>N/A</v>
      </c>
      <c r="G32" s="52" t="str">
        <f>IF(Inicial!N31="SI",Inicial!G31,"N/A")</f>
        <v>N/A</v>
      </c>
      <c r="H32" s="52" t="str">
        <f>IF(Inicial!N31="SI",Inicial!H31,"N/A")</f>
        <v>N/A</v>
      </c>
      <c r="I32" s="54" t="str">
        <f>IF(Inicial!N31="SI",Inicial!I31,"N/A")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7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 t="str">
        <f>IF(Inicial!N32="SI",Inicial!E32,"N/A")</f>
        <v>N/A</v>
      </c>
      <c r="F33" s="52" t="str">
        <f>IF(Inicial!N32="SI",Inicial!F32,"N/A")</f>
        <v>N/A</v>
      </c>
      <c r="G33" s="52" t="str">
        <f>IF(Inicial!N32="SI",Inicial!G32,"N/A")</f>
        <v>N/A</v>
      </c>
      <c r="H33" s="52" t="str">
        <f>IF(Inicial!N32="SI",Inicial!H32,"N/A")</f>
        <v>N/A</v>
      </c>
      <c r="I33" s="54" t="str">
        <f>IF(Inicial!N32="SI",Inicial!I32,"N/A")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7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 ht="27.6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 t="str">
        <f>IF(Inicial!N33="SI",Inicial!E33,"N/A")</f>
        <v>N/A</v>
      </c>
      <c r="F34" s="52" t="str">
        <f>IF(Inicial!N33="SI",Inicial!F33,"N/A")</f>
        <v>N/A</v>
      </c>
      <c r="G34" s="52" t="str">
        <f>IF(Inicial!N33="SI",Inicial!G33,"N/A")</f>
        <v>N/A</v>
      </c>
      <c r="H34" s="52" t="str">
        <f>IF(Inicial!N33="SI",Inicial!H33,"N/A")</f>
        <v>N/A</v>
      </c>
      <c r="I34" s="54" t="str">
        <f>IF(Inicial!N33="SI",Inicial!I33,"N/A")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77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IF(Inicial!N34="SI",Inicial!E34,"N/A")</f>
        <v>N/A</v>
      </c>
      <c r="F35" s="52" t="str">
        <f>IF(Inicial!N34="SI",Inicial!F34,"N/A")</f>
        <v>N/A</v>
      </c>
      <c r="G35" s="52" t="str">
        <f>IF(Inicial!N34="SI",Inicial!G34,"N/A")</f>
        <v>N/A</v>
      </c>
      <c r="H35" s="52" t="str">
        <f>IF(Inicial!N34="SI",Inicial!H34,"N/A")</f>
        <v>N/A</v>
      </c>
      <c r="I35" s="54" t="str">
        <f>IF(Inicial!N34="SI",Inicial!I34,"N/A")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77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 ht="27.6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IF(Inicial!N35="SI",Inicial!E35,"N/A")</f>
        <v>N/A</v>
      </c>
      <c r="F36" s="52" t="str">
        <f>IF(Inicial!N35="SI",Inicial!F35,"N/A")</f>
        <v>N/A</v>
      </c>
      <c r="G36" s="52" t="str">
        <f>IF(Inicial!N35="SI",Inicial!G35,"N/A")</f>
        <v>N/A</v>
      </c>
      <c r="H36" s="52" t="str">
        <f>IF(Inicial!N35="SI",Inicial!H35,"N/A")</f>
        <v>N/A</v>
      </c>
      <c r="I36" s="54" t="str">
        <f>IF(Inicial!N35="SI",Inicial!I35,"N/A")</f>
        <v>N/A</v>
      </c>
      <c r="L36" s="1"/>
      <c r="M36" s="1"/>
      <c r="N36" s="1"/>
      <c r="O36" s="1"/>
      <c r="P36" s="1"/>
      <c r="Q36" s="1"/>
      <c r="R36" s="1"/>
      <c r="S36" s="1"/>
      <c r="T36" s="1"/>
      <c r="U36" s="1"/>
      <c r="AN36" s="3" t="str" cm="1">
        <f t="array" ref="AN36">IF(OR(Y36:AM36="NO"),"Critico","No Critico")</f>
        <v>No Critico</v>
      </c>
    </row>
    <row r="37" spans="1:40" ht="27.6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IF(Inicial!N36="SI",Inicial!E36,"N/A")</f>
        <v>N/A</v>
      </c>
      <c r="F37" s="52" t="str">
        <f>IF(Inicial!N36="SI",Inicial!F36,"N/A")</f>
        <v>N/A</v>
      </c>
      <c r="G37" s="52" t="str">
        <f>IF(Inicial!N36="SI",Inicial!G36,"N/A")</f>
        <v>N/A</v>
      </c>
      <c r="H37" s="52" t="str">
        <f>IF(Inicial!N36="SI",Inicial!H36,"N/A")</f>
        <v>N/A</v>
      </c>
      <c r="I37" s="54" t="str">
        <f>IF(Inicial!N36="SI",Inicial!I36,"N/A")</f>
        <v>N/A</v>
      </c>
      <c r="L37" s="1"/>
      <c r="M37" s="1"/>
      <c r="N37" s="1"/>
      <c r="O37" s="1"/>
      <c r="P37" s="1"/>
      <c r="Q37" s="1"/>
      <c r="R37" s="1"/>
      <c r="S37" s="1"/>
      <c r="T37" s="1"/>
      <c r="U37" s="1"/>
      <c r="AN37" s="3" t="str" cm="1">
        <f t="array" ref="AN37">IF(OR(Y37:AM37="NO"),"Critico","No Critico")</f>
        <v>No Critico</v>
      </c>
    </row>
    <row r="38" spans="1:40" ht="27.6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IF(Inicial!N37="SI",Inicial!E37,"N/A")</f>
        <v>N/A</v>
      </c>
      <c r="F38" s="52" t="str">
        <f>IF(Inicial!N37="SI",Inicial!F37,"N/A")</f>
        <v>N/A</v>
      </c>
      <c r="G38" s="52" t="str">
        <f>IF(Inicial!N37="SI",Inicial!G37,"N/A")</f>
        <v>N/A</v>
      </c>
      <c r="H38" s="52" t="str">
        <f>IF(Inicial!N37="SI",Inicial!H37,"N/A")</f>
        <v>N/A</v>
      </c>
      <c r="I38" s="54" t="str">
        <f>IF(Inicial!N37="SI",Inicial!I37,"N/A")</f>
        <v>N/A</v>
      </c>
      <c r="L38" s="1"/>
      <c r="M38" s="1"/>
      <c r="N38" s="1"/>
      <c r="O38" s="1"/>
      <c r="P38" s="1"/>
      <c r="Q38" s="1"/>
      <c r="R38" s="1"/>
      <c r="S38" s="1"/>
      <c r="T38" s="1"/>
      <c r="U38" s="1"/>
      <c r="AN38" s="3" t="str" cm="1">
        <f t="array" ref="AN38">IF(OR(Y38:AM38="NO"),"Critico","No Critico")</f>
        <v>No Critico</v>
      </c>
    </row>
    <row r="39" spans="1:40" ht="27.6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IF(Inicial!N38="SI",Inicial!E38,"N/A")</f>
        <v>N/A</v>
      </c>
      <c r="F39" s="52" t="str">
        <f>IF(Inicial!N38="SI",Inicial!F38,"N/A")</f>
        <v>N/A</v>
      </c>
      <c r="G39" s="52" t="str">
        <f>IF(Inicial!N38="SI",Inicial!G38,"N/A")</f>
        <v>N/A</v>
      </c>
      <c r="H39" s="52" t="str">
        <f>IF(Inicial!N38="SI",Inicial!H38,"N/A")</f>
        <v>N/A</v>
      </c>
      <c r="I39" s="54" t="str">
        <f>IF(Inicial!N38="SI",Inicial!I38,"N/A")</f>
        <v>N/A</v>
      </c>
      <c r="L39" s="1"/>
      <c r="M39" s="1"/>
      <c r="N39" s="1"/>
      <c r="O39" s="1"/>
      <c r="P39" s="1"/>
      <c r="Q39" s="1"/>
      <c r="R39" s="1"/>
      <c r="S39" s="1"/>
      <c r="T39" s="1"/>
      <c r="U39" s="1"/>
      <c r="AN39" s="3" t="str" cm="1">
        <f t="array" ref="AN39">IF(OR(Y39:AM39="NO"),"Critico","No Critico")</f>
        <v>No Critico</v>
      </c>
    </row>
    <row r="40" spans="1:40" ht="27.6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IF(Inicial!N39="SI",Inicial!E39,"N/A")</f>
        <v>N/A</v>
      </c>
      <c r="F40" s="52" t="str">
        <f>IF(Inicial!N39="SI",Inicial!F39,"N/A")</f>
        <v>N/A</v>
      </c>
      <c r="G40" s="52" t="str">
        <f>IF(Inicial!N39="SI",Inicial!G39,"N/A")</f>
        <v>N/A</v>
      </c>
      <c r="H40" s="52" t="str">
        <f>IF(Inicial!N39="SI",Inicial!H39,"N/A")</f>
        <v>N/A</v>
      </c>
      <c r="I40" s="54" t="str">
        <f>IF(Inicial!N39="SI",Inicial!I39,"N/A")</f>
        <v>N/A</v>
      </c>
      <c r="L40" s="1"/>
      <c r="M40" s="1"/>
      <c r="N40" s="1"/>
      <c r="O40" s="1"/>
      <c r="P40" s="1"/>
      <c r="Q40" s="1"/>
      <c r="R40" s="1"/>
      <c r="S40" s="1"/>
      <c r="T40" s="1"/>
      <c r="U40" s="1"/>
      <c r="AN40" s="3" t="str" cm="1">
        <f t="array" ref="AN40">IF(OR(Y40:AM40="NO"),"Critico","No Critico")</f>
        <v>No Critico</v>
      </c>
    </row>
    <row r="41" spans="1:40" ht="27.6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IF(Inicial!N40="SI",Inicial!E40,"N/A")</f>
        <v>N/A</v>
      </c>
      <c r="F41" s="52" t="str">
        <f>IF(Inicial!N40="SI",Inicial!F40,"N/A")</f>
        <v>N/A</v>
      </c>
      <c r="G41" s="52" t="str">
        <f>IF(Inicial!N40="SI",Inicial!G40,"N/A")</f>
        <v>N/A</v>
      </c>
      <c r="H41" s="52" t="str">
        <f>IF(Inicial!N40="SI",Inicial!H40,"N/A")</f>
        <v>N/A</v>
      </c>
      <c r="I41" s="54" t="str">
        <f>IF(Inicial!N40="SI",Inicial!I40,"N/A")</f>
        <v>N/A</v>
      </c>
      <c r="L41" s="1"/>
      <c r="M41" s="1"/>
      <c r="N41" s="1"/>
      <c r="O41" s="1"/>
      <c r="P41" s="1"/>
      <c r="Q41" s="1"/>
      <c r="R41" s="1"/>
      <c r="S41" s="1"/>
      <c r="T41" s="1"/>
      <c r="U41" s="1"/>
      <c r="AN41" s="3" t="str" cm="1">
        <f t="array" ref="AN41">IF(OR(Y41:AM41="NO"),"Critico","No Critico")</f>
        <v>No Critico</v>
      </c>
    </row>
    <row r="42" spans="1:40" ht="27.6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IF(Inicial!N41="SI",Inicial!E41,"N/A")</f>
        <v>N/A</v>
      </c>
      <c r="F42" s="52" t="str">
        <f>IF(Inicial!N41="SI",Inicial!F41,"N/A")</f>
        <v>N/A</v>
      </c>
      <c r="G42" s="52" t="str">
        <f>IF(Inicial!N41="SI",Inicial!G41,"N/A")</f>
        <v>N/A</v>
      </c>
      <c r="H42" s="52" t="str">
        <f>IF(Inicial!N41="SI",Inicial!H41,"N/A")</f>
        <v>N/A</v>
      </c>
      <c r="I42" s="54" t="str">
        <f>IF(Inicial!N41="SI",Inicial!I41,"N/A")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AN42" s="3" t="str" cm="1">
        <f t="array" ref="AN42">IF(OR(Y42:AM42="NO"),"Critico","No Critico")</f>
        <v>No Critico</v>
      </c>
    </row>
    <row r="43" spans="1:40" ht="27.6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IF(Inicial!N42="SI",Inicial!E42,"N/A")</f>
        <v>N/A</v>
      </c>
      <c r="F43" s="52" t="str">
        <f>IF(Inicial!N42="SI",Inicial!F42,"N/A")</f>
        <v>N/A</v>
      </c>
      <c r="G43" s="52" t="str">
        <f>IF(Inicial!N42="SI",Inicial!G42,"N/A")</f>
        <v>N/A</v>
      </c>
      <c r="H43" s="52" t="str">
        <f>IF(Inicial!N42="SI",Inicial!H42,"N/A")</f>
        <v>N/A</v>
      </c>
      <c r="I43" s="54" t="str">
        <f>IF(Inicial!N42="SI",Inicial!I42,"N/A")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AN43" s="3" t="str" cm="1">
        <f t="array" ref="AN43">IF(OR(Y43:AM43="NO"),"Critico","No Critico")</f>
        <v>No Critico</v>
      </c>
    </row>
    <row r="44" spans="1:40" ht="41.45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IF(Inicial!N43="SI",Inicial!E43,"N/A")</f>
        <v>N/A</v>
      </c>
      <c r="F44" s="52" t="str">
        <f>IF(Inicial!N43="SI",Inicial!F43,"N/A")</f>
        <v>N/A</v>
      </c>
      <c r="G44" s="52" t="str">
        <f>IF(Inicial!N43="SI",Inicial!G43,"N/A")</f>
        <v>N/A</v>
      </c>
      <c r="H44" s="52" t="str">
        <f>IF(Inicial!N43="SI",Inicial!H43,"N/A")</f>
        <v>N/A</v>
      </c>
      <c r="I44" s="54" t="str">
        <f>IF(Inicial!N43="SI",Inicial!I43,"N/A")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AN44" s="3" t="str" cm="1">
        <f t="array" ref="AN44">IF(OR(Y44:AM44="NO"),"Critico","No Critico")</f>
        <v>No Critico</v>
      </c>
    </row>
    <row r="45" spans="1:40" ht="41.45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IF(Inicial!N44="SI",Inicial!E44,"N/A")</f>
        <v>N/A</v>
      </c>
      <c r="F45" s="52" t="str">
        <f>IF(Inicial!N44="SI",Inicial!F44,"N/A")</f>
        <v>N/A</v>
      </c>
      <c r="G45" s="52" t="str">
        <f>IF(Inicial!N44="SI",Inicial!G44,"N/A")</f>
        <v>N/A</v>
      </c>
      <c r="H45" s="52" t="str">
        <f>IF(Inicial!N44="SI",Inicial!H44,"N/A")</f>
        <v>N/A</v>
      </c>
      <c r="I45" s="54" t="str">
        <f>IF(Inicial!N44="SI",Inicial!I44,"N/A")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AN45" s="3" t="str" cm="1">
        <f t="array" ref="AN45">IF(OR(Y45:AM45="NO"),"Critico","No Critico")</f>
        <v>No Critico</v>
      </c>
    </row>
    <row r="46" spans="1:40" ht="27.6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IF(Inicial!N45="SI",Inicial!E45,"N/A")</f>
        <v>N/A</v>
      </c>
      <c r="F46" s="52" t="str">
        <f>IF(Inicial!N45="SI",Inicial!F45,"N/A")</f>
        <v>N/A</v>
      </c>
      <c r="G46" s="52" t="str">
        <f>IF(Inicial!N45="SI",Inicial!G45,"N/A")</f>
        <v>N/A</v>
      </c>
      <c r="H46" s="52" t="str">
        <f>IF(Inicial!N45="SI",Inicial!H45,"N/A")</f>
        <v>N/A</v>
      </c>
      <c r="I46" s="54" t="str">
        <f>IF(Inicial!N45="SI",Inicial!I45,"N/A")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AN46" s="3" t="str" cm="1">
        <f t="array" ref="AN46">IF(OR(Y46:AM46="NO"),"Critico","No Critico")</f>
        <v>No Critico</v>
      </c>
    </row>
    <row r="47" spans="1:40" ht="41.45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IF(Inicial!N46="SI",Inicial!E46,"N/A")</f>
        <v>N/A</v>
      </c>
      <c r="F47" s="52" t="str">
        <f>IF(Inicial!N46="SI",Inicial!F46,"N/A")</f>
        <v>N/A</v>
      </c>
      <c r="G47" s="52" t="str">
        <f>IF(Inicial!N46="SI",Inicial!G46,"N/A")</f>
        <v>N/A</v>
      </c>
      <c r="H47" s="52" t="str">
        <f>IF(Inicial!N46="SI",Inicial!H46,"N/A")</f>
        <v>N/A</v>
      </c>
      <c r="I47" s="54" t="str">
        <f>IF(Inicial!N46="SI",Inicial!I46,"N/A")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AN47" s="3" t="str" cm="1">
        <f t="array" ref="AN47">IF(OR(Y47:AM47="NO"),"Critico","No Critico")</f>
        <v>No Critico</v>
      </c>
    </row>
    <row r="48" spans="1:40" ht="27.6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IF(Inicial!N47="SI",Inicial!E47,"N/A")</f>
        <v>N/A</v>
      </c>
      <c r="F48" s="52" t="str">
        <f>IF(Inicial!N47="SI",Inicial!F47,"N/A")</f>
        <v>N/A</v>
      </c>
      <c r="G48" s="52" t="str">
        <f>IF(Inicial!N47="SI",Inicial!G47,"N/A")</f>
        <v>N/A</v>
      </c>
      <c r="H48" s="52" t="str">
        <f>IF(Inicial!N47="SI",Inicial!H47,"N/A")</f>
        <v>N/A</v>
      </c>
      <c r="I48" s="54" t="str">
        <f>IF(Inicial!N47="SI",Inicial!I47,"N/A")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AN48" s="3" t="str" cm="1">
        <f t="array" ref="AN48">IF(OR(Y48:AM48="NO"),"Critico","No Critico")</f>
        <v>No Critico</v>
      </c>
    </row>
    <row r="49" spans="1:40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IF(Inicial!N48="SI",Inicial!E48,"N/A")</f>
        <v>N/A</v>
      </c>
      <c r="F49" s="52" t="str">
        <f>IF(Inicial!N48="SI",Inicial!F48,"N/A")</f>
        <v>N/A</v>
      </c>
      <c r="G49" s="52" t="str">
        <f>IF(Inicial!N48="SI",Inicial!G48,"N/A")</f>
        <v>N/A</v>
      </c>
      <c r="H49" s="52" t="str">
        <f>IF(Inicial!N48="SI",Inicial!H48,"N/A")</f>
        <v>N/A</v>
      </c>
      <c r="I49" s="54" t="str">
        <f>IF(Inicial!N48="SI",Inicial!I48,"N/A")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AN49" s="3" t="str" cm="1">
        <f t="array" ref="AN49">IF(OR(Y49:AM49="NO"),"Critico","No Critico")</f>
        <v>No Critico</v>
      </c>
    </row>
    <row r="50" spans="1:40" ht="27.6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IF(Inicial!N49="SI",Inicial!E49,"N/A")</f>
        <v>N/A</v>
      </c>
      <c r="F50" s="52" t="str">
        <f>IF(Inicial!N49="SI",Inicial!F49,"N/A")</f>
        <v>N/A</v>
      </c>
      <c r="G50" s="52" t="str">
        <f>IF(Inicial!N49="SI",Inicial!G49,"N/A")</f>
        <v>N/A</v>
      </c>
      <c r="H50" s="52" t="str">
        <f>IF(Inicial!N49="SI",Inicial!H49,"N/A")</f>
        <v>N/A</v>
      </c>
      <c r="I50" s="54" t="str">
        <f>IF(Inicial!N49="SI",Inicial!I49,"N/A")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AN50" s="3" t="str" cm="1">
        <f t="array" ref="AN50">IF(OR(Y50:AM50="NO"),"Critico","No Critico")</f>
        <v>No Critico</v>
      </c>
    </row>
    <row r="51" spans="1:40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54" t="e">
        <f>IF(Inicial!#REF!="SI",Inicial!#REF!,"N/A")</f>
        <v>#REF!</v>
      </c>
      <c r="L51" s="1"/>
      <c r="M51" s="1"/>
      <c r="N51" s="1"/>
      <c r="O51" s="1"/>
      <c r="P51" s="1"/>
      <c r="Q51" s="1"/>
      <c r="R51" s="1"/>
      <c r="S51" s="1"/>
      <c r="T51" s="1"/>
      <c r="U51" s="1"/>
      <c r="AN51" s="3" t="str" cm="1">
        <f t="array" ref="AN51">IF(OR(Y51:AM51="NO"),"Critico","No Critico")</f>
        <v>No Critico</v>
      </c>
    </row>
    <row r="52" spans="1:40">
      <c r="A52" s="51" t="e">
        <f>Inicial!#REF!</f>
        <v>#REF!</v>
      </c>
      <c r="B52" s="52" t="e">
        <f>Inicial!#REF!</f>
        <v>#REF!</v>
      </c>
      <c r="C52" s="52" t="e">
        <f>Inicial!#REF!</f>
        <v>#REF!</v>
      </c>
      <c r="D52" s="53" t="e">
        <f>Inicial!#REF!</f>
        <v>#REF!</v>
      </c>
      <c r="E52" s="51" t="e">
        <f>IF(Inicial!#REF!="SI",Inicial!#REF!,"N/A")</f>
        <v>#REF!</v>
      </c>
      <c r="F52" s="52" t="e">
        <f>IF(Inicial!#REF!="SI",Inicial!#REF!,"N/A")</f>
        <v>#REF!</v>
      </c>
      <c r="G52" s="52" t="e">
        <f>IF(Inicial!#REF!="SI",Inicial!#REF!,"N/A")</f>
        <v>#REF!</v>
      </c>
      <c r="H52" s="52" t="e">
        <f>IF(Inicial!#REF!="SI",Inicial!#REF!,"N/A")</f>
        <v>#REF!</v>
      </c>
      <c r="I52" s="54" t="e">
        <f>IF(Inicial!#REF!="SI",Inicial!#REF!,"N/A")</f>
        <v>#REF!</v>
      </c>
      <c r="L52" s="1"/>
      <c r="M52" s="1"/>
      <c r="N52" s="1"/>
      <c r="O52" s="1"/>
      <c r="P52" s="1"/>
      <c r="Q52" s="1"/>
      <c r="R52" s="1"/>
      <c r="S52" s="1"/>
      <c r="T52" s="1"/>
      <c r="U52" s="1"/>
      <c r="AN52" s="3" t="str" cm="1">
        <f t="array" ref="AN52">IF(OR(Y52:AM52="NO"),"Critico","No Critico")</f>
        <v>No Critico</v>
      </c>
    </row>
    <row r="53" spans="1:40">
      <c r="A53" s="51">
        <f>Inicial!A50</f>
        <v>48</v>
      </c>
      <c r="B53" s="52" t="str">
        <f>Inicial!B50</f>
        <v>Procesos</v>
      </c>
      <c r="C53" s="52" t="str">
        <f>Inicial!C50</f>
        <v>Mesanina</v>
      </c>
      <c r="D53" s="53" t="str">
        <f>Inicial!D50</f>
        <v>Recolgado</v>
      </c>
      <c r="E53" s="51" t="str">
        <f>IF(Inicial!N50="SI",Inicial!E50,"N/A")</f>
        <v>N/A</v>
      </c>
      <c r="F53" s="52" t="str">
        <f>IF(Inicial!N50="SI",Inicial!F50,"N/A")</f>
        <v>N/A</v>
      </c>
      <c r="G53" s="52" t="str">
        <f>IF(Inicial!N50="SI",Inicial!G50,"N/A")</f>
        <v>N/A</v>
      </c>
      <c r="H53" s="52" t="str">
        <f>IF(Inicial!N50="SI",Inicial!H50,"N/A")</f>
        <v>N/A</v>
      </c>
      <c r="I53" s="54" t="str">
        <f>IF(Inicial!N50="SI",Inicial!I50,"N/A")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AN53" s="3" t="str" cm="1">
        <f t="array" ref="AN53">IF(OR(Y53:AM53="NO"),"Critico","No Critico")</f>
        <v>No Critico</v>
      </c>
    </row>
    <row r="54" spans="1:40">
      <c r="A54" s="51" t="e">
        <f>Inicial!#REF!</f>
        <v>#REF!</v>
      </c>
      <c r="B54" s="52" t="e">
        <f>Inicial!#REF!</f>
        <v>#REF!</v>
      </c>
      <c r="C54" s="52" t="e">
        <f>Inicial!#REF!</f>
        <v>#REF!</v>
      </c>
      <c r="D54" s="53" t="e">
        <f>Inicial!#REF!</f>
        <v>#REF!</v>
      </c>
      <c r="E54" s="51" t="e">
        <f>IF(Inicial!#REF!="SI",Inicial!#REF!,"N/A")</f>
        <v>#REF!</v>
      </c>
      <c r="F54" s="52" t="e">
        <f>IF(Inicial!#REF!="SI",Inicial!#REF!,"N/A")</f>
        <v>#REF!</v>
      </c>
      <c r="G54" s="52" t="e">
        <f>IF(Inicial!#REF!="SI",Inicial!#REF!,"N/A")</f>
        <v>#REF!</v>
      </c>
      <c r="H54" s="52" t="e">
        <f>IF(Inicial!#REF!="SI",Inicial!#REF!,"N/A")</f>
        <v>#REF!</v>
      </c>
      <c r="I54" s="54" t="e">
        <f>IF(Inicial!#REF!="SI",Inicial!#REF!,"N/A")</f>
        <v>#REF!</v>
      </c>
      <c r="L54" s="1"/>
      <c r="M54" s="1"/>
      <c r="N54" s="1"/>
      <c r="O54" s="1"/>
      <c r="P54" s="1"/>
      <c r="Q54" s="1"/>
      <c r="R54" s="1"/>
      <c r="S54" s="1"/>
      <c r="T54" s="1"/>
      <c r="U54" s="1"/>
      <c r="AN54" s="3" t="str" cm="1">
        <f t="array" ref="AN54">IF(OR(Y54:AM54="NO"),"Critico","No Critico")</f>
        <v>No Critico</v>
      </c>
    </row>
    <row r="55" spans="1:40">
      <c r="A55" s="51">
        <f>Inicial!A51</f>
        <v>49</v>
      </c>
      <c r="B55" s="52" t="str">
        <f>Inicial!B51</f>
        <v>Procesos</v>
      </c>
      <c r="C55" s="52" t="str">
        <f>Inicial!C51</f>
        <v>Trozado</v>
      </c>
      <c r="D55" s="53" t="str">
        <f>Inicial!D51</f>
        <v>Tranferidor</v>
      </c>
      <c r="E55" s="51" t="str">
        <f>IF(Inicial!N51="SI",Inicial!E51,"N/A")</f>
        <v>N/A</v>
      </c>
      <c r="F55" s="52" t="str">
        <f>IF(Inicial!N51="SI",Inicial!F51,"N/A")</f>
        <v>N/A</v>
      </c>
      <c r="G55" s="52" t="str">
        <f>IF(Inicial!N51="SI",Inicial!G51,"N/A")</f>
        <v>N/A</v>
      </c>
      <c r="H55" s="52" t="str">
        <f>IF(Inicial!N51="SI",Inicial!H51,"N/A")</f>
        <v>N/A</v>
      </c>
      <c r="I55" s="54" t="str">
        <f>IF(Inicial!N51="SI",Inicial!I51,"N/A")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AN55" s="3" t="str" cm="1">
        <f t="array" ref="AN55">IF(OR(Y55:AM55="NO"),"Critico","No Critico")</f>
        <v>No Critico</v>
      </c>
    </row>
    <row r="56" spans="1:40">
      <c r="A56" s="51">
        <f>Inicial!A52</f>
        <v>50</v>
      </c>
      <c r="B56" s="52" t="str">
        <f>Inicial!B52</f>
        <v>Procesos</v>
      </c>
      <c r="C56" s="52" t="str">
        <f>Inicial!C52</f>
        <v>Trozado</v>
      </c>
      <c r="D56" s="53" t="str">
        <f>Inicial!D52</f>
        <v>Transpaletero</v>
      </c>
      <c r="E56" s="51" t="str">
        <f>IF(Inicial!N52="SI",Inicial!E52,"N/A")</f>
        <v>N/A</v>
      </c>
      <c r="F56" s="52" t="str">
        <f>IF(Inicial!N52="SI",Inicial!F52,"N/A")</f>
        <v>N/A</v>
      </c>
      <c r="G56" s="52" t="str">
        <f>IF(Inicial!N52="SI",Inicial!G52,"N/A")</f>
        <v>N/A</v>
      </c>
      <c r="H56" s="52" t="str">
        <f>IF(Inicial!N52="SI",Inicial!H52,"N/A")</f>
        <v>N/A</v>
      </c>
      <c r="I56" s="54" t="str">
        <f>IF(Inicial!N52="SI",Inicial!I52,"N/A")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AN56" s="3" t="str" cm="1">
        <f t="array" ref="AN56">IF(OR(Y56:AM56="NO"),"Critico","No Critico")</f>
        <v>No Critico</v>
      </c>
    </row>
    <row r="57" spans="1:40">
      <c r="A57" s="51">
        <f>Inicial!A53</f>
        <v>51</v>
      </c>
      <c r="B57" s="52" t="str">
        <f>Inicial!B53</f>
        <v>Procesos</v>
      </c>
      <c r="C57" s="52" t="str">
        <f>Inicial!C53</f>
        <v>Trozado L2</v>
      </c>
      <c r="D57" s="53" t="str">
        <f>Inicial!D53</f>
        <v>Trozado manual</v>
      </c>
      <c r="E57" s="51" t="str">
        <f>IF(Inicial!N53="SI",Inicial!E53,"N/A")</f>
        <v>N/A</v>
      </c>
      <c r="F57" s="52" t="str">
        <f>IF(Inicial!N53="SI",Inicial!F53,"N/A")</f>
        <v>N/A</v>
      </c>
      <c r="G57" s="52" t="str">
        <f>IF(Inicial!N53="SI",Inicial!G53,"N/A")</f>
        <v>N/A</v>
      </c>
      <c r="H57" s="52" t="str">
        <f>IF(Inicial!N53="SI",Inicial!H53,"N/A")</f>
        <v>N/A</v>
      </c>
      <c r="I57" s="54" t="str">
        <f>IF(Inicial!N53="SI",Inicial!I53,"N/A")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AN57" s="3" t="str" cm="1">
        <f t="array" ref="AN57">IF(OR(Y57:AM57="NO"),"Critico","No Critico")</f>
        <v>No Critico</v>
      </c>
    </row>
    <row r="58" spans="1:40">
      <c r="A58" s="51">
        <f>Inicial!A54</f>
        <v>52</v>
      </c>
      <c r="B58" s="52" t="str">
        <f>Inicial!B54</f>
        <v>Procesos</v>
      </c>
      <c r="C58" s="52" t="str">
        <f>Inicial!C54</f>
        <v>Trozado</v>
      </c>
      <c r="D58" s="53" t="str">
        <f>Inicial!D54</f>
        <v>Maquinista</v>
      </c>
      <c r="E58" s="51" t="str">
        <f>IF(Inicial!N54="SI",Inicial!E54,"N/A")</f>
        <v>N/A</v>
      </c>
      <c r="F58" s="52" t="str">
        <f>IF(Inicial!N54="SI",Inicial!F54,"N/A")</f>
        <v>N/A</v>
      </c>
      <c r="G58" s="52" t="str">
        <f>IF(Inicial!N54="SI",Inicial!G54,"N/A")</f>
        <v>N/A</v>
      </c>
      <c r="H58" s="52" t="str">
        <f>IF(Inicial!N54="SI",Inicial!H54,"N/A")</f>
        <v>N/A</v>
      </c>
      <c r="I58" s="54" t="str">
        <f>IF(Inicial!N54="SI",Inicial!I54,"N/A")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AN58" s="3" t="str" cm="1">
        <f t="array" ref="AN58">IF(OR(Y58:AM58="NO"),"Critico","No Critico")</f>
        <v>No Critico</v>
      </c>
    </row>
    <row r="59" spans="1:40">
      <c r="A59" s="51">
        <f>Inicial!A55</f>
        <v>53</v>
      </c>
      <c r="B59" s="52" t="str">
        <f>Inicial!B55</f>
        <v>Procesos</v>
      </c>
      <c r="C59" s="52" t="str">
        <f>Inicial!C55</f>
        <v>Trozado</v>
      </c>
      <c r="D59" s="53" t="str">
        <f>Inicial!D55</f>
        <v>Fechado</v>
      </c>
      <c r="E59" s="51" t="str">
        <f>IF(Inicial!N55="SI",Inicial!E55,"N/A")</f>
        <v>N/A</v>
      </c>
      <c r="F59" s="52" t="str">
        <f>IF(Inicial!N55="SI",Inicial!F55,"N/A")</f>
        <v>N/A</v>
      </c>
      <c r="G59" s="52" t="str">
        <f>IF(Inicial!N55="SI",Inicial!G55,"N/A")</f>
        <v>N/A</v>
      </c>
      <c r="H59" s="52" t="str">
        <f>IF(Inicial!N55="SI",Inicial!H55,"N/A")</f>
        <v>N/A</v>
      </c>
      <c r="I59" s="54" t="str">
        <f>IF(Inicial!N55="SI",Inicial!I55,"N/A")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AN59" s="3" t="str" cm="1">
        <f t="array" ref="AN59">IF(OR(Y59:AM59="NO"),"Critico","No Critico")</f>
        <v>No Critico</v>
      </c>
    </row>
    <row r="60" spans="1:40">
      <c r="A60" s="51" t="e">
        <f>Inicial!#REF!</f>
        <v>#REF!</v>
      </c>
      <c r="B60" s="52" t="e">
        <f>Inicial!#REF!</f>
        <v>#REF!</v>
      </c>
      <c r="C60" s="52" t="e">
        <f>Inicial!#REF!</f>
        <v>#REF!</v>
      </c>
      <c r="D60" s="53" t="e">
        <f>Inicial!#REF!</f>
        <v>#REF!</v>
      </c>
      <c r="E60" s="51" t="e">
        <f>IF(Inicial!#REF!="SI",Inicial!#REF!,"N/A")</f>
        <v>#REF!</v>
      </c>
      <c r="F60" s="52" t="e">
        <f>IF(Inicial!#REF!="SI",Inicial!#REF!,"N/A")</f>
        <v>#REF!</v>
      </c>
      <c r="G60" s="52" t="e">
        <f>IF(Inicial!#REF!="SI",Inicial!#REF!,"N/A")</f>
        <v>#REF!</v>
      </c>
      <c r="H60" s="52" t="e">
        <f>IF(Inicial!#REF!="SI",Inicial!#REF!,"N/A")</f>
        <v>#REF!</v>
      </c>
      <c r="I60" s="54" t="e">
        <f>IF(Inicial!#REF!="SI",Inicial!#REF!,"N/A")</f>
        <v>#REF!</v>
      </c>
      <c r="L60" s="1"/>
      <c r="M60" s="1"/>
      <c r="N60" s="1"/>
      <c r="O60" s="1"/>
      <c r="P60" s="1"/>
      <c r="Q60" s="1"/>
      <c r="R60" s="1"/>
      <c r="S60" s="1"/>
      <c r="T60" s="1"/>
      <c r="U60" s="1"/>
      <c r="AN60" s="3" t="str" cm="1">
        <f t="array" ref="AN60">IF(OR(Y60:AM60="NO"),"Critico","No Critico")</f>
        <v>No Critico</v>
      </c>
    </row>
    <row r="61" spans="1:40" ht="27.6">
      <c r="A61" s="51">
        <f>Inicial!A56</f>
        <v>54</v>
      </c>
      <c r="B61" s="52" t="str">
        <f>Inicial!B56</f>
        <v>Procesos</v>
      </c>
      <c r="C61" s="52" t="str">
        <f>Inicial!C56</f>
        <v>Trozado L1</v>
      </c>
      <c r="D61" s="53" t="str">
        <f>Inicial!D56</f>
        <v>Embalado pollo personal</v>
      </c>
      <c r="E61" s="51" t="str">
        <f>IF(Inicial!N56="SI",Inicial!E56,"N/A")</f>
        <v>N/A</v>
      </c>
      <c r="F61" s="52" t="str">
        <f>IF(Inicial!N56="SI",Inicial!F56,"N/A")</f>
        <v>N/A</v>
      </c>
      <c r="G61" s="52" t="str">
        <f>IF(Inicial!N56="SI",Inicial!G56,"N/A")</f>
        <v>N/A</v>
      </c>
      <c r="H61" s="52" t="str">
        <f>IF(Inicial!N56="SI",Inicial!H56,"N/A")</f>
        <v>N/A</v>
      </c>
      <c r="I61" s="54" t="str">
        <f>IF(Inicial!N56="SI",Inicial!I56,"N/A")</f>
        <v>N/A</v>
      </c>
      <c r="L61" s="1"/>
      <c r="M61" s="1"/>
      <c r="N61" s="1"/>
      <c r="O61" s="1"/>
      <c r="P61" s="1"/>
      <c r="Q61" s="1"/>
      <c r="R61" s="1"/>
      <c r="S61" s="1"/>
      <c r="T61" s="1"/>
      <c r="U61" s="1"/>
      <c r="AN61" s="3" t="str" cm="1">
        <f t="array" ref="AN61">IF(OR(Y61:AM61="NO"),"Critico","No Critico")</f>
        <v>No Critico</v>
      </c>
    </row>
    <row r="62" spans="1:40">
      <c r="A62" s="51">
        <f>Inicial!A57</f>
        <v>55</v>
      </c>
      <c r="B62" s="52" t="str">
        <f>Inicial!B57</f>
        <v>Procesos</v>
      </c>
      <c r="C62" s="52" t="str">
        <f>Inicial!C57</f>
        <v>Trozado</v>
      </c>
      <c r="D62" s="53" t="str">
        <f>Inicial!D57</f>
        <v>Programador</v>
      </c>
      <c r="E62" s="51" t="str">
        <f>IF(Inicial!N57="SI",Inicial!E57,"N/A")</f>
        <v>N/A</v>
      </c>
      <c r="F62" s="52" t="str">
        <f>IF(Inicial!N57="SI",Inicial!F57,"N/A")</f>
        <v>N/A</v>
      </c>
      <c r="G62" s="52" t="str">
        <f>IF(Inicial!N57="SI",Inicial!G57,"N/A")</f>
        <v>N/A</v>
      </c>
      <c r="H62" s="52" t="str">
        <f>IF(Inicial!N57="SI",Inicial!H57,"N/A")</f>
        <v>N/A</v>
      </c>
      <c r="I62" s="54" t="str">
        <f>IF(Inicial!N57="SI",Inicial!I57,"N/A")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AN62" s="3" t="str" cm="1">
        <f t="array" ref="AN62">IF(OR(Y62:AM62="NO"),"Critico","No Critico")</f>
        <v>No Critico</v>
      </c>
    </row>
    <row r="63" spans="1:40">
      <c r="A63" s="51">
        <f>Inicial!A58</f>
        <v>56</v>
      </c>
      <c r="B63" s="52" t="str">
        <f>Inicial!B58</f>
        <v>Procesos</v>
      </c>
      <c r="C63" s="52" t="str">
        <f>Inicial!C58</f>
        <v>Trozado L5</v>
      </c>
      <c r="D63" s="53" t="str">
        <f>Inicial!D58</f>
        <v>Vacio espinazo</v>
      </c>
      <c r="E63" s="51" t="str">
        <f>IF(Inicial!N58="SI",Inicial!E58,"N/A")</f>
        <v>N/A</v>
      </c>
      <c r="F63" s="52" t="str">
        <f>IF(Inicial!N58="SI",Inicial!F58,"N/A")</f>
        <v>N/A</v>
      </c>
      <c r="G63" s="52" t="str">
        <f>IF(Inicial!N58="SI",Inicial!G58,"N/A")</f>
        <v>N/A</v>
      </c>
      <c r="H63" s="52" t="str">
        <f>IF(Inicial!N58="SI",Inicial!H58,"N/A")</f>
        <v>N/A</v>
      </c>
      <c r="I63" s="54" t="str">
        <f>IF(Inicial!N58="SI",Inicial!I58,"N/A")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AN63" s="3" t="str" cm="1">
        <f t="array" ref="AN63">IF(OR(Y63:AM63="NO"),"Critico","No Critico")</f>
        <v>No Critico</v>
      </c>
    </row>
    <row r="64" spans="1:40" ht="27.6">
      <c r="A64" s="51">
        <f>Inicial!A59</f>
        <v>57</v>
      </c>
      <c r="B64" s="52" t="str">
        <f>Inicial!B59</f>
        <v>Procesos</v>
      </c>
      <c r="C64" s="52" t="str">
        <f>Inicial!C59</f>
        <v>Trozado L5</v>
      </c>
      <c r="D64" s="53" t="str">
        <f>Inicial!D59</f>
        <v>Vacio punta espinazo</v>
      </c>
      <c r="E64" s="51" t="str">
        <f>IF(Inicial!N59="SI",Inicial!E59,"N/A")</f>
        <v>N/A</v>
      </c>
      <c r="F64" s="52" t="str">
        <f>IF(Inicial!N59="SI",Inicial!F59,"N/A")</f>
        <v>N/A</v>
      </c>
      <c r="G64" s="52" t="str">
        <f>IF(Inicial!N59="SI",Inicial!G59,"N/A")</f>
        <v>N/A</v>
      </c>
      <c r="H64" s="52" t="str">
        <f>IF(Inicial!N59="SI",Inicial!H59,"N/A")</f>
        <v>N/A</v>
      </c>
      <c r="I64" s="54" t="str">
        <f>IF(Inicial!N59="SI",Inicial!I59,"N/A")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AN64" s="3" t="str" cm="1">
        <f t="array" ref="AN64">IF(OR(Y64:AM64="NO"),"Critico","No Critico")</f>
        <v>No Critico</v>
      </c>
    </row>
    <row r="65" spans="1:40" ht="27.6">
      <c r="A65" s="51">
        <f>Inicial!A60</f>
        <v>58</v>
      </c>
      <c r="B65" s="52" t="str">
        <f>Inicial!B60</f>
        <v>Procesos</v>
      </c>
      <c r="C65" s="52" t="str">
        <f>Inicial!C60</f>
        <v>Trozado</v>
      </c>
      <c r="D65" s="53" t="str">
        <f>Inicial!D60</f>
        <v>Trozado manual cazuela</v>
      </c>
      <c r="E65" s="51" t="str">
        <f>IF(Inicial!N60="SI",Inicial!E60,"N/A")</f>
        <v>N/A</v>
      </c>
      <c r="F65" s="52" t="str">
        <f>IF(Inicial!N60="SI",Inicial!F60,"N/A")</f>
        <v>N/A</v>
      </c>
      <c r="G65" s="52" t="str">
        <f>IF(Inicial!N60="SI",Inicial!G60,"N/A")</f>
        <v>N/A</v>
      </c>
      <c r="H65" s="52" t="str">
        <f>IF(Inicial!N60="SI",Inicial!H60,"N/A")</f>
        <v>N/A</v>
      </c>
      <c r="I65" s="54" t="str">
        <f>IF(Inicial!N60="SI",Inicial!I60,"N/A")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AN65" s="3" t="str" cm="1">
        <f t="array" ref="AN65">IF(OR(Y65:AM65="NO"),"Critico","No Critico")</f>
        <v>No Critico</v>
      </c>
    </row>
    <row r="66" spans="1:40">
      <c r="A66" s="51" t="e">
        <f>Inicial!#REF!</f>
        <v>#REF!</v>
      </c>
      <c r="B66" s="52" t="e">
        <f>Inicial!#REF!</f>
        <v>#REF!</v>
      </c>
      <c r="C66" s="52" t="e">
        <f>Inicial!#REF!</f>
        <v>#REF!</v>
      </c>
      <c r="D66" s="53" t="e">
        <f>Inicial!#REF!</f>
        <v>#REF!</v>
      </c>
      <c r="E66" s="51" t="e">
        <f>IF(Inicial!#REF!="SI",Inicial!#REF!,"N/A")</f>
        <v>#REF!</v>
      </c>
      <c r="F66" s="52" t="e">
        <f>IF(Inicial!#REF!="SI",Inicial!#REF!,"N/A")</f>
        <v>#REF!</v>
      </c>
      <c r="G66" s="52" t="e">
        <f>IF(Inicial!#REF!="SI",Inicial!#REF!,"N/A")</f>
        <v>#REF!</v>
      </c>
      <c r="H66" s="52" t="e">
        <f>IF(Inicial!#REF!="SI",Inicial!#REF!,"N/A")</f>
        <v>#REF!</v>
      </c>
      <c r="I66" s="54" t="e">
        <f>IF(Inicial!#REF!="SI",Inicial!#REF!,"N/A")</f>
        <v>#REF!</v>
      </c>
      <c r="L66" s="1"/>
      <c r="M66" s="1"/>
      <c r="N66" s="1"/>
      <c r="O66" s="1"/>
      <c r="P66" s="1"/>
      <c r="Q66" s="1"/>
      <c r="R66" s="1"/>
      <c r="S66" s="1"/>
      <c r="T66" s="1"/>
      <c r="U66" s="1"/>
      <c r="AN66" s="3" t="str" cm="1">
        <f t="array" ref="AN66">IF(OR(Y66:AM66="NO"),"Critico","No Critico")</f>
        <v>No Critico</v>
      </c>
    </row>
    <row r="67" spans="1:40" ht="27.6">
      <c r="A67" s="51">
        <f>Inicial!A61</f>
        <v>59</v>
      </c>
      <c r="B67" s="52" t="str">
        <f>Inicial!B61</f>
        <v>Procesos</v>
      </c>
      <c r="C67" s="52" t="str">
        <f>Inicial!C61</f>
        <v>Trozado L5</v>
      </c>
      <c r="D67" s="53" t="str">
        <f>Inicial!D61</f>
        <v>Traslado de Decomiso</v>
      </c>
      <c r="E67" s="51" t="str">
        <f>IF(Inicial!N61="SI",Inicial!E61,"N/A")</f>
        <v>N/A</v>
      </c>
      <c r="F67" s="52" t="str">
        <f>IF(Inicial!N61="SI",Inicial!F61,"N/A")</f>
        <v>N/A</v>
      </c>
      <c r="G67" s="52" t="str">
        <f>IF(Inicial!N61="SI",Inicial!G61,"N/A")</f>
        <v>N/A</v>
      </c>
      <c r="H67" s="52" t="str">
        <f>IF(Inicial!N61="SI",Inicial!H61,"N/A")</f>
        <v>N/A</v>
      </c>
      <c r="I67" s="54" t="str">
        <f>IF(Inicial!N61="SI",Inicial!I61,"N/A")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AN67" s="3" t="str" cm="1">
        <f t="array" ref="AN67">IF(OR(Y67:AM67="NO"),"Critico","No Critico")</f>
        <v>No Critico</v>
      </c>
    </row>
    <row r="68" spans="1:40" ht="27.6">
      <c r="A68" s="51">
        <f>Inicial!A62</f>
        <v>60</v>
      </c>
      <c r="B68" s="52" t="str">
        <f>Inicial!B62</f>
        <v>Procesos</v>
      </c>
      <c r="C68" s="52" t="str">
        <f>Inicial!C62</f>
        <v>Trozado L5</v>
      </c>
      <c r="D68" s="53" t="str">
        <f>Inicial!D62</f>
        <v>Selección centro ala</v>
      </c>
      <c r="E68" s="51" t="str">
        <f>IF(Inicial!N62="SI",Inicial!E62,"N/A")</f>
        <v>N/A</v>
      </c>
      <c r="F68" s="52" t="str">
        <f>IF(Inicial!N62="SI",Inicial!F62,"N/A")</f>
        <v>N/A</v>
      </c>
      <c r="G68" s="52" t="str">
        <f>IF(Inicial!N62="SI",Inicial!G62,"N/A")</f>
        <v>N/A</v>
      </c>
      <c r="H68" s="52" t="str">
        <f>IF(Inicial!N62="SI",Inicial!H62,"N/A")</f>
        <v>N/A</v>
      </c>
      <c r="I68" s="54" t="str">
        <f>IF(Inicial!N62="SI",Inicial!I62,"N/A")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AN68" s="3" t="str" cm="1">
        <f t="array" ref="AN68">IF(OR(Y68:AM68="NO"),"Critico","No Critico")</f>
        <v>No Critico</v>
      </c>
    </row>
    <row r="69" spans="1:40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54" t="e">
        <f>IF(Inicial!#REF!="SI",Inicial!#REF!,"N/A")</f>
        <v>#REF!</v>
      </c>
      <c r="L69" s="1"/>
      <c r="M69" s="1"/>
      <c r="N69" s="1"/>
      <c r="O69" s="1"/>
      <c r="P69" s="1"/>
      <c r="Q69" s="1"/>
      <c r="R69" s="1"/>
      <c r="S69" s="1"/>
      <c r="T69" s="1"/>
      <c r="U69" s="1"/>
      <c r="AN69" s="3" t="str" cm="1">
        <f t="array" ref="AN69">IF(OR(Y69:AM69="NO"),"Critico","No Critico")</f>
        <v>No Critico</v>
      </c>
    </row>
    <row r="70" spans="1:40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54" t="e">
        <f>IF(Inicial!#REF!="SI",Inicial!#REF!,"N/A")</f>
        <v>#REF!</v>
      </c>
      <c r="L70" s="1"/>
      <c r="M70" s="1"/>
      <c r="N70" s="1"/>
      <c r="O70" s="1"/>
      <c r="P70" s="1"/>
      <c r="Q70" s="1"/>
      <c r="R70" s="1"/>
      <c r="S70" s="1"/>
      <c r="T70" s="1"/>
      <c r="U70" s="1"/>
      <c r="AN70" s="3" t="str" cm="1">
        <f t="array" ref="AN70">IF(OR(Y70:AM70="NO"),"Critico","No Critico")</f>
        <v>No Critico</v>
      </c>
    </row>
    <row r="71" spans="1:40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54" t="e">
        <f>IF(Inicial!#REF!="SI",Inicial!#REF!,"N/A")</f>
        <v>#REF!</v>
      </c>
      <c r="L71" s="1"/>
      <c r="M71" s="1"/>
      <c r="N71" s="1"/>
      <c r="O71" s="1"/>
      <c r="P71" s="1"/>
      <c r="Q71" s="1"/>
      <c r="R71" s="1"/>
      <c r="S71" s="1"/>
      <c r="T71" s="1"/>
      <c r="U71" s="1"/>
      <c r="AN71" s="3" t="str" cm="1">
        <f t="array" ref="AN71">IF(OR(Y71:AM71="NO"),"Critico","No Critico")</f>
        <v>No Critico</v>
      </c>
    </row>
    <row r="72" spans="1:40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54" t="e">
        <f>IF(Inicial!#REF!="SI",Inicial!#REF!,"N/A")</f>
        <v>#REF!</v>
      </c>
      <c r="L72" s="1"/>
      <c r="M72" s="1"/>
      <c r="N72" s="1"/>
      <c r="O72" s="1"/>
      <c r="P72" s="1"/>
      <c r="Q72" s="1"/>
      <c r="R72" s="1"/>
      <c r="S72" s="1"/>
      <c r="T72" s="1"/>
      <c r="U72" s="1"/>
      <c r="AN72" s="3" t="str" cm="1">
        <f t="array" ref="AN72">IF(OR(Y72:AM72="NO"),"Critico","No Critico")</f>
        <v>No Critico</v>
      </c>
    </row>
    <row r="73" spans="1:40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54" t="e">
        <f>IF(Inicial!#REF!="SI",Inicial!#REF!,"N/A")</f>
        <v>#REF!</v>
      </c>
      <c r="L73" s="1"/>
      <c r="M73" s="1"/>
      <c r="N73" s="1"/>
      <c r="O73" s="1"/>
      <c r="P73" s="1"/>
      <c r="Q73" s="1"/>
      <c r="R73" s="1"/>
      <c r="S73" s="1"/>
      <c r="T73" s="1"/>
      <c r="U73" s="1"/>
      <c r="AN73" s="3" t="str" cm="1">
        <f t="array" ref="AN73">IF(OR(Y73:AM73="NO"),"Critico","No Critico")</f>
        <v>No Critico</v>
      </c>
    </row>
    <row r="74" spans="1:40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54" t="e">
        <f>IF(Inicial!#REF!="SI",Inicial!#REF!,"N/A")</f>
        <v>#REF!</v>
      </c>
      <c r="L74" s="1"/>
      <c r="M74" s="1"/>
      <c r="N74" s="1"/>
      <c r="O74" s="1"/>
      <c r="P74" s="1"/>
      <c r="Q74" s="1"/>
      <c r="R74" s="1"/>
      <c r="S74" s="1"/>
      <c r="T74" s="1"/>
      <c r="U74" s="1"/>
      <c r="AN74" s="3" t="str" cm="1">
        <f t="array" ref="AN74">IF(OR(Y74:AM74="NO"),"Critico","No Critico")</f>
        <v>No Critico</v>
      </c>
    </row>
    <row r="75" spans="1:40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54" t="e">
        <f>IF(Inicial!#REF!="SI",Inicial!#REF!,"N/A")</f>
        <v>#REF!</v>
      </c>
      <c r="L75" s="1"/>
      <c r="M75" s="1"/>
      <c r="N75" s="1"/>
      <c r="O75" s="1"/>
      <c r="P75" s="1"/>
      <c r="Q75" s="1"/>
      <c r="R75" s="1"/>
      <c r="S75" s="1"/>
      <c r="T75" s="1"/>
      <c r="U75" s="1"/>
      <c r="AN75" s="3" t="str" cm="1">
        <f t="array" ref="AN75">IF(OR(Y75:AM75="NO"),"Critico","No Critico")</f>
        <v>No Critico</v>
      </c>
    </row>
    <row r="76" spans="1:40">
      <c r="A76" s="51" t="e">
        <f>Inicial!#REF!</f>
        <v>#REF!</v>
      </c>
      <c r="B76" s="52" t="e">
        <f>Inicial!#REF!</f>
        <v>#REF!</v>
      </c>
      <c r="C76" s="52" t="e">
        <f>Inicial!#REF!</f>
        <v>#REF!</v>
      </c>
      <c r="D76" s="53" t="e">
        <f>Inicial!#REF!</f>
        <v>#REF!</v>
      </c>
      <c r="E76" s="51" t="e">
        <f>IF(Inicial!#REF!="SI",Inicial!#REF!,"N/A")</f>
        <v>#REF!</v>
      </c>
      <c r="F76" s="52" t="e">
        <f>IF(Inicial!#REF!="SI",Inicial!#REF!,"N/A")</f>
        <v>#REF!</v>
      </c>
      <c r="G76" s="52" t="e">
        <f>IF(Inicial!#REF!="SI",Inicial!#REF!,"N/A")</f>
        <v>#REF!</v>
      </c>
      <c r="H76" s="52" t="e">
        <f>IF(Inicial!#REF!="SI",Inicial!#REF!,"N/A")</f>
        <v>#REF!</v>
      </c>
      <c r="I76" s="54" t="e">
        <f>IF(Inicial!#REF!="SI",Inicial!#REF!,"N/A")</f>
        <v>#REF!</v>
      </c>
      <c r="L76" s="1"/>
      <c r="M76" s="1"/>
      <c r="N76" s="1"/>
      <c r="O76" s="1"/>
      <c r="P76" s="1"/>
      <c r="Q76" s="1"/>
      <c r="R76" s="1"/>
      <c r="S76" s="1"/>
      <c r="T76" s="1"/>
      <c r="U76" s="1"/>
      <c r="AN76" s="3" t="str" cm="1">
        <f t="array" ref="AN76">IF(OR(Y76:AM76="NO"),"Critico","No Critico")</f>
        <v>No Critico</v>
      </c>
    </row>
    <row r="77" spans="1:40">
      <c r="A77" s="51" t="e">
        <f>Inicial!#REF!</f>
        <v>#REF!</v>
      </c>
      <c r="B77" s="52" t="e">
        <f>Inicial!#REF!</f>
        <v>#REF!</v>
      </c>
      <c r="C77" s="52" t="e">
        <f>Inicial!#REF!</f>
        <v>#REF!</v>
      </c>
      <c r="D77" s="53" t="e">
        <f>Inicial!#REF!</f>
        <v>#REF!</v>
      </c>
      <c r="E77" s="51" t="e">
        <f>IF(Inicial!#REF!="SI",Inicial!#REF!,"N/A")</f>
        <v>#REF!</v>
      </c>
      <c r="F77" s="52" t="e">
        <f>IF(Inicial!#REF!="SI",Inicial!#REF!,"N/A")</f>
        <v>#REF!</v>
      </c>
      <c r="G77" s="52" t="e">
        <f>IF(Inicial!#REF!="SI",Inicial!#REF!,"N/A")</f>
        <v>#REF!</v>
      </c>
      <c r="H77" s="52" t="e">
        <f>IF(Inicial!#REF!="SI",Inicial!#REF!,"N/A")</f>
        <v>#REF!</v>
      </c>
      <c r="I77" s="54" t="e">
        <f>IF(Inicial!#REF!="SI",Inicial!#REF!,"N/A")</f>
        <v>#REF!</v>
      </c>
      <c r="L77" s="1"/>
      <c r="M77" s="1"/>
      <c r="N77" s="1"/>
      <c r="O77" s="1"/>
      <c r="P77" s="1"/>
      <c r="Q77" s="1"/>
      <c r="R77" s="1"/>
      <c r="S77" s="1"/>
      <c r="T77" s="1"/>
      <c r="U77" s="1"/>
      <c r="AN77" s="3" t="str" cm="1">
        <f t="array" ref="AN77">IF(OR(Y77:AM77="NO"),"Critico","No Critico")</f>
        <v>No Critico</v>
      </c>
    </row>
    <row r="78" spans="1:40">
      <c r="A78" s="51" t="e">
        <f>Inicial!#REF!</f>
        <v>#REF!</v>
      </c>
      <c r="B78" s="52" t="e">
        <f>Inicial!#REF!</f>
        <v>#REF!</v>
      </c>
      <c r="C78" s="52" t="e">
        <f>Inicial!#REF!</f>
        <v>#REF!</v>
      </c>
      <c r="D78" s="53" t="e">
        <f>Inicial!#REF!</f>
        <v>#REF!</v>
      </c>
      <c r="E78" s="51" t="e">
        <f>IF(Inicial!#REF!="SI",Inicial!#REF!,"N/A")</f>
        <v>#REF!</v>
      </c>
      <c r="F78" s="52" t="e">
        <f>IF(Inicial!#REF!="SI",Inicial!#REF!,"N/A")</f>
        <v>#REF!</v>
      </c>
      <c r="G78" s="52" t="e">
        <f>IF(Inicial!#REF!="SI",Inicial!#REF!,"N/A")</f>
        <v>#REF!</v>
      </c>
      <c r="H78" s="52" t="e">
        <f>IF(Inicial!#REF!="SI",Inicial!#REF!,"N/A")</f>
        <v>#REF!</v>
      </c>
      <c r="I78" s="54" t="e">
        <f>IF(Inicial!#REF!="SI",Inicial!#REF!,"N/A")</f>
        <v>#REF!</v>
      </c>
      <c r="L78" s="1"/>
      <c r="M78" s="1"/>
      <c r="N78" s="1"/>
      <c r="O78" s="1"/>
      <c r="P78" s="1"/>
      <c r="Q78" s="1"/>
      <c r="R78" s="1"/>
      <c r="S78" s="1"/>
      <c r="T78" s="1"/>
      <c r="U78" s="1"/>
      <c r="AN78" s="3" t="str" cm="1">
        <f t="array" ref="AN78">IF(OR(Y78:AM78="NO"),"Critico","No Critico")</f>
        <v>No Critico</v>
      </c>
    </row>
    <row r="79" spans="1:40" ht="27.6">
      <c r="A79" s="51">
        <f>Inicial!A63</f>
        <v>61</v>
      </c>
      <c r="B79" s="52" t="str">
        <f>Inicial!B63</f>
        <v>Procesos</v>
      </c>
      <c r="C79" s="52" t="str">
        <f>Inicial!C63</f>
        <v>Trozado L5</v>
      </c>
      <c r="D79" s="53" t="str">
        <f>Inicial!D63</f>
        <v xml:space="preserve">Selección trutro ala </v>
      </c>
      <c r="E79" s="51" t="str">
        <f>IF(Inicial!N63="SI",Inicial!E63,"N/A")</f>
        <v>N/A</v>
      </c>
      <c r="F79" s="52" t="str">
        <f>IF(Inicial!N63="SI",Inicial!F63,"N/A")</f>
        <v>N/A</v>
      </c>
      <c r="G79" s="52" t="str">
        <f>IF(Inicial!N63="SI",Inicial!G63,"N/A")</f>
        <v>N/A</v>
      </c>
      <c r="H79" s="52" t="str">
        <f>IF(Inicial!N63="SI",Inicial!H63,"N/A")</f>
        <v>N/A</v>
      </c>
      <c r="I79" s="54" t="str">
        <f>IF(Inicial!N63="SI",Inicial!I63,"N/A")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AN79" s="3" t="str" cm="1">
        <f t="array" ref="AN79">IF(OR(Y79:AM79="NO"),"Critico","No Critico")</f>
        <v>No Critico</v>
      </c>
    </row>
    <row r="80" spans="1:40" ht="27.6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54" t="e">
        <f>IF(Inicial!#REF!="SI",Inicial!#REF!,"N/A")</f>
        <v>#REF!</v>
      </c>
      <c r="L80" s="1"/>
      <c r="M80" s="1"/>
      <c r="N80" s="1"/>
      <c r="O80" s="1"/>
      <c r="P80" s="1"/>
      <c r="Q80" s="1"/>
      <c r="R80" s="1"/>
      <c r="S80" s="1"/>
      <c r="T80" s="1"/>
      <c r="U80" s="1"/>
      <c r="AN80" s="3" t="str" cm="1">
        <f t="array" ref="AN80">IF(OR(Y80:AM80="NO"),"Critico","No Critico")</f>
        <v>No Critico</v>
      </c>
    </row>
    <row r="81" spans="1:40">
      <c r="A81" s="51">
        <f>Inicial!A64</f>
        <v>62</v>
      </c>
      <c r="B81" s="52" t="str">
        <f>Inicial!B64</f>
        <v>Procesos</v>
      </c>
      <c r="C81" s="52" t="str">
        <f>Inicial!C64</f>
        <v>Trozado L5</v>
      </c>
      <c r="D81" s="53" t="str">
        <f>Inicial!D64</f>
        <v>Mezclas</v>
      </c>
      <c r="E81" s="51" t="str">
        <f>IF(Inicial!N64="SI",Inicial!E64,"N/A")</f>
        <v>N/A</v>
      </c>
      <c r="F81" s="52" t="str">
        <f>IF(Inicial!N64="SI",Inicial!F64,"N/A")</f>
        <v>N/A</v>
      </c>
      <c r="G81" s="52" t="str">
        <f>IF(Inicial!N64="SI",Inicial!G64,"N/A")</f>
        <v>N/A</v>
      </c>
      <c r="H81" s="52" t="str">
        <f>IF(Inicial!N64="SI",Inicial!H64,"N/A")</f>
        <v>N/A</v>
      </c>
      <c r="I81" s="54" t="str">
        <f>IF(Inicial!N64="SI",Inicial!I64,"N/A")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AN81" s="3" t="str" cm="1">
        <f t="array" ref="AN81">IF(OR(Y81:AM81="NO"),"Critico","No Critico")</f>
        <v>No Critico</v>
      </c>
    </row>
    <row r="82" spans="1:40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54" t="e">
        <f>IF(Inicial!#REF!="SI",Inicial!#REF!,"N/A")</f>
        <v>#REF!</v>
      </c>
      <c r="L82" s="1"/>
      <c r="M82" s="1"/>
      <c r="N82" s="1"/>
      <c r="O82" s="1"/>
      <c r="P82" s="1"/>
      <c r="Q82" s="1"/>
      <c r="R82" s="1"/>
      <c r="S82" s="1"/>
      <c r="T82" s="1"/>
      <c r="U82" s="1"/>
      <c r="AN82" s="3" t="str" cm="1">
        <f t="array" ref="AN82">IF(OR(Y82:AM82="NO"),"Critico","No Critico")</f>
        <v>No Critico</v>
      </c>
    </row>
    <row r="83" spans="1:40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54" t="e">
        <f>IF(Inicial!#REF!="SI",Inicial!#REF!,"N/A")</f>
        <v>#REF!</v>
      </c>
      <c r="L83" s="1"/>
      <c r="M83" s="1"/>
      <c r="N83" s="1"/>
      <c r="O83" s="1"/>
      <c r="P83" s="1"/>
      <c r="Q83" s="1"/>
      <c r="R83" s="1"/>
      <c r="S83" s="1"/>
      <c r="T83" s="1"/>
      <c r="U83" s="1"/>
      <c r="AN83" s="3" t="str" cm="1">
        <f t="array" ref="AN83">IF(OR(Y83:AM83="NO"),"Critico","No Critico")</f>
        <v>No Critico</v>
      </c>
    </row>
    <row r="84" spans="1:40">
      <c r="A84" s="51" t="e">
        <f>Inicial!#REF!</f>
        <v>#REF!</v>
      </c>
      <c r="B84" s="52" t="e">
        <f>Inicial!#REF!</f>
        <v>#REF!</v>
      </c>
      <c r="C84" s="52" t="e">
        <f>Inicial!#REF!</f>
        <v>#REF!</v>
      </c>
      <c r="D84" s="53" t="e">
        <f>Inicial!#REF!</f>
        <v>#REF!</v>
      </c>
      <c r="E84" s="51" t="e">
        <f>IF(Inicial!#REF!="SI",Inicial!#REF!,"N/A")</f>
        <v>#REF!</v>
      </c>
      <c r="F84" s="52" t="e">
        <f>IF(Inicial!#REF!="SI",Inicial!#REF!,"N/A")</f>
        <v>#REF!</v>
      </c>
      <c r="G84" s="52" t="e">
        <f>IF(Inicial!#REF!="SI",Inicial!#REF!,"N/A")</f>
        <v>#REF!</v>
      </c>
      <c r="H84" s="52" t="e">
        <f>IF(Inicial!#REF!="SI",Inicial!#REF!,"N/A")</f>
        <v>#REF!</v>
      </c>
      <c r="I84" s="54" t="e">
        <f>IF(Inicial!#REF!="SI",Inicial!#REF!,"N/A")</f>
        <v>#REF!</v>
      </c>
      <c r="L84" s="1"/>
      <c r="M84" s="1"/>
      <c r="N84" s="1"/>
      <c r="O84" s="1"/>
      <c r="P84" s="1"/>
      <c r="Q84" s="1"/>
      <c r="R84" s="1"/>
      <c r="S84" s="1"/>
      <c r="T84" s="1"/>
      <c r="U84" s="1"/>
      <c r="AN84" s="3" t="str" cm="1">
        <f t="array" ref="AN84">IF(OR(Y84:AM84="NO"),"Critico","No Critico")</f>
        <v>No Critico</v>
      </c>
    </row>
    <row r="85" spans="1:40">
      <c r="A85" s="51" t="e">
        <f>Inicial!#REF!</f>
        <v>#REF!</v>
      </c>
      <c r="B85" s="52" t="e">
        <f>Inicial!#REF!</f>
        <v>#REF!</v>
      </c>
      <c r="C85" s="52" t="e">
        <f>Inicial!#REF!</f>
        <v>#REF!</v>
      </c>
      <c r="D85" s="53" t="e">
        <f>Inicial!#REF!</f>
        <v>#REF!</v>
      </c>
      <c r="E85" s="51" t="e">
        <f>IF(Inicial!#REF!="SI",Inicial!#REF!,"N/A")</f>
        <v>#REF!</v>
      </c>
      <c r="F85" s="52" t="e">
        <f>IF(Inicial!#REF!="SI",Inicial!#REF!,"N/A")</f>
        <v>#REF!</v>
      </c>
      <c r="G85" s="52" t="e">
        <f>IF(Inicial!#REF!="SI",Inicial!#REF!,"N/A")</f>
        <v>#REF!</v>
      </c>
      <c r="H85" s="52" t="e">
        <f>IF(Inicial!#REF!="SI",Inicial!#REF!,"N/A")</f>
        <v>#REF!</v>
      </c>
      <c r="I85" s="54" t="e">
        <f>IF(Inicial!#REF!="SI",Inicial!#REF!,"N/A")</f>
        <v>#REF!</v>
      </c>
      <c r="AN85" s="3" t="str" cm="1">
        <f t="array" ref="AN85">IF(OR(Y85:AM85="NO"),"Critico","No Critico")</f>
        <v>No Critico</v>
      </c>
    </row>
    <row r="86" spans="1:40">
      <c r="A86" s="51" t="e">
        <f>Inicial!#REF!</f>
        <v>#REF!</v>
      </c>
      <c r="B86" s="52" t="e">
        <f>Inicial!#REF!</f>
        <v>#REF!</v>
      </c>
      <c r="C86" s="52" t="e">
        <f>Inicial!#REF!</f>
        <v>#REF!</v>
      </c>
      <c r="D86" s="53" t="e">
        <f>Inicial!#REF!</f>
        <v>#REF!</v>
      </c>
      <c r="E86" s="51" t="e">
        <f>IF(Inicial!#REF!="SI",Inicial!#REF!,"N/A")</f>
        <v>#REF!</v>
      </c>
      <c r="F86" s="52" t="e">
        <f>IF(Inicial!#REF!="SI",Inicial!#REF!,"N/A")</f>
        <v>#REF!</v>
      </c>
      <c r="G86" s="52" t="e">
        <f>IF(Inicial!#REF!="SI",Inicial!#REF!,"N/A")</f>
        <v>#REF!</v>
      </c>
      <c r="H86" s="52" t="e">
        <f>IF(Inicial!#REF!="SI",Inicial!#REF!,"N/A")</f>
        <v>#REF!</v>
      </c>
      <c r="I86" s="54" t="e">
        <f>IF(Inicial!#REF!="SI",Inicial!#REF!,"N/A")</f>
        <v>#REF!</v>
      </c>
      <c r="AN86" s="3" t="str" cm="1">
        <f t="array" ref="AN86">IF(OR(Y86:AM86="NO"),"Critico","No Critico")</f>
        <v>No Critico</v>
      </c>
    </row>
    <row r="87" spans="1:40" ht="27.6">
      <c r="A87" s="51">
        <f>Inicial!A65</f>
        <v>63</v>
      </c>
      <c r="B87" s="52" t="str">
        <f>Inicial!B65</f>
        <v>Procesos</v>
      </c>
      <c r="C87" s="52" t="str">
        <f>Inicial!C65</f>
        <v>Paletizado Fresco</v>
      </c>
      <c r="D87" s="53" t="str">
        <f>Inicial!D65</f>
        <v>Embalaje de producto</v>
      </c>
      <c r="E87" s="51" t="str">
        <f>IF(Inicial!N65="SI",Inicial!E65,"N/A")</f>
        <v>N/A</v>
      </c>
      <c r="F87" s="52" t="str">
        <f>IF(Inicial!N65="SI",Inicial!F65,"N/A")</f>
        <v>N/A</v>
      </c>
      <c r="G87" s="52" t="str">
        <f>IF(Inicial!N65="SI",Inicial!G65,"N/A")</f>
        <v>N/A</v>
      </c>
      <c r="H87" s="52" t="str">
        <f>IF(Inicial!N65="SI",Inicial!H65,"N/A")</f>
        <v>N/A</v>
      </c>
      <c r="I87" s="54" t="str">
        <f>IF(Inicial!N65="SI",Inicial!I65,"N/A")</f>
        <v>N/A</v>
      </c>
      <c r="AN87" s="3" t="str" cm="1">
        <f t="array" ref="AN87">IF(OR(Y87:AM87="NO"),"Critico","No Critico")</f>
        <v>No Critico</v>
      </c>
    </row>
    <row r="88" spans="1:40" ht="27.6">
      <c r="A88" s="51">
        <f>Inicial!A66</f>
        <v>64</v>
      </c>
      <c r="B88" s="52" t="str">
        <f>Inicial!B66</f>
        <v>Procesos</v>
      </c>
      <c r="C88" s="52" t="str">
        <f>Inicial!C66</f>
        <v>Deshuesado Trutro</v>
      </c>
      <c r="D88" s="53" t="str">
        <f>Inicial!D66</f>
        <v>Despieladora</v>
      </c>
      <c r="E88" s="51" t="str">
        <f>IF(Inicial!N66="SI",Inicial!E66,"N/A")</f>
        <v>N/A</v>
      </c>
      <c r="F88" s="52" t="str">
        <f>IF(Inicial!N66="SI",Inicial!F66,"N/A")</f>
        <v>N/A</v>
      </c>
      <c r="G88" s="52" t="str">
        <f>IF(Inicial!N66="SI",Inicial!G66,"N/A")</f>
        <v>N/A</v>
      </c>
      <c r="H88" s="52" t="str">
        <f>IF(Inicial!N66="SI",Inicial!H66,"N/A")</f>
        <v>N/A</v>
      </c>
      <c r="I88" s="54" t="str">
        <f>IF(Inicial!N66="SI",Inicial!I66,"N/A")</f>
        <v>N/A</v>
      </c>
      <c r="AN88" s="3" t="str" cm="1">
        <f t="array" ref="AN88">IF(OR(Y88:AM88="NO"),"Critico","No Critico")</f>
        <v>No Critico</v>
      </c>
    </row>
    <row r="89" spans="1:40" ht="27.6">
      <c r="A89" s="51">
        <f>Inicial!A67</f>
        <v>65</v>
      </c>
      <c r="B89" s="52" t="str">
        <f>Inicial!B67</f>
        <v>Procesos</v>
      </c>
      <c r="C89" s="52" t="str">
        <f>Inicial!C67</f>
        <v>Deshuesado Trutro</v>
      </c>
      <c r="D89" s="53" t="str">
        <f>Inicial!D67</f>
        <v>Colgado Trutro</v>
      </c>
      <c r="E89" s="51" t="str">
        <f>IF(Inicial!N67="SI",Inicial!E67,"N/A")</f>
        <v>N/A</v>
      </c>
      <c r="F89" s="52" t="str">
        <f>IF(Inicial!N67="SI",Inicial!F67,"N/A")</f>
        <v>N/A</v>
      </c>
      <c r="G89" s="52" t="str">
        <f>IF(Inicial!N67="SI",Inicial!G67,"N/A")</f>
        <v>N/A</v>
      </c>
      <c r="H89" s="52" t="str">
        <f>IF(Inicial!N67="SI",Inicial!H67,"N/A")</f>
        <v>N/A</v>
      </c>
      <c r="I89" s="54" t="str">
        <f>IF(Inicial!N67="SI",Inicial!I67,"N/A")</f>
        <v>N/A</v>
      </c>
      <c r="AN89" s="3" t="str" cm="1">
        <f t="array" ref="AN89">IF(OR(Y89:AM89="NO"),"Critico","No Critico")</f>
        <v>No Critico</v>
      </c>
    </row>
    <row r="90" spans="1:40" ht="27.6">
      <c r="A90" s="51">
        <f>Inicial!A68</f>
        <v>66</v>
      </c>
      <c r="B90" s="52" t="str">
        <f>Inicial!B68</f>
        <v>Procesos</v>
      </c>
      <c r="C90" s="52" t="str">
        <f>Inicial!C68</f>
        <v>Deshuesado Trutro</v>
      </c>
      <c r="D90" s="53" t="str">
        <f>Inicial!D68</f>
        <v>Prolijado</v>
      </c>
      <c r="E90" s="51" t="str">
        <f>IF(Inicial!N68="SI",Inicial!E68,"N/A")</f>
        <v>N/A</v>
      </c>
      <c r="F90" s="52" t="str">
        <f>IF(Inicial!N68="SI",Inicial!F68,"N/A")</f>
        <v>N/A</v>
      </c>
      <c r="G90" s="52" t="str">
        <f>IF(Inicial!N68="SI",Inicial!G68,"N/A")</f>
        <v>N/A</v>
      </c>
      <c r="H90" s="52" t="str">
        <f>IF(Inicial!N68="SI",Inicial!H68,"N/A")</f>
        <v>N/A</v>
      </c>
      <c r="I90" s="54" t="str">
        <f>IF(Inicial!N68="SI",Inicial!I68,"N/A")</f>
        <v>N/A</v>
      </c>
      <c r="AN90" s="3" t="str" cm="1">
        <f t="array" ref="AN90">IF(OR(Y90:AM90="NO"),"Critico","No Critico")</f>
        <v>No Critico</v>
      </c>
    </row>
    <row r="91" spans="1:40" ht="27.6">
      <c r="A91" s="51">
        <f>Inicial!A69</f>
        <v>67</v>
      </c>
      <c r="B91" s="52" t="str">
        <f>Inicial!B69</f>
        <v>Procesos</v>
      </c>
      <c r="C91" s="52" t="str">
        <f>Inicial!C69</f>
        <v>Deshuesado Trutro</v>
      </c>
      <c r="D91" s="53" t="str">
        <f>Inicial!D69</f>
        <v>Revision de trutro</v>
      </c>
      <c r="E91" s="51" t="str">
        <f>IF(Inicial!N69="SI",Inicial!E69,"N/A")</f>
        <v>N/A</v>
      </c>
      <c r="F91" s="52" t="str">
        <f>IF(Inicial!N69="SI",Inicial!F69,"N/A")</f>
        <v>N/A</v>
      </c>
      <c r="G91" s="52" t="str">
        <f>IF(Inicial!N69="SI",Inicial!G69,"N/A")</f>
        <v>N/A</v>
      </c>
      <c r="H91" s="52" t="str">
        <f>IF(Inicial!N69="SI",Inicial!H69,"N/A")</f>
        <v>N/A</v>
      </c>
      <c r="I91" s="54" t="str">
        <f>IF(Inicial!N69="SI",Inicial!I69,"N/A")</f>
        <v>N/A</v>
      </c>
      <c r="AN91" s="3" t="str" cm="1">
        <f t="array" ref="AN91">IF(OR(Y91:AM91="NO"),"Critico","No Critico")</f>
        <v>No Critico</v>
      </c>
    </row>
    <row r="92" spans="1:40">
      <c r="A92" s="51">
        <f>Inicial!A70</f>
        <v>68</v>
      </c>
      <c r="B92" s="52" t="str">
        <f>Inicial!B70</f>
        <v>Procesos</v>
      </c>
      <c r="C92" s="52" t="str">
        <f>Inicial!C70</f>
        <v>Deshuesado Trutro</v>
      </c>
      <c r="D92" s="53" t="str">
        <f>Inicial!D70</f>
        <v>Deshuesado Trutro</v>
      </c>
      <c r="E92" s="51" t="str">
        <f>IF(Inicial!N70="SI",Inicial!E70,"N/A")</f>
        <v>N/A</v>
      </c>
      <c r="F92" s="52" t="str">
        <f>IF(Inicial!N70="SI",Inicial!F70,"N/A")</f>
        <v>N/A</v>
      </c>
      <c r="G92" s="52" t="str">
        <f>IF(Inicial!N70="SI",Inicial!G70,"N/A")</f>
        <v>N/A</v>
      </c>
      <c r="H92" s="52" t="str">
        <f>IF(Inicial!N70="SI",Inicial!H70,"N/A")</f>
        <v>N/A</v>
      </c>
      <c r="I92" s="54" t="str">
        <f>IF(Inicial!N70="SI",Inicial!I70,"N/A")</f>
        <v>N/A</v>
      </c>
      <c r="AN92" s="3" t="str" cm="1">
        <f t="array" ref="AN92">IF(OR(Y92:AM92="NO"),"Critico","No Critico")</f>
        <v>No Critico</v>
      </c>
    </row>
    <row r="93" spans="1:40">
      <c r="A93" s="51">
        <f>Inicial!A71</f>
        <v>0</v>
      </c>
      <c r="B93" s="52">
        <f>Inicial!B71</f>
        <v>0</v>
      </c>
      <c r="C93" s="52">
        <f>Inicial!C71</f>
        <v>0</v>
      </c>
      <c r="D93" s="53">
        <f>Inicial!D71</f>
        <v>0</v>
      </c>
      <c r="E93" s="51" t="str">
        <f>IF(Inicial!N71="SI",Inicial!E71,"N/A")</f>
        <v>N/A</v>
      </c>
      <c r="F93" s="52" t="str">
        <f>IF(Inicial!N71="SI",Inicial!F71,"N/A")</f>
        <v>N/A</v>
      </c>
      <c r="G93" s="52" t="str">
        <f>IF(Inicial!N71="SI",Inicial!G71,"N/A")</f>
        <v>N/A</v>
      </c>
      <c r="H93" s="52" t="str">
        <f>IF(Inicial!N71="SI",Inicial!H71,"N/A")</f>
        <v>N/A</v>
      </c>
      <c r="I93" s="54" t="str">
        <f>IF(Inicial!N71="SI",Inicial!I71,"N/A")</f>
        <v>N/A</v>
      </c>
      <c r="AN93" s="3" t="str" cm="1">
        <f t="array" ref="AN93">IF(OR(Y93:AM93="NO"),"Critico","No Critico")</f>
        <v>No Critico</v>
      </c>
    </row>
    <row r="94" spans="1:40">
      <c r="A94" s="51">
        <f>Inicial!A72</f>
        <v>0</v>
      </c>
      <c r="B94" s="52">
        <f>Inicial!B72</f>
        <v>0</v>
      </c>
      <c r="C94" s="52">
        <f>Inicial!C72</f>
        <v>0</v>
      </c>
      <c r="D94" s="53">
        <f>Inicial!D72</f>
        <v>0</v>
      </c>
      <c r="E94" s="51" t="str">
        <f>IF(Inicial!N72="SI",Inicial!E72,"N/A")</f>
        <v>N/A</v>
      </c>
      <c r="F94" s="52" t="str">
        <f>IF(Inicial!N72="SI",Inicial!F72,"N/A")</f>
        <v>N/A</v>
      </c>
      <c r="G94" s="52" t="str">
        <f>IF(Inicial!N72="SI",Inicial!G72,"N/A")</f>
        <v>N/A</v>
      </c>
      <c r="H94" s="52" t="str">
        <f>IF(Inicial!N72="SI",Inicial!H72,"N/A")</f>
        <v>N/A</v>
      </c>
      <c r="I94" s="54" t="str">
        <f>IF(Inicial!N72="SI",Inicial!I72,"N/A")</f>
        <v>N/A</v>
      </c>
      <c r="AN94" s="3" t="str" cm="1">
        <f t="array" ref="AN94">IF(OR(Y94:AM94="NO"),"Critico","No Critico")</f>
        <v>No Critico</v>
      </c>
    </row>
    <row r="95" spans="1:40">
      <c r="A95" s="51">
        <f>Inicial!A73</f>
        <v>0</v>
      </c>
      <c r="B95" s="52">
        <f>Inicial!B73</f>
        <v>0</v>
      </c>
      <c r="C95" s="52">
        <f>Inicial!C73</f>
        <v>0</v>
      </c>
      <c r="D95" s="53">
        <f>Inicial!D73</f>
        <v>0</v>
      </c>
      <c r="E95" s="51" t="str">
        <f>IF(Inicial!N73="SI",Inicial!E73,"N/A")</f>
        <v>N/A</v>
      </c>
      <c r="F95" s="52" t="str">
        <f>IF(Inicial!N73="SI",Inicial!F73,"N/A")</f>
        <v>N/A</v>
      </c>
      <c r="G95" s="52" t="str">
        <f>IF(Inicial!N73="SI",Inicial!G73,"N/A")</f>
        <v>N/A</v>
      </c>
      <c r="H95" s="52" t="str">
        <f>IF(Inicial!N73="SI",Inicial!H73,"N/A")</f>
        <v>N/A</v>
      </c>
      <c r="I95" s="54" t="str">
        <f>IF(Inicial!N73="SI",Inicial!I73,"N/A")</f>
        <v>N/A</v>
      </c>
      <c r="AN95" s="3" t="str" cm="1">
        <f t="array" ref="AN95">IF(OR(Y95:AM95="NO"),"Critico","No Critico")</f>
        <v>No Critico</v>
      </c>
    </row>
    <row r="96" spans="1:40">
      <c r="A96" s="51">
        <f>Inicial!A74</f>
        <v>0</v>
      </c>
      <c r="B96" s="52">
        <f>Inicial!B74</f>
        <v>0</v>
      </c>
      <c r="C96" s="52">
        <f>Inicial!C74</f>
        <v>0</v>
      </c>
      <c r="D96" s="53">
        <f>Inicial!D74</f>
        <v>0</v>
      </c>
      <c r="E96" s="51" t="str">
        <f>IF(Inicial!N74="SI",Inicial!E74,"N/A")</f>
        <v>N/A</v>
      </c>
      <c r="F96" s="52" t="str">
        <f>IF(Inicial!N74="SI",Inicial!F74,"N/A")</f>
        <v>N/A</v>
      </c>
      <c r="G96" s="52" t="str">
        <f>IF(Inicial!N74="SI",Inicial!G74,"N/A")</f>
        <v>N/A</v>
      </c>
      <c r="H96" s="52" t="str">
        <f>IF(Inicial!N74="SI",Inicial!H74,"N/A")</f>
        <v>N/A</v>
      </c>
      <c r="I96" s="54" t="str">
        <f>IF(Inicial!N74="SI",Inicial!I74,"N/A")</f>
        <v>N/A</v>
      </c>
      <c r="AN96" s="3" t="str" cm="1">
        <f t="array" ref="AN96">IF(OR(Y96:AM96="NO"),"Critico","No Critico")</f>
        <v>No Critico</v>
      </c>
    </row>
    <row r="97" spans="1:40">
      <c r="A97" s="51">
        <f>Inicial!A75</f>
        <v>0</v>
      </c>
      <c r="B97" s="52">
        <f>Inicial!B75</f>
        <v>0</v>
      </c>
      <c r="C97" s="52">
        <f>Inicial!C75</f>
        <v>0</v>
      </c>
      <c r="D97" s="53">
        <f>Inicial!D75</f>
        <v>0</v>
      </c>
      <c r="E97" s="51" t="str">
        <f>IF(Inicial!N75="SI",Inicial!E75,"N/A")</f>
        <v>N/A</v>
      </c>
      <c r="F97" s="52" t="str">
        <f>IF(Inicial!N75="SI",Inicial!F75,"N/A")</f>
        <v>N/A</v>
      </c>
      <c r="G97" s="52" t="str">
        <f>IF(Inicial!N75="SI",Inicial!G75,"N/A")</f>
        <v>N/A</v>
      </c>
      <c r="H97" s="52" t="str">
        <f>IF(Inicial!N75="SI",Inicial!H75,"N/A")</f>
        <v>N/A</v>
      </c>
      <c r="I97" s="54" t="str">
        <f>IF(Inicial!N75="SI",Inicial!I75,"N/A")</f>
        <v>N/A</v>
      </c>
      <c r="AN97" s="3" t="str" cm="1">
        <f t="array" ref="AN97">IF(OR(Y97:AM97="NO"),"Critico","No Critico")</f>
        <v>No Critico</v>
      </c>
    </row>
    <row r="98" spans="1:40">
      <c r="A98" s="51">
        <f>Inicial!A76</f>
        <v>0</v>
      </c>
      <c r="B98" s="52">
        <f>Inicial!B76</f>
        <v>0</v>
      </c>
      <c r="C98" s="52">
        <f>Inicial!C76</f>
        <v>0</v>
      </c>
      <c r="D98" s="53">
        <f>Inicial!D76</f>
        <v>0</v>
      </c>
      <c r="E98" s="51" t="str">
        <f>IF(Inicial!N76="SI",Inicial!E76,"N/A")</f>
        <v>N/A</v>
      </c>
      <c r="F98" s="52" t="str">
        <f>IF(Inicial!N76="SI",Inicial!F76,"N/A")</f>
        <v>N/A</v>
      </c>
      <c r="G98" s="52" t="str">
        <f>IF(Inicial!N76="SI",Inicial!G76,"N/A")</f>
        <v>N/A</v>
      </c>
      <c r="H98" s="52" t="str">
        <f>IF(Inicial!N76="SI",Inicial!H76,"N/A")</f>
        <v>N/A</v>
      </c>
      <c r="I98" s="54" t="str">
        <f>IF(Inicial!N76="SI",Inicial!I76,"N/A")</f>
        <v>N/A</v>
      </c>
      <c r="AN98" s="3" t="str" cm="1">
        <f t="array" ref="AN98">IF(OR(Y98:AM98="NO"),"Critico","No Critico")</f>
        <v>No Critico</v>
      </c>
    </row>
    <row r="99" spans="1:40">
      <c r="A99" s="51">
        <f>Inicial!A77</f>
        <v>0</v>
      </c>
      <c r="B99" s="52">
        <f>Inicial!B77</f>
        <v>0</v>
      </c>
      <c r="C99" s="52">
        <f>Inicial!C77</f>
        <v>0</v>
      </c>
      <c r="D99" s="53">
        <f>Inicial!D77</f>
        <v>0</v>
      </c>
      <c r="E99" s="51" t="str">
        <f>IF(Inicial!N77="SI",Inicial!E77,"N/A")</f>
        <v>N/A</v>
      </c>
      <c r="F99" s="52" t="str">
        <f>IF(Inicial!N77="SI",Inicial!F77,"N/A")</f>
        <v>N/A</v>
      </c>
      <c r="G99" s="52" t="str">
        <f>IF(Inicial!N77="SI",Inicial!G77,"N/A")</f>
        <v>N/A</v>
      </c>
      <c r="H99" s="52" t="str">
        <f>IF(Inicial!N77="SI",Inicial!H77,"N/A")</f>
        <v>N/A</v>
      </c>
      <c r="I99" s="54" t="str">
        <f>IF(Inicial!N77="SI",Inicial!I77,"N/A")</f>
        <v>N/A</v>
      </c>
      <c r="AN99" s="3" t="str" cm="1">
        <f t="array" ref="AN99">IF(OR(Y99:AM99="NO"),"Critico","No Critico")</f>
        <v>No Critico</v>
      </c>
    </row>
    <row r="100" spans="1:40">
      <c r="A100" s="51">
        <f>Inicial!A78</f>
        <v>0</v>
      </c>
      <c r="B100" s="52">
        <f>Inicial!B78</f>
        <v>0</v>
      </c>
      <c r="C100" s="52">
        <f>Inicial!C78</f>
        <v>0</v>
      </c>
      <c r="D100" s="53">
        <f>Inicial!D78</f>
        <v>0</v>
      </c>
      <c r="E100" s="51" t="str">
        <f>IF(Inicial!N78="SI",Inicial!E78,"N/A")</f>
        <v>N/A</v>
      </c>
      <c r="F100" s="52" t="str">
        <f>IF(Inicial!N78="SI",Inicial!F78,"N/A")</f>
        <v>N/A</v>
      </c>
      <c r="G100" s="52" t="str">
        <f>IF(Inicial!N78="SI",Inicial!G78,"N/A")</f>
        <v>N/A</v>
      </c>
      <c r="H100" s="52" t="str">
        <f>IF(Inicial!N78="SI",Inicial!H78,"N/A")</f>
        <v>N/A</v>
      </c>
      <c r="I100" s="54" t="str">
        <f>IF(Inicial!N78="SI",Inicial!I78,"N/A")</f>
        <v>N/A</v>
      </c>
      <c r="AN100" s="3" t="str" cm="1">
        <f t="array" ref="AN100">IF(OR(Y100:AM100="NO"),"Critico","No Critico")</f>
        <v>No Critico</v>
      </c>
    </row>
    <row r="101" spans="1:40">
      <c r="A101" s="51">
        <f>Inicial!A79</f>
        <v>0</v>
      </c>
      <c r="B101" s="52">
        <f>Inicial!B79</f>
        <v>0</v>
      </c>
      <c r="C101" s="52">
        <f>Inicial!C79</f>
        <v>0</v>
      </c>
      <c r="D101" s="53">
        <f>Inicial!D79</f>
        <v>0</v>
      </c>
      <c r="E101" s="51" t="str">
        <f>IF(Inicial!N79="SI",Inicial!E79,"N/A")</f>
        <v>N/A</v>
      </c>
      <c r="F101" s="52" t="str">
        <f>IF(Inicial!N79="SI",Inicial!F79,"N/A")</f>
        <v>N/A</v>
      </c>
      <c r="G101" s="52" t="str">
        <f>IF(Inicial!N79="SI",Inicial!G79,"N/A")</f>
        <v>N/A</v>
      </c>
      <c r="H101" s="52" t="str">
        <f>IF(Inicial!N79="SI",Inicial!H79,"N/A")</f>
        <v>N/A</v>
      </c>
      <c r="I101" s="54" t="str">
        <f>IF(Inicial!N79="SI",Inicial!I79,"N/A")</f>
        <v>N/A</v>
      </c>
      <c r="AN101" s="3" t="str" cm="1">
        <f t="array" ref="AN101">IF(OR(Y101:AM101="NO"),"Critico","No Critico")</f>
        <v>No Critico</v>
      </c>
    </row>
    <row r="102" spans="1:40">
      <c r="A102" s="51">
        <f>Inicial!A80</f>
        <v>0</v>
      </c>
      <c r="B102" s="52">
        <f>Inicial!B80</f>
        <v>0</v>
      </c>
      <c r="C102" s="52">
        <f>Inicial!C80</f>
        <v>0</v>
      </c>
      <c r="D102" s="53">
        <f>Inicial!D80</f>
        <v>0</v>
      </c>
      <c r="E102" s="51" t="str">
        <f>IF(Inicial!N80="SI",Inicial!E80,"N/A")</f>
        <v>N/A</v>
      </c>
      <c r="F102" s="52" t="str">
        <f>IF(Inicial!N80="SI",Inicial!F80,"N/A")</f>
        <v>N/A</v>
      </c>
      <c r="G102" s="52" t="str">
        <f>IF(Inicial!N80="SI",Inicial!G80,"N/A")</f>
        <v>N/A</v>
      </c>
      <c r="H102" s="52" t="str">
        <f>IF(Inicial!N80="SI",Inicial!H80,"N/A")</f>
        <v>N/A</v>
      </c>
      <c r="I102" s="54" t="str">
        <f>IF(Inicial!N80="SI",Inicial!I80,"N/A")</f>
        <v>N/A</v>
      </c>
      <c r="AN102" s="3" t="str" cm="1">
        <f t="array" ref="AN102">IF(OR(Y102:AM102="NO"),"Critico","No Critico")</f>
        <v>No Critico</v>
      </c>
    </row>
    <row r="103" spans="1:40">
      <c r="A103" s="51">
        <f>Inicial!A81</f>
        <v>0</v>
      </c>
      <c r="B103" s="52">
        <f>Inicial!B81</f>
        <v>0</v>
      </c>
      <c r="C103" s="52">
        <f>Inicial!C81</f>
        <v>0</v>
      </c>
      <c r="D103" s="53">
        <f>Inicial!D81</f>
        <v>0</v>
      </c>
      <c r="E103" s="51" t="str">
        <f>IF(Inicial!N81="SI",Inicial!E81,"N/A")</f>
        <v>N/A</v>
      </c>
      <c r="F103" s="52" t="str">
        <f>IF(Inicial!N81="SI",Inicial!F81,"N/A")</f>
        <v>N/A</v>
      </c>
      <c r="G103" s="52" t="str">
        <f>IF(Inicial!N81="SI",Inicial!G81,"N/A")</f>
        <v>N/A</v>
      </c>
      <c r="H103" s="52" t="str">
        <f>IF(Inicial!N81="SI",Inicial!H81,"N/A")</f>
        <v>N/A</v>
      </c>
      <c r="I103" s="54" t="str">
        <f>IF(Inicial!N81="SI",Inicial!I81,"N/A")</f>
        <v>N/A</v>
      </c>
      <c r="AN103" s="3" t="str" cm="1">
        <f t="array" ref="AN103">IF(OR(Y103:AM103="NO"),"Critico","No Critico")</f>
        <v>No Critico</v>
      </c>
    </row>
    <row r="104" spans="1:40">
      <c r="A104" s="51">
        <f>Inicial!A82</f>
        <v>0</v>
      </c>
      <c r="B104" s="52">
        <f>Inicial!B82</f>
        <v>0</v>
      </c>
      <c r="C104" s="52">
        <f>Inicial!C82</f>
        <v>0</v>
      </c>
      <c r="D104" s="53">
        <f>Inicial!D82</f>
        <v>0</v>
      </c>
      <c r="E104" s="51" t="str">
        <f>IF(Inicial!N82="SI",Inicial!E82,"N/A")</f>
        <v>N/A</v>
      </c>
      <c r="F104" s="52" t="str">
        <f>IF(Inicial!N82="SI",Inicial!F82,"N/A")</f>
        <v>N/A</v>
      </c>
      <c r="G104" s="52" t="str">
        <f>IF(Inicial!N82="SI",Inicial!G82,"N/A")</f>
        <v>N/A</v>
      </c>
      <c r="H104" s="52" t="str">
        <f>IF(Inicial!N82="SI",Inicial!H82,"N/A")</f>
        <v>N/A</v>
      </c>
      <c r="I104" s="54" t="str">
        <f>IF(Inicial!N82="SI",Inicial!I82,"N/A")</f>
        <v>N/A</v>
      </c>
      <c r="AN104" s="3" t="str" cm="1">
        <f t="array" ref="AN104">IF(OR(Y104:AM104="NO"),"Critico","No Critico")</f>
        <v>No Critico</v>
      </c>
    </row>
    <row r="105" spans="1:40">
      <c r="A105" s="51">
        <f>Inicial!A83</f>
        <v>0</v>
      </c>
      <c r="B105" s="52">
        <f>Inicial!B83</f>
        <v>0</v>
      </c>
      <c r="C105" s="52">
        <f>Inicial!C83</f>
        <v>0</v>
      </c>
      <c r="D105" s="53">
        <f>Inicial!D83</f>
        <v>0</v>
      </c>
      <c r="E105" s="51" t="str">
        <f>IF(Inicial!N83="SI",Inicial!E83,"N/A")</f>
        <v>N/A</v>
      </c>
      <c r="F105" s="52" t="str">
        <f>IF(Inicial!N83="SI",Inicial!F83,"N/A")</f>
        <v>N/A</v>
      </c>
      <c r="G105" s="52" t="str">
        <f>IF(Inicial!N83="SI",Inicial!G83,"N/A")</f>
        <v>N/A</v>
      </c>
      <c r="H105" s="52" t="str">
        <f>IF(Inicial!N83="SI",Inicial!H83,"N/A")</f>
        <v>N/A</v>
      </c>
      <c r="I105" s="54" t="str">
        <f>IF(Inicial!N83="SI",Inicial!I83,"N/A")</f>
        <v>N/A</v>
      </c>
      <c r="AN105" s="3" t="str" cm="1">
        <f t="array" ref="AN105">IF(OR(Y105:AM105="NO"),"Critico","No Critico")</f>
        <v>No Critico</v>
      </c>
    </row>
    <row r="106" spans="1:40">
      <c r="A106" s="51">
        <f>Inicial!A84</f>
        <v>0</v>
      </c>
      <c r="B106" s="52">
        <f>Inicial!B84</f>
        <v>0</v>
      </c>
      <c r="C106" s="52">
        <f>Inicial!C84</f>
        <v>0</v>
      </c>
      <c r="D106" s="53">
        <f>Inicial!D84</f>
        <v>0</v>
      </c>
      <c r="E106" s="51" t="str">
        <f>IF(Inicial!N84="SI",Inicial!E84,"N/A")</f>
        <v>N/A</v>
      </c>
      <c r="F106" s="52" t="str">
        <f>IF(Inicial!N84="SI",Inicial!F84,"N/A")</f>
        <v>N/A</v>
      </c>
      <c r="G106" s="52" t="str">
        <f>IF(Inicial!N84="SI",Inicial!G84,"N/A")</f>
        <v>N/A</v>
      </c>
      <c r="H106" s="52" t="str">
        <f>IF(Inicial!N84="SI",Inicial!H84,"N/A")</f>
        <v>N/A</v>
      </c>
      <c r="I106" s="54" t="str">
        <f>IF(Inicial!N84="SI",Inicial!I84,"N/A")</f>
        <v>N/A</v>
      </c>
      <c r="AN106" s="3" t="str" cm="1">
        <f t="array" ref="AN106">IF(OR(Y106:AM106="NO"),"Critico","No Critico")</f>
        <v>No Critico</v>
      </c>
    </row>
    <row r="107" spans="1:40">
      <c r="A107" s="51">
        <f>Inicial!A85</f>
        <v>0</v>
      </c>
      <c r="B107" s="52">
        <f>Inicial!B85</f>
        <v>0</v>
      </c>
      <c r="C107" s="52">
        <f>Inicial!C85</f>
        <v>0</v>
      </c>
      <c r="D107" s="53">
        <f>Inicial!D85</f>
        <v>0</v>
      </c>
      <c r="E107" s="51" t="str">
        <f>IF(Inicial!N85="SI",Inicial!E85,"N/A")</f>
        <v>N/A</v>
      </c>
      <c r="F107" s="52" t="str">
        <f>IF(Inicial!N85="SI",Inicial!F85,"N/A")</f>
        <v>N/A</v>
      </c>
      <c r="G107" s="52" t="str">
        <f>IF(Inicial!N85="SI",Inicial!G85,"N/A")</f>
        <v>N/A</v>
      </c>
      <c r="H107" s="52" t="str">
        <f>IF(Inicial!N85="SI",Inicial!H85,"N/A")</f>
        <v>N/A</v>
      </c>
      <c r="I107" s="54" t="str">
        <f>IF(Inicial!N85="SI",Inicial!I85,"N/A")</f>
        <v>N/A</v>
      </c>
      <c r="AN107" s="3" t="str" cm="1">
        <f t="array" ref="AN107">IF(OR(Y107:AM107="NO"),"Critico","No Critico")</f>
        <v>No Critico</v>
      </c>
    </row>
    <row r="108" spans="1:40">
      <c r="A108" s="51">
        <f>Inicial!A86</f>
        <v>0</v>
      </c>
      <c r="B108" s="52">
        <f>Inicial!B86</f>
        <v>0</v>
      </c>
      <c r="C108" s="52">
        <f>Inicial!C86</f>
        <v>0</v>
      </c>
      <c r="D108" s="53">
        <f>Inicial!D86</f>
        <v>0</v>
      </c>
      <c r="E108" s="51" t="str">
        <f>IF(Inicial!N86="SI",Inicial!E86,"N/A")</f>
        <v>N/A</v>
      </c>
      <c r="F108" s="52" t="str">
        <f>IF(Inicial!N86="SI",Inicial!F86,"N/A")</f>
        <v>N/A</v>
      </c>
      <c r="G108" s="52" t="str">
        <f>IF(Inicial!N86="SI",Inicial!G86,"N/A")</f>
        <v>N/A</v>
      </c>
      <c r="H108" s="52" t="str">
        <f>IF(Inicial!N86="SI",Inicial!H86,"N/A")</f>
        <v>N/A</v>
      </c>
      <c r="I108" s="54" t="str">
        <f>IF(Inicial!N86="SI",Inicial!I86,"N/A")</f>
        <v>N/A</v>
      </c>
      <c r="AN108" s="3" t="str" cm="1">
        <f t="array" ref="AN108">IF(OR(Y108:AM108="NO"),"Critico","No Critico")</f>
        <v>No Critico</v>
      </c>
    </row>
    <row r="109" spans="1:40">
      <c r="A109" s="51">
        <f>Inicial!A87</f>
        <v>0</v>
      </c>
      <c r="B109" s="52">
        <f>Inicial!B87</f>
        <v>0</v>
      </c>
      <c r="C109" s="52">
        <f>Inicial!C87</f>
        <v>0</v>
      </c>
      <c r="D109" s="53">
        <f>Inicial!D87</f>
        <v>0</v>
      </c>
      <c r="E109" s="51" t="str">
        <f>IF(Inicial!N87="SI",Inicial!E87,"N/A")</f>
        <v>N/A</v>
      </c>
      <c r="F109" s="52" t="str">
        <f>IF(Inicial!N87="SI",Inicial!F87,"N/A")</f>
        <v>N/A</v>
      </c>
      <c r="G109" s="52" t="str">
        <f>IF(Inicial!N87="SI",Inicial!G87,"N/A")</f>
        <v>N/A</v>
      </c>
      <c r="H109" s="52" t="str">
        <f>IF(Inicial!N87="SI",Inicial!H87,"N/A")</f>
        <v>N/A</v>
      </c>
      <c r="I109" s="54" t="str">
        <f>IF(Inicial!N87="SI",Inicial!I87,"N/A")</f>
        <v>N/A</v>
      </c>
      <c r="AN109" s="3" t="str" cm="1">
        <f t="array" ref="AN109">IF(OR(Y109:AM109="NO"),"Critico","No Critico")</f>
        <v>No Critico</v>
      </c>
    </row>
    <row r="110" spans="1:40">
      <c r="A110" s="51">
        <f>Inicial!A88</f>
        <v>0</v>
      </c>
      <c r="B110" s="52">
        <f>Inicial!B88</f>
        <v>0</v>
      </c>
      <c r="C110" s="52">
        <f>Inicial!C88</f>
        <v>0</v>
      </c>
      <c r="D110" s="53">
        <f>Inicial!D88</f>
        <v>0</v>
      </c>
      <c r="E110" s="51" t="str">
        <f>IF(Inicial!N88="SI",Inicial!E88,"N/A")</f>
        <v>N/A</v>
      </c>
      <c r="F110" s="52" t="str">
        <f>IF(Inicial!N88="SI",Inicial!F88,"N/A")</f>
        <v>N/A</v>
      </c>
      <c r="G110" s="52" t="str">
        <f>IF(Inicial!N88="SI",Inicial!G88,"N/A")</f>
        <v>N/A</v>
      </c>
      <c r="H110" s="52" t="str">
        <f>IF(Inicial!N88="SI",Inicial!H88,"N/A")</f>
        <v>N/A</v>
      </c>
      <c r="I110" s="54" t="str">
        <f>IF(Inicial!N88="SI",Inicial!I88,"N/A")</f>
        <v>N/A</v>
      </c>
      <c r="AN110" s="3" t="str" cm="1">
        <f t="array" ref="AN110">IF(OR(Y110:AM110="NO"),"Critico","No Critico")</f>
        <v>No Critico</v>
      </c>
    </row>
    <row r="111" spans="1:40">
      <c r="A111" s="51">
        <f>Inicial!A89</f>
        <v>0</v>
      </c>
      <c r="B111" s="52">
        <f>Inicial!B89</f>
        <v>0</v>
      </c>
      <c r="C111" s="52">
        <f>Inicial!C89</f>
        <v>0</v>
      </c>
      <c r="D111" s="53">
        <f>Inicial!D89</f>
        <v>0</v>
      </c>
      <c r="E111" s="51" t="str">
        <f>IF(Inicial!N89="SI",Inicial!E89,"N/A")</f>
        <v>N/A</v>
      </c>
      <c r="F111" s="52" t="str">
        <f>IF(Inicial!N89="SI",Inicial!F89,"N/A")</f>
        <v>N/A</v>
      </c>
      <c r="G111" s="52" t="str">
        <f>IF(Inicial!N89="SI",Inicial!G89,"N/A")</f>
        <v>N/A</v>
      </c>
      <c r="H111" s="52" t="str">
        <f>IF(Inicial!N89="SI",Inicial!H89,"N/A")</f>
        <v>N/A</v>
      </c>
      <c r="I111" s="54" t="str">
        <f>IF(Inicial!N89="SI",Inicial!I89,"N/A")</f>
        <v>N/A</v>
      </c>
      <c r="AN111" s="3" t="str" cm="1">
        <f t="array" ref="AN111">IF(OR(Y111:AM111="NO"),"Critico","No Critico")</f>
        <v>No Critico</v>
      </c>
    </row>
    <row r="112" spans="1:40">
      <c r="A112" s="51">
        <f>Inicial!A90</f>
        <v>0</v>
      </c>
      <c r="B112" s="52">
        <f>Inicial!B90</f>
        <v>0</v>
      </c>
      <c r="C112" s="52">
        <f>Inicial!C90</f>
        <v>0</v>
      </c>
      <c r="D112" s="53">
        <f>Inicial!D90</f>
        <v>0</v>
      </c>
      <c r="E112" s="51" t="str">
        <f>IF(Inicial!N90="SI",Inicial!E90,"N/A")</f>
        <v>N/A</v>
      </c>
      <c r="F112" s="52" t="str">
        <f>IF(Inicial!N90="SI",Inicial!F90,"N/A")</f>
        <v>N/A</v>
      </c>
      <c r="G112" s="52" t="str">
        <f>IF(Inicial!N90="SI",Inicial!G90,"N/A")</f>
        <v>N/A</v>
      </c>
      <c r="H112" s="52" t="str">
        <f>IF(Inicial!N90="SI",Inicial!H90,"N/A")</f>
        <v>N/A</v>
      </c>
      <c r="I112" s="54" t="str">
        <f>IF(Inicial!N90="SI",Inicial!I90,"N/A")</f>
        <v>N/A</v>
      </c>
      <c r="AN112" s="3" t="str" cm="1">
        <f t="array" ref="AN112">IF(OR(Y112:AM112="NO"),"Critico","No Critico")</f>
        <v>No Critico</v>
      </c>
    </row>
    <row r="113" spans="1:40">
      <c r="A113" s="51">
        <f>Inicial!A91</f>
        <v>0</v>
      </c>
      <c r="B113" s="52">
        <f>Inicial!B91</f>
        <v>0</v>
      </c>
      <c r="C113" s="52">
        <f>Inicial!C91</f>
        <v>0</v>
      </c>
      <c r="D113" s="53">
        <f>Inicial!D91</f>
        <v>0</v>
      </c>
      <c r="E113" s="51" t="str">
        <f>IF(Inicial!N91="SI",Inicial!E91,"N/A")</f>
        <v>N/A</v>
      </c>
      <c r="F113" s="52" t="str">
        <f>IF(Inicial!N91="SI",Inicial!F91,"N/A")</f>
        <v>N/A</v>
      </c>
      <c r="G113" s="52" t="str">
        <f>IF(Inicial!N91="SI",Inicial!G91,"N/A")</f>
        <v>N/A</v>
      </c>
      <c r="H113" s="52" t="str">
        <f>IF(Inicial!N91="SI",Inicial!H91,"N/A")</f>
        <v>N/A</v>
      </c>
      <c r="I113" s="54" t="str">
        <f>IF(Inicial!N91="SI",Inicial!I91,"N/A")</f>
        <v>N/A</v>
      </c>
      <c r="AN113" s="3" t="str" cm="1">
        <f t="array" ref="AN113">IF(OR(Y113:AM113="NO"),"Critico","No Critico")</f>
        <v>No Critico</v>
      </c>
    </row>
    <row r="114" spans="1:40">
      <c r="A114" s="51">
        <f>Inicial!A92</f>
        <v>0</v>
      </c>
      <c r="B114" s="52">
        <f>Inicial!B92</f>
        <v>0</v>
      </c>
      <c r="C114" s="52">
        <f>Inicial!C92</f>
        <v>0</v>
      </c>
      <c r="D114" s="53">
        <f>Inicial!D92</f>
        <v>0</v>
      </c>
      <c r="E114" s="51" t="str">
        <f>IF(Inicial!N92="SI",Inicial!E92,"N/A")</f>
        <v>N/A</v>
      </c>
      <c r="F114" s="52" t="str">
        <f>IF(Inicial!N92="SI",Inicial!F92,"N/A")</f>
        <v>N/A</v>
      </c>
      <c r="G114" s="52" t="str">
        <f>IF(Inicial!N92="SI",Inicial!G92,"N/A")</f>
        <v>N/A</v>
      </c>
      <c r="H114" s="52" t="str">
        <f>IF(Inicial!N92="SI",Inicial!H92,"N/A")</f>
        <v>N/A</v>
      </c>
      <c r="I114" s="54" t="str">
        <f>IF(Inicial!N92="SI",Inicial!I92,"N/A")</f>
        <v>N/A</v>
      </c>
      <c r="AN114" s="3" t="str" cm="1">
        <f t="array" ref="AN114">IF(OR(Y114:AM114="NO"),"Critico","No Critico")</f>
        <v>No Critico</v>
      </c>
    </row>
    <row r="115" spans="1:40">
      <c r="A115" s="51">
        <f>Inicial!A93</f>
        <v>0</v>
      </c>
      <c r="B115" s="52">
        <f>Inicial!B93</f>
        <v>0</v>
      </c>
      <c r="C115" s="52">
        <f>Inicial!C93</f>
        <v>0</v>
      </c>
      <c r="D115" s="53">
        <f>Inicial!D93</f>
        <v>0</v>
      </c>
      <c r="E115" s="51" t="str">
        <f>IF(Inicial!N93="SI",Inicial!E93,"N/A")</f>
        <v>N/A</v>
      </c>
      <c r="F115" s="52" t="str">
        <f>IF(Inicial!N93="SI",Inicial!F93,"N/A")</f>
        <v>N/A</v>
      </c>
      <c r="G115" s="52" t="str">
        <f>IF(Inicial!N93="SI",Inicial!G93,"N/A")</f>
        <v>N/A</v>
      </c>
      <c r="H115" s="52" t="str">
        <f>IF(Inicial!N93="SI",Inicial!H93,"N/A")</f>
        <v>N/A</v>
      </c>
      <c r="I115" s="54" t="str">
        <f>IF(Inicial!N93="SI",Inicial!I93,"N/A")</f>
        <v>N/A</v>
      </c>
      <c r="AN115" s="3" t="str" cm="1">
        <f t="array" ref="AN115">IF(OR(Y115:AM115="NO"),"Critico","No Critico")</f>
        <v>No Critico</v>
      </c>
    </row>
    <row r="116" spans="1:40">
      <c r="A116" s="51">
        <f>Inicial!A94</f>
        <v>0</v>
      </c>
      <c r="B116" s="52">
        <f>Inicial!B94</f>
        <v>0</v>
      </c>
      <c r="C116" s="52">
        <f>Inicial!C94</f>
        <v>0</v>
      </c>
      <c r="D116" s="53">
        <f>Inicial!D94</f>
        <v>0</v>
      </c>
      <c r="E116" s="51" t="str">
        <f>IF(Inicial!N94="SI",Inicial!E94,"N/A")</f>
        <v>N/A</v>
      </c>
      <c r="F116" s="52" t="str">
        <f>IF(Inicial!N94="SI",Inicial!F94,"N/A")</f>
        <v>N/A</v>
      </c>
      <c r="G116" s="52" t="str">
        <f>IF(Inicial!N94="SI",Inicial!G94,"N/A")</f>
        <v>N/A</v>
      </c>
      <c r="H116" s="52" t="str">
        <f>IF(Inicial!N94="SI",Inicial!H94,"N/A")</f>
        <v>N/A</v>
      </c>
      <c r="I116" s="54" t="str">
        <f>IF(Inicial!N94="SI",Inicial!I94,"N/A")</f>
        <v>N/A</v>
      </c>
      <c r="AN116" s="3" t="str" cm="1">
        <f t="array" ref="AN116">IF(OR(Y116:AM116="NO"),"Critico","No Critico")</f>
        <v>No Critico</v>
      </c>
    </row>
    <row r="117" spans="1:40">
      <c r="A117" s="51">
        <f>Inicial!A95</f>
        <v>0</v>
      </c>
      <c r="B117" s="52">
        <f>Inicial!B95</f>
        <v>0</v>
      </c>
      <c r="C117" s="52">
        <f>Inicial!C95</f>
        <v>0</v>
      </c>
      <c r="D117" s="53">
        <f>Inicial!D95</f>
        <v>0</v>
      </c>
      <c r="E117" s="51" t="str">
        <f>IF(Inicial!N95="SI",Inicial!E95,"N/A")</f>
        <v>N/A</v>
      </c>
      <c r="F117" s="52" t="str">
        <f>IF(Inicial!N95="SI",Inicial!F95,"N/A")</f>
        <v>N/A</v>
      </c>
      <c r="G117" s="52" t="str">
        <f>IF(Inicial!N95="SI",Inicial!G95,"N/A")</f>
        <v>N/A</v>
      </c>
      <c r="H117" s="52" t="str">
        <f>IF(Inicial!N95="SI",Inicial!H95,"N/A")</f>
        <v>N/A</v>
      </c>
      <c r="I117" s="54" t="str">
        <f>IF(Inicial!N95="SI",Inicial!I95,"N/A")</f>
        <v>N/A</v>
      </c>
      <c r="AN117" s="3" t="str" cm="1">
        <f t="array" ref="AN117">IF(OR(Y117:AM117="NO"),"Critico","No Critico")</f>
        <v>No Critico</v>
      </c>
    </row>
    <row r="118" spans="1:40">
      <c r="A118" s="51">
        <f>Inicial!A96</f>
        <v>0</v>
      </c>
      <c r="B118" s="52">
        <f>Inicial!B96</f>
        <v>0</v>
      </c>
      <c r="C118" s="52">
        <f>Inicial!C96</f>
        <v>0</v>
      </c>
      <c r="D118" s="53">
        <f>Inicial!D96</f>
        <v>0</v>
      </c>
      <c r="E118" s="51" t="str">
        <f>IF(Inicial!N96="SI",Inicial!E96,"N/A")</f>
        <v>N/A</v>
      </c>
      <c r="F118" s="52" t="str">
        <f>IF(Inicial!N96="SI",Inicial!F96,"N/A")</f>
        <v>N/A</v>
      </c>
      <c r="G118" s="52" t="str">
        <f>IF(Inicial!N96="SI",Inicial!G96,"N/A")</f>
        <v>N/A</v>
      </c>
      <c r="H118" s="52" t="str">
        <f>IF(Inicial!N96="SI",Inicial!H96,"N/A")</f>
        <v>N/A</v>
      </c>
      <c r="I118" s="54" t="str">
        <f>IF(Inicial!N96="SI",Inicial!I96,"N/A")</f>
        <v>N/A</v>
      </c>
      <c r="AN118" s="3" t="str" cm="1">
        <f t="array" ref="AN118">IF(OR(Y118:AM118="NO"),"Critico","No Critico")</f>
        <v>No Critico</v>
      </c>
    </row>
    <row r="119" spans="1:40">
      <c r="A119" s="51">
        <f>Inicial!A97</f>
        <v>0</v>
      </c>
      <c r="B119" s="52">
        <f>Inicial!B97</f>
        <v>0</v>
      </c>
      <c r="C119" s="52">
        <f>Inicial!C97</f>
        <v>0</v>
      </c>
      <c r="D119" s="53">
        <f>Inicial!D97</f>
        <v>0</v>
      </c>
      <c r="E119" s="51" t="str">
        <f>IF(Inicial!N97="SI",Inicial!E97,"N/A")</f>
        <v>N/A</v>
      </c>
      <c r="F119" s="52" t="str">
        <f>IF(Inicial!N97="SI",Inicial!F97,"N/A")</f>
        <v>N/A</v>
      </c>
      <c r="G119" s="52" t="str">
        <f>IF(Inicial!N97="SI",Inicial!G97,"N/A")</f>
        <v>N/A</v>
      </c>
      <c r="H119" s="52" t="str">
        <f>IF(Inicial!N97="SI",Inicial!H97,"N/A")</f>
        <v>N/A</v>
      </c>
      <c r="I119" s="54" t="str">
        <f>IF(Inicial!N97="SI",Inicial!I97,"N/A")</f>
        <v>N/A</v>
      </c>
      <c r="AN119" s="3" t="str" cm="1">
        <f t="array" ref="AN119">IF(OR(Y119:AM119="NO"),"Critico","No Critico")</f>
        <v>No Critico</v>
      </c>
    </row>
    <row r="120" spans="1:40">
      <c r="A120" s="51">
        <f>Inicial!A98</f>
        <v>0</v>
      </c>
      <c r="B120" s="52">
        <f>Inicial!B98</f>
        <v>0</v>
      </c>
      <c r="C120" s="52">
        <f>Inicial!C98</f>
        <v>0</v>
      </c>
      <c r="D120" s="53">
        <f>Inicial!D98</f>
        <v>0</v>
      </c>
      <c r="E120" s="51" t="str">
        <f>IF(Inicial!N98="SI",Inicial!E98,"N/A")</f>
        <v>N/A</v>
      </c>
      <c r="F120" s="52" t="str">
        <f>IF(Inicial!N98="SI",Inicial!F98,"N/A")</f>
        <v>N/A</v>
      </c>
      <c r="G120" s="52" t="str">
        <f>IF(Inicial!N98="SI",Inicial!G98,"N/A")</f>
        <v>N/A</v>
      </c>
      <c r="H120" s="52" t="str">
        <f>IF(Inicial!N98="SI",Inicial!H98,"N/A")</f>
        <v>N/A</v>
      </c>
      <c r="I120" s="54" t="str">
        <f>IF(Inicial!N98="SI",Inicial!I98,"N/A")</f>
        <v>N/A</v>
      </c>
      <c r="AN120" s="3" t="str" cm="1">
        <f t="array" ref="AN120">IF(OR(Y120:AM120="NO"),"Critico","No Critico")</f>
        <v>No Critico</v>
      </c>
    </row>
    <row r="121" spans="1:40">
      <c r="A121" s="51">
        <f>Inicial!A99</f>
        <v>0</v>
      </c>
      <c r="B121" s="52">
        <f>Inicial!B99</f>
        <v>0</v>
      </c>
      <c r="C121" s="52">
        <f>Inicial!C99</f>
        <v>0</v>
      </c>
      <c r="D121" s="53">
        <f>Inicial!D99</f>
        <v>0</v>
      </c>
      <c r="E121" s="51" t="str">
        <f>IF(Inicial!N99="SI",Inicial!E99,"N/A")</f>
        <v>N/A</v>
      </c>
      <c r="F121" s="52" t="str">
        <f>IF(Inicial!N99="SI",Inicial!F99,"N/A")</f>
        <v>N/A</v>
      </c>
      <c r="G121" s="52" t="str">
        <f>IF(Inicial!N99="SI",Inicial!G99,"N/A")</f>
        <v>N/A</v>
      </c>
      <c r="H121" s="52" t="str">
        <f>IF(Inicial!N99="SI",Inicial!H99,"N/A")</f>
        <v>N/A</v>
      </c>
      <c r="I121" s="54" t="str">
        <f>IF(Inicial!N99="SI",Inicial!I99,"N/A")</f>
        <v>N/A</v>
      </c>
      <c r="AN121" s="3" t="str" cm="1">
        <f t="array" ref="AN121">IF(OR(Y121:AM121="NO"),"Critico","No Critico")</f>
        <v>No Critico</v>
      </c>
    </row>
    <row r="122" spans="1:40">
      <c r="A122" s="51">
        <f>Inicial!A100</f>
        <v>0</v>
      </c>
      <c r="B122" s="52">
        <f>Inicial!B100</f>
        <v>0</v>
      </c>
      <c r="C122" s="52">
        <f>Inicial!C100</f>
        <v>0</v>
      </c>
      <c r="D122" s="53">
        <f>Inicial!D100</f>
        <v>0</v>
      </c>
      <c r="E122" s="51" t="str">
        <f>IF(Inicial!N100="SI",Inicial!E100,"N/A")</f>
        <v>N/A</v>
      </c>
      <c r="F122" s="52" t="str">
        <f>IF(Inicial!N100="SI",Inicial!F100,"N/A")</f>
        <v>N/A</v>
      </c>
      <c r="G122" s="52" t="str">
        <f>IF(Inicial!N100="SI",Inicial!G100,"N/A")</f>
        <v>N/A</v>
      </c>
      <c r="H122" s="52" t="str">
        <f>IF(Inicial!N100="SI",Inicial!H100,"N/A")</f>
        <v>N/A</v>
      </c>
      <c r="I122" s="54" t="str">
        <f>IF(Inicial!N100="SI",Inicial!I100,"N/A")</f>
        <v>N/A</v>
      </c>
      <c r="AN122" s="3" t="str" cm="1">
        <f t="array" ref="AN122">IF(OR(Y122:AM122="NO"),"Critico","No Critico")</f>
        <v>No Critico</v>
      </c>
    </row>
    <row r="123" spans="1:40">
      <c r="A123" s="51">
        <f>Inicial!A101</f>
        <v>0</v>
      </c>
      <c r="B123" s="52">
        <f>Inicial!B101</f>
        <v>0</v>
      </c>
      <c r="C123" s="52">
        <f>Inicial!C101</f>
        <v>0</v>
      </c>
      <c r="D123" s="53">
        <f>Inicial!D101</f>
        <v>0</v>
      </c>
      <c r="E123" s="51" t="str">
        <f>IF(Inicial!N101="SI",Inicial!E101,"N/A")</f>
        <v>N/A</v>
      </c>
      <c r="F123" s="52" t="str">
        <f>IF(Inicial!N101="SI",Inicial!F101,"N/A")</f>
        <v>N/A</v>
      </c>
      <c r="G123" s="52" t="str">
        <f>IF(Inicial!N101="SI",Inicial!G101,"N/A")</f>
        <v>N/A</v>
      </c>
      <c r="H123" s="52" t="str">
        <f>IF(Inicial!N101="SI",Inicial!H101,"N/A")</f>
        <v>N/A</v>
      </c>
      <c r="I123" s="54" t="str">
        <f>IF(Inicial!N101="SI",Inicial!I101,"N/A")</f>
        <v>N/A</v>
      </c>
      <c r="AN123" s="3" t="str" cm="1">
        <f t="array" ref="AN123">IF(OR(Y123:AM123="NO"),"Critico","No Critico")</f>
        <v>No Critico</v>
      </c>
    </row>
    <row r="124" spans="1:40">
      <c r="A124" s="51">
        <f>Inicial!A102</f>
        <v>0</v>
      </c>
      <c r="B124" s="52">
        <f>Inicial!B102</f>
        <v>0</v>
      </c>
      <c r="C124" s="52">
        <f>Inicial!C102</f>
        <v>0</v>
      </c>
      <c r="D124" s="53">
        <f>Inicial!D102</f>
        <v>0</v>
      </c>
      <c r="E124" s="51" t="str">
        <f>IF(Inicial!N102="SI",Inicial!E102,"N/A")</f>
        <v>N/A</v>
      </c>
      <c r="F124" s="52" t="str">
        <f>IF(Inicial!N102="SI",Inicial!F102,"N/A")</f>
        <v>N/A</v>
      </c>
      <c r="G124" s="52" t="str">
        <f>IF(Inicial!N102="SI",Inicial!G102,"N/A")</f>
        <v>N/A</v>
      </c>
      <c r="H124" s="52" t="str">
        <f>IF(Inicial!N102="SI",Inicial!H102,"N/A")</f>
        <v>N/A</v>
      </c>
      <c r="I124" s="54" t="str">
        <f>IF(Inicial!N102="SI",Inicial!I102,"N/A")</f>
        <v>N/A</v>
      </c>
      <c r="AN124" s="3" t="str" cm="1">
        <f t="array" ref="AN124">IF(OR(Y124:AM124="NO"),"Critico","No Critico")</f>
        <v>No Critico</v>
      </c>
    </row>
    <row r="125" spans="1:40">
      <c r="A125" s="51">
        <f>Inicial!A103</f>
        <v>0</v>
      </c>
      <c r="B125" s="52">
        <f>Inicial!B103</f>
        <v>0</v>
      </c>
      <c r="C125" s="52">
        <f>Inicial!C103</f>
        <v>0</v>
      </c>
      <c r="D125" s="53">
        <f>Inicial!D103</f>
        <v>0</v>
      </c>
      <c r="E125" s="51" t="str">
        <f>IF(Inicial!N103="SI",Inicial!E103,"N/A")</f>
        <v>N/A</v>
      </c>
      <c r="F125" s="52" t="str">
        <f>IF(Inicial!N103="SI",Inicial!F103,"N/A")</f>
        <v>N/A</v>
      </c>
      <c r="G125" s="52" t="str">
        <f>IF(Inicial!N103="SI",Inicial!G103,"N/A")</f>
        <v>N/A</v>
      </c>
      <c r="H125" s="52" t="str">
        <f>IF(Inicial!N103="SI",Inicial!H103,"N/A")</f>
        <v>N/A</v>
      </c>
      <c r="I125" s="54" t="str">
        <f>IF(Inicial!N103="SI",Inicial!I103,"N/A")</f>
        <v>N/A</v>
      </c>
      <c r="AN125" s="3" t="str" cm="1">
        <f t="array" ref="AN125">IF(OR(Y125:AM125="NO"),"Critico","No Critico")</f>
        <v>No Critico</v>
      </c>
    </row>
    <row r="126" spans="1:40">
      <c r="A126" s="51">
        <f>Inicial!A104</f>
        <v>0</v>
      </c>
      <c r="B126" s="52">
        <f>Inicial!B104</f>
        <v>0</v>
      </c>
      <c r="C126" s="52">
        <f>Inicial!C104</f>
        <v>0</v>
      </c>
      <c r="D126" s="53">
        <f>Inicial!D104</f>
        <v>0</v>
      </c>
      <c r="E126" s="51" t="str">
        <f>IF(Inicial!N104="SI",Inicial!E104,"N/A")</f>
        <v>N/A</v>
      </c>
      <c r="F126" s="52" t="str">
        <f>IF(Inicial!N104="SI",Inicial!F104,"N/A")</f>
        <v>N/A</v>
      </c>
      <c r="G126" s="52" t="str">
        <f>IF(Inicial!N104="SI",Inicial!G104,"N/A")</f>
        <v>N/A</v>
      </c>
      <c r="H126" s="52" t="str">
        <f>IF(Inicial!N104="SI",Inicial!H104,"N/A")</f>
        <v>N/A</v>
      </c>
      <c r="I126" s="54" t="str">
        <f>IF(Inicial!N104="SI",Inicial!I104,"N/A")</f>
        <v>N/A</v>
      </c>
      <c r="AN126" s="3" t="str" cm="1">
        <f t="array" ref="AN126">IF(OR(Y126:AM126="NO"),"Critico","No Critico")</f>
        <v>No Critico</v>
      </c>
    </row>
    <row r="127" spans="1:40">
      <c r="A127" s="51">
        <f>Inicial!A105</f>
        <v>0</v>
      </c>
      <c r="B127" s="52">
        <f>Inicial!B105</f>
        <v>0</v>
      </c>
      <c r="C127" s="52">
        <f>Inicial!C105</f>
        <v>0</v>
      </c>
      <c r="D127" s="53">
        <f>Inicial!D105</f>
        <v>0</v>
      </c>
      <c r="E127" s="51" t="str">
        <f>IF(Inicial!N105="SI",Inicial!E105,"N/A")</f>
        <v>N/A</v>
      </c>
      <c r="F127" s="52" t="str">
        <f>IF(Inicial!N105="SI",Inicial!F105,"N/A")</f>
        <v>N/A</v>
      </c>
      <c r="G127" s="52" t="str">
        <f>IF(Inicial!N105="SI",Inicial!G105,"N/A")</f>
        <v>N/A</v>
      </c>
      <c r="H127" s="52" t="str">
        <f>IF(Inicial!N105="SI",Inicial!H105,"N/A")</f>
        <v>N/A</v>
      </c>
      <c r="I127" s="54" t="str">
        <f>IF(Inicial!N105="SI",Inicial!I105,"N/A")</f>
        <v>N/A</v>
      </c>
      <c r="AN127" s="3" t="str" cm="1">
        <f t="array" ref="AN127">IF(OR(Y127:AM127="NO"),"Critico","No Critico")</f>
        <v>No Critico</v>
      </c>
    </row>
    <row r="128" spans="1:40">
      <c r="A128" s="51">
        <f>Inicial!A106</f>
        <v>0</v>
      </c>
      <c r="B128" s="52">
        <f>Inicial!B106</f>
        <v>0</v>
      </c>
      <c r="C128" s="52">
        <f>Inicial!C106</f>
        <v>0</v>
      </c>
      <c r="D128" s="53">
        <f>Inicial!D106</f>
        <v>0</v>
      </c>
      <c r="E128" s="51" t="str">
        <f>IF(Inicial!N106="SI",Inicial!E106,"N/A")</f>
        <v>N/A</v>
      </c>
      <c r="F128" s="52" t="str">
        <f>IF(Inicial!N106="SI",Inicial!F106,"N/A")</f>
        <v>N/A</v>
      </c>
      <c r="G128" s="52" t="str">
        <f>IF(Inicial!N106="SI",Inicial!G106,"N/A")</f>
        <v>N/A</v>
      </c>
      <c r="H128" s="52" t="str">
        <f>IF(Inicial!N106="SI",Inicial!H106,"N/A")</f>
        <v>N/A</v>
      </c>
      <c r="I128" s="54" t="str">
        <f>IF(Inicial!N106="SI",Inicial!I106,"N/A")</f>
        <v>N/A</v>
      </c>
      <c r="AN128" s="3" t="str" cm="1">
        <f t="array" ref="AN128">IF(OR(Y128:AM128="NO"),"Critico","No Critico")</f>
        <v>No Critico</v>
      </c>
    </row>
    <row r="129" spans="1:40">
      <c r="A129" s="51">
        <f>Inicial!A107</f>
        <v>0</v>
      </c>
      <c r="B129" s="52">
        <f>Inicial!B107</f>
        <v>0</v>
      </c>
      <c r="C129" s="52">
        <f>Inicial!C107</f>
        <v>0</v>
      </c>
      <c r="D129" s="53">
        <f>Inicial!D107</f>
        <v>0</v>
      </c>
      <c r="E129" s="51" t="str">
        <f>IF(Inicial!N107="SI",Inicial!E107,"N/A")</f>
        <v>N/A</v>
      </c>
      <c r="F129" s="52" t="str">
        <f>IF(Inicial!N107="SI",Inicial!F107,"N/A")</f>
        <v>N/A</v>
      </c>
      <c r="G129" s="52" t="str">
        <f>IF(Inicial!N107="SI",Inicial!G107,"N/A")</f>
        <v>N/A</v>
      </c>
      <c r="H129" s="52" t="str">
        <f>IF(Inicial!N107="SI",Inicial!H107,"N/A")</f>
        <v>N/A</v>
      </c>
      <c r="I129" s="54" t="str">
        <f>IF(Inicial!N107="SI",Inicial!I107,"N/A")</f>
        <v>N/A</v>
      </c>
      <c r="AN129" s="3" t="str" cm="1">
        <f t="array" ref="AN129">IF(OR(Y129:AM129="NO"),"Critico","No Critico")</f>
        <v>No Critico</v>
      </c>
    </row>
    <row r="130" spans="1:40">
      <c r="A130" s="51">
        <f>Inicial!A108</f>
        <v>0</v>
      </c>
      <c r="B130" s="52">
        <f>Inicial!B108</f>
        <v>0</v>
      </c>
      <c r="C130" s="52">
        <f>Inicial!C108</f>
        <v>0</v>
      </c>
      <c r="D130" s="53">
        <f>Inicial!D108</f>
        <v>0</v>
      </c>
      <c r="E130" s="51" t="str">
        <f>IF(Inicial!N108="SI",Inicial!E108,"N/A")</f>
        <v>N/A</v>
      </c>
      <c r="F130" s="52" t="str">
        <f>IF(Inicial!N108="SI",Inicial!F108,"N/A")</f>
        <v>N/A</v>
      </c>
      <c r="G130" s="52" t="str">
        <f>IF(Inicial!N108="SI",Inicial!G108,"N/A")</f>
        <v>N/A</v>
      </c>
      <c r="H130" s="52" t="str">
        <f>IF(Inicial!N108="SI",Inicial!H108,"N/A")</f>
        <v>N/A</v>
      </c>
      <c r="I130" s="54" t="str">
        <f>IF(Inicial!N108="SI",Inicial!I108,"N/A")</f>
        <v>N/A</v>
      </c>
      <c r="AN130" s="3" t="str" cm="1">
        <f t="array" ref="AN130">IF(OR(Y130:AM130="NO"),"Critico","No Critico")</f>
        <v>No Critico</v>
      </c>
    </row>
    <row r="131" spans="1:40">
      <c r="A131" s="51">
        <f>Inicial!A109</f>
        <v>0</v>
      </c>
      <c r="B131" s="52">
        <f>Inicial!B109</f>
        <v>0</v>
      </c>
      <c r="C131" s="52">
        <f>Inicial!C109</f>
        <v>0</v>
      </c>
      <c r="D131" s="53">
        <f>Inicial!D109</f>
        <v>0</v>
      </c>
      <c r="E131" s="51" t="str">
        <f>IF(Inicial!N109="SI",Inicial!E109,"N/A")</f>
        <v>N/A</v>
      </c>
      <c r="F131" s="52" t="str">
        <f>IF(Inicial!N109="SI",Inicial!F109,"N/A")</f>
        <v>N/A</v>
      </c>
      <c r="G131" s="52" t="str">
        <f>IF(Inicial!N109="SI",Inicial!G109,"N/A")</f>
        <v>N/A</v>
      </c>
      <c r="H131" s="52" t="str">
        <f>IF(Inicial!N109="SI",Inicial!H109,"N/A")</f>
        <v>N/A</v>
      </c>
      <c r="I131" s="54" t="str">
        <f>IF(Inicial!N109="SI",Inicial!I109,"N/A")</f>
        <v>N/A</v>
      </c>
      <c r="AN131" s="3" t="str" cm="1">
        <f t="array" ref="AN131">IF(OR(Y131:AM131="NO"),"Critico","No Critico")</f>
        <v>No Critico</v>
      </c>
    </row>
    <row r="132" spans="1:40">
      <c r="A132" s="51">
        <f>Inicial!A110</f>
        <v>0</v>
      </c>
      <c r="B132" s="52">
        <f>Inicial!B110</f>
        <v>0</v>
      </c>
      <c r="C132" s="52">
        <f>Inicial!C110</f>
        <v>0</v>
      </c>
      <c r="D132" s="53">
        <f>Inicial!D110</f>
        <v>0</v>
      </c>
      <c r="E132" s="51" t="str">
        <f>IF(Inicial!N110="SI",Inicial!E110,"N/A")</f>
        <v>N/A</v>
      </c>
      <c r="F132" s="52" t="str">
        <f>IF(Inicial!N110="SI",Inicial!F110,"N/A")</f>
        <v>N/A</v>
      </c>
      <c r="G132" s="52" t="str">
        <f>IF(Inicial!N110="SI",Inicial!G110,"N/A")</f>
        <v>N/A</v>
      </c>
      <c r="H132" s="52" t="str">
        <f>IF(Inicial!N110="SI",Inicial!H110,"N/A")</f>
        <v>N/A</v>
      </c>
      <c r="I132" s="54" t="str">
        <f>IF(Inicial!N110="SI",Inicial!I110,"N/A")</f>
        <v>N/A</v>
      </c>
      <c r="AN132" s="3" t="str" cm="1">
        <f t="array" ref="AN132">IF(OR(Y132:AM132="NO"),"Critico","No Critico")</f>
        <v>No Critico</v>
      </c>
    </row>
    <row r="133" spans="1:40">
      <c r="A133" s="51">
        <f>Inicial!A111</f>
        <v>0</v>
      </c>
      <c r="B133" s="52">
        <f>Inicial!B111</f>
        <v>0</v>
      </c>
      <c r="C133" s="52">
        <f>Inicial!C111</f>
        <v>0</v>
      </c>
      <c r="D133" s="53">
        <f>Inicial!D111</f>
        <v>0</v>
      </c>
      <c r="E133" s="51" t="str">
        <f>IF(Inicial!N111="SI",Inicial!E111,"N/A")</f>
        <v>N/A</v>
      </c>
      <c r="F133" s="52" t="str">
        <f>IF(Inicial!N111="SI",Inicial!F111,"N/A")</f>
        <v>N/A</v>
      </c>
      <c r="G133" s="52" t="str">
        <f>IF(Inicial!N111="SI",Inicial!G111,"N/A")</f>
        <v>N/A</v>
      </c>
      <c r="H133" s="52" t="str">
        <f>IF(Inicial!N111="SI",Inicial!H111,"N/A")</f>
        <v>N/A</v>
      </c>
      <c r="I133" s="54" t="str">
        <f>IF(Inicial!N111="SI",Inicial!I111,"N/A")</f>
        <v>N/A</v>
      </c>
      <c r="AN133" s="3" t="str" cm="1">
        <f t="array" ref="AN133">IF(OR(Y133:AM133="NO"),"Critico","No Critico")</f>
        <v>No Critico</v>
      </c>
    </row>
    <row r="134" spans="1:40">
      <c r="A134" s="51">
        <f>Inicial!A112</f>
        <v>0</v>
      </c>
      <c r="B134" s="52">
        <f>Inicial!B112</f>
        <v>0</v>
      </c>
      <c r="C134" s="52">
        <f>Inicial!C112</f>
        <v>0</v>
      </c>
      <c r="D134" s="53">
        <f>Inicial!D112</f>
        <v>0</v>
      </c>
      <c r="E134" s="51" t="str">
        <f>IF(Inicial!N112="SI",Inicial!E112,"N/A")</f>
        <v>N/A</v>
      </c>
      <c r="F134" s="52" t="str">
        <f>IF(Inicial!N112="SI",Inicial!F112,"N/A")</f>
        <v>N/A</v>
      </c>
      <c r="G134" s="52" t="str">
        <f>IF(Inicial!N112="SI",Inicial!G112,"N/A")</f>
        <v>N/A</v>
      </c>
      <c r="H134" s="52" t="str">
        <f>IF(Inicial!N112="SI",Inicial!H112,"N/A")</f>
        <v>N/A</v>
      </c>
      <c r="I134" s="54" t="str">
        <f>IF(Inicial!N112="SI",Inicial!I112,"N/A")</f>
        <v>N/A</v>
      </c>
      <c r="AN134" s="3" t="str" cm="1">
        <f t="array" ref="AN134">IF(OR(Y134:AM134="NO"),"Critico","No Critico")</f>
        <v>No Critico</v>
      </c>
    </row>
    <row r="135" spans="1:40">
      <c r="A135" s="51">
        <f>Inicial!A113</f>
        <v>0</v>
      </c>
      <c r="B135" s="52">
        <f>Inicial!B113</f>
        <v>0</v>
      </c>
      <c r="C135" s="52">
        <f>Inicial!C113</f>
        <v>0</v>
      </c>
      <c r="D135" s="53">
        <f>Inicial!D113</f>
        <v>0</v>
      </c>
      <c r="E135" s="51" t="str">
        <f>IF(Inicial!N113="SI",Inicial!E113,"N/A")</f>
        <v>N/A</v>
      </c>
      <c r="F135" s="52" t="str">
        <f>IF(Inicial!N113="SI",Inicial!F113,"N/A")</f>
        <v>N/A</v>
      </c>
      <c r="G135" s="52" t="str">
        <f>IF(Inicial!N113="SI",Inicial!G113,"N/A")</f>
        <v>N/A</v>
      </c>
      <c r="H135" s="52" t="str">
        <f>IF(Inicial!N113="SI",Inicial!H113,"N/A")</f>
        <v>N/A</v>
      </c>
      <c r="I135" s="54" t="str">
        <f>IF(Inicial!N113="SI",Inicial!I113,"N/A")</f>
        <v>N/A</v>
      </c>
      <c r="AN135" s="3" t="str" cm="1">
        <f t="array" ref="AN135">IF(OR(Y135:AM135="NO"),"Critico","No Critico")</f>
        <v>No Critico</v>
      </c>
    </row>
    <row r="136" spans="1:40">
      <c r="A136" s="51">
        <f>Inicial!A114</f>
        <v>0</v>
      </c>
      <c r="B136" s="52">
        <f>Inicial!B114</f>
        <v>0</v>
      </c>
      <c r="C136" s="52">
        <f>Inicial!C114</f>
        <v>0</v>
      </c>
      <c r="D136" s="53">
        <f>Inicial!D114</f>
        <v>0</v>
      </c>
      <c r="E136" s="51" t="str">
        <f>IF(Inicial!N114="SI",Inicial!E114,"N/A")</f>
        <v>N/A</v>
      </c>
      <c r="F136" s="52" t="str">
        <f>IF(Inicial!N114="SI",Inicial!F114,"N/A")</f>
        <v>N/A</v>
      </c>
      <c r="G136" s="52" t="str">
        <f>IF(Inicial!N114="SI",Inicial!G114,"N/A")</f>
        <v>N/A</v>
      </c>
      <c r="H136" s="52" t="str">
        <f>IF(Inicial!N114="SI",Inicial!H114,"N/A")</f>
        <v>N/A</v>
      </c>
      <c r="I136" s="54" t="str">
        <f>IF(Inicial!N114="SI",Inicial!I114,"N/A")</f>
        <v>N/A</v>
      </c>
      <c r="AN136" s="3" t="str" cm="1">
        <f t="array" ref="AN136">IF(OR(Y136:AM136="NO"),"Critico","No Critico")</f>
        <v>No Critico</v>
      </c>
    </row>
    <row r="137" spans="1:40">
      <c r="A137" s="51">
        <f>Inicial!A115</f>
        <v>0</v>
      </c>
      <c r="B137" s="52">
        <f>Inicial!B115</f>
        <v>0</v>
      </c>
      <c r="C137" s="52">
        <f>Inicial!C115</f>
        <v>0</v>
      </c>
      <c r="D137" s="53">
        <f>Inicial!D115</f>
        <v>0</v>
      </c>
      <c r="E137" s="51" t="str">
        <f>IF(Inicial!N115="SI",Inicial!E115,"N/A")</f>
        <v>N/A</v>
      </c>
      <c r="F137" s="52" t="str">
        <f>IF(Inicial!N115="SI",Inicial!F115,"N/A")</f>
        <v>N/A</v>
      </c>
      <c r="G137" s="52" t="str">
        <f>IF(Inicial!N115="SI",Inicial!G115,"N/A")</f>
        <v>N/A</v>
      </c>
      <c r="H137" s="52" t="str">
        <f>IF(Inicial!N115="SI",Inicial!H115,"N/A")</f>
        <v>N/A</v>
      </c>
      <c r="I137" s="54" t="str">
        <f>IF(Inicial!N115="SI",Inicial!I115,"N/A")</f>
        <v>N/A</v>
      </c>
      <c r="AN137" s="3" t="str" cm="1">
        <f t="array" ref="AN137">IF(OR(Y137:AM137="NO"),"Critico","No Critico")</f>
        <v>No Critico</v>
      </c>
    </row>
    <row r="138" spans="1:40">
      <c r="A138" s="51">
        <f>Inicial!A116</f>
        <v>0</v>
      </c>
      <c r="B138" s="52">
        <f>Inicial!B116</f>
        <v>0</v>
      </c>
      <c r="C138" s="52">
        <f>Inicial!C116</f>
        <v>0</v>
      </c>
      <c r="D138" s="53">
        <f>Inicial!D116</f>
        <v>0</v>
      </c>
      <c r="E138" s="51" t="str">
        <f>IF(Inicial!N116="SI",Inicial!E116,"N/A")</f>
        <v>N/A</v>
      </c>
      <c r="F138" s="52" t="str">
        <f>IF(Inicial!N116="SI",Inicial!F116,"N/A")</f>
        <v>N/A</v>
      </c>
      <c r="G138" s="52" t="str">
        <f>IF(Inicial!N116="SI",Inicial!G116,"N/A")</f>
        <v>N/A</v>
      </c>
      <c r="H138" s="52" t="str">
        <f>IF(Inicial!N116="SI",Inicial!H116,"N/A")</f>
        <v>N/A</v>
      </c>
      <c r="I138" s="54" t="str">
        <f>IF(Inicial!N116="SI",Inicial!I116,"N/A")</f>
        <v>N/A</v>
      </c>
      <c r="AN138" s="3" t="str" cm="1">
        <f t="array" ref="AN138">IF(OR(Y138:AM138="NO"),"Critico","No Critico")</f>
        <v>No Critico</v>
      </c>
    </row>
    <row r="139" spans="1:40">
      <c r="A139" s="51">
        <f>Inicial!A117</f>
        <v>0</v>
      </c>
      <c r="B139" s="52">
        <f>Inicial!B117</f>
        <v>0</v>
      </c>
      <c r="C139" s="52">
        <f>Inicial!C117</f>
        <v>0</v>
      </c>
      <c r="D139" s="53">
        <f>Inicial!D117</f>
        <v>0</v>
      </c>
      <c r="E139" s="51" t="str">
        <f>IF(Inicial!N117="SI",Inicial!E117,"N/A")</f>
        <v>N/A</v>
      </c>
      <c r="F139" s="52" t="str">
        <f>IF(Inicial!N117="SI",Inicial!F117,"N/A")</f>
        <v>N/A</v>
      </c>
      <c r="G139" s="52" t="str">
        <f>IF(Inicial!N117="SI",Inicial!G117,"N/A")</f>
        <v>N/A</v>
      </c>
      <c r="H139" s="52" t="str">
        <f>IF(Inicial!N117="SI",Inicial!H117,"N/A")</f>
        <v>N/A</v>
      </c>
      <c r="I139" s="54" t="str">
        <f>IF(Inicial!N117="SI",Inicial!I117,"N/A")</f>
        <v>N/A</v>
      </c>
      <c r="AN139" s="3" t="str" cm="1">
        <f t="array" ref="AN139">IF(OR(Y139:AM139="NO"),"Critico","No Critico")</f>
        <v>No Critico</v>
      </c>
    </row>
    <row r="140" spans="1:40">
      <c r="A140" s="51">
        <f>Inicial!A118</f>
        <v>0</v>
      </c>
      <c r="B140" s="52">
        <f>Inicial!B118</f>
        <v>0</v>
      </c>
      <c r="C140" s="52">
        <f>Inicial!C118</f>
        <v>0</v>
      </c>
      <c r="D140" s="53">
        <f>Inicial!D118</f>
        <v>0</v>
      </c>
      <c r="E140" s="51" t="str">
        <f>IF(Inicial!N118="SI",Inicial!E118,"N/A")</f>
        <v>N/A</v>
      </c>
      <c r="F140" s="52" t="str">
        <f>IF(Inicial!N118="SI",Inicial!F118,"N/A")</f>
        <v>N/A</v>
      </c>
      <c r="G140" s="52" t="str">
        <f>IF(Inicial!N118="SI",Inicial!G118,"N/A")</f>
        <v>N/A</v>
      </c>
      <c r="H140" s="52" t="str">
        <f>IF(Inicial!N118="SI",Inicial!H118,"N/A")</f>
        <v>N/A</v>
      </c>
      <c r="I140" s="54" t="str">
        <f>IF(Inicial!N118="SI",Inicial!I118,"N/A")</f>
        <v>N/A</v>
      </c>
      <c r="AN140" s="3" t="str" cm="1">
        <f t="array" ref="AN140">IF(OR(Y140:AM140="NO"),"Critico","No Critico")</f>
        <v>No Critico</v>
      </c>
    </row>
    <row r="141" spans="1:40">
      <c r="A141" s="51">
        <f>Inicial!A119</f>
        <v>0</v>
      </c>
      <c r="B141" s="52">
        <f>Inicial!B119</f>
        <v>0</v>
      </c>
      <c r="C141" s="52">
        <f>Inicial!C119</f>
        <v>0</v>
      </c>
      <c r="D141" s="53">
        <f>Inicial!D119</f>
        <v>0</v>
      </c>
      <c r="E141" s="51" t="str">
        <f>IF(Inicial!N119="SI",Inicial!E119,"N/A")</f>
        <v>N/A</v>
      </c>
      <c r="F141" s="52" t="str">
        <f>IF(Inicial!N119="SI",Inicial!F119,"N/A")</f>
        <v>N/A</v>
      </c>
      <c r="G141" s="52" t="str">
        <f>IF(Inicial!N119="SI",Inicial!G119,"N/A")</f>
        <v>N/A</v>
      </c>
      <c r="H141" s="52" t="str">
        <f>IF(Inicial!N119="SI",Inicial!H119,"N/A")</f>
        <v>N/A</v>
      </c>
      <c r="I141" s="54" t="str">
        <f>IF(Inicial!N119="SI",Inicial!I119,"N/A")</f>
        <v>N/A</v>
      </c>
      <c r="AN141" s="3" t="str" cm="1">
        <f t="array" ref="AN141">IF(OR(Y141:AM141="NO"),"Critico","No Critico")</f>
        <v>No Critico</v>
      </c>
    </row>
    <row r="142" spans="1:40">
      <c r="A142" s="51">
        <f>Inicial!A120</f>
        <v>0</v>
      </c>
      <c r="B142" s="52">
        <f>Inicial!B120</f>
        <v>0</v>
      </c>
      <c r="C142" s="52">
        <f>Inicial!C120</f>
        <v>0</v>
      </c>
      <c r="D142" s="53">
        <f>Inicial!D120</f>
        <v>0</v>
      </c>
      <c r="E142" s="51" t="str">
        <f>IF(Inicial!N120="SI",Inicial!E120,"N/A")</f>
        <v>N/A</v>
      </c>
      <c r="F142" s="52" t="str">
        <f>IF(Inicial!N120="SI",Inicial!F120,"N/A")</f>
        <v>N/A</v>
      </c>
      <c r="G142" s="52" t="str">
        <f>IF(Inicial!N120="SI",Inicial!G120,"N/A")</f>
        <v>N/A</v>
      </c>
      <c r="H142" s="52" t="str">
        <f>IF(Inicial!N120="SI",Inicial!H120,"N/A")</f>
        <v>N/A</v>
      </c>
      <c r="I142" s="54" t="str">
        <f>IF(Inicial!N120="SI",Inicial!I120,"N/A")</f>
        <v>N/A</v>
      </c>
      <c r="AN142" s="3" t="str" cm="1">
        <f t="array" ref="AN142">IF(OR(Y142:AM142="NO"),"Critico","No Critico")</f>
        <v>No Critico</v>
      </c>
    </row>
    <row r="143" spans="1:40">
      <c r="A143" s="51">
        <f>Inicial!A121</f>
        <v>0</v>
      </c>
      <c r="B143" s="52">
        <f>Inicial!B121</f>
        <v>0</v>
      </c>
      <c r="C143" s="52">
        <f>Inicial!C121</f>
        <v>0</v>
      </c>
      <c r="D143" s="53">
        <f>Inicial!D121</f>
        <v>0</v>
      </c>
      <c r="E143" s="51" t="str">
        <f>IF(Inicial!N121="SI",Inicial!E121,"N/A")</f>
        <v>N/A</v>
      </c>
      <c r="F143" s="52" t="str">
        <f>IF(Inicial!N121="SI",Inicial!F121,"N/A")</f>
        <v>N/A</v>
      </c>
      <c r="G143" s="52" t="str">
        <f>IF(Inicial!N121="SI",Inicial!G121,"N/A")</f>
        <v>N/A</v>
      </c>
      <c r="H143" s="52" t="str">
        <f>IF(Inicial!N121="SI",Inicial!H121,"N/A")</f>
        <v>N/A</v>
      </c>
      <c r="I143" s="54" t="str">
        <f>IF(Inicial!N121="SI",Inicial!I121,"N/A")</f>
        <v>N/A</v>
      </c>
      <c r="AN143" s="3" t="str" cm="1">
        <f t="array" ref="AN143">IF(OR(Y143:AM143="NO"),"Critico","No Critico")</f>
        <v>No Critico</v>
      </c>
    </row>
    <row r="144" spans="1:40">
      <c r="A144" s="51">
        <f>Inicial!A122</f>
        <v>0</v>
      </c>
      <c r="B144" s="52">
        <f>Inicial!B122</f>
        <v>0</v>
      </c>
      <c r="C144" s="52">
        <f>Inicial!C122</f>
        <v>0</v>
      </c>
      <c r="D144" s="53">
        <f>Inicial!D122</f>
        <v>0</v>
      </c>
      <c r="E144" s="51" t="str">
        <f>IF(Inicial!N122="SI",Inicial!E122,"N/A")</f>
        <v>N/A</v>
      </c>
      <c r="F144" s="52" t="str">
        <f>IF(Inicial!N122="SI",Inicial!F122,"N/A")</f>
        <v>N/A</v>
      </c>
      <c r="G144" s="52" t="str">
        <f>IF(Inicial!N122="SI",Inicial!G122,"N/A")</f>
        <v>N/A</v>
      </c>
      <c r="H144" s="52" t="str">
        <f>IF(Inicial!N122="SI",Inicial!H122,"N/A")</f>
        <v>N/A</v>
      </c>
      <c r="I144" s="54" t="str">
        <f>IF(Inicial!N122="SI",Inicial!I122,"N/A")</f>
        <v>N/A</v>
      </c>
      <c r="AN144" s="3" t="str" cm="1">
        <f t="array" ref="AN144">IF(OR(Y144:AM144="NO"),"Critico","No Critico")</f>
        <v>No Critico</v>
      </c>
    </row>
    <row r="145" spans="1:40">
      <c r="A145" s="51">
        <f>Inicial!A123</f>
        <v>0</v>
      </c>
      <c r="B145" s="52">
        <f>Inicial!B123</f>
        <v>0</v>
      </c>
      <c r="C145" s="52">
        <f>Inicial!C123</f>
        <v>0</v>
      </c>
      <c r="D145" s="53">
        <f>Inicial!D123</f>
        <v>0</v>
      </c>
      <c r="E145" s="51" t="str">
        <f>IF(Inicial!N123="SI",Inicial!E123,"N/A")</f>
        <v>N/A</v>
      </c>
      <c r="F145" s="52" t="str">
        <f>IF(Inicial!N123="SI",Inicial!F123,"N/A")</f>
        <v>N/A</v>
      </c>
      <c r="G145" s="52" t="str">
        <f>IF(Inicial!N123="SI",Inicial!G123,"N/A")</f>
        <v>N/A</v>
      </c>
      <c r="H145" s="52" t="str">
        <f>IF(Inicial!N123="SI",Inicial!H123,"N/A")</f>
        <v>N/A</v>
      </c>
      <c r="I145" s="54" t="str">
        <f>IF(Inicial!N123="SI",Inicial!I123,"N/A")</f>
        <v>N/A</v>
      </c>
      <c r="AN145" s="3" t="str" cm="1">
        <f t="array" ref="AN145">IF(OR(Y145:AM145="NO"),"Critico","No Critico")</f>
        <v>No Critico</v>
      </c>
    </row>
    <row r="146" spans="1:40">
      <c r="A146" s="51">
        <f>Inicial!A124</f>
        <v>0</v>
      </c>
      <c r="B146" s="52">
        <f>Inicial!B124</f>
        <v>0</v>
      </c>
      <c r="C146" s="52">
        <f>Inicial!C124</f>
        <v>0</v>
      </c>
      <c r="D146" s="53">
        <f>Inicial!D124</f>
        <v>0</v>
      </c>
      <c r="E146" s="51" t="str">
        <f>IF(Inicial!N124="SI",Inicial!E124,"N/A")</f>
        <v>N/A</v>
      </c>
      <c r="F146" s="52" t="str">
        <f>IF(Inicial!N124="SI",Inicial!F124,"N/A")</f>
        <v>N/A</v>
      </c>
      <c r="G146" s="52" t="str">
        <f>IF(Inicial!N124="SI",Inicial!G124,"N/A")</f>
        <v>N/A</v>
      </c>
      <c r="H146" s="52" t="str">
        <f>IF(Inicial!N124="SI",Inicial!H124,"N/A")</f>
        <v>N/A</v>
      </c>
      <c r="I146" s="54" t="str">
        <f>IF(Inicial!N124="SI",Inicial!I124,"N/A")</f>
        <v>N/A</v>
      </c>
      <c r="AN146" s="3" t="str" cm="1">
        <f t="array" ref="AN146">IF(OR(Y146:AM146="NO"),"Critico","No Critico")</f>
        <v>No Critico</v>
      </c>
    </row>
    <row r="147" spans="1:40">
      <c r="A147" s="51">
        <f>Inicial!A125</f>
        <v>0</v>
      </c>
      <c r="B147" s="52">
        <f>Inicial!B125</f>
        <v>0</v>
      </c>
      <c r="C147" s="52">
        <f>Inicial!C125</f>
        <v>0</v>
      </c>
      <c r="D147" s="53">
        <f>Inicial!D125</f>
        <v>0</v>
      </c>
      <c r="E147" s="51" t="str">
        <f>IF(Inicial!N125="SI",Inicial!E125,"N/A")</f>
        <v>N/A</v>
      </c>
      <c r="F147" s="52" t="str">
        <f>IF(Inicial!N125="SI",Inicial!F125,"N/A")</f>
        <v>N/A</v>
      </c>
      <c r="G147" s="52" t="str">
        <f>IF(Inicial!N125="SI",Inicial!G125,"N/A")</f>
        <v>N/A</v>
      </c>
      <c r="H147" s="52" t="str">
        <f>IF(Inicial!N125="SI",Inicial!H125,"N/A")</f>
        <v>N/A</v>
      </c>
      <c r="I147" s="54" t="str">
        <f>IF(Inicial!N125="SI",Inicial!I125,"N/A")</f>
        <v>N/A</v>
      </c>
      <c r="AN147" s="3" t="str" cm="1">
        <f t="array" ref="AN147">IF(OR(Y147:AM147="NO"),"Critico","No Critico")</f>
        <v>No Critico</v>
      </c>
    </row>
    <row r="148" spans="1:40">
      <c r="A148" s="51">
        <f>Inicial!A126</f>
        <v>0</v>
      </c>
      <c r="B148" s="52">
        <f>Inicial!B126</f>
        <v>0</v>
      </c>
      <c r="C148" s="52">
        <f>Inicial!C126</f>
        <v>0</v>
      </c>
      <c r="D148" s="53">
        <f>Inicial!D126</f>
        <v>0</v>
      </c>
      <c r="E148" s="51" t="str">
        <f>IF(Inicial!N126="SI",Inicial!E126,"N/A")</f>
        <v>N/A</v>
      </c>
      <c r="F148" s="52" t="str">
        <f>IF(Inicial!N126="SI",Inicial!F126,"N/A")</f>
        <v>N/A</v>
      </c>
      <c r="G148" s="52" t="str">
        <f>IF(Inicial!N126="SI",Inicial!G126,"N/A")</f>
        <v>N/A</v>
      </c>
      <c r="H148" s="52" t="str">
        <f>IF(Inicial!N126="SI",Inicial!H126,"N/A")</f>
        <v>N/A</v>
      </c>
      <c r="I148" s="54" t="str">
        <f>IF(Inicial!N126="SI",Inicial!I126,"N/A")</f>
        <v>N/A</v>
      </c>
      <c r="AN148" s="3" t="str" cm="1">
        <f t="array" ref="AN148">IF(OR(Y148:AM148="NO"),"Critico","No Critico")</f>
        <v>No Critico</v>
      </c>
    </row>
    <row r="149" spans="1:40">
      <c r="A149" s="51">
        <f>Inicial!A127</f>
        <v>0</v>
      </c>
      <c r="B149" s="52">
        <f>Inicial!B127</f>
        <v>0</v>
      </c>
      <c r="C149" s="52">
        <f>Inicial!C127</f>
        <v>0</v>
      </c>
      <c r="D149" s="53">
        <f>Inicial!D127</f>
        <v>0</v>
      </c>
      <c r="E149" s="51" t="str">
        <f>IF(Inicial!N127="SI",Inicial!E127,"N/A")</f>
        <v>N/A</v>
      </c>
      <c r="F149" s="52" t="str">
        <f>IF(Inicial!N127="SI",Inicial!F127,"N/A")</f>
        <v>N/A</v>
      </c>
      <c r="G149" s="52" t="str">
        <f>IF(Inicial!N127="SI",Inicial!G127,"N/A")</f>
        <v>N/A</v>
      </c>
      <c r="H149" s="52" t="str">
        <f>IF(Inicial!N127="SI",Inicial!H127,"N/A")</f>
        <v>N/A</v>
      </c>
      <c r="I149" s="54" t="str">
        <f>IF(Inicial!N127="SI",Inicial!I127,"N/A")</f>
        <v>N/A</v>
      </c>
      <c r="AN149" s="3" t="str" cm="1">
        <f t="array" ref="AN149">IF(OR(Y149:AM149="NO"),"Critico","No Critico")</f>
        <v>No Critico</v>
      </c>
    </row>
    <row r="150" spans="1:40">
      <c r="A150" s="51">
        <f>Inicial!A128</f>
        <v>0</v>
      </c>
      <c r="B150" s="52">
        <f>Inicial!B128</f>
        <v>0</v>
      </c>
      <c r="C150" s="52">
        <f>Inicial!C128</f>
        <v>0</v>
      </c>
      <c r="D150" s="53">
        <f>Inicial!D128</f>
        <v>0</v>
      </c>
      <c r="E150" s="51" t="str">
        <f>IF(Inicial!N128="SI",Inicial!E128,"N/A")</f>
        <v>N/A</v>
      </c>
      <c r="F150" s="52" t="str">
        <f>IF(Inicial!N128="SI",Inicial!F128,"N/A")</f>
        <v>N/A</v>
      </c>
      <c r="G150" s="52" t="str">
        <f>IF(Inicial!N128="SI",Inicial!G128,"N/A")</f>
        <v>N/A</v>
      </c>
      <c r="H150" s="52" t="str">
        <f>IF(Inicial!N128="SI",Inicial!H128,"N/A")</f>
        <v>N/A</v>
      </c>
      <c r="I150" s="54" t="str">
        <f>IF(Inicial!N128="SI",Inicial!I128,"N/A")</f>
        <v>N/A</v>
      </c>
      <c r="AN150" s="3" t="str" cm="1">
        <f t="array" ref="AN150">IF(OR(Y150:AM150="NO"),"Critico","No Critico")</f>
        <v>No Critico</v>
      </c>
    </row>
    <row r="151" spans="1:40">
      <c r="A151" s="51">
        <f>Inicial!A129</f>
        <v>0</v>
      </c>
      <c r="B151" s="52">
        <f>Inicial!B129</f>
        <v>0</v>
      </c>
      <c r="C151" s="52">
        <f>Inicial!C129</f>
        <v>0</v>
      </c>
      <c r="D151" s="53">
        <f>Inicial!D129</f>
        <v>0</v>
      </c>
      <c r="E151" s="51" t="str">
        <f>IF(Inicial!N129="SI",Inicial!E129,"N/A")</f>
        <v>N/A</v>
      </c>
      <c r="F151" s="52" t="str">
        <f>IF(Inicial!N129="SI",Inicial!F129,"N/A")</f>
        <v>N/A</v>
      </c>
      <c r="G151" s="52" t="str">
        <f>IF(Inicial!N129="SI",Inicial!G129,"N/A")</f>
        <v>N/A</v>
      </c>
      <c r="H151" s="52" t="str">
        <f>IF(Inicial!N129="SI",Inicial!H129,"N/A")</f>
        <v>N/A</v>
      </c>
      <c r="I151" s="54" t="str">
        <f>IF(Inicial!N129="SI",Inicial!I129,"N/A")</f>
        <v>N/A</v>
      </c>
      <c r="AN151" s="3" t="str" cm="1">
        <f t="array" ref="AN151">IF(OR(Y151:AM151="NO"),"Critico","No Critico")</f>
        <v>No Critico</v>
      </c>
    </row>
    <row r="152" spans="1:40">
      <c r="A152" s="51">
        <f>Inicial!A130</f>
        <v>0</v>
      </c>
      <c r="B152" s="52">
        <f>Inicial!B130</f>
        <v>0</v>
      </c>
      <c r="C152" s="52">
        <f>Inicial!C130</f>
        <v>0</v>
      </c>
      <c r="D152" s="53">
        <f>Inicial!D130</f>
        <v>0</v>
      </c>
      <c r="E152" s="51" t="str">
        <f>IF(Inicial!N130="SI",Inicial!E130,"N/A")</f>
        <v>N/A</v>
      </c>
      <c r="F152" s="52" t="str">
        <f>IF(Inicial!N130="SI",Inicial!F130,"N/A")</f>
        <v>N/A</v>
      </c>
      <c r="G152" s="52" t="str">
        <f>IF(Inicial!N130="SI",Inicial!G130,"N/A")</f>
        <v>N/A</v>
      </c>
      <c r="H152" s="52" t="str">
        <f>IF(Inicial!N130="SI",Inicial!H130,"N/A")</f>
        <v>N/A</v>
      </c>
      <c r="I152" s="54" t="str">
        <f>IF(Inicial!N130="SI",Inicial!I130,"N/A")</f>
        <v>N/A</v>
      </c>
      <c r="AN152" s="3" t="str" cm="1">
        <f t="array" ref="AN152">IF(OR(Y152:AM152="NO"),"Critico","No Critico")</f>
        <v>No Critico</v>
      </c>
    </row>
    <row r="153" spans="1:40">
      <c r="A153" s="51">
        <f>Inicial!A131</f>
        <v>0</v>
      </c>
      <c r="B153" s="52">
        <f>Inicial!B131</f>
        <v>0</v>
      </c>
      <c r="C153" s="52">
        <f>Inicial!C131</f>
        <v>0</v>
      </c>
      <c r="D153" s="53">
        <f>Inicial!D131</f>
        <v>0</v>
      </c>
      <c r="E153" s="51" t="str">
        <f>IF(Inicial!N131="SI",Inicial!E131,"N/A")</f>
        <v>N/A</v>
      </c>
      <c r="F153" s="52" t="str">
        <f>IF(Inicial!N131="SI",Inicial!F131,"N/A")</f>
        <v>N/A</v>
      </c>
      <c r="G153" s="52" t="str">
        <f>IF(Inicial!N131="SI",Inicial!G131,"N/A")</f>
        <v>N/A</v>
      </c>
      <c r="H153" s="52" t="str">
        <f>IF(Inicial!N131="SI",Inicial!H131,"N/A")</f>
        <v>N/A</v>
      </c>
      <c r="I153" s="54" t="str">
        <f>IF(Inicial!N131="SI",Inicial!I131,"N/A")</f>
        <v>N/A</v>
      </c>
      <c r="AN153" s="3" t="str" cm="1">
        <f t="array" ref="AN153">IF(OR(Y153:AM153="NO"),"Critico","No Critico")</f>
        <v>No Critico</v>
      </c>
    </row>
    <row r="154" spans="1:40">
      <c r="A154" s="51">
        <f>Inicial!A132</f>
        <v>0</v>
      </c>
      <c r="B154" s="52">
        <f>Inicial!B132</f>
        <v>0</v>
      </c>
      <c r="C154" s="52">
        <f>Inicial!C132</f>
        <v>0</v>
      </c>
      <c r="D154" s="53">
        <f>Inicial!D132</f>
        <v>0</v>
      </c>
      <c r="E154" s="51" t="str">
        <f>IF(Inicial!N132="SI",Inicial!E132,"N/A")</f>
        <v>N/A</v>
      </c>
      <c r="F154" s="52" t="str">
        <f>IF(Inicial!N132="SI",Inicial!F132,"N/A")</f>
        <v>N/A</v>
      </c>
      <c r="G154" s="52" t="str">
        <f>IF(Inicial!N132="SI",Inicial!G132,"N/A")</f>
        <v>N/A</v>
      </c>
      <c r="H154" s="52" t="str">
        <f>IF(Inicial!N132="SI",Inicial!H132,"N/A")</f>
        <v>N/A</v>
      </c>
      <c r="I154" s="54" t="str">
        <f>IF(Inicial!N132="SI",Inicial!I132,"N/A")</f>
        <v>N/A</v>
      </c>
      <c r="AN154" s="3" t="str" cm="1">
        <f t="array" ref="AN154">IF(OR(Y154:AM154="NO"),"Critico","No Critico")</f>
        <v>No Critico</v>
      </c>
    </row>
    <row r="155" spans="1:40">
      <c r="A155" s="51">
        <f>Inicial!A133</f>
        <v>0</v>
      </c>
      <c r="B155" s="52">
        <f>Inicial!B133</f>
        <v>0</v>
      </c>
      <c r="C155" s="52">
        <f>Inicial!C133</f>
        <v>0</v>
      </c>
      <c r="D155" s="53">
        <f>Inicial!D133</f>
        <v>0</v>
      </c>
      <c r="E155" s="51" t="str">
        <f>IF(Inicial!N133="SI",Inicial!E133,"N/A")</f>
        <v>N/A</v>
      </c>
      <c r="F155" s="52" t="str">
        <f>IF(Inicial!N133="SI",Inicial!F133,"N/A")</f>
        <v>N/A</v>
      </c>
      <c r="G155" s="52" t="str">
        <f>IF(Inicial!N133="SI",Inicial!G133,"N/A")</f>
        <v>N/A</v>
      </c>
      <c r="H155" s="52" t="str">
        <f>IF(Inicial!N133="SI",Inicial!H133,"N/A")</f>
        <v>N/A</v>
      </c>
      <c r="I155" s="54" t="str">
        <f>IF(Inicial!N133="SI",Inicial!I133,"N/A")</f>
        <v>N/A</v>
      </c>
      <c r="AN155" s="3" t="str" cm="1">
        <f t="array" ref="AN155">IF(OR(Y155:AM155="NO"),"Critico","No Critico")</f>
        <v>No Critico</v>
      </c>
    </row>
    <row r="156" spans="1:40">
      <c r="A156" s="51">
        <f>Inicial!A134</f>
        <v>0</v>
      </c>
      <c r="B156" s="52">
        <f>Inicial!B134</f>
        <v>0</v>
      </c>
      <c r="C156" s="52">
        <f>Inicial!C134</f>
        <v>0</v>
      </c>
      <c r="D156" s="53">
        <f>Inicial!D134</f>
        <v>0</v>
      </c>
      <c r="E156" s="51" t="str">
        <f>IF(Inicial!N134="SI",Inicial!E134,"N/A")</f>
        <v>N/A</v>
      </c>
      <c r="F156" s="52" t="str">
        <f>IF(Inicial!N134="SI",Inicial!F134,"N/A")</f>
        <v>N/A</v>
      </c>
      <c r="G156" s="52" t="str">
        <f>IF(Inicial!N134="SI",Inicial!G134,"N/A")</f>
        <v>N/A</v>
      </c>
      <c r="H156" s="52" t="str">
        <f>IF(Inicial!N134="SI",Inicial!H134,"N/A")</f>
        <v>N/A</v>
      </c>
      <c r="I156" s="54" t="str">
        <f>IF(Inicial!N134="SI",Inicial!I134,"N/A")</f>
        <v>N/A</v>
      </c>
      <c r="AN156" s="3" t="str" cm="1">
        <f t="array" ref="AN156">IF(OR(Y156:AM156="NO"),"Critico","No Critico")</f>
        <v>No Critico</v>
      </c>
    </row>
    <row r="157" spans="1:40">
      <c r="A157" s="51">
        <f>Inicial!A135</f>
        <v>0</v>
      </c>
      <c r="B157" s="52">
        <f>Inicial!B135</f>
        <v>0</v>
      </c>
      <c r="C157" s="52">
        <f>Inicial!C135</f>
        <v>0</v>
      </c>
      <c r="D157" s="53">
        <f>Inicial!D135</f>
        <v>0</v>
      </c>
      <c r="E157" s="51" t="str">
        <f>IF(Inicial!N135="SI",Inicial!E135,"N/A")</f>
        <v>N/A</v>
      </c>
      <c r="F157" s="52" t="str">
        <f>IF(Inicial!N135="SI",Inicial!F135,"N/A")</f>
        <v>N/A</v>
      </c>
      <c r="G157" s="52" t="str">
        <f>IF(Inicial!N135="SI",Inicial!G135,"N/A")</f>
        <v>N/A</v>
      </c>
      <c r="H157" s="52" t="str">
        <f>IF(Inicial!N135="SI",Inicial!H135,"N/A")</f>
        <v>N/A</v>
      </c>
      <c r="I157" s="54" t="str">
        <f>IF(Inicial!N135="SI",Inicial!I135,"N/A")</f>
        <v>N/A</v>
      </c>
      <c r="AN157" s="3" t="str" cm="1">
        <f t="array" ref="AN157">IF(OR(Y157:AM157="NO"),"Critico","No Critico")</f>
        <v>No Critico</v>
      </c>
    </row>
    <row r="158" spans="1:40">
      <c r="A158" s="51">
        <f>Inicial!A136</f>
        <v>0</v>
      </c>
      <c r="B158" s="52">
        <f>Inicial!B136</f>
        <v>0</v>
      </c>
      <c r="C158" s="52">
        <f>Inicial!C136</f>
        <v>0</v>
      </c>
      <c r="D158" s="53">
        <f>Inicial!D136</f>
        <v>0</v>
      </c>
      <c r="E158" s="51" t="str">
        <f>IF(Inicial!N136="SI",Inicial!E136,"N/A")</f>
        <v>N/A</v>
      </c>
      <c r="F158" s="52" t="str">
        <f>IF(Inicial!N136="SI",Inicial!F136,"N/A")</f>
        <v>N/A</v>
      </c>
      <c r="G158" s="52" t="str">
        <f>IF(Inicial!N136="SI",Inicial!G136,"N/A")</f>
        <v>N/A</v>
      </c>
      <c r="H158" s="52" t="str">
        <f>IF(Inicial!N136="SI",Inicial!H136,"N/A")</f>
        <v>N/A</v>
      </c>
      <c r="I158" s="54" t="str">
        <f>IF(Inicial!N136="SI",Inicial!I136,"N/A")</f>
        <v>N/A</v>
      </c>
      <c r="AN158" s="3" t="str" cm="1">
        <f t="array" ref="AN158">IF(OR(Y158:AM158="NO"),"Critico","No Critico")</f>
        <v>No Critico</v>
      </c>
    </row>
    <row r="159" spans="1:40">
      <c r="A159" s="51">
        <f>Inicial!A137</f>
        <v>0</v>
      </c>
      <c r="B159" s="52">
        <f>Inicial!B137</f>
        <v>0</v>
      </c>
      <c r="C159" s="52">
        <f>Inicial!C137</f>
        <v>0</v>
      </c>
      <c r="D159" s="53">
        <f>Inicial!D137</f>
        <v>0</v>
      </c>
      <c r="E159" s="51" t="str">
        <f>IF(Inicial!N137="SI",Inicial!E137,"N/A")</f>
        <v>N/A</v>
      </c>
      <c r="F159" s="52" t="str">
        <f>IF(Inicial!N137="SI",Inicial!F137,"N/A")</f>
        <v>N/A</v>
      </c>
      <c r="G159" s="52" t="str">
        <f>IF(Inicial!N137="SI",Inicial!G137,"N/A")</f>
        <v>N/A</v>
      </c>
      <c r="H159" s="52" t="str">
        <f>IF(Inicial!N137="SI",Inicial!H137,"N/A")</f>
        <v>N/A</v>
      </c>
      <c r="I159" s="54" t="str">
        <f>IF(Inicial!N137="SI",Inicial!I137,"N/A")</f>
        <v>N/A</v>
      </c>
      <c r="AN159" s="3" t="str" cm="1">
        <f t="array" ref="AN159">IF(OR(Y159:AM159="NO"),"Critico","No Critico")</f>
        <v>No Critico</v>
      </c>
    </row>
    <row r="160" spans="1:40">
      <c r="A160" s="51">
        <f>Inicial!A138</f>
        <v>0</v>
      </c>
      <c r="B160" s="52">
        <f>Inicial!B138</f>
        <v>0</v>
      </c>
      <c r="C160" s="52">
        <f>Inicial!C138</f>
        <v>0</v>
      </c>
      <c r="D160" s="53">
        <f>Inicial!D138</f>
        <v>0</v>
      </c>
      <c r="E160" s="51" t="str">
        <f>IF(Inicial!N138="SI",Inicial!E138,"N/A")</f>
        <v>N/A</v>
      </c>
      <c r="F160" s="52" t="str">
        <f>IF(Inicial!N138="SI",Inicial!F138,"N/A")</f>
        <v>N/A</v>
      </c>
      <c r="G160" s="52" t="str">
        <f>IF(Inicial!N138="SI",Inicial!G138,"N/A")</f>
        <v>N/A</v>
      </c>
      <c r="H160" s="52" t="str">
        <f>IF(Inicial!N138="SI",Inicial!H138,"N/A")</f>
        <v>N/A</v>
      </c>
      <c r="I160" s="54" t="str">
        <f>IF(Inicial!N138="SI",Inicial!I138,"N/A")</f>
        <v>N/A</v>
      </c>
      <c r="AN160" s="3" t="str" cm="1">
        <f t="array" ref="AN160">IF(OR(Y160:AM160="NO"),"Critico","No Critico")</f>
        <v>No Critico</v>
      </c>
    </row>
    <row r="161" spans="1:40">
      <c r="A161" s="51">
        <f>Inicial!A139</f>
        <v>0</v>
      </c>
      <c r="B161" s="52">
        <f>Inicial!B139</f>
        <v>0</v>
      </c>
      <c r="C161" s="52">
        <f>Inicial!C139</f>
        <v>0</v>
      </c>
      <c r="D161" s="53">
        <f>Inicial!D139</f>
        <v>0</v>
      </c>
      <c r="E161" s="51" t="str">
        <f>IF(Inicial!N139="SI",Inicial!E139,"N/A")</f>
        <v>N/A</v>
      </c>
      <c r="F161" s="52" t="str">
        <f>IF(Inicial!N139="SI",Inicial!F139,"N/A")</f>
        <v>N/A</v>
      </c>
      <c r="G161" s="52" t="str">
        <f>IF(Inicial!N139="SI",Inicial!G139,"N/A")</f>
        <v>N/A</v>
      </c>
      <c r="H161" s="52" t="str">
        <f>IF(Inicial!N139="SI",Inicial!H139,"N/A")</f>
        <v>N/A</v>
      </c>
      <c r="I161" s="54" t="str">
        <f>IF(Inicial!N139="SI",Inicial!I139,"N/A")</f>
        <v>N/A</v>
      </c>
      <c r="AN161" s="3" t="str" cm="1">
        <f t="array" ref="AN161">IF(OR(Y161:AM161="NO"),"Critico","No Critico")</f>
        <v>No Critico</v>
      </c>
    </row>
    <row r="162" spans="1:40">
      <c r="A162" s="51">
        <f>Inicial!A140</f>
        <v>0</v>
      </c>
      <c r="B162" s="52">
        <f>Inicial!B140</f>
        <v>0</v>
      </c>
      <c r="C162" s="52">
        <f>Inicial!C140</f>
        <v>0</v>
      </c>
      <c r="D162" s="53">
        <f>Inicial!D140</f>
        <v>0</v>
      </c>
      <c r="E162" s="51" t="str">
        <f>IF(Inicial!N140="SI",Inicial!E140,"N/A")</f>
        <v>N/A</v>
      </c>
      <c r="F162" s="52" t="str">
        <f>IF(Inicial!N140="SI",Inicial!F140,"N/A")</f>
        <v>N/A</v>
      </c>
      <c r="G162" s="52" t="str">
        <f>IF(Inicial!N140="SI",Inicial!G140,"N/A")</f>
        <v>N/A</v>
      </c>
      <c r="H162" s="52" t="str">
        <f>IF(Inicial!N140="SI",Inicial!H140,"N/A")</f>
        <v>N/A</v>
      </c>
      <c r="I162" s="54" t="str">
        <f>IF(Inicial!N140="SI",Inicial!I140,"N/A")</f>
        <v>N/A</v>
      </c>
      <c r="AN162" s="3" t="str" cm="1">
        <f t="array" ref="AN162">IF(OR(Y162:AM162="NO"),"Critico","No Critico")</f>
        <v>No Critico</v>
      </c>
    </row>
    <row r="163" spans="1:40">
      <c r="A163" s="51">
        <f>Inicial!A141</f>
        <v>0</v>
      </c>
      <c r="B163" s="52">
        <f>Inicial!B141</f>
        <v>0</v>
      </c>
      <c r="C163" s="52">
        <f>Inicial!C141</f>
        <v>0</v>
      </c>
      <c r="D163" s="53">
        <f>Inicial!D141</f>
        <v>0</v>
      </c>
      <c r="E163" s="51" t="str">
        <f>IF(Inicial!N141="SI",Inicial!E141,"N/A")</f>
        <v>N/A</v>
      </c>
      <c r="F163" s="52" t="str">
        <f>IF(Inicial!N141="SI",Inicial!F141,"N/A")</f>
        <v>N/A</v>
      </c>
      <c r="G163" s="52" t="str">
        <f>IF(Inicial!N141="SI",Inicial!G141,"N/A")</f>
        <v>N/A</v>
      </c>
      <c r="H163" s="52" t="str">
        <f>IF(Inicial!N141="SI",Inicial!H141,"N/A")</f>
        <v>N/A</v>
      </c>
      <c r="I163" s="54" t="str">
        <f>IF(Inicial!N141="SI",Inicial!I141,"N/A")</f>
        <v>N/A</v>
      </c>
      <c r="AN163" s="3" t="str" cm="1">
        <f t="array" ref="AN163">IF(OR(Y163:AM163="NO"),"Critico","No Critico")</f>
        <v>No Critico</v>
      </c>
    </row>
    <row r="164" spans="1:40">
      <c r="A164" s="51"/>
      <c r="B164" s="52"/>
      <c r="C164" s="52"/>
      <c r="D164" s="53"/>
      <c r="E164" s="51"/>
      <c r="F164" s="52"/>
      <c r="G164" s="52"/>
      <c r="H164" s="52"/>
      <c r="I164" s="54"/>
      <c r="AN164" s="3" t="str" cm="1">
        <f t="array" ref="AN164">IF(OR(Y164:AM164="NO"),"Critico","No Critico")</f>
        <v>No Critico</v>
      </c>
    </row>
    <row r="165" spans="1:40">
      <c r="A165" s="51"/>
      <c r="B165" s="52"/>
      <c r="C165" s="52"/>
      <c r="D165" s="53"/>
      <c r="E165" s="51"/>
      <c r="F165" s="52"/>
      <c r="G165" s="52"/>
      <c r="H165" s="52"/>
      <c r="I165" s="54"/>
      <c r="AN165" s="3" t="str" cm="1">
        <f t="array" ref="AN165">IF(OR(Y165:AM165="NO"),"Critico","No Critico")</f>
        <v>No Critico</v>
      </c>
    </row>
    <row r="166" spans="1:40">
      <c r="A166" s="51"/>
      <c r="B166" s="52"/>
      <c r="C166" s="52"/>
      <c r="D166" s="53"/>
      <c r="E166" s="51"/>
      <c r="F166" s="52"/>
      <c r="G166" s="52"/>
      <c r="H166" s="52"/>
      <c r="I166" s="54"/>
      <c r="AN166" s="3" t="str" cm="1">
        <f t="array" ref="AN166">IF(OR(Y166:AM166="NO"),"Critico","No Critico")</f>
        <v>No Critico</v>
      </c>
    </row>
    <row r="167" spans="1:40">
      <c r="A167" s="51"/>
      <c r="B167" s="52"/>
      <c r="C167" s="52"/>
      <c r="D167" s="53"/>
      <c r="E167" s="51"/>
      <c r="F167" s="52"/>
      <c r="G167" s="52"/>
      <c r="H167" s="52"/>
      <c r="I167" s="54"/>
      <c r="AN167" s="3" t="str" cm="1">
        <f t="array" ref="AN167">IF(OR(Y167:AM167="NO"),"Critico","No Critico")</f>
        <v>No Critico</v>
      </c>
    </row>
    <row r="168" spans="1:40">
      <c r="A168" s="51"/>
      <c r="B168" s="52"/>
      <c r="C168" s="52"/>
      <c r="D168" s="53"/>
      <c r="E168" s="51"/>
      <c r="F168" s="52"/>
      <c r="G168" s="52"/>
      <c r="H168" s="52"/>
      <c r="I168" s="54"/>
      <c r="AN168" s="3" t="str" cm="1">
        <f t="array" ref="AN168">IF(OR(Y168:AM168="NO"),"Critico","No Critico")</f>
        <v>No Critico</v>
      </c>
    </row>
    <row r="169" spans="1:40">
      <c r="AN169" s="3" t="str" cm="1">
        <f t="array" ref="AN169">IF(OR(Y169:AM169="NO"),"Critico","No Critico")</f>
        <v>No Critico</v>
      </c>
    </row>
  </sheetData>
  <mergeCells count="12">
    <mergeCell ref="F1:G1"/>
    <mergeCell ref="H1:I1"/>
    <mergeCell ref="J1:M1"/>
    <mergeCell ref="A1:E1"/>
    <mergeCell ref="AG1:AI1"/>
    <mergeCell ref="AJ1:AL1"/>
    <mergeCell ref="AO1:AT1"/>
    <mergeCell ref="N1:P1"/>
    <mergeCell ref="Q1:S1"/>
    <mergeCell ref="T1:V1"/>
    <mergeCell ref="Y1:AB1"/>
    <mergeCell ref="AC1:AF1"/>
  </mergeCells>
  <conditionalFormatting sqref="J3:K8 L22:AM35 J36:AM1048576">
    <cfRule type="cellIs" dxfId="23" priority="11" operator="equal">
      <formula>"NO"</formula>
    </cfRule>
    <cfRule type="cellIs" dxfId="22" priority="12" operator="equal">
      <formula>"SI"</formula>
    </cfRule>
  </conditionalFormatting>
  <conditionalFormatting sqref="L3:U3 W3 L4:W21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69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  <dataValidation type="list" allowBlank="1" showInputMessage="1" showErrorMessage="1" sqref="J34:AM35 V4:V33 W3:W33 X22:AM33 J3:U33" xr:uid="{FEBC6F02-E740-4724-96BF-5D6427A65DAE}">
      <formula1>"SI,NO,N/A"</formula1>
    </dataValidation>
    <dataValidation type="list" allowBlank="1" showInputMessage="1" showErrorMessage="1" sqref="J36:U84" xr:uid="{3FAD783F-3562-4F5A-B55F-8C0C73C243BA}">
      <formula1>"SI,NO"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07"/>
  <sheetViews>
    <sheetView workbookViewId="0">
      <pane xSplit="9" ySplit="2" topLeftCell="J3" activePane="bottomRight" state="frozen"/>
      <selection pane="bottomRight" activeCell="J2" sqref="J2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84" customWidth="1"/>
    <col min="14" max="15" width="15.85546875" style="83" customWidth="1"/>
    <col min="16" max="16" width="18.28515625" style="84" customWidth="1"/>
    <col min="17" max="17" width="17.85546875" style="84" customWidth="1"/>
    <col min="18" max="18" width="28.7109375" style="84" customWidth="1"/>
    <col min="19" max="24" width="11.5703125" style="84"/>
  </cols>
  <sheetData>
    <row r="1" spans="1:46" ht="60" customHeight="1">
      <c r="A1" s="157" t="s">
        <v>518</v>
      </c>
      <c r="B1" s="157"/>
      <c r="C1" s="157"/>
      <c r="D1" s="157"/>
      <c r="E1" s="157"/>
      <c r="F1" s="134" t="s">
        <v>306</v>
      </c>
      <c r="G1" s="134"/>
      <c r="H1" s="134" t="s">
        <v>307</v>
      </c>
      <c r="I1" s="134"/>
      <c r="J1" s="155" t="s">
        <v>519</v>
      </c>
      <c r="K1" s="155"/>
      <c r="L1" s="155"/>
      <c r="M1" s="155"/>
      <c r="N1" s="155"/>
      <c r="O1" s="155"/>
      <c r="P1" s="155"/>
      <c r="Q1" s="156"/>
      <c r="R1" s="80" t="s">
        <v>391</v>
      </c>
      <c r="S1" s="147" t="s">
        <v>310</v>
      </c>
      <c r="T1" s="148"/>
      <c r="U1" s="148"/>
      <c r="V1" s="148"/>
      <c r="W1" s="148"/>
      <c r="X1" s="149"/>
    </row>
    <row r="2" spans="1:46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311</v>
      </c>
      <c r="G2" s="9" t="s">
        <v>312</v>
      </c>
      <c r="H2" s="9" t="s">
        <v>313</v>
      </c>
      <c r="I2" s="9" t="s">
        <v>314</v>
      </c>
      <c r="J2" s="9" t="s">
        <v>520</v>
      </c>
      <c r="K2" s="9" t="s">
        <v>521</v>
      </c>
      <c r="L2" s="9" t="s">
        <v>522</v>
      </c>
      <c r="M2" s="9" t="s">
        <v>523</v>
      </c>
      <c r="N2" s="13" t="s">
        <v>524</v>
      </c>
      <c r="O2" s="13" t="s">
        <v>525</v>
      </c>
      <c r="P2" s="13" t="s">
        <v>526</v>
      </c>
      <c r="Q2" s="13" t="s">
        <v>527</v>
      </c>
      <c r="R2" s="78" t="s">
        <v>321</v>
      </c>
      <c r="S2" s="13" t="s">
        <v>329</v>
      </c>
      <c r="T2" s="13" t="s">
        <v>330</v>
      </c>
      <c r="U2" s="13" t="s">
        <v>331</v>
      </c>
      <c r="V2" s="13" t="s">
        <v>332</v>
      </c>
      <c r="W2" s="13" t="s">
        <v>333</v>
      </c>
      <c r="X2" s="13" t="s">
        <v>334</v>
      </c>
    </row>
    <row r="3" spans="1:46" s="5" customFormat="1" ht="25.9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IF(Inicial!P3="SI",Inicial!E3,"N/A")</f>
        <v>N/A</v>
      </c>
      <c r="F3" s="52" t="str">
        <f>IF(Inicial!P3="SI",Inicial!F3,"N/A")</f>
        <v>N/A</v>
      </c>
      <c r="G3" s="52" t="str">
        <f>IF(Inicial!P3="SI",Inicial!G3,"N/A")</f>
        <v>N/A</v>
      </c>
      <c r="H3" s="52" t="str">
        <f>IF(Inicial!P3="SI",Inicial!H3,"N/A")</f>
        <v>N/A</v>
      </c>
      <c r="I3" s="63" t="str">
        <f>IF(Inicial!P3="SI",Inicial!I3,"N/A")</f>
        <v>N/A</v>
      </c>
      <c r="J3" s="81"/>
      <c r="K3" s="81"/>
      <c r="L3" s="81"/>
      <c r="M3" s="81"/>
      <c r="N3" s="81"/>
      <c r="O3" s="81"/>
      <c r="P3" s="81"/>
      <c r="Q3" s="81"/>
      <c r="R3" s="81" t="str" cm="1">
        <f t="array" ref="R3">IF(OR(J3:Q3="SI"),"No aceptable","Aceptable")</f>
        <v>Aceptable</v>
      </c>
      <c r="S3" s="81"/>
      <c r="T3" s="81"/>
      <c r="U3" s="81"/>
      <c r="V3" s="81"/>
      <c r="W3" s="81"/>
      <c r="X3" s="82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IF(Inicial!P4="SI",Inicial!E4,"N/A")</f>
        <v>N/A</v>
      </c>
      <c r="F4" s="52" t="str">
        <f>IF(Inicial!P4="SI",Inicial!F4,"N/A")</f>
        <v>N/A</v>
      </c>
      <c r="G4" s="52" t="str">
        <f>IF(Inicial!P4="SI",Inicial!G4,"N/A")</f>
        <v>N/A</v>
      </c>
      <c r="H4" s="52" t="str">
        <f>IF(Inicial!P4="SI",Inicial!H4,"N/A")</f>
        <v>N/A</v>
      </c>
      <c r="I4" s="63" t="str">
        <f>IF(Inicial!P4="SI",Inicial!I4,"N/A")</f>
        <v>N/A</v>
      </c>
      <c r="J4" s="81"/>
      <c r="K4" s="81"/>
      <c r="L4" s="81"/>
      <c r="M4" s="81"/>
      <c r="N4" s="81"/>
      <c r="O4" s="81"/>
      <c r="P4" s="81"/>
      <c r="Q4" s="81"/>
      <c r="R4" s="81" t="str" cm="1">
        <f t="array" ref="R4">IF(OR(J4:Q4="SI"),"No aceptable","Aceptable")</f>
        <v>Aceptable</v>
      </c>
      <c r="S4" s="83"/>
      <c r="T4" s="83"/>
      <c r="U4" s="83"/>
      <c r="V4" s="83"/>
      <c r="W4" s="83"/>
      <c r="X4" s="83"/>
    </row>
    <row r="5" spans="1:46" ht="25.9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IF(Inicial!P5="SI",Inicial!E5,"N/A")</f>
        <v>N/A</v>
      </c>
      <c r="F5" s="52" t="str">
        <f>IF(Inicial!P5="SI",Inicial!F5,"N/A")</f>
        <v>N/A</v>
      </c>
      <c r="G5" s="52" t="str">
        <f>IF(Inicial!P5="SI",Inicial!G5,"N/A")</f>
        <v>N/A</v>
      </c>
      <c r="H5" s="52" t="str">
        <f>IF(Inicial!P5="SI",Inicial!H5,"N/A")</f>
        <v>N/A</v>
      </c>
      <c r="I5" s="63" t="str">
        <f>IF(Inicial!P5="SI",Inicial!I5,"N/A")</f>
        <v>N/A</v>
      </c>
      <c r="J5" s="81"/>
      <c r="K5" s="81"/>
      <c r="L5" s="81"/>
      <c r="M5" s="81"/>
      <c r="N5" s="81"/>
      <c r="O5" s="81"/>
      <c r="P5" s="81"/>
      <c r="Q5" s="81"/>
      <c r="R5" s="81" t="str" cm="1">
        <f t="array" ref="R5">IF(OR(J5:Q5="SI"),"No aceptable","Aceptable")</f>
        <v>Aceptable</v>
      </c>
      <c r="S5" s="83"/>
      <c r="T5" s="83"/>
      <c r="U5" s="83"/>
      <c r="V5" s="83"/>
      <c r="W5" s="83"/>
      <c r="X5" s="83"/>
    </row>
    <row r="6" spans="1:46" ht="25.9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IF(Inicial!P6="SI",Inicial!E6,"N/A")</f>
        <v>N/A</v>
      </c>
      <c r="F6" s="52" t="str">
        <f>IF(Inicial!P6="SI",Inicial!F6,"N/A")</f>
        <v>N/A</v>
      </c>
      <c r="G6" s="52" t="str">
        <f>IF(Inicial!P6="SI",Inicial!G6,"N/A")</f>
        <v>N/A</v>
      </c>
      <c r="H6" s="52" t="str">
        <f>IF(Inicial!P6="SI",Inicial!H6,"N/A")</f>
        <v>N/A</v>
      </c>
      <c r="I6" s="63" t="str">
        <f>IF(Inicial!P6="SI",Inicial!I6,"N/A")</f>
        <v>N/A</v>
      </c>
      <c r="J6" s="81"/>
      <c r="K6" s="81"/>
      <c r="L6" s="81"/>
      <c r="M6" s="81"/>
      <c r="N6" s="81"/>
      <c r="O6" s="81"/>
      <c r="P6" s="81"/>
      <c r="Q6" s="81"/>
      <c r="R6" s="81" t="str" cm="1">
        <f t="array" ref="R6">IF(OR(J6:Q6="SI"),"No aceptable","Aceptable")</f>
        <v>Aceptable</v>
      </c>
    </row>
    <row r="7" spans="1:46" ht="25.9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IF(Inicial!P7="SI",Inicial!E7,"N/A")</f>
        <v>N/A</v>
      </c>
      <c r="F7" s="52" t="str">
        <f>IF(Inicial!P7="SI",Inicial!F7,"N/A")</f>
        <v>N/A</v>
      </c>
      <c r="G7" s="52" t="str">
        <f>IF(Inicial!P7="SI",Inicial!G7,"N/A")</f>
        <v>N/A</v>
      </c>
      <c r="H7" s="52" t="str">
        <f>IF(Inicial!P7="SI",Inicial!H7,"N/A")</f>
        <v>N/A</v>
      </c>
      <c r="I7" s="63" t="str">
        <f>IF(Inicial!P7="SI",Inicial!I7,"N/A")</f>
        <v>N/A</v>
      </c>
      <c r="J7" s="81"/>
      <c r="K7" s="81"/>
      <c r="L7" s="81"/>
      <c r="M7" s="81"/>
      <c r="N7" s="81"/>
      <c r="O7" s="81"/>
      <c r="P7" s="81"/>
      <c r="Q7" s="81"/>
      <c r="R7" s="81" t="str" cm="1">
        <f t="array" ref="R7">IF(OR(J7:Q7="SI"),"No aceptable","Aceptable")</f>
        <v>Aceptable</v>
      </c>
    </row>
    <row r="8" spans="1:46" ht="25.9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IF(Inicial!P8="SI",Inicial!E8,"N/A")</f>
        <v>N/A</v>
      </c>
      <c r="F8" s="52" t="str">
        <f>IF(Inicial!P8="SI",Inicial!F8,"N/A")</f>
        <v>N/A</v>
      </c>
      <c r="G8" s="52" t="str">
        <f>IF(Inicial!P8="SI",Inicial!G8,"N/A")</f>
        <v>N/A</v>
      </c>
      <c r="H8" s="52" t="str">
        <f>IF(Inicial!P8="SI",Inicial!H8,"N/A")</f>
        <v>N/A</v>
      </c>
      <c r="I8" s="63" t="str">
        <f>IF(Inicial!P8="SI",Inicial!I8,"N/A")</f>
        <v>N/A</v>
      </c>
      <c r="J8" s="81"/>
      <c r="K8" s="81"/>
      <c r="L8" s="81"/>
      <c r="M8" s="81"/>
      <c r="N8" s="81"/>
      <c r="O8" s="81"/>
      <c r="P8" s="81"/>
      <c r="Q8" s="81"/>
      <c r="R8" s="81" t="str" cm="1">
        <f t="array" ref="R8">IF(OR(J8:Q8="SI"),"No aceptable","Aceptable")</f>
        <v>Aceptable</v>
      </c>
    </row>
    <row r="9" spans="1:46" ht="27.6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IF(Inicial!P9="SI",Inicial!E9,"N/A")</f>
        <v>N/A</v>
      </c>
      <c r="F9" s="52" t="str">
        <f>IF(Inicial!P9="SI",Inicial!F9,"N/A")</f>
        <v>N/A</v>
      </c>
      <c r="G9" s="52" t="str">
        <f>IF(Inicial!P9="SI",Inicial!G9,"N/A")</f>
        <v>N/A</v>
      </c>
      <c r="H9" s="52" t="str">
        <f>IF(Inicial!P9="SI",Inicial!H9,"N/A")</f>
        <v>N/A</v>
      </c>
      <c r="I9" s="63" t="str">
        <f>IF(Inicial!P9="SI",Inicial!I9,"N/A")</f>
        <v>N/A</v>
      </c>
      <c r="J9" s="81"/>
      <c r="K9" s="81"/>
      <c r="L9" s="81"/>
      <c r="M9" s="81"/>
      <c r="N9" s="81"/>
      <c r="O9" s="81"/>
      <c r="P9" s="81"/>
      <c r="Q9" s="81"/>
      <c r="R9" s="81" t="str" cm="1">
        <f t="array" ref="R9">IF(OR(J9:Q9="SI"),"No aceptable","Aceptable")</f>
        <v>Aceptable</v>
      </c>
    </row>
    <row r="10" spans="1:46" ht="27.6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IF(Inicial!P10="SI",Inicial!E10,"N/A")</f>
        <v>N/A</v>
      </c>
      <c r="F10" s="52" t="str">
        <f>IF(Inicial!P10="SI",Inicial!F10,"N/A")</f>
        <v>N/A</v>
      </c>
      <c r="G10" s="52" t="str">
        <f>IF(Inicial!P10="SI",Inicial!G10,"N/A")</f>
        <v>N/A</v>
      </c>
      <c r="H10" s="52" t="str">
        <f>IF(Inicial!P10="SI",Inicial!H10,"N/A")</f>
        <v>N/A</v>
      </c>
      <c r="I10" s="63" t="str">
        <f>IF(Inicial!P10="SI",Inicial!I10,"N/A")</f>
        <v>N/A</v>
      </c>
      <c r="J10" s="81"/>
      <c r="K10" s="81"/>
      <c r="L10" s="81"/>
      <c r="M10" s="81"/>
      <c r="N10" s="81"/>
      <c r="O10" s="81"/>
      <c r="P10" s="81"/>
      <c r="Q10" s="81"/>
      <c r="R10" s="81" t="str" cm="1">
        <f t="array" ref="R10">IF(OR(J10:Q10="SI"),"No aceptable","Aceptable")</f>
        <v>Aceptable</v>
      </c>
    </row>
    <row r="11" spans="1:46" ht="27.6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IF(Inicial!P11="SI",Inicial!E11,"N/A")</f>
        <v>N/A</v>
      </c>
      <c r="F11" s="52" t="str">
        <f>IF(Inicial!P11="SI",Inicial!F11,"N/A")</f>
        <v>N/A</v>
      </c>
      <c r="G11" s="52" t="str">
        <f>IF(Inicial!P11="SI",Inicial!G11,"N/A")</f>
        <v>N/A</v>
      </c>
      <c r="H11" s="52" t="str">
        <f>IF(Inicial!P11="SI",Inicial!H11,"N/A")</f>
        <v>N/A</v>
      </c>
      <c r="I11" s="63" t="str">
        <f>IF(Inicial!P11="SI",Inicial!I11,"N/A")</f>
        <v>N/A</v>
      </c>
      <c r="J11" s="81"/>
      <c r="K11" s="81"/>
      <c r="L11" s="81"/>
      <c r="M11" s="81"/>
      <c r="N11" s="81"/>
      <c r="O11" s="81"/>
      <c r="P11" s="81"/>
      <c r="Q11" s="81"/>
      <c r="R11" s="81" t="str" cm="1">
        <f t="array" ref="R11">IF(OR(J11:Q11="SI"),"No aceptable","Aceptable")</f>
        <v>Aceptable</v>
      </c>
    </row>
    <row r="12" spans="1:46" ht="27.6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IF(Inicial!P12="SI",Inicial!E12,"N/A")</f>
        <v>N/A</v>
      </c>
      <c r="F12" s="52" t="str">
        <f>IF(Inicial!P12="SI",Inicial!F12,"N/A")</f>
        <v>N/A</v>
      </c>
      <c r="G12" s="52" t="str">
        <f>IF(Inicial!P12="SI",Inicial!G12,"N/A")</f>
        <v>N/A</v>
      </c>
      <c r="H12" s="52" t="str">
        <f>IF(Inicial!P12="SI",Inicial!H12,"N/A")</f>
        <v>N/A</v>
      </c>
      <c r="I12" s="63" t="str">
        <f>IF(Inicial!P12="SI",Inicial!I12,"N/A")</f>
        <v>N/A</v>
      </c>
      <c r="J12" s="81"/>
      <c r="K12" s="81"/>
      <c r="L12" s="81"/>
      <c r="M12" s="81"/>
      <c r="N12" s="81"/>
      <c r="O12" s="81"/>
      <c r="P12" s="81"/>
      <c r="Q12" s="81"/>
      <c r="R12" s="81" t="str" cm="1">
        <f t="array" ref="R12">IF(OR(J12:Q12="SI"),"No aceptable","Aceptable")</f>
        <v>Aceptable</v>
      </c>
    </row>
    <row r="13" spans="1:46" ht="27.6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IF(Inicial!P13="SI",Inicial!E13,"N/A")</f>
        <v>N/A</v>
      </c>
      <c r="F13" s="52" t="str">
        <f>IF(Inicial!P13="SI",Inicial!F13,"N/A")</f>
        <v>N/A</v>
      </c>
      <c r="G13" s="52" t="str">
        <f>IF(Inicial!P13="SI",Inicial!G13,"N/A")</f>
        <v>N/A</v>
      </c>
      <c r="H13" s="52" t="str">
        <f>IF(Inicial!P13="SI",Inicial!H13,"N/A")</f>
        <v>N/A</v>
      </c>
      <c r="I13" s="63" t="str">
        <f>IF(Inicial!P13="SI",Inicial!I13,"N/A")</f>
        <v>N/A</v>
      </c>
      <c r="J13" s="81"/>
      <c r="K13" s="81"/>
      <c r="L13" s="81"/>
      <c r="M13" s="81"/>
      <c r="N13" s="81"/>
      <c r="O13" s="81"/>
      <c r="P13" s="81"/>
      <c r="Q13" s="81"/>
      <c r="R13" s="81" t="str" cm="1">
        <f t="array" ref="R13">IF(OR(J13:Q13="SI"),"No aceptable","Aceptable")</f>
        <v>Aceptable</v>
      </c>
    </row>
    <row r="14" spans="1:46" ht="27.6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IF(Inicial!P14="SI",Inicial!E14,"N/A")</f>
        <v>N/A</v>
      </c>
      <c r="F14" s="52" t="str">
        <f>IF(Inicial!P14="SI",Inicial!F14,"N/A")</f>
        <v>N/A</v>
      </c>
      <c r="G14" s="52" t="str">
        <f>IF(Inicial!P14="SI",Inicial!G14,"N/A")</f>
        <v>N/A</v>
      </c>
      <c r="H14" s="52" t="str">
        <f>IF(Inicial!P14="SI",Inicial!H14,"N/A")</f>
        <v>N/A</v>
      </c>
      <c r="I14" s="63" t="str">
        <f>IF(Inicial!P14="SI",Inicial!I14,"N/A")</f>
        <v>N/A</v>
      </c>
      <c r="J14" s="81"/>
      <c r="K14" s="81"/>
      <c r="L14" s="81"/>
      <c r="M14" s="81"/>
      <c r="N14" s="81"/>
      <c r="O14" s="81"/>
      <c r="P14" s="81"/>
      <c r="Q14" s="81"/>
      <c r="R14" s="81" t="str" cm="1">
        <f t="array" ref="R14">IF(OR(J14:Q14="SI"),"No aceptable","Aceptable")</f>
        <v>Aceptable</v>
      </c>
    </row>
    <row r="15" spans="1:46" ht="27.6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IF(Inicial!P15="SI",Inicial!E15,"N/A")</f>
        <v>N/A</v>
      </c>
      <c r="F15" s="52" t="str">
        <f>IF(Inicial!P15="SI",Inicial!F15,"N/A")</f>
        <v>N/A</v>
      </c>
      <c r="G15" s="52" t="str">
        <f>IF(Inicial!P15="SI",Inicial!G15,"N/A")</f>
        <v>N/A</v>
      </c>
      <c r="H15" s="52" t="str">
        <f>IF(Inicial!P15="SI",Inicial!H15,"N/A")</f>
        <v>N/A</v>
      </c>
      <c r="I15" s="63" t="str">
        <f>IF(Inicial!P15="SI",Inicial!I15,"N/A")</f>
        <v>N/A</v>
      </c>
      <c r="J15" s="81"/>
      <c r="K15" s="81"/>
      <c r="L15" s="81"/>
      <c r="M15" s="81"/>
      <c r="N15" s="81"/>
      <c r="O15" s="81"/>
      <c r="P15" s="81"/>
      <c r="Q15" s="81"/>
      <c r="R15" s="81" t="str" cm="1">
        <f t="array" ref="R15">IF(OR(J15:Q15="SI"),"No aceptable","Aceptable")</f>
        <v>Aceptable</v>
      </c>
    </row>
    <row r="16" spans="1:46" ht="27.6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IF(Inicial!P16="SI",Inicial!E16,"N/A")</f>
        <v>N/A</v>
      </c>
      <c r="F16" s="52" t="str">
        <f>IF(Inicial!P16="SI",Inicial!F16,"N/A")</f>
        <v>N/A</v>
      </c>
      <c r="G16" s="52" t="str">
        <f>IF(Inicial!P16="SI",Inicial!G16,"N/A")</f>
        <v>N/A</v>
      </c>
      <c r="H16" s="52" t="str">
        <f>IF(Inicial!P16="SI",Inicial!H16,"N/A")</f>
        <v>N/A</v>
      </c>
      <c r="I16" s="63" t="str">
        <f>IF(Inicial!P16="SI",Inicial!I16,"N/A")</f>
        <v>N/A</v>
      </c>
      <c r="J16" s="81"/>
      <c r="K16" s="81"/>
      <c r="L16" s="81"/>
      <c r="M16" s="81"/>
      <c r="N16" s="81"/>
      <c r="O16" s="81"/>
      <c r="P16" s="81"/>
      <c r="Q16" s="81"/>
      <c r="R16" s="81" t="str" cm="1">
        <f t="array" ref="R16">IF(OR(J16:Q16="SI"),"No aceptable","Aceptable")</f>
        <v>Aceptable</v>
      </c>
    </row>
    <row r="17" spans="1:18" ht="27.6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IF(Inicial!P17="SI",Inicial!E17,"N/A")</f>
        <v>N/A</v>
      </c>
      <c r="F17" s="52" t="str">
        <f>IF(Inicial!P17="SI",Inicial!F17,"N/A")</f>
        <v>N/A</v>
      </c>
      <c r="G17" s="52" t="str">
        <f>IF(Inicial!P17="SI",Inicial!G17,"N/A")</f>
        <v>N/A</v>
      </c>
      <c r="H17" s="52" t="str">
        <f>IF(Inicial!P17="SI",Inicial!H17,"N/A")</f>
        <v>N/A</v>
      </c>
      <c r="I17" s="63" t="str">
        <f>IF(Inicial!P17="SI",Inicial!I17,"N/A")</f>
        <v>N/A</v>
      </c>
      <c r="J17" s="81"/>
      <c r="K17" s="81"/>
      <c r="L17" s="81"/>
      <c r="M17" s="81"/>
      <c r="N17" s="81"/>
      <c r="O17" s="81"/>
      <c r="P17" s="81"/>
      <c r="Q17" s="81"/>
      <c r="R17" s="81" t="str" cm="1">
        <f t="array" ref="R17">IF(OR(J17:Q17="SI"),"No aceptable","Aceptable")</f>
        <v>Aceptable</v>
      </c>
    </row>
    <row r="18" spans="1:18" ht="27.6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IF(Inicial!P18="SI",Inicial!E18,"N/A")</f>
        <v>N/A</v>
      </c>
      <c r="F18" s="52" t="str">
        <f>IF(Inicial!P18="SI",Inicial!F18,"N/A")</f>
        <v>N/A</v>
      </c>
      <c r="G18" s="52" t="str">
        <f>IF(Inicial!P18="SI",Inicial!G18,"N/A")</f>
        <v>N/A</v>
      </c>
      <c r="H18" s="52" t="str">
        <f>IF(Inicial!P18="SI",Inicial!H18,"N/A")</f>
        <v>N/A</v>
      </c>
      <c r="I18" s="63" t="str">
        <f>IF(Inicial!P18="SI",Inicial!I18,"N/A")</f>
        <v>N/A</v>
      </c>
      <c r="J18" s="81"/>
      <c r="K18" s="81"/>
      <c r="L18" s="81"/>
      <c r="M18" s="81"/>
      <c r="N18" s="81"/>
      <c r="O18" s="81"/>
      <c r="P18" s="81"/>
      <c r="Q18" s="81"/>
      <c r="R18" s="81" t="str" cm="1">
        <f t="array" ref="R18">IF(OR(J18:Q18="SI"),"No aceptable","Aceptable")</f>
        <v>Aceptable</v>
      </c>
    </row>
    <row r="19" spans="1:18" ht="27.6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IF(Inicial!P19="SI",Inicial!E19,"N/A")</f>
        <v>N/A</v>
      </c>
      <c r="F19" s="52" t="str">
        <f>IF(Inicial!P19="SI",Inicial!F19,"N/A")</f>
        <v>N/A</v>
      </c>
      <c r="G19" s="52" t="str">
        <f>IF(Inicial!P19="SI",Inicial!G19,"N/A")</f>
        <v>N/A</v>
      </c>
      <c r="H19" s="52" t="str">
        <f>IF(Inicial!P19="SI",Inicial!H19,"N/A")</f>
        <v>N/A</v>
      </c>
      <c r="I19" s="63" t="str">
        <f>IF(Inicial!P19="SI",Inicial!I19,"N/A")</f>
        <v>N/A</v>
      </c>
      <c r="J19" s="81"/>
      <c r="K19" s="81"/>
      <c r="L19" s="81"/>
      <c r="M19" s="81"/>
      <c r="N19" s="81"/>
      <c r="O19" s="81"/>
      <c r="P19" s="81"/>
      <c r="Q19" s="81"/>
      <c r="R19" s="81" t="str" cm="1">
        <f t="array" ref="R19">IF(OR(J19:Q19="SI"),"No aceptable","Aceptable")</f>
        <v>Aceptable</v>
      </c>
    </row>
    <row r="20" spans="1:18" ht="27.6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IF(Inicial!P20="SI",Inicial!E20,"N/A")</f>
        <v>N/A</v>
      </c>
      <c r="F20" s="52" t="str">
        <f>IF(Inicial!P20="SI",Inicial!F20,"N/A")</f>
        <v>N/A</v>
      </c>
      <c r="G20" s="52" t="str">
        <f>IF(Inicial!P20="SI",Inicial!G20,"N/A")</f>
        <v>N/A</v>
      </c>
      <c r="H20" s="52" t="str">
        <f>IF(Inicial!P20="SI",Inicial!H20,"N/A")</f>
        <v>N/A</v>
      </c>
      <c r="I20" s="63" t="str">
        <f>IF(Inicial!P20="SI",Inicial!I20,"N/A")</f>
        <v>N/A</v>
      </c>
      <c r="J20" s="81"/>
      <c r="K20" s="81"/>
      <c r="L20" s="81"/>
      <c r="M20" s="81"/>
      <c r="N20" s="81"/>
      <c r="O20" s="81"/>
      <c r="P20" s="81"/>
      <c r="Q20" s="81"/>
      <c r="R20" s="81" t="str" cm="1">
        <f t="array" ref="R20">IF(OR(J20:Q20="SI"),"No aceptable","Aceptable")</f>
        <v>Aceptable</v>
      </c>
    </row>
    <row r="21" spans="1:18" ht="27.6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IF(Inicial!P21="SI",Inicial!E21,"N/A")</f>
        <v>N/A</v>
      </c>
      <c r="F21" s="52" t="str">
        <f>IF(Inicial!P21="SI",Inicial!F21,"N/A")</f>
        <v>N/A</v>
      </c>
      <c r="G21" s="52" t="str">
        <f>IF(Inicial!P21="SI",Inicial!G21,"N/A")</f>
        <v>N/A</v>
      </c>
      <c r="H21" s="52" t="str">
        <f>IF(Inicial!P21="SI",Inicial!H21,"N/A")</f>
        <v>N/A</v>
      </c>
      <c r="I21" s="63" t="str">
        <f>IF(Inicial!P21="SI",Inicial!I21,"N/A")</f>
        <v>N/A</v>
      </c>
      <c r="J21" s="81"/>
      <c r="K21" s="81"/>
      <c r="L21" s="81"/>
      <c r="M21" s="81"/>
      <c r="N21" s="81"/>
      <c r="O21" s="81"/>
      <c r="P21" s="81"/>
      <c r="Q21" s="81"/>
      <c r="R21" s="81" t="str" cm="1">
        <f t="array" ref="R21">IF(OR(J21:Q21="SI"),"No aceptable","Aceptable")</f>
        <v>Aceptable</v>
      </c>
    </row>
    <row r="22" spans="1:18" ht="27.6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IF(Inicial!P22="SI",Inicial!E22,"N/A")</f>
        <v>N/A</v>
      </c>
      <c r="F22" s="52" t="str">
        <f>IF(Inicial!P22="SI",Inicial!F22,"N/A")</f>
        <v>N/A</v>
      </c>
      <c r="G22" s="52" t="str">
        <f>IF(Inicial!P22="SI",Inicial!G22,"N/A")</f>
        <v>N/A</v>
      </c>
      <c r="H22" s="52" t="str">
        <f>IF(Inicial!P22="SI",Inicial!H22,"N/A")</f>
        <v>N/A</v>
      </c>
      <c r="I22" s="63" t="str">
        <f>IF(Inicial!P22="SI",Inicial!I22,"N/A")</f>
        <v>N/A</v>
      </c>
      <c r="J22" s="81"/>
      <c r="K22" s="81"/>
      <c r="L22" s="81"/>
      <c r="M22" s="81"/>
      <c r="N22" s="81"/>
      <c r="O22" s="81"/>
      <c r="P22" s="81"/>
      <c r="Q22" s="81"/>
      <c r="R22" s="81"/>
    </row>
    <row r="23" spans="1:18" ht="41.45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IF(Inicial!P23="SI",Inicial!E23,"N/A")</f>
        <v>N/A</v>
      </c>
      <c r="F23" s="52" t="str">
        <f>IF(Inicial!P23="SI",Inicial!F23,"N/A")</f>
        <v>N/A</v>
      </c>
      <c r="G23" s="52" t="str">
        <f>IF(Inicial!P23="SI",Inicial!G23,"N/A")</f>
        <v>N/A</v>
      </c>
      <c r="H23" s="52" t="str">
        <f>IF(Inicial!P23="SI",Inicial!H23,"N/A")</f>
        <v>N/A</v>
      </c>
      <c r="I23" s="63" t="str">
        <f>IF(Inicial!P23="SI",Inicial!I23,"N/A")</f>
        <v>N/A</v>
      </c>
      <c r="J23" s="81"/>
      <c r="K23" s="81"/>
      <c r="L23" s="81"/>
      <c r="M23" s="81"/>
      <c r="N23" s="81"/>
      <c r="O23" s="81"/>
      <c r="P23" s="81"/>
      <c r="Q23" s="81"/>
      <c r="R23" s="81"/>
    </row>
    <row r="24" spans="1:18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63" t="e">
        <f>IF(Inicial!#REF!="SI",Inicial!#REF!,"N/A")</f>
        <v>#REF!</v>
      </c>
      <c r="J24" s="81"/>
      <c r="K24" s="81"/>
      <c r="L24" s="81"/>
      <c r="M24" s="81"/>
      <c r="N24" s="81"/>
      <c r="O24" s="81"/>
      <c r="P24" s="81"/>
      <c r="Q24" s="81"/>
      <c r="R24" s="81"/>
    </row>
    <row r="25" spans="1:18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IF(Inicial!P24="SI",Inicial!E24,"N/A")</f>
        <v>N/A</v>
      </c>
      <c r="F25" s="52" t="str">
        <f>IF(Inicial!P24="SI",Inicial!F24,"N/A")</f>
        <v>N/A</v>
      </c>
      <c r="G25" s="52" t="str">
        <f>IF(Inicial!P24="SI",Inicial!G24,"N/A")</f>
        <v>N/A</v>
      </c>
      <c r="H25" s="52" t="str">
        <f>IF(Inicial!P24="SI",Inicial!H24,"N/A")</f>
        <v>N/A</v>
      </c>
      <c r="I25" s="63" t="str">
        <f>IF(Inicial!P24="SI",Inicial!I24,"N/A")</f>
        <v>N/A</v>
      </c>
      <c r="J25" s="81"/>
      <c r="K25" s="81"/>
      <c r="L25" s="81"/>
      <c r="M25" s="81"/>
      <c r="N25" s="81"/>
      <c r="O25" s="81"/>
      <c r="P25" s="81"/>
      <c r="Q25" s="81"/>
      <c r="R25" s="81"/>
    </row>
    <row r="26" spans="1:18" ht="27.6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IF(Inicial!P25="SI",Inicial!E25,"N/A")</f>
        <v>N/A</v>
      </c>
      <c r="F26" s="52" t="str">
        <f>IF(Inicial!P25="SI",Inicial!F25,"N/A")</f>
        <v>N/A</v>
      </c>
      <c r="G26" s="52" t="str">
        <f>IF(Inicial!P25="SI",Inicial!G25,"N/A")</f>
        <v>N/A</v>
      </c>
      <c r="H26" s="52" t="str">
        <f>IF(Inicial!P25="SI",Inicial!H25,"N/A")</f>
        <v>N/A</v>
      </c>
      <c r="I26" s="63" t="str">
        <f>IF(Inicial!P25="SI",Inicial!I25,"N/A")</f>
        <v>N/A</v>
      </c>
      <c r="J26" s="81"/>
      <c r="K26" s="81"/>
      <c r="L26" s="81"/>
      <c r="M26" s="81"/>
      <c r="N26" s="81"/>
      <c r="O26" s="81"/>
      <c r="P26" s="81"/>
      <c r="Q26" s="81"/>
      <c r="R26" s="81"/>
    </row>
    <row r="27" spans="1:18" ht="27.6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IF(Inicial!P26="SI",Inicial!E26,"N/A")</f>
        <v>N/A</v>
      </c>
      <c r="F27" s="52" t="str">
        <f>IF(Inicial!P26="SI",Inicial!F26,"N/A")</f>
        <v>N/A</v>
      </c>
      <c r="G27" s="52" t="str">
        <f>IF(Inicial!P26="SI",Inicial!G26,"N/A")</f>
        <v>N/A</v>
      </c>
      <c r="H27" s="52" t="str">
        <f>IF(Inicial!P26="SI",Inicial!H26,"N/A")</f>
        <v>N/A</v>
      </c>
      <c r="I27" s="63" t="str">
        <f>IF(Inicial!P26="SI",Inicial!I26,"N/A")</f>
        <v>N/A</v>
      </c>
      <c r="J27" s="81"/>
      <c r="K27" s="81"/>
      <c r="L27" s="81"/>
      <c r="M27" s="81"/>
      <c r="N27" s="81"/>
      <c r="O27" s="81"/>
      <c r="P27" s="81"/>
      <c r="Q27" s="81"/>
      <c r="R27" s="81"/>
    </row>
    <row r="28" spans="1:18" ht="27.6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IF(Inicial!P27="SI",Inicial!E27,"N/A")</f>
        <v>N/A</v>
      </c>
      <c r="F28" s="52" t="str">
        <f>IF(Inicial!P27="SI",Inicial!F27,"N/A")</f>
        <v>N/A</v>
      </c>
      <c r="G28" s="52" t="str">
        <f>IF(Inicial!P27="SI",Inicial!G27,"N/A")</f>
        <v>N/A</v>
      </c>
      <c r="H28" s="52" t="str">
        <f>IF(Inicial!P27="SI",Inicial!H27,"N/A")</f>
        <v>N/A</v>
      </c>
      <c r="I28" s="63" t="str">
        <f>IF(Inicial!P27="SI",Inicial!I27,"N/A")</f>
        <v>N/A</v>
      </c>
      <c r="J28" s="81"/>
      <c r="K28" s="81"/>
      <c r="L28" s="81"/>
      <c r="M28" s="81"/>
      <c r="N28" s="81"/>
      <c r="O28" s="81"/>
      <c r="P28" s="81"/>
      <c r="Q28" s="81"/>
      <c r="R28" s="81"/>
    </row>
    <row r="29" spans="1:18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 t="str">
        <f>IF(Inicial!P28="SI",Inicial!E28,"N/A")</f>
        <v>N/A</v>
      </c>
      <c r="F29" s="52" t="str">
        <f>IF(Inicial!P28="SI",Inicial!F28,"N/A")</f>
        <v>N/A</v>
      </c>
      <c r="G29" s="52" t="str">
        <f>IF(Inicial!P28="SI",Inicial!G28,"N/A")</f>
        <v>N/A</v>
      </c>
      <c r="H29" s="52" t="str">
        <f>IF(Inicial!P28="SI",Inicial!H28,"N/A")</f>
        <v>N/A</v>
      </c>
      <c r="I29" s="63" t="str">
        <f>IF(Inicial!P28="SI",Inicial!I28,"N/A")</f>
        <v>N/A</v>
      </c>
      <c r="J29" s="81"/>
      <c r="K29" s="81"/>
      <c r="L29" s="81"/>
      <c r="M29" s="81"/>
      <c r="N29" s="81"/>
      <c r="O29" s="81"/>
      <c r="P29" s="81"/>
      <c r="Q29" s="81"/>
      <c r="R29" s="81"/>
    </row>
    <row r="30" spans="1:18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 t="str">
        <f>IF(Inicial!P29="SI",Inicial!E29,"N/A")</f>
        <v>N/A</v>
      </c>
      <c r="F30" s="52" t="str">
        <f>IF(Inicial!P29="SI",Inicial!F29,"N/A")</f>
        <v>N/A</v>
      </c>
      <c r="G30" s="52" t="str">
        <f>IF(Inicial!P29="SI",Inicial!G29,"N/A")</f>
        <v>N/A</v>
      </c>
      <c r="H30" s="52" t="str">
        <f>IF(Inicial!P29="SI",Inicial!H29,"N/A")</f>
        <v>N/A</v>
      </c>
      <c r="I30" s="63" t="str">
        <f>IF(Inicial!P29="SI",Inicial!I29,"N/A")</f>
        <v>N/A</v>
      </c>
      <c r="J30" s="81"/>
      <c r="K30" s="81"/>
      <c r="L30" s="81"/>
      <c r="M30" s="81"/>
      <c r="N30" s="81"/>
      <c r="O30" s="81"/>
      <c r="P30" s="81"/>
      <c r="Q30" s="81"/>
      <c r="R30" s="81"/>
    </row>
    <row r="31" spans="1:18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 t="str">
        <f>IF(Inicial!P30="SI",Inicial!E30,"N/A")</f>
        <v>N/A</v>
      </c>
      <c r="F31" s="52" t="str">
        <f>IF(Inicial!P30="SI",Inicial!F30,"N/A")</f>
        <v>N/A</v>
      </c>
      <c r="G31" s="52" t="str">
        <f>IF(Inicial!P30="SI",Inicial!G30,"N/A")</f>
        <v>N/A</v>
      </c>
      <c r="H31" s="52" t="str">
        <f>IF(Inicial!P30="SI",Inicial!H30,"N/A")</f>
        <v>N/A</v>
      </c>
      <c r="I31" s="63" t="str">
        <f>IF(Inicial!P30="SI",Inicial!I30,"N/A")</f>
        <v>N/A</v>
      </c>
      <c r="J31" s="81"/>
      <c r="K31" s="81"/>
      <c r="L31" s="81"/>
      <c r="M31" s="81"/>
      <c r="N31" s="81"/>
      <c r="O31" s="81"/>
      <c r="P31" s="81"/>
      <c r="Q31" s="81"/>
      <c r="R31" s="81"/>
    </row>
    <row r="32" spans="1:18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 t="str">
        <f>IF(Inicial!P31="SI",Inicial!E31,"N/A")</f>
        <v>N/A</v>
      </c>
      <c r="F32" s="52" t="str">
        <f>IF(Inicial!P31="SI",Inicial!F31,"N/A")</f>
        <v>N/A</v>
      </c>
      <c r="G32" s="52" t="str">
        <f>IF(Inicial!P31="SI",Inicial!G31,"N/A")</f>
        <v>N/A</v>
      </c>
      <c r="H32" s="52" t="str">
        <f>IF(Inicial!P31="SI",Inicial!H31,"N/A")</f>
        <v>N/A</v>
      </c>
      <c r="I32" s="63" t="str">
        <f>IF(Inicial!P31="SI",Inicial!I31,"N/A")</f>
        <v>N/A</v>
      </c>
      <c r="J32" s="81"/>
      <c r="K32" s="81"/>
      <c r="L32" s="81"/>
      <c r="M32" s="81"/>
      <c r="N32" s="81"/>
      <c r="O32" s="81"/>
      <c r="P32" s="81"/>
      <c r="Q32" s="81"/>
      <c r="R32" s="81"/>
    </row>
    <row r="33" spans="1:18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 t="str">
        <f>IF(Inicial!P32="SI",Inicial!E32,"N/A")</f>
        <v>N/A</v>
      </c>
      <c r="F33" s="52" t="str">
        <f>IF(Inicial!P32="SI",Inicial!F32,"N/A")</f>
        <v>N/A</v>
      </c>
      <c r="G33" s="52" t="str">
        <f>IF(Inicial!P32="SI",Inicial!G32,"N/A")</f>
        <v>N/A</v>
      </c>
      <c r="H33" s="52" t="str">
        <f>IF(Inicial!P32="SI",Inicial!H32,"N/A")</f>
        <v>N/A</v>
      </c>
      <c r="I33" s="63" t="str">
        <f>IF(Inicial!P32="SI",Inicial!I32,"N/A")</f>
        <v>N/A</v>
      </c>
      <c r="J33" s="81"/>
      <c r="K33" s="81"/>
      <c r="L33" s="81"/>
      <c r="M33" s="81"/>
      <c r="N33" s="81"/>
      <c r="O33" s="81"/>
      <c r="P33" s="81"/>
      <c r="Q33" s="81"/>
      <c r="R33" s="81"/>
    </row>
    <row r="34" spans="1:18" ht="27.6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 t="str">
        <f>IF(Inicial!P33="SI",Inicial!E33,"N/A")</f>
        <v>N/A</v>
      </c>
      <c r="F34" s="52" t="str">
        <f>IF(Inicial!P33="SI",Inicial!F33,"N/A")</f>
        <v>N/A</v>
      </c>
      <c r="G34" s="52" t="str">
        <f>IF(Inicial!P33="SI",Inicial!G33,"N/A")</f>
        <v>N/A</v>
      </c>
      <c r="H34" s="52" t="str">
        <f>IF(Inicial!P33="SI",Inicial!H33,"N/A")</f>
        <v>N/A</v>
      </c>
      <c r="I34" s="63" t="str">
        <f>IF(Inicial!P33="SI",Inicial!I33,"N/A")</f>
        <v>N/A</v>
      </c>
      <c r="J34" s="81"/>
      <c r="K34" s="81"/>
      <c r="L34" s="81"/>
      <c r="M34" s="81"/>
      <c r="N34" s="81"/>
      <c r="O34" s="81"/>
      <c r="P34" s="81"/>
      <c r="Q34" s="81"/>
      <c r="R34" s="81"/>
    </row>
    <row r="35" spans="1:18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IF(Inicial!P34="SI",Inicial!E34,"N/A")</f>
        <v>N/A</v>
      </c>
      <c r="F35" s="52" t="str">
        <f>IF(Inicial!P34="SI",Inicial!F34,"N/A")</f>
        <v>N/A</v>
      </c>
      <c r="G35" s="52" t="str">
        <f>IF(Inicial!P34="SI",Inicial!G34,"N/A")</f>
        <v>N/A</v>
      </c>
      <c r="H35" s="52" t="str">
        <f>IF(Inicial!P34="SI",Inicial!H34,"N/A")</f>
        <v>N/A</v>
      </c>
      <c r="I35" s="63" t="str">
        <f>IF(Inicial!P34="SI",Inicial!I34,"N/A")</f>
        <v>N/A</v>
      </c>
      <c r="J35" s="81"/>
      <c r="K35" s="81"/>
      <c r="L35" s="81"/>
      <c r="M35" s="81"/>
      <c r="N35" s="81"/>
      <c r="O35" s="81"/>
      <c r="P35" s="81"/>
      <c r="Q35" s="81"/>
      <c r="R35" s="81"/>
    </row>
    <row r="36" spans="1:18" ht="27.6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IF(Inicial!P35="SI",Inicial!E35,"N/A")</f>
        <v>N/A</v>
      </c>
      <c r="F36" s="52" t="str">
        <f>IF(Inicial!P35="SI",Inicial!F35,"N/A")</f>
        <v>N/A</v>
      </c>
      <c r="G36" s="52" t="str">
        <f>IF(Inicial!P35="SI",Inicial!G35,"N/A")</f>
        <v>N/A</v>
      </c>
      <c r="H36" s="52" t="str">
        <f>IF(Inicial!P35="SI",Inicial!H35,"N/A")</f>
        <v>N/A</v>
      </c>
      <c r="I36" s="63" t="str">
        <f>IF(Inicial!P35="SI",Inicial!I35,"N/A")</f>
        <v>N/A</v>
      </c>
      <c r="J36" s="81"/>
      <c r="K36" s="81"/>
      <c r="L36" s="81"/>
      <c r="M36" s="81"/>
      <c r="N36" s="81"/>
      <c r="O36" s="81"/>
      <c r="P36" s="81"/>
      <c r="Q36" s="81"/>
    </row>
    <row r="37" spans="1:18" ht="27.6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IF(Inicial!P36="SI",Inicial!E36,"N/A")</f>
        <v>N/A</v>
      </c>
      <c r="F37" s="52" t="str">
        <f>IF(Inicial!P36="SI",Inicial!F36,"N/A")</f>
        <v>N/A</v>
      </c>
      <c r="G37" s="52" t="str">
        <f>IF(Inicial!P36="SI",Inicial!G36,"N/A")</f>
        <v>N/A</v>
      </c>
      <c r="H37" s="52" t="str">
        <f>IF(Inicial!P36="SI",Inicial!H36,"N/A")</f>
        <v>N/A</v>
      </c>
      <c r="I37" s="63" t="str">
        <f>IF(Inicial!P36="SI",Inicial!I36,"N/A")</f>
        <v>N/A</v>
      </c>
      <c r="J37" s="81"/>
      <c r="K37" s="81"/>
      <c r="L37" s="81"/>
      <c r="M37" s="81"/>
      <c r="N37" s="81"/>
      <c r="O37" s="81"/>
      <c r="P37" s="81"/>
      <c r="Q37" s="81"/>
    </row>
    <row r="38" spans="1:18" ht="27.6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IF(Inicial!P37="SI",Inicial!E37,"N/A")</f>
        <v>N/A</v>
      </c>
      <c r="F38" s="52" t="str">
        <f>IF(Inicial!P37="SI",Inicial!F37,"N/A")</f>
        <v>N/A</v>
      </c>
      <c r="G38" s="52" t="str">
        <f>IF(Inicial!P37="SI",Inicial!G37,"N/A")</f>
        <v>N/A</v>
      </c>
      <c r="H38" s="52" t="str">
        <f>IF(Inicial!P37="SI",Inicial!H37,"N/A")</f>
        <v>N/A</v>
      </c>
      <c r="I38" s="63" t="str">
        <f>IF(Inicial!P37="SI",Inicial!I37,"N/A")</f>
        <v>N/A</v>
      </c>
      <c r="J38" s="81"/>
      <c r="K38" s="81"/>
      <c r="L38" s="81"/>
      <c r="M38" s="81"/>
      <c r="N38" s="81"/>
      <c r="O38" s="81"/>
      <c r="P38" s="81"/>
      <c r="Q38" s="81"/>
    </row>
    <row r="39" spans="1:18" ht="27.6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IF(Inicial!P38="SI",Inicial!E38,"N/A")</f>
        <v>N/A</v>
      </c>
      <c r="F39" s="52" t="str">
        <f>IF(Inicial!P38="SI",Inicial!F38,"N/A")</f>
        <v>N/A</v>
      </c>
      <c r="G39" s="52" t="str">
        <f>IF(Inicial!P38="SI",Inicial!G38,"N/A")</f>
        <v>N/A</v>
      </c>
      <c r="H39" s="52" t="str">
        <f>IF(Inicial!P38="SI",Inicial!H38,"N/A")</f>
        <v>N/A</v>
      </c>
      <c r="I39" s="63" t="str">
        <f>IF(Inicial!P38="SI",Inicial!I38,"N/A")</f>
        <v>N/A</v>
      </c>
      <c r="J39" s="81"/>
      <c r="K39" s="81"/>
      <c r="L39" s="81"/>
      <c r="M39" s="81"/>
      <c r="N39" s="81"/>
      <c r="O39" s="81"/>
      <c r="P39" s="81"/>
      <c r="Q39" s="81"/>
    </row>
    <row r="40" spans="1:18" ht="27.6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IF(Inicial!P39="SI",Inicial!E39,"N/A")</f>
        <v>N/A</v>
      </c>
      <c r="F40" s="52" t="str">
        <f>IF(Inicial!P39="SI",Inicial!F39,"N/A")</f>
        <v>N/A</v>
      </c>
      <c r="G40" s="52" t="str">
        <f>IF(Inicial!P39="SI",Inicial!G39,"N/A")</f>
        <v>N/A</v>
      </c>
      <c r="H40" s="52" t="str">
        <f>IF(Inicial!P39="SI",Inicial!H39,"N/A")</f>
        <v>N/A</v>
      </c>
      <c r="I40" s="63" t="str">
        <f>IF(Inicial!P39="SI",Inicial!I39,"N/A")</f>
        <v>N/A</v>
      </c>
      <c r="J40" s="81"/>
      <c r="K40" s="81"/>
      <c r="L40" s="81"/>
      <c r="M40" s="81"/>
      <c r="N40" s="81"/>
      <c r="O40" s="81"/>
      <c r="P40" s="81"/>
      <c r="Q40" s="81"/>
    </row>
    <row r="41" spans="1:18" ht="27.6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IF(Inicial!P40="SI",Inicial!E40,"N/A")</f>
        <v>N/A</v>
      </c>
      <c r="F41" s="52" t="str">
        <f>IF(Inicial!P40="SI",Inicial!F40,"N/A")</f>
        <v>N/A</v>
      </c>
      <c r="G41" s="52" t="str">
        <f>IF(Inicial!P40="SI",Inicial!G40,"N/A")</f>
        <v>N/A</v>
      </c>
      <c r="H41" s="52" t="str">
        <f>IF(Inicial!P40="SI",Inicial!H40,"N/A")</f>
        <v>N/A</v>
      </c>
      <c r="I41" s="63" t="str">
        <f>IF(Inicial!P40="SI",Inicial!I40,"N/A")</f>
        <v>N/A</v>
      </c>
      <c r="J41" s="81"/>
      <c r="K41" s="81"/>
      <c r="L41" s="81"/>
      <c r="M41" s="81"/>
      <c r="N41" s="81"/>
      <c r="O41" s="81"/>
      <c r="P41" s="81"/>
      <c r="Q41" s="81"/>
    </row>
    <row r="42" spans="1:18" ht="27.6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IF(Inicial!P41="SI",Inicial!E41,"N/A")</f>
        <v>N/A</v>
      </c>
      <c r="F42" s="52" t="str">
        <f>IF(Inicial!P41="SI",Inicial!F41,"N/A")</f>
        <v>N/A</v>
      </c>
      <c r="G42" s="52" t="str">
        <f>IF(Inicial!P41="SI",Inicial!G41,"N/A")</f>
        <v>N/A</v>
      </c>
      <c r="H42" s="52" t="str">
        <f>IF(Inicial!P41="SI",Inicial!H41,"N/A")</f>
        <v>N/A</v>
      </c>
      <c r="I42" s="63" t="str">
        <f>IF(Inicial!P41="SI",Inicial!I41,"N/A")</f>
        <v>N/A</v>
      </c>
      <c r="J42" s="81"/>
      <c r="K42" s="81"/>
      <c r="L42" s="81"/>
      <c r="M42" s="81"/>
      <c r="N42" s="81"/>
      <c r="O42" s="81"/>
      <c r="P42" s="81"/>
      <c r="Q42" s="81"/>
    </row>
    <row r="43" spans="1:18" ht="27.6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IF(Inicial!P42="SI",Inicial!E42,"N/A")</f>
        <v>N/A</v>
      </c>
      <c r="F43" s="52" t="str">
        <f>IF(Inicial!P42="SI",Inicial!F42,"N/A")</f>
        <v>N/A</v>
      </c>
      <c r="G43" s="52" t="str">
        <f>IF(Inicial!P42="SI",Inicial!G42,"N/A")</f>
        <v>N/A</v>
      </c>
      <c r="H43" s="52" t="str">
        <f>IF(Inicial!P42="SI",Inicial!H42,"N/A")</f>
        <v>N/A</v>
      </c>
      <c r="I43" s="63" t="str">
        <f>IF(Inicial!P42="SI",Inicial!I42,"N/A")</f>
        <v>N/A</v>
      </c>
      <c r="J43" s="81"/>
      <c r="K43" s="81"/>
      <c r="L43" s="81"/>
      <c r="M43" s="81"/>
      <c r="N43" s="81"/>
      <c r="O43" s="81"/>
      <c r="P43" s="81"/>
      <c r="Q43" s="81"/>
    </row>
    <row r="44" spans="1:18" ht="41.45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IF(Inicial!P43="SI",Inicial!E43,"N/A")</f>
        <v>N/A</v>
      </c>
      <c r="F44" s="52" t="str">
        <f>IF(Inicial!P43="SI",Inicial!F43,"N/A")</f>
        <v>N/A</v>
      </c>
      <c r="G44" s="52" t="str">
        <f>IF(Inicial!P43="SI",Inicial!G43,"N/A")</f>
        <v>N/A</v>
      </c>
      <c r="H44" s="52" t="str">
        <f>IF(Inicial!P43="SI",Inicial!H43,"N/A")</f>
        <v>N/A</v>
      </c>
      <c r="I44" s="63" t="str">
        <f>IF(Inicial!P43="SI",Inicial!I43,"N/A")</f>
        <v>N/A</v>
      </c>
      <c r="J44" s="81"/>
      <c r="K44" s="81"/>
      <c r="L44" s="81"/>
      <c r="M44" s="81"/>
      <c r="N44" s="81"/>
      <c r="O44" s="81"/>
      <c r="P44" s="81"/>
      <c r="Q44" s="81"/>
    </row>
    <row r="45" spans="1:18" ht="41.45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IF(Inicial!P44="SI",Inicial!E44,"N/A")</f>
        <v>N/A</v>
      </c>
      <c r="F45" s="52" t="str">
        <f>IF(Inicial!P44="SI",Inicial!F44,"N/A")</f>
        <v>N/A</v>
      </c>
      <c r="G45" s="52" t="str">
        <f>IF(Inicial!P44="SI",Inicial!G44,"N/A")</f>
        <v>N/A</v>
      </c>
      <c r="H45" s="52" t="str">
        <f>IF(Inicial!P44="SI",Inicial!H44,"N/A")</f>
        <v>N/A</v>
      </c>
      <c r="I45" s="63" t="str">
        <f>IF(Inicial!P44="SI",Inicial!I44,"N/A")</f>
        <v>N/A</v>
      </c>
      <c r="J45" s="81"/>
      <c r="K45" s="81"/>
      <c r="L45" s="81"/>
      <c r="M45" s="81"/>
      <c r="N45" s="81"/>
      <c r="O45" s="81"/>
      <c r="P45" s="81"/>
      <c r="Q45" s="81"/>
    </row>
    <row r="46" spans="1:18" ht="27.6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IF(Inicial!P45="SI",Inicial!E45,"N/A")</f>
        <v>N/A</v>
      </c>
      <c r="F46" s="52" t="str">
        <f>IF(Inicial!P45="SI",Inicial!F45,"N/A")</f>
        <v>N/A</v>
      </c>
      <c r="G46" s="52" t="str">
        <f>IF(Inicial!P45="SI",Inicial!G45,"N/A")</f>
        <v>N/A</v>
      </c>
      <c r="H46" s="52" t="str">
        <f>IF(Inicial!P45="SI",Inicial!H45,"N/A")</f>
        <v>N/A</v>
      </c>
      <c r="I46" s="63" t="str">
        <f>IF(Inicial!P45="SI",Inicial!I45,"N/A")</f>
        <v>N/A</v>
      </c>
      <c r="J46" s="81"/>
      <c r="K46" s="81"/>
      <c r="L46" s="81"/>
      <c r="M46" s="81"/>
      <c r="N46" s="81"/>
      <c r="O46" s="81"/>
      <c r="P46" s="81"/>
      <c r="Q46" s="81"/>
    </row>
    <row r="47" spans="1:18" ht="41.45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IF(Inicial!P46="SI",Inicial!E46,"N/A")</f>
        <v>N/A</v>
      </c>
      <c r="F47" s="52" t="str">
        <f>IF(Inicial!P46="SI",Inicial!F46,"N/A")</f>
        <v>N/A</v>
      </c>
      <c r="G47" s="52" t="str">
        <f>IF(Inicial!P46="SI",Inicial!G46,"N/A")</f>
        <v>N/A</v>
      </c>
      <c r="H47" s="52" t="str">
        <f>IF(Inicial!P46="SI",Inicial!H46,"N/A")</f>
        <v>N/A</v>
      </c>
      <c r="I47" s="63" t="str">
        <f>IF(Inicial!P46="SI",Inicial!I46,"N/A")</f>
        <v>N/A</v>
      </c>
      <c r="J47" s="81"/>
      <c r="K47" s="81"/>
      <c r="L47" s="81"/>
      <c r="M47" s="81"/>
      <c r="N47" s="81"/>
      <c r="O47" s="81"/>
      <c r="P47" s="81"/>
      <c r="Q47" s="81"/>
    </row>
    <row r="48" spans="1:18" ht="27.6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IF(Inicial!P47="SI",Inicial!E47,"N/A")</f>
        <v>N/A</v>
      </c>
      <c r="F48" s="52" t="str">
        <f>IF(Inicial!P47="SI",Inicial!F47,"N/A")</f>
        <v>N/A</v>
      </c>
      <c r="G48" s="52" t="str">
        <f>IF(Inicial!P47="SI",Inicial!G47,"N/A")</f>
        <v>N/A</v>
      </c>
      <c r="H48" s="52" t="str">
        <f>IF(Inicial!P47="SI",Inicial!H47,"N/A")</f>
        <v>N/A</v>
      </c>
      <c r="I48" s="63" t="str">
        <f>IF(Inicial!P47="SI",Inicial!I47,"N/A")</f>
        <v>N/A</v>
      </c>
      <c r="J48" s="81"/>
      <c r="K48" s="81"/>
      <c r="L48" s="81"/>
      <c r="M48" s="81"/>
      <c r="N48" s="81"/>
      <c r="O48" s="81"/>
      <c r="P48" s="81"/>
      <c r="Q48" s="81"/>
    </row>
    <row r="49" spans="1:17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IF(Inicial!P48="SI",Inicial!E48,"N/A")</f>
        <v>N/A</v>
      </c>
      <c r="F49" s="52" t="str">
        <f>IF(Inicial!P48="SI",Inicial!F48,"N/A")</f>
        <v>N/A</v>
      </c>
      <c r="G49" s="52" t="str">
        <f>IF(Inicial!P48="SI",Inicial!G48,"N/A")</f>
        <v>N/A</v>
      </c>
      <c r="H49" s="52" t="str">
        <f>IF(Inicial!P48="SI",Inicial!H48,"N/A")</f>
        <v>N/A</v>
      </c>
      <c r="I49" s="63" t="str">
        <f>IF(Inicial!P48="SI",Inicial!I48,"N/A")</f>
        <v>N/A</v>
      </c>
      <c r="J49" s="81"/>
      <c r="K49" s="81"/>
      <c r="L49" s="81"/>
      <c r="M49" s="81"/>
      <c r="N49" s="81"/>
      <c r="O49" s="81"/>
      <c r="P49" s="81"/>
      <c r="Q49" s="81"/>
    </row>
    <row r="50" spans="1:17" ht="27.6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IF(Inicial!P49="SI",Inicial!E49,"N/A")</f>
        <v>N/A</v>
      </c>
      <c r="F50" s="52" t="str">
        <f>IF(Inicial!P49="SI",Inicial!F49,"N/A")</f>
        <v>N/A</v>
      </c>
      <c r="G50" s="52" t="str">
        <f>IF(Inicial!P49="SI",Inicial!G49,"N/A")</f>
        <v>N/A</v>
      </c>
      <c r="H50" s="52" t="str">
        <f>IF(Inicial!P49="SI",Inicial!H49,"N/A")</f>
        <v>N/A</v>
      </c>
      <c r="I50" s="63" t="str">
        <f>IF(Inicial!P49="SI",Inicial!I49,"N/A")</f>
        <v>N/A</v>
      </c>
      <c r="J50" s="81"/>
      <c r="K50" s="81"/>
      <c r="L50" s="81"/>
      <c r="M50" s="81"/>
      <c r="N50" s="81"/>
      <c r="O50" s="81"/>
      <c r="P50" s="81"/>
      <c r="Q50" s="81"/>
    </row>
    <row r="51" spans="1:17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63" t="e">
        <f>IF(Inicial!#REF!="SI",Inicial!#REF!,"N/A")</f>
        <v>#REF!</v>
      </c>
      <c r="J51" s="81"/>
      <c r="K51" s="81"/>
      <c r="L51" s="81"/>
      <c r="M51" s="81"/>
      <c r="N51" s="81"/>
      <c r="O51" s="81"/>
      <c r="P51" s="81"/>
      <c r="Q51" s="81"/>
    </row>
    <row r="52" spans="1:17">
      <c r="A52" s="51" t="e">
        <f>Inicial!#REF!</f>
        <v>#REF!</v>
      </c>
      <c r="B52" s="52" t="e">
        <f>Inicial!#REF!</f>
        <v>#REF!</v>
      </c>
      <c r="C52" s="52" t="e">
        <f>Inicial!#REF!</f>
        <v>#REF!</v>
      </c>
      <c r="D52" s="53" t="e">
        <f>Inicial!#REF!</f>
        <v>#REF!</v>
      </c>
      <c r="E52" s="51" t="e">
        <f>IF(Inicial!#REF!="SI",Inicial!#REF!,"N/A")</f>
        <v>#REF!</v>
      </c>
      <c r="F52" s="52" t="e">
        <f>IF(Inicial!#REF!="SI",Inicial!#REF!,"N/A")</f>
        <v>#REF!</v>
      </c>
      <c r="G52" s="52" t="e">
        <f>IF(Inicial!#REF!="SI",Inicial!#REF!,"N/A")</f>
        <v>#REF!</v>
      </c>
      <c r="H52" s="52" t="e">
        <f>IF(Inicial!#REF!="SI",Inicial!#REF!,"N/A")</f>
        <v>#REF!</v>
      </c>
      <c r="I52" s="63" t="e">
        <f>IF(Inicial!#REF!="SI",Inicial!#REF!,"N/A")</f>
        <v>#REF!</v>
      </c>
      <c r="J52" s="81"/>
      <c r="K52" s="81"/>
      <c r="L52" s="81"/>
      <c r="M52" s="81"/>
      <c r="N52" s="81"/>
      <c r="O52" s="81"/>
      <c r="P52" s="81"/>
      <c r="Q52" s="81"/>
    </row>
    <row r="53" spans="1:17">
      <c r="A53" s="51">
        <f>Inicial!A50</f>
        <v>48</v>
      </c>
      <c r="B53" s="52" t="str">
        <f>Inicial!B50</f>
        <v>Procesos</v>
      </c>
      <c r="C53" s="52" t="str">
        <f>Inicial!C50</f>
        <v>Mesanina</v>
      </c>
      <c r="D53" s="53" t="str">
        <f>Inicial!D50</f>
        <v>Recolgado</v>
      </c>
      <c r="E53" s="51" t="str">
        <f>IF(Inicial!P50="SI",Inicial!E50,"N/A")</f>
        <v>N/A</v>
      </c>
      <c r="F53" s="52" t="str">
        <f>IF(Inicial!P50="SI",Inicial!F50,"N/A")</f>
        <v>N/A</v>
      </c>
      <c r="G53" s="52" t="str">
        <f>IF(Inicial!P50="SI",Inicial!G50,"N/A")</f>
        <v>N/A</v>
      </c>
      <c r="H53" s="52" t="str">
        <f>IF(Inicial!P50="SI",Inicial!H50,"N/A")</f>
        <v>N/A</v>
      </c>
      <c r="I53" s="63" t="str">
        <f>IF(Inicial!P50="SI",Inicial!I50,"N/A")</f>
        <v>N/A</v>
      </c>
      <c r="J53" s="81"/>
      <c r="K53" s="81"/>
      <c r="L53" s="81"/>
      <c r="M53" s="81"/>
      <c r="N53" s="81"/>
      <c r="O53" s="81"/>
      <c r="P53" s="81"/>
      <c r="Q53" s="81"/>
    </row>
    <row r="54" spans="1:17">
      <c r="A54" s="51" t="e">
        <f>Inicial!#REF!</f>
        <v>#REF!</v>
      </c>
      <c r="B54" s="52" t="e">
        <f>Inicial!#REF!</f>
        <v>#REF!</v>
      </c>
      <c r="C54" s="52" t="e">
        <f>Inicial!#REF!</f>
        <v>#REF!</v>
      </c>
      <c r="D54" s="53" t="e">
        <f>Inicial!#REF!</f>
        <v>#REF!</v>
      </c>
      <c r="E54" s="51" t="e">
        <f>IF(Inicial!#REF!="SI",Inicial!#REF!,"N/A")</f>
        <v>#REF!</v>
      </c>
      <c r="F54" s="52" t="e">
        <f>IF(Inicial!#REF!="SI",Inicial!#REF!,"N/A")</f>
        <v>#REF!</v>
      </c>
      <c r="G54" s="52" t="e">
        <f>IF(Inicial!#REF!="SI",Inicial!#REF!,"N/A")</f>
        <v>#REF!</v>
      </c>
      <c r="H54" s="52" t="e">
        <f>IF(Inicial!#REF!="SI",Inicial!#REF!,"N/A")</f>
        <v>#REF!</v>
      </c>
      <c r="I54" s="63" t="e">
        <f>IF(Inicial!#REF!="SI",Inicial!#REF!,"N/A")</f>
        <v>#REF!</v>
      </c>
      <c r="J54" s="81"/>
      <c r="K54" s="81"/>
      <c r="L54" s="81"/>
      <c r="M54" s="81"/>
      <c r="N54" s="81"/>
      <c r="O54" s="81"/>
      <c r="P54" s="81"/>
      <c r="Q54" s="81"/>
    </row>
    <row r="55" spans="1:17">
      <c r="A55" s="51">
        <f>Inicial!A51</f>
        <v>49</v>
      </c>
      <c r="B55" s="52" t="str">
        <f>Inicial!B51</f>
        <v>Procesos</v>
      </c>
      <c r="C55" s="52" t="str">
        <f>Inicial!C51</f>
        <v>Trozado</v>
      </c>
      <c r="D55" s="53" t="str">
        <f>Inicial!D51</f>
        <v>Tranferidor</v>
      </c>
      <c r="E55" s="51" t="str">
        <f>IF(Inicial!P51="SI",Inicial!E51,"N/A")</f>
        <v>N/A</v>
      </c>
      <c r="F55" s="52" t="str">
        <f>IF(Inicial!P51="SI",Inicial!F51,"N/A")</f>
        <v>N/A</v>
      </c>
      <c r="G55" s="52" t="str">
        <f>IF(Inicial!P51="SI",Inicial!G51,"N/A")</f>
        <v>N/A</v>
      </c>
      <c r="H55" s="52" t="str">
        <f>IF(Inicial!P51="SI",Inicial!H51,"N/A")</f>
        <v>N/A</v>
      </c>
      <c r="I55" s="63" t="str">
        <f>IF(Inicial!P51="SI",Inicial!I51,"N/A")</f>
        <v>N/A</v>
      </c>
      <c r="J55" s="81"/>
      <c r="K55" s="81"/>
      <c r="L55" s="81"/>
      <c r="M55" s="81"/>
      <c r="N55" s="81"/>
      <c r="O55" s="81"/>
      <c r="P55" s="81"/>
      <c r="Q55" s="81"/>
    </row>
    <row r="56" spans="1:17">
      <c r="A56" s="51">
        <f>Inicial!A52</f>
        <v>50</v>
      </c>
      <c r="B56" s="52" t="str">
        <f>Inicial!B52</f>
        <v>Procesos</v>
      </c>
      <c r="C56" s="52" t="str">
        <f>Inicial!C52</f>
        <v>Trozado</v>
      </c>
      <c r="D56" s="53" t="str">
        <f>Inicial!D52</f>
        <v>Transpaletero</v>
      </c>
      <c r="E56" s="51" t="str">
        <f>IF(Inicial!P52="SI",Inicial!E52,"N/A")</f>
        <v>N/A</v>
      </c>
      <c r="F56" s="52" t="str">
        <f>IF(Inicial!P52="SI",Inicial!F52,"N/A")</f>
        <v>N/A</v>
      </c>
      <c r="G56" s="52" t="str">
        <f>IF(Inicial!P52="SI",Inicial!G52,"N/A")</f>
        <v>N/A</v>
      </c>
      <c r="H56" s="52" t="str">
        <f>IF(Inicial!P52="SI",Inicial!H52,"N/A")</f>
        <v>N/A</v>
      </c>
      <c r="I56" s="63" t="str">
        <f>IF(Inicial!P52="SI",Inicial!I52,"N/A")</f>
        <v>N/A</v>
      </c>
      <c r="J56" s="81"/>
      <c r="K56" s="81"/>
      <c r="L56" s="81"/>
      <c r="M56" s="81"/>
      <c r="N56" s="81"/>
      <c r="O56" s="81"/>
      <c r="P56" s="81"/>
      <c r="Q56" s="81"/>
    </row>
    <row r="57" spans="1:17">
      <c r="A57" s="51">
        <f>Inicial!A53</f>
        <v>51</v>
      </c>
      <c r="B57" s="52" t="str">
        <f>Inicial!B53</f>
        <v>Procesos</v>
      </c>
      <c r="C57" s="52" t="str">
        <f>Inicial!C53</f>
        <v>Trozado L2</v>
      </c>
      <c r="D57" s="53" t="str">
        <f>Inicial!D53</f>
        <v>Trozado manual</v>
      </c>
      <c r="E57" s="51" t="str">
        <f>IF(Inicial!P53="SI",Inicial!E53,"N/A")</f>
        <v>N/A</v>
      </c>
      <c r="F57" s="52" t="str">
        <f>IF(Inicial!P53="SI",Inicial!F53,"N/A")</f>
        <v>N/A</v>
      </c>
      <c r="G57" s="52" t="str">
        <f>IF(Inicial!P53="SI",Inicial!G53,"N/A")</f>
        <v>N/A</v>
      </c>
      <c r="H57" s="52" t="str">
        <f>IF(Inicial!P53="SI",Inicial!H53,"N/A")</f>
        <v>N/A</v>
      </c>
      <c r="I57" s="63" t="str">
        <f>IF(Inicial!P53="SI",Inicial!I53,"N/A")</f>
        <v>N/A</v>
      </c>
      <c r="J57" s="81"/>
      <c r="K57" s="81"/>
      <c r="L57" s="81"/>
      <c r="M57" s="81"/>
      <c r="N57" s="81"/>
      <c r="O57" s="81"/>
      <c r="P57" s="81"/>
      <c r="Q57" s="81"/>
    </row>
    <row r="58" spans="1:17">
      <c r="A58" s="51">
        <f>Inicial!A54</f>
        <v>52</v>
      </c>
      <c r="B58" s="52" t="str">
        <f>Inicial!B54</f>
        <v>Procesos</v>
      </c>
      <c r="C58" s="52" t="str">
        <f>Inicial!C54</f>
        <v>Trozado</v>
      </c>
      <c r="D58" s="53" t="str">
        <f>Inicial!D54</f>
        <v>Maquinista</v>
      </c>
      <c r="E58" s="51" t="str">
        <f>IF(Inicial!P54="SI",Inicial!E54,"N/A")</f>
        <v>N/A</v>
      </c>
      <c r="F58" s="52" t="str">
        <f>IF(Inicial!P54="SI",Inicial!F54,"N/A")</f>
        <v>N/A</v>
      </c>
      <c r="G58" s="52" t="str">
        <f>IF(Inicial!P54="SI",Inicial!G54,"N/A")</f>
        <v>N/A</v>
      </c>
      <c r="H58" s="52" t="str">
        <f>IF(Inicial!P54="SI",Inicial!H54,"N/A")</f>
        <v>N/A</v>
      </c>
      <c r="I58" s="63" t="str">
        <f>IF(Inicial!P54="SI",Inicial!I54,"N/A")</f>
        <v>N/A</v>
      </c>
      <c r="J58" s="81"/>
      <c r="K58" s="81"/>
      <c r="L58" s="81"/>
      <c r="M58" s="81"/>
      <c r="N58" s="81"/>
      <c r="O58" s="81"/>
      <c r="P58" s="81"/>
      <c r="Q58" s="81"/>
    </row>
    <row r="59" spans="1:17">
      <c r="A59" s="51">
        <f>Inicial!A55</f>
        <v>53</v>
      </c>
      <c r="B59" s="52" t="str">
        <f>Inicial!B55</f>
        <v>Procesos</v>
      </c>
      <c r="C59" s="52" t="str">
        <f>Inicial!C55</f>
        <v>Trozado</v>
      </c>
      <c r="D59" s="53" t="str">
        <f>Inicial!D55</f>
        <v>Fechado</v>
      </c>
      <c r="E59" s="51" t="str">
        <f>IF(Inicial!P55="SI",Inicial!E55,"N/A")</f>
        <v>N/A</v>
      </c>
      <c r="F59" s="52" t="str">
        <f>IF(Inicial!P55="SI",Inicial!F55,"N/A")</f>
        <v>N/A</v>
      </c>
      <c r="G59" s="52" t="str">
        <f>IF(Inicial!P55="SI",Inicial!G55,"N/A")</f>
        <v>N/A</v>
      </c>
      <c r="H59" s="52" t="str">
        <f>IF(Inicial!P55="SI",Inicial!H55,"N/A")</f>
        <v>N/A</v>
      </c>
      <c r="I59" s="63" t="str">
        <f>IF(Inicial!P55="SI",Inicial!I55,"N/A")</f>
        <v>N/A</v>
      </c>
      <c r="J59" s="81"/>
      <c r="K59" s="81"/>
      <c r="L59" s="81"/>
      <c r="M59" s="81"/>
      <c r="N59" s="81"/>
      <c r="O59" s="81"/>
      <c r="P59" s="81"/>
      <c r="Q59" s="81"/>
    </row>
    <row r="60" spans="1:17">
      <c r="A60" s="51" t="e">
        <f>Inicial!#REF!</f>
        <v>#REF!</v>
      </c>
      <c r="B60" s="52" t="e">
        <f>Inicial!#REF!</f>
        <v>#REF!</v>
      </c>
      <c r="C60" s="52" t="e">
        <f>Inicial!#REF!</f>
        <v>#REF!</v>
      </c>
      <c r="D60" s="53" t="e">
        <f>Inicial!#REF!</f>
        <v>#REF!</v>
      </c>
      <c r="E60" s="51" t="e">
        <f>IF(Inicial!#REF!="SI",Inicial!#REF!,"N/A")</f>
        <v>#REF!</v>
      </c>
      <c r="F60" s="52" t="e">
        <f>IF(Inicial!#REF!="SI",Inicial!#REF!,"N/A")</f>
        <v>#REF!</v>
      </c>
      <c r="G60" s="52" t="e">
        <f>IF(Inicial!#REF!="SI",Inicial!#REF!,"N/A")</f>
        <v>#REF!</v>
      </c>
      <c r="H60" s="52" t="e">
        <f>IF(Inicial!#REF!="SI",Inicial!#REF!,"N/A")</f>
        <v>#REF!</v>
      </c>
      <c r="I60" s="63" t="e">
        <f>IF(Inicial!#REF!="SI",Inicial!#REF!,"N/A")</f>
        <v>#REF!</v>
      </c>
      <c r="J60" s="81"/>
      <c r="K60" s="81"/>
      <c r="L60" s="81"/>
      <c r="M60" s="81"/>
      <c r="N60" s="81"/>
      <c r="O60" s="81"/>
      <c r="P60" s="81"/>
      <c r="Q60" s="81"/>
    </row>
    <row r="61" spans="1:17" ht="27.6">
      <c r="A61" s="51">
        <f>Inicial!A56</f>
        <v>54</v>
      </c>
      <c r="B61" s="52" t="str">
        <f>Inicial!B56</f>
        <v>Procesos</v>
      </c>
      <c r="C61" s="52" t="str">
        <f>Inicial!C56</f>
        <v>Trozado L1</v>
      </c>
      <c r="D61" s="53" t="str">
        <f>Inicial!D56</f>
        <v>Embalado pollo personal</v>
      </c>
      <c r="E61" s="51" t="str">
        <f>IF(Inicial!P56="SI",Inicial!E56,"N/A")</f>
        <v>N/A</v>
      </c>
      <c r="F61" s="52" t="str">
        <f>IF(Inicial!P56="SI",Inicial!F56,"N/A")</f>
        <v>N/A</v>
      </c>
      <c r="G61" s="52" t="str">
        <f>IF(Inicial!P56="SI",Inicial!G56,"N/A")</f>
        <v>N/A</v>
      </c>
      <c r="H61" s="52" t="str">
        <f>IF(Inicial!P56="SI",Inicial!H56,"N/A")</f>
        <v>N/A</v>
      </c>
      <c r="I61" s="63" t="str">
        <f>IF(Inicial!P56="SI",Inicial!I56,"N/A")</f>
        <v>N/A</v>
      </c>
      <c r="J61" s="81"/>
      <c r="K61" s="81"/>
      <c r="L61" s="81"/>
      <c r="M61" s="81"/>
      <c r="N61" s="81"/>
      <c r="O61" s="81"/>
      <c r="P61" s="81"/>
      <c r="Q61" s="81"/>
    </row>
    <row r="62" spans="1:17">
      <c r="A62" s="51">
        <f>Inicial!A57</f>
        <v>55</v>
      </c>
      <c r="B62" s="52" t="str">
        <f>Inicial!B57</f>
        <v>Procesos</v>
      </c>
      <c r="C62" s="52" t="str">
        <f>Inicial!C57</f>
        <v>Trozado</v>
      </c>
      <c r="D62" s="53" t="str">
        <f>Inicial!D57</f>
        <v>Programador</v>
      </c>
      <c r="E62" s="51" t="str">
        <f>IF(Inicial!P57="SI",Inicial!E57,"N/A")</f>
        <v>N/A</v>
      </c>
      <c r="F62" s="52" t="str">
        <f>IF(Inicial!P57="SI",Inicial!F57,"N/A")</f>
        <v>N/A</v>
      </c>
      <c r="G62" s="52" t="str">
        <f>IF(Inicial!P57="SI",Inicial!G57,"N/A")</f>
        <v>N/A</v>
      </c>
      <c r="H62" s="52" t="str">
        <f>IF(Inicial!P57="SI",Inicial!H57,"N/A")</f>
        <v>N/A</v>
      </c>
      <c r="I62" s="63" t="str">
        <f>IF(Inicial!P57="SI",Inicial!I57,"N/A")</f>
        <v>N/A</v>
      </c>
      <c r="J62" s="81"/>
      <c r="K62" s="81"/>
      <c r="L62" s="81"/>
      <c r="M62" s="81"/>
      <c r="N62" s="81"/>
      <c r="O62" s="81"/>
      <c r="P62" s="81"/>
      <c r="Q62" s="81"/>
    </row>
    <row r="63" spans="1:17">
      <c r="A63" s="51">
        <f>Inicial!A58</f>
        <v>56</v>
      </c>
      <c r="B63" s="52" t="str">
        <f>Inicial!B58</f>
        <v>Procesos</v>
      </c>
      <c r="C63" s="52" t="str">
        <f>Inicial!C58</f>
        <v>Trozado L5</v>
      </c>
      <c r="D63" s="53" t="str">
        <f>Inicial!D58</f>
        <v>Vacio espinazo</v>
      </c>
      <c r="E63" s="51" t="str">
        <f>IF(Inicial!P58="SI",Inicial!E58,"N/A")</f>
        <v>N/A</v>
      </c>
      <c r="F63" s="52" t="str">
        <f>IF(Inicial!P58="SI",Inicial!F58,"N/A")</f>
        <v>N/A</v>
      </c>
      <c r="G63" s="52" t="str">
        <f>IF(Inicial!P58="SI",Inicial!G58,"N/A")</f>
        <v>N/A</v>
      </c>
      <c r="H63" s="52" t="str">
        <f>IF(Inicial!P58="SI",Inicial!H58,"N/A")</f>
        <v>N/A</v>
      </c>
      <c r="I63" s="63" t="str">
        <f>IF(Inicial!P58="SI",Inicial!I58,"N/A")</f>
        <v>N/A</v>
      </c>
      <c r="J63" s="81"/>
      <c r="K63" s="81"/>
      <c r="L63" s="81"/>
      <c r="M63" s="81"/>
      <c r="N63" s="81"/>
      <c r="O63" s="81"/>
      <c r="P63" s="81"/>
      <c r="Q63" s="81"/>
    </row>
    <row r="64" spans="1:17" ht="27.6">
      <c r="A64" s="51">
        <f>Inicial!A59</f>
        <v>57</v>
      </c>
      <c r="B64" s="52" t="str">
        <f>Inicial!B59</f>
        <v>Procesos</v>
      </c>
      <c r="C64" s="52" t="str">
        <f>Inicial!C59</f>
        <v>Trozado L5</v>
      </c>
      <c r="D64" s="53" t="str">
        <f>Inicial!D59</f>
        <v>Vacio punta espinazo</v>
      </c>
      <c r="E64" s="51" t="str">
        <f>IF(Inicial!P59="SI",Inicial!E59,"N/A")</f>
        <v>N/A</v>
      </c>
      <c r="F64" s="52" t="str">
        <f>IF(Inicial!P59="SI",Inicial!F59,"N/A")</f>
        <v>N/A</v>
      </c>
      <c r="G64" s="52" t="str">
        <f>IF(Inicial!P59="SI",Inicial!G59,"N/A")</f>
        <v>N/A</v>
      </c>
      <c r="H64" s="52" t="str">
        <f>IF(Inicial!P59="SI",Inicial!H59,"N/A")</f>
        <v>N/A</v>
      </c>
      <c r="I64" s="63" t="str">
        <f>IF(Inicial!P59="SI",Inicial!I59,"N/A")</f>
        <v>N/A</v>
      </c>
      <c r="J64" s="81"/>
      <c r="K64" s="81"/>
      <c r="L64" s="81"/>
      <c r="M64" s="81"/>
      <c r="N64" s="81"/>
      <c r="O64" s="81"/>
      <c r="P64" s="81"/>
      <c r="Q64" s="81"/>
    </row>
    <row r="65" spans="1:17" ht="27.6">
      <c r="A65" s="51">
        <f>Inicial!A60</f>
        <v>58</v>
      </c>
      <c r="B65" s="52" t="str">
        <f>Inicial!B60</f>
        <v>Procesos</v>
      </c>
      <c r="C65" s="52" t="str">
        <f>Inicial!C60</f>
        <v>Trozado</v>
      </c>
      <c r="D65" s="53" t="str">
        <f>Inicial!D60</f>
        <v>Trozado manual cazuela</v>
      </c>
      <c r="E65" s="51" t="str">
        <f>IF(Inicial!P60="SI",Inicial!E60,"N/A")</f>
        <v>N/A</v>
      </c>
      <c r="F65" s="52" t="str">
        <f>IF(Inicial!P60="SI",Inicial!F60,"N/A")</f>
        <v>N/A</v>
      </c>
      <c r="G65" s="52" t="str">
        <f>IF(Inicial!P60="SI",Inicial!G60,"N/A")</f>
        <v>N/A</v>
      </c>
      <c r="H65" s="52" t="str">
        <f>IF(Inicial!P60="SI",Inicial!H60,"N/A")</f>
        <v>N/A</v>
      </c>
      <c r="I65" s="63" t="str">
        <f>IF(Inicial!P60="SI",Inicial!I60,"N/A")</f>
        <v>N/A</v>
      </c>
      <c r="J65" s="81"/>
      <c r="K65" s="81"/>
      <c r="L65" s="81"/>
      <c r="M65" s="81"/>
      <c r="N65" s="81"/>
      <c r="O65" s="81"/>
      <c r="P65" s="81"/>
      <c r="Q65" s="81"/>
    </row>
    <row r="66" spans="1:17">
      <c r="A66" s="51" t="e">
        <f>Inicial!#REF!</f>
        <v>#REF!</v>
      </c>
      <c r="B66" s="52" t="e">
        <f>Inicial!#REF!</f>
        <v>#REF!</v>
      </c>
      <c r="C66" s="52" t="e">
        <f>Inicial!#REF!</f>
        <v>#REF!</v>
      </c>
      <c r="D66" s="53" t="e">
        <f>Inicial!#REF!</f>
        <v>#REF!</v>
      </c>
      <c r="E66" s="51" t="e">
        <f>IF(Inicial!#REF!="SI",Inicial!#REF!,"N/A")</f>
        <v>#REF!</v>
      </c>
      <c r="F66" s="52" t="e">
        <f>IF(Inicial!#REF!="SI",Inicial!#REF!,"N/A")</f>
        <v>#REF!</v>
      </c>
      <c r="G66" s="52" t="e">
        <f>IF(Inicial!#REF!="SI",Inicial!#REF!,"N/A")</f>
        <v>#REF!</v>
      </c>
      <c r="H66" s="52" t="e">
        <f>IF(Inicial!#REF!="SI",Inicial!#REF!,"N/A")</f>
        <v>#REF!</v>
      </c>
      <c r="I66" s="63" t="e">
        <f>IF(Inicial!#REF!="SI",Inicial!#REF!,"N/A")</f>
        <v>#REF!</v>
      </c>
      <c r="J66" s="81"/>
      <c r="K66" s="81"/>
      <c r="L66" s="81"/>
      <c r="M66" s="81"/>
      <c r="N66" s="81"/>
      <c r="O66" s="81"/>
      <c r="P66" s="81"/>
      <c r="Q66" s="81"/>
    </row>
    <row r="67" spans="1:17" ht="27.6">
      <c r="A67" s="51">
        <f>Inicial!A61</f>
        <v>59</v>
      </c>
      <c r="B67" s="52" t="str">
        <f>Inicial!B61</f>
        <v>Procesos</v>
      </c>
      <c r="C67" s="52" t="str">
        <f>Inicial!C61</f>
        <v>Trozado L5</v>
      </c>
      <c r="D67" s="53" t="str">
        <f>Inicial!D61</f>
        <v>Traslado de Decomiso</v>
      </c>
      <c r="E67" s="51" t="str">
        <f>IF(Inicial!P61="SI",Inicial!E61,"N/A")</f>
        <v>N/A</v>
      </c>
      <c r="F67" s="52" t="str">
        <f>IF(Inicial!P61="SI",Inicial!F61,"N/A")</f>
        <v>N/A</v>
      </c>
      <c r="G67" s="52" t="str">
        <f>IF(Inicial!P61="SI",Inicial!G61,"N/A")</f>
        <v>N/A</v>
      </c>
      <c r="H67" s="52" t="str">
        <f>IF(Inicial!P61="SI",Inicial!H61,"N/A")</f>
        <v>N/A</v>
      </c>
      <c r="I67" s="63" t="str">
        <f>IF(Inicial!P61="SI",Inicial!I61,"N/A")</f>
        <v>N/A</v>
      </c>
      <c r="J67" s="81"/>
      <c r="K67" s="81"/>
      <c r="L67" s="81"/>
      <c r="M67" s="81"/>
      <c r="N67" s="81"/>
      <c r="O67" s="81"/>
      <c r="P67" s="81"/>
      <c r="Q67" s="81"/>
    </row>
    <row r="68" spans="1:17" ht="27.6">
      <c r="A68" s="51">
        <f>Inicial!A62</f>
        <v>60</v>
      </c>
      <c r="B68" s="52" t="str">
        <f>Inicial!B62</f>
        <v>Procesos</v>
      </c>
      <c r="C68" s="52" t="str">
        <f>Inicial!C62</f>
        <v>Trozado L5</v>
      </c>
      <c r="D68" s="53" t="str">
        <f>Inicial!D62</f>
        <v>Selección centro ala</v>
      </c>
      <c r="E68" s="51" t="str">
        <f>IF(Inicial!P62="SI",Inicial!E62,"N/A")</f>
        <v>N/A</v>
      </c>
      <c r="F68" s="52" t="str">
        <f>IF(Inicial!P62="SI",Inicial!F62,"N/A")</f>
        <v>N/A</v>
      </c>
      <c r="G68" s="52" t="str">
        <f>IF(Inicial!P62="SI",Inicial!G62,"N/A")</f>
        <v>N/A</v>
      </c>
      <c r="H68" s="52" t="str">
        <f>IF(Inicial!P62="SI",Inicial!H62,"N/A")</f>
        <v>N/A</v>
      </c>
      <c r="I68" s="63" t="str">
        <f>IF(Inicial!P62="SI",Inicial!I62,"N/A")</f>
        <v>N/A</v>
      </c>
      <c r="J68" s="81"/>
      <c r="K68" s="81"/>
      <c r="L68" s="81"/>
      <c r="M68" s="81"/>
      <c r="N68" s="81"/>
      <c r="O68" s="81"/>
      <c r="P68" s="81"/>
      <c r="Q68" s="81"/>
    </row>
    <row r="69" spans="1:17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63" t="e">
        <f>IF(Inicial!#REF!="SI",Inicial!#REF!,"N/A")</f>
        <v>#REF!</v>
      </c>
      <c r="J69" s="81"/>
      <c r="K69" s="81"/>
      <c r="L69" s="81"/>
      <c r="M69" s="81"/>
      <c r="N69" s="81"/>
      <c r="O69" s="81"/>
      <c r="P69" s="81"/>
      <c r="Q69" s="81"/>
    </row>
    <row r="70" spans="1:17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63" t="e">
        <f>IF(Inicial!#REF!="SI",Inicial!#REF!,"N/A")</f>
        <v>#REF!</v>
      </c>
      <c r="J70" s="81"/>
      <c r="K70" s="81"/>
      <c r="L70" s="81"/>
      <c r="M70" s="81"/>
      <c r="N70" s="81"/>
      <c r="O70" s="81"/>
      <c r="P70" s="81"/>
      <c r="Q70" s="81"/>
    </row>
    <row r="71" spans="1:17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63" t="e">
        <f>IF(Inicial!#REF!="SI",Inicial!#REF!,"N/A")</f>
        <v>#REF!</v>
      </c>
      <c r="J71" s="81"/>
      <c r="K71" s="81"/>
      <c r="L71" s="81"/>
      <c r="M71" s="81"/>
      <c r="N71" s="81"/>
      <c r="O71" s="81"/>
      <c r="P71" s="81"/>
      <c r="Q71" s="81"/>
    </row>
    <row r="72" spans="1:17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63" t="e">
        <f>IF(Inicial!#REF!="SI",Inicial!#REF!,"N/A")</f>
        <v>#REF!</v>
      </c>
      <c r="J72" s="81"/>
      <c r="K72" s="81"/>
      <c r="L72" s="81"/>
      <c r="M72" s="81"/>
      <c r="N72" s="81"/>
      <c r="O72" s="81"/>
      <c r="P72" s="81"/>
      <c r="Q72" s="81"/>
    </row>
    <row r="73" spans="1:17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63" t="e">
        <f>IF(Inicial!#REF!="SI",Inicial!#REF!,"N/A")</f>
        <v>#REF!</v>
      </c>
      <c r="J73" s="81"/>
      <c r="K73" s="81"/>
      <c r="L73" s="81"/>
      <c r="M73" s="81"/>
      <c r="N73" s="81"/>
      <c r="O73" s="81"/>
      <c r="P73" s="81"/>
      <c r="Q73" s="81"/>
    </row>
    <row r="74" spans="1:17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63" t="e">
        <f>IF(Inicial!#REF!="SI",Inicial!#REF!,"N/A")</f>
        <v>#REF!</v>
      </c>
      <c r="J74" s="81"/>
      <c r="K74" s="81"/>
      <c r="L74" s="81"/>
      <c r="M74" s="81"/>
      <c r="N74" s="81"/>
      <c r="O74" s="81"/>
      <c r="P74" s="81"/>
      <c r="Q74" s="81"/>
    </row>
    <row r="75" spans="1:17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63" t="e">
        <f>IF(Inicial!#REF!="SI",Inicial!#REF!,"N/A")</f>
        <v>#REF!</v>
      </c>
      <c r="J75" s="81"/>
      <c r="K75" s="81"/>
      <c r="L75" s="81"/>
      <c r="M75" s="81"/>
      <c r="N75" s="81"/>
      <c r="O75" s="81"/>
      <c r="P75" s="81"/>
      <c r="Q75" s="81"/>
    </row>
    <row r="76" spans="1:17">
      <c r="A76" s="51" t="e">
        <f>Inicial!#REF!</f>
        <v>#REF!</v>
      </c>
      <c r="B76" s="52" t="e">
        <f>Inicial!#REF!</f>
        <v>#REF!</v>
      </c>
      <c r="C76" s="52" t="e">
        <f>Inicial!#REF!</f>
        <v>#REF!</v>
      </c>
      <c r="D76" s="53" t="e">
        <f>Inicial!#REF!</f>
        <v>#REF!</v>
      </c>
      <c r="E76" s="51" t="e">
        <f>IF(Inicial!#REF!="SI",Inicial!#REF!,"N/A")</f>
        <v>#REF!</v>
      </c>
      <c r="F76" s="52" t="e">
        <f>IF(Inicial!#REF!="SI",Inicial!#REF!,"N/A")</f>
        <v>#REF!</v>
      </c>
      <c r="G76" s="52" t="e">
        <f>IF(Inicial!#REF!="SI",Inicial!#REF!,"N/A")</f>
        <v>#REF!</v>
      </c>
      <c r="H76" s="52" t="e">
        <f>IF(Inicial!#REF!="SI",Inicial!#REF!,"N/A")</f>
        <v>#REF!</v>
      </c>
      <c r="I76" s="63" t="e">
        <f>IF(Inicial!#REF!="SI",Inicial!#REF!,"N/A")</f>
        <v>#REF!</v>
      </c>
      <c r="J76" s="81"/>
      <c r="K76" s="81"/>
      <c r="L76" s="81"/>
      <c r="M76" s="81"/>
      <c r="N76" s="81"/>
      <c r="O76" s="81"/>
      <c r="P76" s="81"/>
      <c r="Q76" s="81"/>
    </row>
    <row r="77" spans="1:17">
      <c r="A77" s="51" t="e">
        <f>Inicial!#REF!</f>
        <v>#REF!</v>
      </c>
      <c r="B77" s="52" t="e">
        <f>Inicial!#REF!</f>
        <v>#REF!</v>
      </c>
      <c r="C77" s="52" t="e">
        <f>Inicial!#REF!</f>
        <v>#REF!</v>
      </c>
      <c r="D77" s="53" t="e">
        <f>Inicial!#REF!</f>
        <v>#REF!</v>
      </c>
      <c r="E77" s="51" t="e">
        <f>IF(Inicial!#REF!="SI",Inicial!#REF!,"N/A")</f>
        <v>#REF!</v>
      </c>
      <c r="F77" s="52" t="e">
        <f>IF(Inicial!#REF!="SI",Inicial!#REF!,"N/A")</f>
        <v>#REF!</v>
      </c>
      <c r="G77" s="52" t="e">
        <f>IF(Inicial!#REF!="SI",Inicial!#REF!,"N/A")</f>
        <v>#REF!</v>
      </c>
      <c r="H77" s="52" t="e">
        <f>IF(Inicial!#REF!="SI",Inicial!#REF!,"N/A")</f>
        <v>#REF!</v>
      </c>
      <c r="I77" s="63" t="e">
        <f>IF(Inicial!#REF!="SI",Inicial!#REF!,"N/A")</f>
        <v>#REF!</v>
      </c>
      <c r="J77" s="81"/>
      <c r="K77" s="81"/>
      <c r="L77" s="81"/>
      <c r="M77" s="81"/>
      <c r="N77" s="81"/>
      <c r="O77" s="81"/>
      <c r="P77" s="81"/>
      <c r="Q77" s="81"/>
    </row>
    <row r="78" spans="1:17">
      <c r="A78" s="51" t="e">
        <f>Inicial!#REF!</f>
        <v>#REF!</v>
      </c>
      <c r="B78" s="52" t="e">
        <f>Inicial!#REF!</f>
        <v>#REF!</v>
      </c>
      <c r="C78" s="52" t="e">
        <f>Inicial!#REF!</f>
        <v>#REF!</v>
      </c>
      <c r="D78" s="53" t="e">
        <f>Inicial!#REF!</f>
        <v>#REF!</v>
      </c>
      <c r="E78" s="51" t="e">
        <f>IF(Inicial!#REF!="SI",Inicial!#REF!,"N/A")</f>
        <v>#REF!</v>
      </c>
      <c r="F78" s="52" t="e">
        <f>IF(Inicial!#REF!="SI",Inicial!#REF!,"N/A")</f>
        <v>#REF!</v>
      </c>
      <c r="G78" s="52" t="e">
        <f>IF(Inicial!#REF!="SI",Inicial!#REF!,"N/A")</f>
        <v>#REF!</v>
      </c>
      <c r="H78" s="52" t="e">
        <f>IF(Inicial!#REF!="SI",Inicial!#REF!,"N/A")</f>
        <v>#REF!</v>
      </c>
      <c r="I78" s="63" t="e">
        <f>IF(Inicial!#REF!="SI",Inicial!#REF!,"N/A")</f>
        <v>#REF!</v>
      </c>
      <c r="J78" s="81"/>
      <c r="K78" s="81"/>
      <c r="L78" s="81"/>
      <c r="M78" s="81"/>
      <c r="N78" s="81"/>
      <c r="O78" s="81"/>
      <c r="P78" s="81"/>
      <c r="Q78" s="81"/>
    </row>
    <row r="79" spans="1:17" ht="27.6">
      <c r="A79" s="51">
        <f>Inicial!A63</f>
        <v>61</v>
      </c>
      <c r="B79" s="52" t="str">
        <f>Inicial!B63</f>
        <v>Procesos</v>
      </c>
      <c r="C79" s="52" t="str">
        <f>Inicial!C63</f>
        <v>Trozado L5</v>
      </c>
      <c r="D79" s="53" t="str">
        <f>Inicial!D63</f>
        <v xml:space="preserve">Selección trutro ala </v>
      </c>
      <c r="E79" s="51" t="str">
        <f>IF(Inicial!P63="SI",Inicial!E63,"N/A")</f>
        <v>N/A</v>
      </c>
      <c r="F79" s="52" t="str">
        <f>IF(Inicial!P63="SI",Inicial!F63,"N/A")</f>
        <v>N/A</v>
      </c>
      <c r="G79" s="52" t="str">
        <f>IF(Inicial!P63="SI",Inicial!G63,"N/A")</f>
        <v>N/A</v>
      </c>
      <c r="H79" s="52" t="str">
        <f>IF(Inicial!P63="SI",Inicial!H63,"N/A")</f>
        <v>N/A</v>
      </c>
      <c r="I79" s="63" t="str">
        <f>IF(Inicial!P63="SI",Inicial!I63,"N/A")</f>
        <v>N/A</v>
      </c>
      <c r="J79" s="81"/>
      <c r="K79" s="81"/>
      <c r="L79" s="81"/>
      <c r="M79" s="81"/>
      <c r="N79" s="81"/>
      <c r="O79" s="81"/>
      <c r="P79" s="81"/>
      <c r="Q79" s="81"/>
    </row>
    <row r="80" spans="1:17" ht="27.6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63" t="e">
        <f>IF(Inicial!#REF!="SI",Inicial!#REF!,"N/A")</f>
        <v>#REF!</v>
      </c>
      <c r="J80" s="81"/>
      <c r="K80" s="81"/>
      <c r="L80" s="81"/>
      <c r="M80" s="81"/>
      <c r="N80" s="81"/>
      <c r="O80" s="81"/>
      <c r="P80" s="81"/>
      <c r="Q80" s="81"/>
    </row>
    <row r="81" spans="1:17">
      <c r="A81" s="51">
        <f>Inicial!A64</f>
        <v>62</v>
      </c>
      <c r="B81" s="52" t="str">
        <f>Inicial!B64</f>
        <v>Procesos</v>
      </c>
      <c r="C81" s="52" t="str">
        <f>Inicial!C64</f>
        <v>Trozado L5</v>
      </c>
      <c r="D81" s="53" t="str">
        <f>Inicial!D64</f>
        <v>Mezclas</v>
      </c>
      <c r="E81" s="51" t="str">
        <f>IF(Inicial!P64="SI",Inicial!E64,"N/A")</f>
        <v>N/A</v>
      </c>
      <c r="F81" s="52" t="str">
        <f>IF(Inicial!P64="SI",Inicial!F64,"N/A")</f>
        <v>N/A</v>
      </c>
      <c r="G81" s="52" t="str">
        <f>IF(Inicial!P64="SI",Inicial!G64,"N/A")</f>
        <v>N/A</v>
      </c>
      <c r="H81" s="52" t="str">
        <f>IF(Inicial!P64="SI",Inicial!H64,"N/A")</f>
        <v>N/A</v>
      </c>
      <c r="I81" s="63" t="str">
        <f>IF(Inicial!P64="SI",Inicial!I64,"N/A")</f>
        <v>N/A</v>
      </c>
      <c r="J81" s="81"/>
      <c r="K81" s="81"/>
      <c r="L81" s="81"/>
      <c r="M81" s="81"/>
      <c r="N81" s="81"/>
      <c r="O81" s="81"/>
      <c r="P81" s="81"/>
      <c r="Q81" s="81"/>
    </row>
    <row r="82" spans="1:17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63" t="e">
        <f>IF(Inicial!#REF!="SI",Inicial!#REF!,"N/A")</f>
        <v>#REF!</v>
      </c>
      <c r="J82" s="81"/>
      <c r="K82" s="81"/>
      <c r="L82" s="81"/>
      <c r="M82" s="81"/>
      <c r="N82" s="81"/>
      <c r="O82" s="81"/>
      <c r="P82" s="81"/>
      <c r="Q82" s="81"/>
    </row>
    <row r="83" spans="1:17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63" t="e">
        <f>IF(Inicial!#REF!="SI",Inicial!#REF!,"N/A")</f>
        <v>#REF!</v>
      </c>
      <c r="J83" s="81"/>
      <c r="K83" s="81"/>
      <c r="L83" s="81"/>
      <c r="M83" s="81"/>
      <c r="N83" s="81"/>
      <c r="O83" s="81"/>
      <c r="P83" s="81"/>
      <c r="Q83" s="81"/>
    </row>
    <row r="84" spans="1:17">
      <c r="A84" s="51" t="e">
        <f>Inicial!#REF!</f>
        <v>#REF!</v>
      </c>
      <c r="B84" s="52" t="e">
        <f>Inicial!#REF!</f>
        <v>#REF!</v>
      </c>
      <c r="C84" s="52" t="e">
        <f>Inicial!#REF!</f>
        <v>#REF!</v>
      </c>
      <c r="D84" s="53" t="e">
        <f>Inicial!#REF!</f>
        <v>#REF!</v>
      </c>
      <c r="E84" s="51" t="e">
        <f>IF(Inicial!#REF!="SI",Inicial!#REF!,"N/A")</f>
        <v>#REF!</v>
      </c>
      <c r="F84" s="52" t="e">
        <f>IF(Inicial!#REF!="SI",Inicial!#REF!,"N/A")</f>
        <v>#REF!</v>
      </c>
      <c r="G84" s="52" t="e">
        <f>IF(Inicial!#REF!="SI",Inicial!#REF!,"N/A")</f>
        <v>#REF!</v>
      </c>
      <c r="H84" s="52" t="e">
        <f>IF(Inicial!#REF!="SI",Inicial!#REF!,"N/A")</f>
        <v>#REF!</v>
      </c>
      <c r="I84" s="63" t="e">
        <f>IF(Inicial!#REF!="SI",Inicial!#REF!,"N/A")</f>
        <v>#REF!</v>
      </c>
      <c r="J84" s="81"/>
      <c r="K84" s="81"/>
      <c r="L84" s="81"/>
      <c r="M84" s="81"/>
      <c r="N84" s="81"/>
      <c r="O84" s="81"/>
      <c r="P84" s="81"/>
      <c r="Q84" s="81"/>
    </row>
    <row r="85" spans="1:17">
      <c r="A85" s="51" t="e">
        <f>Inicial!#REF!</f>
        <v>#REF!</v>
      </c>
      <c r="B85" s="52" t="e">
        <f>Inicial!#REF!</f>
        <v>#REF!</v>
      </c>
      <c r="C85" s="52" t="e">
        <f>Inicial!#REF!</f>
        <v>#REF!</v>
      </c>
      <c r="D85" s="53" t="e">
        <f>Inicial!#REF!</f>
        <v>#REF!</v>
      </c>
      <c r="E85" s="51" t="e">
        <f>IF(Inicial!#REF!="SI",Inicial!#REF!,"N/A")</f>
        <v>#REF!</v>
      </c>
      <c r="F85" s="52" t="e">
        <f>IF(Inicial!#REF!="SI",Inicial!#REF!,"N/A")</f>
        <v>#REF!</v>
      </c>
      <c r="G85" s="52" t="e">
        <f>IF(Inicial!#REF!="SI",Inicial!#REF!,"N/A")</f>
        <v>#REF!</v>
      </c>
      <c r="H85" s="52" t="e">
        <f>IF(Inicial!#REF!="SI",Inicial!#REF!,"N/A")</f>
        <v>#REF!</v>
      </c>
      <c r="I85" s="63" t="e">
        <f>IF(Inicial!#REF!="SI",Inicial!#REF!,"N/A")</f>
        <v>#REF!</v>
      </c>
      <c r="J85" s="81"/>
      <c r="K85" s="81"/>
      <c r="L85" s="81"/>
      <c r="M85" s="81"/>
      <c r="N85" s="81"/>
      <c r="O85" s="81"/>
      <c r="P85" s="81"/>
      <c r="Q85" s="81"/>
    </row>
    <row r="86" spans="1:17">
      <c r="A86" s="51" t="e">
        <f>Inicial!#REF!</f>
        <v>#REF!</v>
      </c>
      <c r="B86" s="52" t="e">
        <f>Inicial!#REF!</f>
        <v>#REF!</v>
      </c>
      <c r="C86" s="52" t="e">
        <f>Inicial!#REF!</f>
        <v>#REF!</v>
      </c>
      <c r="D86" s="53" t="e">
        <f>Inicial!#REF!</f>
        <v>#REF!</v>
      </c>
      <c r="E86" s="51" t="e">
        <f>IF(Inicial!#REF!="SI",Inicial!#REF!,"N/A")</f>
        <v>#REF!</v>
      </c>
      <c r="F86" s="52" t="e">
        <f>IF(Inicial!#REF!="SI",Inicial!#REF!,"N/A")</f>
        <v>#REF!</v>
      </c>
      <c r="G86" s="52" t="e">
        <f>IF(Inicial!#REF!="SI",Inicial!#REF!,"N/A")</f>
        <v>#REF!</v>
      </c>
      <c r="H86" s="52" t="e">
        <f>IF(Inicial!#REF!="SI",Inicial!#REF!,"N/A")</f>
        <v>#REF!</v>
      </c>
      <c r="I86" s="63" t="e">
        <f>IF(Inicial!#REF!="SI",Inicial!#REF!,"N/A")</f>
        <v>#REF!</v>
      </c>
      <c r="J86" s="81"/>
      <c r="K86" s="81"/>
      <c r="L86" s="81"/>
      <c r="M86" s="81"/>
      <c r="N86" s="81"/>
      <c r="O86" s="81"/>
      <c r="P86" s="81"/>
      <c r="Q86" s="81"/>
    </row>
    <row r="87" spans="1:17" ht="27.6">
      <c r="A87" s="51">
        <f>Inicial!A65</f>
        <v>63</v>
      </c>
      <c r="B87" s="52" t="str">
        <f>Inicial!B65</f>
        <v>Procesos</v>
      </c>
      <c r="C87" s="52" t="str">
        <f>Inicial!C65</f>
        <v>Paletizado Fresco</v>
      </c>
      <c r="D87" s="53" t="str">
        <f>Inicial!D65</f>
        <v>Embalaje de producto</v>
      </c>
      <c r="E87" s="51" t="str">
        <f>IF(Inicial!P65="SI",Inicial!E65,"N/A")</f>
        <v>N/A</v>
      </c>
      <c r="F87" s="52" t="str">
        <f>IF(Inicial!P65="SI",Inicial!F65,"N/A")</f>
        <v>N/A</v>
      </c>
      <c r="G87" s="52" t="str">
        <f>IF(Inicial!P65="SI",Inicial!G65,"N/A")</f>
        <v>N/A</v>
      </c>
      <c r="H87" s="52" t="str">
        <f>IF(Inicial!P65="SI",Inicial!H65,"N/A")</f>
        <v>N/A</v>
      </c>
      <c r="I87" s="63" t="str">
        <f>IF(Inicial!P65="SI",Inicial!I65,"N/A")</f>
        <v>N/A</v>
      </c>
      <c r="J87" s="81"/>
      <c r="K87" s="81"/>
      <c r="L87" s="81"/>
      <c r="M87" s="81"/>
      <c r="N87" s="81"/>
      <c r="O87" s="81"/>
      <c r="P87" s="81"/>
      <c r="Q87" s="81"/>
    </row>
    <row r="88" spans="1:17" ht="27.6">
      <c r="A88" s="51">
        <f>Inicial!A66</f>
        <v>64</v>
      </c>
      <c r="B88" s="52" t="str">
        <f>Inicial!B66</f>
        <v>Procesos</v>
      </c>
      <c r="C88" s="52" t="str">
        <f>Inicial!C66</f>
        <v>Deshuesado Trutro</v>
      </c>
      <c r="D88" s="53" t="str">
        <f>Inicial!D66</f>
        <v>Despieladora</v>
      </c>
      <c r="E88" s="51" t="str">
        <f>IF(Inicial!P66="SI",Inicial!E66,"N/A")</f>
        <v>N/A</v>
      </c>
      <c r="F88" s="52" t="str">
        <f>IF(Inicial!P66="SI",Inicial!F66,"N/A")</f>
        <v>N/A</v>
      </c>
      <c r="G88" s="52" t="str">
        <f>IF(Inicial!P66="SI",Inicial!G66,"N/A")</f>
        <v>N/A</v>
      </c>
      <c r="H88" s="52" t="str">
        <f>IF(Inicial!P66="SI",Inicial!H66,"N/A")</f>
        <v>N/A</v>
      </c>
      <c r="I88" s="63" t="str">
        <f>IF(Inicial!P66="SI",Inicial!I66,"N/A")</f>
        <v>N/A</v>
      </c>
      <c r="J88" s="81"/>
      <c r="K88" s="81"/>
      <c r="L88" s="81"/>
      <c r="M88" s="81"/>
      <c r="N88" s="81"/>
      <c r="O88" s="81"/>
      <c r="P88" s="81"/>
      <c r="Q88" s="81"/>
    </row>
    <row r="89" spans="1:17" ht="27.6">
      <c r="A89" s="51">
        <f>Inicial!A67</f>
        <v>65</v>
      </c>
      <c r="B89" s="52" t="str">
        <f>Inicial!B67</f>
        <v>Procesos</v>
      </c>
      <c r="C89" s="52" t="str">
        <f>Inicial!C67</f>
        <v>Deshuesado Trutro</v>
      </c>
      <c r="D89" s="53" t="str">
        <f>Inicial!D67</f>
        <v>Colgado Trutro</v>
      </c>
      <c r="E89" s="51" t="str">
        <f>IF(Inicial!P67="SI",Inicial!E67,"N/A")</f>
        <v>N/A</v>
      </c>
      <c r="F89" s="52" t="str">
        <f>IF(Inicial!P67="SI",Inicial!F67,"N/A")</f>
        <v>N/A</v>
      </c>
      <c r="G89" s="52" t="str">
        <f>IF(Inicial!P67="SI",Inicial!G67,"N/A")</f>
        <v>N/A</v>
      </c>
      <c r="H89" s="52" t="str">
        <f>IF(Inicial!P67="SI",Inicial!H67,"N/A")</f>
        <v>N/A</v>
      </c>
      <c r="I89" s="63" t="str">
        <f>IF(Inicial!P67="SI",Inicial!I67,"N/A")</f>
        <v>N/A</v>
      </c>
      <c r="J89" s="81"/>
      <c r="K89" s="81"/>
      <c r="L89" s="81"/>
      <c r="M89" s="81"/>
      <c r="N89" s="81"/>
      <c r="O89" s="81"/>
      <c r="P89" s="81"/>
      <c r="Q89" s="81"/>
    </row>
    <row r="90" spans="1:17" ht="27.6">
      <c r="A90" s="51">
        <f>Inicial!A68</f>
        <v>66</v>
      </c>
      <c r="B90" s="52" t="str">
        <f>Inicial!B68</f>
        <v>Procesos</v>
      </c>
      <c r="C90" s="52" t="str">
        <f>Inicial!C68</f>
        <v>Deshuesado Trutro</v>
      </c>
      <c r="D90" s="53" t="str">
        <f>Inicial!D68</f>
        <v>Prolijado</v>
      </c>
      <c r="E90" s="51" t="str">
        <f>IF(Inicial!P68="SI",Inicial!E68,"N/A")</f>
        <v>N/A</v>
      </c>
      <c r="F90" s="52" t="str">
        <f>IF(Inicial!P68="SI",Inicial!F68,"N/A")</f>
        <v>N/A</v>
      </c>
      <c r="G90" s="52" t="str">
        <f>IF(Inicial!P68="SI",Inicial!G68,"N/A")</f>
        <v>N/A</v>
      </c>
      <c r="H90" s="52" t="str">
        <f>IF(Inicial!P68="SI",Inicial!H68,"N/A")</f>
        <v>N/A</v>
      </c>
      <c r="I90" s="63" t="str">
        <f>IF(Inicial!P68="SI",Inicial!I68,"N/A")</f>
        <v>N/A</v>
      </c>
      <c r="J90" s="81"/>
      <c r="K90" s="81"/>
      <c r="L90" s="81"/>
      <c r="M90" s="81"/>
      <c r="N90" s="81"/>
      <c r="O90" s="81"/>
      <c r="P90" s="81"/>
      <c r="Q90" s="81"/>
    </row>
    <row r="91" spans="1:17" ht="27.6">
      <c r="A91" s="51">
        <f>Inicial!A69</f>
        <v>67</v>
      </c>
      <c r="B91" s="52" t="str">
        <f>Inicial!B69</f>
        <v>Procesos</v>
      </c>
      <c r="C91" s="52" t="str">
        <f>Inicial!C69</f>
        <v>Deshuesado Trutro</v>
      </c>
      <c r="D91" s="53" t="str">
        <f>Inicial!D69</f>
        <v>Revision de trutro</v>
      </c>
      <c r="E91" s="51" t="str">
        <f>IF(Inicial!P69="SI",Inicial!E69,"N/A")</f>
        <v>N/A</v>
      </c>
      <c r="F91" s="52" t="str">
        <f>IF(Inicial!P69="SI",Inicial!F69,"N/A")</f>
        <v>N/A</v>
      </c>
      <c r="G91" s="52" t="str">
        <f>IF(Inicial!P69="SI",Inicial!G69,"N/A")</f>
        <v>N/A</v>
      </c>
      <c r="H91" s="52" t="str">
        <f>IF(Inicial!P69="SI",Inicial!H69,"N/A")</f>
        <v>N/A</v>
      </c>
      <c r="I91" s="63" t="str">
        <f>IF(Inicial!P69="SI",Inicial!I69,"N/A")</f>
        <v>N/A</v>
      </c>
      <c r="J91" s="81"/>
      <c r="K91" s="81"/>
      <c r="L91" s="81"/>
      <c r="M91" s="81"/>
      <c r="N91" s="81"/>
      <c r="O91" s="81"/>
      <c r="P91" s="81"/>
      <c r="Q91" s="81"/>
    </row>
    <row r="92" spans="1:17">
      <c r="A92" s="51">
        <f>Inicial!A70</f>
        <v>68</v>
      </c>
      <c r="B92" s="52" t="str">
        <f>Inicial!B70</f>
        <v>Procesos</v>
      </c>
      <c r="C92" s="52" t="str">
        <f>Inicial!C70</f>
        <v>Deshuesado Trutro</v>
      </c>
      <c r="D92" s="53" t="str">
        <f>Inicial!D70</f>
        <v>Deshuesado Trutro</v>
      </c>
      <c r="E92" s="51" t="str">
        <f>IF(Inicial!P70="SI",Inicial!E70,"N/A")</f>
        <v>N/A</v>
      </c>
      <c r="F92" s="52" t="str">
        <f>IF(Inicial!P70="SI",Inicial!F70,"N/A")</f>
        <v>N/A</v>
      </c>
      <c r="G92" s="52" t="str">
        <f>IF(Inicial!P70="SI",Inicial!G70,"N/A")</f>
        <v>N/A</v>
      </c>
      <c r="H92" s="52" t="str">
        <f>IF(Inicial!P70="SI",Inicial!H70,"N/A")</f>
        <v>N/A</v>
      </c>
      <c r="I92" s="63" t="str">
        <f>IF(Inicial!P70="SI",Inicial!I70,"N/A")</f>
        <v>N/A</v>
      </c>
      <c r="J92" s="81"/>
      <c r="K92" s="81"/>
      <c r="L92" s="81"/>
      <c r="M92" s="81"/>
      <c r="N92" s="81"/>
      <c r="O92" s="81"/>
      <c r="P92" s="81"/>
      <c r="Q92" s="81"/>
    </row>
    <row r="93" spans="1:17">
      <c r="A93" s="51">
        <f>Inicial!A71</f>
        <v>0</v>
      </c>
      <c r="B93" s="52">
        <f>Inicial!B71</f>
        <v>0</v>
      </c>
      <c r="C93" s="52">
        <f>Inicial!C71</f>
        <v>0</v>
      </c>
      <c r="D93" s="53">
        <f>Inicial!D71</f>
        <v>0</v>
      </c>
      <c r="E93" s="51" t="str">
        <f>IF(Inicial!P71="SI",Inicial!E71,"N/A")</f>
        <v>N/A</v>
      </c>
      <c r="F93" s="52" t="str">
        <f>IF(Inicial!P71="SI",Inicial!F71,"N/A")</f>
        <v>N/A</v>
      </c>
      <c r="G93" s="52" t="str">
        <f>IF(Inicial!P71="SI",Inicial!G71,"N/A")</f>
        <v>N/A</v>
      </c>
      <c r="H93" s="52" t="str">
        <f>IF(Inicial!P71="SI",Inicial!H71,"N/A")</f>
        <v>N/A</v>
      </c>
      <c r="I93" s="63" t="str">
        <f>IF(Inicial!P71="SI",Inicial!I71,"N/A")</f>
        <v>N/A</v>
      </c>
      <c r="J93" s="81"/>
      <c r="K93" s="81"/>
      <c r="L93" s="81"/>
      <c r="M93" s="81"/>
      <c r="N93" s="81"/>
      <c r="O93" s="81"/>
      <c r="P93" s="81"/>
      <c r="Q93" s="81"/>
    </row>
    <row r="94" spans="1:17">
      <c r="A94" s="51">
        <f>Inicial!A72</f>
        <v>0</v>
      </c>
      <c r="B94" s="52">
        <f>Inicial!B72</f>
        <v>0</v>
      </c>
      <c r="C94" s="52">
        <f>Inicial!C72</f>
        <v>0</v>
      </c>
      <c r="D94" s="53">
        <f>Inicial!D72</f>
        <v>0</v>
      </c>
      <c r="E94" s="51" t="str">
        <f>IF(Inicial!P72="SI",Inicial!E72,"N/A")</f>
        <v>N/A</v>
      </c>
      <c r="F94" s="52" t="str">
        <f>IF(Inicial!P72="SI",Inicial!F72,"N/A")</f>
        <v>N/A</v>
      </c>
      <c r="G94" s="52" t="str">
        <f>IF(Inicial!P72="SI",Inicial!G72,"N/A")</f>
        <v>N/A</v>
      </c>
      <c r="H94" s="52" t="str">
        <f>IF(Inicial!P72="SI",Inicial!H72,"N/A")</f>
        <v>N/A</v>
      </c>
      <c r="I94" s="63" t="str">
        <f>IF(Inicial!P72="SI",Inicial!I72,"N/A")</f>
        <v>N/A</v>
      </c>
      <c r="J94" s="81"/>
      <c r="K94" s="81"/>
      <c r="L94" s="81"/>
      <c r="M94" s="81"/>
      <c r="N94" s="81"/>
      <c r="O94" s="81"/>
      <c r="P94" s="81"/>
      <c r="Q94" s="81"/>
    </row>
    <row r="95" spans="1:17">
      <c r="A95" s="51">
        <f>Inicial!A73</f>
        <v>0</v>
      </c>
      <c r="B95" s="52">
        <f>Inicial!B73</f>
        <v>0</v>
      </c>
      <c r="C95" s="52">
        <f>Inicial!C73</f>
        <v>0</v>
      </c>
      <c r="D95" s="53">
        <f>Inicial!D73</f>
        <v>0</v>
      </c>
      <c r="E95" s="51" t="str">
        <f>IF(Inicial!P73="SI",Inicial!E73,"N/A")</f>
        <v>N/A</v>
      </c>
      <c r="F95" s="52" t="str">
        <f>IF(Inicial!P73="SI",Inicial!F73,"N/A")</f>
        <v>N/A</v>
      </c>
      <c r="G95" s="52" t="str">
        <f>IF(Inicial!P73="SI",Inicial!G73,"N/A")</f>
        <v>N/A</v>
      </c>
      <c r="H95" s="52" t="str">
        <f>IF(Inicial!P73="SI",Inicial!H73,"N/A")</f>
        <v>N/A</v>
      </c>
      <c r="I95" s="63" t="str">
        <f>IF(Inicial!P73="SI",Inicial!I73,"N/A")</f>
        <v>N/A</v>
      </c>
      <c r="J95" s="81"/>
      <c r="K95" s="81"/>
      <c r="L95" s="81"/>
      <c r="M95" s="81"/>
      <c r="N95" s="81"/>
      <c r="O95" s="81"/>
      <c r="P95" s="81"/>
      <c r="Q95" s="81"/>
    </row>
    <row r="96" spans="1:17">
      <c r="A96" s="51"/>
      <c r="B96" s="52"/>
      <c r="C96" s="52"/>
      <c r="D96" s="53"/>
      <c r="E96" s="51"/>
      <c r="F96" s="52"/>
      <c r="G96" s="52"/>
      <c r="H96" s="52"/>
      <c r="I96" s="63"/>
      <c r="J96" s="81"/>
      <c r="K96" s="81"/>
      <c r="L96" s="81"/>
      <c r="M96" s="81"/>
      <c r="N96" s="81"/>
      <c r="O96" s="81"/>
      <c r="P96" s="81"/>
      <c r="Q96" s="81"/>
    </row>
    <row r="97" spans="1:17">
      <c r="A97" s="51"/>
      <c r="B97" s="52"/>
      <c r="C97" s="52"/>
      <c r="D97" s="53"/>
      <c r="E97" s="51"/>
      <c r="F97" s="52"/>
      <c r="G97" s="52"/>
      <c r="H97" s="52"/>
      <c r="I97" s="63"/>
      <c r="J97" s="81"/>
      <c r="K97" s="81"/>
      <c r="L97" s="81"/>
      <c r="M97" s="81"/>
      <c r="N97" s="81"/>
      <c r="O97" s="81"/>
      <c r="P97" s="81"/>
      <c r="Q97" s="81"/>
    </row>
    <row r="98" spans="1:17">
      <c r="A98" s="51"/>
      <c r="B98" s="52"/>
      <c r="C98" s="52"/>
      <c r="D98" s="53"/>
      <c r="E98" s="51"/>
      <c r="F98" s="52"/>
      <c r="G98" s="52"/>
      <c r="H98" s="52"/>
      <c r="I98" s="63"/>
      <c r="J98" s="81"/>
      <c r="K98" s="81"/>
      <c r="L98" s="81"/>
      <c r="M98" s="81"/>
      <c r="N98" s="81"/>
      <c r="O98" s="81"/>
      <c r="P98" s="81"/>
      <c r="Q98" s="81"/>
    </row>
    <row r="99" spans="1:17">
      <c r="A99" s="51"/>
      <c r="B99" s="52"/>
      <c r="C99" s="52"/>
      <c r="D99" s="53"/>
      <c r="E99" s="51"/>
      <c r="F99" s="52"/>
      <c r="G99" s="52"/>
      <c r="H99" s="52"/>
      <c r="I99" s="63"/>
      <c r="J99" s="81"/>
      <c r="K99" s="81"/>
      <c r="L99" s="81"/>
      <c r="M99" s="81"/>
      <c r="N99" s="81"/>
      <c r="O99" s="81"/>
      <c r="P99" s="81"/>
      <c r="Q99" s="81"/>
    </row>
    <row r="100" spans="1:17">
      <c r="A100" s="51"/>
      <c r="B100" s="52"/>
      <c r="C100" s="52"/>
      <c r="D100" s="53"/>
      <c r="E100" s="51"/>
      <c r="F100" s="52"/>
      <c r="G100" s="52"/>
      <c r="H100" s="52"/>
      <c r="I100" s="63"/>
    </row>
    <row r="101" spans="1:17">
      <c r="A101" s="51"/>
      <c r="B101" s="52"/>
      <c r="C101" s="52"/>
      <c r="D101" s="53"/>
      <c r="E101" s="51"/>
      <c r="F101" s="52"/>
      <c r="G101" s="52"/>
      <c r="H101" s="52"/>
      <c r="I101" s="63"/>
    </row>
    <row r="102" spans="1:17">
      <c r="A102" s="51"/>
      <c r="B102" s="52"/>
      <c r="C102" s="52"/>
      <c r="D102" s="53"/>
      <c r="E102" s="51"/>
      <c r="F102" s="52"/>
      <c r="G102" s="52"/>
      <c r="H102" s="52"/>
      <c r="I102" s="63"/>
    </row>
    <row r="103" spans="1:17">
      <c r="A103" s="51"/>
      <c r="B103" s="52"/>
      <c r="C103" s="52"/>
      <c r="D103" s="53"/>
      <c r="E103" s="51"/>
      <c r="F103" s="52"/>
      <c r="G103" s="52"/>
      <c r="H103" s="52"/>
      <c r="I103" s="63"/>
    </row>
    <row r="104" spans="1:17">
      <c r="A104" s="51"/>
      <c r="B104" s="52"/>
      <c r="C104" s="52"/>
      <c r="D104" s="53"/>
      <c r="E104" s="51"/>
      <c r="F104" s="52"/>
      <c r="G104" s="52"/>
      <c r="H104" s="52"/>
      <c r="I104" s="63"/>
    </row>
    <row r="105" spans="1:17">
      <c r="A105" s="51"/>
      <c r="B105" s="52"/>
      <c r="C105" s="52"/>
      <c r="D105" s="53"/>
      <c r="E105" s="51"/>
      <c r="F105" s="52"/>
      <c r="G105" s="52"/>
      <c r="H105" s="52"/>
      <c r="I105" s="63"/>
    </row>
    <row r="106" spans="1:17">
      <c r="A106" s="51"/>
      <c r="B106" s="52"/>
      <c r="C106" s="52"/>
      <c r="D106" s="53"/>
      <c r="E106" s="51"/>
      <c r="F106" s="52"/>
      <c r="G106" s="52"/>
      <c r="H106" s="52"/>
      <c r="I106" s="63"/>
    </row>
    <row r="107" spans="1:17">
      <c r="A107" s="51"/>
      <c r="B107" s="52"/>
      <c r="C107" s="52"/>
      <c r="D107" s="53"/>
      <c r="E107" s="51"/>
      <c r="F107" s="52"/>
      <c r="G107" s="52"/>
      <c r="H107" s="52"/>
      <c r="I107" s="63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15" priority="3" operator="equal">
      <formula>"SI"</formula>
    </cfRule>
    <cfRule type="cellIs" dxfId="14" priority="4" operator="equal">
      <formula>"NO"</formula>
    </cfRule>
  </conditionalFormatting>
  <conditionalFormatting sqref="R3">
    <cfRule type="cellIs" dxfId="13" priority="1" operator="equal">
      <formula>"No Aceptable"</formula>
    </cfRule>
  </conditionalFormatting>
  <conditionalFormatting sqref="R3:R21">
    <cfRule type="cellIs" dxfId="12" priority="2" operator="equal">
      <formula>"Aceptable"</formula>
    </cfRule>
  </conditionalFormatting>
  <conditionalFormatting sqref="R3:U3 W3 R4:R21">
    <cfRule type="cellIs" dxfId="11" priority="11" operator="equal">
      <formula>"NO"</formula>
    </cfRule>
    <cfRule type="cellIs" dxfId="10" priority="12" operator="equal">
      <formula>"SI"</formula>
    </cfRule>
  </conditionalFormatting>
  <conditionalFormatting sqref="X3:AM3">
    <cfRule type="cellIs" dxfId="9" priority="7" operator="equal">
      <formula>"No Aceptable"</formula>
    </cfRule>
    <cfRule type="cellIs" dxfId="8" priority="8" operator="equal">
      <formula>"Aceptable"</formula>
    </cfRule>
  </conditionalFormatting>
  <conditionalFormatting sqref="AN3">
    <cfRule type="cellIs" dxfId="7" priority="5" operator="equal">
      <formula>"No Critico"</formula>
    </cfRule>
    <cfRule type="cellIs" dxfId="6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R22:R35" xr:uid="{51208079-784F-4A32-9422-114CBF3532A6}">
      <formula1>"SI,NO,N/A"</formula1>
    </dataValidation>
    <dataValidation type="list" allowBlank="1" showInputMessage="1" showErrorMessage="1" sqref="J3:Q99" xr:uid="{02453FFD-BED0-4508-9166-D0FB768CAC83}">
      <formula1>"SI,NO"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0"/>
  <sheetViews>
    <sheetView workbookViewId="0">
      <pane xSplit="9" ySplit="2" topLeftCell="K3" activePane="bottomRight" state="frozen"/>
      <selection pane="bottomRight" activeCell="K2" sqref="K2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57" t="s">
        <v>528</v>
      </c>
      <c r="B1" s="157"/>
      <c r="C1" s="157"/>
      <c r="D1" s="157"/>
      <c r="E1" s="157"/>
      <c r="F1" s="134" t="s">
        <v>306</v>
      </c>
      <c r="G1" s="134"/>
      <c r="H1" s="134" t="s">
        <v>307</v>
      </c>
      <c r="I1" s="134"/>
      <c r="J1" s="155" t="s">
        <v>529</v>
      </c>
      <c r="K1" s="155"/>
      <c r="L1" s="155"/>
      <c r="M1" s="155"/>
      <c r="N1" s="155"/>
      <c r="O1" s="155"/>
      <c r="P1" s="155"/>
      <c r="Q1" s="155"/>
      <c r="R1" s="155"/>
      <c r="S1" s="155"/>
      <c r="T1" s="156"/>
      <c r="U1" s="79" t="s">
        <v>391</v>
      </c>
      <c r="V1" s="147" t="s">
        <v>310</v>
      </c>
      <c r="W1" s="148"/>
      <c r="X1" s="148"/>
      <c r="Y1" s="148"/>
      <c r="Z1" s="148"/>
      <c r="AA1" s="149"/>
    </row>
    <row r="2" spans="1:27" ht="88.15" customHeight="1">
      <c r="A2" s="8" t="s">
        <v>35</v>
      </c>
      <c r="B2" s="9" t="s">
        <v>36</v>
      </c>
      <c r="C2" s="9" t="s">
        <v>37</v>
      </c>
      <c r="D2" s="9" t="s">
        <v>38</v>
      </c>
      <c r="E2" s="9" t="s">
        <v>40</v>
      </c>
      <c r="F2" s="9" t="s">
        <v>311</v>
      </c>
      <c r="G2" s="9" t="s">
        <v>312</v>
      </c>
      <c r="H2" s="9" t="s">
        <v>313</v>
      </c>
      <c r="I2" s="9" t="s">
        <v>314</v>
      </c>
      <c r="J2" s="85" t="s">
        <v>530</v>
      </c>
      <c r="K2" s="85" t="s">
        <v>531</v>
      </c>
      <c r="L2" s="85" t="s">
        <v>532</v>
      </c>
      <c r="M2" s="85" t="s">
        <v>533</v>
      </c>
      <c r="N2" s="85" t="s">
        <v>534</v>
      </c>
      <c r="O2" s="85" t="s">
        <v>535</v>
      </c>
      <c r="P2" s="85" t="s">
        <v>536</v>
      </c>
      <c r="Q2" s="85" t="s">
        <v>537</v>
      </c>
      <c r="R2" s="85" t="s">
        <v>538</v>
      </c>
      <c r="S2" s="85" t="s">
        <v>539</v>
      </c>
      <c r="T2" s="85" t="s">
        <v>540</v>
      </c>
      <c r="U2" s="86" t="s">
        <v>321</v>
      </c>
      <c r="V2" s="13" t="s">
        <v>329</v>
      </c>
      <c r="W2" s="13" t="s">
        <v>330</v>
      </c>
      <c r="X2" s="13" t="s">
        <v>331</v>
      </c>
      <c r="Y2" s="13" t="s">
        <v>332</v>
      </c>
      <c r="Z2" s="13" t="s">
        <v>333</v>
      </c>
      <c r="AA2" s="13" t="s">
        <v>334</v>
      </c>
    </row>
    <row r="3" spans="1:27" s="5" customFormat="1" ht="25.9" customHeight="1">
      <c r="A3" s="51">
        <f>Inicial!A3</f>
        <v>1</v>
      </c>
      <c r="B3" s="52" t="str">
        <f>Inicial!B3</f>
        <v>Procesos</v>
      </c>
      <c r="C3" s="52" t="str">
        <f>Inicial!C3</f>
        <v>Deshuesado de Pechugas</v>
      </c>
      <c r="D3" s="53" t="str">
        <f>Inicial!D3</f>
        <v>Postura de Pechuga</v>
      </c>
      <c r="E3" s="51" t="str">
        <f>IF(Inicial!O3="SI",Inicial!E3,"N/A")</f>
        <v>N/A</v>
      </c>
      <c r="F3" s="52" t="str">
        <f>IF(Inicial!O3="SI",Inicial!F3,"N/A")</f>
        <v>N/A</v>
      </c>
      <c r="G3" s="52" t="str">
        <f>IF(Inicial!O3="SI",Inicial!G3,"N/A")</f>
        <v>N/A</v>
      </c>
      <c r="H3" s="52" t="str">
        <f>IF(Inicial!O3="SI",Inicial!H3,"N/A")</f>
        <v>N/A</v>
      </c>
      <c r="I3" s="63" t="str">
        <f>IF(Inicial!O3="SI",Inicial!I3,"N/A")</f>
        <v>N/A</v>
      </c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51">
        <f>Inicial!A4</f>
        <v>2</v>
      </c>
      <c r="B4" s="52" t="str">
        <f>Inicial!B4</f>
        <v>Procesos</v>
      </c>
      <c r="C4" s="52" t="str">
        <f>Inicial!C4</f>
        <v>Deshuesado de Pechugas</v>
      </c>
      <c r="D4" s="53" t="str">
        <f>Inicial!D4</f>
        <v>Bajado de Pechugas</v>
      </c>
      <c r="E4" s="51" t="str">
        <f>IF(Inicial!O4="SI",Inicial!E4,"N/A")</f>
        <v>N/A</v>
      </c>
      <c r="F4" s="52" t="str">
        <f>IF(Inicial!O4="SI",Inicial!F4,"N/A")</f>
        <v>N/A</v>
      </c>
      <c r="G4" s="52" t="str">
        <f>IF(Inicial!O4="SI",Inicial!G4,"N/A")</f>
        <v>N/A</v>
      </c>
      <c r="H4" s="52" t="str">
        <f>IF(Inicial!O4="SI",Inicial!H4,"N/A")</f>
        <v>N/A</v>
      </c>
      <c r="I4" s="63" t="str">
        <f>IF(Inicial!O4="SI",Inicial!I4,"N/A")</f>
        <v>N/A</v>
      </c>
      <c r="J4" s="5"/>
      <c r="K4" s="5"/>
      <c r="L4" s="5"/>
      <c r="M4" s="5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51">
        <f>Inicial!A5</f>
        <v>3</v>
      </c>
      <c r="B5" s="52" t="str">
        <f>Inicial!B5</f>
        <v>Procesos</v>
      </c>
      <c r="C5" s="52" t="str">
        <f>Inicial!C5</f>
        <v>Deshuesado de Pechugas</v>
      </c>
      <c r="D5" s="53" t="str">
        <f>Inicial!D5</f>
        <v>Prolijado</v>
      </c>
      <c r="E5" s="51" t="str">
        <f>IF(Inicial!O5="SI",Inicial!E5,"N/A")</f>
        <v>N/A</v>
      </c>
      <c r="F5" s="52" t="str">
        <f>IF(Inicial!O5="SI",Inicial!F5,"N/A")</f>
        <v>N/A</v>
      </c>
      <c r="G5" s="52" t="str">
        <f>IF(Inicial!O5="SI",Inicial!G5,"N/A")</f>
        <v>N/A</v>
      </c>
      <c r="H5" s="52" t="str">
        <f>IF(Inicial!O5="SI",Inicial!H5,"N/A")</f>
        <v>N/A</v>
      </c>
      <c r="I5" s="63" t="str">
        <f>IF(Inicial!O5="SI",Inicial!I5,"N/A")</f>
        <v>N/A</v>
      </c>
      <c r="J5" s="5"/>
      <c r="K5" s="5"/>
      <c r="L5" s="5"/>
      <c r="M5" s="5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51">
        <f>Inicial!A6</f>
        <v>4</v>
      </c>
      <c r="B6" s="52" t="str">
        <f>Inicial!B6</f>
        <v>Procesos</v>
      </c>
      <c r="C6" s="52" t="str">
        <f>Inicial!C6</f>
        <v>Deshuesado de Pechugas</v>
      </c>
      <c r="D6" s="53" t="str">
        <f>Inicial!D6</f>
        <v>Bajado de filete</v>
      </c>
      <c r="E6" s="51" t="str">
        <f>IF(Inicial!O6="SI",Inicial!E6,"N/A")</f>
        <v>N/A</v>
      </c>
      <c r="F6" s="52" t="str">
        <f>IF(Inicial!O6="SI",Inicial!F6,"N/A")</f>
        <v>N/A</v>
      </c>
      <c r="G6" s="52" t="str">
        <f>IF(Inicial!O6="SI",Inicial!G6,"N/A")</f>
        <v>N/A</v>
      </c>
      <c r="H6" s="52" t="str">
        <f>IF(Inicial!O6="SI",Inicial!H6,"N/A")</f>
        <v>N/A</v>
      </c>
      <c r="I6" s="63" t="str">
        <f>IF(Inicial!O6="SI",Inicial!I6,"N/A")</f>
        <v>N/A</v>
      </c>
      <c r="J6" s="5"/>
      <c r="K6" s="5"/>
      <c r="L6" s="5"/>
      <c r="M6" s="5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51">
        <f>Inicial!A7</f>
        <v>5</v>
      </c>
      <c r="B7" s="52" t="str">
        <f>Inicial!B7</f>
        <v>Procesos</v>
      </c>
      <c r="C7" s="52" t="str">
        <f>Inicial!C7</f>
        <v>Deshuesado de Pechugas</v>
      </c>
      <c r="D7" s="53" t="str">
        <f>Inicial!D7</f>
        <v>Selección de filete</v>
      </c>
      <c r="E7" s="51" t="str">
        <f>IF(Inicial!O7="SI",Inicial!E7,"N/A")</f>
        <v>N/A</v>
      </c>
      <c r="F7" s="52" t="str">
        <f>IF(Inicial!O7="SI",Inicial!F7,"N/A")</f>
        <v>N/A</v>
      </c>
      <c r="G7" s="52" t="str">
        <f>IF(Inicial!O7="SI",Inicial!G7,"N/A")</f>
        <v>N/A</v>
      </c>
      <c r="H7" s="52" t="str">
        <f>IF(Inicial!O7="SI",Inicial!H7,"N/A")</f>
        <v>N/A</v>
      </c>
      <c r="I7" s="63" t="str">
        <f>IF(Inicial!O7="SI",Inicial!I7,"N/A")</f>
        <v>N/A</v>
      </c>
      <c r="J7" s="5"/>
      <c r="K7" s="5"/>
      <c r="L7" s="5"/>
      <c r="M7" s="5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51">
        <f>Inicial!A8</f>
        <v>6</v>
      </c>
      <c r="B8" s="52" t="str">
        <f>Inicial!B8</f>
        <v>Procesos</v>
      </c>
      <c r="C8" s="52" t="str">
        <f>Inicial!C8</f>
        <v>Deshuesado de Pechugas</v>
      </c>
      <c r="D8" s="53" t="str">
        <f>Inicial!D8</f>
        <v>Filete</v>
      </c>
      <c r="E8" s="51" t="str">
        <f>IF(Inicial!O8="SI",Inicial!E8,"N/A")</f>
        <v>N/A</v>
      </c>
      <c r="F8" s="52" t="str">
        <f>IF(Inicial!O8="SI",Inicial!F8,"N/A")</f>
        <v>N/A</v>
      </c>
      <c r="G8" s="52" t="str">
        <f>IF(Inicial!O8="SI",Inicial!G8,"N/A")</f>
        <v>N/A</v>
      </c>
      <c r="H8" s="52" t="str">
        <f>IF(Inicial!O8="SI",Inicial!H8,"N/A")</f>
        <v>N/A</v>
      </c>
      <c r="I8" s="63" t="str">
        <f>IF(Inicial!O8="SI",Inicial!I8,"N/A")</f>
        <v>N/A</v>
      </c>
      <c r="J8" s="5"/>
      <c r="K8" s="5"/>
      <c r="L8" s="5"/>
      <c r="M8" s="5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 ht="27.6">
      <c r="A9" s="51">
        <f>Inicial!A9</f>
        <v>7</v>
      </c>
      <c r="B9" s="52" t="str">
        <f>Inicial!B9</f>
        <v>Procesos</v>
      </c>
      <c r="C9" s="52" t="str">
        <f>Inicial!C9</f>
        <v>Deshuesado de Pechugas</v>
      </c>
      <c r="D9" s="53" t="str">
        <f>Inicial!D9</f>
        <v>Tiritas</v>
      </c>
      <c r="E9" s="51" t="str">
        <f>IF(Inicial!O9="SI",Inicial!E9,"N/A")</f>
        <v>N/A</v>
      </c>
      <c r="F9" s="52" t="str">
        <f>IF(Inicial!O9="SI",Inicial!F9,"N/A")</f>
        <v>N/A</v>
      </c>
      <c r="G9" s="52" t="str">
        <f>IF(Inicial!O9="SI",Inicial!G9,"N/A")</f>
        <v>N/A</v>
      </c>
      <c r="H9" s="52" t="str">
        <f>IF(Inicial!O9="SI",Inicial!H9,"N/A")</f>
        <v>N/A</v>
      </c>
      <c r="I9" s="63" t="str">
        <f>IF(Inicial!O9="SI",Inicial!I9,"N/A")</f>
        <v>N/A</v>
      </c>
      <c r="J9" s="5"/>
      <c r="K9" s="5"/>
      <c r="L9" s="5"/>
      <c r="M9" s="5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 ht="27.6">
      <c r="A10" s="51">
        <f>Inicial!A10</f>
        <v>8</v>
      </c>
      <c r="B10" s="52" t="str">
        <f>Inicial!B10</f>
        <v>Procesos</v>
      </c>
      <c r="C10" s="52" t="str">
        <f>Inicial!C10</f>
        <v>Deshuesado de Pechugas</v>
      </c>
      <c r="D10" s="53" t="str">
        <f>Inicial!D10</f>
        <v>Piel</v>
      </c>
      <c r="E10" s="51" t="str">
        <f>IF(Inicial!O10="SI",Inicial!E10,"N/A")</f>
        <v>N/A</v>
      </c>
      <c r="F10" s="52" t="str">
        <f>IF(Inicial!O10="SI",Inicial!F10,"N/A")</f>
        <v>N/A</v>
      </c>
      <c r="G10" s="52" t="str">
        <f>IF(Inicial!O10="SI",Inicial!G10,"N/A")</f>
        <v>N/A</v>
      </c>
      <c r="H10" s="52" t="str">
        <f>IF(Inicial!O10="SI",Inicial!H10,"N/A")</f>
        <v>N/A</v>
      </c>
      <c r="I10" s="63" t="str">
        <f>IF(Inicial!O10="SI",Inicial!I10,"N/A")</f>
        <v>N/A</v>
      </c>
      <c r="J10" s="5"/>
      <c r="K10" s="5"/>
      <c r="L10" s="5"/>
      <c r="M10" s="5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 ht="27.6">
      <c r="A11" s="51">
        <f>Inicial!A11</f>
        <v>9</v>
      </c>
      <c r="B11" s="52" t="str">
        <f>Inicial!B11</f>
        <v>Procesos</v>
      </c>
      <c r="C11" s="52" t="str">
        <f>Inicial!C11</f>
        <v>Deshuesado de Pechugas</v>
      </c>
      <c r="D11" s="53" t="str">
        <f>Inicial!D11</f>
        <v>Recepcion de bins</v>
      </c>
      <c r="E11" s="51" t="str">
        <f>IF(Inicial!O11="SI",Inicial!E11,"N/A")</f>
        <v>N/A</v>
      </c>
      <c r="F11" s="52" t="str">
        <f>IF(Inicial!O11="SI",Inicial!F11,"N/A")</f>
        <v>N/A</v>
      </c>
      <c r="G11" s="52" t="str">
        <f>IF(Inicial!O11="SI",Inicial!G11,"N/A")</f>
        <v>N/A</v>
      </c>
      <c r="H11" s="52" t="str">
        <f>IF(Inicial!O11="SI",Inicial!H11,"N/A")</f>
        <v>N/A</v>
      </c>
      <c r="I11" s="63" t="str">
        <f>IF(Inicial!O11="SI",Inicial!I11,"N/A")</f>
        <v>N/A</v>
      </c>
      <c r="J11" s="5"/>
      <c r="K11" s="5"/>
      <c r="L11" s="5"/>
      <c r="M11" s="5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 ht="27.6">
      <c r="A12" s="51">
        <f>Inicial!A12</f>
        <v>10</v>
      </c>
      <c r="B12" s="52" t="str">
        <f>Inicial!B12</f>
        <v>Procesos</v>
      </c>
      <c r="C12" s="52" t="str">
        <f>Inicial!C12</f>
        <v>Deshuesado de Pechugas</v>
      </c>
      <c r="D12" s="53" t="str">
        <f>Inicial!D12</f>
        <v>Reproceso</v>
      </c>
      <c r="E12" s="51" t="str">
        <f>IF(Inicial!O12="SI",Inicial!E12,"N/A")</f>
        <v>N/A</v>
      </c>
      <c r="F12" s="52" t="str">
        <f>IF(Inicial!O12="SI",Inicial!F12,"N/A")</f>
        <v>N/A</v>
      </c>
      <c r="G12" s="52" t="str">
        <f>IF(Inicial!O12="SI",Inicial!G12,"N/A")</f>
        <v>N/A</v>
      </c>
      <c r="H12" s="52" t="str">
        <f>IF(Inicial!O12="SI",Inicial!H12,"N/A")</f>
        <v>N/A</v>
      </c>
      <c r="I12" s="63" t="str">
        <f>IF(Inicial!O12="SI",Inicial!I12,"N/A")</f>
        <v>N/A</v>
      </c>
      <c r="J12" s="5"/>
      <c r="K12" s="5"/>
      <c r="L12" s="5"/>
      <c r="M12" s="5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 ht="27.6">
      <c r="A13" s="51">
        <f>Inicial!A13</f>
        <v>11</v>
      </c>
      <c r="B13" s="52" t="str">
        <f>Inicial!B13</f>
        <v>Procesos</v>
      </c>
      <c r="C13" s="52" t="str">
        <f>Inicial!C13</f>
        <v>Deshuesado de Pechugas</v>
      </c>
      <c r="D13" s="53" t="str">
        <f>Inicial!D13</f>
        <v xml:space="preserve">Clavicula </v>
      </c>
      <c r="E13" s="51" t="str">
        <f>IF(Inicial!O13="SI",Inicial!E13,"N/A")</f>
        <v>N/A</v>
      </c>
      <c r="F13" s="52" t="str">
        <f>IF(Inicial!O13="SI",Inicial!F13,"N/A")</f>
        <v>N/A</v>
      </c>
      <c r="G13" s="52" t="str">
        <f>IF(Inicial!O13="SI",Inicial!G13,"N/A")</f>
        <v>N/A</v>
      </c>
      <c r="H13" s="52" t="str">
        <f>IF(Inicial!O13="SI",Inicial!H13,"N/A")</f>
        <v>N/A</v>
      </c>
      <c r="I13" s="63" t="str">
        <f>IF(Inicial!O13="SI",Inicial!I13,"N/A")</f>
        <v>N/A</v>
      </c>
      <c r="J13" s="5"/>
      <c r="K13" s="5"/>
      <c r="L13" s="5"/>
      <c r="M13" s="5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 ht="27.6">
      <c r="A14" s="51">
        <f>Inicial!A14</f>
        <v>12</v>
      </c>
      <c r="B14" s="52" t="str">
        <f>Inicial!B14</f>
        <v>Procesos</v>
      </c>
      <c r="C14" s="52" t="str">
        <f>Inicial!C14</f>
        <v>Deshuesado de Pechugas</v>
      </c>
      <c r="D14" s="53" t="str">
        <f>Inicial!D14</f>
        <v>Transpaletero</v>
      </c>
      <c r="E14" s="51" t="str">
        <f>IF(Inicial!O14="SI",Inicial!E14,"N/A")</f>
        <v>N/A</v>
      </c>
      <c r="F14" s="52" t="str">
        <f>IF(Inicial!O14="SI",Inicial!F14,"N/A")</f>
        <v>N/A</v>
      </c>
      <c r="G14" s="52" t="str">
        <f>IF(Inicial!O14="SI",Inicial!G14,"N/A")</f>
        <v>N/A</v>
      </c>
      <c r="H14" s="52" t="str">
        <f>IF(Inicial!O14="SI",Inicial!H14,"N/A")</f>
        <v>N/A</v>
      </c>
      <c r="I14" s="63" t="str">
        <f>IF(Inicial!O14="SI",Inicial!I14,"N/A")</f>
        <v>N/A</v>
      </c>
      <c r="J14" s="5"/>
      <c r="K14" s="5"/>
      <c r="L14" s="5"/>
      <c r="M14" s="5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27.6">
      <c r="A15" s="51">
        <f>Inicial!A15</f>
        <v>13</v>
      </c>
      <c r="B15" s="52" t="str">
        <f>Inicial!B15</f>
        <v>Procesos</v>
      </c>
      <c r="C15" s="52" t="str">
        <f>Inicial!C15</f>
        <v>Deshuesado de Pechugas</v>
      </c>
      <c r="D15" s="53" t="str">
        <f>Inicial!D15</f>
        <v xml:space="preserve">Maquinista </v>
      </c>
      <c r="E15" s="51" t="str">
        <f>IF(Inicial!O15="SI",Inicial!E15,"N/A")</f>
        <v>N/A</v>
      </c>
      <c r="F15" s="52" t="str">
        <f>IF(Inicial!O15="SI",Inicial!F15,"N/A")</f>
        <v>N/A</v>
      </c>
      <c r="G15" s="52" t="str">
        <f>IF(Inicial!O15="SI",Inicial!G15,"N/A")</f>
        <v>N/A</v>
      </c>
      <c r="H15" s="52" t="str">
        <f>IF(Inicial!O15="SI",Inicial!H15,"N/A")</f>
        <v>N/A</v>
      </c>
      <c r="I15" s="63" t="str">
        <f>IF(Inicial!O15="SI",Inicial!I15,"N/A")</f>
        <v>N/A</v>
      </c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 ht="27.6">
      <c r="A16" s="51">
        <f>Inicial!A16</f>
        <v>14</v>
      </c>
      <c r="B16" s="52" t="str">
        <f>Inicial!B16</f>
        <v>Procesos</v>
      </c>
      <c r="C16" s="52" t="str">
        <f>Inicial!C16</f>
        <v>Deshuesado de Pechugas</v>
      </c>
      <c r="D16" s="53" t="str">
        <f>Inicial!D16</f>
        <v>Laminado</v>
      </c>
      <c r="E16" s="51" t="str">
        <f>IF(Inicial!O16="SI",Inicial!E16,"N/A")</f>
        <v>N/A</v>
      </c>
      <c r="F16" s="52" t="str">
        <f>IF(Inicial!O16="SI",Inicial!F16,"N/A")</f>
        <v>N/A</v>
      </c>
      <c r="G16" s="52" t="str">
        <f>IF(Inicial!O16="SI",Inicial!G16,"N/A")</f>
        <v>N/A</v>
      </c>
      <c r="H16" s="52" t="str">
        <f>IF(Inicial!O16="SI",Inicial!H16,"N/A")</f>
        <v>N/A</v>
      </c>
      <c r="I16" s="63" t="str">
        <f>IF(Inicial!O16="SI",Inicial!I16,"N/A")</f>
        <v>N/A</v>
      </c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27.6">
      <c r="A17" s="51">
        <f>Inicial!A17</f>
        <v>15</v>
      </c>
      <c r="B17" s="52" t="str">
        <f>Inicial!B17</f>
        <v>Procesos</v>
      </c>
      <c r="C17" s="52" t="str">
        <f>Inicial!C17</f>
        <v>Deshuesado de Pechugas</v>
      </c>
      <c r="D17" s="53" t="str">
        <f>Inicial!D17</f>
        <v>Rectificador de cuchillos</v>
      </c>
      <c r="E17" s="51" t="str">
        <f>IF(Inicial!O17="SI",Inicial!E17,"N/A")</f>
        <v>N/A</v>
      </c>
      <c r="F17" s="52" t="str">
        <f>IF(Inicial!O17="SI",Inicial!F17,"N/A")</f>
        <v>N/A</v>
      </c>
      <c r="G17" s="52" t="str">
        <f>IF(Inicial!O17="SI",Inicial!G17,"N/A")</f>
        <v>N/A</v>
      </c>
      <c r="H17" s="52" t="str">
        <f>IF(Inicial!O17="SI",Inicial!H17,"N/A")</f>
        <v>N/A</v>
      </c>
      <c r="I17" s="63" t="str">
        <f>IF(Inicial!O17="SI",Inicial!I17,"N/A")</f>
        <v>N/A</v>
      </c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 ht="27.6">
      <c r="A18" s="51">
        <f>Inicial!A18</f>
        <v>16</v>
      </c>
      <c r="B18" s="52" t="str">
        <f>Inicial!B18</f>
        <v>Procesos</v>
      </c>
      <c r="C18" s="52" t="str">
        <f>Inicial!C18</f>
        <v>Deshuesado de Pechugas</v>
      </c>
      <c r="D18" s="53" t="str">
        <f>Inicial!D18</f>
        <v xml:space="preserve">Jefe de Línea </v>
      </c>
      <c r="E18" s="51" t="str">
        <f>IF(Inicial!O18="SI",Inicial!E18,"N/A")</f>
        <v>N/A</v>
      </c>
      <c r="F18" s="52" t="str">
        <f>IF(Inicial!O18="SI",Inicial!F18,"N/A")</f>
        <v>N/A</v>
      </c>
      <c r="G18" s="52" t="str">
        <f>IF(Inicial!O18="SI",Inicial!G18,"N/A")</f>
        <v>N/A</v>
      </c>
      <c r="H18" s="52" t="str">
        <f>IF(Inicial!O18="SI",Inicial!H18,"N/A")</f>
        <v>N/A</v>
      </c>
      <c r="I18" s="63" t="str">
        <f>IF(Inicial!O18="SI",Inicial!I18,"N/A")</f>
        <v>N/A</v>
      </c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 ht="27.6">
      <c r="A19" s="51">
        <f>Inicial!A19</f>
        <v>17</v>
      </c>
      <c r="B19" s="52" t="str">
        <f>Inicial!B19</f>
        <v>Procesos</v>
      </c>
      <c r="C19" s="52" t="str">
        <f>Inicial!C19</f>
        <v>Deshuesado de Pechugas</v>
      </c>
      <c r="D19" s="53" t="str">
        <f>Inicial!D19</f>
        <v>Supervisor</v>
      </c>
      <c r="E19" s="51" t="str">
        <f>IF(Inicial!O19="SI",Inicial!E19,"N/A")</f>
        <v>N/A</v>
      </c>
      <c r="F19" s="52" t="str">
        <f>IF(Inicial!O19="SI",Inicial!F19,"N/A")</f>
        <v>N/A</v>
      </c>
      <c r="G19" s="52" t="str">
        <f>IF(Inicial!O19="SI",Inicial!G19,"N/A")</f>
        <v>N/A</v>
      </c>
      <c r="H19" s="52" t="str">
        <f>IF(Inicial!O19="SI",Inicial!H19,"N/A")</f>
        <v>N/A</v>
      </c>
      <c r="I19" s="63" t="str">
        <f>IF(Inicial!O19="SI",Inicial!I19,"N/A")</f>
        <v>N/A</v>
      </c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 ht="27.6">
      <c r="A20" s="51">
        <f>Inicial!A20</f>
        <v>18</v>
      </c>
      <c r="B20" s="52" t="str">
        <f>Inicial!B20</f>
        <v>Procesos</v>
      </c>
      <c r="C20" s="52" t="str">
        <f>Inicial!C20</f>
        <v xml:space="preserve">Envasado </v>
      </c>
      <c r="D20" s="53" t="str">
        <f>Inicial!D20</f>
        <v>Pesador de producto</v>
      </c>
      <c r="E20" s="51" t="str">
        <f>IF(Inicial!O20="SI",Inicial!E20,"N/A")</f>
        <v>N/A</v>
      </c>
      <c r="F20" s="52" t="str">
        <f>IF(Inicial!O20="SI",Inicial!F20,"N/A")</f>
        <v>N/A</v>
      </c>
      <c r="G20" s="52" t="str">
        <f>IF(Inicial!O20="SI",Inicial!G20,"N/A")</f>
        <v>N/A</v>
      </c>
      <c r="H20" s="52" t="str">
        <f>IF(Inicial!O20="SI",Inicial!H20,"N/A")</f>
        <v>N/A</v>
      </c>
      <c r="I20" s="63" t="str">
        <f>IF(Inicial!O20="SI",Inicial!I20,"N/A")</f>
        <v>N/A</v>
      </c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 ht="27.6">
      <c r="A21" s="51">
        <f>Inicial!A21</f>
        <v>19</v>
      </c>
      <c r="B21" s="52" t="str">
        <f>Inicial!B21</f>
        <v>Procesos</v>
      </c>
      <c r="C21" s="52" t="str">
        <f>Inicial!C21</f>
        <v>Envasado</v>
      </c>
      <c r="D21" s="53" t="str">
        <f>Inicial!D21</f>
        <v>Distribuidor de producto</v>
      </c>
      <c r="E21" s="51" t="str">
        <f>IF(Inicial!O21="SI",Inicial!E21,"N/A")</f>
        <v>N/A</v>
      </c>
      <c r="F21" s="52" t="str">
        <f>IF(Inicial!O21="SI",Inicial!F21,"N/A")</f>
        <v>N/A</v>
      </c>
      <c r="G21" s="52" t="str">
        <f>IF(Inicial!O21="SI",Inicial!G21,"N/A")</f>
        <v>N/A</v>
      </c>
      <c r="H21" s="52" t="str">
        <f>IF(Inicial!O21="SI",Inicial!H21,"N/A")</f>
        <v>N/A</v>
      </c>
      <c r="I21" s="63" t="str">
        <f>IF(Inicial!O21="SI",Inicial!I21,"N/A")</f>
        <v>N/A</v>
      </c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 ht="27.6">
      <c r="A22" s="51">
        <f>Inicial!A22</f>
        <v>20</v>
      </c>
      <c r="B22" s="52" t="str">
        <f>Inicial!B22</f>
        <v>Procesos</v>
      </c>
      <c r="C22" s="52" t="str">
        <f>Inicial!C22</f>
        <v>Envasado</v>
      </c>
      <c r="D22" s="53" t="str">
        <f>Inicial!D22</f>
        <v>Envasador trutro corto/largo</v>
      </c>
      <c r="E22" s="51" t="str">
        <f>IF(Inicial!O22="SI",Inicial!E22,"N/A")</f>
        <v>N/A</v>
      </c>
      <c r="F22" s="52" t="str">
        <f>IF(Inicial!O22="SI",Inicial!F22,"N/A")</f>
        <v>N/A</v>
      </c>
      <c r="G22" s="52" t="str">
        <f>IF(Inicial!O22="SI",Inicial!G22,"N/A")</f>
        <v>N/A</v>
      </c>
      <c r="H22" s="52" t="str">
        <f>IF(Inicial!O22="SI",Inicial!H22,"N/A")</f>
        <v>N/A</v>
      </c>
      <c r="I22" s="63" t="str">
        <f>IF(Inicial!O22="SI",Inicial!I22,"N/A")</f>
        <v>N/A</v>
      </c>
      <c r="N22" s="11"/>
      <c r="O22" s="11"/>
      <c r="P22" s="11"/>
      <c r="Q22" s="11"/>
      <c r="R22" s="11"/>
      <c r="S22" s="11"/>
      <c r="T22" s="11"/>
      <c r="U22" s="11"/>
    </row>
    <row r="23" spans="1:21" ht="41.45">
      <c r="A23" s="51">
        <f>Inicial!A23</f>
        <v>21</v>
      </c>
      <c r="B23" s="52" t="str">
        <f>Inicial!B23</f>
        <v>Procesos</v>
      </c>
      <c r="C23" s="52" t="str">
        <f>Inicial!C23</f>
        <v>Envasado</v>
      </c>
      <c r="D23" s="53" t="str">
        <f>Inicial!D23</f>
        <v>alimentador Envasado multicabezal</v>
      </c>
      <c r="E23" s="51" t="str">
        <f>IF(Inicial!O23="SI",Inicial!E23,"N/A")</f>
        <v>N/A</v>
      </c>
      <c r="F23" s="52" t="str">
        <f>IF(Inicial!O23="SI",Inicial!F23,"N/A")</f>
        <v>N/A</v>
      </c>
      <c r="G23" s="52" t="str">
        <f>IF(Inicial!O23="SI",Inicial!G23,"N/A")</f>
        <v>N/A</v>
      </c>
      <c r="H23" s="52" t="str">
        <f>IF(Inicial!O23="SI",Inicial!H23,"N/A")</f>
        <v>N/A</v>
      </c>
      <c r="I23" s="63" t="str">
        <f>IF(Inicial!O23="SI",Inicial!I23,"N/A")</f>
        <v>N/A</v>
      </c>
      <c r="N23" s="11"/>
      <c r="O23" s="11"/>
      <c r="P23" s="11"/>
      <c r="Q23" s="11"/>
      <c r="R23" s="11"/>
      <c r="S23" s="11"/>
      <c r="T23" s="11"/>
      <c r="U23" s="11"/>
    </row>
    <row r="24" spans="1:21">
      <c r="A24" s="51" t="e">
        <f>Inicial!#REF!</f>
        <v>#REF!</v>
      </c>
      <c r="B24" s="52" t="e">
        <f>Inicial!#REF!</f>
        <v>#REF!</v>
      </c>
      <c r="C24" s="52" t="e">
        <f>Inicial!#REF!</f>
        <v>#REF!</v>
      </c>
      <c r="D24" s="53" t="e">
        <f>Inicial!#REF!</f>
        <v>#REF!</v>
      </c>
      <c r="E24" s="51" t="e">
        <f>IF(Inicial!#REF!="SI",Inicial!#REF!,"N/A")</f>
        <v>#REF!</v>
      </c>
      <c r="F24" s="52" t="e">
        <f>IF(Inicial!#REF!="SI",Inicial!#REF!,"N/A")</f>
        <v>#REF!</v>
      </c>
      <c r="G24" s="52" t="e">
        <f>IF(Inicial!#REF!="SI",Inicial!#REF!,"N/A")</f>
        <v>#REF!</v>
      </c>
      <c r="H24" s="52" t="e">
        <f>IF(Inicial!#REF!="SI",Inicial!#REF!,"N/A")</f>
        <v>#REF!</v>
      </c>
      <c r="I24" s="63" t="e">
        <f>IF(Inicial!#REF!="SI",Inicial!#REF!,"N/A")</f>
        <v>#REF!</v>
      </c>
      <c r="N24" s="11"/>
      <c r="O24" s="11"/>
      <c r="P24" s="11"/>
      <c r="Q24" s="11"/>
      <c r="R24" s="11"/>
      <c r="S24" s="11"/>
      <c r="T24" s="11"/>
      <c r="U24" s="11"/>
    </row>
    <row r="25" spans="1:21">
      <c r="A25" s="51">
        <f>Inicial!A24</f>
        <v>22</v>
      </c>
      <c r="B25" s="52" t="str">
        <f>Inicial!B24</f>
        <v>Procesos</v>
      </c>
      <c r="C25" s="52" t="str">
        <f>Inicial!C24</f>
        <v>Envasado</v>
      </c>
      <c r="D25" s="53" t="str">
        <f>Inicial!D24</f>
        <v>Carro materiales</v>
      </c>
      <c r="E25" s="51" t="str">
        <f>IF(Inicial!O24="SI",Inicial!E24,"N/A")</f>
        <v>N/A</v>
      </c>
      <c r="F25" s="52" t="str">
        <f>IF(Inicial!O24="SI",Inicial!F24,"N/A")</f>
        <v>N/A</v>
      </c>
      <c r="G25" s="52" t="str">
        <f>IF(Inicial!O24="SI",Inicial!G24,"N/A")</f>
        <v>N/A</v>
      </c>
      <c r="H25" s="52" t="str">
        <f>IF(Inicial!O24="SI",Inicial!H24,"N/A")</f>
        <v>N/A</v>
      </c>
      <c r="I25" s="63" t="str">
        <f>IF(Inicial!O24="SI",Inicial!I24,"N/A")</f>
        <v>N/A</v>
      </c>
      <c r="N25" s="11"/>
      <c r="O25" s="11"/>
      <c r="P25" s="11"/>
      <c r="Q25" s="11"/>
      <c r="R25" s="11"/>
      <c r="S25" s="11"/>
      <c r="T25" s="11"/>
      <c r="U25" s="11"/>
    </row>
    <row r="26" spans="1:21" ht="27.6">
      <c r="A26" s="51">
        <f>Inicial!A25</f>
        <v>23</v>
      </c>
      <c r="B26" s="52" t="str">
        <f>Inicial!B25</f>
        <v>Procesos</v>
      </c>
      <c r="C26" s="52" t="str">
        <f>Inicial!C25</f>
        <v>Envasado</v>
      </c>
      <c r="D26" s="53" t="str">
        <f>Inicial!D25</f>
        <v>Maquinista Termoselladora</v>
      </c>
      <c r="E26" s="51" t="str">
        <f>IF(Inicial!O25="SI",Inicial!E25,"N/A")</f>
        <v>N/A</v>
      </c>
      <c r="F26" s="52" t="str">
        <f>IF(Inicial!O25="SI",Inicial!F25,"N/A")</f>
        <v>N/A</v>
      </c>
      <c r="G26" s="52" t="str">
        <f>IF(Inicial!O25="SI",Inicial!G25,"N/A")</f>
        <v>N/A</v>
      </c>
      <c r="H26" s="52" t="str">
        <f>IF(Inicial!O25="SI",Inicial!H25,"N/A")</f>
        <v>N/A</v>
      </c>
      <c r="I26" s="63" t="str">
        <f>IF(Inicial!O25="SI",Inicial!I25,"N/A")</f>
        <v>N/A</v>
      </c>
      <c r="N26" s="11"/>
      <c r="O26" s="11"/>
      <c r="P26" s="11"/>
      <c r="Q26" s="11"/>
      <c r="R26" s="11"/>
      <c r="S26" s="11"/>
      <c r="T26" s="11"/>
      <c r="U26" s="11"/>
    </row>
    <row r="27" spans="1:21" ht="27.6">
      <c r="A27" s="51">
        <f>Inicial!A26</f>
        <v>24</v>
      </c>
      <c r="B27" s="52" t="str">
        <f>Inicial!B26</f>
        <v>Procesos</v>
      </c>
      <c r="C27" s="52" t="str">
        <f>Inicial!C26</f>
        <v>Envasado</v>
      </c>
      <c r="D27" s="53" t="str">
        <f>Inicial!D26</f>
        <v>Llenado de bandeja con pala</v>
      </c>
      <c r="E27" s="51" t="str">
        <f>IF(Inicial!O26="SI",Inicial!E26,"N/A")</f>
        <v>N/A</v>
      </c>
      <c r="F27" s="52" t="str">
        <f>IF(Inicial!O26="SI",Inicial!F26,"N/A")</f>
        <v>N/A</v>
      </c>
      <c r="G27" s="52" t="str">
        <f>IF(Inicial!O26="SI",Inicial!G26,"N/A")</f>
        <v>N/A</v>
      </c>
      <c r="H27" s="52" t="str">
        <f>IF(Inicial!O26="SI",Inicial!H26,"N/A")</f>
        <v>N/A</v>
      </c>
      <c r="I27" s="63" t="str">
        <f>IF(Inicial!O26="SI",Inicial!I26,"N/A")</f>
        <v>N/A</v>
      </c>
      <c r="N27" s="11"/>
      <c r="O27" s="11"/>
      <c r="P27" s="11"/>
      <c r="Q27" s="11"/>
      <c r="R27" s="11"/>
      <c r="S27" s="11"/>
      <c r="T27" s="11"/>
      <c r="U27" s="11"/>
    </row>
    <row r="28" spans="1:21" ht="27.6">
      <c r="A28" s="51">
        <f>Inicial!A27</f>
        <v>25</v>
      </c>
      <c r="B28" s="52" t="str">
        <f>Inicial!B27</f>
        <v>Procesos</v>
      </c>
      <c r="C28" s="52" t="str">
        <f>Inicial!C27</f>
        <v>Envasado</v>
      </c>
      <c r="D28" s="53" t="str">
        <f>Inicial!D27</f>
        <v xml:space="preserve">Levantamiento de bandeja </v>
      </c>
      <c r="E28" s="51" t="str">
        <f>IF(Inicial!O27="SI",Inicial!E27,"N/A")</f>
        <v>N/A</v>
      </c>
      <c r="F28" s="52" t="str">
        <f>IF(Inicial!O27="SI",Inicial!F27,"N/A")</f>
        <v>N/A</v>
      </c>
      <c r="G28" s="52" t="str">
        <f>IF(Inicial!O27="SI",Inicial!G27,"N/A")</f>
        <v>N/A</v>
      </c>
      <c r="H28" s="52" t="str">
        <f>IF(Inicial!O27="SI",Inicial!H27,"N/A")</f>
        <v>N/A</v>
      </c>
      <c r="I28" s="63" t="str">
        <f>IF(Inicial!O27="SI",Inicial!I27,"N/A")</f>
        <v>N/A</v>
      </c>
      <c r="N28" s="11"/>
      <c r="O28" s="11"/>
      <c r="P28" s="11"/>
      <c r="Q28" s="11"/>
      <c r="R28" s="11"/>
      <c r="S28" s="11"/>
      <c r="T28" s="11"/>
      <c r="U28" s="11"/>
    </row>
    <row r="29" spans="1:21">
      <c r="A29" s="51">
        <f>Inicial!A28</f>
        <v>26</v>
      </c>
      <c r="B29" s="52" t="str">
        <f>Inicial!B28</f>
        <v>Procesos</v>
      </c>
      <c r="C29" s="52" t="str">
        <f>Inicial!C28</f>
        <v>Mesanina</v>
      </c>
      <c r="D29" s="53" t="str">
        <f>Inicial!D28</f>
        <v>Puesto Fijo</v>
      </c>
      <c r="E29" s="51" t="str">
        <f>IF(Inicial!O28="SI",Inicial!E28,"N/A")</f>
        <v>N/A</v>
      </c>
      <c r="F29" s="52" t="str">
        <f>IF(Inicial!O28="SI",Inicial!F28,"N/A")</f>
        <v>N/A</v>
      </c>
      <c r="G29" s="52" t="str">
        <f>IF(Inicial!O28="SI",Inicial!G28,"N/A")</f>
        <v>N/A</v>
      </c>
      <c r="H29" s="52" t="str">
        <f>IF(Inicial!O28="SI",Inicial!H28,"N/A")</f>
        <v>N/A</v>
      </c>
      <c r="I29" s="63" t="str">
        <f>IF(Inicial!O28="SI",Inicial!I28,"N/A")</f>
        <v>N/A</v>
      </c>
      <c r="N29" s="11"/>
      <c r="O29" s="11"/>
      <c r="P29" s="11"/>
      <c r="Q29" s="11"/>
      <c r="R29" s="11"/>
      <c r="S29" s="11"/>
      <c r="T29" s="11"/>
      <c r="U29" s="11"/>
    </row>
    <row r="30" spans="1:21">
      <c r="A30" s="51">
        <f>Inicial!A29</f>
        <v>27</v>
      </c>
      <c r="B30" s="52" t="str">
        <f>Inicial!B29</f>
        <v>Procesos</v>
      </c>
      <c r="C30" s="52" t="str">
        <f>Inicial!C29</f>
        <v>Mesanina</v>
      </c>
      <c r="D30" s="53" t="str">
        <f>Inicial!D29</f>
        <v>Centro Punta</v>
      </c>
      <c r="E30" s="51" t="str">
        <f>IF(Inicial!O29="SI",Inicial!E29,"N/A")</f>
        <v>N/A</v>
      </c>
      <c r="F30" s="52" t="str">
        <f>IF(Inicial!O29="SI",Inicial!F29,"N/A")</f>
        <v>N/A</v>
      </c>
      <c r="G30" s="52" t="str">
        <f>IF(Inicial!O29="SI",Inicial!G29,"N/A")</f>
        <v>N/A</v>
      </c>
      <c r="H30" s="52" t="str">
        <f>IF(Inicial!O29="SI",Inicial!H29,"N/A")</f>
        <v>N/A</v>
      </c>
      <c r="I30" s="63" t="str">
        <f>IF(Inicial!O29="SI",Inicial!I29,"N/A")</f>
        <v>N/A</v>
      </c>
      <c r="N30" s="11"/>
      <c r="O30" s="11"/>
      <c r="P30" s="11"/>
      <c r="Q30" s="11"/>
      <c r="R30" s="11"/>
      <c r="S30" s="11"/>
      <c r="T30" s="11"/>
      <c r="U30" s="11"/>
    </row>
    <row r="31" spans="1:21">
      <c r="A31" s="51">
        <f>Inicial!A30</f>
        <v>28</v>
      </c>
      <c r="B31" s="52" t="str">
        <f>Inicial!B30</f>
        <v>Procesos</v>
      </c>
      <c r="C31" s="52" t="str">
        <f>Inicial!C30</f>
        <v>Mesanina</v>
      </c>
      <c r="D31" s="53" t="str">
        <f>Inicial!D30</f>
        <v>Reenganchador</v>
      </c>
      <c r="E31" s="51" t="str">
        <f>IF(Inicial!O30="SI",Inicial!E30,"N/A")</f>
        <v>N/A</v>
      </c>
      <c r="F31" s="52" t="str">
        <f>IF(Inicial!O30="SI",Inicial!F30,"N/A")</f>
        <v>N/A</v>
      </c>
      <c r="G31" s="52" t="str">
        <f>IF(Inicial!O30="SI",Inicial!G30,"N/A")</f>
        <v>N/A</v>
      </c>
      <c r="H31" s="52" t="str">
        <f>IF(Inicial!O30="SI",Inicial!H30,"N/A")</f>
        <v>N/A</v>
      </c>
      <c r="I31" s="63" t="str">
        <f>IF(Inicial!O30="SI",Inicial!I30,"N/A")</f>
        <v>N/A</v>
      </c>
      <c r="N31" s="11"/>
      <c r="O31" s="11"/>
      <c r="P31" s="11"/>
      <c r="Q31" s="11"/>
      <c r="R31" s="11"/>
      <c r="S31" s="11"/>
      <c r="T31" s="11"/>
      <c r="U31" s="11"/>
    </row>
    <row r="32" spans="1:21">
      <c r="A32" s="51">
        <f>Inicial!A31</f>
        <v>29</v>
      </c>
      <c r="B32" s="52" t="str">
        <f>Inicial!B31</f>
        <v>Procesos</v>
      </c>
      <c r="C32" s="52" t="str">
        <f>Inicial!C31</f>
        <v>Mesanina</v>
      </c>
      <c r="D32" s="53" t="str">
        <f>Inicial!D31</f>
        <v>Cazuelero</v>
      </c>
      <c r="E32" s="51" t="str">
        <f>IF(Inicial!O31="SI",Inicial!E31,"N/A")</f>
        <v>N/A</v>
      </c>
      <c r="F32" s="52" t="str">
        <f>IF(Inicial!O31="SI",Inicial!F31,"N/A")</f>
        <v>N/A</v>
      </c>
      <c r="G32" s="52" t="str">
        <f>IF(Inicial!O31="SI",Inicial!G31,"N/A")</f>
        <v>N/A</v>
      </c>
      <c r="H32" s="52" t="str">
        <f>IF(Inicial!O31="SI",Inicial!H31,"N/A")</f>
        <v>N/A</v>
      </c>
      <c r="I32" s="63" t="str">
        <f>IF(Inicial!O31="SI",Inicial!I31,"N/A")</f>
        <v>N/A</v>
      </c>
      <c r="N32" s="11"/>
      <c r="O32" s="11"/>
      <c r="P32" s="11"/>
      <c r="Q32" s="11"/>
      <c r="R32" s="11"/>
      <c r="S32" s="11"/>
      <c r="T32" s="11"/>
      <c r="U32" s="11"/>
    </row>
    <row r="33" spans="1:21">
      <c r="A33" s="51">
        <f>Inicial!A32</f>
        <v>30</v>
      </c>
      <c r="B33" s="52" t="str">
        <f>Inicial!B32</f>
        <v>Procesos</v>
      </c>
      <c r="C33" s="52" t="str">
        <f>Inicial!C32</f>
        <v>Mesanina</v>
      </c>
      <c r="D33" s="53" t="str">
        <f>Inicial!D32</f>
        <v>Reproceso</v>
      </c>
      <c r="E33" s="51" t="str">
        <f>IF(Inicial!O32="SI",Inicial!E32,"N/A")</f>
        <v>N/A</v>
      </c>
      <c r="F33" s="52" t="str">
        <f>IF(Inicial!O32="SI",Inicial!F32,"N/A")</f>
        <v>N/A</v>
      </c>
      <c r="G33" s="52" t="str">
        <f>IF(Inicial!O32="SI",Inicial!G32,"N/A")</f>
        <v>N/A</v>
      </c>
      <c r="H33" s="52" t="str">
        <f>IF(Inicial!O32="SI",Inicial!H32,"N/A")</f>
        <v>N/A</v>
      </c>
      <c r="I33" s="63" t="str">
        <f>IF(Inicial!O32="SI",Inicial!I32,"N/A")</f>
        <v>N/A</v>
      </c>
      <c r="N33" s="11"/>
      <c r="O33" s="11"/>
      <c r="P33" s="11"/>
      <c r="Q33" s="11"/>
      <c r="R33" s="11"/>
      <c r="S33" s="11"/>
      <c r="T33" s="11"/>
      <c r="U33" s="11"/>
    </row>
    <row r="34" spans="1:21" ht="27.6">
      <c r="A34" s="51">
        <f>Inicial!A33</f>
        <v>31</v>
      </c>
      <c r="B34" s="52" t="str">
        <f>Inicial!B33</f>
        <v>Procesos</v>
      </c>
      <c r="C34" s="52" t="str">
        <f>Inicial!C33</f>
        <v>Mesanina</v>
      </c>
      <c r="D34" s="53" t="str">
        <f>Inicial!D33</f>
        <v>Transporte Cazuela</v>
      </c>
      <c r="E34" s="51" t="str">
        <f>IF(Inicial!O33="SI",Inicial!E33,"N/A")</f>
        <v>N/A</v>
      </c>
      <c r="F34" s="52" t="str">
        <f>IF(Inicial!O33="SI",Inicial!F33,"N/A")</f>
        <v>N/A</v>
      </c>
      <c r="G34" s="52" t="str">
        <f>IF(Inicial!O33="SI",Inicial!G33,"N/A")</f>
        <v>N/A</v>
      </c>
      <c r="H34" s="52" t="str">
        <f>IF(Inicial!O33="SI",Inicial!H33,"N/A")</f>
        <v>N/A</v>
      </c>
      <c r="I34" s="63" t="str">
        <f>IF(Inicial!O33="SI",Inicial!I33,"N/A")</f>
        <v>N/A</v>
      </c>
      <c r="N34" s="11"/>
      <c r="O34" s="11"/>
      <c r="P34" s="11"/>
      <c r="Q34" s="11"/>
      <c r="R34" s="11"/>
      <c r="S34" s="11"/>
      <c r="T34" s="11"/>
      <c r="U34" s="11"/>
    </row>
    <row r="35" spans="1:21">
      <c r="A35" s="51">
        <f>Inicial!A34</f>
        <v>32</v>
      </c>
      <c r="B35" s="52" t="str">
        <f>Inicial!B34</f>
        <v>Procesos</v>
      </c>
      <c r="C35" s="52" t="str">
        <f>Inicial!C34</f>
        <v>Mesanina</v>
      </c>
      <c r="D35" s="53" t="str">
        <f>Inicial!D34</f>
        <v>Maquinista</v>
      </c>
      <c r="E35" s="51" t="str">
        <f>IF(Inicial!O34="SI",Inicial!E34,"N/A")</f>
        <v>N/A</v>
      </c>
      <c r="F35" s="52" t="str">
        <f>IF(Inicial!O34="SI",Inicial!F34,"N/A")</f>
        <v>N/A</v>
      </c>
      <c r="G35" s="52" t="str">
        <f>IF(Inicial!O34="SI",Inicial!G34,"N/A")</f>
        <v>N/A</v>
      </c>
      <c r="H35" s="52" t="str">
        <f>IF(Inicial!O34="SI",Inicial!H34,"N/A")</f>
        <v>N/A</v>
      </c>
      <c r="I35" s="63" t="str">
        <f>IF(Inicial!O34="SI",Inicial!I34,"N/A")</f>
        <v>N/A</v>
      </c>
      <c r="N35" s="11"/>
      <c r="O35" s="11"/>
      <c r="P35" s="11"/>
      <c r="Q35" s="11"/>
      <c r="R35" s="11"/>
      <c r="S35" s="11"/>
      <c r="T35" s="11"/>
      <c r="U35" s="11"/>
    </row>
    <row r="36" spans="1:21" ht="27.6">
      <c r="A36" s="51">
        <f>Inicial!A35</f>
        <v>33</v>
      </c>
      <c r="B36" s="52" t="str">
        <f>Inicial!B35</f>
        <v>Procesos</v>
      </c>
      <c r="C36" s="52" t="str">
        <f>Inicial!C35</f>
        <v>Paletizado Fresco</v>
      </c>
      <c r="D36" s="53" t="str">
        <f>Inicial!D35</f>
        <v>Postura de bolsa y pañal</v>
      </c>
      <c r="E36" s="51" t="str">
        <f>IF(Inicial!O35="SI",Inicial!E35,"N/A")</f>
        <v>N/A</v>
      </c>
      <c r="F36" s="52" t="str">
        <f>IF(Inicial!O35="SI",Inicial!F35,"N/A")</f>
        <v>N/A</v>
      </c>
      <c r="G36" s="52" t="str">
        <f>IF(Inicial!O35="SI",Inicial!G35,"N/A")</f>
        <v>N/A</v>
      </c>
      <c r="H36" s="52" t="str">
        <f>IF(Inicial!O35="SI",Inicial!H35,"N/A")</f>
        <v>N/A</v>
      </c>
      <c r="I36" s="63" t="str">
        <f>IF(Inicial!O35="SI",Inicial!I35,"N/A")</f>
        <v>N/A</v>
      </c>
      <c r="S36" s="1"/>
      <c r="T36" s="1"/>
    </row>
    <row r="37" spans="1:21" ht="27.6">
      <c r="A37" s="51">
        <f>Inicial!A36</f>
        <v>34</v>
      </c>
      <c r="B37" s="52" t="str">
        <f>Inicial!B36</f>
        <v>Procesos</v>
      </c>
      <c r="C37" s="52" t="str">
        <f>Inicial!C36</f>
        <v>Paletizado Fresco</v>
      </c>
      <c r="D37" s="53" t="str">
        <f>Inicial!D36</f>
        <v>PC global</v>
      </c>
      <c r="E37" s="51" t="str">
        <f>IF(Inicial!O36="SI",Inicial!E36,"N/A")</f>
        <v>N/A</v>
      </c>
      <c r="F37" s="52" t="str">
        <f>IF(Inicial!O36="SI",Inicial!F36,"N/A")</f>
        <v>N/A</v>
      </c>
      <c r="G37" s="52" t="str">
        <f>IF(Inicial!O36="SI",Inicial!G36,"N/A")</f>
        <v>N/A</v>
      </c>
      <c r="H37" s="52" t="str">
        <f>IF(Inicial!O36="SI",Inicial!H36,"N/A")</f>
        <v>N/A</v>
      </c>
      <c r="I37" s="63" t="str">
        <f>IF(Inicial!O36="SI",Inicial!I36,"N/A")</f>
        <v>N/A</v>
      </c>
      <c r="S37" s="1"/>
      <c r="T37" s="1"/>
    </row>
    <row r="38" spans="1:21" ht="27.6">
      <c r="A38" s="51">
        <f>Inicial!A37</f>
        <v>35</v>
      </c>
      <c r="B38" s="52" t="str">
        <f>Inicial!B37</f>
        <v>Procesos</v>
      </c>
      <c r="C38" s="52" t="str">
        <f>Inicial!C37</f>
        <v>Paletizado Fresco</v>
      </c>
      <c r="D38" s="53" t="str">
        <f>Inicial!D37</f>
        <v>Transpaletero</v>
      </c>
      <c r="E38" s="51" t="str">
        <f>IF(Inicial!O37="SI",Inicial!E37,"N/A")</f>
        <v>N/A</v>
      </c>
      <c r="F38" s="52" t="str">
        <f>IF(Inicial!O37="SI",Inicial!F37,"N/A")</f>
        <v>N/A</v>
      </c>
      <c r="G38" s="52" t="str">
        <f>IF(Inicial!O37="SI",Inicial!G37,"N/A")</f>
        <v>N/A</v>
      </c>
      <c r="H38" s="52" t="str">
        <f>IF(Inicial!O37="SI",Inicial!H37,"N/A")</f>
        <v>N/A</v>
      </c>
      <c r="I38" s="63" t="str">
        <f>IF(Inicial!O37="SI",Inicial!I37,"N/A")</f>
        <v>N/A</v>
      </c>
      <c r="S38" s="1"/>
      <c r="T38" s="1"/>
    </row>
    <row r="39" spans="1:21" ht="27.6">
      <c r="A39" s="51">
        <f>Inicial!A38</f>
        <v>36</v>
      </c>
      <c r="B39" s="52" t="str">
        <f>Inicial!B38</f>
        <v>Procesos</v>
      </c>
      <c r="C39" s="52" t="str">
        <f>Inicial!C38</f>
        <v>Paletizado Fresco</v>
      </c>
      <c r="D39" s="53" t="str">
        <f>Inicial!D38</f>
        <v>Maquinista</v>
      </c>
      <c r="E39" s="51" t="str">
        <f>IF(Inicial!O38="SI",Inicial!E38,"N/A")</f>
        <v>N/A</v>
      </c>
      <c r="F39" s="52" t="str">
        <f>IF(Inicial!O38="SI",Inicial!F38,"N/A")</f>
        <v>N/A</v>
      </c>
      <c r="G39" s="52" t="str">
        <f>IF(Inicial!O38="SI",Inicial!G38,"N/A")</f>
        <v>N/A</v>
      </c>
      <c r="H39" s="52" t="str">
        <f>IF(Inicial!O38="SI",Inicial!H38,"N/A")</f>
        <v>N/A</v>
      </c>
      <c r="I39" s="63" t="str">
        <f>IF(Inicial!O38="SI",Inicial!I38,"N/A")</f>
        <v>N/A</v>
      </c>
      <c r="S39" s="1"/>
      <c r="T39" s="1"/>
    </row>
    <row r="40" spans="1:21" ht="27.6">
      <c r="A40" s="51">
        <f>Inicial!A39</f>
        <v>37</v>
      </c>
      <c r="B40" s="52" t="str">
        <f>Inicial!B39</f>
        <v>Procesos</v>
      </c>
      <c r="C40" s="52" t="str">
        <f>Inicial!C39</f>
        <v>Paletizado Fresco</v>
      </c>
      <c r="D40" s="53" t="str">
        <f>Inicial!D39</f>
        <v>Administrativo</v>
      </c>
      <c r="E40" s="51" t="str">
        <f>IF(Inicial!O39="SI",Inicial!E39,"N/A")</f>
        <v>N/A</v>
      </c>
      <c r="F40" s="52" t="str">
        <f>IF(Inicial!O39="SI",Inicial!F39,"N/A")</f>
        <v>N/A</v>
      </c>
      <c r="G40" s="52" t="str">
        <f>IF(Inicial!O39="SI",Inicial!G39,"N/A")</f>
        <v>N/A</v>
      </c>
      <c r="H40" s="52" t="str">
        <f>IF(Inicial!O39="SI",Inicial!H39,"N/A")</f>
        <v>N/A</v>
      </c>
      <c r="I40" s="63" t="str">
        <f>IF(Inicial!O39="SI",Inicial!I39,"N/A")</f>
        <v>N/A</v>
      </c>
      <c r="S40" s="1"/>
      <c r="T40" s="1"/>
    </row>
    <row r="41" spans="1:21" ht="27.6">
      <c r="A41" s="51">
        <f>Inicial!A40</f>
        <v>38</v>
      </c>
      <c r="B41" s="52" t="str">
        <f>Inicial!B40</f>
        <v>Procesos</v>
      </c>
      <c r="C41" s="52" t="str">
        <f>Inicial!C40</f>
        <v>Paletizado Fresco</v>
      </c>
      <c r="D41" s="53" t="str">
        <f>Inicial!D40</f>
        <v xml:space="preserve">Jefe de Línea </v>
      </c>
      <c r="E41" s="51" t="str">
        <f>IF(Inicial!O40="SI",Inicial!E40,"N/A")</f>
        <v>N/A</v>
      </c>
      <c r="F41" s="52" t="str">
        <f>IF(Inicial!O40="SI",Inicial!F40,"N/A")</f>
        <v>N/A</v>
      </c>
      <c r="G41" s="52" t="str">
        <f>IF(Inicial!O40="SI",Inicial!G40,"N/A")</f>
        <v>N/A</v>
      </c>
      <c r="H41" s="52" t="str">
        <f>IF(Inicial!O40="SI",Inicial!H40,"N/A")</f>
        <v>N/A</v>
      </c>
      <c r="I41" s="63" t="str">
        <f>IF(Inicial!O40="SI",Inicial!I40,"N/A")</f>
        <v>N/A</v>
      </c>
      <c r="S41" s="1"/>
      <c r="T41" s="1"/>
    </row>
    <row r="42" spans="1:21" ht="27.6">
      <c r="A42" s="51">
        <f>Inicial!A41</f>
        <v>39</v>
      </c>
      <c r="B42" s="52" t="str">
        <f>Inicial!B41</f>
        <v>Procesos</v>
      </c>
      <c r="C42" s="52" t="str">
        <f>Inicial!C41</f>
        <v>Paletizado Fresco</v>
      </c>
      <c r="D42" s="53" t="str">
        <f>Inicial!D41</f>
        <v>Paletizador</v>
      </c>
      <c r="E42" s="51" t="str">
        <f>IF(Inicial!O41="SI",Inicial!E41,"N/A")</f>
        <v>N/A</v>
      </c>
      <c r="F42" s="52" t="str">
        <f>IF(Inicial!O41="SI",Inicial!F41,"N/A")</f>
        <v>N/A</v>
      </c>
      <c r="G42" s="52" t="str">
        <f>IF(Inicial!O41="SI",Inicial!G41,"N/A")</f>
        <v>N/A</v>
      </c>
      <c r="H42" s="52" t="str">
        <f>IF(Inicial!O41="SI",Inicial!H41,"N/A")</f>
        <v>N/A</v>
      </c>
      <c r="I42" s="63" t="str">
        <f>IF(Inicial!O41="SI",Inicial!I41,"N/A")</f>
        <v>N/A</v>
      </c>
      <c r="S42" s="1"/>
      <c r="T42" s="1"/>
    </row>
    <row r="43" spans="1:21" ht="27.6">
      <c r="A43" s="51">
        <f>Inicial!A42</f>
        <v>40</v>
      </c>
      <c r="B43" s="52" t="str">
        <f>Inicial!B42</f>
        <v>Procesos</v>
      </c>
      <c r="C43" s="52" t="str">
        <f>Inicial!C42</f>
        <v>Paletizado Fresco</v>
      </c>
      <c r="D43" s="53" t="str">
        <f>Inicial!D42</f>
        <v>Supervisor</v>
      </c>
      <c r="E43" s="51" t="str">
        <f>IF(Inicial!O42="SI",Inicial!E42,"N/A")</f>
        <v>N/A</v>
      </c>
      <c r="F43" s="52" t="str">
        <f>IF(Inicial!O42="SI",Inicial!F42,"N/A")</f>
        <v>N/A</v>
      </c>
      <c r="G43" s="52" t="str">
        <f>IF(Inicial!O42="SI",Inicial!G42,"N/A")</f>
        <v>N/A</v>
      </c>
      <c r="H43" s="52" t="str">
        <f>IF(Inicial!O42="SI",Inicial!H42,"N/A")</f>
        <v>N/A</v>
      </c>
      <c r="I43" s="63" t="str">
        <f>IF(Inicial!O42="SI",Inicial!I42,"N/A")</f>
        <v>N/A</v>
      </c>
      <c r="S43" s="1"/>
      <c r="T43" s="1"/>
    </row>
    <row r="44" spans="1:21" ht="41.45">
      <c r="A44" s="51">
        <f>Inicial!A43</f>
        <v>41</v>
      </c>
      <c r="B44" s="52" t="str">
        <f>Inicial!B43</f>
        <v>Procesos</v>
      </c>
      <c r="C44" s="52" t="str">
        <f>Inicial!C43</f>
        <v>Trozado L1</v>
      </c>
      <c r="D44" s="53" t="str">
        <f>Inicial!D43</f>
        <v>Pesador de producto derecha</v>
      </c>
      <c r="E44" s="51" t="str">
        <f>IF(Inicial!O43="SI",Inicial!E43,"N/A")</f>
        <v>N/A</v>
      </c>
      <c r="F44" s="52" t="str">
        <f>IF(Inicial!O43="SI",Inicial!F43,"N/A")</f>
        <v>N/A</v>
      </c>
      <c r="G44" s="52" t="str">
        <f>IF(Inicial!O43="SI",Inicial!G43,"N/A")</f>
        <v>N/A</v>
      </c>
      <c r="H44" s="52" t="str">
        <f>IF(Inicial!O43="SI",Inicial!H43,"N/A")</f>
        <v>N/A</v>
      </c>
      <c r="I44" s="63" t="str">
        <f>IF(Inicial!O43="SI",Inicial!I43,"N/A")</f>
        <v>N/A</v>
      </c>
      <c r="S44" s="1"/>
      <c r="T44" s="1"/>
    </row>
    <row r="45" spans="1:21" ht="41.45">
      <c r="A45" s="51">
        <f>Inicial!A44</f>
        <v>42</v>
      </c>
      <c r="B45" s="52" t="str">
        <f>Inicial!B44</f>
        <v>Procesos</v>
      </c>
      <c r="C45" s="52" t="str">
        <f>Inicial!C44</f>
        <v>Trozado L2</v>
      </c>
      <c r="D45" s="53" t="str">
        <f>Inicial!D44</f>
        <v>Pesador de producto izquierda</v>
      </c>
      <c r="E45" s="51" t="str">
        <f>IF(Inicial!O44="SI",Inicial!E44,"N/A")</f>
        <v>N/A</v>
      </c>
      <c r="F45" s="52" t="str">
        <f>IF(Inicial!O44="SI",Inicial!F44,"N/A")</f>
        <v>N/A</v>
      </c>
      <c r="G45" s="52" t="str">
        <f>IF(Inicial!O44="SI",Inicial!G44,"N/A")</f>
        <v>N/A</v>
      </c>
      <c r="H45" s="52" t="str">
        <f>IF(Inicial!O44="SI",Inicial!H44,"N/A")</f>
        <v>N/A</v>
      </c>
      <c r="I45" s="63" t="str">
        <f>IF(Inicial!O44="SI",Inicial!I44,"N/A")</f>
        <v>N/A</v>
      </c>
      <c r="S45" s="1"/>
      <c r="T45" s="1"/>
    </row>
    <row r="46" spans="1:21" ht="27.6">
      <c r="A46" s="51">
        <f>Inicial!A45</f>
        <v>43</v>
      </c>
      <c r="B46" s="52" t="str">
        <f>Inicial!B45</f>
        <v>Procesos</v>
      </c>
      <c r="C46" s="52" t="str">
        <f>Inicial!C45</f>
        <v>Trozado L5</v>
      </c>
      <c r="D46" s="53" t="str">
        <f>Inicial!D45</f>
        <v>Selección de  (trutro)</v>
      </c>
      <c r="E46" s="51" t="str">
        <f>IF(Inicial!O45="SI",Inicial!E45,"N/A")</f>
        <v>N/A</v>
      </c>
      <c r="F46" s="52" t="str">
        <f>IF(Inicial!O45="SI",Inicial!F45,"N/A")</f>
        <v>N/A</v>
      </c>
      <c r="G46" s="52" t="str">
        <f>IF(Inicial!O45="SI",Inicial!G45,"N/A")</f>
        <v>N/A</v>
      </c>
      <c r="H46" s="52" t="str">
        <f>IF(Inicial!O45="SI",Inicial!H45,"N/A")</f>
        <v>N/A</v>
      </c>
      <c r="I46" s="63" t="str">
        <f>IF(Inicial!O45="SI",Inicial!I45,"N/A")</f>
        <v>N/A</v>
      </c>
      <c r="S46" s="1"/>
      <c r="T46" s="1"/>
    </row>
    <row r="47" spans="1:21" ht="41.45">
      <c r="A47" s="51">
        <f>Inicial!A46</f>
        <v>44</v>
      </c>
      <c r="B47" s="52" t="str">
        <f>Inicial!B46</f>
        <v>Procesos</v>
      </c>
      <c r="C47" s="52" t="str">
        <f>Inicial!C46</f>
        <v>Trozado L1</v>
      </c>
      <c r="D47" s="53" t="str">
        <f>Inicial!D46</f>
        <v>Embalado de producto en termoformadora</v>
      </c>
      <c r="E47" s="51" t="str">
        <f>IF(Inicial!O46="SI",Inicial!E46,"N/A")</f>
        <v>N/A</v>
      </c>
      <c r="F47" s="52" t="str">
        <f>IF(Inicial!O46="SI",Inicial!F46,"N/A")</f>
        <v>N/A</v>
      </c>
      <c r="G47" s="52" t="str">
        <f>IF(Inicial!O46="SI",Inicial!G46,"N/A")</f>
        <v>N/A</v>
      </c>
      <c r="H47" s="52" t="str">
        <f>IF(Inicial!O46="SI",Inicial!H46,"N/A")</f>
        <v>N/A</v>
      </c>
      <c r="I47" s="63" t="str">
        <f>IF(Inicial!O46="SI",Inicial!I46,"N/A")</f>
        <v>N/A</v>
      </c>
      <c r="S47" s="1"/>
      <c r="T47" s="1"/>
    </row>
    <row r="48" spans="1:21" ht="27.6">
      <c r="A48" s="51">
        <f>Inicial!A47</f>
        <v>45</v>
      </c>
      <c r="B48" s="52" t="str">
        <f>Inicial!B47</f>
        <v>Procesos</v>
      </c>
      <c r="C48" s="52" t="str">
        <f>Inicial!C47</f>
        <v>Trozado L1</v>
      </c>
      <c r="D48" s="53" t="str">
        <f>Inicial!D47</f>
        <v>Chequeador de peso</v>
      </c>
      <c r="E48" s="51" t="str">
        <f>IF(Inicial!O47="SI",Inicial!E47,"N/A")</f>
        <v>N/A</v>
      </c>
      <c r="F48" s="52" t="str">
        <f>IF(Inicial!O47="SI",Inicial!F47,"N/A")</f>
        <v>N/A</v>
      </c>
      <c r="G48" s="52" t="str">
        <f>IF(Inicial!O47="SI",Inicial!G47,"N/A")</f>
        <v>N/A</v>
      </c>
      <c r="H48" s="52" t="str">
        <f>IF(Inicial!O47="SI",Inicial!H47,"N/A")</f>
        <v>N/A</v>
      </c>
      <c r="I48" s="63" t="str">
        <f>IF(Inicial!O47="SI",Inicial!I47,"N/A")</f>
        <v>N/A</v>
      </c>
      <c r="S48" s="1"/>
      <c r="T48" s="1"/>
    </row>
    <row r="49" spans="1:20">
      <c r="A49" s="51">
        <f>Inicial!A48</f>
        <v>46</v>
      </c>
      <c r="B49" s="52" t="str">
        <f>Inicial!B48</f>
        <v>Procesos</v>
      </c>
      <c r="C49" s="52" t="str">
        <f>Inicial!C48</f>
        <v>Trozado L2</v>
      </c>
      <c r="D49" s="53" t="str">
        <f>Inicial!D48</f>
        <v>Traslape</v>
      </c>
      <c r="E49" s="51" t="str">
        <f>IF(Inicial!O48="SI",Inicial!E48,"N/A")</f>
        <v>N/A</v>
      </c>
      <c r="F49" s="52" t="str">
        <f>IF(Inicial!O48="SI",Inicial!F48,"N/A")</f>
        <v>N/A</v>
      </c>
      <c r="G49" s="52" t="str">
        <f>IF(Inicial!O48="SI",Inicial!G48,"N/A")</f>
        <v>N/A</v>
      </c>
      <c r="H49" s="52" t="str">
        <f>IF(Inicial!O48="SI",Inicial!H48,"N/A")</f>
        <v>N/A</v>
      </c>
      <c r="I49" s="63" t="str">
        <f>IF(Inicial!O48="SI",Inicial!I48,"N/A")</f>
        <v>N/A</v>
      </c>
      <c r="S49" s="1"/>
      <c r="T49" s="1"/>
    </row>
    <row r="50" spans="1:20" ht="27.6">
      <c r="A50" s="51">
        <f>Inicial!A49</f>
        <v>47</v>
      </c>
      <c r="B50" s="52" t="str">
        <f>Inicial!B49</f>
        <v>Procesos</v>
      </c>
      <c r="C50" s="52" t="str">
        <f>Inicial!C49</f>
        <v>Trozado L1</v>
      </c>
      <c r="D50" s="53" t="str">
        <f>Inicial!D49</f>
        <v>Volteador de bins</v>
      </c>
      <c r="E50" s="51" t="str">
        <f>IF(Inicial!O49="SI",Inicial!E49,"N/A")</f>
        <v>N/A</v>
      </c>
      <c r="F50" s="52" t="str">
        <f>IF(Inicial!O49="SI",Inicial!F49,"N/A")</f>
        <v>N/A</v>
      </c>
      <c r="G50" s="52" t="str">
        <f>IF(Inicial!O49="SI",Inicial!G49,"N/A")</f>
        <v>N/A</v>
      </c>
      <c r="H50" s="52" t="str">
        <f>IF(Inicial!O49="SI",Inicial!H49,"N/A")</f>
        <v>N/A</v>
      </c>
      <c r="I50" s="63" t="str">
        <f>IF(Inicial!O49="SI",Inicial!I49,"N/A")</f>
        <v>N/A</v>
      </c>
      <c r="S50" s="1"/>
      <c r="T50" s="1"/>
    </row>
    <row r="51" spans="1:20">
      <c r="A51" s="51" t="e">
        <f>Inicial!#REF!</f>
        <v>#REF!</v>
      </c>
      <c r="B51" s="52" t="e">
        <f>Inicial!#REF!</f>
        <v>#REF!</v>
      </c>
      <c r="C51" s="52" t="e">
        <f>Inicial!#REF!</f>
        <v>#REF!</v>
      </c>
      <c r="D51" s="53" t="e">
        <f>Inicial!#REF!</f>
        <v>#REF!</v>
      </c>
      <c r="E51" s="51" t="e">
        <f>IF(Inicial!#REF!="SI",Inicial!#REF!,"N/A")</f>
        <v>#REF!</v>
      </c>
      <c r="F51" s="52" t="e">
        <f>IF(Inicial!#REF!="SI",Inicial!#REF!,"N/A")</f>
        <v>#REF!</v>
      </c>
      <c r="G51" s="52" t="e">
        <f>IF(Inicial!#REF!="SI",Inicial!#REF!,"N/A")</f>
        <v>#REF!</v>
      </c>
      <c r="H51" s="52" t="e">
        <f>IF(Inicial!#REF!="SI",Inicial!#REF!,"N/A")</f>
        <v>#REF!</v>
      </c>
      <c r="I51" s="63" t="e">
        <f>IF(Inicial!#REF!="SI",Inicial!#REF!,"N/A")</f>
        <v>#REF!</v>
      </c>
      <c r="S51" s="1"/>
      <c r="T51" s="1"/>
    </row>
    <row r="52" spans="1:20">
      <c r="A52" s="51" t="e">
        <f>Inicial!#REF!</f>
        <v>#REF!</v>
      </c>
      <c r="B52" s="52" t="e">
        <f>Inicial!#REF!</f>
        <v>#REF!</v>
      </c>
      <c r="C52" s="52" t="e">
        <f>Inicial!#REF!</f>
        <v>#REF!</v>
      </c>
      <c r="D52" s="53" t="e">
        <f>Inicial!#REF!</f>
        <v>#REF!</v>
      </c>
      <c r="E52" s="51" t="e">
        <f>IF(Inicial!#REF!="SI",Inicial!#REF!,"N/A")</f>
        <v>#REF!</v>
      </c>
      <c r="F52" s="52" t="e">
        <f>IF(Inicial!#REF!="SI",Inicial!#REF!,"N/A")</f>
        <v>#REF!</v>
      </c>
      <c r="G52" s="52" t="e">
        <f>IF(Inicial!#REF!="SI",Inicial!#REF!,"N/A")</f>
        <v>#REF!</v>
      </c>
      <c r="H52" s="52" t="e">
        <f>IF(Inicial!#REF!="SI",Inicial!#REF!,"N/A")</f>
        <v>#REF!</v>
      </c>
      <c r="I52" s="63" t="e">
        <f>IF(Inicial!#REF!="SI",Inicial!#REF!,"N/A")</f>
        <v>#REF!</v>
      </c>
      <c r="S52" s="1"/>
      <c r="T52" s="1"/>
    </row>
    <row r="53" spans="1:20">
      <c r="A53" s="51">
        <f>Inicial!A50</f>
        <v>48</v>
      </c>
      <c r="B53" s="52" t="str">
        <f>Inicial!B50</f>
        <v>Procesos</v>
      </c>
      <c r="C53" s="52" t="str">
        <f>Inicial!C50</f>
        <v>Mesanina</v>
      </c>
      <c r="D53" s="53" t="str">
        <f>Inicial!D50</f>
        <v>Recolgado</v>
      </c>
      <c r="E53" s="51" t="str">
        <f>IF(Inicial!O50="SI",Inicial!E50,"N/A")</f>
        <v>N/A</v>
      </c>
      <c r="F53" s="52" t="str">
        <f>IF(Inicial!O50="SI",Inicial!F50,"N/A")</f>
        <v>N/A</v>
      </c>
      <c r="G53" s="52" t="str">
        <f>IF(Inicial!O50="SI",Inicial!G50,"N/A")</f>
        <v>N/A</v>
      </c>
      <c r="H53" s="52" t="str">
        <f>IF(Inicial!O50="SI",Inicial!H50,"N/A")</f>
        <v>N/A</v>
      </c>
      <c r="I53" s="63" t="str">
        <f>IF(Inicial!O50="SI",Inicial!I50,"N/A")</f>
        <v>N/A</v>
      </c>
      <c r="S53" s="1"/>
      <c r="T53" s="1"/>
    </row>
    <row r="54" spans="1:20">
      <c r="A54" s="51" t="e">
        <f>Inicial!#REF!</f>
        <v>#REF!</v>
      </c>
      <c r="B54" s="52" t="e">
        <f>Inicial!#REF!</f>
        <v>#REF!</v>
      </c>
      <c r="C54" s="52" t="e">
        <f>Inicial!#REF!</f>
        <v>#REF!</v>
      </c>
      <c r="D54" s="53" t="e">
        <f>Inicial!#REF!</f>
        <v>#REF!</v>
      </c>
      <c r="E54" s="51" t="e">
        <f>IF(Inicial!#REF!="SI",Inicial!#REF!,"N/A")</f>
        <v>#REF!</v>
      </c>
      <c r="F54" s="52" t="e">
        <f>IF(Inicial!#REF!="SI",Inicial!#REF!,"N/A")</f>
        <v>#REF!</v>
      </c>
      <c r="G54" s="52" t="e">
        <f>IF(Inicial!#REF!="SI",Inicial!#REF!,"N/A")</f>
        <v>#REF!</v>
      </c>
      <c r="H54" s="52" t="e">
        <f>IF(Inicial!#REF!="SI",Inicial!#REF!,"N/A")</f>
        <v>#REF!</v>
      </c>
      <c r="I54" s="63" t="e">
        <f>IF(Inicial!#REF!="SI",Inicial!#REF!,"N/A")</f>
        <v>#REF!</v>
      </c>
      <c r="S54" s="1"/>
      <c r="T54" s="1"/>
    </row>
    <row r="55" spans="1:20">
      <c r="A55" s="51">
        <f>Inicial!A51</f>
        <v>49</v>
      </c>
      <c r="B55" s="52" t="str">
        <f>Inicial!B51</f>
        <v>Procesos</v>
      </c>
      <c r="C55" s="52" t="str">
        <f>Inicial!C51</f>
        <v>Trozado</v>
      </c>
      <c r="D55" s="53" t="str">
        <f>Inicial!D51</f>
        <v>Tranferidor</v>
      </c>
      <c r="E55" s="51" t="str">
        <f>IF(Inicial!O51="SI",Inicial!E51,"N/A")</f>
        <v>N/A</v>
      </c>
      <c r="F55" s="52" t="str">
        <f>IF(Inicial!O51="SI",Inicial!F51,"N/A")</f>
        <v>N/A</v>
      </c>
      <c r="G55" s="52" t="str">
        <f>IF(Inicial!O51="SI",Inicial!G51,"N/A")</f>
        <v>N/A</v>
      </c>
      <c r="H55" s="52" t="str">
        <f>IF(Inicial!O51="SI",Inicial!H51,"N/A")</f>
        <v>N/A</v>
      </c>
      <c r="I55" s="63" t="str">
        <f>IF(Inicial!O51="SI",Inicial!I51,"N/A")</f>
        <v>N/A</v>
      </c>
      <c r="S55" s="1"/>
      <c r="T55" s="1"/>
    </row>
    <row r="56" spans="1:20">
      <c r="A56" s="51">
        <f>Inicial!A52</f>
        <v>50</v>
      </c>
      <c r="B56" s="52" t="str">
        <f>Inicial!B52</f>
        <v>Procesos</v>
      </c>
      <c r="C56" s="52" t="str">
        <f>Inicial!C52</f>
        <v>Trozado</v>
      </c>
      <c r="D56" s="53" t="str">
        <f>Inicial!D52</f>
        <v>Transpaletero</v>
      </c>
      <c r="E56" s="51" t="str">
        <f>IF(Inicial!O52="SI",Inicial!E52,"N/A")</f>
        <v>N/A</v>
      </c>
      <c r="F56" s="52" t="str">
        <f>IF(Inicial!O52="SI",Inicial!F52,"N/A")</f>
        <v>N/A</v>
      </c>
      <c r="G56" s="52" t="str">
        <f>IF(Inicial!O52="SI",Inicial!G52,"N/A")</f>
        <v>N/A</v>
      </c>
      <c r="H56" s="52" t="str">
        <f>IF(Inicial!O52="SI",Inicial!H52,"N/A")</f>
        <v>N/A</v>
      </c>
      <c r="I56" s="63" t="str">
        <f>IF(Inicial!O52="SI",Inicial!I52,"N/A")</f>
        <v>N/A</v>
      </c>
      <c r="S56" s="1"/>
      <c r="T56" s="1"/>
    </row>
    <row r="57" spans="1:20">
      <c r="A57" s="51">
        <f>Inicial!A53</f>
        <v>51</v>
      </c>
      <c r="B57" s="52" t="str">
        <f>Inicial!B53</f>
        <v>Procesos</v>
      </c>
      <c r="C57" s="52" t="str">
        <f>Inicial!C53</f>
        <v>Trozado L2</v>
      </c>
      <c r="D57" s="53" t="str">
        <f>Inicial!D53</f>
        <v>Trozado manual</v>
      </c>
      <c r="E57" s="51" t="str">
        <f>IF(Inicial!O53="SI",Inicial!E53,"N/A")</f>
        <v>N/A</v>
      </c>
      <c r="F57" s="52" t="str">
        <f>IF(Inicial!O53="SI",Inicial!F53,"N/A")</f>
        <v>N/A</v>
      </c>
      <c r="G57" s="52" t="str">
        <f>IF(Inicial!O53="SI",Inicial!G53,"N/A")</f>
        <v>N/A</v>
      </c>
      <c r="H57" s="52" t="str">
        <f>IF(Inicial!O53="SI",Inicial!H53,"N/A")</f>
        <v>N/A</v>
      </c>
      <c r="I57" s="63" t="str">
        <f>IF(Inicial!O53="SI",Inicial!I53,"N/A")</f>
        <v>N/A</v>
      </c>
      <c r="S57" s="1"/>
      <c r="T57" s="1"/>
    </row>
    <row r="58" spans="1:20">
      <c r="A58" s="51">
        <f>Inicial!A54</f>
        <v>52</v>
      </c>
      <c r="B58" s="52" t="str">
        <f>Inicial!B54</f>
        <v>Procesos</v>
      </c>
      <c r="C58" s="52" t="str">
        <f>Inicial!C54</f>
        <v>Trozado</v>
      </c>
      <c r="D58" s="53" t="str">
        <f>Inicial!D54</f>
        <v>Maquinista</v>
      </c>
      <c r="E58" s="51" t="str">
        <f>IF(Inicial!O54="SI",Inicial!E54,"N/A")</f>
        <v>N/A</v>
      </c>
      <c r="F58" s="52" t="str">
        <f>IF(Inicial!O54="SI",Inicial!F54,"N/A")</f>
        <v>N/A</v>
      </c>
      <c r="G58" s="52" t="str">
        <f>IF(Inicial!O54="SI",Inicial!G54,"N/A")</f>
        <v>N/A</v>
      </c>
      <c r="H58" s="52" t="str">
        <f>IF(Inicial!O54="SI",Inicial!H54,"N/A")</f>
        <v>N/A</v>
      </c>
      <c r="I58" s="63" t="str">
        <f>IF(Inicial!O54="SI",Inicial!I54,"N/A")</f>
        <v>N/A</v>
      </c>
      <c r="S58" s="1"/>
      <c r="T58" s="1"/>
    </row>
    <row r="59" spans="1:20">
      <c r="A59" s="51">
        <f>Inicial!A55</f>
        <v>53</v>
      </c>
      <c r="B59" s="52" t="str">
        <f>Inicial!B55</f>
        <v>Procesos</v>
      </c>
      <c r="C59" s="52" t="str">
        <f>Inicial!C55</f>
        <v>Trozado</v>
      </c>
      <c r="D59" s="53" t="str">
        <f>Inicial!D55</f>
        <v>Fechado</v>
      </c>
      <c r="E59" s="51" t="str">
        <f>IF(Inicial!O55="SI",Inicial!E55,"N/A")</f>
        <v>N/A</v>
      </c>
      <c r="F59" s="52" t="str">
        <f>IF(Inicial!O55="SI",Inicial!F55,"N/A")</f>
        <v>N/A</v>
      </c>
      <c r="G59" s="52" t="str">
        <f>IF(Inicial!O55="SI",Inicial!G55,"N/A")</f>
        <v>N/A</v>
      </c>
      <c r="H59" s="52" t="str">
        <f>IF(Inicial!O55="SI",Inicial!H55,"N/A")</f>
        <v>N/A</v>
      </c>
      <c r="I59" s="63" t="str">
        <f>IF(Inicial!O55="SI",Inicial!I55,"N/A")</f>
        <v>N/A</v>
      </c>
      <c r="S59" s="1"/>
      <c r="T59" s="1"/>
    </row>
    <row r="60" spans="1:20">
      <c r="A60" s="51" t="e">
        <f>Inicial!#REF!</f>
        <v>#REF!</v>
      </c>
      <c r="B60" s="52" t="e">
        <f>Inicial!#REF!</f>
        <v>#REF!</v>
      </c>
      <c r="C60" s="52" t="e">
        <f>Inicial!#REF!</f>
        <v>#REF!</v>
      </c>
      <c r="D60" s="53" t="e">
        <f>Inicial!#REF!</f>
        <v>#REF!</v>
      </c>
      <c r="E60" s="51" t="e">
        <f>IF(Inicial!#REF!="SI",Inicial!#REF!,"N/A")</f>
        <v>#REF!</v>
      </c>
      <c r="F60" s="52" t="e">
        <f>IF(Inicial!#REF!="SI",Inicial!#REF!,"N/A")</f>
        <v>#REF!</v>
      </c>
      <c r="G60" s="52" t="e">
        <f>IF(Inicial!#REF!="SI",Inicial!#REF!,"N/A")</f>
        <v>#REF!</v>
      </c>
      <c r="H60" s="52" t="e">
        <f>IF(Inicial!#REF!="SI",Inicial!#REF!,"N/A")</f>
        <v>#REF!</v>
      </c>
      <c r="I60" s="63" t="e">
        <f>IF(Inicial!#REF!="SI",Inicial!#REF!,"N/A")</f>
        <v>#REF!</v>
      </c>
      <c r="S60" s="1"/>
      <c r="T60" s="1"/>
    </row>
    <row r="61" spans="1:20" ht="27.6">
      <c r="A61" s="51">
        <f>Inicial!A56</f>
        <v>54</v>
      </c>
      <c r="B61" s="52" t="str">
        <f>Inicial!B56</f>
        <v>Procesos</v>
      </c>
      <c r="C61" s="52" t="str">
        <f>Inicial!C56</f>
        <v>Trozado L1</v>
      </c>
      <c r="D61" s="53" t="str">
        <f>Inicial!D56</f>
        <v>Embalado pollo personal</v>
      </c>
      <c r="E61" s="51" t="str">
        <f>IF(Inicial!O56="SI",Inicial!E56,"N/A")</f>
        <v>N/A</v>
      </c>
      <c r="F61" s="52" t="str">
        <f>IF(Inicial!O56="SI",Inicial!F56,"N/A")</f>
        <v>N/A</v>
      </c>
      <c r="G61" s="52" t="str">
        <f>IF(Inicial!O56="SI",Inicial!G56,"N/A")</f>
        <v>N/A</v>
      </c>
      <c r="H61" s="52" t="str">
        <f>IF(Inicial!O56="SI",Inicial!H56,"N/A")</f>
        <v>N/A</v>
      </c>
      <c r="I61" s="63" t="str">
        <f>IF(Inicial!O56="SI",Inicial!I56,"N/A")</f>
        <v>N/A</v>
      </c>
      <c r="S61" s="1"/>
      <c r="T61" s="1"/>
    </row>
    <row r="62" spans="1:20">
      <c r="A62" s="51">
        <f>Inicial!A57</f>
        <v>55</v>
      </c>
      <c r="B62" s="52" t="str">
        <f>Inicial!B57</f>
        <v>Procesos</v>
      </c>
      <c r="C62" s="52" t="str">
        <f>Inicial!C57</f>
        <v>Trozado</v>
      </c>
      <c r="D62" s="53" t="str">
        <f>Inicial!D57</f>
        <v>Programador</v>
      </c>
      <c r="E62" s="51" t="str">
        <f>IF(Inicial!O57="SI",Inicial!E57,"N/A")</f>
        <v>N/A</v>
      </c>
      <c r="F62" s="52" t="str">
        <f>IF(Inicial!O57="SI",Inicial!F57,"N/A")</f>
        <v>N/A</v>
      </c>
      <c r="G62" s="52" t="str">
        <f>IF(Inicial!O57="SI",Inicial!G57,"N/A")</f>
        <v>N/A</v>
      </c>
      <c r="H62" s="52" t="str">
        <f>IF(Inicial!O57="SI",Inicial!H57,"N/A")</f>
        <v>N/A</v>
      </c>
      <c r="I62" s="63" t="str">
        <f>IF(Inicial!O57="SI",Inicial!I57,"N/A")</f>
        <v>N/A</v>
      </c>
      <c r="S62" s="1"/>
      <c r="T62" s="1"/>
    </row>
    <row r="63" spans="1:20">
      <c r="A63" s="51">
        <f>Inicial!A58</f>
        <v>56</v>
      </c>
      <c r="B63" s="52" t="str">
        <f>Inicial!B58</f>
        <v>Procesos</v>
      </c>
      <c r="C63" s="52" t="str">
        <f>Inicial!C58</f>
        <v>Trozado L5</v>
      </c>
      <c r="D63" s="53" t="str">
        <f>Inicial!D58</f>
        <v>Vacio espinazo</v>
      </c>
      <c r="E63" s="51" t="str">
        <f>IF(Inicial!O58="SI",Inicial!E58,"N/A")</f>
        <v>N/A</v>
      </c>
      <c r="F63" s="52" t="str">
        <f>IF(Inicial!O58="SI",Inicial!F58,"N/A")</f>
        <v>N/A</v>
      </c>
      <c r="G63" s="52" t="str">
        <f>IF(Inicial!O58="SI",Inicial!G58,"N/A")</f>
        <v>N/A</v>
      </c>
      <c r="H63" s="52" t="str">
        <f>IF(Inicial!O58="SI",Inicial!H58,"N/A")</f>
        <v>N/A</v>
      </c>
      <c r="I63" s="63" t="str">
        <f>IF(Inicial!O58="SI",Inicial!I58,"N/A")</f>
        <v>N/A</v>
      </c>
      <c r="S63" s="1"/>
      <c r="T63" s="1"/>
    </row>
    <row r="64" spans="1:20" ht="27.6">
      <c r="A64" s="51">
        <f>Inicial!A59</f>
        <v>57</v>
      </c>
      <c r="B64" s="52" t="str">
        <f>Inicial!B59</f>
        <v>Procesos</v>
      </c>
      <c r="C64" s="52" t="str">
        <f>Inicial!C59</f>
        <v>Trozado L5</v>
      </c>
      <c r="D64" s="53" t="str">
        <f>Inicial!D59</f>
        <v>Vacio punta espinazo</v>
      </c>
      <c r="E64" s="51" t="str">
        <f>IF(Inicial!O59="SI",Inicial!E59,"N/A")</f>
        <v>N/A</v>
      </c>
      <c r="F64" s="52" t="str">
        <f>IF(Inicial!O59="SI",Inicial!F59,"N/A")</f>
        <v>N/A</v>
      </c>
      <c r="G64" s="52" t="str">
        <f>IF(Inicial!O59="SI",Inicial!G59,"N/A")</f>
        <v>N/A</v>
      </c>
      <c r="H64" s="52" t="str">
        <f>IF(Inicial!O59="SI",Inicial!H59,"N/A")</f>
        <v>N/A</v>
      </c>
      <c r="I64" s="63" t="str">
        <f>IF(Inicial!O59="SI",Inicial!I59,"N/A")</f>
        <v>N/A</v>
      </c>
      <c r="S64" s="1"/>
      <c r="T64" s="1"/>
    </row>
    <row r="65" spans="1:20" ht="27.6">
      <c r="A65" s="51">
        <f>Inicial!A60</f>
        <v>58</v>
      </c>
      <c r="B65" s="52" t="str">
        <f>Inicial!B60</f>
        <v>Procesos</v>
      </c>
      <c r="C65" s="52" t="str">
        <f>Inicial!C60</f>
        <v>Trozado</v>
      </c>
      <c r="D65" s="53" t="str">
        <f>Inicial!D60</f>
        <v>Trozado manual cazuela</v>
      </c>
      <c r="E65" s="51" t="str">
        <f>IF(Inicial!O60="SI",Inicial!E60,"N/A")</f>
        <v>N/A</v>
      </c>
      <c r="F65" s="52" t="str">
        <f>IF(Inicial!O60="SI",Inicial!F60,"N/A")</f>
        <v>N/A</v>
      </c>
      <c r="G65" s="52" t="str">
        <f>IF(Inicial!O60="SI",Inicial!G60,"N/A")</f>
        <v>N/A</v>
      </c>
      <c r="H65" s="52" t="str">
        <f>IF(Inicial!O60="SI",Inicial!H60,"N/A")</f>
        <v>N/A</v>
      </c>
      <c r="I65" s="63" t="str">
        <f>IF(Inicial!O60="SI",Inicial!I60,"N/A")</f>
        <v>N/A</v>
      </c>
      <c r="S65" s="1"/>
      <c r="T65" s="1"/>
    </row>
    <row r="66" spans="1:20">
      <c r="A66" s="51" t="e">
        <f>Inicial!#REF!</f>
        <v>#REF!</v>
      </c>
      <c r="B66" s="52" t="e">
        <f>Inicial!#REF!</f>
        <v>#REF!</v>
      </c>
      <c r="C66" s="52" t="e">
        <f>Inicial!#REF!</f>
        <v>#REF!</v>
      </c>
      <c r="D66" s="53" t="e">
        <f>Inicial!#REF!</f>
        <v>#REF!</v>
      </c>
      <c r="E66" s="51" t="e">
        <f>IF(Inicial!#REF!="SI",Inicial!#REF!,"N/A")</f>
        <v>#REF!</v>
      </c>
      <c r="F66" s="52" t="e">
        <f>IF(Inicial!#REF!="SI",Inicial!#REF!,"N/A")</f>
        <v>#REF!</v>
      </c>
      <c r="G66" s="52" t="e">
        <f>IF(Inicial!#REF!="SI",Inicial!#REF!,"N/A")</f>
        <v>#REF!</v>
      </c>
      <c r="H66" s="52" t="e">
        <f>IF(Inicial!#REF!="SI",Inicial!#REF!,"N/A")</f>
        <v>#REF!</v>
      </c>
      <c r="I66" s="63" t="e">
        <f>IF(Inicial!#REF!="SI",Inicial!#REF!,"N/A")</f>
        <v>#REF!</v>
      </c>
      <c r="S66" s="1"/>
      <c r="T66" s="1"/>
    </row>
    <row r="67" spans="1:20" ht="27.6">
      <c r="A67" s="51">
        <f>Inicial!A61</f>
        <v>59</v>
      </c>
      <c r="B67" s="52" t="str">
        <f>Inicial!B61</f>
        <v>Procesos</v>
      </c>
      <c r="C67" s="52" t="str">
        <f>Inicial!C61</f>
        <v>Trozado L5</v>
      </c>
      <c r="D67" s="53" t="str">
        <f>Inicial!D61</f>
        <v>Traslado de Decomiso</v>
      </c>
      <c r="E67" s="51" t="str">
        <f>IF(Inicial!O61="SI",Inicial!E61,"N/A")</f>
        <v>N/A</v>
      </c>
      <c r="F67" s="52" t="str">
        <f>IF(Inicial!O61="SI",Inicial!F61,"N/A")</f>
        <v>N/A</v>
      </c>
      <c r="G67" s="52" t="str">
        <f>IF(Inicial!O61="SI",Inicial!G61,"N/A")</f>
        <v>N/A</v>
      </c>
      <c r="H67" s="52" t="str">
        <f>IF(Inicial!O61="SI",Inicial!H61,"N/A")</f>
        <v>N/A</v>
      </c>
      <c r="I67" s="63" t="str">
        <f>IF(Inicial!O61="SI",Inicial!I61,"N/A")</f>
        <v>N/A</v>
      </c>
      <c r="S67" s="1"/>
      <c r="T67" s="1"/>
    </row>
    <row r="68" spans="1:20" ht="27.6">
      <c r="A68" s="51">
        <f>Inicial!A62</f>
        <v>60</v>
      </c>
      <c r="B68" s="52" t="str">
        <f>Inicial!B62</f>
        <v>Procesos</v>
      </c>
      <c r="C68" s="52" t="str">
        <f>Inicial!C62</f>
        <v>Trozado L5</v>
      </c>
      <c r="D68" s="53" t="str">
        <f>Inicial!D62</f>
        <v>Selección centro ala</v>
      </c>
      <c r="E68" s="51" t="str">
        <f>IF(Inicial!O62="SI",Inicial!E62,"N/A")</f>
        <v>N/A</v>
      </c>
      <c r="F68" s="52" t="str">
        <f>IF(Inicial!O62="SI",Inicial!F62,"N/A")</f>
        <v>N/A</v>
      </c>
      <c r="G68" s="52" t="str">
        <f>IF(Inicial!O62="SI",Inicial!G62,"N/A")</f>
        <v>N/A</v>
      </c>
      <c r="H68" s="52" t="str">
        <f>IF(Inicial!O62="SI",Inicial!H62,"N/A")</f>
        <v>N/A</v>
      </c>
      <c r="I68" s="63" t="str">
        <f>IF(Inicial!O62="SI",Inicial!I62,"N/A")</f>
        <v>N/A</v>
      </c>
      <c r="S68" s="1"/>
      <c r="T68" s="1"/>
    </row>
    <row r="69" spans="1:20">
      <c r="A69" s="51" t="e">
        <f>Inicial!#REF!</f>
        <v>#REF!</v>
      </c>
      <c r="B69" s="52" t="e">
        <f>Inicial!#REF!</f>
        <v>#REF!</v>
      </c>
      <c r="C69" s="52" t="e">
        <f>Inicial!#REF!</f>
        <v>#REF!</v>
      </c>
      <c r="D69" s="53" t="e">
        <f>Inicial!#REF!</f>
        <v>#REF!</v>
      </c>
      <c r="E69" s="51" t="e">
        <f>IF(Inicial!#REF!="SI",Inicial!#REF!,"N/A")</f>
        <v>#REF!</v>
      </c>
      <c r="F69" s="52" t="e">
        <f>IF(Inicial!#REF!="SI",Inicial!#REF!,"N/A")</f>
        <v>#REF!</v>
      </c>
      <c r="G69" s="52" t="e">
        <f>IF(Inicial!#REF!="SI",Inicial!#REF!,"N/A")</f>
        <v>#REF!</v>
      </c>
      <c r="H69" s="52" t="e">
        <f>IF(Inicial!#REF!="SI",Inicial!#REF!,"N/A")</f>
        <v>#REF!</v>
      </c>
      <c r="I69" s="63" t="e">
        <f>IF(Inicial!#REF!="SI",Inicial!#REF!,"N/A")</f>
        <v>#REF!</v>
      </c>
      <c r="S69" s="1"/>
      <c r="T69" s="1"/>
    </row>
    <row r="70" spans="1:20">
      <c r="A70" s="51" t="e">
        <f>Inicial!#REF!</f>
        <v>#REF!</v>
      </c>
      <c r="B70" s="52" t="e">
        <f>Inicial!#REF!</f>
        <v>#REF!</v>
      </c>
      <c r="C70" s="52" t="e">
        <f>Inicial!#REF!</f>
        <v>#REF!</v>
      </c>
      <c r="D70" s="53" t="e">
        <f>Inicial!#REF!</f>
        <v>#REF!</v>
      </c>
      <c r="E70" s="51" t="e">
        <f>IF(Inicial!#REF!="SI",Inicial!#REF!,"N/A")</f>
        <v>#REF!</v>
      </c>
      <c r="F70" s="52" t="e">
        <f>IF(Inicial!#REF!="SI",Inicial!#REF!,"N/A")</f>
        <v>#REF!</v>
      </c>
      <c r="G70" s="52" t="e">
        <f>IF(Inicial!#REF!="SI",Inicial!#REF!,"N/A")</f>
        <v>#REF!</v>
      </c>
      <c r="H70" s="52" t="e">
        <f>IF(Inicial!#REF!="SI",Inicial!#REF!,"N/A")</f>
        <v>#REF!</v>
      </c>
      <c r="I70" s="63" t="e">
        <f>IF(Inicial!#REF!="SI",Inicial!#REF!,"N/A")</f>
        <v>#REF!</v>
      </c>
      <c r="S70" s="1"/>
      <c r="T70" s="1"/>
    </row>
    <row r="71" spans="1:20">
      <c r="A71" s="51" t="e">
        <f>Inicial!#REF!</f>
        <v>#REF!</v>
      </c>
      <c r="B71" s="52" t="e">
        <f>Inicial!#REF!</f>
        <v>#REF!</v>
      </c>
      <c r="C71" s="52" t="e">
        <f>Inicial!#REF!</f>
        <v>#REF!</v>
      </c>
      <c r="D71" s="53" t="e">
        <f>Inicial!#REF!</f>
        <v>#REF!</v>
      </c>
      <c r="E71" s="51" t="e">
        <f>IF(Inicial!#REF!="SI",Inicial!#REF!,"N/A")</f>
        <v>#REF!</v>
      </c>
      <c r="F71" s="52" t="e">
        <f>IF(Inicial!#REF!="SI",Inicial!#REF!,"N/A")</f>
        <v>#REF!</v>
      </c>
      <c r="G71" s="52" t="e">
        <f>IF(Inicial!#REF!="SI",Inicial!#REF!,"N/A")</f>
        <v>#REF!</v>
      </c>
      <c r="H71" s="52" t="e">
        <f>IF(Inicial!#REF!="SI",Inicial!#REF!,"N/A")</f>
        <v>#REF!</v>
      </c>
      <c r="I71" s="63" t="e">
        <f>IF(Inicial!#REF!="SI",Inicial!#REF!,"N/A")</f>
        <v>#REF!</v>
      </c>
      <c r="S71" s="1"/>
      <c r="T71" s="1"/>
    </row>
    <row r="72" spans="1:20">
      <c r="A72" s="51" t="e">
        <f>Inicial!#REF!</f>
        <v>#REF!</v>
      </c>
      <c r="B72" s="52" t="e">
        <f>Inicial!#REF!</f>
        <v>#REF!</v>
      </c>
      <c r="C72" s="52" t="e">
        <f>Inicial!#REF!</f>
        <v>#REF!</v>
      </c>
      <c r="D72" s="53" t="e">
        <f>Inicial!#REF!</f>
        <v>#REF!</v>
      </c>
      <c r="E72" s="51" t="e">
        <f>IF(Inicial!#REF!="SI",Inicial!#REF!,"N/A")</f>
        <v>#REF!</v>
      </c>
      <c r="F72" s="52" t="e">
        <f>IF(Inicial!#REF!="SI",Inicial!#REF!,"N/A")</f>
        <v>#REF!</v>
      </c>
      <c r="G72" s="52" t="e">
        <f>IF(Inicial!#REF!="SI",Inicial!#REF!,"N/A")</f>
        <v>#REF!</v>
      </c>
      <c r="H72" s="52" t="e">
        <f>IF(Inicial!#REF!="SI",Inicial!#REF!,"N/A")</f>
        <v>#REF!</v>
      </c>
      <c r="I72" s="63" t="e">
        <f>IF(Inicial!#REF!="SI",Inicial!#REF!,"N/A")</f>
        <v>#REF!</v>
      </c>
      <c r="S72" s="1"/>
      <c r="T72" s="1"/>
    </row>
    <row r="73" spans="1:20">
      <c r="A73" s="51" t="e">
        <f>Inicial!#REF!</f>
        <v>#REF!</v>
      </c>
      <c r="B73" s="52" t="e">
        <f>Inicial!#REF!</f>
        <v>#REF!</v>
      </c>
      <c r="C73" s="52" t="e">
        <f>Inicial!#REF!</f>
        <v>#REF!</v>
      </c>
      <c r="D73" s="53" t="e">
        <f>Inicial!#REF!</f>
        <v>#REF!</v>
      </c>
      <c r="E73" s="51" t="e">
        <f>IF(Inicial!#REF!="SI",Inicial!#REF!,"N/A")</f>
        <v>#REF!</v>
      </c>
      <c r="F73" s="52" t="e">
        <f>IF(Inicial!#REF!="SI",Inicial!#REF!,"N/A")</f>
        <v>#REF!</v>
      </c>
      <c r="G73" s="52" t="e">
        <f>IF(Inicial!#REF!="SI",Inicial!#REF!,"N/A")</f>
        <v>#REF!</v>
      </c>
      <c r="H73" s="52" t="e">
        <f>IF(Inicial!#REF!="SI",Inicial!#REF!,"N/A")</f>
        <v>#REF!</v>
      </c>
      <c r="I73" s="63" t="e">
        <f>IF(Inicial!#REF!="SI",Inicial!#REF!,"N/A")</f>
        <v>#REF!</v>
      </c>
      <c r="S73" s="1"/>
      <c r="T73" s="1"/>
    </row>
    <row r="74" spans="1:20">
      <c r="A74" s="51" t="e">
        <f>Inicial!#REF!</f>
        <v>#REF!</v>
      </c>
      <c r="B74" s="52" t="e">
        <f>Inicial!#REF!</f>
        <v>#REF!</v>
      </c>
      <c r="C74" s="52" t="e">
        <f>Inicial!#REF!</f>
        <v>#REF!</v>
      </c>
      <c r="D74" s="53" t="e">
        <f>Inicial!#REF!</f>
        <v>#REF!</v>
      </c>
      <c r="E74" s="51" t="e">
        <f>IF(Inicial!#REF!="SI",Inicial!#REF!,"N/A")</f>
        <v>#REF!</v>
      </c>
      <c r="F74" s="52" t="e">
        <f>IF(Inicial!#REF!="SI",Inicial!#REF!,"N/A")</f>
        <v>#REF!</v>
      </c>
      <c r="G74" s="52" t="e">
        <f>IF(Inicial!#REF!="SI",Inicial!#REF!,"N/A")</f>
        <v>#REF!</v>
      </c>
      <c r="H74" s="52" t="e">
        <f>IF(Inicial!#REF!="SI",Inicial!#REF!,"N/A")</f>
        <v>#REF!</v>
      </c>
      <c r="I74" s="63" t="e">
        <f>IF(Inicial!#REF!="SI",Inicial!#REF!,"N/A")</f>
        <v>#REF!</v>
      </c>
      <c r="S74" s="1"/>
      <c r="T74" s="1"/>
    </row>
    <row r="75" spans="1:20">
      <c r="A75" s="51" t="e">
        <f>Inicial!#REF!</f>
        <v>#REF!</v>
      </c>
      <c r="B75" s="52" t="e">
        <f>Inicial!#REF!</f>
        <v>#REF!</v>
      </c>
      <c r="C75" s="52" t="e">
        <f>Inicial!#REF!</f>
        <v>#REF!</v>
      </c>
      <c r="D75" s="53" t="e">
        <f>Inicial!#REF!</f>
        <v>#REF!</v>
      </c>
      <c r="E75" s="51" t="e">
        <f>IF(Inicial!#REF!="SI",Inicial!#REF!,"N/A")</f>
        <v>#REF!</v>
      </c>
      <c r="F75" s="52" t="e">
        <f>IF(Inicial!#REF!="SI",Inicial!#REF!,"N/A")</f>
        <v>#REF!</v>
      </c>
      <c r="G75" s="52" t="e">
        <f>IF(Inicial!#REF!="SI",Inicial!#REF!,"N/A")</f>
        <v>#REF!</v>
      </c>
      <c r="H75" s="52" t="e">
        <f>IF(Inicial!#REF!="SI",Inicial!#REF!,"N/A")</f>
        <v>#REF!</v>
      </c>
      <c r="I75" s="63" t="e">
        <f>IF(Inicial!#REF!="SI",Inicial!#REF!,"N/A")</f>
        <v>#REF!</v>
      </c>
      <c r="S75" s="1"/>
      <c r="T75" s="1"/>
    </row>
    <row r="76" spans="1:20">
      <c r="A76" s="51" t="e">
        <f>Inicial!#REF!</f>
        <v>#REF!</v>
      </c>
      <c r="B76" s="52" t="e">
        <f>Inicial!#REF!</f>
        <v>#REF!</v>
      </c>
      <c r="C76" s="52" t="e">
        <f>Inicial!#REF!</f>
        <v>#REF!</v>
      </c>
      <c r="D76" s="53" t="e">
        <f>Inicial!#REF!</f>
        <v>#REF!</v>
      </c>
      <c r="E76" s="51" t="e">
        <f>IF(Inicial!#REF!="SI",Inicial!#REF!,"N/A")</f>
        <v>#REF!</v>
      </c>
      <c r="F76" s="52" t="e">
        <f>IF(Inicial!#REF!="SI",Inicial!#REF!,"N/A")</f>
        <v>#REF!</v>
      </c>
      <c r="G76" s="52" t="e">
        <f>IF(Inicial!#REF!="SI",Inicial!#REF!,"N/A")</f>
        <v>#REF!</v>
      </c>
      <c r="H76" s="52" t="e">
        <f>IF(Inicial!#REF!="SI",Inicial!#REF!,"N/A")</f>
        <v>#REF!</v>
      </c>
      <c r="I76" s="63" t="e">
        <f>IF(Inicial!#REF!="SI",Inicial!#REF!,"N/A")</f>
        <v>#REF!</v>
      </c>
      <c r="S76" s="1"/>
      <c r="T76" s="1"/>
    </row>
    <row r="77" spans="1:20">
      <c r="A77" s="51" t="e">
        <f>Inicial!#REF!</f>
        <v>#REF!</v>
      </c>
      <c r="B77" s="52" t="e">
        <f>Inicial!#REF!</f>
        <v>#REF!</v>
      </c>
      <c r="C77" s="52" t="e">
        <f>Inicial!#REF!</f>
        <v>#REF!</v>
      </c>
      <c r="D77" s="53" t="e">
        <f>Inicial!#REF!</f>
        <v>#REF!</v>
      </c>
      <c r="E77" s="51" t="e">
        <f>IF(Inicial!#REF!="SI",Inicial!#REF!,"N/A")</f>
        <v>#REF!</v>
      </c>
      <c r="F77" s="52" t="e">
        <f>IF(Inicial!#REF!="SI",Inicial!#REF!,"N/A")</f>
        <v>#REF!</v>
      </c>
      <c r="G77" s="52" t="e">
        <f>IF(Inicial!#REF!="SI",Inicial!#REF!,"N/A")</f>
        <v>#REF!</v>
      </c>
      <c r="H77" s="52" t="e">
        <f>IF(Inicial!#REF!="SI",Inicial!#REF!,"N/A")</f>
        <v>#REF!</v>
      </c>
      <c r="I77" s="63" t="e">
        <f>IF(Inicial!#REF!="SI",Inicial!#REF!,"N/A")</f>
        <v>#REF!</v>
      </c>
      <c r="S77" s="1"/>
      <c r="T77" s="1"/>
    </row>
    <row r="78" spans="1:20">
      <c r="A78" s="51" t="e">
        <f>Inicial!#REF!</f>
        <v>#REF!</v>
      </c>
      <c r="B78" s="52" t="e">
        <f>Inicial!#REF!</f>
        <v>#REF!</v>
      </c>
      <c r="C78" s="52" t="e">
        <f>Inicial!#REF!</f>
        <v>#REF!</v>
      </c>
      <c r="D78" s="53" t="e">
        <f>Inicial!#REF!</f>
        <v>#REF!</v>
      </c>
      <c r="E78" s="51" t="e">
        <f>IF(Inicial!#REF!="SI",Inicial!#REF!,"N/A")</f>
        <v>#REF!</v>
      </c>
      <c r="F78" s="52" t="e">
        <f>IF(Inicial!#REF!="SI",Inicial!#REF!,"N/A")</f>
        <v>#REF!</v>
      </c>
      <c r="G78" s="52" t="e">
        <f>IF(Inicial!#REF!="SI",Inicial!#REF!,"N/A")</f>
        <v>#REF!</v>
      </c>
      <c r="H78" s="52" t="e">
        <f>IF(Inicial!#REF!="SI",Inicial!#REF!,"N/A")</f>
        <v>#REF!</v>
      </c>
      <c r="I78" s="63" t="e">
        <f>IF(Inicial!#REF!="SI",Inicial!#REF!,"N/A")</f>
        <v>#REF!</v>
      </c>
      <c r="S78" s="1"/>
      <c r="T78" s="1"/>
    </row>
    <row r="79" spans="1:20" ht="27.6">
      <c r="A79" s="51">
        <f>Inicial!A63</f>
        <v>61</v>
      </c>
      <c r="B79" s="52" t="str">
        <f>Inicial!B63</f>
        <v>Procesos</v>
      </c>
      <c r="C79" s="52" t="str">
        <f>Inicial!C63</f>
        <v>Trozado L5</v>
      </c>
      <c r="D79" s="53" t="str">
        <f>Inicial!D63</f>
        <v xml:space="preserve">Selección trutro ala </v>
      </c>
      <c r="E79" s="51" t="str">
        <f>IF(Inicial!O63="SI",Inicial!E63,"N/A")</f>
        <v>N/A</v>
      </c>
      <c r="F79" s="52" t="str">
        <f>IF(Inicial!O63="SI",Inicial!F63,"N/A")</f>
        <v>N/A</v>
      </c>
      <c r="G79" s="52" t="str">
        <f>IF(Inicial!O63="SI",Inicial!G63,"N/A")</f>
        <v>N/A</v>
      </c>
      <c r="H79" s="52" t="str">
        <f>IF(Inicial!O63="SI",Inicial!H63,"N/A")</f>
        <v>N/A</v>
      </c>
      <c r="I79" s="63" t="str">
        <f>IF(Inicial!O63="SI",Inicial!I63,"N/A")</f>
        <v>N/A</v>
      </c>
      <c r="S79" s="1"/>
      <c r="T79" s="1"/>
    </row>
    <row r="80" spans="1:20" ht="27.6">
      <c r="A80" s="51" t="e">
        <f>Inicial!#REF!</f>
        <v>#REF!</v>
      </c>
      <c r="B80" s="52" t="e">
        <f>Inicial!#REF!</f>
        <v>#REF!</v>
      </c>
      <c r="C80" s="52" t="e">
        <f>Inicial!#REF!</f>
        <v>#REF!</v>
      </c>
      <c r="D80" s="53" t="e">
        <f>Inicial!#REF!</f>
        <v>#REF!</v>
      </c>
      <c r="E80" s="51" t="e">
        <f>IF(Inicial!#REF!="SI",Inicial!#REF!,"N/A")</f>
        <v>#REF!</v>
      </c>
      <c r="F80" s="52" t="e">
        <f>IF(Inicial!#REF!="SI",Inicial!#REF!,"N/A")</f>
        <v>#REF!</v>
      </c>
      <c r="G80" s="52" t="e">
        <f>IF(Inicial!#REF!="SI",Inicial!#REF!,"N/A")</f>
        <v>#REF!</v>
      </c>
      <c r="H80" s="52" t="e">
        <f>IF(Inicial!#REF!="SI",Inicial!#REF!,"N/A")</f>
        <v>#REF!</v>
      </c>
      <c r="I80" s="63" t="e">
        <f>IF(Inicial!#REF!="SI",Inicial!#REF!,"N/A")</f>
        <v>#REF!</v>
      </c>
      <c r="S80" s="1"/>
      <c r="T80" s="1"/>
    </row>
    <row r="81" spans="1:20">
      <c r="A81" s="51">
        <f>Inicial!A64</f>
        <v>62</v>
      </c>
      <c r="B81" s="52" t="str">
        <f>Inicial!B64</f>
        <v>Procesos</v>
      </c>
      <c r="C81" s="52" t="str">
        <f>Inicial!C64</f>
        <v>Trozado L5</v>
      </c>
      <c r="D81" s="53" t="str">
        <f>Inicial!D64</f>
        <v>Mezclas</v>
      </c>
      <c r="E81" s="51" t="str">
        <f>IF(Inicial!O64="SI",Inicial!E64,"N/A")</f>
        <v>N/A</v>
      </c>
      <c r="F81" s="52" t="str">
        <f>IF(Inicial!O64="SI",Inicial!F64,"N/A")</f>
        <v>N/A</v>
      </c>
      <c r="G81" s="52" t="str">
        <f>IF(Inicial!O64="SI",Inicial!G64,"N/A")</f>
        <v>N/A</v>
      </c>
      <c r="H81" s="52" t="str">
        <f>IF(Inicial!O64="SI",Inicial!H64,"N/A")</f>
        <v>N/A</v>
      </c>
      <c r="I81" s="63" t="str">
        <f>IF(Inicial!O64="SI",Inicial!I64,"N/A")</f>
        <v>N/A</v>
      </c>
      <c r="S81" s="1"/>
      <c r="T81" s="1"/>
    </row>
    <row r="82" spans="1:20">
      <c r="A82" s="51" t="e">
        <f>Inicial!#REF!</f>
        <v>#REF!</v>
      </c>
      <c r="B82" s="52" t="e">
        <f>Inicial!#REF!</f>
        <v>#REF!</v>
      </c>
      <c r="C82" s="52" t="e">
        <f>Inicial!#REF!</f>
        <v>#REF!</v>
      </c>
      <c r="D82" s="53" t="e">
        <f>Inicial!#REF!</f>
        <v>#REF!</v>
      </c>
      <c r="E82" s="51" t="e">
        <f>IF(Inicial!#REF!="SI",Inicial!#REF!,"N/A")</f>
        <v>#REF!</v>
      </c>
      <c r="F82" s="52" t="e">
        <f>IF(Inicial!#REF!="SI",Inicial!#REF!,"N/A")</f>
        <v>#REF!</v>
      </c>
      <c r="G82" s="52" t="e">
        <f>IF(Inicial!#REF!="SI",Inicial!#REF!,"N/A")</f>
        <v>#REF!</v>
      </c>
      <c r="H82" s="52" t="e">
        <f>IF(Inicial!#REF!="SI",Inicial!#REF!,"N/A")</f>
        <v>#REF!</v>
      </c>
      <c r="I82" s="63" t="e">
        <f>IF(Inicial!#REF!="SI",Inicial!#REF!,"N/A")</f>
        <v>#REF!</v>
      </c>
      <c r="S82" s="1"/>
      <c r="T82" s="1"/>
    </row>
    <row r="83" spans="1:20">
      <c r="A83" s="51" t="e">
        <f>Inicial!#REF!</f>
        <v>#REF!</v>
      </c>
      <c r="B83" s="52" t="e">
        <f>Inicial!#REF!</f>
        <v>#REF!</v>
      </c>
      <c r="C83" s="52" t="e">
        <f>Inicial!#REF!</f>
        <v>#REF!</v>
      </c>
      <c r="D83" s="53" t="e">
        <f>Inicial!#REF!</f>
        <v>#REF!</v>
      </c>
      <c r="E83" s="51" t="e">
        <f>IF(Inicial!#REF!="SI",Inicial!#REF!,"N/A")</f>
        <v>#REF!</v>
      </c>
      <c r="F83" s="52" t="e">
        <f>IF(Inicial!#REF!="SI",Inicial!#REF!,"N/A")</f>
        <v>#REF!</v>
      </c>
      <c r="G83" s="52" t="e">
        <f>IF(Inicial!#REF!="SI",Inicial!#REF!,"N/A")</f>
        <v>#REF!</v>
      </c>
      <c r="H83" s="52" t="e">
        <f>IF(Inicial!#REF!="SI",Inicial!#REF!,"N/A")</f>
        <v>#REF!</v>
      </c>
      <c r="I83" s="63" t="e">
        <f>IF(Inicial!#REF!="SI",Inicial!#REF!,"N/A")</f>
        <v>#REF!</v>
      </c>
      <c r="S83" s="1"/>
      <c r="T83" s="1"/>
    </row>
    <row r="84" spans="1:20">
      <c r="A84" s="51" t="e">
        <f>Inicial!#REF!</f>
        <v>#REF!</v>
      </c>
      <c r="B84" s="52" t="e">
        <f>Inicial!#REF!</f>
        <v>#REF!</v>
      </c>
      <c r="C84" s="52" t="e">
        <f>Inicial!#REF!</f>
        <v>#REF!</v>
      </c>
      <c r="D84" s="53" t="e">
        <f>Inicial!#REF!</f>
        <v>#REF!</v>
      </c>
      <c r="E84" s="51" t="e">
        <f>IF(Inicial!#REF!="SI",Inicial!#REF!,"N/A")</f>
        <v>#REF!</v>
      </c>
      <c r="F84" s="52" t="e">
        <f>IF(Inicial!#REF!="SI",Inicial!#REF!,"N/A")</f>
        <v>#REF!</v>
      </c>
      <c r="G84" s="52" t="e">
        <f>IF(Inicial!#REF!="SI",Inicial!#REF!,"N/A")</f>
        <v>#REF!</v>
      </c>
      <c r="H84" s="52" t="e">
        <f>IF(Inicial!#REF!="SI",Inicial!#REF!,"N/A")</f>
        <v>#REF!</v>
      </c>
      <c r="I84" s="63" t="e">
        <f>IF(Inicial!#REF!="SI",Inicial!#REF!,"N/A")</f>
        <v>#REF!</v>
      </c>
      <c r="S84" s="1"/>
      <c r="T84" s="1"/>
    </row>
    <row r="85" spans="1:20">
      <c r="A85" s="51" t="e">
        <f>Inicial!#REF!</f>
        <v>#REF!</v>
      </c>
      <c r="B85" s="52" t="e">
        <f>Inicial!#REF!</f>
        <v>#REF!</v>
      </c>
      <c r="C85" s="52" t="e">
        <f>Inicial!#REF!</f>
        <v>#REF!</v>
      </c>
      <c r="D85" s="53" t="e">
        <f>Inicial!#REF!</f>
        <v>#REF!</v>
      </c>
      <c r="E85" s="51" t="e">
        <f>IF(Inicial!#REF!="SI",Inicial!#REF!,"N/A")</f>
        <v>#REF!</v>
      </c>
      <c r="F85" s="52" t="e">
        <f>IF(Inicial!#REF!="SI",Inicial!#REF!,"N/A")</f>
        <v>#REF!</v>
      </c>
      <c r="G85" s="52" t="e">
        <f>IF(Inicial!#REF!="SI",Inicial!#REF!,"N/A")</f>
        <v>#REF!</v>
      </c>
      <c r="H85" s="52" t="e">
        <f>IF(Inicial!#REF!="SI",Inicial!#REF!,"N/A")</f>
        <v>#REF!</v>
      </c>
      <c r="I85" s="63" t="e">
        <f>IF(Inicial!#REF!="SI",Inicial!#REF!,"N/A")</f>
        <v>#REF!</v>
      </c>
    </row>
    <row r="86" spans="1:20">
      <c r="A86" s="51" t="e">
        <f>Inicial!#REF!</f>
        <v>#REF!</v>
      </c>
      <c r="B86" s="52" t="e">
        <f>Inicial!#REF!</f>
        <v>#REF!</v>
      </c>
      <c r="C86" s="52" t="e">
        <f>Inicial!#REF!</f>
        <v>#REF!</v>
      </c>
      <c r="D86" s="53" t="e">
        <f>Inicial!#REF!</f>
        <v>#REF!</v>
      </c>
      <c r="E86" s="51" t="e">
        <f>IF(Inicial!#REF!="SI",Inicial!#REF!,"N/A")</f>
        <v>#REF!</v>
      </c>
      <c r="F86" s="52" t="e">
        <f>IF(Inicial!#REF!="SI",Inicial!#REF!,"N/A")</f>
        <v>#REF!</v>
      </c>
      <c r="G86" s="52" t="e">
        <f>IF(Inicial!#REF!="SI",Inicial!#REF!,"N/A")</f>
        <v>#REF!</v>
      </c>
      <c r="H86" s="52" t="e">
        <f>IF(Inicial!#REF!="SI",Inicial!#REF!,"N/A")</f>
        <v>#REF!</v>
      </c>
      <c r="I86" s="63" t="e">
        <f>IF(Inicial!#REF!="SI",Inicial!#REF!,"N/A")</f>
        <v>#REF!</v>
      </c>
    </row>
    <row r="87" spans="1:20" ht="27.6">
      <c r="A87" s="51">
        <f>Inicial!A65</f>
        <v>63</v>
      </c>
      <c r="B87" s="52" t="str">
        <f>Inicial!B65</f>
        <v>Procesos</v>
      </c>
      <c r="C87" s="52" t="str">
        <f>Inicial!C65</f>
        <v>Paletizado Fresco</v>
      </c>
      <c r="D87" s="53" t="str">
        <f>Inicial!D65</f>
        <v>Embalaje de producto</v>
      </c>
      <c r="E87" s="51" t="str">
        <f>IF(Inicial!O65="SI",Inicial!E65,"N/A")</f>
        <v>N/A</v>
      </c>
      <c r="F87" s="52" t="str">
        <f>IF(Inicial!O65="SI",Inicial!F65,"N/A")</f>
        <v>N/A</v>
      </c>
      <c r="G87" s="52" t="str">
        <f>IF(Inicial!O65="SI",Inicial!G65,"N/A")</f>
        <v>N/A</v>
      </c>
      <c r="H87" s="52" t="str">
        <f>IF(Inicial!O65="SI",Inicial!H65,"N/A")</f>
        <v>N/A</v>
      </c>
      <c r="I87" s="63" t="str">
        <f>IF(Inicial!O65="SI",Inicial!I65,"N/A")</f>
        <v>N/A</v>
      </c>
    </row>
    <row r="88" spans="1:20" ht="27.6">
      <c r="A88" s="51">
        <f>Inicial!A66</f>
        <v>64</v>
      </c>
      <c r="B88" s="52" t="str">
        <f>Inicial!B66</f>
        <v>Procesos</v>
      </c>
      <c r="C88" s="52" t="str">
        <f>Inicial!C66</f>
        <v>Deshuesado Trutro</v>
      </c>
      <c r="D88" s="53" t="str">
        <f>Inicial!D66</f>
        <v>Despieladora</v>
      </c>
      <c r="E88" s="51" t="str">
        <f>IF(Inicial!O66="SI",Inicial!E66,"N/A")</f>
        <v>N/A</v>
      </c>
      <c r="F88" s="52" t="str">
        <f>IF(Inicial!O66="SI",Inicial!F66,"N/A")</f>
        <v>N/A</v>
      </c>
      <c r="G88" s="52" t="str">
        <f>IF(Inicial!O66="SI",Inicial!G66,"N/A")</f>
        <v>N/A</v>
      </c>
      <c r="H88" s="52" t="str">
        <f>IF(Inicial!O66="SI",Inicial!H66,"N/A")</f>
        <v>N/A</v>
      </c>
      <c r="I88" s="63" t="str">
        <f>IF(Inicial!O66="SI",Inicial!I66,"N/A")</f>
        <v>N/A</v>
      </c>
    </row>
    <row r="89" spans="1:20" ht="27.6">
      <c r="A89" s="51">
        <f>Inicial!A67</f>
        <v>65</v>
      </c>
      <c r="B89" s="52" t="str">
        <f>Inicial!B67</f>
        <v>Procesos</v>
      </c>
      <c r="C89" s="52" t="str">
        <f>Inicial!C67</f>
        <v>Deshuesado Trutro</v>
      </c>
      <c r="D89" s="53" t="str">
        <f>Inicial!D67</f>
        <v>Colgado Trutro</v>
      </c>
      <c r="E89" s="51" t="str">
        <f>IF(Inicial!O67="SI",Inicial!E67,"N/A")</f>
        <v>N/A</v>
      </c>
      <c r="F89" s="52" t="str">
        <f>IF(Inicial!O67="SI",Inicial!F67,"N/A")</f>
        <v>N/A</v>
      </c>
      <c r="G89" s="52" t="str">
        <f>IF(Inicial!O67="SI",Inicial!G67,"N/A")</f>
        <v>N/A</v>
      </c>
      <c r="H89" s="52" t="str">
        <f>IF(Inicial!O67="SI",Inicial!H67,"N/A")</f>
        <v>N/A</v>
      </c>
      <c r="I89" s="63" t="str">
        <f>IF(Inicial!O67="SI",Inicial!I67,"N/A")</f>
        <v>N/A</v>
      </c>
    </row>
    <row r="90" spans="1:20" ht="27.6">
      <c r="A90" s="51">
        <f>Inicial!A68</f>
        <v>66</v>
      </c>
      <c r="B90" s="52" t="str">
        <f>Inicial!B68</f>
        <v>Procesos</v>
      </c>
      <c r="C90" s="52" t="str">
        <f>Inicial!C68</f>
        <v>Deshuesado Trutro</v>
      </c>
      <c r="D90" s="53" t="str">
        <f>Inicial!D68</f>
        <v>Prolijado</v>
      </c>
      <c r="E90" s="51" t="str">
        <f>IF(Inicial!O68="SI",Inicial!E68,"N/A")</f>
        <v>N/A</v>
      </c>
      <c r="F90" s="52" t="str">
        <f>IF(Inicial!O68="SI",Inicial!F68,"N/A")</f>
        <v>N/A</v>
      </c>
      <c r="G90" s="52" t="str">
        <f>IF(Inicial!O68="SI",Inicial!G68,"N/A")</f>
        <v>N/A</v>
      </c>
      <c r="H90" s="52" t="str">
        <f>IF(Inicial!O68="SI",Inicial!H68,"N/A")</f>
        <v>N/A</v>
      </c>
      <c r="I90" s="63" t="str">
        <f>IF(Inicial!O68="SI",Inicial!I68,"N/A")</f>
        <v>N/A</v>
      </c>
    </row>
  </sheetData>
  <mergeCells count="5">
    <mergeCell ref="F1:G1"/>
    <mergeCell ref="H1:I1"/>
    <mergeCell ref="J1:T1"/>
    <mergeCell ref="V1:AA1"/>
    <mergeCell ref="A1:E1"/>
  </mergeCells>
  <conditionalFormatting sqref="N3:R8 U22:U35 N36:U1048576">
    <cfRule type="cellIs" dxfId="5" priority="4" operator="equal">
      <formula>"NO"</formula>
    </cfRule>
    <cfRule type="cellIs" dxfId="4" priority="5" operator="equal">
      <formula>"SI"</formula>
    </cfRule>
  </conditionalFormatting>
  <conditionalFormatting sqref="S3:T35">
    <cfRule type="cellIs" dxfId="3" priority="7" operator="equal">
      <formula>"NO"</formula>
    </cfRule>
  </conditionalFormatting>
  <conditionalFormatting sqref="T3">
    <cfRule type="cellIs" dxfId="2" priority="1" operator="equal">
      <formula>"SI"</formula>
    </cfRule>
  </conditionalFormatting>
  <conditionalFormatting sqref="U3:U21">
    <cfRule type="cellIs" dxfId="1" priority="2" operator="equal">
      <formula>"No Aceptable"</formula>
    </cfRule>
    <cfRule type="cellIs" dxfId="0" priority="3" operator="equal">
      <formula>"Aceptable"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  <dataValidation type="list" allowBlank="1" showInputMessage="1" showErrorMessage="1" sqref="N34:U35 U22:U33 N3:T33" xr:uid="{E29C2618-0807-4829-8DB1-063B810E495F}">
      <formula1>"SI,NO,N/A"</formula1>
    </dataValidation>
    <dataValidation type="list" allowBlank="1" showInputMessage="1" showErrorMessage="1" sqref="N36:T84" xr:uid="{1520E075-C35C-4B11-9AAA-FBFD68E66833}">
      <formula1>"SI,NO"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Props1.xml><?xml version="1.0" encoding="utf-8"?>
<ds:datastoreItem xmlns:ds="http://schemas.openxmlformats.org/officeDocument/2006/customXml" ds:itemID="{D7BE94B4-A797-429C-AA7E-CDA11370D08D}"/>
</file>

<file path=customXml/itemProps2.xml><?xml version="1.0" encoding="utf-8"?>
<ds:datastoreItem xmlns:ds="http://schemas.openxmlformats.org/officeDocument/2006/customXml" ds:itemID="{42714A3F-306A-432A-9CFB-4A73E0D61188}"/>
</file>

<file path=customXml/itemProps3.xml><?xml version="1.0" encoding="utf-8"?>
<ds:datastoreItem xmlns:ds="http://schemas.openxmlformats.org/officeDocument/2006/customXml" ds:itemID="{8E8821DE-574C-44D0-9B26-39F3810C4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maria.sepulveda@ist.cl</cp:lastModifiedBy>
  <cp:revision/>
  <dcterms:created xsi:type="dcterms:W3CDTF">2024-10-16T13:46:28Z</dcterms:created>
  <dcterms:modified xsi:type="dcterms:W3CDTF">2025-09-05T14:39:18Z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