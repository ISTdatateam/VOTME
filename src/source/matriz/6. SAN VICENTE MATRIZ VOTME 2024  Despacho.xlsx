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https://agrosuper.sharepoint.com/sites/GestionSalud/Documentos compartidos/1.-ERGONOMIA/2024/Protocolo TMERT 2024/4.- Vigilancia Salud TMERT/4.- Despacho/"/>
    </mc:Choice>
  </mc:AlternateContent>
  <xr:revisionPtr revIDLastSave="43" documentId="13_ncr:1_{A1C062F2-E1CE-4406-9D87-17F7B23564EB}" xr6:coauthVersionLast="47" xr6:coauthVersionMax="47" xr10:uidLastSave="{1AA028D2-B5EE-4655-932A-B50F86638B01}"/>
  <bookViews>
    <workbookView xWindow="-110" yWindow="-110" windowWidth="19420" windowHeight="10420" tabRatio="828" firstSheet="1" activeTab="2" xr2:uid="{F40A39D6-AA28-45BC-9657-3CB0C81814CB}"/>
  </bookViews>
  <sheets>
    <sheet name="Portada" sheetId="10" r:id="rId1"/>
    <sheet name="Datos" sheetId="3" r:id="rId2"/>
    <sheet name="Inicial" sheetId="1" r:id="rId3"/>
    <sheet name="Mov. Rep." sheetId="2" r:id="rId4"/>
    <sheet name="MMC Levantamiento-Descenso" sheetId="5" r:id="rId5"/>
    <sheet name="Postura estatica" sheetId="4" r:id="rId6"/>
    <sheet name="MMC Empuje-Arrastre " sheetId="6" r:id="rId7"/>
    <sheet name="Manejo manual PCTS" sheetId="7" r:id="rId8"/>
    <sheet name="Vibración Cuerpo completo" sheetId="9" r:id="rId9"/>
    <sheet name="Vibración Mano-Brazo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" i="5" l="1" a="1"/>
  <c r="AG4" i="5"/>
  <c r="AG5" i="5" a="1"/>
  <c r="AG5" i="5"/>
  <c r="AG6" i="5" a="1"/>
  <c r="AG6" i="5"/>
  <c r="AG7" i="5" a="1"/>
  <c r="AG7" i="5"/>
  <c r="AG8" i="5" a="1"/>
  <c r="AG8" i="5"/>
  <c r="AG9" i="5" a="1"/>
  <c r="AG9" i="5"/>
  <c r="AG10" i="5" a="1"/>
  <c r="AG10" i="5"/>
  <c r="AG11" i="5" a="1"/>
  <c r="AG11" i="5"/>
  <c r="AG12" i="5" a="1"/>
  <c r="AG12" i="5"/>
  <c r="AG13" i="5" a="1"/>
  <c r="AG13" i="5"/>
  <c r="AG14" i="5" a="1"/>
  <c r="AG14" i="5"/>
  <c r="AG15" i="5" a="1"/>
  <c r="AG15" i="5"/>
  <c r="AG16" i="5" a="1"/>
  <c r="AG16" i="5"/>
  <c r="AG17" i="5" a="1"/>
  <c r="AG17" i="5"/>
  <c r="AG18" i="5" a="1"/>
  <c r="AG18" i="5"/>
  <c r="AG19" i="5" a="1"/>
  <c r="AG19" i="5"/>
  <c r="AG20" i="5" a="1"/>
  <c r="AG20" i="5"/>
  <c r="AG21" i="5" a="1"/>
  <c r="AG21" i="5"/>
  <c r="AG22" i="5" a="1"/>
  <c r="AG22" i="5"/>
  <c r="AG23" i="5" a="1"/>
  <c r="AG23" i="5"/>
  <c r="AG24" i="5" a="1"/>
  <c r="AG24" i="5"/>
  <c r="AG25" i="5" a="1"/>
  <c r="AG25" i="5"/>
  <c r="AG26" i="5" a="1"/>
  <c r="AG26" i="5"/>
  <c r="AG27" i="5" a="1"/>
  <c r="AG27" i="5"/>
  <c r="AG28" i="5" a="1"/>
  <c r="AG28" i="5"/>
  <c r="AG29" i="5" a="1"/>
  <c r="AG29" i="5"/>
  <c r="AG30" i="5" a="1"/>
  <c r="AG30" i="5"/>
  <c r="AG31" i="5" a="1"/>
  <c r="AG31" i="5"/>
  <c r="AG32" i="5" a="1"/>
  <c r="AG32" i="5"/>
  <c r="AG33" i="5" a="1"/>
  <c r="AG33" i="5"/>
  <c r="AG34" i="5" a="1"/>
  <c r="AG34" i="5"/>
  <c r="AG35" i="5" a="1"/>
  <c r="AG35" i="5"/>
  <c r="AG36" i="5" a="1"/>
  <c r="AG36" i="5"/>
  <c r="AG37" i="5" a="1"/>
  <c r="AG37" i="5"/>
  <c r="AG38" i="5" a="1"/>
  <c r="AG38" i="5"/>
  <c r="AG39" i="5" a="1"/>
  <c r="AG39" i="5"/>
  <c r="AG40" i="5" a="1"/>
  <c r="AG40" i="5"/>
  <c r="AG41" i="5" a="1"/>
  <c r="AG41" i="5"/>
  <c r="AG42" i="5" a="1"/>
  <c r="AG42" i="5"/>
  <c r="AG43" i="5" a="1"/>
  <c r="AG43" i="5"/>
  <c r="AG44" i="5" a="1"/>
  <c r="AG44" i="5"/>
  <c r="AG45" i="5" a="1"/>
  <c r="AG45" i="5"/>
  <c r="AG46" i="5" a="1"/>
  <c r="AG46" i="5"/>
  <c r="AG47" i="5" a="1"/>
  <c r="AG47" i="5"/>
  <c r="AG48" i="5" a="1"/>
  <c r="AG48" i="5"/>
  <c r="AG49" i="5" a="1"/>
  <c r="AG49" i="5"/>
  <c r="AG50" i="5" a="1"/>
  <c r="AG50" i="5"/>
  <c r="AG51" i="5" a="1"/>
  <c r="AG51" i="5"/>
  <c r="AG52" i="5" a="1"/>
  <c r="AG52" i="5"/>
  <c r="AG53" i="5" a="1"/>
  <c r="AG53" i="5"/>
  <c r="AG54" i="5" a="1"/>
  <c r="AG54" i="5"/>
  <c r="AG55" i="5" a="1"/>
  <c r="AG55" i="5"/>
  <c r="AG56" i="5" a="1"/>
  <c r="AG56" i="5"/>
  <c r="AG57" i="5" a="1"/>
  <c r="AG57" i="5"/>
  <c r="AG58" i="5" a="1"/>
  <c r="AG58" i="5"/>
  <c r="AG59" i="5" a="1"/>
  <c r="AG59" i="5"/>
  <c r="AG60" i="5" a="1"/>
  <c r="AG60" i="5"/>
  <c r="AG61" i="5" a="1"/>
  <c r="AG61" i="5"/>
  <c r="AG62" i="5" a="1"/>
  <c r="AG62" i="5"/>
  <c r="AG63" i="5" a="1"/>
  <c r="AG63" i="5"/>
  <c r="AG64" i="5" a="1"/>
  <c r="AG64" i="5"/>
  <c r="AG65" i="5" a="1"/>
  <c r="AG65" i="5"/>
  <c r="AG66" i="5" a="1"/>
  <c r="AG66" i="5"/>
  <c r="AG67" i="5" a="1"/>
  <c r="AG67" i="5"/>
  <c r="AG68" i="5" a="1"/>
  <c r="AG68" i="5"/>
  <c r="AG69" i="5" a="1"/>
  <c r="AG69" i="5"/>
  <c r="AG70" i="5" a="1"/>
  <c r="AG70" i="5"/>
  <c r="AG71" i="5" a="1"/>
  <c r="AG71" i="5"/>
  <c r="AG72" i="5" a="1"/>
  <c r="AG72" i="5"/>
  <c r="AG73" i="5" a="1"/>
  <c r="AG73" i="5"/>
  <c r="AG74" i="5" a="1"/>
  <c r="AG74" i="5"/>
  <c r="AG75" i="5" a="1"/>
  <c r="AG75" i="5"/>
  <c r="AG76" i="5" a="1"/>
  <c r="AG76" i="5"/>
  <c r="AG77" i="5" a="1"/>
  <c r="AG77" i="5"/>
  <c r="AG78" i="5" a="1"/>
  <c r="AG78" i="5"/>
  <c r="AG79" i="5" a="1"/>
  <c r="AG79" i="5"/>
  <c r="AG80" i="5" a="1"/>
  <c r="AG80" i="5"/>
  <c r="AG81" i="5" a="1"/>
  <c r="AG81" i="5"/>
  <c r="AG82" i="5" a="1"/>
  <c r="AG82" i="5"/>
  <c r="AG83" i="5" a="1"/>
  <c r="AG83" i="5"/>
  <c r="AG84" i="5" a="1"/>
  <c r="AG84" i="5"/>
  <c r="AG85" i="5" a="1"/>
  <c r="AG85" i="5"/>
  <c r="AG86" i="5" a="1"/>
  <c r="AG86" i="5"/>
  <c r="AG87" i="5" a="1"/>
  <c r="AG87" i="5"/>
  <c r="AG88" i="5" a="1"/>
  <c r="AG88" i="5"/>
  <c r="AG89" i="5" a="1"/>
  <c r="AG89" i="5"/>
  <c r="AG90" i="5" a="1"/>
  <c r="AG90" i="5"/>
  <c r="AG91" i="5" a="1"/>
  <c r="AG91" i="5"/>
  <c r="AG92" i="5" a="1"/>
  <c r="AG92" i="5"/>
  <c r="AG93" i="5" a="1"/>
  <c r="AG93" i="5"/>
  <c r="AG94" i="5" a="1"/>
  <c r="AG94" i="5"/>
  <c r="AG95" i="5" a="1"/>
  <c r="AG95" i="5"/>
  <c r="AG96" i="5" a="1"/>
  <c r="AG96" i="5"/>
  <c r="AG97" i="5" a="1"/>
  <c r="AG97" i="5"/>
  <c r="AG98" i="5" a="1"/>
  <c r="AG98" i="5"/>
  <c r="AG99" i="5" a="1"/>
  <c r="AG99" i="5"/>
  <c r="AG100" i="5" a="1"/>
  <c r="AG100" i="5"/>
  <c r="AG101" i="5" a="1"/>
  <c r="AG101" i="5"/>
  <c r="AG102" i="5" a="1"/>
  <c r="AG102" i="5"/>
  <c r="AG103" i="5" a="1"/>
  <c r="AG103" i="5"/>
  <c r="AG104" i="5" a="1"/>
  <c r="AG104" i="5"/>
  <c r="AG105" i="5" a="1"/>
  <c r="AG105" i="5"/>
  <c r="AG106" i="5" a="1"/>
  <c r="AG106" i="5"/>
  <c r="AG107" i="5" a="1"/>
  <c r="AG107" i="5"/>
  <c r="AG108" i="5" a="1"/>
  <c r="AG108" i="5"/>
  <c r="AG109" i="5" a="1"/>
  <c r="AG109" i="5"/>
  <c r="AG110" i="5" a="1"/>
  <c r="AG110" i="5"/>
  <c r="AG111" i="5" a="1"/>
  <c r="AG111" i="5"/>
  <c r="AG112" i="5" a="1"/>
  <c r="AG112" i="5"/>
  <c r="AG113" i="5" a="1"/>
  <c r="AG113" i="5"/>
  <c r="AG114" i="5" a="1"/>
  <c r="AG114" i="5"/>
  <c r="AG115" i="5" a="1"/>
  <c r="AG115" i="5"/>
  <c r="AG116" i="5" a="1"/>
  <c r="AG116" i="5"/>
  <c r="AG117" i="5" a="1"/>
  <c r="AG117" i="5"/>
  <c r="AG118" i="5" a="1"/>
  <c r="AG118" i="5"/>
  <c r="AG119" i="5" a="1"/>
  <c r="AG119" i="5"/>
  <c r="AG120" i="5" a="1"/>
  <c r="AG120" i="5"/>
  <c r="AG121" i="5" a="1"/>
  <c r="AG121" i="5"/>
  <c r="AG122" i="5" a="1"/>
  <c r="AG122" i="5"/>
  <c r="AG123" i="5" a="1"/>
  <c r="AG123" i="5"/>
  <c r="AG124" i="5" a="1"/>
  <c r="AG124" i="5"/>
  <c r="AG125" i="5" a="1"/>
  <c r="AG125" i="5"/>
  <c r="AG126" i="5" a="1"/>
  <c r="AG126" i="5"/>
  <c r="AG127" i="5" a="1"/>
  <c r="AG127" i="5"/>
  <c r="AG128" i="5" a="1"/>
  <c r="AG128" i="5"/>
  <c r="AG129" i="5" a="1"/>
  <c r="AG129" i="5"/>
  <c r="AG130" i="5" a="1"/>
  <c r="AG130" i="5"/>
  <c r="AG131" i="5" a="1"/>
  <c r="AG131" i="5"/>
  <c r="AG132" i="5" a="1"/>
  <c r="AG132" i="5"/>
  <c r="AG3" i="5" a="1"/>
  <c r="AG3" i="5"/>
  <c r="F2" i="10"/>
  <c r="P4" i="2" l="1"/>
  <c r="W4" i="2"/>
  <c r="P5" i="2"/>
  <c r="W5" i="2"/>
  <c r="U8" i="9" a="1"/>
  <c r="U8" i="9" s="1"/>
  <c r="U9" i="9" a="1"/>
  <c r="U9" i="9" s="1"/>
  <c r="U10" i="9" a="1"/>
  <c r="U10" i="9"/>
  <c r="U11" i="9" a="1"/>
  <c r="U11" i="9" s="1"/>
  <c r="U12" i="9" a="1"/>
  <c r="U12" i="9" s="1"/>
  <c r="U13" i="9" a="1"/>
  <c r="U13" i="9" s="1"/>
  <c r="U14" i="9" a="1"/>
  <c r="U14" i="9"/>
  <c r="U15" i="9" a="1"/>
  <c r="U15" i="9" s="1"/>
  <c r="U16" i="9" a="1"/>
  <c r="U16" i="9" s="1"/>
  <c r="U17" i="9" a="1"/>
  <c r="U17" i="9" s="1"/>
  <c r="U18" i="9" a="1"/>
  <c r="U18" i="9"/>
  <c r="U19" i="9" a="1"/>
  <c r="U19" i="9" s="1"/>
  <c r="U20" i="9" a="1"/>
  <c r="U20" i="9" s="1"/>
  <c r="U21" i="9" a="1"/>
  <c r="U21" i="9" s="1"/>
  <c r="U22" i="9" a="1"/>
  <c r="U22" i="9"/>
  <c r="U23" i="9" a="1"/>
  <c r="U23" i="9" s="1"/>
  <c r="U24" i="9" a="1"/>
  <c r="U24" i="9" s="1"/>
  <c r="U25" i="9" a="1"/>
  <c r="U25" i="9" s="1"/>
  <c r="U26" i="9" a="1"/>
  <c r="U26" i="9"/>
  <c r="U27" i="9" a="1"/>
  <c r="U27" i="9" s="1"/>
  <c r="U28" i="9" a="1"/>
  <c r="U28" i="9" s="1"/>
  <c r="U29" i="9" a="1"/>
  <c r="U29" i="9" s="1"/>
  <c r="U30" i="9" a="1"/>
  <c r="U30" i="9"/>
  <c r="U31" i="9" a="1"/>
  <c r="U31" i="9" s="1"/>
  <c r="U32" i="9" a="1"/>
  <c r="U32" i="9" s="1"/>
  <c r="U33" i="9" a="1"/>
  <c r="U33" i="9" s="1"/>
  <c r="U34" i="9" a="1"/>
  <c r="U34" i="9"/>
  <c r="U35" i="9" a="1"/>
  <c r="U35" i="9" s="1"/>
  <c r="U36" i="9" a="1"/>
  <c r="U36" i="9" s="1"/>
  <c r="U37" i="9" a="1"/>
  <c r="U37" i="9" s="1"/>
  <c r="U38" i="9" a="1"/>
  <c r="U38" i="9"/>
  <c r="U39" i="9" a="1"/>
  <c r="U39" i="9" s="1"/>
  <c r="AG133" i="5" a="1"/>
  <c r="AG133" i="5" s="1"/>
  <c r="AG134" i="5" a="1"/>
  <c r="AG134" i="5" s="1"/>
  <c r="AG135" i="5" a="1"/>
  <c r="AG135" i="5"/>
  <c r="AG136" i="5" a="1"/>
  <c r="AG136" i="5" s="1"/>
  <c r="AG137" i="5" a="1"/>
  <c r="AG137" i="5" s="1"/>
  <c r="AG138" i="5" a="1"/>
  <c r="AG138" i="5" s="1"/>
  <c r="AG139" i="5" a="1"/>
  <c r="AG139" i="5"/>
  <c r="AG140" i="5" a="1"/>
  <c r="AG140" i="5" s="1"/>
  <c r="AG141" i="5" a="1"/>
  <c r="AG141" i="5" s="1"/>
  <c r="AG142" i="5" a="1"/>
  <c r="AG142" i="5" s="1"/>
  <c r="AG143" i="5" a="1"/>
  <c r="AG143" i="5"/>
  <c r="AG144" i="5" a="1"/>
  <c r="AG144" i="5" s="1"/>
  <c r="AG145" i="5" a="1"/>
  <c r="AG145" i="5" s="1"/>
  <c r="AG146" i="5" a="1"/>
  <c r="AG146" i="5" s="1"/>
  <c r="AG147" i="5" a="1"/>
  <c r="AG147" i="5"/>
  <c r="AG148" i="5" a="1"/>
  <c r="AG148" i="5" s="1"/>
  <c r="AG149" i="5" a="1"/>
  <c r="AG149" i="5" s="1"/>
  <c r="AG150" i="5" a="1"/>
  <c r="AG150" i="5" s="1"/>
  <c r="AG151" i="5" a="1"/>
  <c r="AG151" i="5"/>
  <c r="AG152" i="5" a="1"/>
  <c r="AG152" i="5" s="1"/>
  <c r="AG153" i="5" a="1"/>
  <c r="AG153" i="5" s="1"/>
  <c r="AG154" i="5" a="1"/>
  <c r="AG154" i="5" s="1"/>
  <c r="AG155" i="5" a="1"/>
  <c r="AG155" i="5"/>
  <c r="AG156" i="5" a="1"/>
  <c r="AG156" i="5" s="1"/>
  <c r="AG157" i="5" a="1"/>
  <c r="AG157" i="5" s="1"/>
  <c r="AG158" i="5" a="1"/>
  <c r="AG158" i="5" s="1"/>
  <c r="AG159" i="5" a="1"/>
  <c r="AG159" i="5"/>
  <c r="AG160" i="5" a="1"/>
  <c r="AG160" i="5" s="1"/>
  <c r="AG161" i="5" a="1"/>
  <c r="AG161" i="5" s="1"/>
  <c r="AG162" i="5" a="1"/>
  <c r="AG162" i="5" s="1"/>
  <c r="AG163" i="5" a="1"/>
  <c r="AG163" i="5"/>
  <c r="AG164" i="5" a="1"/>
  <c r="AG164" i="5" s="1"/>
  <c r="AG165" i="5" a="1"/>
  <c r="AG165" i="5" s="1"/>
  <c r="AG166" i="5" a="1"/>
  <c r="AG166" i="5" s="1"/>
  <c r="AG167" i="5" a="1"/>
  <c r="AG167" i="5"/>
  <c r="AG168" i="5" a="1"/>
  <c r="AG168" i="5" s="1"/>
  <c r="AG169" i="5" a="1"/>
  <c r="AG169" i="5" s="1"/>
  <c r="AG170" i="5" a="1"/>
  <c r="AG170" i="5" s="1"/>
  <c r="AG171" i="5" a="1"/>
  <c r="AG171" i="5"/>
  <c r="AG172" i="5" a="1"/>
  <c r="AG172" i="5" s="1"/>
  <c r="AG173" i="5" a="1"/>
  <c r="AG173" i="5" s="1"/>
  <c r="AG174" i="5" a="1"/>
  <c r="AG174" i="5" s="1"/>
  <c r="AV15" i="4" a="1"/>
  <c r="AV15" i="4" s="1"/>
  <c r="AV16" i="4" a="1"/>
  <c r="AV16" i="4" s="1"/>
  <c r="AV17" i="4" a="1"/>
  <c r="AV17" i="4" s="1"/>
  <c r="AV18" i="4" a="1"/>
  <c r="AV18" i="4" s="1"/>
  <c r="AV19" i="4" a="1"/>
  <c r="AV19" i="4" s="1"/>
  <c r="AV20" i="4" a="1"/>
  <c r="AV20" i="4" s="1"/>
  <c r="AV21" i="4" a="1"/>
  <c r="AV21" i="4" s="1"/>
  <c r="AV22" i="4" a="1"/>
  <c r="AV22" i="4" s="1"/>
  <c r="AV23" i="4" a="1"/>
  <c r="AV23" i="4" s="1"/>
  <c r="AV24" i="4" a="1"/>
  <c r="AV24" i="4" s="1"/>
  <c r="AV25" i="4" a="1"/>
  <c r="AV25" i="4" s="1"/>
  <c r="AV26" i="4" a="1"/>
  <c r="AV26" i="4" s="1"/>
  <c r="AV27" i="4" a="1"/>
  <c r="AV27" i="4" s="1"/>
  <c r="AV28" i="4" a="1"/>
  <c r="AV28" i="4" s="1"/>
  <c r="AV29" i="4" a="1"/>
  <c r="AV29" i="4" s="1"/>
  <c r="AV30" i="4" a="1"/>
  <c r="AV30" i="4" s="1"/>
  <c r="AV31" i="4" a="1"/>
  <c r="AV31" i="4" s="1"/>
  <c r="AV32" i="4" a="1"/>
  <c r="AV32" i="4" s="1"/>
  <c r="AV33" i="4" a="1"/>
  <c r="AV33" i="4" s="1"/>
  <c r="AV34" i="4" a="1"/>
  <c r="AV34" i="4" s="1"/>
  <c r="AV35" i="4" a="1"/>
  <c r="AV35" i="4" s="1"/>
  <c r="AV36" i="4" a="1"/>
  <c r="AV36" i="4" s="1"/>
  <c r="AV37" i="4" a="1"/>
  <c r="AV37" i="4" s="1"/>
  <c r="AV38" i="4" a="1"/>
  <c r="AV38" i="4" s="1"/>
  <c r="AV39" i="4" a="1"/>
  <c r="AV39" i="4" s="1"/>
  <c r="AV40" i="4" a="1"/>
  <c r="AV40" i="4" s="1"/>
  <c r="AV41" i="4" a="1"/>
  <c r="AV41" i="4" s="1"/>
  <c r="AV42" i="4" a="1"/>
  <c r="AV42" i="4" s="1"/>
  <c r="AV43" i="4" a="1"/>
  <c r="AV43" i="4" s="1"/>
  <c r="AV44" i="4" a="1"/>
  <c r="AV44" i="4" s="1"/>
  <c r="AV45" i="4" a="1"/>
  <c r="AV45" i="4" s="1"/>
  <c r="AV46" i="4" a="1"/>
  <c r="AV46" i="4" s="1"/>
  <c r="AV47" i="4" a="1"/>
  <c r="AV47" i="4" s="1"/>
  <c r="AV48" i="4" a="1"/>
  <c r="AV48" i="4" s="1"/>
  <c r="AV49" i="4" a="1"/>
  <c r="AV49" i="4" s="1"/>
  <c r="AV50" i="4" a="1"/>
  <c r="AV50" i="4" s="1"/>
  <c r="AV51" i="4" a="1"/>
  <c r="AV51" i="4" s="1"/>
  <c r="AV52" i="4" a="1"/>
  <c r="AV52" i="4" s="1"/>
  <c r="AV53" i="4" a="1"/>
  <c r="AV53" i="4" s="1"/>
  <c r="AV54" i="4" a="1"/>
  <c r="AV54" i="4" s="1"/>
  <c r="AV55" i="4" a="1"/>
  <c r="AV55" i="4" s="1"/>
  <c r="AV56" i="4" a="1"/>
  <c r="AV56" i="4" s="1"/>
  <c r="AV57" i="4" a="1"/>
  <c r="AV57" i="4" s="1"/>
  <c r="AV58" i="4" a="1"/>
  <c r="AV58" i="4" s="1"/>
  <c r="AV59" i="4" a="1"/>
  <c r="AV59" i="4" s="1"/>
  <c r="AV60" i="4" a="1"/>
  <c r="AV60" i="4" s="1"/>
  <c r="AV61" i="4" a="1"/>
  <c r="AV61" i="4" s="1"/>
  <c r="AV62" i="4" a="1"/>
  <c r="AV62" i="4" s="1"/>
  <c r="AV63" i="4" a="1"/>
  <c r="AV63" i="4" s="1"/>
  <c r="AV64" i="4" a="1"/>
  <c r="AV64" i="4" s="1"/>
  <c r="AV65" i="4" a="1"/>
  <c r="AV65" i="4" s="1"/>
  <c r="AV66" i="4" a="1"/>
  <c r="AV66" i="4" s="1"/>
  <c r="AV67" i="4" a="1"/>
  <c r="AV67" i="4" s="1"/>
  <c r="AV68" i="4" a="1"/>
  <c r="AV68" i="4" s="1"/>
  <c r="AV69" i="4" a="1"/>
  <c r="AV69" i="4" s="1"/>
  <c r="AV70" i="4" a="1"/>
  <c r="AV70" i="4" s="1"/>
  <c r="AV71" i="4" a="1"/>
  <c r="AV71" i="4" s="1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E4" i="8"/>
  <c r="F4" i="8"/>
  <c r="G4" i="8"/>
  <c r="H4" i="8"/>
  <c r="I4" i="8"/>
  <c r="E5" i="8"/>
  <c r="F5" i="8"/>
  <c r="G5" i="8"/>
  <c r="H5" i="8"/>
  <c r="I5" i="8"/>
  <c r="E6" i="8"/>
  <c r="F6" i="8"/>
  <c r="G6" i="8"/>
  <c r="H6" i="8"/>
  <c r="I6" i="8"/>
  <c r="E7" i="8"/>
  <c r="F7" i="8"/>
  <c r="G7" i="8"/>
  <c r="H7" i="8"/>
  <c r="I7" i="8"/>
  <c r="E8" i="8"/>
  <c r="F8" i="8"/>
  <c r="G8" i="8"/>
  <c r="H8" i="8"/>
  <c r="I8" i="8"/>
  <c r="E9" i="8"/>
  <c r="F9" i="8"/>
  <c r="G9" i="8"/>
  <c r="H9" i="8"/>
  <c r="I9" i="8"/>
  <c r="E10" i="8"/>
  <c r="F10" i="8"/>
  <c r="G10" i="8"/>
  <c r="H10" i="8"/>
  <c r="I10" i="8"/>
  <c r="E11" i="8"/>
  <c r="F11" i="8"/>
  <c r="G11" i="8"/>
  <c r="H11" i="8"/>
  <c r="I11" i="8"/>
  <c r="E12" i="8"/>
  <c r="F12" i="8"/>
  <c r="G12" i="8"/>
  <c r="H12" i="8"/>
  <c r="I12" i="8"/>
  <c r="E13" i="8"/>
  <c r="F13" i="8"/>
  <c r="G13" i="8"/>
  <c r="H13" i="8"/>
  <c r="I13" i="8"/>
  <c r="E14" i="8"/>
  <c r="F14" i="8"/>
  <c r="G14" i="8"/>
  <c r="H14" i="8"/>
  <c r="I14" i="8"/>
  <c r="E15" i="8"/>
  <c r="F15" i="8"/>
  <c r="G15" i="8"/>
  <c r="H15" i="8"/>
  <c r="I15" i="8"/>
  <c r="E16" i="8"/>
  <c r="F16" i="8"/>
  <c r="G16" i="8"/>
  <c r="H16" i="8"/>
  <c r="I16" i="8"/>
  <c r="E17" i="8"/>
  <c r="F17" i="8"/>
  <c r="G17" i="8"/>
  <c r="H17" i="8"/>
  <c r="I17" i="8"/>
  <c r="E18" i="8"/>
  <c r="F18" i="8"/>
  <c r="G18" i="8"/>
  <c r="H18" i="8"/>
  <c r="I18" i="8"/>
  <c r="E19" i="8"/>
  <c r="F19" i="8"/>
  <c r="G19" i="8"/>
  <c r="H19" i="8"/>
  <c r="I19" i="8"/>
  <c r="E20" i="8"/>
  <c r="F20" i="8"/>
  <c r="G20" i="8"/>
  <c r="H20" i="8"/>
  <c r="I20" i="8"/>
  <c r="E21" i="8"/>
  <c r="F21" i="8"/>
  <c r="G21" i="8"/>
  <c r="H21" i="8"/>
  <c r="I21" i="8"/>
  <c r="E22" i="8"/>
  <c r="F22" i="8"/>
  <c r="G22" i="8"/>
  <c r="H22" i="8"/>
  <c r="I22" i="8"/>
  <c r="E23" i="8"/>
  <c r="F23" i="8"/>
  <c r="G23" i="8"/>
  <c r="H23" i="8"/>
  <c r="I23" i="8"/>
  <c r="E24" i="8"/>
  <c r="F24" i="8"/>
  <c r="G24" i="8"/>
  <c r="H24" i="8"/>
  <c r="I24" i="8"/>
  <c r="E25" i="8"/>
  <c r="F25" i="8"/>
  <c r="G25" i="8"/>
  <c r="H25" i="8"/>
  <c r="I25" i="8"/>
  <c r="E26" i="8"/>
  <c r="F26" i="8"/>
  <c r="G26" i="8"/>
  <c r="H26" i="8"/>
  <c r="I26" i="8"/>
  <c r="E27" i="8"/>
  <c r="F27" i="8"/>
  <c r="G27" i="8"/>
  <c r="H27" i="8"/>
  <c r="I27" i="8"/>
  <c r="E28" i="8"/>
  <c r="F28" i="8"/>
  <c r="G28" i="8"/>
  <c r="H28" i="8"/>
  <c r="I28" i="8"/>
  <c r="E29" i="8"/>
  <c r="F29" i="8"/>
  <c r="G29" i="8"/>
  <c r="H29" i="8"/>
  <c r="I29" i="8"/>
  <c r="E30" i="8"/>
  <c r="F30" i="8"/>
  <c r="G30" i="8"/>
  <c r="H30" i="8"/>
  <c r="I30" i="8"/>
  <c r="E31" i="8"/>
  <c r="F31" i="8"/>
  <c r="G31" i="8"/>
  <c r="H31" i="8"/>
  <c r="I31" i="8"/>
  <c r="E32" i="8"/>
  <c r="F32" i="8"/>
  <c r="G32" i="8"/>
  <c r="H32" i="8"/>
  <c r="I32" i="8"/>
  <c r="E33" i="8"/>
  <c r="F33" i="8"/>
  <c r="G33" i="8"/>
  <c r="H33" i="8"/>
  <c r="I33" i="8"/>
  <c r="E34" i="8"/>
  <c r="F34" i="8"/>
  <c r="G34" i="8"/>
  <c r="H34" i="8"/>
  <c r="I34" i="8"/>
  <c r="E35" i="8"/>
  <c r="F35" i="8"/>
  <c r="G35" i="8"/>
  <c r="H35" i="8"/>
  <c r="I35" i="8"/>
  <c r="E36" i="8"/>
  <c r="F36" i="8"/>
  <c r="G36" i="8"/>
  <c r="H36" i="8"/>
  <c r="I36" i="8"/>
  <c r="E37" i="8"/>
  <c r="F37" i="8"/>
  <c r="G37" i="8"/>
  <c r="H37" i="8"/>
  <c r="I37" i="8"/>
  <c r="E38" i="8"/>
  <c r="F38" i="8"/>
  <c r="G38" i="8"/>
  <c r="H38" i="8"/>
  <c r="I38" i="8"/>
  <c r="E39" i="8"/>
  <c r="F39" i="8"/>
  <c r="G39" i="8"/>
  <c r="H39" i="8"/>
  <c r="I39" i="8"/>
  <c r="E40" i="8"/>
  <c r="F40" i="8"/>
  <c r="G40" i="8"/>
  <c r="H40" i="8"/>
  <c r="I40" i="8"/>
  <c r="E41" i="8"/>
  <c r="F41" i="8"/>
  <c r="G41" i="8"/>
  <c r="H41" i="8"/>
  <c r="I41" i="8"/>
  <c r="E42" i="8"/>
  <c r="F42" i="8"/>
  <c r="G42" i="8"/>
  <c r="H42" i="8"/>
  <c r="I42" i="8"/>
  <c r="E43" i="8"/>
  <c r="F43" i="8"/>
  <c r="G43" i="8"/>
  <c r="H43" i="8"/>
  <c r="I43" i="8"/>
  <c r="E44" i="8"/>
  <c r="F44" i="8"/>
  <c r="G44" i="8"/>
  <c r="H44" i="8"/>
  <c r="I44" i="8"/>
  <c r="E45" i="8"/>
  <c r="F45" i="8"/>
  <c r="G45" i="8"/>
  <c r="H45" i="8"/>
  <c r="I45" i="8"/>
  <c r="E46" i="8"/>
  <c r="F46" i="8"/>
  <c r="G46" i="8"/>
  <c r="H46" i="8"/>
  <c r="I46" i="8"/>
  <c r="E47" i="8"/>
  <c r="F47" i="8"/>
  <c r="G47" i="8"/>
  <c r="H47" i="8"/>
  <c r="I47" i="8"/>
  <c r="A48" i="8"/>
  <c r="B48" i="8"/>
  <c r="C48" i="8"/>
  <c r="D48" i="8"/>
  <c r="E48" i="8"/>
  <c r="F48" i="8"/>
  <c r="G48" i="8"/>
  <c r="H48" i="8"/>
  <c r="I48" i="8"/>
  <c r="A49" i="8"/>
  <c r="B49" i="8"/>
  <c r="C49" i="8"/>
  <c r="D49" i="8"/>
  <c r="E49" i="8"/>
  <c r="F49" i="8"/>
  <c r="G49" i="8"/>
  <c r="H49" i="8"/>
  <c r="I49" i="8"/>
  <c r="A50" i="8"/>
  <c r="B50" i="8"/>
  <c r="C50" i="8"/>
  <c r="D50" i="8"/>
  <c r="E50" i="8"/>
  <c r="F50" i="8"/>
  <c r="G50" i="8"/>
  <c r="H50" i="8"/>
  <c r="I50" i="8"/>
  <c r="A51" i="8"/>
  <c r="B51" i="8"/>
  <c r="C51" i="8"/>
  <c r="D51" i="8"/>
  <c r="E51" i="8"/>
  <c r="F51" i="8"/>
  <c r="G51" i="8"/>
  <c r="H51" i="8"/>
  <c r="I51" i="8"/>
  <c r="A52" i="8"/>
  <c r="B52" i="8"/>
  <c r="C52" i="8"/>
  <c r="D52" i="8"/>
  <c r="E52" i="8"/>
  <c r="F52" i="8"/>
  <c r="G52" i="8"/>
  <c r="H52" i="8"/>
  <c r="I52" i="8"/>
  <c r="A53" i="8"/>
  <c r="B53" i="8"/>
  <c r="C53" i="8"/>
  <c r="D53" i="8"/>
  <c r="E53" i="8"/>
  <c r="F53" i="8"/>
  <c r="G53" i="8"/>
  <c r="H53" i="8"/>
  <c r="I53" i="8"/>
  <c r="A54" i="8"/>
  <c r="B54" i="8"/>
  <c r="C54" i="8"/>
  <c r="D54" i="8"/>
  <c r="E54" i="8"/>
  <c r="F54" i="8"/>
  <c r="G54" i="8"/>
  <c r="H54" i="8"/>
  <c r="I54" i="8"/>
  <c r="A55" i="8"/>
  <c r="B55" i="8"/>
  <c r="C55" i="8"/>
  <c r="D55" i="8"/>
  <c r="E55" i="8"/>
  <c r="F55" i="8"/>
  <c r="G55" i="8"/>
  <c r="H55" i="8"/>
  <c r="I55" i="8"/>
  <c r="A56" i="8"/>
  <c r="B56" i="8"/>
  <c r="C56" i="8"/>
  <c r="D56" i="8"/>
  <c r="E56" i="8"/>
  <c r="F56" i="8"/>
  <c r="G56" i="8"/>
  <c r="H56" i="8"/>
  <c r="I56" i="8"/>
  <c r="A57" i="8"/>
  <c r="B57" i="8"/>
  <c r="C57" i="8"/>
  <c r="D57" i="8"/>
  <c r="E57" i="8"/>
  <c r="F57" i="8"/>
  <c r="G57" i="8"/>
  <c r="H57" i="8"/>
  <c r="I57" i="8"/>
  <c r="A58" i="8"/>
  <c r="B58" i="8"/>
  <c r="C58" i="8"/>
  <c r="D58" i="8"/>
  <c r="E58" i="8"/>
  <c r="F58" i="8"/>
  <c r="G58" i="8"/>
  <c r="H58" i="8"/>
  <c r="I58" i="8"/>
  <c r="A59" i="8"/>
  <c r="B59" i="8"/>
  <c r="C59" i="8"/>
  <c r="D59" i="8"/>
  <c r="E59" i="8"/>
  <c r="F59" i="8"/>
  <c r="G59" i="8"/>
  <c r="H59" i="8"/>
  <c r="I59" i="8"/>
  <c r="A60" i="8"/>
  <c r="B60" i="8"/>
  <c r="C60" i="8"/>
  <c r="D60" i="8"/>
  <c r="E60" i="8"/>
  <c r="F60" i="8"/>
  <c r="G60" i="8"/>
  <c r="H60" i="8"/>
  <c r="I60" i="8"/>
  <c r="A61" i="8"/>
  <c r="B61" i="8"/>
  <c r="C61" i="8"/>
  <c r="D61" i="8"/>
  <c r="E61" i="8"/>
  <c r="F61" i="8"/>
  <c r="G61" i="8"/>
  <c r="H61" i="8"/>
  <c r="I61" i="8"/>
  <c r="A62" i="8"/>
  <c r="B62" i="8"/>
  <c r="C62" i="8"/>
  <c r="D62" i="8"/>
  <c r="E62" i="8"/>
  <c r="F62" i="8"/>
  <c r="G62" i="8"/>
  <c r="H62" i="8"/>
  <c r="I62" i="8"/>
  <c r="A63" i="8"/>
  <c r="B63" i="8"/>
  <c r="C63" i="8"/>
  <c r="D63" i="8"/>
  <c r="E63" i="8"/>
  <c r="F63" i="8"/>
  <c r="G63" i="8"/>
  <c r="H63" i="8"/>
  <c r="I63" i="8"/>
  <c r="A64" i="8"/>
  <c r="B64" i="8"/>
  <c r="C64" i="8"/>
  <c r="D64" i="8"/>
  <c r="E64" i="8"/>
  <c r="F64" i="8"/>
  <c r="G64" i="8"/>
  <c r="H64" i="8"/>
  <c r="I64" i="8"/>
  <c r="A65" i="8"/>
  <c r="B65" i="8"/>
  <c r="C65" i="8"/>
  <c r="D65" i="8"/>
  <c r="E65" i="8"/>
  <c r="F65" i="8"/>
  <c r="G65" i="8"/>
  <c r="H65" i="8"/>
  <c r="I65" i="8"/>
  <c r="A66" i="8"/>
  <c r="B66" i="8"/>
  <c r="C66" i="8"/>
  <c r="D66" i="8"/>
  <c r="E66" i="8"/>
  <c r="F66" i="8"/>
  <c r="G66" i="8"/>
  <c r="H66" i="8"/>
  <c r="I66" i="8"/>
  <c r="A67" i="8"/>
  <c r="B67" i="8"/>
  <c r="C67" i="8"/>
  <c r="D67" i="8"/>
  <c r="E67" i="8"/>
  <c r="F67" i="8"/>
  <c r="G67" i="8"/>
  <c r="H67" i="8"/>
  <c r="I67" i="8"/>
  <c r="A68" i="8"/>
  <c r="B68" i="8"/>
  <c r="C68" i="8"/>
  <c r="D68" i="8"/>
  <c r="E68" i="8"/>
  <c r="F68" i="8"/>
  <c r="G68" i="8"/>
  <c r="H68" i="8"/>
  <c r="I68" i="8"/>
  <c r="A69" i="8"/>
  <c r="B69" i="8"/>
  <c r="C69" i="8"/>
  <c r="D69" i="8"/>
  <c r="E69" i="8"/>
  <c r="F69" i="8"/>
  <c r="G69" i="8"/>
  <c r="H69" i="8"/>
  <c r="I69" i="8"/>
  <c r="A70" i="8"/>
  <c r="B70" i="8"/>
  <c r="C70" i="8"/>
  <c r="D70" i="8"/>
  <c r="E70" i="8"/>
  <c r="F70" i="8"/>
  <c r="G70" i="8"/>
  <c r="H70" i="8"/>
  <c r="I70" i="8"/>
  <c r="A71" i="8"/>
  <c r="B71" i="8"/>
  <c r="C71" i="8"/>
  <c r="D71" i="8"/>
  <c r="E71" i="8"/>
  <c r="F71" i="8"/>
  <c r="G71" i="8"/>
  <c r="H71" i="8"/>
  <c r="I71" i="8"/>
  <c r="A72" i="8"/>
  <c r="B72" i="8"/>
  <c r="C72" i="8"/>
  <c r="D72" i="8"/>
  <c r="E72" i="8"/>
  <c r="F72" i="8"/>
  <c r="G72" i="8"/>
  <c r="H72" i="8"/>
  <c r="I72" i="8"/>
  <c r="A73" i="8"/>
  <c r="B73" i="8"/>
  <c r="C73" i="8"/>
  <c r="D73" i="8"/>
  <c r="E73" i="8"/>
  <c r="F73" i="8"/>
  <c r="G73" i="8"/>
  <c r="H73" i="8"/>
  <c r="I73" i="8"/>
  <c r="A74" i="8"/>
  <c r="B74" i="8"/>
  <c r="C74" i="8"/>
  <c r="D74" i="8"/>
  <c r="E74" i="8"/>
  <c r="F74" i="8"/>
  <c r="G74" i="8"/>
  <c r="H74" i="8"/>
  <c r="I74" i="8"/>
  <c r="A75" i="8"/>
  <c r="B75" i="8"/>
  <c r="C75" i="8"/>
  <c r="D75" i="8"/>
  <c r="E75" i="8"/>
  <c r="F75" i="8"/>
  <c r="G75" i="8"/>
  <c r="H75" i="8"/>
  <c r="I75" i="8"/>
  <c r="A76" i="8"/>
  <c r="B76" i="8"/>
  <c r="C76" i="8"/>
  <c r="D76" i="8"/>
  <c r="E76" i="8"/>
  <c r="F76" i="8"/>
  <c r="G76" i="8"/>
  <c r="H76" i="8"/>
  <c r="I76" i="8"/>
  <c r="A77" i="8"/>
  <c r="B77" i="8"/>
  <c r="C77" i="8"/>
  <c r="D77" i="8"/>
  <c r="E77" i="8"/>
  <c r="F77" i="8"/>
  <c r="G77" i="8"/>
  <c r="H77" i="8"/>
  <c r="I77" i="8"/>
  <c r="A78" i="8"/>
  <c r="B78" i="8"/>
  <c r="C78" i="8"/>
  <c r="D78" i="8"/>
  <c r="E78" i="8"/>
  <c r="F78" i="8"/>
  <c r="G78" i="8"/>
  <c r="H78" i="8"/>
  <c r="I78" i="8"/>
  <c r="A79" i="8"/>
  <c r="B79" i="8"/>
  <c r="C79" i="8"/>
  <c r="D79" i="8"/>
  <c r="E79" i="8"/>
  <c r="F79" i="8"/>
  <c r="G79" i="8"/>
  <c r="H79" i="8"/>
  <c r="I79" i="8"/>
  <c r="A80" i="8"/>
  <c r="B80" i="8"/>
  <c r="C80" i="8"/>
  <c r="D80" i="8"/>
  <c r="E80" i="8"/>
  <c r="F80" i="8"/>
  <c r="G80" i="8"/>
  <c r="H80" i="8"/>
  <c r="I80" i="8"/>
  <c r="A81" i="8"/>
  <c r="B81" i="8"/>
  <c r="C81" i="8"/>
  <c r="D81" i="8"/>
  <c r="E81" i="8"/>
  <c r="F81" i="8"/>
  <c r="G81" i="8"/>
  <c r="H81" i="8"/>
  <c r="I81" i="8"/>
  <c r="A82" i="8"/>
  <c r="B82" i="8"/>
  <c r="C82" i="8"/>
  <c r="D82" i="8"/>
  <c r="E82" i="8"/>
  <c r="F82" i="8"/>
  <c r="G82" i="8"/>
  <c r="H82" i="8"/>
  <c r="I82" i="8"/>
  <c r="A83" i="8"/>
  <c r="B83" i="8"/>
  <c r="C83" i="8"/>
  <c r="D83" i="8"/>
  <c r="E83" i="8"/>
  <c r="F83" i="8"/>
  <c r="G83" i="8"/>
  <c r="H83" i="8"/>
  <c r="I83" i="8"/>
  <c r="A84" i="8"/>
  <c r="B84" i="8"/>
  <c r="C84" i="8"/>
  <c r="D84" i="8"/>
  <c r="E84" i="8"/>
  <c r="F84" i="8"/>
  <c r="G84" i="8"/>
  <c r="H84" i="8"/>
  <c r="I84" i="8"/>
  <c r="A85" i="8"/>
  <c r="B85" i="8"/>
  <c r="C85" i="8"/>
  <c r="D85" i="8"/>
  <c r="E85" i="8"/>
  <c r="F85" i="8"/>
  <c r="G85" i="8"/>
  <c r="H85" i="8"/>
  <c r="I85" i="8"/>
  <c r="A86" i="8"/>
  <c r="B86" i="8"/>
  <c r="C86" i="8"/>
  <c r="D86" i="8"/>
  <c r="E86" i="8"/>
  <c r="F86" i="8"/>
  <c r="G86" i="8"/>
  <c r="H86" i="8"/>
  <c r="I86" i="8"/>
  <c r="A87" i="8"/>
  <c r="B87" i="8"/>
  <c r="C87" i="8"/>
  <c r="D87" i="8"/>
  <c r="E87" i="8"/>
  <c r="F87" i="8"/>
  <c r="G87" i="8"/>
  <c r="H87" i="8"/>
  <c r="I87" i="8"/>
  <c r="A88" i="8"/>
  <c r="B88" i="8"/>
  <c r="C88" i="8"/>
  <c r="D88" i="8"/>
  <c r="E88" i="8"/>
  <c r="F88" i="8"/>
  <c r="G88" i="8"/>
  <c r="H88" i="8"/>
  <c r="I88" i="8"/>
  <c r="A89" i="8"/>
  <c r="B89" i="8"/>
  <c r="C89" i="8"/>
  <c r="D89" i="8"/>
  <c r="E89" i="8"/>
  <c r="F89" i="8"/>
  <c r="G89" i="8"/>
  <c r="H89" i="8"/>
  <c r="I89" i="8"/>
  <c r="A90" i="8"/>
  <c r="B90" i="8"/>
  <c r="C90" i="8"/>
  <c r="D90" i="8"/>
  <c r="E90" i="8"/>
  <c r="F90" i="8"/>
  <c r="G90" i="8"/>
  <c r="H90" i="8"/>
  <c r="I90" i="8"/>
  <c r="A91" i="8"/>
  <c r="B91" i="8"/>
  <c r="C91" i="8"/>
  <c r="D91" i="8"/>
  <c r="E91" i="8"/>
  <c r="F91" i="8"/>
  <c r="G91" i="8"/>
  <c r="H91" i="8"/>
  <c r="I91" i="8"/>
  <c r="A92" i="8"/>
  <c r="B92" i="8"/>
  <c r="C92" i="8"/>
  <c r="D92" i="8"/>
  <c r="E92" i="8"/>
  <c r="F92" i="8"/>
  <c r="G92" i="8"/>
  <c r="H92" i="8"/>
  <c r="I92" i="8"/>
  <c r="A93" i="8"/>
  <c r="B93" i="8"/>
  <c r="C93" i="8"/>
  <c r="D93" i="8"/>
  <c r="E93" i="8"/>
  <c r="F93" i="8"/>
  <c r="G93" i="8"/>
  <c r="H93" i="8"/>
  <c r="I93" i="8"/>
  <c r="A94" i="8"/>
  <c r="B94" i="8"/>
  <c r="C94" i="8"/>
  <c r="D94" i="8"/>
  <c r="E94" i="8"/>
  <c r="F94" i="8"/>
  <c r="G94" i="8"/>
  <c r="H94" i="8"/>
  <c r="I94" i="8"/>
  <c r="A95" i="8"/>
  <c r="B95" i="8"/>
  <c r="C95" i="8"/>
  <c r="D95" i="8"/>
  <c r="E95" i="8"/>
  <c r="F95" i="8"/>
  <c r="G95" i="8"/>
  <c r="H95" i="8"/>
  <c r="I95" i="8"/>
  <c r="A96" i="8"/>
  <c r="B96" i="8"/>
  <c r="C96" i="8"/>
  <c r="D96" i="8"/>
  <c r="E96" i="8"/>
  <c r="F96" i="8"/>
  <c r="G96" i="8"/>
  <c r="H96" i="8"/>
  <c r="I96" i="8"/>
  <c r="A97" i="8"/>
  <c r="B97" i="8"/>
  <c r="C97" i="8"/>
  <c r="D97" i="8"/>
  <c r="E97" i="8"/>
  <c r="F97" i="8"/>
  <c r="G97" i="8"/>
  <c r="H97" i="8"/>
  <c r="I97" i="8"/>
  <c r="A98" i="8"/>
  <c r="B98" i="8"/>
  <c r="C98" i="8"/>
  <c r="D98" i="8"/>
  <c r="E98" i="8"/>
  <c r="F98" i="8"/>
  <c r="G98" i="8"/>
  <c r="H98" i="8"/>
  <c r="I98" i="8"/>
  <c r="A99" i="8"/>
  <c r="B99" i="8"/>
  <c r="C99" i="8"/>
  <c r="D99" i="8"/>
  <c r="E99" i="8"/>
  <c r="F99" i="8"/>
  <c r="G99" i="8"/>
  <c r="H99" i="8"/>
  <c r="I99" i="8"/>
  <c r="A100" i="8"/>
  <c r="B100" i="8"/>
  <c r="C100" i="8"/>
  <c r="D100" i="8"/>
  <c r="E100" i="8"/>
  <c r="F100" i="8"/>
  <c r="G100" i="8"/>
  <c r="H100" i="8"/>
  <c r="I100" i="8"/>
  <c r="A101" i="8"/>
  <c r="B101" i="8"/>
  <c r="C101" i="8"/>
  <c r="D101" i="8"/>
  <c r="E101" i="8"/>
  <c r="F101" i="8"/>
  <c r="G101" i="8"/>
  <c r="H101" i="8"/>
  <c r="I101" i="8"/>
  <c r="A102" i="8"/>
  <c r="B102" i="8"/>
  <c r="C102" i="8"/>
  <c r="D102" i="8"/>
  <c r="E102" i="8"/>
  <c r="F102" i="8"/>
  <c r="G102" i="8"/>
  <c r="H102" i="8"/>
  <c r="I102" i="8"/>
  <c r="A103" i="8"/>
  <c r="B103" i="8"/>
  <c r="C103" i="8"/>
  <c r="D103" i="8"/>
  <c r="E103" i="8"/>
  <c r="F103" i="8"/>
  <c r="G103" i="8"/>
  <c r="H103" i="8"/>
  <c r="I103" i="8"/>
  <c r="A104" i="8"/>
  <c r="B104" i="8"/>
  <c r="C104" i="8"/>
  <c r="D104" i="8"/>
  <c r="E104" i="8"/>
  <c r="F104" i="8"/>
  <c r="G104" i="8"/>
  <c r="H104" i="8"/>
  <c r="I104" i="8"/>
  <c r="E14" i="9"/>
  <c r="F14" i="9"/>
  <c r="G14" i="9"/>
  <c r="H14" i="9"/>
  <c r="I14" i="9"/>
  <c r="E15" i="9"/>
  <c r="F15" i="9"/>
  <c r="G15" i="9"/>
  <c r="H15" i="9"/>
  <c r="I15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2" i="9"/>
  <c r="F12" i="9"/>
  <c r="G12" i="9"/>
  <c r="H12" i="9"/>
  <c r="I12" i="9"/>
  <c r="E13" i="9"/>
  <c r="F13" i="9"/>
  <c r="G13" i="9"/>
  <c r="H13" i="9"/>
  <c r="I13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7" i="9"/>
  <c r="F7" i="9"/>
  <c r="G7" i="9"/>
  <c r="H7" i="9"/>
  <c r="I7" i="9"/>
  <c r="E8" i="9"/>
  <c r="F8" i="9"/>
  <c r="G8" i="9"/>
  <c r="H8" i="9"/>
  <c r="I8" i="9"/>
  <c r="X22" i="7" a="1"/>
  <c r="X22" i="7" s="1"/>
  <c r="X23" i="7" a="1"/>
  <c r="X23" i="7"/>
  <c r="X24" i="7" a="1"/>
  <c r="X24" i="7" s="1"/>
  <c r="X25" i="7" a="1"/>
  <c r="X25" i="7" s="1"/>
  <c r="X26" i="7" a="1"/>
  <c r="X26" i="7" s="1"/>
  <c r="X27" i="7" a="1"/>
  <c r="X27" i="7"/>
  <c r="X28" i="7" a="1"/>
  <c r="X28" i="7" s="1"/>
  <c r="X29" i="7" a="1"/>
  <c r="X29" i="7" s="1"/>
  <c r="X30" i="7" a="1"/>
  <c r="X30" i="7" s="1"/>
  <c r="X31" i="7" a="1"/>
  <c r="X31" i="7"/>
  <c r="X32" i="7" a="1"/>
  <c r="X32" i="7" s="1"/>
  <c r="X33" i="7" a="1"/>
  <c r="X33" i="7" s="1"/>
  <c r="X34" i="7" a="1"/>
  <c r="X34" i="7" s="1"/>
  <c r="X35" i="7" a="1"/>
  <c r="X35" i="7"/>
  <c r="X36" i="7" a="1"/>
  <c r="X36" i="7" s="1"/>
  <c r="X37" i="7" a="1"/>
  <c r="X37" i="7" s="1"/>
  <c r="X38" i="7" a="1"/>
  <c r="X38" i="7" s="1"/>
  <c r="X39" i="7" a="1"/>
  <c r="X39" i="7"/>
  <c r="X40" i="7" a="1"/>
  <c r="X40" i="7" s="1"/>
  <c r="X41" i="7" a="1"/>
  <c r="X41" i="7" s="1"/>
  <c r="X42" i="7" a="1"/>
  <c r="X42" i="7" s="1"/>
  <c r="X43" i="7" a="1"/>
  <c r="X43" i="7"/>
  <c r="X44" i="7" a="1"/>
  <c r="X44" i="7" s="1"/>
  <c r="X45" i="7" a="1"/>
  <c r="X45" i="7" s="1"/>
  <c r="X46" i="7" a="1"/>
  <c r="X46" i="7" s="1"/>
  <c r="X47" i="7" a="1"/>
  <c r="X47" i="7"/>
  <c r="X48" i="7" a="1"/>
  <c r="X48" i="7" s="1"/>
  <c r="X49" i="7" a="1"/>
  <c r="X49" i="7" s="1"/>
  <c r="X50" i="7" a="1"/>
  <c r="X50" i="7" s="1"/>
  <c r="X51" i="7" a="1"/>
  <c r="X51" i="7"/>
  <c r="X52" i="7" a="1"/>
  <c r="X52" i="7" s="1"/>
  <c r="X53" i="7" a="1"/>
  <c r="X53" i="7" s="1"/>
  <c r="X54" i="7" a="1"/>
  <c r="X54" i="7" s="1"/>
  <c r="X55" i="7" a="1"/>
  <c r="X55" i="7"/>
  <c r="X56" i="7" a="1"/>
  <c r="X56" i="7" s="1"/>
  <c r="X57" i="7" a="1"/>
  <c r="X57" i="7" s="1"/>
  <c r="X58" i="7" a="1"/>
  <c r="X58" i="7" s="1"/>
  <c r="X59" i="7" a="1"/>
  <c r="X59" i="7"/>
  <c r="X60" i="7" a="1"/>
  <c r="X60" i="7" s="1"/>
  <c r="X61" i="7" a="1"/>
  <c r="X61" i="7" s="1"/>
  <c r="X62" i="7" a="1"/>
  <c r="X62" i="7" s="1"/>
  <c r="X63" i="7" a="1"/>
  <c r="X63" i="7"/>
  <c r="X64" i="7" a="1"/>
  <c r="X64" i="7" s="1"/>
  <c r="X65" i="7" a="1"/>
  <c r="X65" i="7" s="1"/>
  <c r="X66" i="7" a="1"/>
  <c r="X66" i="7" s="1"/>
  <c r="X67" i="7" a="1"/>
  <c r="X67" i="7"/>
  <c r="X68" i="7" a="1"/>
  <c r="X68" i="7" s="1"/>
  <c r="X69" i="7" a="1"/>
  <c r="X69" i="7" s="1"/>
  <c r="X70" i="7" a="1"/>
  <c r="X70" i="7" s="1"/>
  <c r="X71" i="7" a="1"/>
  <c r="X71" i="7"/>
  <c r="X72" i="7" a="1"/>
  <c r="X72" i="7" s="1"/>
  <c r="X73" i="7" a="1"/>
  <c r="X73" i="7" s="1"/>
  <c r="X74" i="7" a="1"/>
  <c r="X74" i="7" s="1"/>
  <c r="X75" i="7" a="1"/>
  <c r="X75" i="7"/>
  <c r="X76" i="7" a="1"/>
  <c r="X76" i="7" s="1"/>
  <c r="X77" i="7" a="1"/>
  <c r="X77" i="7" s="1"/>
  <c r="X78" i="7" a="1"/>
  <c r="X78" i="7" s="1"/>
  <c r="X79" i="7" a="1"/>
  <c r="X79" i="7"/>
  <c r="X80" i="7" a="1"/>
  <c r="X80" i="7" s="1"/>
  <c r="X81" i="7" a="1"/>
  <c r="X81" i="7" s="1"/>
  <c r="X82" i="7" a="1"/>
  <c r="X82" i="7" s="1"/>
  <c r="X83" i="7" a="1"/>
  <c r="X83" i="7"/>
  <c r="X84" i="7" a="1"/>
  <c r="X84" i="7" s="1"/>
  <c r="X85" i="7" a="1"/>
  <c r="X85" i="7" s="1"/>
  <c r="X86" i="7" a="1"/>
  <c r="X86" i="7" s="1"/>
  <c r="X87" i="7" a="1"/>
  <c r="X87" i="7"/>
  <c r="X88" i="7" a="1"/>
  <c r="X88" i="7" s="1"/>
  <c r="X89" i="7" a="1"/>
  <c r="X89" i="7" s="1"/>
  <c r="X90" i="7" a="1"/>
  <c r="X90" i="7" s="1"/>
  <c r="X91" i="7" a="1"/>
  <c r="X91" i="7"/>
  <c r="X92" i="7" a="1"/>
  <c r="X92" i="7" s="1"/>
  <c r="X93" i="7" a="1"/>
  <c r="X93" i="7" s="1"/>
  <c r="X94" i="7" a="1"/>
  <c r="X94" i="7" s="1"/>
  <c r="X95" i="7" a="1"/>
  <c r="X95" i="7"/>
  <c r="X96" i="7" a="1"/>
  <c r="X96" i="7" s="1"/>
  <c r="X97" i="7" a="1"/>
  <c r="X97" i="7" s="1"/>
  <c r="X98" i="7" a="1"/>
  <c r="X98" i="7" s="1"/>
  <c r="X99" i="7" a="1"/>
  <c r="X99" i="7"/>
  <c r="X100" i="7" a="1"/>
  <c r="X100" i="7" s="1"/>
  <c r="X101" i="7" a="1"/>
  <c r="X101" i="7" s="1"/>
  <c r="X102" i="7" a="1"/>
  <c r="X102" i="7" s="1"/>
  <c r="X103" i="7" a="1"/>
  <c r="X103" i="7"/>
  <c r="X104" i="7" a="1"/>
  <c r="X104" i="7" s="1"/>
  <c r="X105" i="7" a="1"/>
  <c r="X105" i="7" s="1"/>
  <c r="X106" i="7" a="1"/>
  <c r="X106" i="7" s="1"/>
  <c r="X107" i="7" a="1"/>
  <c r="X107" i="7"/>
  <c r="X108" i="7" a="1"/>
  <c r="X108" i="7" s="1"/>
  <c r="X109" i="7" a="1"/>
  <c r="X109" i="7" s="1"/>
  <c r="X110" i="7" a="1"/>
  <c r="X110" i="7" s="1"/>
  <c r="X111" i="7" a="1"/>
  <c r="X111" i="7"/>
  <c r="X112" i="7" a="1"/>
  <c r="X112" i="7" s="1"/>
  <c r="X113" i="7" a="1"/>
  <c r="X113" i="7" s="1"/>
  <c r="X114" i="7" a="1"/>
  <c r="X114" i="7" s="1"/>
  <c r="X115" i="7" a="1"/>
  <c r="X115" i="7" s="1"/>
  <c r="X116" i="7" a="1"/>
  <c r="X116" i="7" s="1"/>
  <c r="X117" i="7" a="1"/>
  <c r="X117" i="7" s="1"/>
  <c r="X118" i="7" a="1"/>
  <c r="X118" i="7" s="1"/>
  <c r="X119" i="7" a="1"/>
  <c r="X119" i="7" s="1"/>
  <c r="X120" i="7" a="1"/>
  <c r="X120" i="7" s="1"/>
  <c r="X121" i="7" a="1"/>
  <c r="X121" i="7" s="1"/>
  <c r="X122" i="7" a="1"/>
  <c r="X122" i="7" s="1"/>
  <c r="X123" i="7" a="1"/>
  <c r="X123" i="7" s="1"/>
  <c r="X124" i="7" a="1"/>
  <c r="X124" i="7" s="1"/>
  <c r="X125" i="7" a="1"/>
  <c r="X125" i="7" s="1"/>
  <c r="X126" i="7" a="1"/>
  <c r="X126" i="7" s="1"/>
  <c r="X127" i="7" a="1"/>
  <c r="X127" i="7" s="1"/>
  <c r="X128" i="7" a="1"/>
  <c r="X128" i="7" s="1"/>
  <c r="X129" i="7" a="1"/>
  <c r="X129" i="7" s="1"/>
  <c r="X130" i="7" a="1"/>
  <c r="X130" i="7" s="1"/>
  <c r="X131" i="7" a="1"/>
  <c r="X131" i="7" s="1"/>
  <c r="X132" i="7" a="1"/>
  <c r="X132" i="7" s="1"/>
  <c r="X133" i="7" a="1"/>
  <c r="X133" i="7" s="1"/>
  <c r="X134" i="7" a="1"/>
  <c r="X134" i="7" s="1"/>
  <c r="X135" i="7" a="1"/>
  <c r="X135" i="7" s="1"/>
  <c r="X136" i="7" a="1"/>
  <c r="X136" i="7" s="1"/>
  <c r="X137" i="7" a="1"/>
  <c r="X137" i="7" s="1"/>
  <c r="X138" i="7" a="1"/>
  <c r="X138" i="7" s="1"/>
  <c r="X139" i="7" a="1"/>
  <c r="X139" i="7" s="1"/>
  <c r="X140" i="7" a="1"/>
  <c r="X140" i="7" s="1"/>
  <c r="X141" i="7" a="1"/>
  <c r="X141" i="7" s="1"/>
  <c r="X142" i="7" a="1"/>
  <c r="X142" i="7" s="1"/>
  <c r="X143" i="7" a="1"/>
  <c r="X143" i="7" s="1"/>
  <c r="X144" i="7" a="1"/>
  <c r="X144" i="7" s="1"/>
  <c r="X145" i="7" a="1"/>
  <c r="X145" i="7" s="1"/>
  <c r="X146" i="7" a="1"/>
  <c r="X146" i="7" s="1"/>
  <c r="X147" i="7" a="1"/>
  <c r="X147" i="7" s="1"/>
  <c r="X148" i="7" a="1"/>
  <c r="X148" i="7" s="1"/>
  <c r="X149" i="7" a="1"/>
  <c r="X149" i="7" s="1"/>
  <c r="X150" i="7" a="1"/>
  <c r="X150" i="7" s="1"/>
  <c r="X151" i="7" a="1"/>
  <c r="X151" i="7" s="1"/>
  <c r="X152" i="7" a="1"/>
  <c r="X152" i="7" s="1"/>
  <c r="X153" i="7" a="1"/>
  <c r="X153" i="7" s="1"/>
  <c r="X154" i="7" a="1"/>
  <c r="X154" i="7" s="1"/>
  <c r="X155" i="7" a="1"/>
  <c r="X155" i="7" s="1"/>
  <c r="X156" i="7" a="1"/>
  <c r="X156" i="7" s="1"/>
  <c r="X157" i="7" a="1"/>
  <c r="X157" i="7" s="1"/>
  <c r="X158" i="7" a="1"/>
  <c r="X158" i="7" s="1"/>
  <c r="X159" i="7" a="1"/>
  <c r="X159" i="7" s="1"/>
  <c r="X160" i="7" a="1"/>
  <c r="X160" i="7" s="1"/>
  <c r="X161" i="7" a="1"/>
  <c r="X161" i="7" s="1"/>
  <c r="X162" i="7" a="1"/>
  <c r="X162" i="7" s="1"/>
  <c r="X163" i="7" a="1"/>
  <c r="X163" i="7" s="1"/>
  <c r="X164" i="7" a="1"/>
  <c r="X164" i="7" s="1"/>
  <c r="X165" i="7" a="1"/>
  <c r="X165" i="7" s="1"/>
  <c r="X166" i="7" a="1"/>
  <c r="X166" i="7" s="1"/>
  <c r="X167" i="7" a="1"/>
  <c r="X167" i="7" s="1"/>
  <c r="X168" i="7" a="1"/>
  <c r="X168" i="7" s="1"/>
  <c r="X169" i="7" a="1"/>
  <c r="X169" i="7" s="1"/>
  <c r="X170" i="7" a="1"/>
  <c r="X170" i="7" s="1"/>
  <c r="X171" i="7" a="1"/>
  <c r="X171" i="7" s="1"/>
  <c r="X172" i="7" a="1"/>
  <c r="X172" i="7" s="1"/>
  <c r="X173" i="7" a="1"/>
  <c r="X173" i="7" s="1"/>
  <c r="X174" i="7" a="1"/>
  <c r="X174" i="7" s="1"/>
  <c r="X175" i="7" a="1"/>
  <c r="X175" i="7" s="1"/>
  <c r="X176" i="7" a="1"/>
  <c r="X176" i="7" s="1"/>
  <c r="X177" i="7" a="1"/>
  <c r="X177" i="7" s="1"/>
  <c r="X178" i="7" a="1"/>
  <c r="X178" i="7" s="1"/>
  <c r="X4" i="7" a="1"/>
  <c r="X4" i="7" s="1"/>
  <c r="X5" i="7" a="1"/>
  <c r="X5" i="7"/>
  <c r="X6" i="7" a="1"/>
  <c r="X6" i="7" s="1"/>
  <c r="X7" i="7" a="1"/>
  <c r="X7" i="7"/>
  <c r="X8" i="7" a="1"/>
  <c r="X8" i="7" s="1"/>
  <c r="X9" i="7" a="1"/>
  <c r="X9" i="7"/>
  <c r="X10" i="7" a="1"/>
  <c r="X10" i="7" s="1"/>
  <c r="X11" i="7" a="1"/>
  <c r="X11" i="7"/>
  <c r="X12" i="7" a="1"/>
  <c r="X12" i="7" s="1"/>
  <c r="X13" i="7" a="1"/>
  <c r="X13" i="7"/>
  <c r="X14" i="7" a="1"/>
  <c r="X14" i="7" s="1"/>
  <c r="X15" i="7" a="1"/>
  <c r="X15" i="7"/>
  <c r="X16" i="7" a="1"/>
  <c r="X16" i="7" s="1"/>
  <c r="X17" i="7" a="1"/>
  <c r="X17" i="7"/>
  <c r="X18" i="7" a="1"/>
  <c r="X18" i="7" s="1"/>
  <c r="X19" i="7" a="1"/>
  <c r="X19" i="7"/>
  <c r="X20" i="7" a="1"/>
  <c r="X20" i="7" s="1"/>
  <c r="X21" i="7" a="1"/>
  <c r="X21" i="7"/>
  <c r="E9" i="7"/>
  <c r="F9" i="7"/>
  <c r="G9" i="7"/>
  <c r="H9" i="7"/>
  <c r="I9" i="7"/>
  <c r="E10" i="7"/>
  <c r="F10" i="7"/>
  <c r="G10" i="7"/>
  <c r="H10" i="7"/>
  <c r="I10" i="7"/>
  <c r="E11" i="7"/>
  <c r="F11" i="7"/>
  <c r="G11" i="7"/>
  <c r="H11" i="7"/>
  <c r="I11" i="7"/>
  <c r="E12" i="7"/>
  <c r="F12" i="7"/>
  <c r="G12" i="7"/>
  <c r="H12" i="7"/>
  <c r="I12" i="7"/>
  <c r="E13" i="7"/>
  <c r="F13" i="7"/>
  <c r="G13" i="7"/>
  <c r="H13" i="7"/>
  <c r="I13" i="7"/>
  <c r="E14" i="7"/>
  <c r="F14" i="7"/>
  <c r="G14" i="7"/>
  <c r="H14" i="7"/>
  <c r="I14" i="7"/>
  <c r="E15" i="7"/>
  <c r="F15" i="7"/>
  <c r="G15" i="7"/>
  <c r="H15" i="7"/>
  <c r="I15" i="7"/>
  <c r="E16" i="7"/>
  <c r="F16" i="7"/>
  <c r="G16" i="7"/>
  <c r="H16" i="7"/>
  <c r="I16" i="7"/>
  <c r="E17" i="7"/>
  <c r="F17" i="7"/>
  <c r="G17" i="7"/>
  <c r="H17" i="7"/>
  <c r="I17" i="7"/>
  <c r="E18" i="7"/>
  <c r="F18" i="7"/>
  <c r="G18" i="7"/>
  <c r="H18" i="7"/>
  <c r="I18" i="7"/>
  <c r="E19" i="7"/>
  <c r="F19" i="7"/>
  <c r="G19" i="7"/>
  <c r="H19" i="7"/>
  <c r="I19" i="7"/>
  <c r="E20" i="7"/>
  <c r="F20" i="7"/>
  <c r="G20" i="7"/>
  <c r="H20" i="7"/>
  <c r="I20" i="7"/>
  <c r="E21" i="7"/>
  <c r="F21" i="7"/>
  <c r="G21" i="7"/>
  <c r="H21" i="7"/>
  <c r="I21" i="7"/>
  <c r="E22" i="7"/>
  <c r="F22" i="7"/>
  <c r="G22" i="7"/>
  <c r="H22" i="7"/>
  <c r="I22" i="7"/>
  <c r="E23" i="7"/>
  <c r="F23" i="7"/>
  <c r="G23" i="7"/>
  <c r="H23" i="7"/>
  <c r="I23" i="7"/>
  <c r="E24" i="7"/>
  <c r="F24" i="7"/>
  <c r="G24" i="7"/>
  <c r="H24" i="7"/>
  <c r="I24" i="7"/>
  <c r="E25" i="7"/>
  <c r="F25" i="7"/>
  <c r="G25" i="7"/>
  <c r="H25" i="7"/>
  <c r="I25" i="7"/>
  <c r="E26" i="7"/>
  <c r="F26" i="7"/>
  <c r="G26" i="7"/>
  <c r="H26" i="7"/>
  <c r="I26" i="7"/>
  <c r="E27" i="7"/>
  <c r="F27" i="7"/>
  <c r="G27" i="7"/>
  <c r="H27" i="7"/>
  <c r="I27" i="7"/>
  <c r="E28" i="7"/>
  <c r="F28" i="7"/>
  <c r="G28" i="7"/>
  <c r="H28" i="7"/>
  <c r="I28" i="7"/>
  <c r="E29" i="7"/>
  <c r="F29" i="7"/>
  <c r="G29" i="7"/>
  <c r="H29" i="7"/>
  <c r="I29" i="7"/>
  <c r="E30" i="7"/>
  <c r="F30" i="7"/>
  <c r="G30" i="7"/>
  <c r="H30" i="7"/>
  <c r="I30" i="7"/>
  <c r="E31" i="7"/>
  <c r="F31" i="7"/>
  <c r="G31" i="7"/>
  <c r="H31" i="7"/>
  <c r="I31" i="7"/>
  <c r="E32" i="7"/>
  <c r="F32" i="7"/>
  <c r="G32" i="7"/>
  <c r="H32" i="7"/>
  <c r="I32" i="7"/>
  <c r="E33" i="7"/>
  <c r="F33" i="7"/>
  <c r="G33" i="7"/>
  <c r="H33" i="7"/>
  <c r="I33" i="7"/>
  <c r="E34" i="7"/>
  <c r="F34" i="7"/>
  <c r="G34" i="7"/>
  <c r="H34" i="7"/>
  <c r="I34" i="7"/>
  <c r="E35" i="7"/>
  <c r="F35" i="7"/>
  <c r="G35" i="7"/>
  <c r="H35" i="7"/>
  <c r="I35" i="7"/>
  <c r="E36" i="7"/>
  <c r="F36" i="7"/>
  <c r="G36" i="7"/>
  <c r="H36" i="7"/>
  <c r="I36" i="7"/>
  <c r="E37" i="7"/>
  <c r="F37" i="7"/>
  <c r="G37" i="7"/>
  <c r="H37" i="7"/>
  <c r="I37" i="7"/>
  <c r="E38" i="7"/>
  <c r="F38" i="7"/>
  <c r="G38" i="7"/>
  <c r="H38" i="7"/>
  <c r="I38" i="7"/>
  <c r="E39" i="7"/>
  <c r="F39" i="7"/>
  <c r="G39" i="7"/>
  <c r="H39" i="7"/>
  <c r="I39" i="7"/>
  <c r="E40" i="7"/>
  <c r="F40" i="7"/>
  <c r="G40" i="7"/>
  <c r="H40" i="7"/>
  <c r="I40" i="7"/>
  <c r="E41" i="7"/>
  <c r="F41" i="7"/>
  <c r="G41" i="7"/>
  <c r="H41" i="7"/>
  <c r="I41" i="7"/>
  <c r="E42" i="7"/>
  <c r="F42" i="7"/>
  <c r="G42" i="7"/>
  <c r="H42" i="7"/>
  <c r="I42" i="7"/>
  <c r="E43" i="7"/>
  <c r="F43" i="7"/>
  <c r="G43" i="7"/>
  <c r="H43" i="7"/>
  <c r="I43" i="7"/>
  <c r="E44" i="7"/>
  <c r="F44" i="7"/>
  <c r="G44" i="7"/>
  <c r="H44" i="7"/>
  <c r="I44" i="7"/>
  <c r="E45" i="7"/>
  <c r="F45" i="7"/>
  <c r="G45" i="7"/>
  <c r="H45" i="7"/>
  <c r="I45" i="7"/>
  <c r="E46" i="7"/>
  <c r="F46" i="7"/>
  <c r="G46" i="7"/>
  <c r="H46" i="7"/>
  <c r="I46" i="7"/>
  <c r="E47" i="7"/>
  <c r="F47" i="7"/>
  <c r="G47" i="7"/>
  <c r="H47" i="7"/>
  <c r="I47" i="7"/>
  <c r="B48" i="7"/>
  <c r="C48" i="7"/>
  <c r="D48" i="7"/>
  <c r="E48" i="7"/>
  <c r="F48" i="7"/>
  <c r="G48" i="7"/>
  <c r="H48" i="7"/>
  <c r="I48" i="7"/>
  <c r="B49" i="7"/>
  <c r="C49" i="7"/>
  <c r="D49" i="7"/>
  <c r="E49" i="7"/>
  <c r="F49" i="7"/>
  <c r="G49" i="7"/>
  <c r="H49" i="7"/>
  <c r="I49" i="7"/>
  <c r="B50" i="7"/>
  <c r="C50" i="7"/>
  <c r="D50" i="7"/>
  <c r="E50" i="7"/>
  <c r="F50" i="7"/>
  <c r="G50" i="7"/>
  <c r="H50" i="7"/>
  <c r="I50" i="7"/>
  <c r="B51" i="7"/>
  <c r="C51" i="7"/>
  <c r="D51" i="7"/>
  <c r="E51" i="7"/>
  <c r="F51" i="7"/>
  <c r="G51" i="7"/>
  <c r="H51" i="7"/>
  <c r="I51" i="7"/>
  <c r="B52" i="7"/>
  <c r="C52" i="7"/>
  <c r="D52" i="7"/>
  <c r="E52" i="7"/>
  <c r="F52" i="7"/>
  <c r="G52" i="7"/>
  <c r="H52" i="7"/>
  <c r="I52" i="7"/>
  <c r="B53" i="7"/>
  <c r="C53" i="7"/>
  <c r="D53" i="7"/>
  <c r="E53" i="7"/>
  <c r="F53" i="7"/>
  <c r="G53" i="7"/>
  <c r="H53" i="7"/>
  <c r="I53" i="7"/>
  <c r="B54" i="7"/>
  <c r="C54" i="7"/>
  <c r="D54" i="7"/>
  <c r="E54" i="7"/>
  <c r="F54" i="7"/>
  <c r="G54" i="7"/>
  <c r="H54" i="7"/>
  <c r="I54" i="7"/>
  <c r="B55" i="7"/>
  <c r="C55" i="7"/>
  <c r="D55" i="7"/>
  <c r="E55" i="7"/>
  <c r="F55" i="7"/>
  <c r="G55" i="7"/>
  <c r="H55" i="7"/>
  <c r="I55" i="7"/>
  <c r="B56" i="7"/>
  <c r="C56" i="7"/>
  <c r="D56" i="7"/>
  <c r="E56" i="7"/>
  <c r="F56" i="7"/>
  <c r="G56" i="7"/>
  <c r="H56" i="7"/>
  <c r="I56" i="7"/>
  <c r="B57" i="7"/>
  <c r="C57" i="7"/>
  <c r="D57" i="7"/>
  <c r="E57" i="7"/>
  <c r="F57" i="7"/>
  <c r="G57" i="7"/>
  <c r="H57" i="7"/>
  <c r="I57" i="7"/>
  <c r="B58" i="7"/>
  <c r="C58" i="7"/>
  <c r="D58" i="7"/>
  <c r="E58" i="7"/>
  <c r="F58" i="7"/>
  <c r="G58" i="7"/>
  <c r="H58" i="7"/>
  <c r="I58" i="7"/>
  <c r="B59" i="7"/>
  <c r="C59" i="7"/>
  <c r="D59" i="7"/>
  <c r="E59" i="7"/>
  <c r="F59" i="7"/>
  <c r="G59" i="7"/>
  <c r="H59" i="7"/>
  <c r="I59" i="7"/>
  <c r="B60" i="7"/>
  <c r="C60" i="7"/>
  <c r="D60" i="7"/>
  <c r="E60" i="7"/>
  <c r="F60" i="7"/>
  <c r="G60" i="7"/>
  <c r="H60" i="7"/>
  <c r="I60" i="7"/>
  <c r="B61" i="7"/>
  <c r="C61" i="7"/>
  <c r="D61" i="7"/>
  <c r="E61" i="7"/>
  <c r="F61" i="7"/>
  <c r="G61" i="7"/>
  <c r="H61" i="7"/>
  <c r="I61" i="7"/>
  <c r="B62" i="7"/>
  <c r="C62" i="7"/>
  <c r="D62" i="7"/>
  <c r="E62" i="7"/>
  <c r="F62" i="7"/>
  <c r="G62" i="7"/>
  <c r="H62" i="7"/>
  <c r="I62" i="7"/>
  <c r="B63" i="7"/>
  <c r="C63" i="7"/>
  <c r="D63" i="7"/>
  <c r="E63" i="7"/>
  <c r="F63" i="7"/>
  <c r="G63" i="7"/>
  <c r="H63" i="7"/>
  <c r="I63" i="7"/>
  <c r="B64" i="7"/>
  <c r="C64" i="7"/>
  <c r="D64" i="7"/>
  <c r="E64" i="7"/>
  <c r="F64" i="7"/>
  <c r="G64" i="7"/>
  <c r="H64" i="7"/>
  <c r="I64" i="7"/>
  <c r="B65" i="7"/>
  <c r="C65" i="7"/>
  <c r="D65" i="7"/>
  <c r="E65" i="7"/>
  <c r="F65" i="7"/>
  <c r="G65" i="7"/>
  <c r="H65" i="7"/>
  <c r="I65" i="7"/>
  <c r="B66" i="7"/>
  <c r="C66" i="7"/>
  <c r="D66" i="7"/>
  <c r="E66" i="7"/>
  <c r="F66" i="7"/>
  <c r="G66" i="7"/>
  <c r="H66" i="7"/>
  <c r="I66" i="7"/>
  <c r="B67" i="7"/>
  <c r="C67" i="7"/>
  <c r="D67" i="7"/>
  <c r="E67" i="7"/>
  <c r="F67" i="7"/>
  <c r="G67" i="7"/>
  <c r="H67" i="7"/>
  <c r="I67" i="7"/>
  <c r="B68" i="7"/>
  <c r="C68" i="7"/>
  <c r="D68" i="7"/>
  <c r="E68" i="7"/>
  <c r="F68" i="7"/>
  <c r="G68" i="7"/>
  <c r="H68" i="7"/>
  <c r="I68" i="7"/>
  <c r="B69" i="7"/>
  <c r="C69" i="7"/>
  <c r="D69" i="7"/>
  <c r="E69" i="7"/>
  <c r="F69" i="7"/>
  <c r="G69" i="7"/>
  <c r="H69" i="7"/>
  <c r="I69" i="7"/>
  <c r="B70" i="7"/>
  <c r="C70" i="7"/>
  <c r="D70" i="7"/>
  <c r="E70" i="7"/>
  <c r="F70" i="7"/>
  <c r="G70" i="7"/>
  <c r="H70" i="7"/>
  <c r="I70" i="7"/>
  <c r="B71" i="7"/>
  <c r="C71" i="7"/>
  <c r="D71" i="7"/>
  <c r="E71" i="7"/>
  <c r="F71" i="7"/>
  <c r="G71" i="7"/>
  <c r="H71" i="7"/>
  <c r="I71" i="7"/>
  <c r="B72" i="7"/>
  <c r="C72" i="7"/>
  <c r="D72" i="7"/>
  <c r="E72" i="7"/>
  <c r="F72" i="7"/>
  <c r="G72" i="7"/>
  <c r="H72" i="7"/>
  <c r="I72" i="7"/>
  <c r="B73" i="7"/>
  <c r="C73" i="7"/>
  <c r="D73" i="7"/>
  <c r="E73" i="7"/>
  <c r="F73" i="7"/>
  <c r="G73" i="7"/>
  <c r="H73" i="7"/>
  <c r="I73" i="7"/>
  <c r="B74" i="7"/>
  <c r="C74" i="7"/>
  <c r="D74" i="7"/>
  <c r="E74" i="7"/>
  <c r="F74" i="7"/>
  <c r="G74" i="7"/>
  <c r="H74" i="7"/>
  <c r="I74" i="7"/>
  <c r="B75" i="7"/>
  <c r="C75" i="7"/>
  <c r="D75" i="7"/>
  <c r="E75" i="7"/>
  <c r="F75" i="7"/>
  <c r="G75" i="7"/>
  <c r="H75" i="7"/>
  <c r="I75" i="7"/>
  <c r="B76" i="7"/>
  <c r="C76" i="7"/>
  <c r="D76" i="7"/>
  <c r="E76" i="7"/>
  <c r="F76" i="7"/>
  <c r="G76" i="7"/>
  <c r="H76" i="7"/>
  <c r="I76" i="7"/>
  <c r="B77" i="7"/>
  <c r="C77" i="7"/>
  <c r="D77" i="7"/>
  <c r="E77" i="7"/>
  <c r="F77" i="7"/>
  <c r="G77" i="7"/>
  <c r="H77" i="7"/>
  <c r="I77" i="7"/>
  <c r="B78" i="7"/>
  <c r="C78" i="7"/>
  <c r="D78" i="7"/>
  <c r="E78" i="7"/>
  <c r="F78" i="7"/>
  <c r="G78" i="7"/>
  <c r="H78" i="7"/>
  <c r="I78" i="7"/>
  <c r="B79" i="7"/>
  <c r="C79" i="7"/>
  <c r="D79" i="7"/>
  <c r="E79" i="7"/>
  <c r="F79" i="7"/>
  <c r="G79" i="7"/>
  <c r="H79" i="7"/>
  <c r="I79" i="7"/>
  <c r="B80" i="7"/>
  <c r="C80" i="7"/>
  <c r="D80" i="7"/>
  <c r="E80" i="7"/>
  <c r="F80" i="7"/>
  <c r="G80" i="7"/>
  <c r="H80" i="7"/>
  <c r="I80" i="7"/>
  <c r="B81" i="7"/>
  <c r="C81" i="7"/>
  <c r="D81" i="7"/>
  <c r="E81" i="7"/>
  <c r="F81" i="7"/>
  <c r="G81" i="7"/>
  <c r="H81" i="7"/>
  <c r="I81" i="7"/>
  <c r="B82" i="7"/>
  <c r="C82" i="7"/>
  <c r="D82" i="7"/>
  <c r="E82" i="7"/>
  <c r="F82" i="7"/>
  <c r="G82" i="7"/>
  <c r="H82" i="7"/>
  <c r="I82" i="7"/>
  <c r="B83" i="7"/>
  <c r="C83" i="7"/>
  <c r="D83" i="7"/>
  <c r="E83" i="7"/>
  <c r="F83" i="7"/>
  <c r="G83" i="7"/>
  <c r="H83" i="7"/>
  <c r="I83" i="7"/>
  <c r="B84" i="7"/>
  <c r="C84" i="7"/>
  <c r="D84" i="7"/>
  <c r="E84" i="7"/>
  <c r="F84" i="7"/>
  <c r="G84" i="7"/>
  <c r="H84" i="7"/>
  <c r="I84" i="7"/>
  <c r="B85" i="7"/>
  <c r="C85" i="7"/>
  <c r="D85" i="7"/>
  <c r="E85" i="7"/>
  <c r="F85" i="7"/>
  <c r="G85" i="7"/>
  <c r="H85" i="7"/>
  <c r="I85" i="7"/>
  <c r="B86" i="7"/>
  <c r="C86" i="7"/>
  <c r="D86" i="7"/>
  <c r="E86" i="7"/>
  <c r="F86" i="7"/>
  <c r="G86" i="7"/>
  <c r="H86" i="7"/>
  <c r="I86" i="7"/>
  <c r="B87" i="7"/>
  <c r="C87" i="7"/>
  <c r="D87" i="7"/>
  <c r="E87" i="7"/>
  <c r="F87" i="7"/>
  <c r="G87" i="7"/>
  <c r="H87" i="7"/>
  <c r="I87" i="7"/>
  <c r="B88" i="7"/>
  <c r="C88" i="7"/>
  <c r="D88" i="7"/>
  <c r="E88" i="7"/>
  <c r="F88" i="7"/>
  <c r="G88" i="7"/>
  <c r="H88" i="7"/>
  <c r="I88" i="7"/>
  <c r="B89" i="7"/>
  <c r="C89" i="7"/>
  <c r="D89" i="7"/>
  <c r="E89" i="7"/>
  <c r="F89" i="7"/>
  <c r="G89" i="7"/>
  <c r="H89" i="7"/>
  <c r="I89" i="7"/>
  <c r="B90" i="7"/>
  <c r="C90" i="7"/>
  <c r="D90" i="7"/>
  <c r="E90" i="7"/>
  <c r="F90" i="7"/>
  <c r="G90" i="7"/>
  <c r="H90" i="7"/>
  <c r="I90" i="7"/>
  <c r="B91" i="7"/>
  <c r="C91" i="7"/>
  <c r="D91" i="7"/>
  <c r="E91" i="7"/>
  <c r="F91" i="7"/>
  <c r="G91" i="7"/>
  <c r="H91" i="7"/>
  <c r="I91" i="7"/>
  <c r="B92" i="7"/>
  <c r="C92" i="7"/>
  <c r="D92" i="7"/>
  <c r="E92" i="7"/>
  <c r="F92" i="7"/>
  <c r="G92" i="7"/>
  <c r="H92" i="7"/>
  <c r="I92" i="7"/>
  <c r="B93" i="7"/>
  <c r="C93" i="7"/>
  <c r="D93" i="7"/>
  <c r="E93" i="7"/>
  <c r="F93" i="7"/>
  <c r="G93" i="7"/>
  <c r="H93" i="7"/>
  <c r="I93" i="7"/>
  <c r="B94" i="7"/>
  <c r="C94" i="7"/>
  <c r="D94" i="7"/>
  <c r="E94" i="7"/>
  <c r="F94" i="7"/>
  <c r="G94" i="7"/>
  <c r="H94" i="7"/>
  <c r="I94" i="7"/>
  <c r="B95" i="7"/>
  <c r="C95" i="7"/>
  <c r="D95" i="7"/>
  <c r="E95" i="7"/>
  <c r="F95" i="7"/>
  <c r="G95" i="7"/>
  <c r="H95" i="7"/>
  <c r="I95" i="7"/>
  <c r="B96" i="7"/>
  <c r="C96" i="7"/>
  <c r="D96" i="7"/>
  <c r="E96" i="7"/>
  <c r="F96" i="7"/>
  <c r="G96" i="7"/>
  <c r="H96" i="7"/>
  <c r="I96" i="7"/>
  <c r="B97" i="7"/>
  <c r="C97" i="7"/>
  <c r="D97" i="7"/>
  <c r="E97" i="7"/>
  <c r="F97" i="7"/>
  <c r="G97" i="7"/>
  <c r="H97" i="7"/>
  <c r="I97" i="7"/>
  <c r="B98" i="7"/>
  <c r="C98" i="7"/>
  <c r="D98" i="7"/>
  <c r="E98" i="7"/>
  <c r="F98" i="7"/>
  <c r="G98" i="7"/>
  <c r="H98" i="7"/>
  <c r="I98" i="7"/>
  <c r="B99" i="7"/>
  <c r="C99" i="7"/>
  <c r="D99" i="7"/>
  <c r="E99" i="7"/>
  <c r="F99" i="7"/>
  <c r="G99" i="7"/>
  <c r="H99" i="7"/>
  <c r="I99" i="7"/>
  <c r="B100" i="7"/>
  <c r="C100" i="7"/>
  <c r="D100" i="7"/>
  <c r="E100" i="7"/>
  <c r="F100" i="7"/>
  <c r="G100" i="7"/>
  <c r="H100" i="7"/>
  <c r="I100" i="7"/>
  <c r="B101" i="7"/>
  <c r="C101" i="7"/>
  <c r="D101" i="7"/>
  <c r="E101" i="7"/>
  <c r="F101" i="7"/>
  <c r="G101" i="7"/>
  <c r="H101" i="7"/>
  <c r="I101" i="7"/>
  <c r="B102" i="7"/>
  <c r="C102" i="7"/>
  <c r="D102" i="7"/>
  <c r="E102" i="7"/>
  <c r="F102" i="7"/>
  <c r="G102" i="7"/>
  <c r="H102" i="7"/>
  <c r="I102" i="7"/>
  <c r="B103" i="7"/>
  <c r="C103" i="7"/>
  <c r="D103" i="7"/>
  <c r="E103" i="7"/>
  <c r="F103" i="7"/>
  <c r="G103" i="7"/>
  <c r="H103" i="7"/>
  <c r="I103" i="7"/>
  <c r="B104" i="7"/>
  <c r="C104" i="7"/>
  <c r="D104" i="7"/>
  <c r="E104" i="7"/>
  <c r="F104" i="7"/>
  <c r="G104" i="7"/>
  <c r="H104" i="7"/>
  <c r="I104" i="7"/>
  <c r="B105" i="7"/>
  <c r="C105" i="7"/>
  <c r="D105" i="7"/>
  <c r="E105" i="7"/>
  <c r="F105" i="7"/>
  <c r="G105" i="7"/>
  <c r="H105" i="7"/>
  <c r="I105" i="7"/>
  <c r="B106" i="7"/>
  <c r="C106" i="7"/>
  <c r="D106" i="7"/>
  <c r="E106" i="7"/>
  <c r="F106" i="7"/>
  <c r="G106" i="7"/>
  <c r="H106" i="7"/>
  <c r="I106" i="7"/>
  <c r="B107" i="7"/>
  <c r="C107" i="7"/>
  <c r="D107" i="7"/>
  <c r="E107" i="7"/>
  <c r="F107" i="7"/>
  <c r="G107" i="7"/>
  <c r="H107" i="7"/>
  <c r="I107" i="7"/>
  <c r="B108" i="7"/>
  <c r="C108" i="7"/>
  <c r="D108" i="7"/>
  <c r="E108" i="7"/>
  <c r="F108" i="7"/>
  <c r="G108" i="7"/>
  <c r="H108" i="7"/>
  <c r="I108" i="7"/>
  <c r="B109" i="7"/>
  <c r="C109" i="7"/>
  <c r="D109" i="7"/>
  <c r="E109" i="7"/>
  <c r="F109" i="7"/>
  <c r="G109" i="7"/>
  <c r="H109" i="7"/>
  <c r="I109" i="7"/>
  <c r="B110" i="7"/>
  <c r="C110" i="7"/>
  <c r="D110" i="7"/>
  <c r="E110" i="7"/>
  <c r="F110" i="7"/>
  <c r="G110" i="7"/>
  <c r="H110" i="7"/>
  <c r="I110" i="7"/>
  <c r="B111" i="7"/>
  <c r="C111" i="7"/>
  <c r="D111" i="7"/>
  <c r="E111" i="7"/>
  <c r="F111" i="7"/>
  <c r="G111" i="7"/>
  <c r="H111" i="7"/>
  <c r="I111" i="7"/>
  <c r="B112" i="7"/>
  <c r="C112" i="7"/>
  <c r="D112" i="7"/>
  <c r="E112" i="7"/>
  <c r="F112" i="7"/>
  <c r="G112" i="7"/>
  <c r="H112" i="7"/>
  <c r="I112" i="7"/>
  <c r="B113" i="7"/>
  <c r="C113" i="7"/>
  <c r="D113" i="7"/>
  <c r="E113" i="7"/>
  <c r="F113" i="7"/>
  <c r="G113" i="7"/>
  <c r="H113" i="7"/>
  <c r="I113" i="7"/>
  <c r="B114" i="7"/>
  <c r="C114" i="7"/>
  <c r="D114" i="7"/>
  <c r="E114" i="7"/>
  <c r="F114" i="7"/>
  <c r="G114" i="7"/>
  <c r="H114" i="7"/>
  <c r="I114" i="7"/>
  <c r="B115" i="7"/>
  <c r="C115" i="7"/>
  <c r="D115" i="7"/>
  <c r="E115" i="7"/>
  <c r="F115" i="7"/>
  <c r="G115" i="7"/>
  <c r="H115" i="7"/>
  <c r="I115" i="7"/>
  <c r="B116" i="7"/>
  <c r="C116" i="7"/>
  <c r="D116" i="7"/>
  <c r="E116" i="7"/>
  <c r="F116" i="7"/>
  <c r="G116" i="7"/>
  <c r="H116" i="7"/>
  <c r="I116" i="7"/>
  <c r="B117" i="7"/>
  <c r="C117" i="7"/>
  <c r="D117" i="7"/>
  <c r="E117" i="7"/>
  <c r="F117" i="7"/>
  <c r="G117" i="7"/>
  <c r="H117" i="7"/>
  <c r="I117" i="7"/>
  <c r="B118" i="7"/>
  <c r="C118" i="7"/>
  <c r="D118" i="7"/>
  <c r="E118" i="7"/>
  <c r="F118" i="7"/>
  <c r="G118" i="7"/>
  <c r="H118" i="7"/>
  <c r="I118" i="7"/>
  <c r="B119" i="7"/>
  <c r="C119" i="7"/>
  <c r="D119" i="7"/>
  <c r="E119" i="7"/>
  <c r="F119" i="7"/>
  <c r="G119" i="7"/>
  <c r="H119" i="7"/>
  <c r="I119" i="7"/>
  <c r="B120" i="7"/>
  <c r="C120" i="7"/>
  <c r="D120" i="7"/>
  <c r="E120" i="7"/>
  <c r="F120" i="7"/>
  <c r="G120" i="7"/>
  <c r="H120" i="7"/>
  <c r="I120" i="7"/>
  <c r="B121" i="7"/>
  <c r="C121" i="7"/>
  <c r="D121" i="7"/>
  <c r="E121" i="7"/>
  <c r="F121" i="7"/>
  <c r="G121" i="7"/>
  <c r="H121" i="7"/>
  <c r="I121" i="7"/>
  <c r="B122" i="7"/>
  <c r="C122" i="7"/>
  <c r="D122" i="7"/>
  <c r="E122" i="7"/>
  <c r="F122" i="7"/>
  <c r="G122" i="7"/>
  <c r="H122" i="7"/>
  <c r="I122" i="7"/>
  <c r="B123" i="7"/>
  <c r="C123" i="7"/>
  <c r="D123" i="7"/>
  <c r="E123" i="7"/>
  <c r="F123" i="7"/>
  <c r="G123" i="7"/>
  <c r="H123" i="7"/>
  <c r="I123" i="7"/>
  <c r="B124" i="7"/>
  <c r="C124" i="7"/>
  <c r="D124" i="7"/>
  <c r="E124" i="7"/>
  <c r="F124" i="7"/>
  <c r="G124" i="7"/>
  <c r="H124" i="7"/>
  <c r="I124" i="7"/>
  <c r="B125" i="7"/>
  <c r="C125" i="7"/>
  <c r="D125" i="7"/>
  <c r="E125" i="7"/>
  <c r="F125" i="7"/>
  <c r="G125" i="7"/>
  <c r="H125" i="7"/>
  <c r="I125" i="7"/>
  <c r="B126" i="7"/>
  <c r="C126" i="7"/>
  <c r="D126" i="7"/>
  <c r="E126" i="7"/>
  <c r="F126" i="7"/>
  <c r="G126" i="7"/>
  <c r="H126" i="7"/>
  <c r="I126" i="7"/>
  <c r="B127" i="7"/>
  <c r="C127" i="7"/>
  <c r="D127" i="7"/>
  <c r="E127" i="7"/>
  <c r="F127" i="7"/>
  <c r="G127" i="7"/>
  <c r="H127" i="7"/>
  <c r="I127" i="7"/>
  <c r="B128" i="7"/>
  <c r="C128" i="7"/>
  <c r="D128" i="7"/>
  <c r="E128" i="7"/>
  <c r="F128" i="7"/>
  <c r="G128" i="7"/>
  <c r="H128" i="7"/>
  <c r="I128" i="7"/>
  <c r="B129" i="7"/>
  <c r="C129" i="7"/>
  <c r="D129" i="7"/>
  <c r="E129" i="7"/>
  <c r="F129" i="7"/>
  <c r="G129" i="7"/>
  <c r="H129" i="7"/>
  <c r="I129" i="7"/>
  <c r="B130" i="7"/>
  <c r="C130" i="7"/>
  <c r="D130" i="7"/>
  <c r="E130" i="7"/>
  <c r="F130" i="7"/>
  <c r="G130" i="7"/>
  <c r="H130" i="7"/>
  <c r="I130" i="7"/>
  <c r="B131" i="7"/>
  <c r="C131" i="7"/>
  <c r="D131" i="7"/>
  <c r="E131" i="7"/>
  <c r="F131" i="7"/>
  <c r="G131" i="7"/>
  <c r="H131" i="7"/>
  <c r="I131" i="7"/>
  <c r="B132" i="7"/>
  <c r="C132" i="7"/>
  <c r="D132" i="7"/>
  <c r="E132" i="7"/>
  <c r="F132" i="7"/>
  <c r="G132" i="7"/>
  <c r="H132" i="7"/>
  <c r="I132" i="7"/>
  <c r="B133" i="7"/>
  <c r="C133" i="7"/>
  <c r="D133" i="7"/>
  <c r="E133" i="7"/>
  <c r="F133" i="7"/>
  <c r="G133" i="7"/>
  <c r="H133" i="7"/>
  <c r="I133" i="7"/>
  <c r="B134" i="7"/>
  <c r="C134" i="7"/>
  <c r="D134" i="7"/>
  <c r="E134" i="7"/>
  <c r="F134" i="7"/>
  <c r="G134" i="7"/>
  <c r="H134" i="7"/>
  <c r="I134" i="7"/>
  <c r="B135" i="7"/>
  <c r="C135" i="7"/>
  <c r="D135" i="7"/>
  <c r="E135" i="7"/>
  <c r="F135" i="7"/>
  <c r="G135" i="7"/>
  <c r="H135" i="7"/>
  <c r="I135" i="7"/>
  <c r="B136" i="7"/>
  <c r="C136" i="7"/>
  <c r="D136" i="7"/>
  <c r="E136" i="7"/>
  <c r="F136" i="7"/>
  <c r="G136" i="7"/>
  <c r="H136" i="7"/>
  <c r="I136" i="7"/>
  <c r="B137" i="7"/>
  <c r="C137" i="7"/>
  <c r="D137" i="7"/>
  <c r="E137" i="7"/>
  <c r="F137" i="7"/>
  <c r="G137" i="7"/>
  <c r="H137" i="7"/>
  <c r="I137" i="7"/>
  <c r="B138" i="7"/>
  <c r="C138" i="7"/>
  <c r="D138" i="7"/>
  <c r="E138" i="7"/>
  <c r="F138" i="7"/>
  <c r="G138" i="7"/>
  <c r="H138" i="7"/>
  <c r="I138" i="7"/>
  <c r="B139" i="7"/>
  <c r="C139" i="7"/>
  <c r="D139" i="7"/>
  <c r="E139" i="7"/>
  <c r="F139" i="7"/>
  <c r="G139" i="7"/>
  <c r="H139" i="7"/>
  <c r="I139" i="7"/>
  <c r="B140" i="7"/>
  <c r="C140" i="7"/>
  <c r="D140" i="7"/>
  <c r="E140" i="7"/>
  <c r="F140" i="7"/>
  <c r="G140" i="7"/>
  <c r="H140" i="7"/>
  <c r="I140" i="7"/>
  <c r="B141" i="7"/>
  <c r="C141" i="7"/>
  <c r="D141" i="7"/>
  <c r="E141" i="7"/>
  <c r="F141" i="7"/>
  <c r="G141" i="7"/>
  <c r="H141" i="7"/>
  <c r="I141" i="7"/>
  <c r="B142" i="7"/>
  <c r="C142" i="7"/>
  <c r="D142" i="7"/>
  <c r="E142" i="7"/>
  <c r="F142" i="7"/>
  <c r="G142" i="7"/>
  <c r="H142" i="7"/>
  <c r="I142" i="7"/>
  <c r="B143" i="7"/>
  <c r="C143" i="7"/>
  <c r="D143" i="7"/>
  <c r="E143" i="7"/>
  <c r="F143" i="7"/>
  <c r="G143" i="7"/>
  <c r="H143" i="7"/>
  <c r="I143" i="7"/>
  <c r="B144" i="7"/>
  <c r="C144" i="7"/>
  <c r="D144" i="7"/>
  <c r="E144" i="7"/>
  <c r="F144" i="7"/>
  <c r="G144" i="7"/>
  <c r="H144" i="7"/>
  <c r="I144" i="7"/>
  <c r="B145" i="7"/>
  <c r="C145" i="7"/>
  <c r="D145" i="7"/>
  <c r="E145" i="7"/>
  <c r="F145" i="7"/>
  <c r="G145" i="7"/>
  <c r="H145" i="7"/>
  <c r="I145" i="7"/>
  <c r="B146" i="7"/>
  <c r="C146" i="7"/>
  <c r="D146" i="7"/>
  <c r="E146" i="7"/>
  <c r="F146" i="7"/>
  <c r="G146" i="7"/>
  <c r="H146" i="7"/>
  <c r="I146" i="7"/>
  <c r="B147" i="7"/>
  <c r="C147" i="7"/>
  <c r="D147" i="7"/>
  <c r="E147" i="7"/>
  <c r="F147" i="7"/>
  <c r="G147" i="7"/>
  <c r="H147" i="7"/>
  <c r="I147" i="7"/>
  <c r="B148" i="7"/>
  <c r="C148" i="7"/>
  <c r="D148" i="7"/>
  <c r="E148" i="7"/>
  <c r="F148" i="7"/>
  <c r="G148" i="7"/>
  <c r="H148" i="7"/>
  <c r="I148" i="7"/>
  <c r="B149" i="7"/>
  <c r="C149" i="7"/>
  <c r="D149" i="7"/>
  <c r="E149" i="7"/>
  <c r="F149" i="7"/>
  <c r="G149" i="7"/>
  <c r="H149" i="7"/>
  <c r="I149" i="7"/>
  <c r="B150" i="7"/>
  <c r="C150" i="7"/>
  <c r="D150" i="7"/>
  <c r="E150" i="7"/>
  <c r="F150" i="7"/>
  <c r="G150" i="7"/>
  <c r="H150" i="7"/>
  <c r="I150" i="7"/>
  <c r="B151" i="7"/>
  <c r="C151" i="7"/>
  <c r="D151" i="7"/>
  <c r="E151" i="7"/>
  <c r="F151" i="7"/>
  <c r="G151" i="7"/>
  <c r="H151" i="7"/>
  <c r="I151" i="7"/>
  <c r="B152" i="7"/>
  <c r="C152" i="7"/>
  <c r="D152" i="7"/>
  <c r="E152" i="7"/>
  <c r="F152" i="7"/>
  <c r="G152" i="7"/>
  <c r="H152" i="7"/>
  <c r="I152" i="7"/>
  <c r="B153" i="7"/>
  <c r="C153" i="7"/>
  <c r="D153" i="7"/>
  <c r="E153" i="7"/>
  <c r="F153" i="7"/>
  <c r="G153" i="7"/>
  <c r="H153" i="7"/>
  <c r="I153" i="7"/>
  <c r="B154" i="7"/>
  <c r="C154" i="7"/>
  <c r="D154" i="7"/>
  <c r="E154" i="7"/>
  <c r="F154" i="7"/>
  <c r="G154" i="7"/>
  <c r="H154" i="7"/>
  <c r="I154" i="7"/>
  <c r="B155" i="7"/>
  <c r="C155" i="7"/>
  <c r="D155" i="7"/>
  <c r="E155" i="7"/>
  <c r="F155" i="7"/>
  <c r="G155" i="7"/>
  <c r="H155" i="7"/>
  <c r="I155" i="7"/>
  <c r="B156" i="7"/>
  <c r="C156" i="7"/>
  <c r="D156" i="7"/>
  <c r="E156" i="7"/>
  <c r="F156" i="7"/>
  <c r="G156" i="7"/>
  <c r="H156" i="7"/>
  <c r="I156" i="7"/>
  <c r="B157" i="7"/>
  <c r="C157" i="7"/>
  <c r="D157" i="7"/>
  <c r="E157" i="7"/>
  <c r="F157" i="7"/>
  <c r="G157" i="7"/>
  <c r="H157" i="7"/>
  <c r="I157" i="7"/>
  <c r="B158" i="7"/>
  <c r="C158" i="7"/>
  <c r="D158" i="7"/>
  <c r="E158" i="7"/>
  <c r="F158" i="7"/>
  <c r="G158" i="7"/>
  <c r="H158" i="7"/>
  <c r="I158" i="7"/>
  <c r="B159" i="7"/>
  <c r="C159" i="7"/>
  <c r="D159" i="7"/>
  <c r="E159" i="7"/>
  <c r="F159" i="7"/>
  <c r="G159" i="7"/>
  <c r="H159" i="7"/>
  <c r="I159" i="7"/>
  <c r="B160" i="7"/>
  <c r="C160" i="7"/>
  <c r="D160" i="7"/>
  <c r="E160" i="7"/>
  <c r="F160" i="7"/>
  <c r="G160" i="7"/>
  <c r="H160" i="7"/>
  <c r="I160" i="7"/>
  <c r="B161" i="7"/>
  <c r="C161" i="7"/>
  <c r="D161" i="7"/>
  <c r="E161" i="7"/>
  <c r="F161" i="7"/>
  <c r="G161" i="7"/>
  <c r="H161" i="7"/>
  <c r="I161" i="7"/>
  <c r="B162" i="7"/>
  <c r="C162" i="7"/>
  <c r="D162" i="7"/>
  <c r="E162" i="7"/>
  <c r="F162" i="7"/>
  <c r="G162" i="7"/>
  <c r="H162" i="7"/>
  <c r="I162" i="7"/>
  <c r="B163" i="7"/>
  <c r="C163" i="7"/>
  <c r="D163" i="7"/>
  <c r="E163" i="7"/>
  <c r="F163" i="7"/>
  <c r="G163" i="7"/>
  <c r="H163" i="7"/>
  <c r="I163" i="7"/>
  <c r="B164" i="7"/>
  <c r="C164" i="7"/>
  <c r="D164" i="7"/>
  <c r="E164" i="7"/>
  <c r="F164" i="7"/>
  <c r="G164" i="7"/>
  <c r="H164" i="7"/>
  <c r="I164" i="7"/>
  <c r="B165" i="7"/>
  <c r="C165" i="7"/>
  <c r="D165" i="7"/>
  <c r="E165" i="7"/>
  <c r="F165" i="7"/>
  <c r="G165" i="7"/>
  <c r="H165" i="7"/>
  <c r="I165" i="7"/>
  <c r="B166" i="7"/>
  <c r="C166" i="7"/>
  <c r="D166" i="7"/>
  <c r="E166" i="7"/>
  <c r="F166" i="7"/>
  <c r="G166" i="7"/>
  <c r="H166" i="7"/>
  <c r="I166" i="7"/>
  <c r="B167" i="7"/>
  <c r="C167" i="7"/>
  <c r="D167" i="7"/>
  <c r="E167" i="7"/>
  <c r="F167" i="7"/>
  <c r="G167" i="7"/>
  <c r="H167" i="7"/>
  <c r="I167" i="7"/>
  <c r="B168" i="7"/>
  <c r="C168" i="7"/>
  <c r="D168" i="7"/>
  <c r="E168" i="7"/>
  <c r="F168" i="7"/>
  <c r="G168" i="7"/>
  <c r="H168" i="7"/>
  <c r="I168" i="7"/>
  <c r="B169" i="7"/>
  <c r="C169" i="7"/>
  <c r="D169" i="7"/>
  <c r="E169" i="7"/>
  <c r="F169" i="7"/>
  <c r="G169" i="7"/>
  <c r="H169" i="7"/>
  <c r="I169" i="7"/>
  <c r="B170" i="7"/>
  <c r="C170" i="7"/>
  <c r="D170" i="7"/>
  <c r="E170" i="7"/>
  <c r="F170" i="7"/>
  <c r="G170" i="7"/>
  <c r="H170" i="7"/>
  <c r="I170" i="7"/>
  <c r="B171" i="7"/>
  <c r="C171" i="7"/>
  <c r="D171" i="7"/>
  <c r="E171" i="7"/>
  <c r="F171" i="7"/>
  <c r="G171" i="7"/>
  <c r="H171" i="7"/>
  <c r="I171" i="7"/>
  <c r="B172" i="7"/>
  <c r="C172" i="7"/>
  <c r="D172" i="7"/>
  <c r="E172" i="7"/>
  <c r="F172" i="7"/>
  <c r="G172" i="7"/>
  <c r="H172" i="7"/>
  <c r="I172" i="7"/>
  <c r="B173" i="7"/>
  <c r="C173" i="7"/>
  <c r="D173" i="7"/>
  <c r="E173" i="7"/>
  <c r="F173" i="7"/>
  <c r="G173" i="7"/>
  <c r="H173" i="7"/>
  <c r="I173" i="7"/>
  <c r="B174" i="7"/>
  <c r="C174" i="7"/>
  <c r="D174" i="7"/>
  <c r="E174" i="7"/>
  <c r="F174" i="7"/>
  <c r="G174" i="7"/>
  <c r="H174" i="7"/>
  <c r="I174" i="7"/>
  <c r="B175" i="7"/>
  <c r="C175" i="7"/>
  <c r="D175" i="7"/>
  <c r="E175" i="7"/>
  <c r="F175" i="7"/>
  <c r="G175" i="7"/>
  <c r="H175" i="7"/>
  <c r="I175" i="7"/>
  <c r="B176" i="7"/>
  <c r="C176" i="7"/>
  <c r="D176" i="7"/>
  <c r="E176" i="7"/>
  <c r="F176" i="7"/>
  <c r="G176" i="7"/>
  <c r="H176" i="7"/>
  <c r="I176" i="7"/>
  <c r="E4" i="7"/>
  <c r="F4" i="7"/>
  <c r="G4" i="7"/>
  <c r="H4" i="7"/>
  <c r="I4" i="7"/>
  <c r="E5" i="7"/>
  <c r="F5" i="7"/>
  <c r="G5" i="7"/>
  <c r="H5" i="7"/>
  <c r="I5" i="7"/>
  <c r="E6" i="7"/>
  <c r="F6" i="7"/>
  <c r="G6" i="7"/>
  <c r="H6" i="7"/>
  <c r="I6" i="7"/>
  <c r="E7" i="7"/>
  <c r="F7" i="7"/>
  <c r="G7" i="7"/>
  <c r="H7" i="7"/>
  <c r="I7" i="7"/>
  <c r="E8" i="7"/>
  <c r="F8" i="7"/>
  <c r="G8" i="7"/>
  <c r="H8" i="7"/>
  <c r="I8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15" i="6"/>
  <c r="F15" i="6"/>
  <c r="G15" i="6"/>
  <c r="H15" i="6"/>
  <c r="I15" i="6"/>
  <c r="E16" i="6"/>
  <c r="F16" i="6"/>
  <c r="G16" i="6"/>
  <c r="H16" i="6"/>
  <c r="I16" i="6"/>
  <c r="E17" i="6"/>
  <c r="F17" i="6"/>
  <c r="G17" i="6"/>
  <c r="H17" i="6"/>
  <c r="I17" i="6"/>
  <c r="E18" i="6"/>
  <c r="F18" i="6"/>
  <c r="G18" i="6"/>
  <c r="H18" i="6"/>
  <c r="I18" i="6"/>
  <c r="E19" i="6"/>
  <c r="F19" i="6"/>
  <c r="G19" i="6"/>
  <c r="H19" i="6"/>
  <c r="I19" i="6"/>
  <c r="E20" i="6"/>
  <c r="F20" i="6"/>
  <c r="G20" i="6"/>
  <c r="H20" i="6"/>
  <c r="I20" i="6"/>
  <c r="E21" i="6"/>
  <c r="F21" i="6"/>
  <c r="G21" i="6"/>
  <c r="H21" i="6"/>
  <c r="I21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8" i="6"/>
  <c r="F28" i="6"/>
  <c r="G28" i="6"/>
  <c r="H28" i="6"/>
  <c r="I28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3" i="6"/>
  <c r="F33" i="6"/>
  <c r="G33" i="6"/>
  <c r="H33" i="6"/>
  <c r="I33" i="6"/>
  <c r="E34" i="6"/>
  <c r="F34" i="6"/>
  <c r="G34" i="6"/>
  <c r="H34" i="6"/>
  <c r="I34" i="6"/>
  <c r="E35" i="6"/>
  <c r="F35" i="6"/>
  <c r="G35" i="6"/>
  <c r="H35" i="6"/>
  <c r="I35" i="6"/>
  <c r="E36" i="6"/>
  <c r="F36" i="6"/>
  <c r="G36" i="6"/>
  <c r="H36" i="6"/>
  <c r="I36" i="6"/>
  <c r="E37" i="6"/>
  <c r="F37" i="6"/>
  <c r="G37" i="6"/>
  <c r="H37" i="6"/>
  <c r="I37" i="6"/>
  <c r="E38" i="6"/>
  <c r="F38" i="6"/>
  <c r="G38" i="6"/>
  <c r="H38" i="6"/>
  <c r="I38" i="6"/>
  <c r="E39" i="6"/>
  <c r="F39" i="6"/>
  <c r="G39" i="6"/>
  <c r="H39" i="6"/>
  <c r="I39" i="6"/>
  <c r="E40" i="6"/>
  <c r="F40" i="6"/>
  <c r="G40" i="6"/>
  <c r="H40" i="6"/>
  <c r="I40" i="6"/>
  <c r="E41" i="6"/>
  <c r="F41" i="6"/>
  <c r="G41" i="6"/>
  <c r="H41" i="6"/>
  <c r="I41" i="6"/>
  <c r="E42" i="6"/>
  <c r="F42" i="6"/>
  <c r="G42" i="6"/>
  <c r="H42" i="6"/>
  <c r="I42" i="6"/>
  <c r="E43" i="6"/>
  <c r="F43" i="6"/>
  <c r="G43" i="6"/>
  <c r="H43" i="6"/>
  <c r="I43" i="6"/>
  <c r="E44" i="6"/>
  <c r="F44" i="6"/>
  <c r="G44" i="6"/>
  <c r="H44" i="6"/>
  <c r="I44" i="6"/>
  <c r="E45" i="6"/>
  <c r="F45" i="6"/>
  <c r="G45" i="6"/>
  <c r="H45" i="6"/>
  <c r="I45" i="6"/>
  <c r="E46" i="6"/>
  <c r="F46" i="6"/>
  <c r="G46" i="6"/>
  <c r="H46" i="6"/>
  <c r="I46" i="6"/>
  <c r="E47" i="6"/>
  <c r="F47" i="6"/>
  <c r="G47" i="6"/>
  <c r="H47" i="6"/>
  <c r="I47" i="6"/>
  <c r="B48" i="6"/>
  <c r="C48" i="6"/>
  <c r="D48" i="6"/>
  <c r="E48" i="6"/>
  <c r="F48" i="6"/>
  <c r="G48" i="6"/>
  <c r="H48" i="6"/>
  <c r="I48" i="6"/>
  <c r="B49" i="6"/>
  <c r="C49" i="6"/>
  <c r="D49" i="6"/>
  <c r="E49" i="6"/>
  <c r="F49" i="6"/>
  <c r="G49" i="6"/>
  <c r="H49" i="6"/>
  <c r="I49" i="6"/>
  <c r="B50" i="6"/>
  <c r="C50" i="6"/>
  <c r="D50" i="6"/>
  <c r="E50" i="6"/>
  <c r="F50" i="6"/>
  <c r="G50" i="6"/>
  <c r="H50" i="6"/>
  <c r="I50" i="6"/>
  <c r="B51" i="6"/>
  <c r="C51" i="6"/>
  <c r="D51" i="6"/>
  <c r="E51" i="6"/>
  <c r="F51" i="6"/>
  <c r="G51" i="6"/>
  <c r="H51" i="6"/>
  <c r="I51" i="6"/>
  <c r="B52" i="6"/>
  <c r="C52" i="6"/>
  <c r="D52" i="6"/>
  <c r="E52" i="6"/>
  <c r="F52" i="6"/>
  <c r="G52" i="6"/>
  <c r="H52" i="6"/>
  <c r="I52" i="6"/>
  <c r="B53" i="6"/>
  <c r="C53" i="6"/>
  <c r="D53" i="6"/>
  <c r="E53" i="6"/>
  <c r="F53" i="6"/>
  <c r="G53" i="6"/>
  <c r="H53" i="6"/>
  <c r="I53" i="6"/>
  <c r="B54" i="6"/>
  <c r="C54" i="6"/>
  <c r="D54" i="6"/>
  <c r="E54" i="6"/>
  <c r="F54" i="6"/>
  <c r="G54" i="6"/>
  <c r="H54" i="6"/>
  <c r="I54" i="6"/>
  <c r="B55" i="6"/>
  <c r="C55" i="6"/>
  <c r="D55" i="6"/>
  <c r="E55" i="6"/>
  <c r="F55" i="6"/>
  <c r="G55" i="6"/>
  <c r="H55" i="6"/>
  <c r="I55" i="6"/>
  <c r="B56" i="6"/>
  <c r="C56" i="6"/>
  <c r="D56" i="6"/>
  <c r="E56" i="6"/>
  <c r="F56" i="6"/>
  <c r="G56" i="6"/>
  <c r="H56" i="6"/>
  <c r="I56" i="6"/>
  <c r="B57" i="6"/>
  <c r="C57" i="6"/>
  <c r="D57" i="6"/>
  <c r="E57" i="6"/>
  <c r="F57" i="6"/>
  <c r="G57" i="6"/>
  <c r="H57" i="6"/>
  <c r="I57" i="6"/>
  <c r="B58" i="6"/>
  <c r="C58" i="6"/>
  <c r="D58" i="6"/>
  <c r="E58" i="6"/>
  <c r="F58" i="6"/>
  <c r="G58" i="6"/>
  <c r="H58" i="6"/>
  <c r="I58" i="6"/>
  <c r="B59" i="6"/>
  <c r="C59" i="6"/>
  <c r="D59" i="6"/>
  <c r="E59" i="6"/>
  <c r="F59" i="6"/>
  <c r="G59" i="6"/>
  <c r="H59" i="6"/>
  <c r="I59" i="6"/>
  <c r="B60" i="6"/>
  <c r="C60" i="6"/>
  <c r="D60" i="6"/>
  <c r="E60" i="6"/>
  <c r="F60" i="6"/>
  <c r="G60" i="6"/>
  <c r="H60" i="6"/>
  <c r="I60" i="6"/>
  <c r="B61" i="6"/>
  <c r="C61" i="6"/>
  <c r="D61" i="6"/>
  <c r="E61" i="6"/>
  <c r="F61" i="6"/>
  <c r="G61" i="6"/>
  <c r="H61" i="6"/>
  <c r="I61" i="6"/>
  <c r="B62" i="6"/>
  <c r="C62" i="6"/>
  <c r="D62" i="6"/>
  <c r="E62" i="6"/>
  <c r="F62" i="6"/>
  <c r="G62" i="6"/>
  <c r="H62" i="6"/>
  <c r="I62" i="6"/>
  <c r="B63" i="6"/>
  <c r="C63" i="6"/>
  <c r="D63" i="6"/>
  <c r="E63" i="6"/>
  <c r="F63" i="6"/>
  <c r="G63" i="6"/>
  <c r="H63" i="6"/>
  <c r="I63" i="6"/>
  <c r="B64" i="6"/>
  <c r="C64" i="6"/>
  <c r="D64" i="6"/>
  <c r="E64" i="6"/>
  <c r="F64" i="6"/>
  <c r="G64" i="6"/>
  <c r="H64" i="6"/>
  <c r="I64" i="6"/>
  <c r="B65" i="6"/>
  <c r="C65" i="6"/>
  <c r="D65" i="6"/>
  <c r="E65" i="6"/>
  <c r="F65" i="6"/>
  <c r="G65" i="6"/>
  <c r="H65" i="6"/>
  <c r="I65" i="6"/>
  <c r="B66" i="6"/>
  <c r="C66" i="6"/>
  <c r="D66" i="6"/>
  <c r="E66" i="6"/>
  <c r="F66" i="6"/>
  <c r="G66" i="6"/>
  <c r="H66" i="6"/>
  <c r="I66" i="6"/>
  <c r="B67" i="6"/>
  <c r="C67" i="6"/>
  <c r="D67" i="6"/>
  <c r="E67" i="6"/>
  <c r="F67" i="6"/>
  <c r="G67" i="6"/>
  <c r="H67" i="6"/>
  <c r="I67" i="6"/>
  <c r="B68" i="6"/>
  <c r="C68" i="6"/>
  <c r="D68" i="6"/>
  <c r="E68" i="6"/>
  <c r="F68" i="6"/>
  <c r="G68" i="6"/>
  <c r="H68" i="6"/>
  <c r="I68" i="6"/>
  <c r="B69" i="6"/>
  <c r="C69" i="6"/>
  <c r="D69" i="6"/>
  <c r="E69" i="6"/>
  <c r="F69" i="6"/>
  <c r="G69" i="6"/>
  <c r="H69" i="6"/>
  <c r="I69" i="6"/>
  <c r="B70" i="6"/>
  <c r="C70" i="6"/>
  <c r="D70" i="6"/>
  <c r="E70" i="6"/>
  <c r="F70" i="6"/>
  <c r="G70" i="6"/>
  <c r="H70" i="6"/>
  <c r="I70" i="6"/>
  <c r="B71" i="6"/>
  <c r="C71" i="6"/>
  <c r="D71" i="6"/>
  <c r="E71" i="6"/>
  <c r="F71" i="6"/>
  <c r="G71" i="6"/>
  <c r="H71" i="6"/>
  <c r="I71" i="6"/>
  <c r="B72" i="6"/>
  <c r="C72" i="6"/>
  <c r="D72" i="6"/>
  <c r="E72" i="6"/>
  <c r="F72" i="6"/>
  <c r="G72" i="6"/>
  <c r="H72" i="6"/>
  <c r="I72" i="6"/>
  <c r="B73" i="6"/>
  <c r="C73" i="6"/>
  <c r="D73" i="6"/>
  <c r="E73" i="6"/>
  <c r="F73" i="6"/>
  <c r="G73" i="6"/>
  <c r="H73" i="6"/>
  <c r="I73" i="6"/>
  <c r="B74" i="6"/>
  <c r="C74" i="6"/>
  <c r="D74" i="6"/>
  <c r="E74" i="6"/>
  <c r="F74" i="6"/>
  <c r="G74" i="6"/>
  <c r="H74" i="6"/>
  <c r="I74" i="6"/>
  <c r="B75" i="6"/>
  <c r="C75" i="6"/>
  <c r="D75" i="6"/>
  <c r="E75" i="6"/>
  <c r="F75" i="6"/>
  <c r="G75" i="6"/>
  <c r="H75" i="6"/>
  <c r="I75" i="6"/>
  <c r="B76" i="6"/>
  <c r="C76" i="6"/>
  <c r="D76" i="6"/>
  <c r="E76" i="6"/>
  <c r="F76" i="6"/>
  <c r="G76" i="6"/>
  <c r="H76" i="6"/>
  <c r="I76" i="6"/>
  <c r="B77" i="6"/>
  <c r="C77" i="6"/>
  <c r="D77" i="6"/>
  <c r="E77" i="6"/>
  <c r="F77" i="6"/>
  <c r="G77" i="6"/>
  <c r="H77" i="6"/>
  <c r="I77" i="6"/>
  <c r="B78" i="6"/>
  <c r="C78" i="6"/>
  <c r="D78" i="6"/>
  <c r="E78" i="6"/>
  <c r="F78" i="6"/>
  <c r="G78" i="6"/>
  <c r="H78" i="6"/>
  <c r="I78" i="6"/>
  <c r="B79" i="6"/>
  <c r="C79" i="6"/>
  <c r="D79" i="6"/>
  <c r="E79" i="6"/>
  <c r="F79" i="6"/>
  <c r="G79" i="6"/>
  <c r="H79" i="6"/>
  <c r="I79" i="6"/>
  <c r="B80" i="6"/>
  <c r="C80" i="6"/>
  <c r="D80" i="6"/>
  <c r="E80" i="6"/>
  <c r="F80" i="6"/>
  <c r="G80" i="6"/>
  <c r="H80" i="6"/>
  <c r="I80" i="6"/>
  <c r="B81" i="6"/>
  <c r="C81" i="6"/>
  <c r="D81" i="6"/>
  <c r="E81" i="6"/>
  <c r="F81" i="6"/>
  <c r="G81" i="6"/>
  <c r="H81" i="6"/>
  <c r="I81" i="6"/>
  <c r="B82" i="6"/>
  <c r="C82" i="6"/>
  <c r="D82" i="6"/>
  <c r="E82" i="6"/>
  <c r="F82" i="6"/>
  <c r="G82" i="6"/>
  <c r="H82" i="6"/>
  <c r="I82" i="6"/>
  <c r="B83" i="6"/>
  <c r="C83" i="6"/>
  <c r="D83" i="6"/>
  <c r="E83" i="6"/>
  <c r="F83" i="6"/>
  <c r="G83" i="6"/>
  <c r="H83" i="6"/>
  <c r="I83" i="6"/>
  <c r="B84" i="6"/>
  <c r="C84" i="6"/>
  <c r="D84" i="6"/>
  <c r="E84" i="6"/>
  <c r="F84" i="6"/>
  <c r="G84" i="6"/>
  <c r="H84" i="6"/>
  <c r="I84" i="6"/>
  <c r="B85" i="6"/>
  <c r="C85" i="6"/>
  <c r="D85" i="6"/>
  <c r="E85" i="6"/>
  <c r="F85" i="6"/>
  <c r="G85" i="6"/>
  <c r="H85" i="6"/>
  <c r="I85" i="6"/>
  <c r="B86" i="6"/>
  <c r="C86" i="6"/>
  <c r="D86" i="6"/>
  <c r="E86" i="6"/>
  <c r="F86" i="6"/>
  <c r="G86" i="6"/>
  <c r="H86" i="6"/>
  <c r="I86" i="6"/>
  <c r="B87" i="6"/>
  <c r="C87" i="6"/>
  <c r="D87" i="6"/>
  <c r="E87" i="6"/>
  <c r="F87" i="6"/>
  <c r="G87" i="6"/>
  <c r="H87" i="6"/>
  <c r="I87" i="6"/>
  <c r="B88" i="6"/>
  <c r="C88" i="6"/>
  <c r="D88" i="6"/>
  <c r="E88" i="6"/>
  <c r="F88" i="6"/>
  <c r="G88" i="6"/>
  <c r="H88" i="6"/>
  <c r="I88" i="6"/>
  <c r="B89" i="6"/>
  <c r="C89" i="6"/>
  <c r="D89" i="6"/>
  <c r="E89" i="6"/>
  <c r="F89" i="6"/>
  <c r="G89" i="6"/>
  <c r="H89" i="6"/>
  <c r="I89" i="6"/>
  <c r="B90" i="6"/>
  <c r="C90" i="6"/>
  <c r="D90" i="6"/>
  <c r="E90" i="6"/>
  <c r="F90" i="6"/>
  <c r="G90" i="6"/>
  <c r="H90" i="6"/>
  <c r="I90" i="6"/>
  <c r="B91" i="6"/>
  <c r="C91" i="6"/>
  <c r="D91" i="6"/>
  <c r="E91" i="6"/>
  <c r="F91" i="6"/>
  <c r="G91" i="6"/>
  <c r="H91" i="6"/>
  <c r="I91" i="6"/>
  <c r="B92" i="6"/>
  <c r="C92" i="6"/>
  <c r="D92" i="6"/>
  <c r="E92" i="6"/>
  <c r="F92" i="6"/>
  <c r="G92" i="6"/>
  <c r="H92" i="6"/>
  <c r="I92" i="6"/>
  <c r="B93" i="6"/>
  <c r="C93" i="6"/>
  <c r="D93" i="6"/>
  <c r="E93" i="6"/>
  <c r="F93" i="6"/>
  <c r="G93" i="6"/>
  <c r="H93" i="6"/>
  <c r="I93" i="6"/>
  <c r="B94" i="6"/>
  <c r="C94" i="6"/>
  <c r="D94" i="6"/>
  <c r="E94" i="6"/>
  <c r="F94" i="6"/>
  <c r="G94" i="6"/>
  <c r="H94" i="6"/>
  <c r="I94" i="6"/>
  <c r="B95" i="6"/>
  <c r="C95" i="6"/>
  <c r="D95" i="6"/>
  <c r="E95" i="6"/>
  <c r="F95" i="6"/>
  <c r="G95" i="6"/>
  <c r="H95" i="6"/>
  <c r="I95" i="6"/>
  <c r="B96" i="6"/>
  <c r="C96" i="6"/>
  <c r="D96" i="6"/>
  <c r="E96" i="6"/>
  <c r="F96" i="6"/>
  <c r="G96" i="6"/>
  <c r="H96" i="6"/>
  <c r="I96" i="6"/>
  <c r="B97" i="6"/>
  <c r="C97" i="6"/>
  <c r="D97" i="6"/>
  <c r="E97" i="6"/>
  <c r="F97" i="6"/>
  <c r="G97" i="6"/>
  <c r="H97" i="6"/>
  <c r="I97" i="6"/>
  <c r="B98" i="6"/>
  <c r="C98" i="6"/>
  <c r="D98" i="6"/>
  <c r="E98" i="6"/>
  <c r="F98" i="6"/>
  <c r="G98" i="6"/>
  <c r="H98" i="6"/>
  <c r="I98" i="6"/>
  <c r="B99" i="6"/>
  <c r="C99" i="6"/>
  <c r="D99" i="6"/>
  <c r="E99" i="6"/>
  <c r="F99" i="6"/>
  <c r="G99" i="6"/>
  <c r="H99" i="6"/>
  <c r="I99" i="6"/>
  <c r="B100" i="6"/>
  <c r="C100" i="6"/>
  <c r="D100" i="6"/>
  <c r="E100" i="6"/>
  <c r="F100" i="6"/>
  <c r="G100" i="6"/>
  <c r="H100" i="6"/>
  <c r="I100" i="6"/>
  <c r="B101" i="6"/>
  <c r="C101" i="6"/>
  <c r="D101" i="6"/>
  <c r="E101" i="6"/>
  <c r="F101" i="6"/>
  <c r="G101" i="6"/>
  <c r="H101" i="6"/>
  <c r="I101" i="6"/>
  <c r="B102" i="6"/>
  <c r="C102" i="6"/>
  <c r="D102" i="6"/>
  <c r="E102" i="6"/>
  <c r="F102" i="6"/>
  <c r="G102" i="6"/>
  <c r="H102" i="6"/>
  <c r="I102" i="6"/>
  <c r="B103" i="6"/>
  <c r="C103" i="6"/>
  <c r="D103" i="6"/>
  <c r="E103" i="6"/>
  <c r="F103" i="6"/>
  <c r="G103" i="6"/>
  <c r="H103" i="6"/>
  <c r="I103" i="6"/>
  <c r="B104" i="6"/>
  <c r="C104" i="6"/>
  <c r="D104" i="6"/>
  <c r="E104" i="6"/>
  <c r="F104" i="6"/>
  <c r="G104" i="6"/>
  <c r="H104" i="6"/>
  <c r="I104" i="6"/>
  <c r="B105" i="6"/>
  <c r="C105" i="6"/>
  <c r="D105" i="6"/>
  <c r="E105" i="6"/>
  <c r="F105" i="6"/>
  <c r="G105" i="6"/>
  <c r="H105" i="6"/>
  <c r="I105" i="6"/>
  <c r="B106" i="6"/>
  <c r="C106" i="6"/>
  <c r="D106" i="6"/>
  <c r="E106" i="6"/>
  <c r="F106" i="6"/>
  <c r="G106" i="6"/>
  <c r="H106" i="6"/>
  <c r="I106" i="6"/>
  <c r="B107" i="6"/>
  <c r="C107" i="6"/>
  <c r="D107" i="6"/>
  <c r="E107" i="6"/>
  <c r="F107" i="6"/>
  <c r="G107" i="6"/>
  <c r="H107" i="6"/>
  <c r="I107" i="6"/>
  <c r="B108" i="6"/>
  <c r="C108" i="6"/>
  <c r="D108" i="6"/>
  <c r="E108" i="6"/>
  <c r="F108" i="6"/>
  <c r="G108" i="6"/>
  <c r="H108" i="6"/>
  <c r="I108" i="6"/>
  <c r="B109" i="6"/>
  <c r="C109" i="6"/>
  <c r="D109" i="6"/>
  <c r="E109" i="6"/>
  <c r="F109" i="6"/>
  <c r="G109" i="6"/>
  <c r="H109" i="6"/>
  <c r="I109" i="6"/>
  <c r="B110" i="6"/>
  <c r="C110" i="6"/>
  <c r="D110" i="6"/>
  <c r="E110" i="6"/>
  <c r="F110" i="6"/>
  <c r="G110" i="6"/>
  <c r="H110" i="6"/>
  <c r="I110" i="6"/>
  <c r="B111" i="6"/>
  <c r="C111" i="6"/>
  <c r="D111" i="6"/>
  <c r="E111" i="6"/>
  <c r="F111" i="6"/>
  <c r="G111" i="6"/>
  <c r="H111" i="6"/>
  <c r="I111" i="6"/>
  <c r="B112" i="6"/>
  <c r="C112" i="6"/>
  <c r="D112" i="6"/>
  <c r="E112" i="6"/>
  <c r="F112" i="6"/>
  <c r="G112" i="6"/>
  <c r="H112" i="6"/>
  <c r="I112" i="6"/>
  <c r="B113" i="6"/>
  <c r="C113" i="6"/>
  <c r="D113" i="6"/>
  <c r="E113" i="6"/>
  <c r="F113" i="6"/>
  <c r="G113" i="6"/>
  <c r="H113" i="6"/>
  <c r="I113" i="6"/>
  <c r="B114" i="6"/>
  <c r="C114" i="6"/>
  <c r="D114" i="6"/>
  <c r="E114" i="6"/>
  <c r="F114" i="6"/>
  <c r="G114" i="6"/>
  <c r="H114" i="6"/>
  <c r="I114" i="6"/>
  <c r="B115" i="6"/>
  <c r="C115" i="6"/>
  <c r="D115" i="6"/>
  <c r="E115" i="6"/>
  <c r="F115" i="6"/>
  <c r="G115" i="6"/>
  <c r="H115" i="6"/>
  <c r="I115" i="6"/>
  <c r="B116" i="6"/>
  <c r="C116" i="6"/>
  <c r="D116" i="6"/>
  <c r="E116" i="6"/>
  <c r="F116" i="6"/>
  <c r="G116" i="6"/>
  <c r="H116" i="6"/>
  <c r="I116" i="6"/>
  <c r="B117" i="6"/>
  <c r="C117" i="6"/>
  <c r="D117" i="6"/>
  <c r="E117" i="6"/>
  <c r="F117" i="6"/>
  <c r="G117" i="6"/>
  <c r="H117" i="6"/>
  <c r="I117" i="6"/>
  <c r="B118" i="6"/>
  <c r="C118" i="6"/>
  <c r="D118" i="6"/>
  <c r="E118" i="6"/>
  <c r="F118" i="6"/>
  <c r="G118" i="6"/>
  <c r="H118" i="6"/>
  <c r="I118" i="6"/>
  <c r="B119" i="6"/>
  <c r="C119" i="6"/>
  <c r="D119" i="6"/>
  <c r="E119" i="6"/>
  <c r="F119" i="6"/>
  <c r="G119" i="6"/>
  <c r="H119" i="6"/>
  <c r="I119" i="6"/>
  <c r="B120" i="6"/>
  <c r="C120" i="6"/>
  <c r="D120" i="6"/>
  <c r="E120" i="6"/>
  <c r="F120" i="6"/>
  <c r="G120" i="6"/>
  <c r="H120" i="6"/>
  <c r="I120" i="6"/>
  <c r="B121" i="6"/>
  <c r="C121" i="6"/>
  <c r="D121" i="6"/>
  <c r="E121" i="6"/>
  <c r="F121" i="6"/>
  <c r="G121" i="6"/>
  <c r="H121" i="6"/>
  <c r="I121" i="6"/>
  <c r="B122" i="6"/>
  <c r="C122" i="6"/>
  <c r="D122" i="6"/>
  <c r="E122" i="6"/>
  <c r="F122" i="6"/>
  <c r="G122" i="6"/>
  <c r="H122" i="6"/>
  <c r="I122" i="6"/>
  <c r="B123" i="6"/>
  <c r="C123" i="6"/>
  <c r="D123" i="6"/>
  <c r="E123" i="6"/>
  <c r="F123" i="6"/>
  <c r="G123" i="6"/>
  <c r="H123" i="6"/>
  <c r="I123" i="6"/>
  <c r="B124" i="6"/>
  <c r="C124" i="6"/>
  <c r="D124" i="6"/>
  <c r="E124" i="6"/>
  <c r="F124" i="6"/>
  <c r="G124" i="6"/>
  <c r="H124" i="6"/>
  <c r="I124" i="6"/>
  <c r="B125" i="6"/>
  <c r="C125" i="6"/>
  <c r="D125" i="6"/>
  <c r="E125" i="6"/>
  <c r="F125" i="6"/>
  <c r="G125" i="6"/>
  <c r="H125" i="6"/>
  <c r="I125" i="6"/>
  <c r="B126" i="6"/>
  <c r="C126" i="6"/>
  <c r="D126" i="6"/>
  <c r="E126" i="6"/>
  <c r="F126" i="6"/>
  <c r="G126" i="6"/>
  <c r="H126" i="6"/>
  <c r="I126" i="6"/>
  <c r="B127" i="6"/>
  <c r="C127" i="6"/>
  <c r="D127" i="6"/>
  <c r="E127" i="6"/>
  <c r="F127" i="6"/>
  <c r="G127" i="6"/>
  <c r="H127" i="6"/>
  <c r="I127" i="6"/>
  <c r="B128" i="6"/>
  <c r="C128" i="6"/>
  <c r="D128" i="6"/>
  <c r="E128" i="6"/>
  <c r="F128" i="6"/>
  <c r="G128" i="6"/>
  <c r="H128" i="6"/>
  <c r="I128" i="6"/>
  <c r="B129" i="6"/>
  <c r="C129" i="6"/>
  <c r="D129" i="6"/>
  <c r="E129" i="6"/>
  <c r="F129" i="6"/>
  <c r="G129" i="6"/>
  <c r="H129" i="6"/>
  <c r="I129" i="6"/>
  <c r="B130" i="6"/>
  <c r="C130" i="6"/>
  <c r="D130" i="6"/>
  <c r="E130" i="6"/>
  <c r="F130" i="6"/>
  <c r="G130" i="6"/>
  <c r="H130" i="6"/>
  <c r="I130" i="6"/>
  <c r="B131" i="6"/>
  <c r="C131" i="6"/>
  <c r="D131" i="6"/>
  <c r="E131" i="6"/>
  <c r="F131" i="6"/>
  <c r="G131" i="6"/>
  <c r="H131" i="6"/>
  <c r="I131" i="6"/>
  <c r="B132" i="6"/>
  <c r="C132" i="6"/>
  <c r="D132" i="6"/>
  <c r="E132" i="6"/>
  <c r="F132" i="6"/>
  <c r="G132" i="6"/>
  <c r="H132" i="6"/>
  <c r="I132" i="6"/>
  <c r="B133" i="6"/>
  <c r="C133" i="6"/>
  <c r="D133" i="6"/>
  <c r="E133" i="6"/>
  <c r="F133" i="6"/>
  <c r="G133" i="6"/>
  <c r="H133" i="6"/>
  <c r="I133" i="6"/>
  <c r="B134" i="6"/>
  <c r="C134" i="6"/>
  <c r="D134" i="6"/>
  <c r="E134" i="6"/>
  <c r="F134" i="6"/>
  <c r="G134" i="6"/>
  <c r="H134" i="6"/>
  <c r="I134" i="6"/>
  <c r="B135" i="6"/>
  <c r="C135" i="6"/>
  <c r="D135" i="6"/>
  <c r="E135" i="6"/>
  <c r="F135" i="6"/>
  <c r="G135" i="6"/>
  <c r="H135" i="6"/>
  <c r="I135" i="6"/>
  <c r="B136" i="6"/>
  <c r="C136" i="6"/>
  <c r="D136" i="6"/>
  <c r="E136" i="6"/>
  <c r="F136" i="6"/>
  <c r="G136" i="6"/>
  <c r="H136" i="6"/>
  <c r="I136" i="6"/>
  <c r="B137" i="6"/>
  <c r="C137" i="6"/>
  <c r="D137" i="6"/>
  <c r="E137" i="6"/>
  <c r="F137" i="6"/>
  <c r="G137" i="6"/>
  <c r="H137" i="6"/>
  <c r="I137" i="6"/>
  <c r="B138" i="6"/>
  <c r="C138" i="6"/>
  <c r="D138" i="6"/>
  <c r="E138" i="6"/>
  <c r="F138" i="6"/>
  <c r="G138" i="6"/>
  <c r="H138" i="6"/>
  <c r="I138" i="6"/>
  <c r="B139" i="6"/>
  <c r="C139" i="6"/>
  <c r="D139" i="6"/>
  <c r="E139" i="6"/>
  <c r="F139" i="6"/>
  <c r="G139" i="6"/>
  <c r="H139" i="6"/>
  <c r="I139" i="6"/>
  <c r="B140" i="6"/>
  <c r="C140" i="6"/>
  <c r="D140" i="6"/>
  <c r="E140" i="6"/>
  <c r="F140" i="6"/>
  <c r="G140" i="6"/>
  <c r="H140" i="6"/>
  <c r="I140" i="6"/>
  <c r="B141" i="6"/>
  <c r="C141" i="6"/>
  <c r="D141" i="6"/>
  <c r="E141" i="6"/>
  <c r="F141" i="6"/>
  <c r="G141" i="6"/>
  <c r="H141" i="6"/>
  <c r="I141" i="6"/>
  <c r="B142" i="6"/>
  <c r="C142" i="6"/>
  <c r="D142" i="6"/>
  <c r="E142" i="6"/>
  <c r="F142" i="6"/>
  <c r="G142" i="6"/>
  <c r="H142" i="6"/>
  <c r="I142" i="6"/>
  <c r="B143" i="6"/>
  <c r="C143" i="6"/>
  <c r="D143" i="6"/>
  <c r="E143" i="6"/>
  <c r="F143" i="6"/>
  <c r="G143" i="6"/>
  <c r="H143" i="6"/>
  <c r="I143" i="6"/>
  <c r="B144" i="6"/>
  <c r="C144" i="6"/>
  <c r="D144" i="6"/>
  <c r="E144" i="6"/>
  <c r="F144" i="6"/>
  <c r="G144" i="6"/>
  <c r="H144" i="6"/>
  <c r="I144" i="6"/>
  <c r="B145" i="6"/>
  <c r="C145" i="6"/>
  <c r="D145" i="6"/>
  <c r="E145" i="6"/>
  <c r="F145" i="6"/>
  <c r="G145" i="6"/>
  <c r="H145" i="6"/>
  <c r="I145" i="6"/>
  <c r="B146" i="6"/>
  <c r="C146" i="6"/>
  <c r="D146" i="6"/>
  <c r="E146" i="6"/>
  <c r="F146" i="6"/>
  <c r="G146" i="6"/>
  <c r="H146" i="6"/>
  <c r="I146" i="6"/>
  <c r="B147" i="6"/>
  <c r="C147" i="6"/>
  <c r="D147" i="6"/>
  <c r="E147" i="6"/>
  <c r="F147" i="6"/>
  <c r="G147" i="6"/>
  <c r="H147" i="6"/>
  <c r="I147" i="6"/>
  <c r="B148" i="6"/>
  <c r="C148" i="6"/>
  <c r="D148" i="6"/>
  <c r="E148" i="6"/>
  <c r="F148" i="6"/>
  <c r="G148" i="6"/>
  <c r="H148" i="6"/>
  <c r="I148" i="6"/>
  <c r="B149" i="6"/>
  <c r="C149" i="6"/>
  <c r="D149" i="6"/>
  <c r="E149" i="6"/>
  <c r="F149" i="6"/>
  <c r="G149" i="6"/>
  <c r="H149" i="6"/>
  <c r="I149" i="6"/>
  <c r="B150" i="6"/>
  <c r="C150" i="6"/>
  <c r="D150" i="6"/>
  <c r="E150" i="6"/>
  <c r="F150" i="6"/>
  <c r="G150" i="6"/>
  <c r="H150" i="6"/>
  <c r="I150" i="6"/>
  <c r="B151" i="6"/>
  <c r="C151" i="6"/>
  <c r="D151" i="6"/>
  <c r="E151" i="6"/>
  <c r="F151" i="6"/>
  <c r="G151" i="6"/>
  <c r="H151" i="6"/>
  <c r="I151" i="6"/>
  <c r="B152" i="6"/>
  <c r="C152" i="6"/>
  <c r="D152" i="6"/>
  <c r="E152" i="6"/>
  <c r="F152" i="6"/>
  <c r="G152" i="6"/>
  <c r="H152" i="6"/>
  <c r="I152" i="6"/>
  <c r="B153" i="6"/>
  <c r="C153" i="6"/>
  <c r="D153" i="6"/>
  <c r="E153" i="6"/>
  <c r="F153" i="6"/>
  <c r="G153" i="6"/>
  <c r="H153" i="6"/>
  <c r="I153" i="6"/>
  <c r="B154" i="6"/>
  <c r="C154" i="6"/>
  <c r="D154" i="6"/>
  <c r="E154" i="6"/>
  <c r="F154" i="6"/>
  <c r="G154" i="6"/>
  <c r="H154" i="6"/>
  <c r="I154" i="6"/>
  <c r="B155" i="6"/>
  <c r="C155" i="6"/>
  <c r="D155" i="6"/>
  <c r="E155" i="6"/>
  <c r="F155" i="6"/>
  <c r="G155" i="6"/>
  <c r="H155" i="6"/>
  <c r="I155" i="6"/>
  <c r="B156" i="6"/>
  <c r="C156" i="6"/>
  <c r="D156" i="6"/>
  <c r="E156" i="6"/>
  <c r="F156" i="6"/>
  <c r="G156" i="6"/>
  <c r="H156" i="6"/>
  <c r="I156" i="6"/>
  <c r="B157" i="6"/>
  <c r="C157" i="6"/>
  <c r="D157" i="6"/>
  <c r="E157" i="6"/>
  <c r="F157" i="6"/>
  <c r="G157" i="6"/>
  <c r="H157" i="6"/>
  <c r="I157" i="6"/>
  <c r="B158" i="6"/>
  <c r="C158" i="6"/>
  <c r="D158" i="6"/>
  <c r="E158" i="6"/>
  <c r="F158" i="6"/>
  <c r="G158" i="6"/>
  <c r="H158" i="6"/>
  <c r="I158" i="6"/>
  <c r="B159" i="6"/>
  <c r="C159" i="6"/>
  <c r="D159" i="6"/>
  <c r="E159" i="6"/>
  <c r="F159" i="6"/>
  <c r="G159" i="6"/>
  <c r="H159" i="6"/>
  <c r="I159" i="6"/>
  <c r="B160" i="6"/>
  <c r="C160" i="6"/>
  <c r="D160" i="6"/>
  <c r="E160" i="6"/>
  <c r="F160" i="6"/>
  <c r="G160" i="6"/>
  <c r="H160" i="6"/>
  <c r="I160" i="6"/>
  <c r="B161" i="6"/>
  <c r="C161" i="6"/>
  <c r="D161" i="6"/>
  <c r="E161" i="6"/>
  <c r="F161" i="6"/>
  <c r="G161" i="6"/>
  <c r="H161" i="6"/>
  <c r="I161" i="6"/>
  <c r="B162" i="6"/>
  <c r="C162" i="6"/>
  <c r="D162" i="6"/>
  <c r="E162" i="6"/>
  <c r="F162" i="6"/>
  <c r="G162" i="6"/>
  <c r="H162" i="6"/>
  <c r="I162" i="6"/>
  <c r="B163" i="6"/>
  <c r="C163" i="6"/>
  <c r="D163" i="6"/>
  <c r="E163" i="6"/>
  <c r="F163" i="6"/>
  <c r="G163" i="6"/>
  <c r="H163" i="6"/>
  <c r="I163" i="6"/>
  <c r="B164" i="6"/>
  <c r="C164" i="6"/>
  <c r="D164" i="6"/>
  <c r="E164" i="6"/>
  <c r="F164" i="6"/>
  <c r="G164" i="6"/>
  <c r="H164" i="6"/>
  <c r="I164" i="6"/>
  <c r="B165" i="6"/>
  <c r="C165" i="6"/>
  <c r="D165" i="6"/>
  <c r="E165" i="6"/>
  <c r="F165" i="6"/>
  <c r="G165" i="6"/>
  <c r="H165" i="6"/>
  <c r="I165" i="6"/>
  <c r="B166" i="6"/>
  <c r="C166" i="6"/>
  <c r="D166" i="6"/>
  <c r="E166" i="6"/>
  <c r="F166" i="6"/>
  <c r="G166" i="6"/>
  <c r="H166" i="6"/>
  <c r="I166" i="6"/>
  <c r="B167" i="6"/>
  <c r="C167" i="6"/>
  <c r="D167" i="6"/>
  <c r="E167" i="6"/>
  <c r="F167" i="6"/>
  <c r="G167" i="6"/>
  <c r="H167" i="6"/>
  <c r="I167" i="6"/>
  <c r="B168" i="6"/>
  <c r="C168" i="6"/>
  <c r="D168" i="6"/>
  <c r="E168" i="6"/>
  <c r="F168" i="6"/>
  <c r="G168" i="6"/>
  <c r="H168" i="6"/>
  <c r="I168" i="6"/>
  <c r="B169" i="6"/>
  <c r="C169" i="6"/>
  <c r="D169" i="6"/>
  <c r="E169" i="6"/>
  <c r="F169" i="6"/>
  <c r="G169" i="6"/>
  <c r="H169" i="6"/>
  <c r="I169" i="6"/>
  <c r="B170" i="6"/>
  <c r="C170" i="6"/>
  <c r="D170" i="6"/>
  <c r="E170" i="6"/>
  <c r="F170" i="6"/>
  <c r="G170" i="6"/>
  <c r="H170" i="6"/>
  <c r="I170" i="6"/>
  <c r="B171" i="6"/>
  <c r="C171" i="6"/>
  <c r="D171" i="6"/>
  <c r="E171" i="6"/>
  <c r="F171" i="6"/>
  <c r="G171" i="6"/>
  <c r="H171" i="6"/>
  <c r="I171" i="6"/>
  <c r="B172" i="6"/>
  <c r="C172" i="6"/>
  <c r="D172" i="6"/>
  <c r="E172" i="6"/>
  <c r="F172" i="6"/>
  <c r="G172" i="6"/>
  <c r="H172" i="6"/>
  <c r="I172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E9" i="5"/>
  <c r="F9" i="5"/>
  <c r="G9" i="5"/>
  <c r="H9" i="5"/>
  <c r="I9" i="5"/>
  <c r="E10" i="5"/>
  <c r="F10" i="5"/>
  <c r="G10" i="5"/>
  <c r="H10" i="5"/>
  <c r="I10" i="5"/>
  <c r="E11" i="5"/>
  <c r="F11" i="5"/>
  <c r="G11" i="5"/>
  <c r="H11" i="5"/>
  <c r="I11" i="5"/>
  <c r="E12" i="5"/>
  <c r="F12" i="5"/>
  <c r="G12" i="5"/>
  <c r="H12" i="5"/>
  <c r="I12" i="5"/>
  <c r="E13" i="5"/>
  <c r="F13" i="5"/>
  <c r="G13" i="5"/>
  <c r="H13" i="5"/>
  <c r="I13" i="5"/>
  <c r="E14" i="5"/>
  <c r="F14" i="5"/>
  <c r="G14" i="5"/>
  <c r="H14" i="5"/>
  <c r="I14" i="5"/>
  <c r="E15" i="5"/>
  <c r="F15" i="5"/>
  <c r="G15" i="5"/>
  <c r="H15" i="5"/>
  <c r="I15" i="5"/>
  <c r="E16" i="5"/>
  <c r="F16" i="5"/>
  <c r="G16" i="5"/>
  <c r="H16" i="5"/>
  <c r="I16" i="5"/>
  <c r="E17" i="5"/>
  <c r="F17" i="5"/>
  <c r="G17" i="5"/>
  <c r="H17" i="5"/>
  <c r="I17" i="5"/>
  <c r="E18" i="5"/>
  <c r="F18" i="5"/>
  <c r="G18" i="5"/>
  <c r="H18" i="5"/>
  <c r="I18" i="5"/>
  <c r="E19" i="5"/>
  <c r="F19" i="5"/>
  <c r="G19" i="5"/>
  <c r="H19" i="5"/>
  <c r="I19" i="5"/>
  <c r="E20" i="5"/>
  <c r="F20" i="5"/>
  <c r="G20" i="5"/>
  <c r="H20" i="5"/>
  <c r="I20" i="5"/>
  <c r="E21" i="5"/>
  <c r="F21" i="5"/>
  <c r="G21" i="5"/>
  <c r="H21" i="5"/>
  <c r="I21" i="5"/>
  <c r="E22" i="5"/>
  <c r="F22" i="5"/>
  <c r="G22" i="5"/>
  <c r="H22" i="5"/>
  <c r="I22" i="5"/>
  <c r="E23" i="5"/>
  <c r="F23" i="5"/>
  <c r="G23" i="5"/>
  <c r="H23" i="5"/>
  <c r="I23" i="5"/>
  <c r="E24" i="5"/>
  <c r="F24" i="5"/>
  <c r="G24" i="5"/>
  <c r="H24" i="5"/>
  <c r="I24" i="5"/>
  <c r="E25" i="5"/>
  <c r="F25" i="5"/>
  <c r="G25" i="5"/>
  <c r="H25" i="5"/>
  <c r="I25" i="5"/>
  <c r="E26" i="5"/>
  <c r="F26" i="5"/>
  <c r="G26" i="5"/>
  <c r="H26" i="5"/>
  <c r="I26" i="5"/>
  <c r="E27" i="5"/>
  <c r="F27" i="5"/>
  <c r="G27" i="5"/>
  <c r="H27" i="5"/>
  <c r="I27" i="5"/>
  <c r="E28" i="5"/>
  <c r="F28" i="5"/>
  <c r="G28" i="5"/>
  <c r="H28" i="5"/>
  <c r="I28" i="5"/>
  <c r="E29" i="5"/>
  <c r="F29" i="5"/>
  <c r="G29" i="5"/>
  <c r="H29" i="5"/>
  <c r="I29" i="5"/>
  <c r="E30" i="5"/>
  <c r="F30" i="5"/>
  <c r="G30" i="5"/>
  <c r="H30" i="5"/>
  <c r="I30" i="5"/>
  <c r="E31" i="5"/>
  <c r="F31" i="5"/>
  <c r="G31" i="5"/>
  <c r="H31" i="5"/>
  <c r="I31" i="5"/>
  <c r="E32" i="5"/>
  <c r="F32" i="5"/>
  <c r="G32" i="5"/>
  <c r="H32" i="5"/>
  <c r="I32" i="5"/>
  <c r="E33" i="5"/>
  <c r="F33" i="5"/>
  <c r="G33" i="5"/>
  <c r="H33" i="5"/>
  <c r="I33" i="5"/>
  <c r="E34" i="5"/>
  <c r="F34" i="5"/>
  <c r="G34" i="5"/>
  <c r="H34" i="5"/>
  <c r="I34" i="5"/>
  <c r="E35" i="5"/>
  <c r="F35" i="5"/>
  <c r="G35" i="5"/>
  <c r="H35" i="5"/>
  <c r="I35" i="5"/>
  <c r="E36" i="5"/>
  <c r="F36" i="5"/>
  <c r="G36" i="5"/>
  <c r="H36" i="5"/>
  <c r="I36" i="5"/>
  <c r="E37" i="5"/>
  <c r="F37" i="5"/>
  <c r="G37" i="5"/>
  <c r="H37" i="5"/>
  <c r="I37" i="5"/>
  <c r="E38" i="5"/>
  <c r="F38" i="5"/>
  <c r="G38" i="5"/>
  <c r="H38" i="5"/>
  <c r="I38" i="5"/>
  <c r="E39" i="5"/>
  <c r="F39" i="5"/>
  <c r="G39" i="5"/>
  <c r="H39" i="5"/>
  <c r="I39" i="5"/>
  <c r="E40" i="5"/>
  <c r="F40" i="5"/>
  <c r="G40" i="5"/>
  <c r="H40" i="5"/>
  <c r="I40" i="5"/>
  <c r="E41" i="5"/>
  <c r="F41" i="5"/>
  <c r="G41" i="5"/>
  <c r="H41" i="5"/>
  <c r="I41" i="5"/>
  <c r="E42" i="5"/>
  <c r="F42" i="5"/>
  <c r="G42" i="5"/>
  <c r="H42" i="5"/>
  <c r="I42" i="5"/>
  <c r="E43" i="5"/>
  <c r="F43" i="5"/>
  <c r="G43" i="5"/>
  <c r="H43" i="5"/>
  <c r="I43" i="5"/>
  <c r="E44" i="5"/>
  <c r="F44" i="5"/>
  <c r="G44" i="5"/>
  <c r="H44" i="5"/>
  <c r="I44" i="5"/>
  <c r="E45" i="5"/>
  <c r="F45" i="5"/>
  <c r="G45" i="5"/>
  <c r="H45" i="5"/>
  <c r="I45" i="5"/>
  <c r="E46" i="5"/>
  <c r="F46" i="5"/>
  <c r="G46" i="5"/>
  <c r="H46" i="5"/>
  <c r="I46" i="5"/>
  <c r="E47" i="5"/>
  <c r="F47" i="5"/>
  <c r="G47" i="5"/>
  <c r="H47" i="5"/>
  <c r="I47" i="5"/>
  <c r="B48" i="5"/>
  <c r="C48" i="5"/>
  <c r="D48" i="5"/>
  <c r="E48" i="5"/>
  <c r="F48" i="5"/>
  <c r="G48" i="5"/>
  <c r="H48" i="5"/>
  <c r="I48" i="5"/>
  <c r="B49" i="5"/>
  <c r="C49" i="5"/>
  <c r="D49" i="5"/>
  <c r="E49" i="5"/>
  <c r="F49" i="5"/>
  <c r="G49" i="5"/>
  <c r="H49" i="5"/>
  <c r="I49" i="5"/>
  <c r="B50" i="5"/>
  <c r="C50" i="5"/>
  <c r="D50" i="5"/>
  <c r="E50" i="5"/>
  <c r="F50" i="5"/>
  <c r="G50" i="5"/>
  <c r="H50" i="5"/>
  <c r="I50" i="5"/>
  <c r="B51" i="5"/>
  <c r="C51" i="5"/>
  <c r="D51" i="5"/>
  <c r="E51" i="5"/>
  <c r="F51" i="5"/>
  <c r="G51" i="5"/>
  <c r="H51" i="5"/>
  <c r="I51" i="5"/>
  <c r="B52" i="5"/>
  <c r="C52" i="5"/>
  <c r="D52" i="5"/>
  <c r="E52" i="5"/>
  <c r="F52" i="5"/>
  <c r="G52" i="5"/>
  <c r="H52" i="5"/>
  <c r="I52" i="5"/>
  <c r="B53" i="5"/>
  <c r="C53" i="5"/>
  <c r="D53" i="5"/>
  <c r="E53" i="5"/>
  <c r="F53" i="5"/>
  <c r="G53" i="5"/>
  <c r="H53" i="5"/>
  <c r="I53" i="5"/>
  <c r="B54" i="5"/>
  <c r="C54" i="5"/>
  <c r="D54" i="5"/>
  <c r="E54" i="5"/>
  <c r="F54" i="5"/>
  <c r="G54" i="5"/>
  <c r="H54" i="5"/>
  <c r="I54" i="5"/>
  <c r="B55" i="5"/>
  <c r="C55" i="5"/>
  <c r="D55" i="5"/>
  <c r="E55" i="5"/>
  <c r="F55" i="5"/>
  <c r="G55" i="5"/>
  <c r="H55" i="5"/>
  <c r="I55" i="5"/>
  <c r="B56" i="5"/>
  <c r="C56" i="5"/>
  <c r="D56" i="5"/>
  <c r="E56" i="5"/>
  <c r="F56" i="5"/>
  <c r="G56" i="5"/>
  <c r="H56" i="5"/>
  <c r="I56" i="5"/>
  <c r="B57" i="5"/>
  <c r="C57" i="5"/>
  <c r="D57" i="5"/>
  <c r="E57" i="5"/>
  <c r="F57" i="5"/>
  <c r="G57" i="5"/>
  <c r="H57" i="5"/>
  <c r="I57" i="5"/>
  <c r="B58" i="5"/>
  <c r="C58" i="5"/>
  <c r="D58" i="5"/>
  <c r="E58" i="5"/>
  <c r="F58" i="5"/>
  <c r="G58" i="5"/>
  <c r="H58" i="5"/>
  <c r="I58" i="5"/>
  <c r="B59" i="5"/>
  <c r="C59" i="5"/>
  <c r="D59" i="5"/>
  <c r="E59" i="5"/>
  <c r="F59" i="5"/>
  <c r="G59" i="5"/>
  <c r="H59" i="5"/>
  <c r="I59" i="5"/>
  <c r="B60" i="5"/>
  <c r="C60" i="5"/>
  <c r="D60" i="5"/>
  <c r="E60" i="5"/>
  <c r="F60" i="5"/>
  <c r="G60" i="5"/>
  <c r="H60" i="5"/>
  <c r="I60" i="5"/>
  <c r="B61" i="5"/>
  <c r="C61" i="5"/>
  <c r="D61" i="5"/>
  <c r="E61" i="5"/>
  <c r="F61" i="5"/>
  <c r="G61" i="5"/>
  <c r="H61" i="5"/>
  <c r="I61" i="5"/>
  <c r="B62" i="5"/>
  <c r="C62" i="5"/>
  <c r="D62" i="5"/>
  <c r="E62" i="5"/>
  <c r="F62" i="5"/>
  <c r="G62" i="5"/>
  <c r="H62" i="5"/>
  <c r="I62" i="5"/>
  <c r="B63" i="5"/>
  <c r="C63" i="5"/>
  <c r="D63" i="5"/>
  <c r="E63" i="5"/>
  <c r="F63" i="5"/>
  <c r="G63" i="5"/>
  <c r="H63" i="5"/>
  <c r="I63" i="5"/>
  <c r="B64" i="5"/>
  <c r="C64" i="5"/>
  <c r="D64" i="5"/>
  <c r="E64" i="5"/>
  <c r="F64" i="5"/>
  <c r="G64" i="5"/>
  <c r="H64" i="5"/>
  <c r="I64" i="5"/>
  <c r="B65" i="5"/>
  <c r="C65" i="5"/>
  <c r="D65" i="5"/>
  <c r="E65" i="5"/>
  <c r="F65" i="5"/>
  <c r="G65" i="5"/>
  <c r="H65" i="5"/>
  <c r="I65" i="5"/>
  <c r="B66" i="5"/>
  <c r="C66" i="5"/>
  <c r="D66" i="5"/>
  <c r="E66" i="5"/>
  <c r="F66" i="5"/>
  <c r="G66" i="5"/>
  <c r="H66" i="5"/>
  <c r="I66" i="5"/>
  <c r="B67" i="5"/>
  <c r="C67" i="5"/>
  <c r="D67" i="5"/>
  <c r="E67" i="5"/>
  <c r="F67" i="5"/>
  <c r="G67" i="5"/>
  <c r="H67" i="5"/>
  <c r="I67" i="5"/>
  <c r="B68" i="5"/>
  <c r="C68" i="5"/>
  <c r="D68" i="5"/>
  <c r="E68" i="5"/>
  <c r="F68" i="5"/>
  <c r="G68" i="5"/>
  <c r="H68" i="5"/>
  <c r="I68" i="5"/>
  <c r="B69" i="5"/>
  <c r="C69" i="5"/>
  <c r="D69" i="5"/>
  <c r="E69" i="5"/>
  <c r="F69" i="5"/>
  <c r="G69" i="5"/>
  <c r="H69" i="5"/>
  <c r="I69" i="5"/>
  <c r="B70" i="5"/>
  <c r="C70" i="5"/>
  <c r="D70" i="5"/>
  <c r="E70" i="5"/>
  <c r="F70" i="5"/>
  <c r="G70" i="5"/>
  <c r="H70" i="5"/>
  <c r="I70" i="5"/>
  <c r="B71" i="5"/>
  <c r="C71" i="5"/>
  <c r="D71" i="5"/>
  <c r="E71" i="5"/>
  <c r="F71" i="5"/>
  <c r="G71" i="5"/>
  <c r="H71" i="5"/>
  <c r="I71" i="5"/>
  <c r="B72" i="5"/>
  <c r="C72" i="5"/>
  <c r="D72" i="5"/>
  <c r="E72" i="5"/>
  <c r="F72" i="5"/>
  <c r="G72" i="5"/>
  <c r="H72" i="5"/>
  <c r="I72" i="5"/>
  <c r="B73" i="5"/>
  <c r="C73" i="5"/>
  <c r="D73" i="5"/>
  <c r="E73" i="5"/>
  <c r="F73" i="5"/>
  <c r="G73" i="5"/>
  <c r="H73" i="5"/>
  <c r="I73" i="5"/>
  <c r="B74" i="5"/>
  <c r="C74" i="5"/>
  <c r="D74" i="5"/>
  <c r="E74" i="5"/>
  <c r="F74" i="5"/>
  <c r="G74" i="5"/>
  <c r="H74" i="5"/>
  <c r="I74" i="5"/>
  <c r="B75" i="5"/>
  <c r="C75" i="5"/>
  <c r="D75" i="5"/>
  <c r="E75" i="5"/>
  <c r="F75" i="5"/>
  <c r="G75" i="5"/>
  <c r="H75" i="5"/>
  <c r="I75" i="5"/>
  <c r="B76" i="5"/>
  <c r="C76" i="5"/>
  <c r="D76" i="5"/>
  <c r="E76" i="5"/>
  <c r="F76" i="5"/>
  <c r="G76" i="5"/>
  <c r="H76" i="5"/>
  <c r="I76" i="5"/>
  <c r="B77" i="5"/>
  <c r="C77" i="5"/>
  <c r="D77" i="5"/>
  <c r="E77" i="5"/>
  <c r="F77" i="5"/>
  <c r="G77" i="5"/>
  <c r="H77" i="5"/>
  <c r="I77" i="5"/>
  <c r="B78" i="5"/>
  <c r="C78" i="5"/>
  <c r="D78" i="5"/>
  <c r="E78" i="5"/>
  <c r="F78" i="5"/>
  <c r="G78" i="5"/>
  <c r="H78" i="5"/>
  <c r="I78" i="5"/>
  <c r="B79" i="5"/>
  <c r="C79" i="5"/>
  <c r="D79" i="5"/>
  <c r="E79" i="5"/>
  <c r="F79" i="5"/>
  <c r="G79" i="5"/>
  <c r="H79" i="5"/>
  <c r="I79" i="5"/>
  <c r="B80" i="5"/>
  <c r="C80" i="5"/>
  <c r="D80" i="5"/>
  <c r="E80" i="5"/>
  <c r="F80" i="5"/>
  <c r="G80" i="5"/>
  <c r="H80" i="5"/>
  <c r="I80" i="5"/>
  <c r="B81" i="5"/>
  <c r="C81" i="5"/>
  <c r="D81" i="5"/>
  <c r="E81" i="5"/>
  <c r="F81" i="5"/>
  <c r="G81" i="5"/>
  <c r="H81" i="5"/>
  <c r="I81" i="5"/>
  <c r="B82" i="5"/>
  <c r="C82" i="5"/>
  <c r="D82" i="5"/>
  <c r="E82" i="5"/>
  <c r="F82" i="5"/>
  <c r="G82" i="5"/>
  <c r="H82" i="5"/>
  <c r="I82" i="5"/>
  <c r="B83" i="5"/>
  <c r="C83" i="5"/>
  <c r="D83" i="5"/>
  <c r="E83" i="5"/>
  <c r="F83" i="5"/>
  <c r="G83" i="5"/>
  <c r="H83" i="5"/>
  <c r="I83" i="5"/>
  <c r="B84" i="5"/>
  <c r="C84" i="5"/>
  <c r="D84" i="5"/>
  <c r="E84" i="5"/>
  <c r="F84" i="5"/>
  <c r="G84" i="5"/>
  <c r="H84" i="5"/>
  <c r="I84" i="5"/>
  <c r="B85" i="5"/>
  <c r="C85" i="5"/>
  <c r="D85" i="5"/>
  <c r="E85" i="5"/>
  <c r="F85" i="5"/>
  <c r="G85" i="5"/>
  <c r="H85" i="5"/>
  <c r="I85" i="5"/>
  <c r="B86" i="5"/>
  <c r="C86" i="5"/>
  <c r="D86" i="5"/>
  <c r="E86" i="5"/>
  <c r="F86" i="5"/>
  <c r="G86" i="5"/>
  <c r="H86" i="5"/>
  <c r="I86" i="5"/>
  <c r="B87" i="5"/>
  <c r="C87" i="5"/>
  <c r="D87" i="5"/>
  <c r="E87" i="5"/>
  <c r="F87" i="5"/>
  <c r="G87" i="5"/>
  <c r="H87" i="5"/>
  <c r="I87" i="5"/>
  <c r="B88" i="5"/>
  <c r="C88" i="5"/>
  <c r="D88" i="5"/>
  <c r="E88" i="5"/>
  <c r="F88" i="5"/>
  <c r="G88" i="5"/>
  <c r="H88" i="5"/>
  <c r="I88" i="5"/>
  <c r="B89" i="5"/>
  <c r="C89" i="5"/>
  <c r="D89" i="5"/>
  <c r="E89" i="5"/>
  <c r="F89" i="5"/>
  <c r="G89" i="5"/>
  <c r="H89" i="5"/>
  <c r="I89" i="5"/>
  <c r="B90" i="5"/>
  <c r="C90" i="5"/>
  <c r="D90" i="5"/>
  <c r="E90" i="5"/>
  <c r="F90" i="5"/>
  <c r="G90" i="5"/>
  <c r="H90" i="5"/>
  <c r="I90" i="5"/>
  <c r="B91" i="5"/>
  <c r="C91" i="5"/>
  <c r="D91" i="5"/>
  <c r="E91" i="5"/>
  <c r="F91" i="5"/>
  <c r="G91" i="5"/>
  <c r="H91" i="5"/>
  <c r="I91" i="5"/>
  <c r="B92" i="5"/>
  <c r="C92" i="5"/>
  <c r="D92" i="5"/>
  <c r="E92" i="5"/>
  <c r="F92" i="5"/>
  <c r="G92" i="5"/>
  <c r="H92" i="5"/>
  <c r="I92" i="5"/>
  <c r="B93" i="5"/>
  <c r="C93" i="5"/>
  <c r="D93" i="5"/>
  <c r="E93" i="5"/>
  <c r="F93" i="5"/>
  <c r="G93" i="5"/>
  <c r="H93" i="5"/>
  <c r="I93" i="5"/>
  <c r="B94" i="5"/>
  <c r="C94" i="5"/>
  <c r="D94" i="5"/>
  <c r="E94" i="5"/>
  <c r="F94" i="5"/>
  <c r="G94" i="5"/>
  <c r="H94" i="5"/>
  <c r="I94" i="5"/>
  <c r="B95" i="5"/>
  <c r="C95" i="5"/>
  <c r="D95" i="5"/>
  <c r="E95" i="5"/>
  <c r="F95" i="5"/>
  <c r="G95" i="5"/>
  <c r="H95" i="5"/>
  <c r="I95" i="5"/>
  <c r="B96" i="5"/>
  <c r="C96" i="5"/>
  <c r="D96" i="5"/>
  <c r="E96" i="5"/>
  <c r="F96" i="5"/>
  <c r="G96" i="5"/>
  <c r="H96" i="5"/>
  <c r="I96" i="5"/>
  <c r="B97" i="5"/>
  <c r="C97" i="5"/>
  <c r="D97" i="5"/>
  <c r="E97" i="5"/>
  <c r="F97" i="5"/>
  <c r="G97" i="5"/>
  <c r="H97" i="5"/>
  <c r="I97" i="5"/>
  <c r="B98" i="5"/>
  <c r="C98" i="5"/>
  <c r="D98" i="5"/>
  <c r="E98" i="5"/>
  <c r="F98" i="5"/>
  <c r="G98" i="5"/>
  <c r="H98" i="5"/>
  <c r="I98" i="5"/>
  <c r="B99" i="5"/>
  <c r="C99" i="5"/>
  <c r="D99" i="5"/>
  <c r="E99" i="5"/>
  <c r="F99" i="5"/>
  <c r="G99" i="5"/>
  <c r="H99" i="5"/>
  <c r="I99" i="5"/>
  <c r="B100" i="5"/>
  <c r="C100" i="5"/>
  <c r="D100" i="5"/>
  <c r="E100" i="5"/>
  <c r="F100" i="5"/>
  <c r="G100" i="5"/>
  <c r="H100" i="5"/>
  <c r="I100" i="5"/>
  <c r="B101" i="5"/>
  <c r="C101" i="5"/>
  <c r="D101" i="5"/>
  <c r="E101" i="5"/>
  <c r="F101" i="5"/>
  <c r="G101" i="5"/>
  <c r="H101" i="5"/>
  <c r="I101" i="5"/>
  <c r="B102" i="5"/>
  <c r="C102" i="5"/>
  <c r="D102" i="5"/>
  <c r="E102" i="5"/>
  <c r="F102" i="5"/>
  <c r="G102" i="5"/>
  <c r="H102" i="5"/>
  <c r="I102" i="5"/>
  <c r="B103" i="5"/>
  <c r="C103" i="5"/>
  <c r="D103" i="5"/>
  <c r="E103" i="5"/>
  <c r="F103" i="5"/>
  <c r="G103" i="5"/>
  <c r="H103" i="5"/>
  <c r="I103" i="5"/>
  <c r="B104" i="5"/>
  <c r="C104" i="5"/>
  <c r="D104" i="5"/>
  <c r="E104" i="5"/>
  <c r="F104" i="5"/>
  <c r="G104" i="5"/>
  <c r="H104" i="5"/>
  <c r="I104" i="5"/>
  <c r="B105" i="5"/>
  <c r="C105" i="5"/>
  <c r="D105" i="5"/>
  <c r="E105" i="5"/>
  <c r="F105" i="5"/>
  <c r="G105" i="5"/>
  <c r="H105" i="5"/>
  <c r="I105" i="5"/>
  <c r="B106" i="5"/>
  <c r="C106" i="5"/>
  <c r="D106" i="5"/>
  <c r="E106" i="5"/>
  <c r="F106" i="5"/>
  <c r="G106" i="5"/>
  <c r="H106" i="5"/>
  <c r="I106" i="5"/>
  <c r="B107" i="5"/>
  <c r="C107" i="5"/>
  <c r="D107" i="5"/>
  <c r="E107" i="5"/>
  <c r="F107" i="5"/>
  <c r="G107" i="5"/>
  <c r="H107" i="5"/>
  <c r="I107" i="5"/>
  <c r="B108" i="5"/>
  <c r="C108" i="5"/>
  <c r="D108" i="5"/>
  <c r="E108" i="5"/>
  <c r="F108" i="5"/>
  <c r="G108" i="5"/>
  <c r="H108" i="5"/>
  <c r="I108" i="5"/>
  <c r="B109" i="5"/>
  <c r="C109" i="5"/>
  <c r="D109" i="5"/>
  <c r="E109" i="5"/>
  <c r="F109" i="5"/>
  <c r="G109" i="5"/>
  <c r="H109" i="5"/>
  <c r="I109" i="5"/>
  <c r="B110" i="5"/>
  <c r="C110" i="5"/>
  <c r="D110" i="5"/>
  <c r="E110" i="5"/>
  <c r="F110" i="5"/>
  <c r="G110" i="5"/>
  <c r="H110" i="5"/>
  <c r="I110" i="5"/>
  <c r="B111" i="5"/>
  <c r="C111" i="5"/>
  <c r="D111" i="5"/>
  <c r="E111" i="5"/>
  <c r="F111" i="5"/>
  <c r="G111" i="5"/>
  <c r="H111" i="5"/>
  <c r="I111" i="5"/>
  <c r="B112" i="5"/>
  <c r="C112" i="5"/>
  <c r="D112" i="5"/>
  <c r="E112" i="5"/>
  <c r="F112" i="5"/>
  <c r="G112" i="5"/>
  <c r="H112" i="5"/>
  <c r="I112" i="5"/>
  <c r="B113" i="5"/>
  <c r="C113" i="5"/>
  <c r="D113" i="5"/>
  <c r="E113" i="5"/>
  <c r="F113" i="5"/>
  <c r="G113" i="5"/>
  <c r="H113" i="5"/>
  <c r="I113" i="5"/>
  <c r="B114" i="5"/>
  <c r="C114" i="5"/>
  <c r="D114" i="5"/>
  <c r="E114" i="5"/>
  <c r="F114" i="5"/>
  <c r="G114" i="5"/>
  <c r="H114" i="5"/>
  <c r="I114" i="5"/>
  <c r="B115" i="5"/>
  <c r="C115" i="5"/>
  <c r="D115" i="5"/>
  <c r="E115" i="5"/>
  <c r="F115" i="5"/>
  <c r="G115" i="5"/>
  <c r="H115" i="5"/>
  <c r="I115" i="5"/>
  <c r="B116" i="5"/>
  <c r="C116" i="5"/>
  <c r="D116" i="5"/>
  <c r="E116" i="5"/>
  <c r="F116" i="5"/>
  <c r="G116" i="5"/>
  <c r="H116" i="5"/>
  <c r="I116" i="5"/>
  <c r="B117" i="5"/>
  <c r="C117" i="5"/>
  <c r="D117" i="5"/>
  <c r="E117" i="5"/>
  <c r="F117" i="5"/>
  <c r="G117" i="5"/>
  <c r="H117" i="5"/>
  <c r="I117" i="5"/>
  <c r="B118" i="5"/>
  <c r="C118" i="5"/>
  <c r="D118" i="5"/>
  <c r="E118" i="5"/>
  <c r="F118" i="5"/>
  <c r="G118" i="5"/>
  <c r="H118" i="5"/>
  <c r="I118" i="5"/>
  <c r="B119" i="5"/>
  <c r="C119" i="5"/>
  <c r="D119" i="5"/>
  <c r="E119" i="5"/>
  <c r="F119" i="5"/>
  <c r="G119" i="5"/>
  <c r="H119" i="5"/>
  <c r="I119" i="5"/>
  <c r="B120" i="5"/>
  <c r="C120" i="5"/>
  <c r="D120" i="5"/>
  <c r="E120" i="5"/>
  <c r="F120" i="5"/>
  <c r="G120" i="5"/>
  <c r="H120" i="5"/>
  <c r="I120" i="5"/>
  <c r="B121" i="5"/>
  <c r="C121" i="5"/>
  <c r="D121" i="5"/>
  <c r="E121" i="5"/>
  <c r="F121" i="5"/>
  <c r="G121" i="5"/>
  <c r="H121" i="5"/>
  <c r="I121" i="5"/>
  <c r="B122" i="5"/>
  <c r="C122" i="5"/>
  <c r="D122" i="5"/>
  <c r="E122" i="5"/>
  <c r="F122" i="5"/>
  <c r="G122" i="5"/>
  <c r="H122" i="5"/>
  <c r="I122" i="5"/>
  <c r="B123" i="5"/>
  <c r="C123" i="5"/>
  <c r="D123" i="5"/>
  <c r="E123" i="5"/>
  <c r="F123" i="5"/>
  <c r="G123" i="5"/>
  <c r="H123" i="5"/>
  <c r="I123" i="5"/>
  <c r="B124" i="5"/>
  <c r="C124" i="5"/>
  <c r="D124" i="5"/>
  <c r="E124" i="5"/>
  <c r="F124" i="5"/>
  <c r="G124" i="5"/>
  <c r="H124" i="5"/>
  <c r="I124" i="5"/>
  <c r="B125" i="5"/>
  <c r="C125" i="5"/>
  <c r="D125" i="5"/>
  <c r="E125" i="5"/>
  <c r="F125" i="5"/>
  <c r="G125" i="5"/>
  <c r="H125" i="5"/>
  <c r="I125" i="5"/>
  <c r="B126" i="5"/>
  <c r="C126" i="5"/>
  <c r="D126" i="5"/>
  <c r="E126" i="5"/>
  <c r="F126" i="5"/>
  <c r="G126" i="5"/>
  <c r="H126" i="5"/>
  <c r="I126" i="5"/>
  <c r="B127" i="5"/>
  <c r="C127" i="5"/>
  <c r="D127" i="5"/>
  <c r="E127" i="5"/>
  <c r="F127" i="5"/>
  <c r="G127" i="5"/>
  <c r="H127" i="5"/>
  <c r="I127" i="5"/>
  <c r="B128" i="5"/>
  <c r="C128" i="5"/>
  <c r="D128" i="5"/>
  <c r="E128" i="5"/>
  <c r="F128" i="5"/>
  <c r="G128" i="5"/>
  <c r="H128" i="5"/>
  <c r="I128" i="5"/>
  <c r="B129" i="5"/>
  <c r="C129" i="5"/>
  <c r="D129" i="5"/>
  <c r="E129" i="5"/>
  <c r="F129" i="5"/>
  <c r="G129" i="5"/>
  <c r="H129" i="5"/>
  <c r="I129" i="5"/>
  <c r="B130" i="5"/>
  <c r="C130" i="5"/>
  <c r="D130" i="5"/>
  <c r="E130" i="5"/>
  <c r="F130" i="5"/>
  <c r="G130" i="5"/>
  <c r="H130" i="5"/>
  <c r="I130" i="5"/>
  <c r="B131" i="5"/>
  <c r="C131" i="5"/>
  <c r="D131" i="5"/>
  <c r="E131" i="5"/>
  <c r="F131" i="5"/>
  <c r="G131" i="5"/>
  <c r="H131" i="5"/>
  <c r="I131" i="5"/>
  <c r="B132" i="5"/>
  <c r="C132" i="5"/>
  <c r="D132" i="5"/>
  <c r="E132" i="5"/>
  <c r="F132" i="5"/>
  <c r="G132" i="5"/>
  <c r="H132" i="5"/>
  <c r="I132" i="5"/>
  <c r="B133" i="5"/>
  <c r="C133" i="5"/>
  <c r="D133" i="5"/>
  <c r="E133" i="5"/>
  <c r="F133" i="5"/>
  <c r="G133" i="5"/>
  <c r="H133" i="5"/>
  <c r="I133" i="5"/>
  <c r="B134" i="5"/>
  <c r="C134" i="5"/>
  <c r="D134" i="5"/>
  <c r="E134" i="5"/>
  <c r="F134" i="5"/>
  <c r="G134" i="5"/>
  <c r="H134" i="5"/>
  <c r="I134" i="5"/>
  <c r="B135" i="5"/>
  <c r="C135" i="5"/>
  <c r="D135" i="5"/>
  <c r="E135" i="5"/>
  <c r="F135" i="5"/>
  <c r="G135" i="5"/>
  <c r="H135" i="5"/>
  <c r="I135" i="5"/>
  <c r="B136" i="5"/>
  <c r="C136" i="5"/>
  <c r="D136" i="5"/>
  <c r="E136" i="5"/>
  <c r="F136" i="5"/>
  <c r="G136" i="5"/>
  <c r="H136" i="5"/>
  <c r="I136" i="5"/>
  <c r="B137" i="5"/>
  <c r="C137" i="5"/>
  <c r="D137" i="5"/>
  <c r="E137" i="5"/>
  <c r="F137" i="5"/>
  <c r="G137" i="5"/>
  <c r="H137" i="5"/>
  <c r="I137" i="5"/>
  <c r="B138" i="5"/>
  <c r="C138" i="5"/>
  <c r="D138" i="5"/>
  <c r="E138" i="5"/>
  <c r="F138" i="5"/>
  <c r="G138" i="5"/>
  <c r="H138" i="5"/>
  <c r="I138" i="5"/>
  <c r="B139" i="5"/>
  <c r="C139" i="5"/>
  <c r="D139" i="5"/>
  <c r="E139" i="5"/>
  <c r="F139" i="5"/>
  <c r="G139" i="5"/>
  <c r="H139" i="5"/>
  <c r="I139" i="5"/>
  <c r="B140" i="5"/>
  <c r="C140" i="5"/>
  <c r="D140" i="5"/>
  <c r="E140" i="5"/>
  <c r="F140" i="5"/>
  <c r="G140" i="5"/>
  <c r="H140" i="5"/>
  <c r="I140" i="5"/>
  <c r="B141" i="5"/>
  <c r="C141" i="5"/>
  <c r="D141" i="5"/>
  <c r="E141" i="5"/>
  <c r="F141" i="5"/>
  <c r="G141" i="5"/>
  <c r="H141" i="5"/>
  <c r="I141" i="5"/>
  <c r="B142" i="5"/>
  <c r="C142" i="5"/>
  <c r="D142" i="5"/>
  <c r="E142" i="5"/>
  <c r="F142" i="5"/>
  <c r="G142" i="5"/>
  <c r="H142" i="5"/>
  <c r="I142" i="5"/>
  <c r="B143" i="5"/>
  <c r="C143" i="5"/>
  <c r="D143" i="5"/>
  <c r="E143" i="5"/>
  <c r="F143" i="5"/>
  <c r="G143" i="5"/>
  <c r="H143" i="5"/>
  <c r="I143" i="5"/>
  <c r="B144" i="5"/>
  <c r="C144" i="5"/>
  <c r="D144" i="5"/>
  <c r="E144" i="5"/>
  <c r="F144" i="5"/>
  <c r="G144" i="5"/>
  <c r="H144" i="5"/>
  <c r="I144" i="5"/>
  <c r="B145" i="5"/>
  <c r="C145" i="5"/>
  <c r="D145" i="5"/>
  <c r="E145" i="5"/>
  <c r="F145" i="5"/>
  <c r="G145" i="5"/>
  <c r="H145" i="5"/>
  <c r="I145" i="5"/>
  <c r="B146" i="5"/>
  <c r="C146" i="5"/>
  <c r="D146" i="5"/>
  <c r="E146" i="5"/>
  <c r="F146" i="5"/>
  <c r="G146" i="5"/>
  <c r="H146" i="5"/>
  <c r="I146" i="5"/>
  <c r="B147" i="5"/>
  <c r="C147" i="5"/>
  <c r="D147" i="5"/>
  <c r="E147" i="5"/>
  <c r="F147" i="5"/>
  <c r="G147" i="5"/>
  <c r="H147" i="5"/>
  <c r="I147" i="5"/>
  <c r="B148" i="5"/>
  <c r="C148" i="5"/>
  <c r="D148" i="5"/>
  <c r="E148" i="5"/>
  <c r="F148" i="5"/>
  <c r="G148" i="5"/>
  <c r="H148" i="5"/>
  <c r="I148" i="5"/>
  <c r="B149" i="5"/>
  <c r="C149" i="5"/>
  <c r="D149" i="5"/>
  <c r="E149" i="5"/>
  <c r="F149" i="5"/>
  <c r="G149" i="5"/>
  <c r="H149" i="5"/>
  <c r="I149" i="5"/>
  <c r="B150" i="5"/>
  <c r="C150" i="5"/>
  <c r="D150" i="5"/>
  <c r="E150" i="5"/>
  <c r="F150" i="5"/>
  <c r="G150" i="5"/>
  <c r="H150" i="5"/>
  <c r="I150" i="5"/>
  <c r="B151" i="5"/>
  <c r="C151" i="5"/>
  <c r="D151" i="5"/>
  <c r="E151" i="5"/>
  <c r="F151" i="5"/>
  <c r="G151" i="5"/>
  <c r="H151" i="5"/>
  <c r="I151" i="5"/>
  <c r="B152" i="5"/>
  <c r="C152" i="5"/>
  <c r="D152" i="5"/>
  <c r="E152" i="5"/>
  <c r="F152" i="5"/>
  <c r="G152" i="5"/>
  <c r="H152" i="5"/>
  <c r="I152" i="5"/>
  <c r="B153" i="5"/>
  <c r="C153" i="5"/>
  <c r="D153" i="5"/>
  <c r="E153" i="5"/>
  <c r="F153" i="5"/>
  <c r="G153" i="5"/>
  <c r="H153" i="5"/>
  <c r="I153" i="5"/>
  <c r="B154" i="5"/>
  <c r="C154" i="5"/>
  <c r="D154" i="5"/>
  <c r="E154" i="5"/>
  <c r="F154" i="5"/>
  <c r="G154" i="5"/>
  <c r="H154" i="5"/>
  <c r="I154" i="5"/>
  <c r="B155" i="5"/>
  <c r="C155" i="5"/>
  <c r="D155" i="5"/>
  <c r="E155" i="5"/>
  <c r="F155" i="5"/>
  <c r="G155" i="5"/>
  <c r="H155" i="5"/>
  <c r="I155" i="5"/>
  <c r="B156" i="5"/>
  <c r="C156" i="5"/>
  <c r="D156" i="5"/>
  <c r="E156" i="5"/>
  <c r="F156" i="5"/>
  <c r="G156" i="5"/>
  <c r="H156" i="5"/>
  <c r="I156" i="5"/>
  <c r="B157" i="5"/>
  <c r="C157" i="5"/>
  <c r="D157" i="5"/>
  <c r="E157" i="5"/>
  <c r="F157" i="5"/>
  <c r="G157" i="5"/>
  <c r="H157" i="5"/>
  <c r="I157" i="5"/>
  <c r="B158" i="5"/>
  <c r="C158" i="5"/>
  <c r="D158" i="5"/>
  <c r="E158" i="5"/>
  <c r="F158" i="5"/>
  <c r="G158" i="5"/>
  <c r="H158" i="5"/>
  <c r="I158" i="5"/>
  <c r="B159" i="5"/>
  <c r="C159" i="5"/>
  <c r="D159" i="5"/>
  <c r="E159" i="5"/>
  <c r="F159" i="5"/>
  <c r="G159" i="5"/>
  <c r="H159" i="5"/>
  <c r="I159" i="5"/>
  <c r="B160" i="5"/>
  <c r="C160" i="5"/>
  <c r="D160" i="5"/>
  <c r="E160" i="5"/>
  <c r="F160" i="5"/>
  <c r="G160" i="5"/>
  <c r="H160" i="5"/>
  <c r="I160" i="5"/>
  <c r="B161" i="5"/>
  <c r="C161" i="5"/>
  <c r="D161" i="5"/>
  <c r="E161" i="5"/>
  <c r="F161" i="5"/>
  <c r="G161" i="5"/>
  <c r="H161" i="5"/>
  <c r="I161" i="5"/>
  <c r="B162" i="5"/>
  <c r="C162" i="5"/>
  <c r="D162" i="5"/>
  <c r="E162" i="5"/>
  <c r="F162" i="5"/>
  <c r="G162" i="5"/>
  <c r="H162" i="5"/>
  <c r="I162" i="5"/>
  <c r="B163" i="5"/>
  <c r="C163" i="5"/>
  <c r="D163" i="5"/>
  <c r="E163" i="5"/>
  <c r="F163" i="5"/>
  <c r="G163" i="5"/>
  <c r="H163" i="5"/>
  <c r="I163" i="5"/>
  <c r="B164" i="5"/>
  <c r="C164" i="5"/>
  <c r="D164" i="5"/>
  <c r="E164" i="5"/>
  <c r="F164" i="5"/>
  <c r="G164" i="5"/>
  <c r="H164" i="5"/>
  <c r="I164" i="5"/>
  <c r="B165" i="5"/>
  <c r="C165" i="5"/>
  <c r="D165" i="5"/>
  <c r="E165" i="5"/>
  <c r="F165" i="5"/>
  <c r="G165" i="5"/>
  <c r="H165" i="5"/>
  <c r="I165" i="5"/>
  <c r="B166" i="5"/>
  <c r="C166" i="5"/>
  <c r="D166" i="5"/>
  <c r="E166" i="5"/>
  <c r="F166" i="5"/>
  <c r="G166" i="5"/>
  <c r="H166" i="5"/>
  <c r="I166" i="5"/>
  <c r="B167" i="5"/>
  <c r="C167" i="5"/>
  <c r="D167" i="5"/>
  <c r="E167" i="5"/>
  <c r="F167" i="5"/>
  <c r="G167" i="5"/>
  <c r="H167" i="5"/>
  <c r="I167" i="5"/>
  <c r="B168" i="5"/>
  <c r="C168" i="5"/>
  <c r="D168" i="5"/>
  <c r="E168" i="5"/>
  <c r="F168" i="5"/>
  <c r="G168" i="5"/>
  <c r="H168" i="5"/>
  <c r="I168" i="5"/>
  <c r="B169" i="5"/>
  <c r="C169" i="5"/>
  <c r="D169" i="5"/>
  <c r="E169" i="5"/>
  <c r="F169" i="5"/>
  <c r="G169" i="5"/>
  <c r="H169" i="5"/>
  <c r="I169" i="5"/>
  <c r="B170" i="5"/>
  <c r="C170" i="5"/>
  <c r="D170" i="5"/>
  <c r="E170" i="5"/>
  <c r="F170" i="5"/>
  <c r="G170" i="5"/>
  <c r="H170" i="5"/>
  <c r="I170" i="5"/>
  <c r="B171" i="5"/>
  <c r="C171" i="5"/>
  <c r="D171" i="5"/>
  <c r="E171" i="5"/>
  <c r="F171" i="5"/>
  <c r="G171" i="5"/>
  <c r="H171" i="5"/>
  <c r="I171" i="5"/>
  <c r="B172" i="5"/>
  <c r="C172" i="5"/>
  <c r="D172" i="5"/>
  <c r="E172" i="5"/>
  <c r="F172" i="5"/>
  <c r="G172" i="5"/>
  <c r="H172" i="5"/>
  <c r="I172" i="5"/>
  <c r="E6" i="5"/>
  <c r="F6" i="5"/>
  <c r="G6" i="5"/>
  <c r="H6" i="5"/>
  <c r="I6" i="5"/>
  <c r="E7" i="5"/>
  <c r="F7" i="5"/>
  <c r="G7" i="5"/>
  <c r="H7" i="5"/>
  <c r="I7" i="5"/>
  <c r="E8" i="5"/>
  <c r="F8" i="5"/>
  <c r="G8" i="5"/>
  <c r="H8" i="5"/>
  <c r="I8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E33" i="4"/>
  <c r="F33" i="4"/>
  <c r="G33" i="4"/>
  <c r="H33" i="4"/>
  <c r="I33" i="4"/>
  <c r="E34" i="4"/>
  <c r="F34" i="4"/>
  <c r="G34" i="4"/>
  <c r="H34" i="4"/>
  <c r="I34" i="4"/>
  <c r="E35" i="4"/>
  <c r="F35" i="4"/>
  <c r="G35" i="4"/>
  <c r="H35" i="4"/>
  <c r="I35" i="4"/>
  <c r="E36" i="4"/>
  <c r="F36" i="4"/>
  <c r="G36" i="4"/>
  <c r="H36" i="4"/>
  <c r="I36" i="4"/>
  <c r="E37" i="4"/>
  <c r="F37" i="4"/>
  <c r="G37" i="4"/>
  <c r="H37" i="4"/>
  <c r="I37" i="4"/>
  <c r="E38" i="4"/>
  <c r="F38" i="4"/>
  <c r="G38" i="4"/>
  <c r="H38" i="4"/>
  <c r="I38" i="4"/>
  <c r="E39" i="4"/>
  <c r="F39" i="4"/>
  <c r="G39" i="4"/>
  <c r="H39" i="4"/>
  <c r="I39" i="4"/>
  <c r="E40" i="4"/>
  <c r="F40" i="4"/>
  <c r="G40" i="4"/>
  <c r="H40" i="4"/>
  <c r="I40" i="4"/>
  <c r="E41" i="4"/>
  <c r="F41" i="4"/>
  <c r="G41" i="4"/>
  <c r="H41" i="4"/>
  <c r="I41" i="4"/>
  <c r="E42" i="4"/>
  <c r="F42" i="4"/>
  <c r="G42" i="4"/>
  <c r="H42" i="4"/>
  <c r="I42" i="4"/>
  <c r="E43" i="4"/>
  <c r="F43" i="4"/>
  <c r="G43" i="4"/>
  <c r="H43" i="4"/>
  <c r="I43" i="4"/>
  <c r="E44" i="4"/>
  <c r="F44" i="4"/>
  <c r="G44" i="4"/>
  <c r="H44" i="4"/>
  <c r="I44" i="4"/>
  <c r="E45" i="4"/>
  <c r="F45" i="4"/>
  <c r="G45" i="4"/>
  <c r="H45" i="4"/>
  <c r="I45" i="4"/>
  <c r="E46" i="4"/>
  <c r="F46" i="4"/>
  <c r="G46" i="4"/>
  <c r="H46" i="4"/>
  <c r="I46" i="4"/>
  <c r="E47" i="4"/>
  <c r="F47" i="4"/>
  <c r="G47" i="4"/>
  <c r="H47" i="4"/>
  <c r="I47" i="4"/>
  <c r="B48" i="4"/>
  <c r="C48" i="4"/>
  <c r="D48" i="4"/>
  <c r="E48" i="4"/>
  <c r="F48" i="4"/>
  <c r="G48" i="4"/>
  <c r="H48" i="4"/>
  <c r="I48" i="4"/>
  <c r="B49" i="4"/>
  <c r="C49" i="4"/>
  <c r="D49" i="4"/>
  <c r="E49" i="4"/>
  <c r="F49" i="4"/>
  <c r="G49" i="4"/>
  <c r="H49" i="4"/>
  <c r="I49" i="4"/>
  <c r="B50" i="4"/>
  <c r="C50" i="4"/>
  <c r="D50" i="4"/>
  <c r="E50" i="4"/>
  <c r="F50" i="4"/>
  <c r="G50" i="4"/>
  <c r="H50" i="4"/>
  <c r="I50" i="4"/>
  <c r="B51" i="4"/>
  <c r="C51" i="4"/>
  <c r="D51" i="4"/>
  <c r="E51" i="4"/>
  <c r="F51" i="4"/>
  <c r="G51" i="4"/>
  <c r="H51" i="4"/>
  <c r="I51" i="4"/>
  <c r="B52" i="4"/>
  <c r="C52" i="4"/>
  <c r="D52" i="4"/>
  <c r="E52" i="4"/>
  <c r="F52" i="4"/>
  <c r="G52" i="4"/>
  <c r="H52" i="4"/>
  <c r="I52" i="4"/>
  <c r="B53" i="4"/>
  <c r="C53" i="4"/>
  <c r="D53" i="4"/>
  <c r="E53" i="4"/>
  <c r="F53" i="4"/>
  <c r="G53" i="4"/>
  <c r="H53" i="4"/>
  <c r="I53" i="4"/>
  <c r="B54" i="4"/>
  <c r="C54" i="4"/>
  <c r="D54" i="4"/>
  <c r="E54" i="4"/>
  <c r="F54" i="4"/>
  <c r="G54" i="4"/>
  <c r="H54" i="4"/>
  <c r="I54" i="4"/>
  <c r="B55" i="4"/>
  <c r="C55" i="4"/>
  <c r="D55" i="4"/>
  <c r="E55" i="4"/>
  <c r="F55" i="4"/>
  <c r="G55" i="4"/>
  <c r="H55" i="4"/>
  <c r="I55" i="4"/>
  <c r="B56" i="4"/>
  <c r="C56" i="4"/>
  <c r="D56" i="4"/>
  <c r="E56" i="4"/>
  <c r="F56" i="4"/>
  <c r="G56" i="4"/>
  <c r="H56" i="4"/>
  <c r="I56" i="4"/>
  <c r="B57" i="4"/>
  <c r="C57" i="4"/>
  <c r="D57" i="4"/>
  <c r="E57" i="4"/>
  <c r="F57" i="4"/>
  <c r="G57" i="4"/>
  <c r="H57" i="4"/>
  <c r="I57" i="4"/>
  <c r="B58" i="4"/>
  <c r="C58" i="4"/>
  <c r="D58" i="4"/>
  <c r="E58" i="4"/>
  <c r="F58" i="4"/>
  <c r="G58" i="4"/>
  <c r="H58" i="4"/>
  <c r="I58" i="4"/>
  <c r="B59" i="4"/>
  <c r="C59" i="4"/>
  <c r="D59" i="4"/>
  <c r="E59" i="4"/>
  <c r="F59" i="4"/>
  <c r="G59" i="4"/>
  <c r="H59" i="4"/>
  <c r="I59" i="4"/>
  <c r="B60" i="4"/>
  <c r="C60" i="4"/>
  <c r="D60" i="4"/>
  <c r="E60" i="4"/>
  <c r="F60" i="4"/>
  <c r="G60" i="4"/>
  <c r="H60" i="4"/>
  <c r="I60" i="4"/>
  <c r="B61" i="4"/>
  <c r="C61" i="4"/>
  <c r="D61" i="4"/>
  <c r="E61" i="4"/>
  <c r="F61" i="4"/>
  <c r="G61" i="4"/>
  <c r="H61" i="4"/>
  <c r="I61" i="4"/>
  <c r="B62" i="4"/>
  <c r="C62" i="4"/>
  <c r="D62" i="4"/>
  <c r="E62" i="4"/>
  <c r="F62" i="4"/>
  <c r="G62" i="4"/>
  <c r="H62" i="4"/>
  <c r="I62" i="4"/>
  <c r="B63" i="4"/>
  <c r="C63" i="4"/>
  <c r="D63" i="4"/>
  <c r="E63" i="4"/>
  <c r="F63" i="4"/>
  <c r="G63" i="4"/>
  <c r="H63" i="4"/>
  <c r="I63" i="4"/>
  <c r="B64" i="4"/>
  <c r="C64" i="4"/>
  <c r="D64" i="4"/>
  <c r="E64" i="4"/>
  <c r="F64" i="4"/>
  <c r="G64" i="4"/>
  <c r="H64" i="4"/>
  <c r="I64" i="4"/>
  <c r="B65" i="4"/>
  <c r="C65" i="4"/>
  <c r="D65" i="4"/>
  <c r="E65" i="4"/>
  <c r="F65" i="4"/>
  <c r="G65" i="4"/>
  <c r="H65" i="4"/>
  <c r="I65" i="4"/>
  <c r="B66" i="4"/>
  <c r="C66" i="4"/>
  <c r="D66" i="4"/>
  <c r="E66" i="4"/>
  <c r="F66" i="4"/>
  <c r="G66" i="4"/>
  <c r="H66" i="4"/>
  <c r="I66" i="4"/>
  <c r="B67" i="4"/>
  <c r="C67" i="4"/>
  <c r="D67" i="4"/>
  <c r="E67" i="4"/>
  <c r="F67" i="4"/>
  <c r="G67" i="4"/>
  <c r="H67" i="4"/>
  <c r="I67" i="4"/>
  <c r="B68" i="4"/>
  <c r="C68" i="4"/>
  <c r="D68" i="4"/>
  <c r="E68" i="4"/>
  <c r="F68" i="4"/>
  <c r="G68" i="4"/>
  <c r="H68" i="4"/>
  <c r="I68" i="4"/>
  <c r="B69" i="4"/>
  <c r="C69" i="4"/>
  <c r="D69" i="4"/>
  <c r="E69" i="4"/>
  <c r="F69" i="4"/>
  <c r="G69" i="4"/>
  <c r="H69" i="4"/>
  <c r="I69" i="4"/>
  <c r="B70" i="4"/>
  <c r="C70" i="4"/>
  <c r="D70" i="4"/>
  <c r="E70" i="4"/>
  <c r="F70" i="4"/>
  <c r="G70" i="4"/>
  <c r="H70" i="4"/>
  <c r="I70" i="4"/>
  <c r="B71" i="4"/>
  <c r="C71" i="4"/>
  <c r="D71" i="4"/>
  <c r="E71" i="4"/>
  <c r="F71" i="4"/>
  <c r="G71" i="4"/>
  <c r="H71" i="4"/>
  <c r="I71" i="4"/>
  <c r="B72" i="4"/>
  <c r="C72" i="4"/>
  <c r="D72" i="4"/>
  <c r="E72" i="4"/>
  <c r="F72" i="4"/>
  <c r="G72" i="4"/>
  <c r="H72" i="4"/>
  <c r="I72" i="4"/>
  <c r="B73" i="4"/>
  <c r="C73" i="4"/>
  <c r="D73" i="4"/>
  <c r="E73" i="4"/>
  <c r="F73" i="4"/>
  <c r="G73" i="4"/>
  <c r="H73" i="4"/>
  <c r="I73" i="4"/>
  <c r="B74" i="4"/>
  <c r="C74" i="4"/>
  <c r="D74" i="4"/>
  <c r="E74" i="4"/>
  <c r="F74" i="4"/>
  <c r="G74" i="4"/>
  <c r="H74" i="4"/>
  <c r="I74" i="4"/>
  <c r="B75" i="4"/>
  <c r="C75" i="4"/>
  <c r="D75" i="4"/>
  <c r="E75" i="4"/>
  <c r="F75" i="4"/>
  <c r="G75" i="4"/>
  <c r="H75" i="4"/>
  <c r="I75" i="4"/>
  <c r="B76" i="4"/>
  <c r="C76" i="4"/>
  <c r="D76" i="4"/>
  <c r="E76" i="4"/>
  <c r="F76" i="4"/>
  <c r="G76" i="4"/>
  <c r="H76" i="4"/>
  <c r="I76" i="4"/>
  <c r="B77" i="4"/>
  <c r="C77" i="4"/>
  <c r="D77" i="4"/>
  <c r="E77" i="4"/>
  <c r="F77" i="4"/>
  <c r="G77" i="4"/>
  <c r="H77" i="4"/>
  <c r="I77" i="4"/>
  <c r="B78" i="4"/>
  <c r="C78" i="4"/>
  <c r="D78" i="4"/>
  <c r="E78" i="4"/>
  <c r="F78" i="4"/>
  <c r="G78" i="4"/>
  <c r="H78" i="4"/>
  <c r="I78" i="4"/>
  <c r="B79" i="4"/>
  <c r="C79" i="4"/>
  <c r="D79" i="4"/>
  <c r="E79" i="4"/>
  <c r="F79" i="4"/>
  <c r="G79" i="4"/>
  <c r="H79" i="4"/>
  <c r="I79" i="4"/>
  <c r="B80" i="4"/>
  <c r="C80" i="4"/>
  <c r="D80" i="4"/>
  <c r="E80" i="4"/>
  <c r="F80" i="4"/>
  <c r="G80" i="4"/>
  <c r="H80" i="4"/>
  <c r="I80" i="4"/>
  <c r="B81" i="4"/>
  <c r="C81" i="4"/>
  <c r="D81" i="4"/>
  <c r="E81" i="4"/>
  <c r="F81" i="4"/>
  <c r="G81" i="4"/>
  <c r="H81" i="4"/>
  <c r="I81" i="4"/>
  <c r="B82" i="4"/>
  <c r="C82" i="4"/>
  <c r="D82" i="4"/>
  <c r="E82" i="4"/>
  <c r="F82" i="4"/>
  <c r="G82" i="4"/>
  <c r="H82" i="4"/>
  <c r="I82" i="4"/>
  <c r="B83" i="4"/>
  <c r="C83" i="4"/>
  <c r="D83" i="4"/>
  <c r="E83" i="4"/>
  <c r="F83" i="4"/>
  <c r="G83" i="4"/>
  <c r="H83" i="4"/>
  <c r="I83" i="4"/>
  <c r="B84" i="4"/>
  <c r="C84" i="4"/>
  <c r="D84" i="4"/>
  <c r="E84" i="4"/>
  <c r="F84" i="4"/>
  <c r="G84" i="4"/>
  <c r="H84" i="4"/>
  <c r="I84" i="4"/>
  <c r="B85" i="4"/>
  <c r="C85" i="4"/>
  <c r="D85" i="4"/>
  <c r="E85" i="4"/>
  <c r="F85" i="4"/>
  <c r="G85" i="4"/>
  <c r="H85" i="4"/>
  <c r="I85" i="4"/>
  <c r="B86" i="4"/>
  <c r="C86" i="4"/>
  <c r="D86" i="4"/>
  <c r="E86" i="4"/>
  <c r="F86" i="4"/>
  <c r="G86" i="4"/>
  <c r="H86" i="4"/>
  <c r="I86" i="4"/>
  <c r="B87" i="4"/>
  <c r="C87" i="4"/>
  <c r="D87" i="4"/>
  <c r="E87" i="4"/>
  <c r="F87" i="4"/>
  <c r="G87" i="4"/>
  <c r="H87" i="4"/>
  <c r="I87" i="4"/>
  <c r="B88" i="4"/>
  <c r="C88" i="4"/>
  <c r="D88" i="4"/>
  <c r="E88" i="4"/>
  <c r="F88" i="4"/>
  <c r="G88" i="4"/>
  <c r="H88" i="4"/>
  <c r="I88" i="4"/>
  <c r="B89" i="4"/>
  <c r="C89" i="4"/>
  <c r="D89" i="4"/>
  <c r="E89" i="4"/>
  <c r="F89" i="4"/>
  <c r="G89" i="4"/>
  <c r="H89" i="4"/>
  <c r="I89" i="4"/>
  <c r="B90" i="4"/>
  <c r="C90" i="4"/>
  <c r="D90" i="4"/>
  <c r="E90" i="4"/>
  <c r="F90" i="4"/>
  <c r="G90" i="4"/>
  <c r="H90" i="4"/>
  <c r="I90" i="4"/>
  <c r="B91" i="4"/>
  <c r="C91" i="4"/>
  <c r="D91" i="4"/>
  <c r="E91" i="4"/>
  <c r="F91" i="4"/>
  <c r="G91" i="4"/>
  <c r="H91" i="4"/>
  <c r="I91" i="4"/>
  <c r="B92" i="4"/>
  <c r="C92" i="4"/>
  <c r="D92" i="4"/>
  <c r="E92" i="4"/>
  <c r="F92" i="4"/>
  <c r="G92" i="4"/>
  <c r="H92" i="4"/>
  <c r="I92" i="4"/>
  <c r="B93" i="4"/>
  <c r="C93" i="4"/>
  <c r="D93" i="4"/>
  <c r="E93" i="4"/>
  <c r="F93" i="4"/>
  <c r="G93" i="4"/>
  <c r="H93" i="4"/>
  <c r="I93" i="4"/>
  <c r="B94" i="4"/>
  <c r="C94" i="4"/>
  <c r="D94" i="4"/>
  <c r="E94" i="4"/>
  <c r="F94" i="4"/>
  <c r="G94" i="4"/>
  <c r="H94" i="4"/>
  <c r="I94" i="4"/>
  <c r="B95" i="4"/>
  <c r="C95" i="4"/>
  <c r="D95" i="4"/>
  <c r="E95" i="4"/>
  <c r="F95" i="4"/>
  <c r="G95" i="4"/>
  <c r="H95" i="4"/>
  <c r="I95" i="4"/>
  <c r="B96" i="4"/>
  <c r="C96" i="4"/>
  <c r="D96" i="4"/>
  <c r="E96" i="4"/>
  <c r="F96" i="4"/>
  <c r="G96" i="4"/>
  <c r="H96" i="4"/>
  <c r="I96" i="4"/>
  <c r="B97" i="4"/>
  <c r="C97" i="4"/>
  <c r="D97" i="4"/>
  <c r="E97" i="4"/>
  <c r="F97" i="4"/>
  <c r="G97" i="4"/>
  <c r="H97" i="4"/>
  <c r="I97" i="4"/>
  <c r="B98" i="4"/>
  <c r="C98" i="4"/>
  <c r="D98" i="4"/>
  <c r="E98" i="4"/>
  <c r="F98" i="4"/>
  <c r="G98" i="4"/>
  <c r="H98" i="4"/>
  <c r="I98" i="4"/>
  <c r="B99" i="4"/>
  <c r="C99" i="4"/>
  <c r="D99" i="4"/>
  <c r="E99" i="4"/>
  <c r="F99" i="4"/>
  <c r="G99" i="4"/>
  <c r="H99" i="4"/>
  <c r="I99" i="4"/>
  <c r="B100" i="4"/>
  <c r="C100" i="4"/>
  <c r="D100" i="4"/>
  <c r="E100" i="4"/>
  <c r="F100" i="4"/>
  <c r="G100" i="4"/>
  <c r="H100" i="4"/>
  <c r="I100" i="4"/>
  <c r="B101" i="4"/>
  <c r="C101" i="4"/>
  <c r="D101" i="4"/>
  <c r="E101" i="4"/>
  <c r="F101" i="4"/>
  <c r="G101" i="4"/>
  <c r="H101" i="4"/>
  <c r="I101" i="4"/>
  <c r="B102" i="4"/>
  <c r="C102" i="4"/>
  <c r="D102" i="4"/>
  <c r="E102" i="4"/>
  <c r="F102" i="4"/>
  <c r="G102" i="4"/>
  <c r="H102" i="4"/>
  <c r="I102" i="4"/>
  <c r="B103" i="4"/>
  <c r="C103" i="4"/>
  <c r="D103" i="4"/>
  <c r="E103" i="4"/>
  <c r="F103" i="4"/>
  <c r="G103" i="4"/>
  <c r="H103" i="4"/>
  <c r="I103" i="4"/>
  <c r="B104" i="4"/>
  <c r="C104" i="4"/>
  <c r="D104" i="4"/>
  <c r="E104" i="4"/>
  <c r="F104" i="4"/>
  <c r="G104" i="4"/>
  <c r="H104" i="4"/>
  <c r="I104" i="4"/>
  <c r="B105" i="4"/>
  <c r="C105" i="4"/>
  <c r="D105" i="4"/>
  <c r="E105" i="4"/>
  <c r="F105" i="4"/>
  <c r="G105" i="4"/>
  <c r="H105" i="4"/>
  <c r="I105" i="4"/>
  <c r="B106" i="4"/>
  <c r="C106" i="4"/>
  <c r="D106" i="4"/>
  <c r="E106" i="4"/>
  <c r="F106" i="4"/>
  <c r="G106" i="4"/>
  <c r="H106" i="4"/>
  <c r="I106" i="4"/>
  <c r="B107" i="4"/>
  <c r="C107" i="4"/>
  <c r="D107" i="4"/>
  <c r="E107" i="4"/>
  <c r="F107" i="4"/>
  <c r="G107" i="4"/>
  <c r="H107" i="4"/>
  <c r="I107" i="4"/>
  <c r="B108" i="4"/>
  <c r="C108" i="4"/>
  <c r="D108" i="4"/>
  <c r="E108" i="4"/>
  <c r="F108" i="4"/>
  <c r="G108" i="4"/>
  <c r="H108" i="4"/>
  <c r="I108" i="4"/>
  <c r="B109" i="4"/>
  <c r="C109" i="4"/>
  <c r="D109" i="4"/>
  <c r="E109" i="4"/>
  <c r="F109" i="4"/>
  <c r="G109" i="4"/>
  <c r="H109" i="4"/>
  <c r="I109" i="4"/>
  <c r="B110" i="4"/>
  <c r="C110" i="4"/>
  <c r="D110" i="4"/>
  <c r="E110" i="4"/>
  <c r="F110" i="4"/>
  <c r="G110" i="4"/>
  <c r="H110" i="4"/>
  <c r="I110" i="4"/>
  <c r="B111" i="4"/>
  <c r="C111" i="4"/>
  <c r="D111" i="4"/>
  <c r="E111" i="4"/>
  <c r="F111" i="4"/>
  <c r="G111" i="4"/>
  <c r="H111" i="4"/>
  <c r="I111" i="4"/>
  <c r="B112" i="4"/>
  <c r="C112" i="4"/>
  <c r="D112" i="4"/>
  <c r="E112" i="4"/>
  <c r="F112" i="4"/>
  <c r="G112" i="4"/>
  <c r="H112" i="4"/>
  <c r="I112" i="4"/>
  <c r="B113" i="4"/>
  <c r="C113" i="4"/>
  <c r="D113" i="4"/>
  <c r="E113" i="4"/>
  <c r="F113" i="4"/>
  <c r="G113" i="4"/>
  <c r="H113" i="4"/>
  <c r="I113" i="4"/>
  <c r="B114" i="4"/>
  <c r="C114" i="4"/>
  <c r="D114" i="4"/>
  <c r="E114" i="4"/>
  <c r="F114" i="4"/>
  <c r="G114" i="4"/>
  <c r="H114" i="4"/>
  <c r="I114" i="4"/>
  <c r="B115" i="4"/>
  <c r="C115" i="4"/>
  <c r="D115" i="4"/>
  <c r="E115" i="4"/>
  <c r="F115" i="4"/>
  <c r="G115" i="4"/>
  <c r="H115" i="4"/>
  <c r="I115" i="4"/>
  <c r="B116" i="4"/>
  <c r="C116" i="4"/>
  <c r="D116" i="4"/>
  <c r="E116" i="4"/>
  <c r="F116" i="4"/>
  <c r="G116" i="4"/>
  <c r="H116" i="4"/>
  <c r="I116" i="4"/>
  <c r="B117" i="4"/>
  <c r="C117" i="4"/>
  <c r="D117" i="4"/>
  <c r="E117" i="4"/>
  <c r="F117" i="4"/>
  <c r="G117" i="4"/>
  <c r="H117" i="4"/>
  <c r="I117" i="4"/>
  <c r="B118" i="4"/>
  <c r="C118" i="4"/>
  <c r="D118" i="4"/>
  <c r="E118" i="4"/>
  <c r="F118" i="4"/>
  <c r="G118" i="4"/>
  <c r="H118" i="4"/>
  <c r="I118" i="4"/>
  <c r="B119" i="4"/>
  <c r="C119" i="4"/>
  <c r="D119" i="4"/>
  <c r="E119" i="4"/>
  <c r="F119" i="4"/>
  <c r="G119" i="4"/>
  <c r="H119" i="4"/>
  <c r="I119" i="4"/>
  <c r="B120" i="4"/>
  <c r="C120" i="4"/>
  <c r="D120" i="4"/>
  <c r="E120" i="4"/>
  <c r="F120" i="4"/>
  <c r="G120" i="4"/>
  <c r="H120" i="4"/>
  <c r="I120" i="4"/>
  <c r="B121" i="4"/>
  <c r="C121" i="4"/>
  <c r="D121" i="4"/>
  <c r="E121" i="4"/>
  <c r="F121" i="4"/>
  <c r="G121" i="4"/>
  <c r="H121" i="4"/>
  <c r="I121" i="4"/>
  <c r="B122" i="4"/>
  <c r="C122" i="4"/>
  <c r="D122" i="4"/>
  <c r="E122" i="4"/>
  <c r="F122" i="4"/>
  <c r="G122" i="4"/>
  <c r="H122" i="4"/>
  <c r="I122" i="4"/>
  <c r="B123" i="4"/>
  <c r="C123" i="4"/>
  <c r="D123" i="4"/>
  <c r="E123" i="4"/>
  <c r="F123" i="4"/>
  <c r="G123" i="4"/>
  <c r="H123" i="4"/>
  <c r="I123" i="4"/>
  <c r="B124" i="4"/>
  <c r="C124" i="4"/>
  <c r="D124" i="4"/>
  <c r="E124" i="4"/>
  <c r="F124" i="4"/>
  <c r="G124" i="4"/>
  <c r="H124" i="4"/>
  <c r="I124" i="4"/>
  <c r="B125" i="4"/>
  <c r="C125" i="4"/>
  <c r="D125" i="4"/>
  <c r="E125" i="4"/>
  <c r="F125" i="4"/>
  <c r="G125" i="4"/>
  <c r="H125" i="4"/>
  <c r="I125" i="4"/>
  <c r="B126" i="4"/>
  <c r="C126" i="4"/>
  <c r="D126" i="4"/>
  <c r="E126" i="4"/>
  <c r="F126" i="4"/>
  <c r="G126" i="4"/>
  <c r="H126" i="4"/>
  <c r="I126" i="4"/>
  <c r="B127" i="4"/>
  <c r="C127" i="4"/>
  <c r="D127" i="4"/>
  <c r="E127" i="4"/>
  <c r="F127" i="4"/>
  <c r="G127" i="4"/>
  <c r="H127" i="4"/>
  <c r="I127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6" i="2"/>
  <c r="W7" i="2"/>
  <c r="W8" i="2"/>
  <c r="W9" i="2"/>
  <c r="W10" i="2"/>
  <c r="W11" i="2"/>
  <c r="W12" i="2"/>
  <c r="W13" i="2"/>
  <c r="W14" i="2"/>
  <c r="E6" i="2"/>
  <c r="F6" i="2"/>
  <c r="G6" i="2"/>
  <c r="H6" i="2"/>
  <c r="I6" i="2"/>
  <c r="E7" i="2"/>
  <c r="F7" i="2"/>
  <c r="G7" i="2"/>
  <c r="H7" i="2"/>
  <c r="I7" i="2"/>
  <c r="E9" i="2"/>
  <c r="F9" i="2"/>
  <c r="G9" i="2"/>
  <c r="H9" i="2"/>
  <c r="I9" i="2"/>
  <c r="E10" i="2"/>
  <c r="F10" i="2"/>
  <c r="G10" i="2"/>
  <c r="H10" i="2"/>
  <c r="I10" i="2"/>
  <c r="E11" i="2"/>
  <c r="F11" i="2"/>
  <c r="G11" i="2"/>
  <c r="H11" i="2"/>
  <c r="I11" i="2"/>
  <c r="E12" i="2"/>
  <c r="F12" i="2"/>
  <c r="G12" i="2"/>
  <c r="H12" i="2"/>
  <c r="I12" i="2"/>
  <c r="E13" i="2"/>
  <c r="F13" i="2"/>
  <c r="G13" i="2"/>
  <c r="H13" i="2"/>
  <c r="I13" i="2"/>
  <c r="E14" i="2"/>
  <c r="F14" i="2"/>
  <c r="G14" i="2"/>
  <c r="H14" i="2"/>
  <c r="I14" i="2"/>
  <c r="E15" i="2"/>
  <c r="F15" i="2"/>
  <c r="G15" i="2"/>
  <c r="H15" i="2"/>
  <c r="I15" i="2"/>
  <c r="E16" i="2"/>
  <c r="F16" i="2"/>
  <c r="G16" i="2"/>
  <c r="H16" i="2"/>
  <c r="I16" i="2"/>
  <c r="E17" i="2"/>
  <c r="F17" i="2"/>
  <c r="G17" i="2"/>
  <c r="H17" i="2"/>
  <c r="I17" i="2"/>
  <c r="E18" i="2"/>
  <c r="F18" i="2"/>
  <c r="G18" i="2"/>
  <c r="H18" i="2"/>
  <c r="I18" i="2"/>
  <c r="E19" i="2"/>
  <c r="F19" i="2"/>
  <c r="G19" i="2"/>
  <c r="H19" i="2"/>
  <c r="I19" i="2"/>
  <c r="E20" i="2"/>
  <c r="F20" i="2"/>
  <c r="G20" i="2"/>
  <c r="H20" i="2"/>
  <c r="I20" i="2"/>
  <c r="E21" i="2"/>
  <c r="F21" i="2"/>
  <c r="G21" i="2"/>
  <c r="H21" i="2"/>
  <c r="I21" i="2"/>
  <c r="E22" i="2"/>
  <c r="F22" i="2"/>
  <c r="G22" i="2"/>
  <c r="H22" i="2"/>
  <c r="I22" i="2"/>
  <c r="E23" i="2"/>
  <c r="F23" i="2"/>
  <c r="G23" i="2"/>
  <c r="H23" i="2"/>
  <c r="I23" i="2"/>
  <c r="E24" i="2"/>
  <c r="F24" i="2"/>
  <c r="G24" i="2"/>
  <c r="H24" i="2"/>
  <c r="I24" i="2"/>
  <c r="E25" i="2"/>
  <c r="F25" i="2"/>
  <c r="G25" i="2"/>
  <c r="H25" i="2"/>
  <c r="I25" i="2"/>
  <c r="E26" i="2"/>
  <c r="F26" i="2"/>
  <c r="G26" i="2"/>
  <c r="H26" i="2"/>
  <c r="I26" i="2"/>
  <c r="E27" i="2"/>
  <c r="F27" i="2"/>
  <c r="G27" i="2"/>
  <c r="H27" i="2"/>
  <c r="I27" i="2"/>
  <c r="E28" i="2"/>
  <c r="F28" i="2"/>
  <c r="G28" i="2"/>
  <c r="H28" i="2"/>
  <c r="I28" i="2"/>
  <c r="E29" i="2"/>
  <c r="F29" i="2"/>
  <c r="G29" i="2"/>
  <c r="H29" i="2"/>
  <c r="I29" i="2"/>
  <c r="E30" i="2"/>
  <c r="F30" i="2"/>
  <c r="G30" i="2"/>
  <c r="H30" i="2"/>
  <c r="I30" i="2"/>
  <c r="E31" i="2"/>
  <c r="F31" i="2"/>
  <c r="G31" i="2"/>
  <c r="H31" i="2"/>
  <c r="I31" i="2"/>
  <c r="E32" i="2"/>
  <c r="F32" i="2"/>
  <c r="G32" i="2"/>
  <c r="H32" i="2"/>
  <c r="I32" i="2"/>
  <c r="E33" i="2"/>
  <c r="F33" i="2"/>
  <c r="G33" i="2"/>
  <c r="H33" i="2"/>
  <c r="I33" i="2"/>
  <c r="E34" i="2"/>
  <c r="F34" i="2"/>
  <c r="G34" i="2"/>
  <c r="H34" i="2"/>
  <c r="I34" i="2"/>
  <c r="E35" i="2"/>
  <c r="F35" i="2"/>
  <c r="G35" i="2"/>
  <c r="H35" i="2"/>
  <c r="I35" i="2"/>
  <c r="E36" i="2"/>
  <c r="F36" i="2"/>
  <c r="G36" i="2"/>
  <c r="H36" i="2"/>
  <c r="I36" i="2"/>
  <c r="E37" i="2"/>
  <c r="F37" i="2"/>
  <c r="G37" i="2"/>
  <c r="H37" i="2"/>
  <c r="I37" i="2"/>
  <c r="E38" i="2"/>
  <c r="F38" i="2"/>
  <c r="G38" i="2"/>
  <c r="H38" i="2"/>
  <c r="I38" i="2"/>
  <c r="E39" i="2"/>
  <c r="F39" i="2"/>
  <c r="G39" i="2"/>
  <c r="H39" i="2"/>
  <c r="I39" i="2"/>
  <c r="E40" i="2"/>
  <c r="F40" i="2"/>
  <c r="G40" i="2"/>
  <c r="H40" i="2"/>
  <c r="I40" i="2"/>
  <c r="E41" i="2"/>
  <c r="F41" i="2"/>
  <c r="G41" i="2"/>
  <c r="H41" i="2"/>
  <c r="I41" i="2"/>
  <c r="E42" i="2"/>
  <c r="F42" i="2"/>
  <c r="G42" i="2"/>
  <c r="H42" i="2"/>
  <c r="I42" i="2"/>
  <c r="E43" i="2"/>
  <c r="F43" i="2"/>
  <c r="G43" i="2"/>
  <c r="H43" i="2"/>
  <c r="I43" i="2"/>
  <c r="E44" i="2"/>
  <c r="F44" i="2"/>
  <c r="G44" i="2"/>
  <c r="H44" i="2"/>
  <c r="I44" i="2"/>
  <c r="E45" i="2"/>
  <c r="F45" i="2"/>
  <c r="G45" i="2"/>
  <c r="H45" i="2"/>
  <c r="I45" i="2"/>
  <c r="E46" i="2"/>
  <c r="F46" i="2"/>
  <c r="G46" i="2"/>
  <c r="H46" i="2"/>
  <c r="I46" i="2"/>
  <c r="E47" i="2"/>
  <c r="F47" i="2"/>
  <c r="G47" i="2"/>
  <c r="H47" i="2"/>
  <c r="I47" i="2"/>
  <c r="B48" i="2"/>
  <c r="C48" i="2"/>
  <c r="D48" i="2"/>
  <c r="E48" i="2"/>
  <c r="F48" i="2"/>
  <c r="G48" i="2"/>
  <c r="H48" i="2"/>
  <c r="I48" i="2"/>
  <c r="B49" i="2"/>
  <c r="C49" i="2"/>
  <c r="D49" i="2"/>
  <c r="E49" i="2"/>
  <c r="F49" i="2"/>
  <c r="G49" i="2"/>
  <c r="H49" i="2"/>
  <c r="I49" i="2"/>
  <c r="B50" i="2"/>
  <c r="C50" i="2"/>
  <c r="D50" i="2"/>
  <c r="E50" i="2"/>
  <c r="F50" i="2"/>
  <c r="G50" i="2"/>
  <c r="H50" i="2"/>
  <c r="I50" i="2"/>
  <c r="B51" i="2"/>
  <c r="C51" i="2"/>
  <c r="D51" i="2"/>
  <c r="E51" i="2"/>
  <c r="F51" i="2"/>
  <c r="G51" i="2"/>
  <c r="H51" i="2"/>
  <c r="I51" i="2"/>
  <c r="B52" i="2"/>
  <c r="C52" i="2"/>
  <c r="D52" i="2"/>
  <c r="E52" i="2"/>
  <c r="F52" i="2"/>
  <c r="G52" i="2"/>
  <c r="H52" i="2"/>
  <c r="I52" i="2"/>
  <c r="B53" i="2"/>
  <c r="C53" i="2"/>
  <c r="D53" i="2"/>
  <c r="E53" i="2"/>
  <c r="F53" i="2"/>
  <c r="G53" i="2"/>
  <c r="H53" i="2"/>
  <c r="I53" i="2"/>
  <c r="B54" i="2"/>
  <c r="C54" i="2"/>
  <c r="D54" i="2"/>
  <c r="E54" i="2"/>
  <c r="F54" i="2"/>
  <c r="G54" i="2"/>
  <c r="H54" i="2"/>
  <c r="I54" i="2"/>
  <c r="B55" i="2"/>
  <c r="C55" i="2"/>
  <c r="D55" i="2"/>
  <c r="E55" i="2"/>
  <c r="F55" i="2"/>
  <c r="G55" i="2"/>
  <c r="H55" i="2"/>
  <c r="I55" i="2"/>
  <c r="B56" i="2"/>
  <c r="C56" i="2"/>
  <c r="D56" i="2"/>
  <c r="E56" i="2"/>
  <c r="F56" i="2"/>
  <c r="G56" i="2"/>
  <c r="H56" i="2"/>
  <c r="I56" i="2"/>
  <c r="B57" i="2"/>
  <c r="C57" i="2"/>
  <c r="D57" i="2"/>
  <c r="E57" i="2"/>
  <c r="F57" i="2"/>
  <c r="G57" i="2"/>
  <c r="H57" i="2"/>
  <c r="I57" i="2"/>
  <c r="B58" i="2"/>
  <c r="C58" i="2"/>
  <c r="D58" i="2"/>
  <c r="E58" i="2"/>
  <c r="F58" i="2"/>
  <c r="G58" i="2"/>
  <c r="H58" i="2"/>
  <c r="I58" i="2"/>
  <c r="B59" i="2"/>
  <c r="C59" i="2"/>
  <c r="D59" i="2"/>
  <c r="E59" i="2"/>
  <c r="F59" i="2"/>
  <c r="G59" i="2"/>
  <c r="H59" i="2"/>
  <c r="I59" i="2"/>
  <c r="B60" i="2"/>
  <c r="C60" i="2"/>
  <c r="D60" i="2"/>
  <c r="E60" i="2"/>
  <c r="F60" i="2"/>
  <c r="G60" i="2"/>
  <c r="H60" i="2"/>
  <c r="I60" i="2"/>
  <c r="B61" i="2"/>
  <c r="C61" i="2"/>
  <c r="D61" i="2"/>
  <c r="E61" i="2"/>
  <c r="F61" i="2"/>
  <c r="G61" i="2"/>
  <c r="H61" i="2"/>
  <c r="I61" i="2"/>
  <c r="B62" i="2"/>
  <c r="C62" i="2"/>
  <c r="D62" i="2"/>
  <c r="E62" i="2"/>
  <c r="F62" i="2"/>
  <c r="G62" i="2"/>
  <c r="H62" i="2"/>
  <c r="I62" i="2"/>
  <c r="B63" i="2"/>
  <c r="C63" i="2"/>
  <c r="D63" i="2"/>
  <c r="E63" i="2"/>
  <c r="F63" i="2"/>
  <c r="G63" i="2"/>
  <c r="H63" i="2"/>
  <c r="I63" i="2"/>
  <c r="B64" i="2"/>
  <c r="C64" i="2"/>
  <c r="D64" i="2"/>
  <c r="E64" i="2"/>
  <c r="F64" i="2"/>
  <c r="G64" i="2"/>
  <c r="H64" i="2"/>
  <c r="I64" i="2"/>
  <c r="B65" i="2"/>
  <c r="C65" i="2"/>
  <c r="D65" i="2"/>
  <c r="E65" i="2"/>
  <c r="F65" i="2"/>
  <c r="G65" i="2"/>
  <c r="H65" i="2"/>
  <c r="I65" i="2"/>
  <c r="B66" i="2"/>
  <c r="C66" i="2"/>
  <c r="D66" i="2"/>
  <c r="E66" i="2"/>
  <c r="F66" i="2"/>
  <c r="G66" i="2"/>
  <c r="H66" i="2"/>
  <c r="I66" i="2"/>
  <c r="B67" i="2"/>
  <c r="C67" i="2"/>
  <c r="D67" i="2"/>
  <c r="E67" i="2"/>
  <c r="F67" i="2"/>
  <c r="G67" i="2"/>
  <c r="H67" i="2"/>
  <c r="I67" i="2"/>
  <c r="B68" i="2"/>
  <c r="C68" i="2"/>
  <c r="D68" i="2"/>
  <c r="E68" i="2"/>
  <c r="F68" i="2"/>
  <c r="G68" i="2"/>
  <c r="H68" i="2"/>
  <c r="I68" i="2"/>
  <c r="B69" i="2"/>
  <c r="C69" i="2"/>
  <c r="D69" i="2"/>
  <c r="E69" i="2"/>
  <c r="F69" i="2"/>
  <c r="G69" i="2"/>
  <c r="H69" i="2"/>
  <c r="I69" i="2"/>
  <c r="B70" i="2"/>
  <c r="C70" i="2"/>
  <c r="D70" i="2"/>
  <c r="E70" i="2"/>
  <c r="F70" i="2"/>
  <c r="G70" i="2"/>
  <c r="H70" i="2"/>
  <c r="I70" i="2"/>
  <c r="B71" i="2"/>
  <c r="C71" i="2"/>
  <c r="D71" i="2"/>
  <c r="E71" i="2"/>
  <c r="F71" i="2"/>
  <c r="G71" i="2"/>
  <c r="H71" i="2"/>
  <c r="I71" i="2"/>
  <c r="B72" i="2"/>
  <c r="C72" i="2"/>
  <c r="D72" i="2"/>
  <c r="E72" i="2"/>
  <c r="F72" i="2"/>
  <c r="G72" i="2"/>
  <c r="H72" i="2"/>
  <c r="I72" i="2"/>
  <c r="B73" i="2"/>
  <c r="C73" i="2"/>
  <c r="D73" i="2"/>
  <c r="E73" i="2"/>
  <c r="F73" i="2"/>
  <c r="G73" i="2"/>
  <c r="H73" i="2"/>
  <c r="I73" i="2"/>
  <c r="B74" i="2"/>
  <c r="C74" i="2"/>
  <c r="D74" i="2"/>
  <c r="E74" i="2"/>
  <c r="F74" i="2"/>
  <c r="G74" i="2"/>
  <c r="H74" i="2"/>
  <c r="I74" i="2"/>
  <c r="B75" i="2"/>
  <c r="C75" i="2"/>
  <c r="D75" i="2"/>
  <c r="E75" i="2"/>
  <c r="F75" i="2"/>
  <c r="G75" i="2"/>
  <c r="H75" i="2"/>
  <c r="I75" i="2"/>
  <c r="B76" i="2"/>
  <c r="C76" i="2"/>
  <c r="D76" i="2"/>
  <c r="E76" i="2"/>
  <c r="F76" i="2"/>
  <c r="G76" i="2"/>
  <c r="H76" i="2"/>
  <c r="I76" i="2"/>
  <c r="B77" i="2"/>
  <c r="C77" i="2"/>
  <c r="D77" i="2"/>
  <c r="E77" i="2"/>
  <c r="F77" i="2"/>
  <c r="G77" i="2"/>
  <c r="H77" i="2"/>
  <c r="I77" i="2"/>
  <c r="B78" i="2"/>
  <c r="C78" i="2"/>
  <c r="D78" i="2"/>
  <c r="E78" i="2"/>
  <c r="F78" i="2"/>
  <c r="G78" i="2"/>
  <c r="H78" i="2"/>
  <c r="I78" i="2"/>
  <c r="B79" i="2"/>
  <c r="C79" i="2"/>
  <c r="D79" i="2"/>
  <c r="E79" i="2"/>
  <c r="F79" i="2"/>
  <c r="G79" i="2"/>
  <c r="H79" i="2"/>
  <c r="I79" i="2"/>
  <c r="B80" i="2"/>
  <c r="C80" i="2"/>
  <c r="D80" i="2"/>
  <c r="E80" i="2"/>
  <c r="F80" i="2"/>
  <c r="G80" i="2"/>
  <c r="H80" i="2"/>
  <c r="I80" i="2"/>
  <c r="B81" i="2"/>
  <c r="C81" i="2"/>
  <c r="D81" i="2"/>
  <c r="E81" i="2"/>
  <c r="F81" i="2"/>
  <c r="G81" i="2"/>
  <c r="H81" i="2"/>
  <c r="I81" i="2"/>
  <c r="B82" i="2"/>
  <c r="C82" i="2"/>
  <c r="D82" i="2"/>
  <c r="E82" i="2"/>
  <c r="F82" i="2"/>
  <c r="G82" i="2"/>
  <c r="H82" i="2"/>
  <c r="I82" i="2"/>
  <c r="B83" i="2"/>
  <c r="C83" i="2"/>
  <c r="D83" i="2"/>
  <c r="E83" i="2"/>
  <c r="F83" i="2"/>
  <c r="G83" i="2"/>
  <c r="H83" i="2"/>
  <c r="I83" i="2"/>
  <c r="B84" i="2"/>
  <c r="C84" i="2"/>
  <c r="D84" i="2"/>
  <c r="E84" i="2"/>
  <c r="F84" i="2"/>
  <c r="G84" i="2"/>
  <c r="H84" i="2"/>
  <c r="I84" i="2"/>
  <c r="B85" i="2"/>
  <c r="C85" i="2"/>
  <c r="D85" i="2"/>
  <c r="E85" i="2"/>
  <c r="F85" i="2"/>
  <c r="G85" i="2"/>
  <c r="H85" i="2"/>
  <c r="I85" i="2"/>
  <c r="B86" i="2"/>
  <c r="C86" i="2"/>
  <c r="D86" i="2"/>
  <c r="E86" i="2"/>
  <c r="F86" i="2"/>
  <c r="G86" i="2"/>
  <c r="H86" i="2"/>
  <c r="I86" i="2"/>
  <c r="B87" i="2"/>
  <c r="C87" i="2"/>
  <c r="D87" i="2"/>
  <c r="E87" i="2"/>
  <c r="F87" i="2"/>
  <c r="G87" i="2"/>
  <c r="H87" i="2"/>
  <c r="I87" i="2"/>
  <c r="B88" i="2"/>
  <c r="C88" i="2"/>
  <c r="D88" i="2"/>
  <c r="E88" i="2"/>
  <c r="F88" i="2"/>
  <c r="G88" i="2"/>
  <c r="H88" i="2"/>
  <c r="I88" i="2"/>
  <c r="B89" i="2"/>
  <c r="C89" i="2"/>
  <c r="D89" i="2"/>
  <c r="E89" i="2"/>
  <c r="F89" i="2"/>
  <c r="G89" i="2"/>
  <c r="H89" i="2"/>
  <c r="I89" i="2"/>
  <c r="B90" i="2"/>
  <c r="C90" i="2"/>
  <c r="D90" i="2"/>
  <c r="E90" i="2"/>
  <c r="F90" i="2"/>
  <c r="G90" i="2"/>
  <c r="H90" i="2"/>
  <c r="I90" i="2"/>
  <c r="B91" i="2"/>
  <c r="C91" i="2"/>
  <c r="D91" i="2"/>
  <c r="E91" i="2"/>
  <c r="F91" i="2"/>
  <c r="G91" i="2"/>
  <c r="H91" i="2"/>
  <c r="I91" i="2"/>
  <c r="B92" i="2"/>
  <c r="C92" i="2"/>
  <c r="D92" i="2"/>
  <c r="E92" i="2"/>
  <c r="F92" i="2"/>
  <c r="G92" i="2"/>
  <c r="H92" i="2"/>
  <c r="I92" i="2"/>
  <c r="B93" i="2"/>
  <c r="C93" i="2"/>
  <c r="D93" i="2"/>
  <c r="E93" i="2"/>
  <c r="F93" i="2"/>
  <c r="G93" i="2"/>
  <c r="H93" i="2"/>
  <c r="I93" i="2"/>
  <c r="B94" i="2"/>
  <c r="C94" i="2"/>
  <c r="D94" i="2"/>
  <c r="E94" i="2"/>
  <c r="F94" i="2"/>
  <c r="G94" i="2"/>
  <c r="H94" i="2"/>
  <c r="I94" i="2"/>
  <c r="B95" i="2"/>
  <c r="C95" i="2"/>
  <c r="D95" i="2"/>
  <c r="E95" i="2"/>
  <c r="F95" i="2"/>
  <c r="G95" i="2"/>
  <c r="H95" i="2"/>
  <c r="I95" i="2"/>
  <c r="B96" i="2"/>
  <c r="C96" i="2"/>
  <c r="D96" i="2"/>
  <c r="E96" i="2"/>
  <c r="F96" i="2"/>
  <c r="G96" i="2"/>
  <c r="H96" i="2"/>
  <c r="I96" i="2"/>
  <c r="B97" i="2"/>
  <c r="C97" i="2"/>
  <c r="D97" i="2"/>
  <c r="E97" i="2"/>
  <c r="F97" i="2"/>
  <c r="G97" i="2"/>
  <c r="H97" i="2"/>
  <c r="I97" i="2"/>
  <c r="B98" i="2"/>
  <c r="C98" i="2"/>
  <c r="D98" i="2"/>
  <c r="E98" i="2"/>
  <c r="F98" i="2"/>
  <c r="G98" i="2"/>
  <c r="H98" i="2"/>
  <c r="I98" i="2"/>
  <c r="B99" i="2"/>
  <c r="C99" i="2"/>
  <c r="D99" i="2"/>
  <c r="E99" i="2"/>
  <c r="F99" i="2"/>
  <c r="G99" i="2"/>
  <c r="H99" i="2"/>
  <c r="I99" i="2"/>
  <c r="B100" i="2"/>
  <c r="C100" i="2"/>
  <c r="D100" i="2"/>
  <c r="E100" i="2"/>
  <c r="F100" i="2"/>
  <c r="G100" i="2"/>
  <c r="H100" i="2"/>
  <c r="I100" i="2"/>
  <c r="B101" i="2"/>
  <c r="C101" i="2"/>
  <c r="D101" i="2"/>
  <c r="E101" i="2"/>
  <c r="F101" i="2"/>
  <c r="G101" i="2"/>
  <c r="H101" i="2"/>
  <c r="I101" i="2"/>
  <c r="B102" i="2"/>
  <c r="C102" i="2"/>
  <c r="D102" i="2"/>
  <c r="E102" i="2"/>
  <c r="F102" i="2"/>
  <c r="G102" i="2"/>
  <c r="H102" i="2"/>
  <c r="I102" i="2"/>
  <c r="B103" i="2"/>
  <c r="C103" i="2"/>
  <c r="D103" i="2"/>
  <c r="E103" i="2"/>
  <c r="F103" i="2"/>
  <c r="G103" i="2"/>
  <c r="H103" i="2"/>
  <c r="I103" i="2"/>
  <c r="B104" i="2"/>
  <c r="C104" i="2"/>
  <c r="D104" i="2"/>
  <c r="E104" i="2"/>
  <c r="F104" i="2"/>
  <c r="G104" i="2"/>
  <c r="H104" i="2"/>
  <c r="I104" i="2"/>
  <c r="B105" i="2"/>
  <c r="C105" i="2"/>
  <c r="D105" i="2"/>
  <c r="E105" i="2"/>
  <c r="F105" i="2"/>
  <c r="G105" i="2"/>
  <c r="H105" i="2"/>
  <c r="I105" i="2"/>
  <c r="B106" i="2"/>
  <c r="C106" i="2"/>
  <c r="D106" i="2"/>
  <c r="E106" i="2"/>
  <c r="F106" i="2"/>
  <c r="G106" i="2"/>
  <c r="H106" i="2"/>
  <c r="I106" i="2"/>
  <c r="B107" i="2"/>
  <c r="C107" i="2"/>
  <c r="D107" i="2"/>
  <c r="E107" i="2"/>
  <c r="F107" i="2"/>
  <c r="G107" i="2"/>
  <c r="H107" i="2"/>
  <c r="I107" i="2"/>
  <c r="B108" i="2"/>
  <c r="C108" i="2"/>
  <c r="D108" i="2"/>
  <c r="E108" i="2"/>
  <c r="F108" i="2"/>
  <c r="G108" i="2"/>
  <c r="H108" i="2"/>
  <c r="I108" i="2"/>
  <c r="B109" i="2"/>
  <c r="C109" i="2"/>
  <c r="D109" i="2"/>
  <c r="E109" i="2"/>
  <c r="F109" i="2"/>
  <c r="G109" i="2"/>
  <c r="H109" i="2"/>
  <c r="I109" i="2"/>
  <c r="B110" i="2"/>
  <c r="C110" i="2"/>
  <c r="D110" i="2"/>
  <c r="E110" i="2"/>
  <c r="F110" i="2"/>
  <c r="G110" i="2"/>
  <c r="H110" i="2"/>
  <c r="I110" i="2"/>
  <c r="B111" i="2"/>
  <c r="C111" i="2"/>
  <c r="D111" i="2"/>
  <c r="E111" i="2"/>
  <c r="F111" i="2"/>
  <c r="G111" i="2"/>
  <c r="H111" i="2"/>
  <c r="I111" i="2"/>
  <c r="B112" i="2"/>
  <c r="C112" i="2"/>
  <c r="D112" i="2"/>
  <c r="E112" i="2"/>
  <c r="F112" i="2"/>
  <c r="G112" i="2"/>
  <c r="H112" i="2"/>
  <c r="I112" i="2"/>
  <c r="B113" i="2"/>
  <c r="C113" i="2"/>
  <c r="D113" i="2"/>
  <c r="E113" i="2"/>
  <c r="F113" i="2"/>
  <c r="G113" i="2"/>
  <c r="H113" i="2"/>
  <c r="I113" i="2"/>
  <c r="B114" i="2"/>
  <c r="C114" i="2"/>
  <c r="D114" i="2"/>
  <c r="E114" i="2"/>
  <c r="F114" i="2"/>
  <c r="G114" i="2"/>
  <c r="H114" i="2"/>
  <c r="I114" i="2"/>
  <c r="B115" i="2"/>
  <c r="C115" i="2"/>
  <c r="D115" i="2"/>
  <c r="E115" i="2"/>
  <c r="F115" i="2"/>
  <c r="G115" i="2"/>
  <c r="H115" i="2"/>
  <c r="I115" i="2"/>
  <c r="B116" i="2"/>
  <c r="C116" i="2"/>
  <c r="D116" i="2"/>
  <c r="E116" i="2"/>
  <c r="F116" i="2"/>
  <c r="G116" i="2"/>
  <c r="H116" i="2"/>
  <c r="I116" i="2"/>
  <c r="B117" i="2"/>
  <c r="C117" i="2"/>
  <c r="D117" i="2"/>
  <c r="E117" i="2"/>
  <c r="F117" i="2"/>
  <c r="G117" i="2"/>
  <c r="H117" i="2"/>
  <c r="I117" i="2"/>
  <c r="B118" i="2"/>
  <c r="C118" i="2"/>
  <c r="D118" i="2"/>
  <c r="E118" i="2"/>
  <c r="F118" i="2"/>
  <c r="G118" i="2"/>
  <c r="H118" i="2"/>
  <c r="I118" i="2"/>
  <c r="B119" i="2"/>
  <c r="C119" i="2"/>
  <c r="D119" i="2"/>
  <c r="E119" i="2"/>
  <c r="F119" i="2"/>
  <c r="G119" i="2"/>
  <c r="H119" i="2"/>
  <c r="I119" i="2"/>
  <c r="B120" i="2"/>
  <c r="C120" i="2"/>
  <c r="D120" i="2"/>
  <c r="E120" i="2"/>
  <c r="F120" i="2"/>
  <c r="G120" i="2"/>
  <c r="H120" i="2"/>
  <c r="I120" i="2"/>
  <c r="B121" i="2"/>
  <c r="C121" i="2"/>
  <c r="D121" i="2"/>
  <c r="E121" i="2"/>
  <c r="F121" i="2"/>
  <c r="G121" i="2"/>
  <c r="H121" i="2"/>
  <c r="I121" i="2"/>
  <c r="B122" i="2"/>
  <c r="C122" i="2"/>
  <c r="D122" i="2"/>
  <c r="E122" i="2"/>
  <c r="F122" i="2"/>
  <c r="G122" i="2"/>
  <c r="H122" i="2"/>
  <c r="I122" i="2"/>
  <c r="B123" i="2"/>
  <c r="C123" i="2"/>
  <c r="D123" i="2"/>
  <c r="E123" i="2"/>
  <c r="F123" i="2"/>
  <c r="G123" i="2"/>
  <c r="H123" i="2"/>
  <c r="I123" i="2"/>
  <c r="B124" i="2"/>
  <c r="C124" i="2"/>
  <c r="D124" i="2"/>
  <c r="E124" i="2"/>
  <c r="F124" i="2"/>
  <c r="G124" i="2"/>
  <c r="H124" i="2"/>
  <c r="I124" i="2"/>
  <c r="B125" i="2"/>
  <c r="C125" i="2"/>
  <c r="D125" i="2"/>
  <c r="E125" i="2"/>
  <c r="F125" i="2"/>
  <c r="G125" i="2"/>
  <c r="H125" i="2"/>
  <c r="I125" i="2"/>
  <c r="B126" i="2"/>
  <c r="C126" i="2"/>
  <c r="D126" i="2"/>
  <c r="E126" i="2"/>
  <c r="F126" i="2"/>
  <c r="G126" i="2"/>
  <c r="H126" i="2"/>
  <c r="I126" i="2"/>
  <c r="B127" i="2"/>
  <c r="C127" i="2"/>
  <c r="D127" i="2"/>
  <c r="E127" i="2"/>
  <c r="F127" i="2"/>
  <c r="G127" i="2"/>
  <c r="H127" i="2"/>
  <c r="I127" i="2"/>
  <c r="B128" i="2"/>
  <c r="C128" i="2"/>
  <c r="D128" i="2"/>
  <c r="E128" i="2"/>
  <c r="F128" i="2"/>
  <c r="G128" i="2"/>
  <c r="H128" i="2"/>
  <c r="I128" i="2"/>
  <c r="B129" i="2"/>
  <c r="C129" i="2"/>
  <c r="D129" i="2"/>
  <c r="E129" i="2"/>
  <c r="F129" i="2"/>
  <c r="G129" i="2"/>
  <c r="H129" i="2"/>
  <c r="I129" i="2"/>
  <c r="B130" i="2"/>
  <c r="C130" i="2"/>
  <c r="D130" i="2"/>
  <c r="E130" i="2"/>
  <c r="F130" i="2"/>
  <c r="G130" i="2"/>
  <c r="H130" i="2"/>
  <c r="I130" i="2"/>
  <c r="B131" i="2"/>
  <c r="C131" i="2"/>
  <c r="D131" i="2"/>
  <c r="E131" i="2"/>
  <c r="F131" i="2"/>
  <c r="G131" i="2"/>
  <c r="H131" i="2"/>
  <c r="I131" i="2"/>
  <c r="B132" i="2"/>
  <c r="C132" i="2"/>
  <c r="D132" i="2"/>
  <c r="E132" i="2"/>
  <c r="F132" i="2"/>
  <c r="G132" i="2"/>
  <c r="H132" i="2"/>
  <c r="I132" i="2"/>
  <c r="B133" i="2"/>
  <c r="C133" i="2"/>
  <c r="D133" i="2"/>
  <c r="E133" i="2"/>
  <c r="F133" i="2"/>
  <c r="G133" i="2"/>
  <c r="H133" i="2"/>
  <c r="I133" i="2"/>
  <c r="B134" i="2"/>
  <c r="C134" i="2"/>
  <c r="D134" i="2"/>
  <c r="E134" i="2"/>
  <c r="F134" i="2"/>
  <c r="G134" i="2"/>
  <c r="H134" i="2"/>
  <c r="I134" i="2"/>
  <c r="B135" i="2"/>
  <c r="C135" i="2"/>
  <c r="D135" i="2"/>
  <c r="E135" i="2"/>
  <c r="F135" i="2"/>
  <c r="G135" i="2"/>
  <c r="H135" i="2"/>
  <c r="I135" i="2"/>
  <c r="B136" i="2"/>
  <c r="C136" i="2"/>
  <c r="D136" i="2"/>
  <c r="E136" i="2"/>
  <c r="F136" i="2"/>
  <c r="G136" i="2"/>
  <c r="H136" i="2"/>
  <c r="I136" i="2"/>
  <c r="B137" i="2"/>
  <c r="C137" i="2"/>
  <c r="D137" i="2"/>
  <c r="E137" i="2"/>
  <c r="F137" i="2"/>
  <c r="G137" i="2"/>
  <c r="H137" i="2"/>
  <c r="I137" i="2"/>
  <c r="B138" i="2"/>
  <c r="C138" i="2"/>
  <c r="D138" i="2"/>
  <c r="E138" i="2"/>
  <c r="F138" i="2"/>
  <c r="G138" i="2"/>
  <c r="H138" i="2"/>
  <c r="I138" i="2"/>
  <c r="B139" i="2"/>
  <c r="C139" i="2"/>
  <c r="D139" i="2"/>
  <c r="E139" i="2"/>
  <c r="F139" i="2"/>
  <c r="G139" i="2"/>
  <c r="H139" i="2"/>
  <c r="I139" i="2"/>
  <c r="B140" i="2"/>
  <c r="C140" i="2"/>
  <c r="D140" i="2"/>
  <c r="E140" i="2"/>
  <c r="F140" i="2"/>
  <c r="G140" i="2"/>
  <c r="H140" i="2"/>
  <c r="I140" i="2"/>
  <c r="B141" i="2"/>
  <c r="C141" i="2"/>
  <c r="D141" i="2"/>
  <c r="E141" i="2"/>
  <c r="F141" i="2"/>
  <c r="G141" i="2"/>
  <c r="H141" i="2"/>
  <c r="I141" i="2"/>
  <c r="B142" i="2"/>
  <c r="C142" i="2"/>
  <c r="D142" i="2"/>
  <c r="E142" i="2"/>
  <c r="F142" i="2"/>
  <c r="G142" i="2"/>
  <c r="H142" i="2"/>
  <c r="I142" i="2"/>
  <c r="B143" i="2"/>
  <c r="C143" i="2"/>
  <c r="D143" i="2"/>
  <c r="E143" i="2"/>
  <c r="F143" i="2"/>
  <c r="G143" i="2"/>
  <c r="H143" i="2"/>
  <c r="I143" i="2"/>
  <c r="B144" i="2"/>
  <c r="C144" i="2"/>
  <c r="D144" i="2"/>
  <c r="E144" i="2"/>
  <c r="F144" i="2"/>
  <c r="G144" i="2"/>
  <c r="H144" i="2"/>
  <c r="I144" i="2"/>
  <c r="B145" i="2"/>
  <c r="C145" i="2"/>
  <c r="D145" i="2"/>
  <c r="E145" i="2"/>
  <c r="F145" i="2"/>
  <c r="G145" i="2"/>
  <c r="H145" i="2"/>
  <c r="I145" i="2"/>
  <c r="B146" i="2"/>
  <c r="C146" i="2"/>
  <c r="D146" i="2"/>
  <c r="E146" i="2"/>
  <c r="F146" i="2"/>
  <c r="G146" i="2"/>
  <c r="H146" i="2"/>
  <c r="I146" i="2"/>
  <c r="B147" i="2"/>
  <c r="C147" i="2"/>
  <c r="D147" i="2"/>
  <c r="E147" i="2"/>
  <c r="F147" i="2"/>
  <c r="G147" i="2"/>
  <c r="H147" i="2"/>
  <c r="I147" i="2"/>
  <c r="B148" i="2"/>
  <c r="C148" i="2"/>
  <c r="D148" i="2"/>
  <c r="E148" i="2"/>
  <c r="F148" i="2"/>
  <c r="G148" i="2"/>
  <c r="H148" i="2"/>
  <c r="I148" i="2"/>
  <c r="B149" i="2"/>
  <c r="C149" i="2"/>
  <c r="D149" i="2"/>
  <c r="E149" i="2"/>
  <c r="F149" i="2"/>
  <c r="G149" i="2"/>
  <c r="H149" i="2"/>
  <c r="I149" i="2"/>
  <c r="B150" i="2"/>
  <c r="C150" i="2"/>
  <c r="D150" i="2"/>
  <c r="E150" i="2"/>
  <c r="F150" i="2"/>
  <c r="G150" i="2"/>
  <c r="H150" i="2"/>
  <c r="I150" i="2"/>
  <c r="B151" i="2"/>
  <c r="C151" i="2"/>
  <c r="D151" i="2"/>
  <c r="E151" i="2"/>
  <c r="F151" i="2"/>
  <c r="G151" i="2"/>
  <c r="H151" i="2"/>
  <c r="I151" i="2"/>
  <c r="B152" i="2"/>
  <c r="C152" i="2"/>
  <c r="D152" i="2"/>
  <c r="E152" i="2"/>
  <c r="F152" i="2"/>
  <c r="G152" i="2"/>
  <c r="H152" i="2"/>
  <c r="I152" i="2"/>
  <c r="B153" i="2"/>
  <c r="C153" i="2"/>
  <c r="D153" i="2"/>
  <c r="E153" i="2"/>
  <c r="F153" i="2"/>
  <c r="G153" i="2"/>
  <c r="H153" i="2"/>
  <c r="I153" i="2"/>
  <c r="B154" i="2"/>
  <c r="C154" i="2"/>
  <c r="D154" i="2"/>
  <c r="E154" i="2"/>
  <c r="F154" i="2"/>
  <c r="G154" i="2"/>
  <c r="H154" i="2"/>
  <c r="I154" i="2"/>
  <c r="B155" i="2"/>
  <c r="C155" i="2"/>
  <c r="D155" i="2"/>
  <c r="E155" i="2"/>
  <c r="F155" i="2"/>
  <c r="G155" i="2"/>
  <c r="H155" i="2"/>
  <c r="I155" i="2"/>
  <c r="B156" i="2"/>
  <c r="C156" i="2"/>
  <c r="D156" i="2"/>
  <c r="E156" i="2"/>
  <c r="F156" i="2"/>
  <c r="G156" i="2"/>
  <c r="H156" i="2"/>
  <c r="I156" i="2"/>
  <c r="B157" i="2"/>
  <c r="C157" i="2"/>
  <c r="D157" i="2"/>
  <c r="E157" i="2"/>
  <c r="F157" i="2"/>
  <c r="G157" i="2"/>
  <c r="H157" i="2"/>
  <c r="I157" i="2"/>
  <c r="B158" i="2"/>
  <c r="C158" i="2"/>
  <c r="D158" i="2"/>
  <c r="E158" i="2"/>
  <c r="F158" i="2"/>
  <c r="G158" i="2"/>
  <c r="H158" i="2"/>
  <c r="I158" i="2"/>
  <c r="B159" i="2"/>
  <c r="C159" i="2"/>
  <c r="D159" i="2"/>
  <c r="E159" i="2"/>
  <c r="F159" i="2"/>
  <c r="G159" i="2"/>
  <c r="H159" i="2"/>
  <c r="I159" i="2"/>
  <c r="B160" i="2"/>
  <c r="C160" i="2"/>
  <c r="D160" i="2"/>
  <c r="E160" i="2"/>
  <c r="F160" i="2"/>
  <c r="G160" i="2"/>
  <c r="H160" i="2"/>
  <c r="I160" i="2"/>
  <c r="B161" i="2"/>
  <c r="C161" i="2"/>
  <c r="D161" i="2"/>
  <c r="E161" i="2"/>
  <c r="F161" i="2"/>
  <c r="G161" i="2"/>
  <c r="H161" i="2"/>
  <c r="I161" i="2"/>
  <c r="B162" i="2"/>
  <c r="C162" i="2"/>
  <c r="D162" i="2"/>
  <c r="E162" i="2"/>
  <c r="F162" i="2"/>
  <c r="G162" i="2"/>
  <c r="H162" i="2"/>
  <c r="I162" i="2"/>
  <c r="B163" i="2"/>
  <c r="C163" i="2"/>
  <c r="D163" i="2"/>
  <c r="E163" i="2"/>
  <c r="F163" i="2"/>
  <c r="G163" i="2"/>
  <c r="H163" i="2"/>
  <c r="I163" i="2"/>
  <c r="B164" i="2"/>
  <c r="C164" i="2"/>
  <c r="D164" i="2"/>
  <c r="E164" i="2"/>
  <c r="F164" i="2"/>
  <c r="G164" i="2"/>
  <c r="H164" i="2"/>
  <c r="I164" i="2"/>
  <c r="B165" i="2"/>
  <c r="C165" i="2"/>
  <c r="D165" i="2"/>
  <c r="E165" i="2"/>
  <c r="F165" i="2"/>
  <c r="G165" i="2"/>
  <c r="H165" i="2"/>
  <c r="I165" i="2"/>
  <c r="B166" i="2"/>
  <c r="C166" i="2"/>
  <c r="D166" i="2"/>
  <c r="E166" i="2"/>
  <c r="F166" i="2"/>
  <c r="G166" i="2"/>
  <c r="H166" i="2"/>
  <c r="I166" i="2"/>
  <c r="B167" i="2"/>
  <c r="C167" i="2"/>
  <c r="D167" i="2"/>
  <c r="E167" i="2"/>
  <c r="F167" i="2"/>
  <c r="G167" i="2"/>
  <c r="H167" i="2"/>
  <c r="I167" i="2"/>
  <c r="B168" i="2"/>
  <c r="C168" i="2"/>
  <c r="D168" i="2"/>
  <c r="E168" i="2"/>
  <c r="F168" i="2"/>
  <c r="G168" i="2"/>
  <c r="H168" i="2"/>
  <c r="I168" i="2"/>
  <c r="B169" i="2"/>
  <c r="C169" i="2"/>
  <c r="D169" i="2"/>
  <c r="E169" i="2"/>
  <c r="F169" i="2"/>
  <c r="G169" i="2"/>
  <c r="H169" i="2"/>
  <c r="I169" i="2"/>
  <c r="B170" i="2"/>
  <c r="C170" i="2"/>
  <c r="D170" i="2"/>
  <c r="E170" i="2"/>
  <c r="F170" i="2"/>
  <c r="G170" i="2"/>
  <c r="H170" i="2"/>
  <c r="I170" i="2"/>
  <c r="B171" i="2"/>
  <c r="C171" i="2"/>
  <c r="D171" i="2"/>
  <c r="E171" i="2"/>
  <c r="F171" i="2"/>
  <c r="G171" i="2"/>
  <c r="H171" i="2"/>
  <c r="I171" i="2"/>
  <c r="B172" i="2"/>
  <c r="C172" i="2"/>
  <c r="D172" i="2"/>
  <c r="E172" i="2"/>
  <c r="F172" i="2"/>
  <c r="G172" i="2"/>
  <c r="H172" i="2"/>
  <c r="I172" i="2"/>
  <c r="B173" i="2"/>
  <c r="C173" i="2"/>
  <c r="D173" i="2"/>
  <c r="E173" i="2"/>
  <c r="F173" i="2"/>
  <c r="G173" i="2"/>
  <c r="H173" i="2"/>
  <c r="I173" i="2"/>
  <c r="B174" i="2"/>
  <c r="C174" i="2"/>
  <c r="D174" i="2"/>
  <c r="E174" i="2"/>
  <c r="F174" i="2"/>
  <c r="G174" i="2"/>
  <c r="H174" i="2"/>
  <c r="I174" i="2"/>
  <c r="B175" i="2"/>
  <c r="C175" i="2"/>
  <c r="D175" i="2"/>
  <c r="E175" i="2"/>
  <c r="F175" i="2"/>
  <c r="G175" i="2"/>
  <c r="H175" i="2"/>
  <c r="I175" i="2"/>
  <c r="B176" i="2"/>
  <c r="C176" i="2"/>
  <c r="D176" i="2"/>
  <c r="E176" i="2"/>
  <c r="F176" i="2"/>
  <c r="G176" i="2"/>
  <c r="H176" i="2"/>
  <c r="I176" i="2"/>
  <c r="B177" i="2"/>
  <c r="C177" i="2"/>
  <c r="D177" i="2"/>
  <c r="E177" i="2"/>
  <c r="F177" i="2"/>
  <c r="G177" i="2"/>
  <c r="H177" i="2"/>
  <c r="I177" i="2"/>
  <c r="B178" i="2"/>
  <c r="C178" i="2"/>
  <c r="D178" i="2"/>
  <c r="E178" i="2"/>
  <c r="F178" i="2"/>
  <c r="G178" i="2"/>
  <c r="H178" i="2"/>
  <c r="I178" i="2"/>
  <c r="B179" i="2"/>
  <c r="C179" i="2"/>
  <c r="D179" i="2"/>
  <c r="E179" i="2"/>
  <c r="F179" i="2"/>
  <c r="G179" i="2"/>
  <c r="H179" i="2"/>
  <c r="I179" i="2"/>
  <c r="B180" i="2"/>
  <c r="C180" i="2"/>
  <c r="D180" i="2"/>
  <c r="E180" i="2"/>
  <c r="F180" i="2"/>
  <c r="G180" i="2"/>
  <c r="H180" i="2"/>
  <c r="I180" i="2"/>
  <c r="B181" i="2"/>
  <c r="C181" i="2"/>
  <c r="D181" i="2"/>
  <c r="E181" i="2"/>
  <c r="F181" i="2"/>
  <c r="G181" i="2"/>
  <c r="H181" i="2"/>
  <c r="I181" i="2"/>
  <c r="B182" i="2"/>
  <c r="C182" i="2"/>
  <c r="D182" i="2"/>
  <c r="E182" i="2"/>
  <c r="F182" i="2"/>
  <c r="G182" i="2"/>
  <c r="H182" i="2"/>
  <c r="I182" i="2"/>
  <c r="B183" i="2"/>
  <c r="C183" i="2"/>
  <c r="D183" i="2"/>
  <c r="E183" i="2"/>
  <c r="F183" i="2"/>
  <c r="G183" i="2"/>
  <c r="H183" i="2"/>
  <c r="I183" i="2"/>
  <c r="B184" i="2"/>
  <c r="C184" i="2"/>
  <c r="D184" i="2"/>
  <c r="E184" i="2"/>
  <c r="F184" i="2"/>
  <c r="G184" i="2"/>
  <c r="H184" i="2"/>
  <c r="I184" i="2"/>
  <c r="B185" i="2"/>
  <c r="C185" i="2"/>
  <c r="D185" i="2"/>
  <c r="E185" i="2"/>
  <c r="F185" i="2"/>
  <c r="G185" i="2"/>
  <c r="H185" i="2"/>
  <c r="I185" i="2"/>
  <c r="B186" i="2"/>
  <c r="C186" i="2"/>
  <c r="D186" i="2"/>
  <c r="E186" i="2"/>
  <c r="F186" i="2"/>
  <c r="G186" i="2"/>
  <c r="H186" i="2"/>
  <c r="I186" i="2"/>
  <c r="B187" i="2"/>
  <c r="C187" i="2"/>
  <c r="D187" i="2"/>
  <c r="E187" i="2"/>
  <c r="F187" i="2"/>
  <c r="G187" i="2"/>
  <c r="H187" i="2"/>
  <c r="I187" i="2"/>
  <c r="B188" i="2"/>
  <c r="C188" i="2"/>
  <c r="D188" i="2"/>
  <c r="E188" i="2"/>
  <c r="F188" i="2"/>
  <c r="G188" i="2"/>
  <c r="H188" i="2"/>
  <c r="I188" i="2"/>
  <c r="B189" i="2"/>
  <c r="C189" i="2"/>
  <c r="D189" i="2"/>
  <c r="E189" i="2"/>
  <c r="F189" i="2"/>
  <c r="G189" i="2"/>
  <c r="H189" i="2"/>
  <c r="I189" i="2"/>
  <c r="B190" i="2"/>
  <c r="C190" i="2"/>
  <c r="D190" i="2"/>
  <c r="E190" i="2"/>
  <c r="F190" i="2"/>
  <c r="G190" i="2"/>
  <c r="H190" i="2"/>
  <c r="I190" i="2"/>
  <c r="B191" i="2"/>
  <c r="C191" i="2"/>
  <c r="D191" i="2"/>
  <c r="E191" i="2"/>
  <c r="F191" i="2"/>
  <c r="G191" i="2"/>
  <c r="H191" i="2"/>
  <c r="I191" i="2"/>
  <c r="B192" i="2"/>
  <c r="C192" i="2"/>
  <c r="D192" i="2"/>
  <c r="E192" i="2"/>
  <c r="F192" i="2"/>
  <c r="G192" i="2"/>
  <c r="H192" i="2"/>
  <c r="I192" i="2"/>
  <c r="B193" i="2"/>
  <c r="C193" i="2"/>
  <c r="D193" i="2"/>
  <c r="E193" i="2"/>
  <c r="F193" i="2"/>
  <c r="G193" i="2"/>
  <c r="H193" i="2"/>
  <c r="I193" i="2"/>
  <c r="B194" i="2"/>
  <c r="C194" i="2"/>
  <c r="D194" i="2"/>
  <c r="E194" i="2"/>
  <c r="F194" i="2"/>
  <c r="G194" i="2"/>
  <c r="H194" i="2"/>
  <c r="I194" i="2"/>
  <c r="B195" i="2"/>
  <c r="C195" i="2"/>
  <c r="D195" i="2"/>
  <c r="E195" i="2"/>
  <c r="F195" i="2"/>
  <c r="G195" i="2"/>
  <c r="H195" i="2"/>
  <c r="I195" i="2"/>
  <c r="B196" i="2"/>
  <c r="C196" i="2"/>
  <c r="D196" i="2"/>
  <c r="E196" i="2"/>
  <c r="F196" i="2"/>
  <c r="G196" i="2"/>
  <c r="H196" i="2"/>
  <c r="I196" i="2"/>
  <c r="B197" i="2"/>
  <c r="C197" i="2"/>
  <c r="D197" i="2"/>
  <c r="E197" i="2"/>
  <c r="F197" i="2"/>
  <c r="G197" i="2"/>
  <c r="H197" i="2"/>
  <c r="I197" i="2"/>
  <c r="B198" i="2"/>
  <c r="C198" i="2"/>
  <c r="D198" i="2"/>
  <c r="E198" i="2"/>
  <c r="F198" i="2"/>
  <c r="G198" i="2"/>
  <c r="H198" i="2"/>
  <c r="I198" i="2"/>
  <c r="B199" i="2"/>
  <c r="C199" i="2"/>
  <c r="D199" i="2"/>
  <c r="E199" i="2"/>
  <c r="F199" i="2"/>
  <c r="G199" i="2"/>
  <c r="H199" i="2"/>
  <c r="I199" i="2"/>
  <c r="B200" i="2"/>
  <c r="C200" i="2"/>
  <c r="D200" i="2"/>
  <c r="E200" i="2"/>
  <c r="F200" i="2"/>
  <c r="G200" i="2"/>
  <c r="H200" i="2"/>
  <c r="I200" i="2"/>
  <c r="B201" i="2"/>
  <c r="C201" i="2"/>
  <c r="D201" i="2"/>
  <c r="E201" i="2"/>
  <c r="F201" i="2"/>
  <c r="G201" i="2"/>
  <c r="H201" i="2"/>
  <c r="I201" i="2"/>
  <c r="B202" i="2"/>
  <c r="C202" i="2"/>
  <c r="D202" i="2"/>
  <c r="E202" i="2"/>
  <c r="F202" i="2"/>
  <c r="G202" i="2"/>
  <c r="H202" i="2"/>
  <c r="I202" i="2"/>
  <c r="B203" i="2"/>
  <c r="C203" i="2"/>
  <c r="D203" i="2"/>
  <c r="E203" i="2"/>
  <c r="F203" i="2"/>
  <c r="G203" i="2"/>
  <c r="H203" i="2"/>
  <c r="I203" i="2"/>
  <c r="B204" i="2"/>
  <c r="C204" i="2"/>
  <c r="D204" i="2"/>
  <c r="E204" i="2"/>
  <c r="F204" i="2"/>
  <c r="G204" i="2"/>
  <c r="H204" i="2"/>
  <c r="I204" i="2"/>
  <c r="B205" i="2"/>
  <c r="C205" i="2"/>
  <c r="D205" i="2"/>
  <c r="E205" i="2"/>
  <c r="F205" i="2"/>
  <c r="G205" i="2"/>
  <c r="H205" i="2"/>
  <c r="I205" i="2"/>
  <c r="B206" i="2"/>
  <c r="C206" i="2"/>
  <c r="D206" i="2"/>
  <c r="E206" i="2"/>
  <c r="F206" i="2"/>
  <c r="G206" i="2"/>
  <c r="H206" i="2"/>
  <c r="I206" i="2"/>
  <c r="B207" i="2"/>
  <c r="C207" i="2"/>
  <c r="D207" i="2"/>
  <c r="E207" i="2"/>
  <c r="F207" i="2"/>
  <c r="G207" i="2"/>
  <c r="H207" i="2"/>
  <c r="I207" i="2"/>
  <c r="B208" i="2"/>
  <c r="C208" i="2"/>
  <c r="D208" i="2"/>
  <c r="E208" i="2"/>
  <c r="F208" i="2"/>
  <c r="G208" i="2"/>
  <c r="H208" i="2"/>
  <c r="I208" i="2"/>
  <c r="B209" i="2"/>
  <c r="C209" i="2"/>
  <c r="D209" i="2"/>
  <c r="E209" i="2"/>
  <c r="F209" i="2"/>
  <c r="G209" i="2"/>
  <c r="H209" i="2"/>
  <c r="I209" i="2"/>
  <c r="B210" i="2"/>
  <c r="C210" i="2"/>
  <c r="D210" i="2"/>
  <c r="E210" i="2"/>
  <c r="F210" i="2"/>
  <c r="G210" i="2"/>
  <c r="H210" i="2"/>
  <c r="I210" i="2"/>
  <c r="B211" i="2"/>
  <c r="C211" i="2"/>
  <c r="D211" i="2"/>
  <c r="E211" i="2"/>
  <c r="F211" i="2"/>
  <c r="G211" i="2"/>
  <c r="H211" i="2"/>
  <c r="I211" i="2"/>
  <c r="B212" i="2"/>
  <c r="C212" i="2"/>
  <c r="D212" i="2"/>
  <c r="E212" i="2"/>
  <c r="F212" i="2"/>
  <c r="G212" i="2"/>
  <c r="H212" i="2"/>
  <c r="I212" i="2"/>
  <c r="B213" i="2"/>
  <c r="C213" i="2"/>
  <c r="D213" i="2"/>
  <c r="E213" i="2"/>
  <c r="F213" i="2"/>
  <c r="G213" i="2"/>
  <c r="H213" i="2"/>
  <c r="I213" i="2"/>
  <c r="B214" i="2"/>
  <c r="C214" i="2"/>
  <c r="D214" i="2"/>
  <c r="E214" i="2"/>
  <c r="F214" i="2"/>
  <c r="G214" i="2"/>
  <c r="H214" i="2"/>
  <c r="I214" i="2"/>
  <c r="B215" i="2"/>
  <c r="C215" i="2"/>
  <c r="D215" i="2"/>
  <c r="E215" i="2"/>
  <c r="F215" i="2"/>
  <c r="G215" i="2"/>
  <c r="H215" i="2"/>
  <c r="I215" i="2"/>
  <c r="B216" i="2"/>
  <c r="C216" i="2"/>
  <c r="D216" i="2"/>
  <c r="E216" i="2"/>
  <c r="F216" i="2"/>
  <c r="G216" i="2"/>
  <c r="H216" i="2"/>
  <c r="I216" i="2"/>
  <c r="B217" i="2"/>
  <c r="C217" i="2"/>
  <c r="D217" i="2"/>
  <c r="E217" i="2"/>
  <c r="F217" i="2"/>
  <c r="G217" i="2"/>
  <c r="H217" i="2"/>
  <c r="I217" i="2"/>
  <c r="B218" i="2"/>
  <c r="C218" i="2"/>
  <c r="D218" i="2"/>
  <c r="E218" i="2"/>
  <c r="F218" i="2"/>
  <c r="G218" i="2"/>
  <c r="H218" i="2"/>
  <c r="I218" i="2"/>
  <c r="B219" i="2"/>
  <c r="C219" i="2"/>
  <c r="D219" i="2"/>
  <c r="E219" i="2"/>
  <c r="F219" i="2"/>
  <c r="G219" i="2"/>
  <c r="H219" i="2"/>
  <c r="I219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B4" i="1" l="1"/>
  <c r="C4" i="1"/>
  <c r="D4" i="1"/>
  <c r="E4" i="1"/>
  <c r="F4" i="1"/>
  <c r="G4" i="1"/>
  <c r="H4" i="1"/>
  <c r="I4" i="1"/>
  <c r="B5" i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E8" i="2" s="1"/>
  <c r="F8" i="1"/>
  <c r="F8" i="2" s="1"/>
  <c r="G8" i="1"/>
  <c r="G8" i="2" s="1"/>
  <c r="H8" i="1"/>
  <c r="H8" i="2" s="1"/>
  <c r="I8" i="1"/>
  <c r="I8" i="2" s="1"/>
  <c r="D9" i="1"/>
  <c r="E9" i="1"/>
  <c r="F9" i="1"/>
  <c r="G9" i="1"/>
  <c r="H9" i="1"/>
  <c r="I9" i="1"/>
  <c r="R4" i="8" a="1"/>
  <c r="R4" i="8" s="1"/>
  <c r="R5" i="8" a="1"/>
  <c r="R5" i="8" s="1"/>
  <c r="R6" i="8" a="1"/>
  <c r="R6" i="8" s="1"/>
  <c r="R7" i="8" a="1"/>
  <c r="R7" i="8" s="1"/>
  <c r="R8" i="8" a="1"/>
  <c r="R8" i="8" s="1"/>
  <c r="R9" i="8" a="1"/>
  <c r="R9" i="8" s="1"/>
  <c r="R10" i="8" a="1"/>
  <c r="R10" i="8" s="1"/>
  <c r="R11" i="8" a="1"/>
  <c r="R11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R3" i="8" a="1"/>
  <c r="R3" i="8" s="1"/>
  <c r="AN4" i="6" a="1"/>
  <c r="AN4" i="6" s="1"/>
  <c r="AN5" i="6" a="1"/>
  <c r="AN5" i="6"/>
  <c r="AN6" i="6" a="1"/>
  <c r="AN6" i="6" s="1"/>
  <c r="AN7" i="6" a="1"/>
  <c r="AN7" i="6" s="1"/>
  <c r="AN8" i="6" a="1"/>
  <c r="AN8" i="6" s="1"/>
  <c r="AN9" i="6" a="1"/>
  <c r="AN9" i="6"/>
  <c r="AN10" i="6" a="1"/>
  <c r="AN10" i="6" s="1"/>
  <c r="AN11" i="6" a="1"/>
  <c r="AN11" i="6" s="1"/>
  <c r="AN12" i="6" a="1"/>
  <c r="AN12" i="6" s="1"/>
  <c r="AN13" i="6" a="1"/>
  <c r="AN13" i="6" s="1"/>
  <c r="AN14" i="6" a="1"/>
  <c r="AN14" i="6" s="1"/>
  <c r="AN15" i="6" a="1"/>
  <c r="AN15" i="6" s="1"/>
  <c r="AN16" i="6" a="1"/>
  <c r="AN16" i="6" s="1"/>
  <c r="AN17" i="6" a="1"/>
  <c r="AN17" i="6" s="1"/>
  <c r="AN18" i="6" a="1"/>
  <c r="AN18" i="6" s="1"/>
  <c r="AN19" i="6" a="1"/>
  <c r="AN19" i="6" s="1"/>
  <c r="AN20" i="6" a="1"/>
  <c r="AN20" i="6" s="1"/>
  <c r="AN21" i="6" a="1"/>
  <c r="AN21" i="6" s="1"/>
  <c r="AN22" i="6" a="1"/>
  <c r="AN22" i="6" s="1"/>
  <c r="AN23" i="6" a="1"/>
  <c r="AN23" i="6" s="1"/>
  <c r="AN24" i="6" a="1"/>
  <c r="AN24" i="6" s="1"/>
  <c r="AN25" i="6" a="1"/>
  <c r="AN25" i="6"/>
  <c r="AN26" i="6" a="1"/>
  <c r="AN26" i="6" s="1"/>
  <c r="AN27" i="6" a="1"/>
  <c r="AN27" i="6" s="1"/>
  <c r="AN28" i="6" a="1"/>
  <c r="AN28" i="6" s="1"/>
  <c r="AN29" i="6" a="1"/>
  <c r="AN29" i="6" s="1"/>
  <c r="AN30" i="6" a="1"/>
  <c r="AN30" i="6" s="1"/>
  <c r="AN31" i="6" a="1"/>
  <c r="AN31" i="6" s="1"/>
  <c r="AN32" i="6" a="1"/>
  <c r="AN32" i="6" s="1"/>
  <c r="AN33" i="6" a="1"/>
  <c r="AN33" i="6" s="1"/>
  <c r="AN34" i="6" a="1"/>
  <c r="AN34" i="6" s="1"/>
  <c r="AN35" i="6" a="1"/>
  <c r="AN35" i="6" s="1"/>
  <c r="AN36" i="6" a="1"/>
  <c r="AN36" i="6" s="1"/>
  <c r="AN37" i="6" a="1"/>
  <c r="AN37" i="6"/>
  <c r="AN38" i="6" a="1"/>
  <c r="AN38" i="6" s="1"/>
  <c r="AN39" i="6" a="1"/>
  <c r="AN39" i="6" s="1"/>
  <c r="AN40" i="6" a="1"/>
  <c r="AN40" i="6" s="1"/>
  <c r="AN41" i="6" a="1"/>
  <c r="AN41" i="6"/>
  <c r="AN42" i="6" a="1"/>
  <c r="AN42" i="6" s="1"/>
  <c r="AN43" i="6" a="1"/>
  <c r="AN43" i="6" s="1"/>
  <c r="AN44" i="6" a="1"/>
  <c r="AN44" i="6" s="1"/>
  <c r="AN45" i="6" a="1"/>
  <c r="AN45" i="6" s="1"/>
  <c r="AN46" i="6" a="1"/>
  <c r="AN46" i="6" s="1"/>
  <c r="AN47" i="6" a="1"/>
  <c r="AN47" i="6" s="1"/>
  <c r="AN48" i="6" a="1"/>
  <c r="AN48" i="6" s="1"/>
  <c r="AN49" i="6" a="1"/>
  <c r="AN49" i="6" s="1"/>
  <c r="AN50" i="6" a="1"/>
  <c r="AN50" i="6" s="1"/>
  <c r="AN51" i="6" a="1"/>
  <c r="AN51" i="6" s="1"/>
  <c r="AN52" i="6" a="1"/>
  <c r="AN52" i="6" s="1"/>
  <c r="AN53" i="6" a="1"/>
  <c r="AN53" i="6" s="1"/>
  <c r="AN54" i="6" a="1"/>
  <c r="AN54" i="6" s="1"/>
  <c r="AN55" i="6" a="1"/>
  <c r="AN55" i="6" s="1"/>
  <c r="AN56" i="6" a="1"/>
  <c r="AN56" i="6" s="1"/>
  <c r="AN57" i="6" a="1"/>
  <c r="AN57" i="6" s="1"/>
  <c r="AN58" i="6" a="1"/>
  <c r="AN58" i="6" s="1"/>
  <c r="AN59" i="6" a="1"/>
  <c r="AN59" i="6" s="1"/>
  <c r="AN60" i="6" a="1"/>
  <c r="AN60" i="6" s="1"/>
  <c r="AN61" i="6" a="1"/>
  <c r="AN61" i="6" s="1"/>
  <c r="AN62" i="6" a="1"/>
  <c r="AN62" i="6" s="1"/>
  <c r="AN63" i="6" a="1"/>
  <c r="AN63" i="6" s="1"/>
  <c r="AN64" i="6" a="1"/>
  <c r="AN64" i="6" s="1"/>
  <c r="AN65" i="6" a="1"/>
  <c r="AN65" i="6" s="1"/>
  <c r="AN66" i="6" a="1"/>
  <c r="AN66" i="6" s="1"/>
  <c r="AN67" i="6" a="1"/>
  <c r="AN67" i="6" s="1"/>
  <c r="AN68" i="6" a="1"/>
  <c r="AN68" i="6" s="1"/>
  <c r="AN69" i="6" a="1"/>
  <c r="AN69" i="6" s="1"/>
  <c r="AN70" i="6" a="1"/>
  <c r="AN70" i="6" s="1"/>
  <c r="AN71" i="6" a="1"/>
  <c r="AN71" i="6" s="1"/>
  <c r="AN72" i="6" a="1"/>
  <c r="AN72" i="6" s="1"/>
  <c r="AN73" i="6" a="1"/>
  <c r="AN73" i="6" s="1"/>
  <c r="AN74" i="6" a="1"/>
  <c r="AN74" i="6" s="1"/>
  <c r="AN75" i="6" a="1"/>
  <c r="AN75" i="6" s="1"/>
  <c r="AN76" i="6" a="1"/>
  <c r="AN76" i="6" s="1"/>
  <c r="AN77" i="6" a="1"/>
  <c r="AN77" i="6" s="1"/>
  <c r="AN78" i="6" a="1"/>
  <c r="AN78" i="6" s="1"/>
  <c r="AN79" i="6" a="1"/>
  <c r="AN79" i="6" s="1"/>
  <c r="AN80" i="6" a="1"/>
  <c r="AN80" i="6" s="1"/>
  <c r="AN81" i="6" a="1"/>
  <c r="AN81" i="6" s="1"/>
  <c r="AN82" i="6" a="1"/>
  <c r="AN82" i="6" s="1"/>
  <c r="AN83" i="6" a="1"/>
  <c r="AN83" i="6" s="1"/>
  <c r="AN84" i="6" a="1"/>
  <c r="AN84" i="6" s="1"/>
  <c r="AN85" i="6" a="1"/>
  <c r="AN85" i="6" s="1"/>
  <c r="AN86" i="6" a="1"/>
  <c r="AN86" i="6" s="1"/>
  <c r="AN87" i="6" a="1"/>
  <c r="AN87" i="6" s="1"/>
  <c r="AN88" i="6" a="1"/>
  <c r="AN88" i="6" s="1"/>
  <c r="AN89" i="6" a="1"/>
  <c r="AN89" i="6" s="1"/>
  <c r="AN90" i="6" a="1"/>
  <c r="AN90" i="6" s="1"/>
  <c r="AN91" i="6" a="1"/>
  <c r="AN91" i="6" s="1"/>
  <c r="AN92" i="6" a="1"/>
  <c r="AN92" i="6" s="1"/>
  <c r="AN93" i="6" a="1"/>
  <c r="AN93" i="6" s="1"/>
  <c r="AN94" i="6" a="1"/>
  <c r="AN94" i="6" s="1"/>
  <c r="AN95" i="6" a="1"/>
  <c r="AN95" i="6" s="1"/>
  <c r="AN96" i="6" a="1"/>
  <c r="AN96" i="6" s="1"/>
  <c r="AN97" i="6" a="1"/>
  <c r="AN97" i="6" s="1"/>
  <c r="AN98" i="6" a="1"/>
  <c r="AN98" i="6" s="1"/>
  <c r="AN99" i="6" a="1"/>
  <c r="AN99" i="6" s="1"/>
  <c r="AN100" i="6" a="1"/>
  <c r="AN100" i="6" s="1"/>
  <c r="AN101" i="6" a="1"/>
  <c r="AN101" i="6" s="1"/>
  <c r="AN102" i="6" a="1"/>
  <c r="AN102" i="6" s="1"/>
  <c r="AN103" i="6" a="1"/>
  <c r="AN103" i="6" s="1"/>
  <c r="AN104" i="6" a="1"/>
  <c r="AN104" i="6" s="1"/>
  <c r="AN105" i="6" a="1"/>
  <c r="AN105" i="6" s="1"/>
  <c r="AN106" i="6" a="1"/>
  <c r="AN106" i="6" s="1"/>
  <c r="AN107" i="6" a="1"/>
  <c r="AN107" i="6" s="1"/>
  <c r="AN108" i="6" a="1"/>
  <c r="AN108" i="6" s="1"/>
  <c r="AN109" i="6" a="1"/>
  <c r="AN109" i="6" s="1"/>
  <c r="AN110" i="6" a="1"/>
  <c r="AN110" i="6" s="1"/>
  <c r="AN111" i="6" a="1"/>
  <c r="AN111" i="6" s="1"/>
  <c r="AN112" i="6" a="1"/>
  <c r="AN112" i="6" s="1"/>
  <c r="AN113" i="6" a="1"/>
  <c r="AN113" i="6" s="1"/>
  <c r="AN114" i="6" a="1"/>
  <c r="AN114" i="6" s="1"/>
  <c r="AN115" i="6" a="1"/>
  <c r="AN115" i="6" s="1"/>
  <c r="AN116" i="6" a="1"/>
  <c r="AN116" i="6" s="1"/>
  <c r="AN117" i="6" a="1"/>
  <c r="AN117" i="6" s="1"/>
  <c r="AN118" i="6" a="1"/>
  <c r="AN118" i="6" s="1"/>
  <c r="AN119" i="6" a="1"/>
  <c r="AN119" i="6" s="1"/>
  <c r="AN120" i="6" a="1"/>
  <c r="AN120" i="6" s="1"/>
  <c r="AN121" i="6" a="1"/>
  <c r="AN121" i="6" s="1"/>
  <c r="AN122" i="6" a="1"/>
  <c r="AN122" i="6" s="1"/>
  <c r="AN123" i="6" a="1"/>
  <c r="AN123" i="6" s="1"/>
  <c r="AN124" i="6" a="1"/>
  <c r="AN124" i="6" s="1"/>
  <c r="AN125" i="6" a="1"/>
  <c r="AN125" i="6" s="1"/>
  <c r="AN126" i="6" a="1"/>
  <c r="AN126" i="6" s="1"/>
  <c r="AN127" i="6" a="1"/>
  <c r="AN127" i="6" s="1"/>
  <c r="AN128" i="6" a="1"/>
  <c r="AN128" i="6" s="1"/>
  <c r="AN129" i="6" a="1"/>
  <c r="AN129" i="6" s="1"/>
  <c r="AN130" i="6" a="1"/>
  <c r="AN130" i="6" s="1"/>
  <c r="AN131" i="6" a="1"/>
  <c r="AN131" i="6" s="1"/>
  <c r="AN132" i="6" a="1"/>
  <c r="AN132" i="6" s="1"/>
  <c r="AN133" i="6" a="1"/>
  <c r="AN133" i="6" s="1"/>
  <c r="AN134" i="6" a="1"/>
  <c r="AN134" i="6" s="1"/>
  <c r="AN135" i="6" a="1"/>
  <c r="AN135" i="6" s="1"/>
  <c r="AN136" i="6" a="1"/>
  <c r="AN136" i="6" s="1"/>
  <c r="AN137" i="6" a="1"/>
  <c r="AN137" i="6" s="1"/>
  <c r="AN138" i="6" a="1"/>
  <c r="AN138" i="6" s="1"/>
  <c r="AN139" i="6" a="1"/>
  <c r="AN139" i="6" s="1"/>
  <c r="AN140" i="6" a="1"/>
  <c r="AN140" i="6" s="1"/>
  <c r="AN141" i="6" a="1"/>
  <c r="AN141" i="6" s="1"/>
  <c r="AN142" i="6" a="1"/>
  <c r="AN142" i="6" s="1"/>
  <c r="AN143" i="6" a="1"/>
  <c r="AN143" i="6" s="1"/>
  <c r="AN144" i="6" a="1"/>
  <c r="AN144" i="6" s="1"/>
  <c r="AN145" i="6" a="1"/>
  <c r="AN145" i="6" s="1"/>
  <c r="AN146" i="6" a="1"/>
  <c r="AN146" i="6" s="1"/>
  <c r="AN147" i="6" a="1"/>
  <c r="AN147" i="6" s="1"/>
  <c r="AN148" i="6" a="1"/>
  <c r="AN148" i="6" s="1"/>
  <c r="AN149" i="6" a="1"/>
  <c r="AN149" i="6" s="1"/>
  <c r="AN150" i="6" a="1"/>
  <c r="AN150" i="6" s="1"/>
  <c r="AN151" i="6" a="1"/>
  <c r="AN151" i="6" s="1"/>
  <c r="AN152" i="6" a="1"/>
  <c r="AN152" i="6" s="1"/>
  <c r="AN153" i="6" a="1"/>
  <c r="AN153" i="6" s="1"/>
  <c r="AN154" i="6" a="1"/>
  <c r="AN154" i="6" s="1"/>
  <c r="AN155" i="6" a="1"/>
  <c r="AN155" i="6" s="1"/>
  <c r="AN156" i="6" a="1"/>
  <c r="AN156" i="6" s="1"/>
  <c r="AN157" i="6" a="1"/>
  <c r="AN157" i="6" s="1"/>
  <c r="AN158" i="6" a="1"/>
  <c r="AN158" i="6" s="1"/>
  <c r="AN159" i="6" a="1"/>
  <c r="AN159" i="6" s="1"/>
  <c r="AN160" i="6" a="1"/>
  <c r="AN160" i="6" s="1"/>
  <c r="AN161" i="6" a="1"/>
  <c r="AN161" i="6" s="1"/>
  <c r="AN162" i="6" a="1"/>
  <c r="AN162" i="6" s="1"/>
  <c r="AN163" i="6" a="1"/>
  <c r="AN163" i="6" s="1"/>
  <c r="AN164" i="6" a="1"/>
  <c r="AN164" i="6" s="1"/>
  <c r="AN165" i="6" a="1"/>
  <c r="AN165" i="6" s="1"/>
  <c r="AN166" i="6" a="1"/>
  <c r="AN166" i="6" s="1"/>
  <c r="AN167" i="6" a="1"/>
  <c r="AN167" i="6" s="1"/>
  <c r="AN168" i="6" a="1"/>
  <c r="AN168" i="6" s="1"/>
  <c r="AN169" i="6" a="1"/>
  <c r="AN169" i="6" s="1"/>
  <c r="AN170" i="6" a="1"/>
  <c r="AN170" i="6" s="1"/>
  <c r="AN171" i="6" a="1"/>
  <c r="AN171" i="6" s="1"/>
  <c r="AN172" i="6" a="1"/>
  <c r="AN172" i="6" s="1"/>
  <c r="AN173" i="6" a="1"/>
  <c r="AN173" i="6" s="1"/>
  <c r="AN174" i="6" a="1"/>
  <c r="AN174" i="6" s="1"/>
  <c r="AN175" i="6" a="1"/>
  <c r="AN175" i="6" s="1"/>
  <c r="AN176" i="6" a="1"/>
  <c r="AN176" i="6" s="1"/>
  <c r="AN177" i="6" a="1"/>
  <c r="AN177" i="6" s="1"/>
  <c r="AN178" i="6" a="1"/>
  <c r="AN178" i="6" s="1"/>
  <c r="W12" i="6" a="1"/>
  <c r="W12" i="6" s="1"/>
  <c r="W13" i="6" a="1"/>
  <c r="W13" i="6" s="1"/>
  <c r="W14" i="6" a="1"/>
  <c r="W14" i="6"/>
  <c r="W15" i="6" a="1"/>
  <c r="W15" i="6"/>
  <c r="W16" i="6" a="1"/>
  <c r="W16" i="6" s="1"/>
  <c r="W17" i="6" a="1"/>
  <c r="W17" i="6" s="1"/>
  <c r="W18" i="6" a="1"/>
  <c r="W18" i="6"/>
  <c r="W19" i="6" a="1"/>
  <c r="W19" i="6"/>
  <c r="W20" i="6" a="1"/>
  <c r="W20" i="6" s="1"/>
  <c r="W21" i="6" a="1"/>
  <c r="W21" i="6"/>
  <c r="W22" i="6" a="1"/>
  <c r="W22" i="6" s="1"/>
  <c r="W23" i="6" a="1"/>
  <c r="W23" i="6"/>
  <c r="W24" i="6" a="1"/>
  <c r="W24" i="6" s="1"/>
  <c r="W25" i="6" a="1"/>
  <c r="W25" i="6"/>
  <c r="W26" i="6" a="1"/>
  <c r="W26" i="6" s="1"/>
  <c r="W27" i="6" a="1"/>
  <c r="W27" i="6"/>
  <c r="W28" i="6" a="1"/>
  <c r="W28" i="6" s="1"/>
  <c r="W29" i="6" a="1"/>
  <c r="W29" i="6"/>
  <c r="W30" i="6" a="1"/>
  <c r="W30" i="6"/>
  <c r="W31" i="6" a="1"/>
  <c r="W31" i="6" s="1"/>
  <c r="W32" i="6" a="1"/>
  <c r="W32" i="6" s="1"/>
  <c r="W33" i="6" a="1"/>
  <c r="W33" i="6"/>
  <c r="W34" i="6" a="1"/>
  <c r="W34" i="6"/>
  <c r="W35" i="6" a="1"/>
  <c r="W35" i="6" s="1"/>
  <c r="W36" i="6" a="1"/>
  <c r="W36" i="6" s="1"/>
  <c r="W37" i="6" a="1"/>
  <c r="W37" i="6"/>
  <c r="W38" i="6" a="1"/>
  <c r="W38" i="6"/>
  <c r="W39" i="6" a="1"/>
  <c r="W39" i="6"/>
  <c r="W40" i="6" a="1"/>
  <c r="W40" i="6" s="1"/>
  <c r="W41" i="6" a="1"/>
  <c r="W41" i="6"/>
  <c r="W42" i="6" a="1"/>
  <c r="W42" i="6"/>
  <c r="W43" i="6" a="1"/>
  <c r="W43" i="6"/>
  <c r="W44" i="6" a="1"/>
  <c r="W44" i="6" s="1"/>
  <c r="W45" i="6" a="1"/>
  <c r="W45" i="6" s="1"/>
  <c r="W46" i="6" a="1"/>
  <c r="W46" i="6"/>
  <c r="W47" i="6" a="1"/>
  <c r="W47" i="6"/>
  <c r="W48" i="6" a="1"/>
  <c r="W48" i="6" s="1"/>
  <c r="W49" i="6" a="1"/>
  <c r="W49" i="6" s="1"/>
  <c r="W50" i="6" a="1"/>
  <c r="W50" i="6" s="1"/>
  <c r="W51" i="6" a="1"/>
  <c r="W51" i="6"/>
  <c r="W52" i="6" a="1"/>
  <c r="W52" i="6" s="1"/>
  <c r="W53" i="6" a="1"/>
  <c r="W53" i="6"/>
  <c r="W54" i="6" a="1"/>
  <c r="W54" i="6" s="1"/>
  <c r="W55" i="6" a="1"/>
  <c r="W55" i="6" s="1"/>
  <c r="W56" i="6" a="1"/>
  <c r="W56" i="6" s="1"/>
  <c r="W57" i="6" a="1"/>
  <c r="W57" i="6"/>
  <c r="W58" i="6" a="1"/>
  <c r="W58" i="6" s="1"/>
  <c r="W59" i="6" a="1"/>
  <c r="W59" i="6"/>
  <c r="W60" i="6" a="1"/>
  <c r="W60" i="6" s="1"/>
  <c r="W61" i="6" a="1"/>
  <c r="W61" i="6"/>
  <c r="W62" i="6" a="1"/>
  <c r="W62" i="6" s="1"/>
  <c r="W63" i="6" a="1"/>
  <c r="W63" i="6"/>
  <c r="W64" i="6" a="1"/>
  <c r="W64" i="6" s="1"/>
  <c r="W65" i="6" a="1"/>
  <c r="W65" i="6" s="1"/>
  <c r="W66" i="6" a="1"/>
  <c r="W66" i="6" s="1"/>
  <c r="W67" i="6" a="1"/>
  <c r="W67" i="6"/>
  <c r="W68" i="6" a="1"/>
  <c r="W68" i="6" s="1"/>
  <c r="W69" i="6" a="1"/>
  <c r="W69" i="6"/>
  <c r="W70" i="6" a="1"/>
  <c r="W70" i="6" s="1"/>
  <c r="W71" i="6" a="1"/>
  <c r="W71" i="6" s="1"/>
  <c r="W72" i="6" a="1"/>
  <c r="W72" i="6" s="1"/>
  <c r="W73" i="6" a="1"/>
  <c r="W73" i="6"/>
  <c r="W74" i="6" a="1"/>
  <c r="W74" i="6" s="1"/>
  <c r="W75" i="6" a="1"/>
  <c r="W75" i="6"/>
  <c r="W76" i="6" a="1"/>
  <c r="W76" i="6" s="1"/>
  <c r="W77" i="6" a="1"/>
  <c r="W77" i="6"/>
  <c r="W78" i="6" a="1"/>
  <c r="W78" i="6" s="1"/>
  <c r="W79" i="6" a="1"/>
  <c r="W79" i="6"/>
  <c r="W80" i="6" a="1"/>
  <c r="W80" i="6" s="1"/>
  <c r="W81" i="6" a="1"/>
  <c r="W81" i="6" s="1"/>
  <c r="W82" i="6" a="1"/>
  <c r="W82" i="6" s="1"/>
  <c r="W83" i="6" a="1"/>
  <c r="W83" i="6"/>
  <c r="W84" i="6" a="1"/>
  <c r="W84" i="6" s="1"/>
  <c r="W85" i="6" a="1"/>
  <c r="W85" i="6" s="1"/>
  <c r="W86" i="6" a="1"/>
  <c r="W86" i="6" s="1"/>
  <c r="W87" i="6" a="1"/>
  <c r="W87" i="6" s="1"/>
  <c r="W88" i="6" a="1"/>
  <c r="W88" i="6" s="1"/>
  <c r="W89" i="6" a="1"/>
  <c r="W89" i="6"/>
  <c r="W90" i="6" a="1"/>
  <c r="W90" i="6" s="1"/>
  <c r="W91" i="6" a="1"/>
  <c r="W91" i="6"/>
  <c r="W92" i="6" a="1"/>
  <c r="W92" i="6" s="1"/>
  <c r="W93" i="6" a="1"/>
  <c r="W93" i="6"/>
  <c r="W94" i="6" a="1"/>
  <c r="W94" i="6" s="1"/>
  <c r="W95" i="6" a="1"/>
  <c r="W95" i="6"/>
  <c r="W96" i="6" a="1"/>
  <c r="W96" i="6" s="1"/>
  <c r="W97" i="6" a="1"/>
  <c r="W97" i="6"/>
  <c r="W98" i="6" a="1"/>
  <c r="W98" i="6" s="1"/>
  <c r="W99" i="6" a="1"/>
  <c r="W99" i="6"/>
  <c r="W100" i="6" a="1"/>
  <c r="W100" i="6" s="1"/>
  <c r="W101" i="6" a="1"/>
  <c r="W101" i="6" s="1"/>
  <c r="W102" i="6" a="1"/>
  <c r="W102" i="6" s="1"/>
  <c r="W103" i="6" a="1"/>
  <c r="W103" i="6"/>
  <c r="W104" i="6" a="1"/>
  <c r="W104" i="6" s="1"/>
  <c r="W105" i="6" a="1"/>
  <c r="W105" i="6" s="1"/>
  <c r="W106" i="6" a="1"/>
  <c r="W106" i="6" s="1"/>
  <c r="W107" i="6" a="1"/>
  <c r="W107" i="6"/>
  <c r="W108" i="6" a="1"/>
  <c r="W108" i="6" s="1"/>
  <c r="W109" i="6" a="1"/>
  <c r="W109" i="6" s="1"/>
  <c r="W110" i="6" a="1"/>
  <c r="W110" i="6" s="1"/>
  <c r="W111" i="6" a="1"/>
  <c r="W111" i="6" s="1"/>
  <c r="W112" i="6" a="1"/>
  <c r="W112" i="6" s="1"/>
  <c r="W113" i="6" a="1"/>
  <c r="W113" i="6" s="1"/>
  <c r="W114" i="6" a="1"/>
  <c r="W114" i="6" s="1"/>
  <c r="W115" i="6" a="1"/>
  <c r="W115" i="6"/>
  <c r="W116" i="6" a="1"/>
  <c r="W116" i="6" s="1"/>
  <c r="W117" i="6" a="1"/>
  <c r="W117" i="6" s="1"/>
  <c r="W118" i="6" a="1"/>
  <c r="W118" i="6" s="1"/>
  <c r="W119" i="6" a="1"/>
  <c r="W119" i="6"/>
  <c r="W120" i="6" a="1"/>
  <c r="W120" i="6" s="1"/>
  <c r="W121" i="6" a="1"/>
  <c r="W121" i="6" s="1"/>
  <c r="W122" i="6" a="1"/>
  <c r="W122" i="6" s="1"/>
  <c r="W123" i="6" a="1"/>
  <c r="W123" i="6" s="1"/>
  <c r="W124" i="6" a="1"/>
  <c r="W124" i="6" s="1"/>
  <c r="W125" i="6" a="1"/>
  <c r="W125" i="6" s="1"/>
  <c r="W126" i="6" a="1"/>
  <c r="W126" i="6" s="1"/>
  <c r="W127" i="6" a="1"/>
  <c r="W127" i="6"/>
  <c r="W128" i="6" a="1"/>
  <c r="W128" i="6" s="1"/>
  <c r="W129" i="6" a="1"/>
  <c r="W129" i="6" s="1"/>
  <c r="W130" i="6" a="1"/>
  <c r="W130" i="6" s="1"/>
  <c r="W131" i="6" a="1"/>
  <c r="W131" i="6"/>
  <c r="W132" i="6" a="1"/>
  <c r="W132" i="6" s="1"/>
  <c r="W133" i="6" a="1"/>
  <c r="W133" i="6" s="1"/>
  <c r="W134" i="6" a="1"/>
  <c r="W134" i="6" s="1"/>
  <c r="W135" i="6" a="1"/>
  <c r="W135" i="6"/>
  <c r="W136" i="6" a="1"/>
  <c r="W136" i="6" s="1"/>
  <c r="W137" i="6" a="1"/>
  <c r="W137" i="6" s="1"/>
  <c r="W138" i="6" a="1"/>
  <c r="W138" i="6" s="1"/>
  <c r="W139" i="6" a="1"/>
  <c r="W139" i="6"/>
  <c r="W140" i="6" a="1"/>
  <c r="W140" i="6" s="1"/>
  <c r="W141" i="6" a="1"/>
  <c r="W141" i="6" s="1"/>
  <c r="W142" i="6" a="1"/>
  <c r="W142" i="6" s="1"/>
  <c r="W143" i="6" a="1"/>
  <c r="W143" i="6" s="1"/>
  <c r="W144" i="6" a="1"/>
  <c r="W144" i="6" s="1"/>
  <c r="W145" i="6" a="1"/>
  <c r="W145" i="6" s="1"/>
  <c r="W146" i="6" a="1"/>
  <c r="W146" i="6" s="1"/>
  <c r="W147" i="6" a="1"/>
  <c r="W147" i="6"/>
  <c r="W148" i="6" a="1"/>
  <c r="W148" i="6" s="1"/>
  <c r="W149" i="6" a="1"/>
  <c r="W149" i="6" s="1"/>
  <c r="W150" i="6" a="1"/>
  <c r="W150" i="6" s="1"/>
  <c r="W151" i="6" a="1"/>
  <c r="W151" i="6"/>
  <c r="W152" i="6" a="1"/>
  <c r="W152" i="6" s="1"/>
  <c r="W153" i="6" a="1"/>
  <c r="W153" i="6" s="1"/>
  <c r="W154" i="6" a="1"/>
  <c r="W154" i="6" s="1"/>
  <c r="W155" i="6" a="1"/>
  <c r="W155" i="6" s="1"/>
  <c r="W156" i="6" a="1"/>
  <c r="W156" i="6" s="1"/>
  <c r="W157" i="6" a="1"/>
  <c r="W157" i="6" s="1"/>
  <c r="W158" i="6" a="1"/>
  <c r="W158" i="6" s="1"/>
  <c r="W159" i="6" a="1"/>
  <c r="W159" i="6"/>
  <c r="W160" i="6" a="1"/>
  <c r="W160" i="6" s="1"/>
  <c r="W161" i="6" a="1"/>
  <c r="W161" i="6" s="1"/>
  <c r="W162" i="6" a="1"/>
  <c r="W162" i="6" s="1"/>
  <c r="W163" i="6" a="1"/>
  <c r="W163" i="6"/>
  <c r="W164" i="6" a="1"/>
  <c r="W164" i="6" s="1"/>
  <c r="W165" i="6" a="1"/>
  <c r="W165" i="6" s="1"/>
  <c r="W166" i="6" a="1"/>
  <c r="W166" i="6" s="1"/>
  <c r="W167" i="6" a="1"/>
  <c r="W167" i="6"/>
  <c r="W168" i="6" a="1"/>
  <c r="W168" i="6" s="1"/>
  <c r="W169" i="6" a="1"/>
  <c r="W169" i="6" s="1"/>
  <c r="W170" i="6" a="1"/>
  <c r="W170" i="6" s="1"/>
  <c r="W171" i="6" a="1"/>
  <c r="W171" i="6"/>
  <c r="W172" i="6" a="1"/>
  <c r="W172" i="6" s="1"/>
  <c r="W173" i="6" a="1"/>
  <c r="W173" i="6" s="1"/>
  <c r="W174" i="6" a="1"/>
  <c r="W174" i="6" s="1"/>
  <c r="W175" i="6" a="1"/>
  <c r="W175" i="6" s="1"/>
  <c r="W176" i="6" a="1"/>
  <c r="W176" i="6" s="1"/>
  <c r="W177" i="6" a="1"/>
  <c r="W177" i="6" s="1"/>
  <c r="W178" i="6" a="1"/>
  <c r="W178" i="6" s="1"/>
  <c r="W4" i="6" a="1"/>
  <c r="W4" i="6" s="1"/>
  <c r="W5" i="6" a="1"/>
  <c r="W5" i="6" s="1"/>
  <c r="W6" i="6" a="1"/>
  <c r="W6" i="6" s="1"/>
  <c r="W7" i="6" a="1"/>
  <c r="W7" i="6"/>
  <c r="W8" i="6" a="1"/>
  <c r="W8" i="6" s="1"/>
  <c r="W9" i="6" a="1"/>
  <c r="W9" i="6"/>
  <c r="W10" i="6" a="1"/>
  <c r="W10" i="6" s="1"/>
  <c r="W11" i="6" a="1"/>
  <c r="W11" i="6" s="1"/>
  <c r="AV4" i="4" a="1"/>
  <c r="AV4" i="4" s="1"/>
  <c r="AV5" i="4" a="1"/>
  <c r="AV5" i="4"/>
  <c r="AV6" i="4" a="1"/>
  <c r="AV6" i="4"/>
  <c r="AV7" i="4" a="1"/>
  <c r="AV7" i="4"/>
  <c r="AV8" i="4" a="1"/>
  <c r="AV8" i="4" s="1"/>
  <c r="AV9" i="4" a="1"/>
  <c r="AV9" i="4"/>
  <c r="AV10" i="4" a="1"/>
  <c r="AV10" i="4"/>
  <c r="AV11" i="4" a="1"/>
  <c r="AV11" i="4"/>
  <c r="AV12" i="4" a="1"/>
  <c r="AV12" i="4" s="1"/>
  <c r="AV13" i="4" a="1"/>
  <c r="AV13" i="4"/>
  <c r="AV14" i="4" a="1"/>
  <c r="AV14" i="4"/>
  <c r="AV3" i="4" a="1"/>
  <c r="AV3" i="4" s="1"/>
  <c r="P3" i="2"/>
  <c r="H2" i="10"/>
  <c r="G2" i="10"/>
  <c r="W3" i="2"/>
  <c r="U3" i="9" a="1"/>
  <c r="U3" i="9" s="1"/>
  <c r="U7" i="9" a="1"/>
  <c r="U7" i="9" s="1"/>
  <c r="U6" i="9" a="1"/>
  <c r="U6" i="9" s="1"/>
  <c r="U5" i="9" a="1"/>
  <c r="U5" i="9" s="1"/>
  <c r="U4" i="9" a="1"/>
  <c r="U4" i="9" s="1"/>
  <c r="AN4" i="7" a="1"/>
  <c r="AN4" i="7" s="1"/>
  <c r="AN5" i="7" a="1"/>
  <c r="AN5" i="7"/>
  <c r="AN6" i="7" a="1"/>
  <c r="AN6" i="7" s="1"/>
  <c r="AN7" i="7" a="1"/>
  <c r="AN7" i="7"/>
  <c r="AN8" i="7" a="1"/>
  <c r="AN8" i="7" s="1"/>
  <c r="AN9" i="7" a="1"/>
  <c r="AN9" i="7"/>
  <c r="AN10" i="7" a="1"/>
  <c r="AN10" i="7" s="1"/>
  <c r="AN11" i="7" a="1"/>
  <c r="AN11" i="7"/>
  <c r="AN12" i="7" a="1"/>
  <c r="AN12" i="7" s="1"/>
  <c r="AN13" i="7" a="1"/>
  <c r="AN13" i="7"/>
  <c r="AN14" i="7" a="1"/>
  <c r="AN14" i="7" s="1"/>
  <c r="AN15" i="7" a="1"/>
  <c r="AN15" i="7"/>
  <c r="AN16" i="7" a="1"/>
  <c r="AN16" i="7" s="1"/>
  <c r="AN17" i="7" a="1"/>
  <c r="AN17" i="7"/>
  <c r="AN18" i="7" a="1"/>
  <c r="AN18" i="7" s="1"/>
  <c r="AN19" i="7" a="1"/>
  <c r="AN19" i="7"/>
  <c r="AN20" i="7" a="1"/>
  <c r="AN20" i="7" s="1"/>
  <c r="AN21" i="7" a="1"/>
  <c r="AN21" i="7"/>
  <c r="AN22" i="7" a="1"/>
  <c r="AN22" i="7" s="1"/>
  <c r="AN23" i="7" a="1"/>
  <c r="AN23" i="7"/>
  <c r="AN24" i="7" a="1"/>
  <c r="AN24" i="7" s="1"/>
  <c r="AN25" i="7" a="1"/>
  <c r="AN25" i="7"/>
  <c r="AN26" i="7" a="1"/>
  <c r="AN26" i="7" s="1"/>
  <c r="AN27" i="7" a="1"/>
  <c r="AN27" i="7"/>
  <c r="AN28" i="7" a="1"/>
  <c r="AN28" i="7" s="1"/>
  <c r="AN29" i="7" a="1"/>
  <c r="AN29" i="7"/>
  <c r="AN30" i="7" a="1"/>
  <c r="AN30" i="7" s="1"/>
  <c r="AN31" i="7" a="1"/>
  <c r="AN31" i="7"/>
  <c r="AN32" i="7" a="1"/>
  <c r="AN32" i="7" s="1"/>
  <c r="AN33" i="7" a="1"/>
  <c r="AN33" i="7"/>
  <c r="AN34" i="7" a="1"/>
  <c r="AN34" i="7" s="1"/>
  <c r="AN35" i="7" a="1"/>
  <c r="AN35" i="7"/>
  <c r="AN36" i="7" a="1"/>
  <c r="AN36" i="7" s="1"/>
  <c r="AN37" i="7" a="1"/>
  <c r="AN37" i="7"/>
  <c r="AN38" i="7" a="1"/>
  <c r="AN38" i="7" s="1"/>
  <c r="AN39" i="7" a="1"/>
  <c r="AN39" i="7"/>
  <c r="AN40" i="7" a="1"/>
  <c r="AN40" i="7" s="1"/>
  <c r="AN41" i="7" a="1"/>
  <c r="AN41" i="7"/>
  <c r="AN42" i="7" a="1"/>
  <c r="AN42" i="7" s="1"/>
  <c r="AN43" i="7" a="1"/>
  <c r="AN43" i="7"/>
  <c r="AN44" i="7" a="1"/>
  <c r="AN44" i="7" s="1"/>
  <c r="AN45" i="7" a="1"/>
  <c r="AN45" i="7"/>
  <c r="AN46" i="7" a="1"/>
  <c r="AN46" i="7" s="1"/>
  <c r="AN47" i="7" a="1"/>
  <c r="AN47" i="7"/>
  <c r="AN48" i="7" a="1"/>
  <c r="AN48" i="7" s="1"/>
  <c r="AN49" i="7" a="1"/>
  <c r="AN49" i="7"/>
  <c r="AN50" i="7" a="1"/>
  <c r="AN50" i="7" s="1"/>
  <c r="AN51" i="7" a="1"/>
  <c r="AN51" i="7"/>
  <c r="AN52" i="7" a="1"/>
  <c r="AN52" i="7" s="1"/>
  <c r="AN53" i="7" a="1"/>
  <c r="AN53" i="7"/>
  <c r="AN54" i="7" a="1"/>
  <c r="AN54" i="7" s="1"/>
  <c r="AN55" i="7" a="1"/>
  <c r="AN55" i="7"/>
  <c r="AN56" i="7" a="1"/>
  <c r="AN56" i="7" s="1"/>
  <c r="AN57" i="7" a="1"/>
  <c r="AN57" i="7"/>
  <c r="AN58" i="7" a="1"/>
  <c r="AN58" i="7" s="1"/>
  <c r="AN59" i="7" a="1"/>
  <c r="AN59" i="7"/>
  <c r="AN60" i="7" a="1"/>
  <c r="AN60" i="7" s="1"/>
  <c r="AN61" i="7" a="1"/>
  <c r="AN61" i="7"/>
  <c r="AN62" i="7" a="1"/>
  <c r="AN62" i="7" s="1"/>
  <c r="AN63" i="7" a="1"/>
  <c r="AN63" i="7"/>
  <c r="AN64" i="7" a="1"/>
  <c r="AN64" i="7" s="1"/>
  <c r="AN65" i="7" a="1"/>
  <c r="AN65" i="7"/>
  <c r="AN66" i="7" a="1"/>
  <c r="AN66" i="7" s="1"/>
  <c r="AN67" i="7" a="1"/>
  <c r="AN67" i="7"/>
  <c r="AN68" i="7" a="1"/>
  <c r="AN68" i="7" s="1"/>
  <c r="AN69" i="7" a="1"/>
  <c r="AN69" i="7"/>
  <c r="AN70" i="7" a="1"/>
  <c r="AN70" i="7" s="1"/>
  <c r="AN71" i="7" a="1"/>
  <c r="AN71" i="7"/>
  <c r="AN72" i="7" a="1"/>
  <c r="AN72" i="7" s="1"/>
  <c r="AN73" i="7" a="1"/>
  <c r="AN73" i="7"/>
  <c r="AN74" i="7" a="1"/>
  <c r="AN74" i="7" s="1"/>
  <c r="AN75" i="7" a="1"/>
  <c r="AN75" i="7"/>
  <c r="AN76" i="7" a="1"/>
  <c r="AN76" i="7" s="1"/>
  <c r="AN77" i="7" a="1"/>
  <c r="AN77" i="7"/>
  <c r="AN78" i="7" a="1"/>
  <c r="AN78" i="7" s="1"/>
  <c r="AN79" i="7" a="1"/>
  <c r="AN79" i="7"/>
  <c r="AN80" i="7" a="1"/>
  <c r="AN80" i="7" s="1"/>
  <c r="AN81" i="7" a="1"/>
  <c r="AN81" i="7" s="1"/>
  <c r="AN82" i="7" a="1"/>
  <c r="AN82" i="7" s="1"/>
  <c r="AN83" i="7" a="1"/>
  <c r="AN83" i="7"/>
  <c r="AN84" i="7" a="1"/>
  <c r="AN84" i="7" s="1"/>
  <c r="AN85" i="7" a="1"/>
  <c r="AN85" i="7" s="1"/>
  <c r="AN86" i="7" a="1"/>
  <c r="AN86" i="7" s="1"/>
  <c r="AN87" i="7" a="1"/>
  <c r="AN87" i="7"/>
  <c r="AN88" i="7" a="1"/>
  <c r="AN88" i="7" s="1"/>
  <c r="AN89" i="7" a="1"/>
  <c r="AN89" i="7" s="1"/>
  <c r="AN90" i="7" a="1"/>
  <c r="AN90" i="7" s="1"/>
  <c r="AN91" i="7" a="1"/>
  <c r="AN91" i="7"/>
  <c r="AN92" i="7" a="1"/>
  <c r="AN92" i="7" s="1"/>
  <c r="AN93" i="7" a="1"/>
  <c r="AN93" i="7" s="1"/>
  <c r="AN94" i="7" a="1"/>
  <c r="AN94" i="7" s="1"/>
  <c r="AN95" i="7" a="1"/>
  <c r="AN95" i="7"/>
  <c r="AN96" i="7" a="1"/>
  <c r="AN96" i="7" s="1"/>
  <c r="AN97" i="7" a="1"/>
  <c r="AN97" i="7" s="1"/>
  <c r="AN98" i="7" a="1"/>
  <c r="AN98" i="7" s="1"/>
  <c r="AN99" i="7" a="1"/>
  <c r="AN99" i="7"/>
  <c r="AN100" i="7" a="1"/>
  <c r="AN100" i="7" s="1"/>
  <c r="AN101" i="7" a="1"/>
  <c r="AN101" i="7" s="1"/>
  <c r="AN102" i="7" a="1"/>
  <c r="AN102" i="7" s="1"/>
  <c r="AN103" i="7" a="1"/>
  <c r="AN103" i="7"/>
  <c r="AN104" i="7" a="1"/>
  <c r="AN104" i="7" s="1"/>
  <c r="AN105" i="7" a="1"/>
  <c r="AN105" i="7" s="1"/>
  <c r="AN106" i="7" a="1"/>
  <c r="AN106" i="7" s="1"/>
  <c r="AN107" i="7" a="1"/>
  <c r="AN107" i="7"/>
  <c r="AN108" i="7" a="1"/>
  <c r="AN108" i="7" s="1"/>
  <c r="AN109" i="7" a="1"/>
  <c r="AN109" i="7" s="1"/>
  <c r="AN110" i="7" a="1"/>
  <c r="AN110" i="7" s="1"/>
  <c r="AN111" i="7" a="1"/>
  <c r="AN111" i="7"/>
  <c r="AN112" i="7" a="1"/>
  <c r="AN112" i="7" s="1"/>
  <c r="AN113" i="7" a="1"/>
  <c r="AN113" i="7" s="1"/>
  <c r="AN114" i="7" a="1"/>
  <c r="AN114" i="7" s="1"/>
  <c r="AN115" i="7" a="1"/>
  <c r="AN115" i="7"/>
  <c r="AN116" i="7" a="1"/>
  <c r="AN116" i="7" s="1"/>
  <c r="AN117" i="7" a="1"/>
  <c r="AN117" i="7" s="1"/>
  <c r="AN118" i="7" a="1"/>
  <c r="AN118" i="7" s="1"/>
  <c r="AN119" i="7" a="1"/>
  <c r="AN119" i="7"/>
  <c r="AN120" i="7" a="1"/>
  <c r="AN120" i="7" s="1"/>
  <c r="AN121" i="7" a="1"/>
  <c r="AN121" i="7" s="1"/>
  <c r="AN122" i="7" a="1"/>
  <c r="AN122" i="7" s="1"/>
  <c r="AN123" i="7" a="1"/>
  <c r="AN123" i="7"/>
  <c r="AN124" i="7" a="1"/>
  <c r="AN124" i="7" s="1"/>
  <c r="AN125" i="7" a="1"/>
  <c r="AN125" i="7" s="1"/>
  <c r="AN126" i="7" a="1"/>
  <c r="AN126" i="7" s="1"/>
  <c r="AN127" i="7" a="1"/>
  <c r="AN127" i="7"/>
  <c r="AN128" i="7" a="1"/>
  <c r="AN128" i="7" s="1"/>
  <c r="AN129" i="7" a="1"/>
  <c r="AN129" i="7" s="1"/>
  <c r="AN130" i="7" a="1"/>
  <c r="AN130" i="7" s="1"/>
  <c r="AN131" i="7" a="1"/>
  <c r="AN131" i="7"/>
  <c r="AN132" i="7" a="1"/>
  <c r="AN132" i="7" s="1"/>
  <c r="AN133" i="7" a="1"/>
  <c r="AN133" i="7" s="1"/>
  <c r="AN134" i="7" a="1"/>
  <c r="AN134" i="7" s="1"/>
  <c r="AN135" i="7" a="1"/>
  <c r="AN135" i="7"/>
  <c r="AN136" i="7" a="1"/>
  <c r="AN136" i="7" s="1"/>
  <c r="AN137" i="7" a="1"/>
  <c r="AN137" i="7" s="1"/>
  <c r="AN138" i="7" a="1"/>
  <c r="AN138" i="7" s="1"/>
  <c r="AN139" i="7" a="1"/>
  <c r="AN139" i="7"/>
  <c r="AN140" i="7" a="1"/>
  <c r="AN140" i="7" s="1"/>
  <c r="AN141" i="7" a="1"/>
  <c r="AN141" i="7" s="1"/>
  <c r="AN142" i="7" a="1"/>
  <c r="AN142" i="7" s="1"/>
  <c r="AN143" i="7" a="1"/>
  <c r="AN143" i="7"/>
  <c r="AN144" i="7" a="1"/>
  <c r="AN144" i="7" s="1"/>
  <c r="AN145" i="7" a="1"/>
  <c r="AN145" i="7" s="1"/>
  <c r="AN146" i="7" a="1"/>
  <c r="AN146" i="7" s="1"/>
  <c r="AN147" i="7" a="1"/>
  <c r="AN147" i="7"/>
  <c r="AN148" i="7" a="1"/>
  <c r="AN148" i="7" s="1"/>
  <c r="AN149" i="7" a="1"/>
  <c r="AN149" i="7" s="1"/>
  <c r="AN150" i="7" a="1"/>
  <c r="AN150" i="7" s="1"/>
  <c r="AN151" i="7" a="1"/>
  <c r="AN151" i="7"/>
  <c r="AN152" i="7" a="1"/>
  <c r="AN152" i="7" s="1"/>
  <c r="AN153" i="7" a="1"/>
  <c r="AN153" i="7" s="1"/>
  <c r="AN154" i="7" a="1"/>
  <c r="AN154" i="7" s="1"/>
  <c r="AN155" i="7" a="1"/>
  <c r="AN155" i="7"/>
  <c r="AN156" i="7" a="1"/>
  <c r="AN156" i="7" s="1"/>
  <c r="AN157" i="7" a="1"/>
  <c r="AN157" i="7" s="1"/>
  <c r="AN158" i="7" a="1"/>
  <c r="AN158" i="7" s="1"/>
  <c r="AN159" i="7" a="1"/>
  <c r="AN159" i="7"/>
  <c r="AN160" i="7" a="1"/>
  <c r="AN160" i="7" s="1"/>
  <c r="AN161" i="7" a="1"/>
  <c r="AN161" i="7" s="1"/>
  <c r="AN162" i="7" a="1"/>
  <c r="AN162" i="7" s="1"/>
  <c r="AN163" i="7" a="1"/>
  <c r="AN163" i="7"/>
  <c r="AN164" i="7" a="1"/>
  <c r="AN164" i="7" s="1"/>
  <c r="AN165" i="7" a="1"/>
  <c r="AN165" i="7" s="1"/>
  <c r="AN166" i="7" a="1"/>
  <c r="AN166" i="7" s="1"/>
  <c r="AN167" i="7" a="1"/>
  <c r="AN167" i="7"/>
  <c r="AN168" i="7" a="1"/>
  <c r="AN168" i="7" s="1"/>
  <c r="AN169" i="7" a="1"/>
  <c r="AN169" i="7" s="1"/>
  <c r="AN170" i="7" a="1"/>
  <c r="AN170" i="7" s="1"/>
  <c r="AN171" i="7" a="1"/>
  <c r="AN171" i="7"/>
  <c r="AN172" i="7" a="1"/>
  <c r="AN172" i="7" s="1"/>
  <c r="AN173" i="7" a="1"/>
  <c r="AN173" i="7" s="1"/>
  <c r="AN174" i="7" a="1"/>
  <c r="AN174" i="7" s="1"/>
  <c r="AN175" i="7" a="1"/>
  <c r="AN175" i="7"/>
  <c r="AN176" i="7" a="1"/>
  <c r="AN176" i="7" s="1"/>
  <c r="AN177" i="7" a="1"/>
  <c r="AN177" i="7" s="1"/>
  <c r="AN178" i="7" a="1"/>
  <c r="AN178" i="7" s="1"/>
  <c r="AN3" i="7" a="1"/>
  <c r="AN3" i="7" s="1"/>
  <c r="AN3" i="6" a="1"/>
  <c r="AN3" i="6" s="1"/>
  <c r="BD6" i="5" a="1"/>
  <c r="BD6" i="5"/>
  <c r="BD7" i="5" a="1"/>
  <c r="BD7" i="5" s="1"/>
  <c r="BD8" i="5" a="1"/>
  <c r="BD8" i="5" s="1"/>
  <c r="BD9" i="5" a="1"/>
  <c r="BD9" i="5" s="1"/>
  <c r="BD10" i="5" a="1"/>
  <c r="BD10" i="5"/>
  <c r="BD11" i="5" a="1"/>
  <c r="BD11" i="5" s="1"/>
  <c r="BD12" i="5" a="1"/>
  <c r="BD12" i="5" s="1"/>
  <c r="BD13" i="5" a="1"/>
  <c r="BD13" i="5" s="1"/>
  <c r="BD14" i="5" a="1"/>
  <c r="BD14" i="5" s="1"/>
  <c r="BD15" i="5" a="1"/>
  <c r="BD15" i="5"/>
  <c r="BD16" i="5" a="1"/>
  <c r="BD16" i="5" s="1"/>
  <c r="BD17" i="5" a="1"/>
  <c r="BD17" i="5" s="1"/>
  <c r="BD18" i="5" a="1"/>
  <c r="BD18" i="5" s="1"/>
  <c r="BD19" i="5" a="1"/>
  <c r="BD19" i="5" s="1"/>
  <c r="BD20" i="5" a="1"/>
  <c r="BD20" i="5" s="1"/>
  <c r="BD21" i="5" a="1"/>
  <c r="BD21" i="5" s="1"/>
  <c r="BD22" i="5" a="1"/>
  <c r="BD22" i="5"/>
  <c r="BD23" i="5" a="1"/>
  <c r="BD23" i="5"/>
  <c r="BD24" i="5" a="1"/>
  <c r="BD24" i="5" s="1"/>
  <c r="BD25" i="5" a="1"/>
  <c r="BD25" i="5" s="1"/>
  <c r="BD26" i="5" a="1"/>
  <c r="BD26" i="5" s="1"/>
  <c r="BD27" i="5" a="1"/>
  <c r="BD27" i="5" s="1"/>
  <c r="BD28" i="5" a="1"/>
  <c r="BD28" i="5" s="1"/>
  <c r="BD29" i="5" a="1"/>
  <c r="BD29" i="5"/>
  <c r="BD30" i="5" a="1"/>
  <c r="BD30" i="5" s="1"/>
  <c r="BD31" i="5" a="1"/>
  <c r="BD31" i="5" s="1"/>
  <c r="BD32" i="5" a="1"/>
  <c r="BD32" i="5" s="1"/>
  <c r="BD33" i="5" a="1"/>
  <c r="BD33" i="5"/>
  <c r="BD34" i="5" a="1"/>
  <c r="BD34" i="5" s="1"/>
  <c r="BD35" i="5" a="1"/>
  <c r="BD35" i="5" s="1"/>
  <c r="BD36" i="5" a="1"/>
  <c r="BD36" i="5" s="1"/>
  <c r="BD37" i="5" a="1"/>
  <c r="BD37" i="5" s="1"/>
  <c r="BD38" i="5" a="1"/>
  <c r="BD38" i="5"/>
  <c r="BD39" i="5" a="1"/>
  <c r="BD39" i="5" s="1"/>
  <c r="BD40" i="5" a="1"/>
  <c r="BD40" i="5" s="1"/>
  <c r="BD41" i="5" a="1"/>
  <c r="BD41" i="5" s="1"/>
  <c r="BD42" i="5" a="1"/>
  <c r="BD42" i="5" s="1"/>
  <c r="BD43" i="5" a="1"/>
  <c r="BD43" i="5" s="1"/>
  <c r="BD44" i="5" a="1"/>
  <c r="BD44" i="5" s="1"/>
  <c r="BD45" i="5" a="1"/>
  <c r="BD45" i="5"/>
  <c r="BD46" i="5" a="1"/>
  <c r="BD46" i="5"/>
  <c r="BD47" i="5" a="1"/>
  <c r="BD47" i="5" s="1"/>
  <c r="BD48" i="5" a="1"/>
  <c r="BD48" i="5" s="1"/>
  <c r="BD49" i="5" a="1"/>
  <c r="BD49" i="5" s="1"/>
  <c r="BD50" i="5" a="1"/>
  <c r="BD50" i="5" s="1"/>
  <c r="BD51" i="5" a="1"/>
  <c r="BD51" i="5"/>
  <c r="BD52" i="5" a="1"/>
  <c r="BD52" i="5" s="1"/>
  <c r="BD53" i="5" a="1"/>
  <c r="BD53" i="5" s="1"/>
  <c r="BD54" i="5" a="1"/>
  <c r="BD54" i="5" s="1"/>
  <c r="BD55" i="5" a="1"/>
  <c r="BD55" i="5"/>
  <c r="BD56" i="5" a="1"/>
  <c r="BD56" i="5" s="1"/>
  <c r="BD57" i="5" a="1"/>
  <c r="BD57" i="5" s="1"/>
  <c r="BD58" i="5" a="1"/>
  <c r="BD58" i="5" s="1"/>
  <c r="BD59" i="5" a="1"/>
  <c r="BD59" i="5" s="1"/>
  <c r="BD60" i="5" a="1"/>
  <c r="BD60" i="5" s="1"/>
  <c r="BD61" i="5" a="1"/>
  <c r="BD61" i="5"/>
  <c r="BD62" i="5" a="1"/>
  <c r="BD62" i="5" s="1"/>
  <c r="BD63" i="5" a="1"/>
  <c r="BD63" i="5"/>
  <c r="BD64" i="5" a="1"/>
  <c r="BD64" i="5" s="1"/>
  <c r="BD65" i="5" a="1"/>
  <c r="BD65" i="5" s="1"/>
  <c r="BD66" i="5" a="1"/>
  <c r="BD66" i="5" s="1"/>
  <c r="BD67" i="5" a="1"/>
  <c r="BD67" i="5" s="1"/>
  <c r="BD68" i="5" a="1"/>
  <c r="BD68" i="5" s="1"/>
  <c r="BD69" i="5" a="1"/>
  <c r="BD69" i="5"/>
  <c r="BD70" i="5" a="1"/>
  <c r="BD70" i="5"/>
  <c r="BD71" i="5" a="1"/>
  <c r="BD71" i="5" s="1"/>
  <c r="BD72" i="5" a="1"/>
  <c r="BD72" i="5" s="1"/>
  <c r="BD73" i="5" a="1"/>
  <c r="BD73" i="5" s="1"/>
  <c r="BD74" i="5" a="1"/>
  <c r="BD74" i="5"/>
  <c r="BD75" i="5" a="1"/>
  <c r="BD75" i="5" s="1"/>
  <c r="BD76" i="5" a="1"/>
  <c r="BD76" i="5" s="1"/>
  <c r="BD77" i="5" a="1"/>
  <c r="BD77" i="5" s="1"/>
  <c r="BD78" i="5" a="1"/>
  <c r="BD78" i="5" s="1"/>
  <c r="BD79" i="5" a="1"/>
  <c r="BD79" i="5"/>
  <c r="BD80" i="5" a="1"/>
  <c r="BD80" i="5" s="1"/>
  <c r="BD81" i="5" a="1"/>
  <c r="BD81" i="5" s="1"/>
  <c r="BD82" i="5" a="1"/>
  <c r="BD82" i="5" s="1"/>
  <c r="BD83" i="5" a="1"/>
  <c r="BD83" i="5"/>
  <c r="BD84" i="5" a="1"/>
  <c r="BD84" i="5" s="1"/>
  <c r="BD85" i="5" a="1"/>
  <c r="BD85" i="5" s="1"/>
  <c r="BD86" i="5" a="1"/>
  <c r="BD86" i="5"/>
  <c r="BD87" i="5" a="1"/>
  <c r="BD87" i="5"/>
  <c r="BD88" i="5" a="1"/>
  <c r="BD88" i="5" s="1"/>
  <c r="BD89" i="5" a="1"/>
  <c r="BD89" i="5" s="1"/>
  <c r="BD90" i="5" a="1"/>
  <c r="BD90" i="5" s="1"/>
  <c r="BD91" i="5" a="1"/>
  <c r="BD91" i="5" s="1"/>
  <c r="BD92" i="5" a="1"/>
  <c r="BD92" i="5" s="1"/>
  <c r="BD93" i="5" a="1"/>
  <c r="BD93" i="5"/>
  <c r="BD94" i="5" a="1"/>
  <c r="BD94" i="5" s="1"/>
  <c r="BD95" i="5" a="1"/>
  <c r="BD95" i="5"/>
  <c r="BD96" i="5" a="1"/>
  <c r="BD96" i="5" s="1"/>
  <c r="BD97" i="5" a="1"/>
  <c r="BD97" i="5" s="1"/>
  <c r="BD98" i="5" a="1"/>
  <c r="BD98" i="5"/>
  <c r="BD99" i="5" a="1"/>
  <c r="BD99" i="5" s="1"/>
  <c r="BD100" i="5" a="1"/>
  <c r="BD100" i="5" s="1"/>
  <c r="BD101" i="5" a="1"/>
  <c r="BD101" i="5" s="1"/>
  <c r="BD102" i="5" a="1"/>
  <c r="BD102" i="5"/>
  <c r="BD103" i="5" a="1"/>
  <c r="BD103" i="5" s="1"/>
  <c r="BD104" i="5" a="1"/>
  <c r="BD104" i="5" s="1"/>
  <c r="BD105" i="5" a="1"/>
  <c r="BD105" i="5"/>
  <c r="BD106" i="5" a="1"/>
  <c r="BD106" i="5" s="1"/>
  <c r="BD107" i="5" a="1"/>
  <c r="BD107" i="5" s="1"/>
  <c r="BD108" i="5" a="1"/>
  <c r="BD108" i="5" s="1"/>
  <c r="BD109" i="5" a="1"/>
  <c r="BD109" i="5" s="1"/>
  <c r="BD110" i="5" a="1"/>
  <c r="BD110" i="5" s="1"/>
  <c r="BD111" i="5" a="1"/>
  <c r="BD111" i="5"/>
  <c r="BD112" i="5" a="1"/>
  <c r="BD112" i="5" s="1"/>
  <c r="BD113" i="5" a="1"/>
  <c r="BD113" i="5" s="1"/>
  <c r="BD114" i="5" a="1"/>
  <c r="BD114" i="5"/>
  <c r="BD115" i="5" a="1"/>
  <c r="BD115" i="5"/>
  <c r="BD116" i="5" a="1"/>
  <c r="BD116" i="5" s="1"/>
  <c r="BD117" i="5" a="1"/>
  <c r="BD117" i="5" s="1"/>
  <c r="BD118" i="5" a="1"/>
  <c r="BD118" i="5" s="1"/>
  <c r="BD119" i="5" a="1"/>
  <c r="BD119" i="5" s="1"/>
  <c r="BD120" i="5" a="1"/>
  <c r="BD120" i="5" s="1"/>
  <c r="BD121" i="5" a="1"/>
  <c r="BD121" i="5"/>
  <c r="BD122" i="5" a="1"/>
  <c r="BD122" i="5" s="1"/>
  <c r="BD123" i="5" a="1"/>
  <c r="BD123" i="5"/>
  <c r="BD124" i="5" a="1"/>
  <c r="BD124" i="5" s="1"/>
  <c r="BD125" i="5" a="1"/>
  <c r="BD125" i="5" s="1"/>
  <c r="BD126" i="5" a="1"/>
  <c r="BD126" i="5"/>
  <c r="BD127" i="5" a="1"/>
  <c r="BD127" i="5" s="1"/>
  <c r="BD128" i="5" a="1"/>
  <c r="BD128" i="5" s="1"/>
  <c r="BD129" i="5" a="1"/>
  <c r="BD129" i="5" s="1"/>
  <c r="BD130" i="5" a="1"/>
  <c r="BD130" i="5" s="1"/>
  <c r="BD131" i="5" a="1"/>
  <c r="BD131" i="5" s="1"/>
  <c r="BD132" i="5" a="1"/>
  <c r="BD132" i="5" s="1"/>
  <c r="BD133" i="5" a="1"/>
  <c r="BD133" i="5" s="1"/>
  <c r="BD134" i="5" a="1"/>
  <c r="BD134" i="5"/>
  <c r="BD135" i="5" a="1"/>
  <c r="BD135" i="5"/>
  <c r="BD136" i="5" a="1"/>
  <c r="BD136" i="5" s="1"/>
  <c r="BD137" i="5" a="1"/>
  <c r="BD137" i="5" s="1"/>
  <c r="BD138" i="5" a="1"/>
  <c r="BD138" i="5" s="1"/>
  <c r="BD139" i="5" a="1"/>
  <c r="BD139" i="5"/>
  <c r="BD140" i="5" a="1"/>
  <c r="BD140" i="5" s="1"/>
  <c r="BD141" i="5" a="1"/>
  <c r="BD141" i="5" s="1"/>
  <c r="BD142" i="5" a="1"/>
  <c r="BD142" i="5"/>
  <c r="BD143" i="5" a="1"/>
  <c r="BD143" i="5" s="1"/>
  <c r="BD144" i="5" a="1"/>
  <c r="BD144" i="5" s="1"/>
  <c r="BD145" i="5" a="1"/>
  <c r="BD145" i="5" s="1"/>
  <c r="BD146" i="5" a="1"/>
  <c r="BD146" i="5"/>
  <c r="BD147" i="5" a="1"/>
  <c r="BD147" i="5"/>
  <c r="BD148" i="5" a="1"/>
  <c r="BD148" i="5" s="1"/>
  <c r="BD149" i="5" a="1"/>
  <c r="BD149" i="5" s="1"/>
  <c r="BD150" i="5" a="1"/>
  <c r="BD150" i="5"/>
  <c r="BD151" i="5" a="1"/>
  <c r="BD151" i="5"/>
  <c r="BD152" i="5" a="1"/>
  <c r="BD152" i="5" s="1"/>
  <c r="BD153" i="5" a="1"/>
  <c r="BD153" i="5" s="1"/>
  <c r="BD154" i="5" a="1"/>
  <c r="BD154" i="5" s="1"/>
  <c r="BD155" i="5" a="1"/>
  <c r="BD155" i="5"/>
  <c r="BD156" i="5" a="1"/>
  <c r="BD156" i="5" s="1"/>
  <c r="BD157" i="5" a="1"/>
  <c r="BD157" i="5" s="1"/>
  <c r="BD158" i="5" a="1"/>
  <c r="BD158" i="5"/>
  <c r="BD159" i="5" a="1"/>
  <c r="BD159" i="5" s="1"/>
  <c r="BD160" i="5" a="1"/>
  <c r="BD160" i="5" s="1"/>
  <c r="BD161" i="5" a="1"/>
  <c r="BD161" i="5" s="1"/>
  <c r="BD162" i="5" a="1"/>
  <c r="BD162" i="5"/>
  <c r="BD163" i="5" a="1"/>
  <c r="BD163" i="5"/>
  <c r="BD164" i="5" a="1"/>
  <c r="BD164" i="5" s="1"/>
  <c r="BD165" i="5" a="1"/>
  <c r="BD165" i="5" s="1"/>
  <c r="BD166" i="5" a="1"/>
  <c r="BD166" i="5"/>
  <c r="BD167" i="5" a="1"/>
  <c r="BD167" i="5"/>
  <c r="BD168" i="5" a="1"/>
  <c r="BD168" i="5" s="1"/>
  <c r="BD169" i="5" a="1"/>
  <c r="BD169" i="5" s="1"/>
  <c r="BD170" i="5" a="1"/>
  <c r="BD170" i="5" s="1"/>
  <c r="BD171" i="5" a="1"/>
  <c r="BD171" i="5"/>
  <c r="BD172" i="5" a="1"/>
  <c r="BD172" i="5" s="1"/>
  <c r="BD173" i="5" a="1"/>
  <c r="BD173" i="5" s="1"/>
  <c r="BD174" i="5" a="1"/>
  <c r="BD174" i="5"/>
  <c r="BD175" i="5" a="1"/>
  <c r="BD175" i="5" s="1"/>
  <c r="BD176" i="5" a="1"/>
  <c r="BD176" i="5" s="1"/>
  <c r="BD177" i="5" a="1"/>
  <c r="BD177" i="5" s="1"/>
  <c r="BD178" i="5" a="1"/>
  <c r="BD178" i="5"/>
  <c r="BD3" i="5" a="1"/>
  <c r="BD3" i="5" s="1"/>
  <c r="X3" i="7" a="1"/>
  <c r="X3" i="7" s="1"/>
  <c r="I5" i="6" l="1"/>
  <c r="I5" i="5"/>
  <c r="I5" i="2"/>
  <c r="H5" i="6"/>
  <c r="H5" i="5"/>
  <c r="H5" i="2"/>
  <c r="G5" i="6"/>
  <c r="G5" i="5"/>
  <c r="G5" i="2"/>
  <c r="F5" i="6"/>
  <c r="F5" i="5"/>
  <c r="F5" i="2"/>
  <c r="I4" i="6"/>
  <c r="I4" i="5"/>
  <c r="I4" i="2"/>
  <c r="H4" i="6"/>
  <c r="H4" i="5"/>
  <c r="H4" i="2"/>
  <c r="G4" i="6"/>
  <c r="G4" i="5"/>
  <c r="G4" i="2"/>
  <c r="F4" i="6"/>
  <c r="F4" i="5"/>
  <c r="F4" i="2"/>
  <c r="E4" i="2"/>
  <c r="E4" i="5"/>
  <c r="E4" i="6"/>
  <c r="E5" i="5"/>
  <c r="E5" i="6"/>
  <c r="E5" i="2"/>
  <c r="D47" i="7"/>
  <c r="D47" i="6"/>
  <c r="D47" i="4"/>
  <c r="D47" i="2"/>
  <c r="D47" i="5"/>
  <c r="D47" i="8"/>
  <c r="D46" i="7"/>
  <c r="D46" i="8"/>
  <c r="D46" i="6"/>
  <c r="D46" i="4"/>
  <c r="D46" i="2"/>
  <c r="D46" i="5"/>
  <c r="D45" i="7"/>
  <c r="D45" i="8"/>
  <c r="D45" i="6"/>
  <c r="D45" i="4"/>
  <c r="D45" i="2"/>
  <c r="D45" i="5"/>
  <c r="D44" i="7"/>
  <c r="D44" i="6"/>
  <c r="D44" i="8"/>
  <c r="D44" i="5"/>
  <c r="D44" i="4"/>
  <c r="D44" i="2"/>
  <c r="D43" i="8"/>
  <c r="D43" i="7"/>
  <c r="D43" i="6"/>
  <c r="D43" i="4"/>
  <c r="D43" i="2"/>
  <c r="D43" i="5"/>
  <c r="D42" i="8"/>
  <c r="D42" i="7"/>
  <c r="D42" i="6"/>
  <c r="D42" i="4"/>
  <c r="D42" i="2"/>
  <c r="D42" i="5"/>
  <c r="D41" i="8"/>
  <c r="D41" i="7"/>
  <c r="D41" i="6"/>
  <c r="D41" i="4"/>
  <c r="D41" i="2"/>
  <c r="D41" i="5"/>
  <c r="D40" i="7"/>
  <c r="D40" i="8"/>
  <c r="D40" i="6"/>
  <c r="D40" i="5"/>
  <c r="D40" i="4"/>
  <c r="D40" i="2"/>
  <c r="D39" i="9"/>
  <c r="D39" i="7"/>
  <c r="D39" i="6"/>
  <c r="D39" i="8"/>
  <c r="D39" i="4"/>
  <c r="D39" i="2"/>
  <c r="D39" i="5"/>
  <c r="D38" i="9"/>
  <c r="D38" i="7"/>
  <c r="D38" i="8"/>
  <c r="D38" i="6"/>
  <c r="D38" i="4"/>
  <c r="D38" i="2"/>
  <c r="D38" i="5"/>
  <c r="D37" i="7"/>
  <c r="D37" i="8"/>
  <c r="D37" i="6"/>
  <c r="D37" i="9"/>
  <c r="D37" i="4"/>
  <c r="D37" i="2"/>
  <c r="D37" i="5"/>
  <c r="D36" i="7"/>
  <c r="D36" i="8"/>
  <c r="D36" i="6"/>
  <c r="D36" i="9"/>
  <c r="D36" i="5"/>
  <c r="D36" i="4"/>
  <c r="D36" i="2"/>
  <c r="D35" i="8"/>
  <c r="D35" i="7"/>
  <c r="D35" i="9"/>
  <c r="D35" i="6"/>
  <c r="D35" i="4"/>
  <c r="D35" i="2"/>
  <c r="D35" i="5"/>
  <c r="D34" i="8"/>
  <c r="D34" i="7"/>
  <c r="D34" i="9"/>
  <c r="D34" i="6"/>
  <c r="D34" i="4"/>
  <c r="D34" i="2"/>
  <c r="D34" i="5"/>
  <c r="D33" i="8"/>
  <c r="D33" i="7"/>
  <c r="D33" i="9"/>
  <c r="D33" i="6"/>
  <c r="D33" i="4"/>
  <c r="D33" i="2"/>
  <c r="D33" i="5"/>
  <c r="D32" i="9"/>
  <c r="D32" i="7"/>
  <c r="D32" i="6"/>
  <c r="D32" i="5"/>
  <c r="D32" i="4"/>
  <c r="D32" i="8"/>
  <c r="D32" i="2"/>
  <c r="D31" i="9"/>
  <c r="D31" i="7"/>
  <c r="D31" i="6"/>
  <c r="D31" i="4"/>
  <c r="D31" i="2"/>
  <c r="D31" i="5"/>
  <c r="D31" i="8"/>
  <c r="D30" i="9"/>
  <c r="D30" i="7"/>
  <c r="D30" i="8"/>
  <c r="D30" i="6"/>
  <c r="D30" i="4"/>
  <c r="D30" i="2"/>
  <c r="D30" i="5"/>
  <c r="D29" i="7"/>
  <c r="D29" i="8"/>
  <c r="D29" i="9"/>
  <c r="D29" i="6"/>
  <c r="D29" i="4"/>
  <c r="D29" i="2"/>
  <c r="D29" i="5"/>
  <c r="D28" i="7"/>
  <c r="D28" i="9"/>
  <c r="D28" i="6"/>
  <c r="D28" i="8"/>
  <c r="D28" i="5"/>
  <c r="D28" i="4"/>
  <c r="D28" i="2"/>
  <c r="D27" i="8"/>
  <c r="D27" i="7"/>
  <c r="D27" i="9"/>
  <c r="D27" i="6"/>
  <c r="D27" i="4"/>
  <c r="D27" i="2"/>
  <c r="D27" i="5"/>
  <c r="D26" i="8"/>
  <c r="D26" i="7"/>
  <c r="D26" i="9"/>
  <c r="D26" i="6"/>
  <c r="D26" i="4"/>
  <c r="D26" i="2"/>
  <c r="D26" i="5"/>
  <c r="D25" i="8"/>
  <c r="D25" i="7"/>
  <c r="D25" i="6"/>
  <c r="D25" i="9"/>
  <c r="D25" i="5"/>
  <c r="D25" i="4"/>
  <c r="D25" i="2"/>
  <c r="D24" i="9"/>
  <c r="D24" i="7"/>
  <c r="D24" i="8"/>
  <c r="D24" i="6"/>
  <c r="D24" i="5"/>
  <c r="D24" i="4"/>
  <c r="D24" i="2"/>
  <c r="D23" i="9"/>
  <c r="D23" i="7"/>
  <c r="D23" i="6"/>
  <c r="D23" i="8"/>
  <c r="D23" i="2"/>
  <c r="D23" i="4"/>
  <c r="D23" i="5"/>
  <c r="D22" i="9"/>
  <c r="D22" i="7"/>
  <c r="D22" i="8"/>
  <c r="D22" i="6"/>
  <c r="D22" i="4"/>
  <c r="D22" i="2"/>
  <c r="D22" i="5"/>
  <c r="D21" i="7"/>
  <c r="D21" i="8"/>
  <c r="D21" i="6"/>
  <c r="D21" i="9"/>
  <c r="D21" i="4"/>
  <c r="D21" i="2"/>
  <c r="D21" i="5"/>
  <c r="D20" i="7"/>
  <c r="D20" i="8"/>
  <c r="D20" i="6"/>
  <c r="D20" i="9"/>
  <c r="D20" i="5"/>
  <c r="D20" i="4"/>
  <c r="D20" i="2"/>
  <c r="D19" i="8"/>
  <c r="D19" i="7"/>
  <c r="D19" i="9"/>
  <c r="D19" i="6"/>
  <c r="D19" i="4"/>
  <c r="D19" i="2"/>
  <c r="D19" i="5"/>
  <c r="D18" i="8"/>
  <c r="D18" i="7"/>
  <c r="D18" i="9"/>
  <c r="D18" i="6"/>
  <c r="D18" i="4"/>
  <c r="D18" i="2"/>
  <c r="D18" i="5"/>
  <c r="D17" i="8"/>
  <c r="D17" i="7"/>
  <c r="D17" i="9"/>
  <c r="D17" i="6"/>
  <c r="D17" i="4"/>
  <c r="D17" i="5"/>
  <c r="D17" i="2"/>
  <c r="D16" i="9"/>
  <c r="D16" i="7"/>
  <c r="D16" i="6"/>
  <c r="D16" i="5"/>
  <c r="D16" i="4"/>
  <c r="D16" i="8"/>
  <c r="D16" i="2"/>
  <c r="D15" i="9"/>
  <c r="D15" i="7"/>
  <c r="D15" i="6"/>
  <c r="D15" i="4"/>
  <c r="D15" i="2"/>
  <c r="D15" i="5"/>
  <c r="D15" i="8"/>
  <c r="D14" i="9"/>
  <c r="D14" i="7"/>
  <c r="D14" i="8"/>
  <c r="D14" i="6"/>
  <c r="D14" i="4"/>
  <c r="D14" i="2"/>
  <c r="D14" i="5"/>
  <c r="D13" i="7"/>
  <c r="D13" i="8"/>
  <c r="D13" i="9"/>
  <c r="D13" i="6"/>
  <c r="D13" i="4"/>
  <c r="D13" i="2"/>
  <c r="D13" i="5"/>
  <c r="D12" i="7"/>
  <c r="D12" i="9"/>
  <c r="D12" i="6"/>
  <c r="D12" i="8"/>
  <c r="D12" i="5"/>
  <c r="D12" i="4"/>
  <c r="D12" i="2"/>
  <c r="D11" i="8"/>
  <c r="D11" i="7"/>
  <c r="D11" i="9"/>
  <c r="D11" i="6"/>
  <c r="D11" i="2"/>
  <c r="D11" i="5"/>
  <c r="D11" i="4"/>
  <c r="D10" i="8"/>
  <c r="D10" i="7"/>
  <c r="D10" i="6"/>
  <c r="D10" i="9"/>
  <c r="D10" i="2"/>
  <c r="D10" i="5"/>
  <c r="D10" i="4"/>
  <c r="D9" i="8"/>
  <c r="D9" i="9"/>
  <c r="D9" i="7"/>
  <c r="D9" i="6"/>
  <c r="D9" i="2"/>
  <c r="D9" i="5"/>
  <c r="D9" i="4"/>
  <c r="D8" i="7"/>
  <c r="D8" i="8"/>
  <c r="D8" i="9"/>
  <c r="D8" i="6"/>
  <c r="D8" i="5"/>
  <c r="D8" i="4"/>
  <c r="D8" i="2"/>
  <c r="D7" i="9"/>
  <c r="D7" i="7"/>
  <c r="D7" i="6"/>
  <c r="D7" i="8"/>
  <c r="D7" i="4"/>
  <c r="D7" i="2"/>
  <c r="D7" i="5"/>
  <c r="D6" i="9"/>
  <c r="D6" i="7"/>
  <c r="D6" i="8"/>
  <c r="D6" i="6"/>
  <c r="D6" i="4"/>
  <c r="D6" i="2"/>
  <c r="D6" i="5"/>
  <c r="D5" i="9"/>
  <c r="D5" i="7"/>
  <c r="D5" i="8"/>
  <c r="D5" i="6"/>
  <c r="D5" i="4"/>
  <c r="D5" i="2"/>
  <c r="D5" i="5"/>
  <c r="D4" i="7"/>
  <c r="D4" i="8"/>
  <c r="D4" i="9"/>
  <c r="D4" i="6"/>
  <c r="D4" i="5"/>
  <c r="D4" i="4"/>
  <c r="D4" i="2"/>
  <c r="C47" i="7"/>
  <c r="C47" i="8"/>
  <c r="C47" i="6"/>
  <c r="C47" i="5"/>
  <c r="C47" i="4"/>
  <c r="C47" i="2"/>
  <c r="C46" i="7"/>
  <c r="C46" i="8"/>
  <c r="C46" i="6"/>
  <c r="C46" i="5"/>
  <c r="C46" i="4"/>
  <c r="C46" i="2"/>
  <c r="C45" i="7"/>
  <c r="C45" i="6"/>
  <c r="C45" i="8"/>
  <c r="C45" i="5"/>
  <c r="C45" i="4"/>
  <c r="C45" i="2"/>
  <c r="C44" i="7"/>
  <c r="C44" i="8"/>
  <c r="C44" i="6"/>
  <c r="C44" i="5"/>
  <c r="C44" i="4"/>
  <c r="C44" i="2"/>
  <c r="C43" i="8"/>
  <c r="C43" i="7"/>
  <c r="C43" i="6"/>
  <c r="C43" i="5"/>
  <c r="C43" i="4"/>
  <c r="C43" i="2"/>
  <c r="C42" i="8"/>
  <c r="C42" i="7"/>
  <c r="C42" i="6"/>
  <c r="C42" i="5"/>
  <c r="C42" i="4"/>
  <c r="C42" i="2"/>
  <c r="C41" i="7"/>
  <c r="C41" i="8"/>
  <c r="C41" i="6"/>
  <c r="C41" i="5"/>
  <c r="C41" i="4"/>
  <c r="C41" i="2"/>
  <c r="C40" i="7"/>
  <c r="C40" i="8"/>
  <c r="C40" i="6"/>
  <c r="C40" i="5"/>
  <c r="C40" i="4"/>
  <c r="C40" i="2"/>
  <c r="C39" i="9"/>
  <c r="C39" i="7"/>
  <c r="C39" i="8"/>
  <c r="C39" i="6"/>
  <c r="C39" i="5"/>
  <c r="C39" i="4"/>
  <c r="C39" i="2"/>
  <c r="C38" i="7"/>
  <c r="C38" i="8"/>
  <c r="C38" i="6"/>
  <c r="C38" i="5"/>
  <c r="C38" i="9"/>
  <c r="C38" i="4"/>
  <c r="C38" i="2"/>
  <c r="C37" i="7"/>
  <c r="C37" i="6"/>
  <c r="C37" i="5"/>
  <c r="C37" i="4"/>
  <c r="C37" i="2"/>
  <c r="C37" i="9"/>
  <c r="C37" i="8"/>
  <c r="C36" i="7"/>
  <c r="C36" i="8"/>
  <c r="C36" i="9"/>
  <c r="C36" i="6"/>
  <c r="C36" i="5"/>
  <c r="C36" i="4"/>
  <c r="C36" i="2"/>
  <c r="C35" i="8"/>
  <c r="C35" i="7"/>
  <c r="C35" i="9"/>
  <c r="C35" i="6"/>
  <c r="C35" i="5"/>
  <c r="C35" i="4"/>
  <c r="C35" i="2"/>
  <c r="C34" i="8"/>
  <c r="C34" i="7"/>
  <c r="C34" i="9"/>
  <c r="C34" i="6"/>
  <c r="C34" i="5"/>
  <c r="C34" i="4"/>
  <c r="C34" i="2"/>
  <c r="C33" i="7"/>
  <c r="C33" i="9"/>
  <c r="C33" i="6"/>
  <c r="C33" i="8"/>
  <c r="C33" i="5"/>
  <c r="C33" i="4"/>
  <c r="C33" i="2"/>
  <c r="C32" i="9"/>
  <c r="C32" i="7"/>
  <c r="C32" i="6"/>
  <c r="C32" i="8"/>
  <c r="C32" i="5"/>
  <c r="C32" i="4"/>
  <c r="C32" i="2"/>
  <c r="C31" i="9"/>
  <c r="C31" i="7"/>
  <c r="C31" i="8"/>
  <c r="C31" i="6"/>
  <c r="C31" i="5"/>
  <c r="C31" i="4"/>
  <c r="C31" i="2"/>
  <c r="C30" i="7"/>
  <c r="C30" i="8"/>
  <c r="C30" i="6"/>
  <c r="C30" i="5"/>
  <c r="C30" i="4"/>
  <c r="C30" i="2"/>
  <c r="C30" i="9"/>
  <c r="C29" i="7"/>
  <c r="C29" i="6"/>
  <c r="C29" i="8"/>
  <c r="C29" i="5"/>
  <c r="C29" i="4"/>
  <c r="C29" i="2"/>
  <c r="C29" i="9"/>
  <c r="C28" i="7"/>
  <c r="C28" i="8"/>
  <c r="C28" i="9"/>
  <c r="C28" i="6"/>
  <c r="C28" i="5"/>
  <c r="C28" i="4"/>
  <c r="C28" i="2"/>
  <c r="C27" i="8"/>
  <c r="C27" i="7"/>
  <c r="C27" i="9"/>
  <c r="C27" i="6"/>
  <c r="C27" i="5"/>
  <c r="C27" i="4"/>
  <c r="C27" i="2"/>
  <c r="C26" i="8"/>
  <c r="C26" i="7"/>
  <c r="C26" i="6"/>
  <c r="C26" i="9"/>
  <c r="C26" i="5"/>
  <c r="C26" i="4"/>
  <c r="C26" i="2"/>
  <c r="C25" i="7"/>
  <c r="C25" i="9"/>
  <c r="C25" i="8"/>
  <c r="C25" i="6"/>
  <c r="C25" i="5"/>
  <c r="C25" i="4"/>
  <c r="C25" i="2"/>
  <c r="C24" i="9"/>
  <c r="C24" i="7"/>
  <c r="C24" i="8"/>
  <c r="C24" i="6"/>
  <c r="C24" i="5"/>
  <c r="C24" i="4"/>
  <c r="C24" i="2"/>
  <c r="C23" i="9"/>
  <c r="C23" i="7"/>
  <c r="C23" i="8"/>
  <c r="C23" i="6"/>
  <c r="C23" i="5"/>
  <c r="C23" i="4"/>
  <c r="C23" i="2"/>
  <c r="C22" i="7"/>
  <c r="C22" i="8"/>
  <c r="C22" i="6"/>
  <c r="C22" i="5"/>
  <c r="C22" i="9"/>
  <c r="C22" i="4"/>
  <c r="C22" i="2"/>
  <c r="C21" i="7"/>
  <c r="C21" i="6"/>
  <c r="C21" i="5"/>
  <c r="C21" i="4"/>
  <c r="C21" i="2"/>
  <c r="C21" i="9"/>
  <c r="C21" i="8"/>
  <c r="C20" i="7"/>
  <c r="C20" i="8"/>
  <c r="C20" i="9"/>
  <c r="C20" i="6"/>
  <c r="C20" i="5"/>
  <c r="C20" i="4"/>
  <c r="C20" i="2"/>
  <c r="C19" i="8"/>
  <c r="C19" i="7"/>
  <c r="C19" i="9"/>
  <c r="C19" i="6"/>
  <c r="C19" i="5"/>
  <c r="C19" i="4"/>
  <c r="C19" i="2"/>
  <c r="C18" i="8"/>
  <c r="C18" i="7"/>
  <c r="C18" i="9"/>
  <c r="C18" i="6"/>
  <c r="C18" i="5"/>
  <c r="C18" i="4"/>
  <c r="C18" i="2"/>
  <c r="C17" i="7"/>
  <c r="C17" i="9"/>
  <c r="C17" i="6"/>
  <c r="C17" i="8"/>
  <c r="C17" i="5"/>
  <c r="C17" i="4"/>
  <c r="C17" i="2"/>
  <c r="C16" i="9"/>
  <c r="C16" i="7"/>
  <c r="C16" i="6"/>
  <c r="C16" i="8"/>
  <c r="C16" i="5"/>
  <c r="C16" i="4"/>
  <c r="C16" i="2"/>
  <c r="C15" i="9"/>
  <c r="C15" i="7"/>
  <c r="C15" i="8"/>
  <c r="C15" i="6"/>
  <c r="C15" i="5"/>
  <c r="C15" i="4"/>
  <c r="C15" i="2"/>
  <c r="C14" i="7"/>
  <c r="C14" i="8"/>
  <c r="C14" i="6"/>
  <c r="C14" i="5"/>
  <c r="C14" i="4"/>
  <c r="C14" i="2"/>
  <c r="C14" i="9"/>
  <c r="C13" i="7"/>
  <c r="C13" i="9"/>
  <c r="C13" i="6"/>
  <c r="C13" i="8"/>
  <c r="C13" i="5"/>
  <c r="C13" i="4"/>
  <c r="C13" i="2"/>
  <c r="C12" i="7"/>
  <c r="C12" i="8"/>
  <c r="C12" i="9"/>
  <c r="C12" i="6"/>
  <c r="C12" i="5"/>
  <c r="C12" i="4"/>
  <c r="C12" i="2"/>
  <c r="C11" i="8"/>
  <c r="C11" i="7"/>
  <c r="C11" i="6"/>
  <c r="C11" i="9"/>
  <c r="C11" i="5"/>
  <c r="C11" i="4"/>
  <c r="C11" i="2"/>
  <c r="C10" i="8"/>
  <c r="C10" i="7"/>
  <c r="C10" i="9"/>
  <c r="C10" i="6"/>
  <c r="C10" i="5"/>
  <c r="C10" i="4"/>
  <c r="C10" i="2"/>
  <c r="C9" i="9"/>
  <c r="C9" i="7"/>
  <c r="C9" i="8"/>
  <c r="C9" i="6"/>
  <c r="C9" i="5"/>
  <c r="C9" i="4"/>
  <c r="C9" i="2"/>
  <c r="C8" i="7"/>
  <c r="C8" i="9"/>
  <c r="C8" i="8"/>
  <c r="C8" i="6"/>
  <c r="C8" i="5"/>
  <c r="C8" i="4"/>
  <c r="C8" i="2"/>
  <c r="C7" i="9"/>
  <c r="C7" i="7"/>
  <c r="C7" i="8"/>
  <c r="C7" i="6"/>
  <c r="C7" i="5"/>
  <c r="C7" i="4"/>
  <c r="C7" i="2"/>
  <c r="C6" i="9"/>
  <c r="C6" i="7"/>
  <c r="C6" i="8"/>
  <c r="C6" i="6"/>
  <c r="C6" i="5"/>
  <c r="C6" i="4"/>
  <c r="C6" i="2"/>
  <c r="C5" i="7"/>
  <c r="C5" i="6"/>
  <c r="C5" i="5"/>
  <c r="C5" i="4"/>
  <c r="C5" i="2"/>
  <c r="C5" i="9"/>
  <c r="C5" i="8"/>
  <c r="C4" i="7"/>
  <c r="C4" i="8"/>
  <c r="C4" i="6"/>
  <c r="C4" i="5"/>
  <c r="C4" i="4"/>
  <c r="C4" i="2"/>
  <c r="C4" i="9"/>
  <c r="B47" i="7"/>
  <c r="B47" i="8"/>
  <c r="B47" i="6"/>
  <c r="B47" i="5"/>
  <c r="B47" i="2"/>
  <c r="B47" i="4"/>
  <c r="B46" i="7"/>
  <c r="B46" i="8"/>
  <c r="B46" i="6"/>
  <c r="B46" i="5"/>
  <c r="B46" i="2"/>
  <c r="B46" i="4"/>
  <c r="B45" i="7"/>
  <c r="B45" i="8"/>
  <c r="B45" i="6"/>
  <c r="B45" i="5"/>
  <c r="B45" i="2"/>
  <c r="B45" i="4"/>
  <c r="B44" i="7"/>
  <c r="B44" i="8"/>
  <c r="B44" i="6"/>
  <c r="B44" i="5"/>
  <c r="B44" i="2"/>
  <c r="B44" i="4"/>
  <c r="B43" i="8"/>
  <c r="B43" i="7"/>
  <c r="B43" i="6"/>
  <c r="B43" i="5"/>
  <c r="B43" i="2"/>
  <c r="B43" i="4"/>
  <c r="B42" i="7"/>
  <c r="B42" i="8"/>
  <c r="B42" i="6"/>
  <c r="B42" i="5"/>
  <c r="B42" i="2"/>
  <c r="B42" i="4"/>
  <c r="B41" i="7"/>
  <c r="B41" i="8"/>
  <c r="B41" i="6"/>
  <c r="B41" i="5"/>
  <c r="B41" i="2"/>
  <c r="B41" i="4"/>
  <c r="B40" i="7"/>
  <c r="B40" i="8"/>
  <c r="B40" i="6"/>
  <c r="B40" i="5"/>
  <c r="B40" i="2"/>
  <c r="B40" i="4"/>
  <c r="B39" i="7"/>
  <c r="B39" i="8"/>
  <c r="B39" i="6"/>
  <c r="B39" i="9"/>
  <c r="B39" i="5"/>
  <c r="B39" i="2"/>
  <c r="B39" i="4"/>
  <c r="B38" i="7"/>
  <c r="B38" i="6"/>
  <c r="B38" i="9"/>
  <c r="B38" i="8"/>
  <c r="B38" i="5"/>
  <c r="B38" i="2"/>
  <c r="B38" i="4"/>
  <c r="B37" i="7"/>
  <c r="B37" i="8"/>
  <c r="B37" i="9"/>
  <c r="B37" i="6"/>
  <c r="B37" i="5"/>
  <c r="B37" i="2"/>
  <c r="B37" i="4"/>
  <c r="B36" i="7"/>
  <c r="B36" i="8"/>
  <c r="B36" i="9"/>
  <c r="B36" i="6"/>
  <c r="B36" i="5"/>
  <c r="B36" i="2"/>
  <c r="B36" i="4"/>
  <c r="B35" i="8"/>
  <c r="B35" i="7"/>
  <c r="B35" i="6"/>
  <c r="B35" i="5"/>
  <c r="B35" i="2"/>
  <c r="B35" i="4"/>
  <c r="B35" i="9"/>
  <c r="B34" i="7"/>
  <c r="B34" i="9"/>
  <c r="B34" i="6"/>
  <c r="B34" i="8"/>
  <c r="B34" i="5"/>
  <c r="B34" i="2"/>
  <c r="B34" i="4"/>
  <c r="B33" i="7"/>
  <c r="B33" i="9"/>
  <c r="B33" i="6"/>
  <c r="B33" i="8"/>
  <c r="B33" i="5"/>
  <c r="B33" i="2"/>
  <c r="B33" i="4"/>
  <c r="B32" i="9"/>
  <c r="B32" i="7"/>
  <c r="B32" i="8"/>
  <c r="B32" i="6"/>
  <c r="B32" i="5"/>
  <c r="B32" i="2"/>
  <c r="B32" i="4"/>
  <c r="B31" i="7"/>
  <c r="B31" i="8"/>
  <c r="B31" i="6"/>
  <c r="B31" i="5"/>
  <c r="B31" i="2"/>
  <c r="B31" i="9"/>
  <c r="B31" i="4"/>
  <c r="B30" i="7"/>
  <c r="B30" i="8"/>
  <c r="B30" i="6"/>
  <c r="B30" i="5"/>
  <c r="B30" i="2"/>
  <c r="B30" i="9"/>
  <c r="B30" i="4"/>
  <c r="B29" i="7"/>
  <c r="B29" i="8"/>
  <c r="B29" i="9"/>
  <c r="B29" i="6"/>
  <c r="B29" i="5"/>
  <c r="B29" i="2"/>
  <c r="B29" i="4"/>
  <c r="B28" i="7"/>
  <c r="B28" i="8"/>
  <c r="B28" i="9"/>
  <c r="B28" i="6"/>
  <c r="B28" i="5"/>
  <c r="B28" i="2"/>
  <c r="B28" i="4"/>
  <c r="B27" i="8"/>
  <c r="B27" i="7"/>
  <c r="B27" i="6"/>
  <c r="B27" i="9"/>
  <c r="B27" i="5"/>
  <c r="B27" i="2"/>
  <c r="B27" i="4"/>
  <c r="B26" i="7"/>
  <c r="B26" i="9"/>
  <c r="B26" i="8"/>
  <c r="B26" i="6"/>
  <c r="B26" i="5"/>
  <c r="B26" i="2"/>
  <c r="B26" i="4"/>
  <c r="B25" i="7"/>
  <c r="B25" i="9"/>
  <c r="B25" i="8"/>
  <c r="B25" i="6"/>
  <c r="B25" i="5"/>
  <c r="B25" i="2"/>
  <c r="B25" i="4"/>
  <c r="B24" i="9"/>
  <c r="B24" i="7"/>
  <c r="B24" i="8"/>
  <c r="B24" i="6"/>
  <c r="B24" i="5"/>
  <c r="B24" i="2"/>
  <c r="B24" i="4"/>
  <c r="B23" i="7"/>
  <c r="B23" i="8"/>
  <c r="B23" i="6"/>
  <c r="B23" i="9"/>
  <c r="B23" i="5"/>
  <c r="B23" i="2"/>
  <c r="B23" i="4"/>
  <c r="B22" i="7"/>
  <c r="B22" i="6"/>
  <c r="B22" i="9"/>
  <c r="B22" i="8"/>
  <c r="B22" i="5"/>
  <c r="B22" i="2"/>
  <c r="B22" i="4"/>
  <c r="B21" i="7"/>
  <c r="B21" i="8"/>
  <c r="B21" i="9"/>
  <c r="B21" i="6"/>
  <c r="B21" i="5"/>
  <c r="B21" i="2"/>
  <c r="B21" i="4"/>
  <c r="B20" i="7"/>
  <c r="B20" i="8"/>
  <c r="B20" i="9"/>
  <c r="B20" i="6"/>
  <c r="B20" i="5"/>
  <c r="B20" i="2"/>
  <c r="B20" i="4"/>
  <c r="B19" i="8"/>
  <c r="B19" i="7"/>
  <c r="B19" i="6"/>
  <c r="B19" i="5"/>
  <c r="B19" i="2"/>
  <c r="B19" i="9"/>
  <c r="B19" i="4"/>
  <c r="B18" i="7"/>
  <c r="B18" i="9"/>
  <c r="B18" i="6"/>
  <c r="B18" i="8"/>
  <c r="B18" i="5"/>
  <c r="B18" i="2"/>
  <c r="B18" i="4"/>
  <c r="B17" i="7"/>
  <c r="B17" i="9"/>
  <c r="B17" i="6"/>
  <c r="B17" i="8"/>
  <c r="B17" i="5"/>
  <c r="B17" i="2"/>
  <c r="B17" i="4"/>
  <c r="B16" i="9"/>
  <c r="B16" i="7"/>
  <c r="B16" i="8"/>
  <c r="B16" i="6"/>
  <c r="B16" i="5"/>
  <c r="B16" i="2"/>
  <c r="B16" i="4"/>
  <c r="B15" i="7"/>
  <c r="B15" i="8"/>
  <c r="B15" i="6"/>
  <c r="B15" i="5"/>
  <c r="B15" i="2"/>
  <c r="B15" i="9"/>
  <c r="B15" i="4"/>
  <c r="B14" i="7"/>
  <c r="B14" i="8"/>
  <c r="B14" i="6"/>
  <c r="B14" i="5"/>
  <c r="B14" i="2"/>
  <c r="B14" i="9"/>
  <c r="B14" i="4"/>
  <c r="B13" i="7"/>
  <c r="B13" i="8"/>
  <c r="B13" i="9"/>
  <c r="B13" i="6"/>
  <c r="B13" i="5"/>
  <c r="B13" i="4"/>
  <c r="B13" i="2"/>
  <c r="B12" i="7"/>
  <c r="B12" i="8"/>
  <c r="B12" i="6"/>
  <c r="B12" i="9"/>
  <c r="B12" i="5"/>
  <c r="B12" i="2"/>
  <c r="B12" i="4"/>
  <c r="B11" i="8"/>
  <c r="B11" i="7"/>
  <c r="B11" i="9"/>
  <c r="B11" i="6"/>
  <c r="B11" i="5"/>
  <c r="B11" i="4"/>
  <c r="B11" i="2"/>
  <c r="B10" i="7"/>
  <c r="B10" i="9"/>
  <c r="B10" i="8"/>
  <c r="B10" i="6"/>
  <c r="B10" i="5"/>
  <c r="B10" i="4"/>
  <c r="B10" i="2"/>
  <c r="B9" i="9"/>
  <c r="B9" i="7"/>
  <c r="B9" i="8"/>
  <c r="B9" i="6"/>
  <c r="B9" i="5"/>
  <c r="B9" i="4"/>
  <c r="B9" i="2"/>
  <c r="B8" i="7"/>
  <c r="B8" i="9"/>
  <c r="B8" i="8"/>
  <c r="B8" i="6"/>
  <c r="B8" i="5"/>
  <c r="B8" i="2"/>
  <c r="B8" i="4"/>
  <c r="B7" i="9"/>
  <c r="B7" i="7"/>
  <c r="B7" i="8"/>
  <c r="B7" i="6"/>
  <c r="B7" i="5"/>
  <c r="B7" i="2"/>
  <c r="B7" i="4"/>
  <c r="B6" i="7"/>
  <c r="B6" i="6"/>
  <c r="B6" i="8"/>
  <c r="B6" i="5"/>
  <c r="B6" i="2"/>
  <c r="B6" i="9"/>
  <c r="B6" i="4"/>
  <c r="B5" i="7"/>
  <c r="B5" i="8"/>
  <c r="B5" i="6"/>
  <c r="B5" i="5"/>
  <c r="B5" i="2"/>
  <c r="B5" i="9"/>
  <c r="B5" i="4"/>
  <c r="B4" i="7"/>
  <c r="B4" i="8"/>
  <c r="B4" i="9"/>
  <c r="B4" i="6"/>
  <c r="B4" i="5"/>
  <c r="B4" i="2"/>
  <c r="B4" i="4"/>
  <c r="W3" i="6" a="1"/>
  <c r="W3" i="6" s="1"/>
  <c r="H3" i="4"/>
  <c r="G3" i="4"/>
  <c r="F3" i="4"/>
  <c r="E3" i="4"/>
  <c r="AD3" i="4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B3" i="1"/>
  <c r="B3" i="5" s="1"/>
  <c r="I3" i="1"/>
  <c r="I3" i="5" s="1"/>
  <c r="H3" i="1"/>
  <c r="H3" i="5" s="1"/>
  <c r="G3" i="1"/>
  <c r="F3" i="1"/>
  <c r="E3" i="1"/>
  <c r="G3" i="6" l="1"/>
  <c r="G3" i="5"/>
  <c r="E3" i="8"/>
  <c r="E3" i="7"/>
  <c r="E3" i="9"/>
  <c r="F3" i="8"/>
  <c r="F3" i="9"/>
  <c r="F3" i="7"/>
  <c r="B3" i="2"/>
  <c r="I3" i="4"/>
  <c r="B3" i="6"/>
  <c r="F3" i="6"/>
  <c r="E3" i="6"/>
  <c r="E3" i="2"/>
  <c r="E3" i="5"/>
  <c r="F3" i="5"/>
  <c r="G3" i="2"/>
  <c r="G3" i="8"/>
  <c r="G3" i="9"/>
  <c r="G3" i="7"/>
  <c r="H3" i="2"/>
  <c r="H3" i="8"/>
  <c r="H3" i="9"/>
  <c r="H3" i="7"/>
  <c r="F3" i="2"/>
  <c r="H3" i="6"/>
  <c r="I3" i="2"/>
  <c r="I3" i="9"/>
  <c r="I3" i="7"/>
  <c r="I3" i="8"/>
  <c r="B3" i="8"/>
  <c r="B3" i="7"/>
  <c r="B3" i="9"/>
  <c r="B3" i="4"/>
  <c r="I3" i="6"/>
  <c r="D3" i="1"/>
  <c r="C3" i="1"/>
  <c r="A4" i="1"/>
  <c r="A5" i="1"/>
  <c r="A6" i="1"/>
  <c r="A7" i="1"/>
  <c r="A8" i="1"/>
  <c r="A9" i="1"/>
  <c r="A3" i="1"/>
  <c r="Q4" i="1"/>
  <c r="Q5" i="1"/>
  <c r="Q6" i="1"/>
  <c r="Q7" i="1"/>
  <c r="Q8" i="1"/>
  <c r="Q9" i="1"/>
  <c r="Q3" i="1"/>
  <c r="A10" i="9" l="1"/>
  <c r="A10" i="6"/>
  <c r="A10" i="7"/>
  <c r="A10" i="5"/>
  <c r="A10" i="8"/>
  <c r="A10" i="2"/>
  <c r="A10" i="4"/>
  <c r="A41" i="8"/>
  <c r="A41" i="6"/>
  <c r="A41" i="4"/>
  <c r="A41" i="5"/>
  <c r="A41" i="2"/>
  <c r="A41" i="7"/>
  <c r="A25" i="9"/>
  <c r="A25" i="8"/>
  <c r="A25" i="6"/>
  <c r="A25" i="4"/>
  <c r="A25" i="5"/>
  <c r="A25" i="2"/>
  <c r="A25" i="7"/>
  <c r="A17" i="9"/>
  <c r="A17" i="8"/>
  <c r="A17" i="6"/>
  <c r="A17" i="4"/>
  <c r="A17" i="5"/>
  <c r="A17" i="7"/>
  <c r="A17" i="2"/>
  <c r="A9" i="8"/>
  <c r="A9" i="9"/>
  <c r="A9" i="6"/>
  <c r="A9" i="5"/>
  <c r="A9" i="2"/>
  <c r="A9" i="7"/>
  <c r="A9" i="4"/>
  <c r="A16" i="8"/>
  <c r="A16" i="7"/>
  <c r="A16" i="9"/>
  <c r="A16" i="5"/>
  <c r="A16" i="4"/>
  <c r="A16" i="6"/>
  <c r="A16" i="2"/>
  <c r="A31" i="7"/>
  <c r="A31" i="5"/>
  <c r="A31" i="9"/>
  <c r="A31" i="8"/>
  <c r="A31" i="6"/>
  <c r="A31" i="4"/>
  <c r="A31" i="2"/>
  <c r="A7" i="8"/>
  <c r="A7" i="6"/>
  <c r="A7" i="9"/>
  <c r="A7" i="7"/>
  <c r="A7" i="4"/>
  <c r="A14" i="8"/>
  <c r="A14" i="9"/>
  <c r="A14" i="7"/>
  <c r="A14" i="5"/>
  <c r="A14" i="6"/>
  <c r="A14" i="4"/>
  <c r="A14" i="2"/>
  <c r="A42" i="6"/>
  <c r="A42" i="4"/>
  <c r="A42" i="7"/>
  <c r="A42" i="5"/>
  <c r="A42" i="8"/>
  <c r="A42" i="2"/>
  <c r="A34" i="9"/>
  <c r="A34" i="6"/>
  <c r="A34" i="4"/>
  <c r="A34" i="7"/>
  <c r="A34" i="5"/>
  <c r="A34" i="2"/>
  <c r="A34" i="8"/>
  <c r="A18" i="9"/>
  <c r="A18" i="6"/>
  <c r="A18" i="4"/>
  <c r="A18" i="7"/>
  <c r="A18" i="5"/>
  <c r="A18" i="2"/>
  <c r="A18" i="8"/>
  <c r="A24" i="8"/>
  <c r="A24" i="9"/>
  <c r="A24" i="7"/>
  <c r="A24" i="6"/>
  <c r="A24" i="5"/>
  <c r="A24" i="4"/>
  <c r="A24" i="2"/>
  <c r="A23" i="9"/>
  <c r="A23" i="7"/>
  <c r="A23" i="8"/>
  <c r="A23" i="5"/>
  <c r="A23" i="6"/>
  <c r="A23" i="4"/>
  <c r="A23" i="2"/>
  <c r="A30" i="8"/>
  <c r="A30" i="9"/>
  <c r="A30" i="7"/>
  <c r="A30" i="5"/>
  <c r="A30" i="6"/>
  <c r="A30" i="4"/>
  <c r="A30" i="2"/>
  <c r="A6" i="8"/>
  <c r="A6" i="9"/>
  <c r="A6" i="7"/>
  <c r="A6" i="4"/>
  <c r="A45" i="8"/>
  <c r="A45" i="5"/>
  <c r="A45" i="6"/>
  <c r="A45" i="4"/>
  <c r="A45" i="7"/>
  <c r="A45" i="2"/>
  <c r="A37" i="8"/>
  <c r="A37" i="9"/>
  <c r="A37" i="5"/>
  <c r="A37" i="6"/>
  <c r="A37" i="4"/>
  <c r="A37" i="7"/>
  <c r="A37" i="2"/>
  <c r="A29" i="8"/>
  <c r="A29" i="9"/>
  <c r="A29" i="5"/>
  <c r="A29" i="6"/>
  <c r="A29" i="4"/>
  <c r="A29" i="2"/>
  <c r="A29" i="7"/>
  <c r="A21" i="8"/>
  <c r="A21" i="9"/>
  <c r="A21" i="5"/>
  <c r="A21" i="6"/>
  <c r="A21" i="4"/>
  <c r="A21" i="7"/>
  <c r="A21" i="2"/>
  <c r="A13" i="8"/>
  <c r="A13" i="9"/>
  <c r="A13" i="5"/>
  <c r="A13" i="4"/>
  <c r="A13" i="6"/>
  <c r="A13" i="2"/>
  <c r="A13" i="7"/>
  <c r="A5" i="8"/>
  <c r="A5" i="9"/>
  <c r="A5" i="4"/>
  <c r="A33" i="9"/>
  <c r="A33" i="8"/>
  <c r="A33" i="6"/>
  <c r="A33" i="4"/>
  <c r="A33" i="5"/>
  <c r="A33" i="2"/>
  <c r="A33" i="7"/>
  <c r="A40" i="8"/>
  <c r="A40" i="7"/>
  <c r="A40" i="6"/>
  <c r="A40" i="5"/>
  <c r="A40" i="4"/>
  <c r="A40" i="2"/>
  <c r="A47" i="7"/>
  <c r="A47" i="5"/>
  <c r="A47" i="6"/>
  <c r="A47" i="8"/>
  <c r="A47" i="4"/>
  <c r="A47" i="2"/>
  <c r="A46" i="8"/>
  <c r="A46" i="7"/>
  <c r="A46" i="5"/>
  <c r="A46" i="6"/>
  <c r="A46" i="4"/>
  <c r="A46" i="2"/>
  <c r="A28" i="8"/>
  <c r="A28" i="9"/>
  <c r="A28" i="2"/>
  <c r="A28" i="6"/>
  <c r="A28" i="7"/>
  <c r="A28" i="4"/>
  <c r="A28" i="5"/>
  <c r="A12" i="8"/>
  <c r="A12" i="9"/>
  <c r="A12" i="4"/>
  <c r="A12" i="5"/>
  <c r="A12" i="2"/>
  <c r="A12" i="6"/>
  <c r="A12" i="7"/>
  <c r="A4" i="8"/>
  <c r="A4" i="9"/>
  <c r="A4" i="4"/>
  <c r="A26" i="9"/>
  <c r="A26" i="6"/>
  <c r="A26" i="4"/>
  <c r="A26" i="7"/>
  <c r="A26" i="5"/>
  <c r="A26" i="8"/>
  <c r="A26" i="2"/>
  <c r="A32" i="8"/>
  <c r="A32" i="7"/>
  <c r="A32" i="9"/>
  <c r="A32" i="2"/>
  <c r="A32" i="5"/>
  <c r="A32" i="4"/>
  <c r="A32" i="6"/>
  <c r="A8" i="9"/>
  <c r="A8" i="8"/>
  <c r="A8" i="7"/>
  <c r="A8" i="2"/>
  <c r="A8" i="6"/>
  <c r="A8" i="4"/>
  <c r="A39" i="9"/>
  <c r="A39" i="7"/>
  <c r="A39" i="8"/>
  <c r="A39" i="5"/>
  <c r="A39" i="4"/>
  <c r="A39" i="6"/>
  <c r="A39" i="2"/>
  <c r="A15" i="7"/>
  <c r="A15" i="5"/>
  <c r="A15" i="9"/>
  <c r="A15" i="4"/>
  <c r="A15" i="8"/>
  <c r="A15" i="6"/>
  <c r="A15" i="2"/>
  <c r="A38" i="8"/>
  <c r="A38" i="9"/>
  <c r="A38" i="7"/>
  <c r="A38" i="5"/>
  <c r="A38" i="6"/>
  <c r="A38" i="4"/>
  <c r="A38" i="2"/>
  <c r="A22" i="8"/>
  <c r="A22" i="9"/>
  <c r="A22" i="7"/>
  <c r="A22" i="5"/>
  <c r="A22" i="6"/>
  <c r="A22" i="4"/>
  <c r="A22" i="2"/>
  <c r="A44" i="8"/>
  <c r="A44" i="2"/>
  <c r="A44" i="6"/>
  <c r="A44" i="7"/>
  <c r="A44" i="4"/>
  <c r="A44" i="5"/>
  <c r="A36" i="8"/>
  <c r="A36" i="9"/>
  <c r="A36" i="4"/>
  <c r="A36" i="5"/>
  <c r="A36" i="2"/>
  <c r="A36" i="6"/>
  <c r="A36" i="7"/>
  <c r="A20" i="8"/>
  <c r="A20" i="9"/>
  <c r="A20" i="6"/>
  <c r="A20" i="7"/>
  <c r="A20" i="4"/>
  <c r="A20" i="2"/>
  <c r="A20" i="5"/>
  <c r="A43" i="6"/>
  <c r="A43" i="4"/>
  <c r="A43" i="7"/>
  <c r="A43" i="2"/>
  <c r="A43" i="5"/>
  <c r="A43" i="8"/>
  <c r="A35" i="9"/>
  <c r="A35" i="8"/>
  <c r="A35" i="6"/>
  <c r="A35" i="4"/>
  <c r="A35" i="7"/>
  <c r="A35" i="5"/>
  <c r="A35" i="2"/>
  <c r="A27" i="9"/>
  <c r="A27" i="6"/>
  <c r="A27" i="4"/>
  <c r="A27" i="7"/>
  <c r="A27" i="2"/>
  <c r="A27" i="5"/>
  <c r="A27" i="8"/>
  <c r="A19" i="9"/>
  <c r="A19" i="8"/>
  <c r="A19" i="6"/>
  <c r="A19" i="4"/>
  <c r="A19" i="7"/>
  <c r="A19" i="2"/>
  <c r="A19" i="5"/>
  <c r="A11" i="9"/>
  <c r="A11" i="4"/>
  <c r="A11" i="6"/>
  <c r="A11" i="7"/>
  <c r="A11" i="2"/>
  <c r="A11" i="8"/>
  <c r="A11" i="5"/>
  <c r="A6" i="6"/>
  <c r="A6" i="2"/>
  <c r="A6" i="5"/>
  <c r="D3" i="2"/>
  <c r="D3" i="9"/>
  <c r="D3" i="8"/>
  <c r="D3" i="7"/>
  <c r="D3" i="6"/>
  <c r="D3" i="4"/>
  <c r="D3" i="5"/>
  <c r="A4" i="7"/>
  <c r="A4" i="6"/>
  <c r="A4" i="2"/>
  <c r="A4" i="5"/>
  <c r="A3" i="7"/>
  <c r="A3" i="8"/>
  <c r="A3" i="9"/>
  <c r="A3" i="4"/>
  <c r="A3" i="5"/>
  <c r="A3" i="2"/>
  <c r="A3" i="6"/>
  <c r="A8" i="5"/>
  <c r="C3" i="2"/>
  <c r="C3" i="9"/>
  <c r="C3" i="7"/>
  <c r="C3" i="8"/>
  <c r="C3" i="5"/>
  <c r="C3" i="6"/>
  <c r="C3" i="4"/>
  <c r="A7" i="2"/>
  <c r="A7" i="5"/>
  <c r="A5" i="7"/>
  <c r="A5" i="6"/>
  <c r="A5" i="5"/>
  <c r="A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<sst xmlns="http://schemas.openxmlformats.org/spreadsheetml/2006/main" count="830" uniqueCount="347">
  <si>
    <t>1. ANTECEDENTES DE LA EMPRESA</t>
  </si>
  <si>
    <t xml:space="preserve">N° de Puestos </t>
  </si>
  <si>
    <t>Evaluados</t>
  </si>
  <si>
    <t>Pendientes</t>
  </si>
  <si>
    <t>Razón Social</t>
  </si>
  <si>
    <t>FAENADORA SAN VICENTE LTDA</t>
  </si>
  <si>
    <t>RUT Empresa</t>
  </si>
  <si>
    <t>78483600-2</t>
  </si>
  <si>
    <t>Actividad Económica</t>
  </si>
  <si>
    <t>Explotación de mataderos de aves y de otros tipos de animales n.c.p.</t>
  </si>
  <si>
    <t>Código CIIU</t>
  </si>
  <si>
    <t xml:space="preserve">Dirección </t>
  </si>
  <si>
    <t>CARRETERA H 66 G KM 19,2</t>
  </si>
  <si>
    <t>Comuna</t>
  </si>
  <si>
    <t>SAN VICENTE</t>
  </si>
  <si>
    <t>Nombre Representante Legal</t>
  </si>
  <si>
    <t>SANDRA CALDERON</t>
  </si>
  <si>
    <t>Organismo administrador al que está adherido</t>
  </si>
  <si>
    <t>INSTITUTO SALUD DEL TRABAJADOR</t>
  </si>
  <si>
    <t>Fecha inicio</t>
  </si>
  <si>
    <t>2.- CENTRO DE TRABAJO O LUGAR DE TRABAJO</t>
  </si>
  <si>
    <t>Nombre del centro de trabajo</t>
  </si>
  <si>
    <t>Despacho</t>
  </si>
  <si>
    <t>Nº de trabajadores centro de trabajo</t>
  </si>
  <si>
    <t>Dirección</t>
  </si>
  <si>
    <t>Hombres</t>
  </si>
  <si>
    <t>Mujeres</t>
  </si>
  <si>
    <t>3.- RESPONSABLE IMPLEMENTACIÓN PROTOCOLO</t>
  </si>
  <si>
    <t>Nombre responsable</t>
  </si>
  <si>
    <t>CONSTANZA ANDREA MUÑOZ CARO</t>
  </si>
  <si>
    <t>Teléfono</t>
  </si>
  <si>
    <t>Cargo</t>
  </si>
  <si>
    <t>SUPERVISORA DE ACTIVIDADES ERGONOMICAS</t>
  </si>
  <si>
    <t>Correo electrónico</t>
  </si>
  <si>
    <t>CAMUNOZC@AGROSUPER.COM</t>
  </si>
  <si>
    <t>Área de trabajo</t>
  </si>
  <si>
    <t>Puesto de trabajo</t>
  </si>
  <si>
    <t>Tareas del puesto de trabajo</t>
  </si>
  <si>
    <t>Descripción de la tarea</t>
  </si>
  <si>
    <t>Horario de funcionamiento</t>
  </si>
  <si>
    <t>Horas extras POR DIA</t>
  </si>
  <si>
    <t>Horas extras POR SEMANA</t>
  </si>
  <si>
    <t>N° Trabajadores Expuestos HOMBRE</t>
  </si>
  <si>
    <t>N° Trabajadores Expuestos MUJER</t>
  </si>
  <si>
    <t>Tipo de contrato</t>
  </si>
  <si>
    <t xml:space="preserve">Tipo de remuneración </t>
  </si>
  <si>
    <t>Duración (min)</t>
  </si>
  <si>
    <t>Pausas de Trabajo</t>
  </si>
  <si>
    <t>Rotación de tarea</t>
  </si>
  <si>
    <t>Equipos y Herramienta</t>
  </si>
  <si>
    <t>Características de los ambientes y espacios de trabajo (Espacios, barreras arquitectónicas, flujo de tránsito)</t>
  </si>
  <si>
    <t>Características y disposición espacial del puesto de trabajo (Ubicación de los elementos de trabajo, disposición física del espacio de trabajo)</t>
  </si>
  <si>
    <t>Características y herramientas utilizadas (Descripción de equipos, herramientas utilizadas, herramientas vibrantes, uso de EPP)</t>
  </si>
  <si>
    <t>Evaluacion SI/NO</t>
  </si>
  <si>
    <t xml:space="preserve"> Carton Frezzer</t>
  </si>
  <si>
    <t xml:space="preserve">Pinchador </t>
  </si>
  <si>
    <t>Colaborador arrastra cajas por mesa de polines, luego realiza pinchado de codigo para registro en PC</t>
  </si>
  <si>
    <t>06:00  - 14:00  14:00 - 22:00  22:00 - 06:00</t>
  </si>
  <si>
    <t>Indefinido</t>
  </si>
  <si>
    <t>Variable</t>
  </si>
  <si>
    <t>90 min</t>
  </si>
  <si>
    <t>Preparatoria - Compensatoria</t>
  </si>
  <si>
    <t>SI</t>
  </si>
  <si>
    <t>Pistola y PC</t>
  </si>
  <si>
    <t>Libre de transito, sin barreras arquitectonicas en su espacio de trabajo</t>
  </si>
  <si>
    <t xml:space="preserve">PC a la altura del torax con facil accesos a los elementos de oficina </t>
  </si>
  <si>
    <t>EEP tales como Zapatos de seguridad,fonos, guantes anticortes</t>
  </si>
  <si>
    <t>Depaletizador</t>
  </si>
  <si>
    <t>Colaborador toma cajas desde pallet y las posiciona en linea para ser registradas</t>
  </si>
  <si>
    <t>Colaborador toma cajas desde linea para posicionar en pallet armando pedidos.</t>
  </si>
  <si>
    <t>Despacho congelado</t>
  </si>
  <si>
    <t>Gruero</t>
  </si>
  <si>
    <t>Conduce grua BT bajando cargas en forma mecanica para trasladar a otro punto</t>
  </si>
  <si>
    <t>58 min</t>
  </si>
  <si>
    <t>Preparatorias</t>
  </si>
  <si>
    <t>Si</t>
  </si>
  <si>
    <t>Rollo de film ,  cuchillo</t>
  </si>
  <si>
    <t xml:space="preserve">Sin barreras arquitectonicas </t>
  </si>
  <si>
    <t>Sin mesas de trabajo, no expuesto a radiacion UV</t>
  </si>
  <si>
    <t>EPP tales como Zapato de seguridad y chalecos reflectantes</t>
  </si>
  <si>
    <t>NO</t>
  </si>
  <si>
    <t>Transpaletero</t>
  </si>
  <si>
    <t xml:space="preserve">Maneja transpaleta para el transporte de producto de un lado a otro </t>
  </si>
  <si>
    <t>59 min</t>
  </si>
  <si>
    <t>Postura de films</t>
  </si>
  <si>
    <t>Arma pallet con cajas según su pedido, pone films para fijar productos</t>
  </si>
  <si>
    <t>60 min</t>
  </si>
  <si>
    <t>Rollo de film   cuchillo</t>
  </si>
  <si>
    <t>Reprocesos de producto</t>
  </si>
  <si>
    <t>Desarman cajas de productos y echan los productos en bins para decomiso</t>
  </si>
  <si>
    <t>61 min</t>
  </si>
  <si>
    <t>Cuchillo ceramico</t>
  </si>
  <si>
    <t xml:space="preserve">Sin mesa de trabajo, directo a bins </t>
  </si>
  <si>
    <t>N°</t>
  </si>
  <si>
    <t>Trabajo repetitivo de miembros superiores.</t>
  </si>
  <si>
    <t>Postura de trabajo estática - Forzada</t>
  </si>
  <si>
    <t>MMC Levantamiento/Descenso</t>
  </si>
  <si>
    <t>MMC Empuje/Arrastre</t>
  </si>
  <si>
    <t>Manejo manual de pacientes / personas</t>
  </si>
  <si>
    <t>Vibración de cuerpo completo</t>
  </si>
  <si>
    <t>Vibración segmento mano – brazo</t>
  </si>
  <si>
    <t>Resultado identificación inicial</t>
  </si>
  <si>
    <t>Area</t>
  </si>
  <si>
    <t>¿Existe una o más tareas donde utilice las manos y miembros superiores con una 
duración total de una hora o más durante la jornada laboral y con un tiempo total de 5 
o más horas a la semana? Por ejemplo: Donde se tenga que armar, limpiar, apretar, 
lanzar, cortar, presionar, desarmar, atornillar, desatornillar, digitar.
1 tarea repetitiva: conjunto de ciclos de trabajo realizados por uno o más segmentos de 
las extremidades superiores, donde repetitividad se caracteriza por al menos uno de los 
siguientes criterios: i) El tiempo de ciclo es inferior a 30 segundos en promedio. ii) Los 
mismos patrones biomecánicos se repiten por más del 50% del ciclo. En general, el ritmo 
de trabajo está determinado por factor externo al trabajador, ejemplo, líneas de 
producción, velocidad de una máquina, entre otros</t>
  </si>
  <si>
    <t>Existen posturas de trabajo estáticas de cabeza/cuello, tronco y/o miembros 
superiores e inferiores, mantenidas durante más de 4 segundos, en la que se pueden 
dar ligeras variaciones alrededor de un mismo nivel de fuerza generado por los 
músculos y otras estructuras corporales?
Por ejemplo: Donde se observe estar con la cabeza inclinada hacia adelante o atrás, 
cabeza rotada permanentemente hacia algún lado, hombros situados por delante de 
las caderas de manera continua, tronco rotado o inclinado para sostener o movilizar 
objetos</t>
  </si>
  <si>
    <t>Para el Levantamiento/Descenso/Transporte: ¿Existe levantamiento, descenso o transporte manual de un objeto de 3kg o más? Por ejemplo: Se observa que levanta, sostiene, transporta, desplaza, moviliza, ubica con precisión ordenando, apila, paletiza.</t>
  </si>
  <si>
    <r>
      <t xml:space="preserve">Tracción/Empuje </t>
    </r>
    <r>
      <rPr>
        <b/>
        <sz val="8"/>
        <color rgb="FF000000"/>
        <rFont val="ACHS Nueva Sans"/>
      </rPr>
      <t>¿Existe empuje o arrastre de una carga utilizando el cuerpo completo con 1 o 2 manos?</t>
    </r>
    <r>
      <rPr>
        <sz val="8"/>
        <color rgb="FF000000"/>
        <rFont val="ACHS Nueva Sans"/>
      </rPr>
      <t xml:space="preserve"> Se observa el empuje y/o arrastre de diferentes maneras carros, plataformas con rueda, superficies deslizantes, detención de objetos en movimiento, camillas, camas, sillas de rueda, paletizadores, grúas de uso manual mecanizadas, formas de tracción y empuje hechizas, carretillas. No se considera empuje y  arrastre carros motorizados y controlados manualmente (conducción)</t>
    </r>
  </si>
  <si>
    <r>
      <t xml:space="preserve">¿Se realiza alguna actividad que requiere fuerza para empujar, tirar, levantar, descender, transferir o de alguna manera mover o sostener una persona o parte del cuerpo de una persona? </t>
    </r>
    <r>
      <rPr>
        <sz val="8"/>
        <color rgb="FF000000"/>
        <rFont val="ACHS Nueva Sans"/>
      </rPr>
      <t>*NOTA: La condición a identificar debe incluir la actividad de manipulación, ya sea que se realice con o sin dispositivos de asistencia. Esta condición está determinada por el riesgo asociado a las características de la carga humana que requiere control sensible de la masa corporal por parte del operador.</t>
    </r>
  </si>
  <si>
    <t>Están los trabajadores en contacto con una fuente de vibración de cuerpo entero 
perceptible por el trabajador/a? Se presenta en cercanía de máquinas donde se percibe la vibración, superficies vibrantes donde se está de pie o sentado como en maquinaria pesada y de conducción.</t>
  </si>
  <si>
    <t>Están los trabajadores/as en contacto con una fuente de vibración perceptible por el 
trabajador del segmento mano-brazo? Por ejemplo: Se presenta en situaciones de 
manejo de herramientas neumáticas o eléctricas, atornilladores o destornilladores  neumáticos o eléctricos, uso de herramientas con impacto como martillos, cinceles, herramientas percutoras como taladros</t>
  </si>
  <si>
    <t>Despacho Congelado</t>
  </si>
  <si>
    <t>MOVIMIENTO REPETITIVO</t>
  </si>
  <si>
    <t xml:space="preserve">Horas extras </t>
  </si>
  <si>
    <t xml:space="preserve">N° Trabajadores Expuestos </t>
  </si>
  <si>
    <t>Tabla II. IDENTIFICACIÓN AVANZADA – Trabajo Repetitivo de Miembros Superiores– Condición Aceptable</t>
  </si>
  <si>
    <t>Tabla VI. IDENTIFICACIÓN AVANZADA – Tarea(s) Repetitiva(s) de miembros superiores –– Condición Crítica</t>
  </si>
  <si>
    <t>Plan de acción</t>
  </si>
  <si>
    <t>Por dia</t>
  </si>
  <si>
    <t>Por Semana</t>
  </si>
  <si>
    <t>HOMBRE</t>
  </si>
  <si>
    <t>MUJER</t>
  </si>
  <si>
    <t>¿Los miembros superiores trabajan por menos del 50% de la duración total de la tarea repetitiva?</t>
  </si>
  <si>
    <t>¿Los codos se mantienen por debajo del nivel de los hombros por al menos el 90% del total de la duración de la(s) tarea(s) repetitiva?</t>
  </si>
  <si>
    <t>¿Existe esfuerzo moderado ejercido por el trabajador (Percepción de Esfuerzo máximo 4 según Escala de Borg CR-10) ejercidas por el trabajador por no más de 1 hora mientras dura la(s) tarea(s) repetitiva?</t>
  </si>
  <si>
    <t>Ausencias de esfuerzo máximo (esfuerzo percibido = 5 o más en la Escala de Borg CR-10)</t>
  </si>
  <si>
    <t>Presencia de pausas programadas  (excluyendo la pausa para almuerzo)</t>
  </si>
  <si>
    <t>¿La duración total de las tareas repetitivas no excede las 4 horas totales dentro de la jornada laboral?</t>
  </si>
  <si>
    <t>Condición Aceptable</t>
  </si>
  <si>
    <t>¿Las acciones técnicas del miembro superior son tan rápidas que no se pueden contar con una simple observación directa?</t>
  </si>
  <si>
    <t>Uno o ambos brazos están realizando la tarea con el codo sobre el nivel del hombro por el 50% o más, del tiempo total de trabajo repetitivo</t>
  </si>
  <si>
    <t>¿Se utiliza agarre en “pinza" (o todo tipo de tomada usando las puntas de los dedos) por más del 80% de la duración total del trabajo repetitivo?</t>
  </si>
  <si>
    <t>¿Se aplica fuerza máxima por el trabajador (esfuerzo percibido = 5 o más en la Escala de Borg CR-10) por 10% o más del tiempo total de la tarea repetitiva?</t>
  </si>
  <si>
    <t>¿No hay más de una pausa (Incluyendo el almuerzo) en un turno de 8 horas?</t>
  </si>
  <si>
    <t>¿La duración total de las tareas repetitivas excede 4 horas totales dentro de la jornada laboral?</t>
  </si>
  <si>
    <t>Condición Crítica</t>
  </si>
  <si>
    <t>Fecha aplicación identificación avanzada</t>
  </si>
  <si>
    <t>Medidas de control (administrativas)</t>
  </si>
  <si>
    <t>Medidas de control (Ingeniería)</t>
  </si>
  <si>
    <t>Responsable aplicación medida</t>
  </si>
  <si>
    <t>Fecha de implementación medidas                               (Max 90 días)</t>
  </si>
  <si>
    <t>Evidencia</t>
  </si>
  <si>
    <t>Levantamiento y Descenso</t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</si>
  <si>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</si>
  <si>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CARACTERITICA DE LA CARGA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</si>
  <si>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 xml:space="preserve">3KG A 5 KG 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</si>
  <si>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>5 KG A 10 KG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</si>
  <si>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SOBRE 10 KG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</si>
  <si>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&lt;= 10 metros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</si>
  <si>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 &gt; = 10 metros</t>
    </r>
  </si>
  <si>
    <t>Transporte manual de cargas</t>
  </si>
  <si>
    <t>RESULTADO</t>
  </si>
  <si>
    <r>
      <t>IDENTIFICACIÓN AVANZADA – Tarea(s) con MMC: Levantamiento, Descenso y Transporte de cargas de 3kg o más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</si>
  <si>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CARACTERISTICA DE LA CARGA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</si>
  <si>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HORAS DE TRABAJO</t>
    </r>
  </si>
  <si>
    <t>Presencia de tarea de levantamiento/descenso y transporte de carga con condiciones de diseño y frecuencia que exceden los valores máximos sugeridos</t>
  </si>
  <si>
    <t>Condición crítica: presencia de tarea de levantamiento/descenso y transporte con peso de la carga que exceda los siguientes límites</t>
  </si>
  <si>
    <t>Levantamiento / descenso y transporte manual de carga</t>
  </si>
  <si>
    <t>La temperatura en donde se realiza la tarea está entre los 18° y 26° (grados Celsius).</t>
  </si>
  <si>
    <t>El piso se encuentra en buenas condiciones (regular, seco y estable)</t>
  </si>
  <si>
    <t>El espacio de trabajo permite el normal movimiento de los trabajadores (sin generar posturas incómodas) durante el levantamiento/descenso y/o transporte</t>
  </si>
  <si>
    <t>El tamaño de la carga permite la visibilidad y movimientos normales del trabajador</t>
  </si>
  <si>
    <t>El centro de gravedad de la carga es estable</t>
  </si>
  <si>
    <t>La carga permite su agarre sin riesgo de cortes, compresión o quemaduras.</t>
  </si>
  <si>
    <t>La tarea de levantamiento/descenso o transporte de carga dura menos de 8 horas.</t>
  </si>
  <si>
    <t>Se observa ausencia de asimetría (Ej: cuerpo rotado, torsión y/o inclinación de tronco)</t>
  </si>
  <si>
    <t>La carga es mantenida cerca del cuerpo</t>
  </si>
  <si>
    <t>El desplazamiento vertical de la carga se realiza entre las caderas y los hombros</t>
  </si>
  <si>
    <t>Frecuencia máxima de MMC: el levantamiento/descenso es menor a 5 veces por minuto</t>
  </si>
  <si>
    <t>Frecuencia máxima de MMC: el levantamiento/descenso es menor a 1 vez por minuto</t>
  </si>
  <si>
    <t>Ausencia de cargas mayores a 10 kg</t>
  </si>
  <si>
    <t>8 hr = 10.000 kg</t>
  </si>
  <si>
    <t>1 hora = 1.500 kilos</t>
  </si>
  <si>
    <t>1 minuto = 30 kilos</t>
  </si>
  <si>
    <t>8 hr = 6.000 kg</t>
  </si>
  <si>
    <t>1 hora = 750 kilos</t>
  </si>
  <si>
    <t>1 minuto = 15 kilos</t>
  </si>
  <si>
    <t>Ausencia de postura inadecuadas durante el transporte de carga</t>
  </si>
  <si>
    <t>Presencia de temperatura extrema (bajo 16° o superior a los 26° grados Celsius) y sin ropa adecuada que proteja de las temperaturas extremas</t>
  </si>
  <si>
    <t>Presencia de suelo resbaladizo, irregular o inestable</t>
  </si>
  <si>
    <t>Presencia de espacio insuficiente para el levantamiento/descenso y transporte de carga que genera posturas incómodas o restricción en el movimiento.</t>
  </si>
  <si>
    <t>El tamaño de la carga reduce la visión del trabajador y/o dificulta su movimiento</t>
  </si>
  <si>
    <t>El centro de gravedad de la carga no es estable (ej.: líquidos, elementos que se mueven dentro de la carga)</t>
  </si>
  <si>
    <t>La forma/configuración de la carga presenta bordes, superficies o protuberancias afiladas</t>
  </si>
  <si>
    <t>Las superficies de contacto son demasiado frías o demasiado calientes</t>
  </si>
  <si>
    <t>La tarea de levantamiento/descenso o transporte de carga dura más de 8 hrs.</t>
  </si>
  <si>
    <r>
      <rPr>
        <b/>
        <sz val="11"/>
        <color theme="0"/>
        <rFont val="ACHS Nueva Sans"/>
      </rPr>
      <t>Posición vertical</t>
    </r>
    <r>
      <rPr>
        <sz val="11"/>
        <color theme="0"/>
        <rFont val="ACHS Nueva Sans"/>
      </rPr>
      <t xml:space="preserve"> La ubicación de las manos al inicio o final del levantamiento/descenso de una carga es superior a 155 cm o inferior a 20 cm</t>
    </r>
  </si>
  <si>
    <r>
      <t xml:space="preserve">Desplazamiento vertical </t>
    </r>
    <r>
      <rPr>
        <sz val="11"/>
        <color theme="0"/>
        <rFont val="ACHS Nueva Sans"/>
      </rPr>
      <t>La distancia vertical entre el origen y el destino del objeto manipulado es mayor a 135 cm</t>
    </r>
  </si>
  <si>
    <r>
      <t xml:space="preserve">Distancia horizontal </t>
    </r>
    <r>
      <rPr>
        <sz val="11"/>
        <color theme="0"/>
        <rFont val="ACHS Nueva Sans"/>
      </rPr>
      <t>La distancia horizontal entre el cuerpo y las manos (nudillos) es superior a 55 cm correspondiente a la zona de alcance máximo de brazos</t>
    </r>
  </si>
  <si>
    <r>
      <t xml:space="preserve">Asimetría </t>
    </r>
    <r>
      <rPr>
        <sz val="11"/>
        <color theme="0"/>
        <rFont val="ACHS Nueva Sans"/>
      </rPr>
      <t>Rotación o inclinación extrema del tronco sin movimientos de los pies</t>
    </r>
  </si>
  <si>
    <r>
      <t xml:space="preserve">Frecuencia </t>
    </r>
    <r>
      <rPr>
        <sz val="11"/>
        <color theme="0"/>
        <rFont val="ACHS Nueva Sans"/>
      </rPr>
      <t>Corta duración: más de 15 levant./desc. por min, en una tarea que no supere los 60 min seguidos en el turno de trabajo y seguida de al menos 60 min de desc. o tarea liviana (que no implique MMC)</t>
    </r>
  </si>
  <si>
    <r>
      <t xml:space="preserve">Frecuencia </t>
    </r>
    <r>
      <rPr>
        <sz val="11"/>
        <color theme="0"/>
        <rFont val="ACHS Nueva Sans"/>
      </rPr>
      <t>Media duración: + de 12 levant/desc por min, en una tarea que no supere los 120 min seguidos en el turno de trabajo y seguida de al menos 30 min de descanso o tarea liviana (que no implique MMC).</t>
    </r>
  </si>
  <si>
    <r>
      <t>Frecuencia</t>
    </r>
    <r>
      <rPr>
        <sz val="11"/>
        <color theme="0"/>
        <rFont val="ACHS Nueva Sans"/>
      </rPr>
      <t xml:space="preserve"> Larga duración: más de 8 levantamientos/descensos por minuto, en una tarea que supere los 120 minutos seguidos en el turno de trabajo</t>
    </r>
  </si>
  <si>
    <r>
      <t xml:space="preserve">Hombres (18-45 años) </t>
    </r>
    <r>
      <rPr>
        <b/>
        <sz val="11"/>
        <color rgb="FFFF0000"/>
        <rFont val="ACHS Nueva Sans"/>
      </rPr>
      <t>25KG</t>
    </r>
  </si>
  <si>
    <r>
      <t xml:space="preserve">Mujeres (18-45 años) </t>
    </r>
    <r>
      <rPr>
        <b/>
        <sz val="11"/>
        <color rgb="FFFF0000"/>
        <rFont val="ACHS Nueva Sans"/>
      </rPr>
      <t>20KG</t>
    </r>
  </si>
  <si>
    <r>
      <t xml:space="preserve">Hombres (&lt;18 o &gt;45 años) </t>
    </r>
    <r>
      <rPr>
        <b/>
        <sz val="11"/>
        <color rgb="FFFF0000"/>
        <rFont val="ACHS Nueva Sans"/>
      </rPr>
      <t>20KG</t>
    </r>
  </si>
  <si>
    <r>
      <t xml:space="preserve">Mujeres (&lt;18 o &gt;45 años) </t>
    </r>
    <r>
      <rPr>
        <b/>
        <sz val="11"/>
        <color rgb="FFFF0000"/>
        <rFont val="ACHS Nueva Sans"/>
      </rPr>
      <t>15KG</t>
    </r>
  </si>
  <si>
    <r>
      <t xml:space="preserve">Mujer embarazada             </t>
    </r>
    <r>
      <rPr>
        <b/>
        <sz val="11"/>
        <color rgb="FFFF0000"/>
        <rFont val="ACHS Nueva Sans"/>
      </rPr>
      <t>3KG</t>
    </r>
  </si>
  <si>
    <r>
      <t xml:space="preserve">Distancia de transporte de 20 mt o más </t>
    </r>
    <r>
      <rPr>
        <b/>
        <sz val="11"/>
        <color rgb="FFFF0000"/>
        <rFont val="ACHS Nueva Sans"/>
      </rPr>
      <t>6.000 kg en 8 hr</t>
    </r>
  </si>
  <si>
    <r>
      <t xml:space="preserve">Distancia de transporte menos de 20 mt </t>
    </r>
    <r>
      <rPr>
        <b/>
        <sz val="11"/>
        <color rgb="FFFF0000"/>
        <rFont val="ACHS Nueva Sans"/>
      </rPr>
      <t>10.000 kg en 8 hr</t>
    </r>
  </si>
  <si>
    <t>N/A</t>
  </si>
  <si>
    <t>No Critico</t>
  </si>
  <si>
    <t>Postura Estatica</t>
  </si>
  <si>
    <t>Tabla III. IDENTIFICACIÓN AVANZADA – Tarea(s) con Posturas Estáticas e incómodas de Trabajo – Condición Aceptable (CABEZA Y TRONCO)</t>
  </si>
  <si>
    <t>Tabla III. IDENTIFICACIÓN AVANZADA – Tarea(s) con Posturas Estáticas e incómodas de Trabajo – Condición Aceptable Identificación de posturas de miembros superiores                                                                           (Evaluar miembro con mayor exigencia)</t>
  </si>
  <si>
    <t>Tabla III. IDENTIFICACIÓN AVANZADA – Tarea(s) con Posturas Estáticas e incómodas de Trabajo – Condición Aceptable Identificación de posturas de Miembros Inferiores    (Evaluar miembro con mayor exigencia)</t>
  </si>
  <si>
    <t>Tabla VII. IDENTIFICACIÓN AVANZADA – Tarea(s) con Posturas Estáticas de Trabajo – Condición Crítica (CABEZA Y TRONCO)</t>
  </si>
  <si>
    <t>Identificación de posturas de miembros superiores (Evaluar miembro con mayor exigencia)</t>
  </si>
  <si>
    <t>Identificación de posturas de Miembros Inferiores  (Evaluar miembro con mayor exigencia)</t>
  </si>
  <si>
    <t>Plan Acción</t>
  </si>
  <si>
    <t>¿Las posturas de tronco y cuello son simétricas?</t>
  </si>
  <si>
    <t>En caso de haber flexión de tronco (inclinación hacia delante), ¿es menor a 20º?, o en caso de existir extensión (inclinación hacia atrás), ¿el tronco está totalmente apoyado?</t>
  </si>
  <si>
    <t>Si existe flexión de tronco entre 20º y 60º, ¿este se encuentra totalmente apoyado?</t>
  </si>
  <si>
    <t>¿Está ausente la extensión de cuello?</t>
  </si>
  <si>
    <t>En caso de que exista flexión de cuello, ¿no supera los 25º?</t>
  </si>
  <si>
    <t>Estando la cabeza inclinada hacia atrás (extensión), ¿se encuentra totalmente apoyada</t>
  </si>
  <si>
    <t>Si está sentado, ¿la curvatura de la espalda se mantiene no forzada?</t>
  </si>
  <si>
    <t>Miembro con mayor exigencia</t>
  </si>
  <si>
    <t>¿Están ausentes las posturas forzadas de  MMSS (Miembros Superiores)?</t>
  </si>
  <si>
    <t>¿Los hombros no se encuentran levantados?</t>
  </si>
  <si>
    <t>Estando el brazo sin apoyo completo, ¿La elevación del miembro superior es menor a 20°?</t>
  </si>
  <si>
    <t>Con el brazo totalmente apoyado, ¿la elevación del miembro superior no supera los 60°?</t>
  </si>
  <si>
    <t>¿Están ausentes la flexión / extensión extrema de codo?</t>
  </si>
  <si>
    <t>¿Está ausente el giro extremo de muñeca?</t>
  </si>
  <si>
    <t>¿Está ausente la flexión extrema de rodilla?</t>
  </si>
  <si>
    <t>En postura de pie ¿La rodilla no está en flexión?</t>
  </si>
  <si>
    <t>¿El tobillo está en posición neutra?</t>
  </si>
  <si>
    <t>¿Están ausentes las posiciones cuclillas y arrodillado?</t>
  </si>
  <si>
    <t>Cuando está sentado, ¿El ángulo de la rodilla está entre 90º y 135º?</t>
  </si>
  <si>
    <t>¿La postura de tronco o la postura de cuello están en rangos extremos?</t>
  </si>
  <si>
    <t>¿Existe flexión de tronco (inclinación hacia adelante) de 60° o más?</t>
  </si>
  <si>
    <t>¿Existe flexión de tronco (aun cuando sea levemente) durante más de 4 minutos continuos?</t>
  </si>
  <si>
    <t>¿Está la cabeza extendida (inclinada hacia atrás) sin apoyo?</t>
  </si>
  <si>
    <t>¿Está la cabeza en flexión (inclinacion hacia adelante) de 25° o mas?</t>
  </si>
  <si>
    <t>¿Está la cabeza en flexión (aunque sea levemente ) durante mas de 8 minutos continuos?</t>
  </si>
  <si>
    <t>Si está sentado, ¿la espalda (región lumbar) está forzada y no logra mantener la curvatura natural?</t>
  </si>
  <si>
    <t>¿Hay posturas de brazos que los trabajadores relaten como muy incomodas y que les impiden el normal desenvolvimiento?</t>
  </si>
  <si>
    <t>¿Los hombros se encuentran levantados sobre los 60°?</t>
  </si>
  <si>
    <t>¿Los hombros se encuentran levantados (aún cuando sea levemente) durante más de 3 minutos continuos?</t>
  </si>
  <si>
    <t>¿Hay flexión / extensión extrema de codo y rotación extrema de antebrazo?</t>
  </si>
  <si>
    <t>¿Hay giro extremo de muñeca?</t>
  </si>
  <si>
    <t>¿Hay flexión extrema de rodilla (posición de cuclillas o sentado en los talones)?</t>
  </si>
  <si>
    <t>Estando en postura de pie, ¿la rodilla se encuentra en flexión leve sostenida?</t>
  </si>
  <si>
    <t>¿El tobillo se encuentra en una posición extrema de flexión o extensión?</t>
  </si>
  <si>
    <t>¿Se adoptan posiciones en cuclillas y/o arrodillado de la rodilla?</t>
  </si>
  <si>
    <t>Estando sentado, ¿la angulación de rodilla es menor de 90° y mayor de 135°?</t>
  </si>
  <si>
    <t>Empuje y Arrastre</t>
  </si>
  <si>
    <r>
      <t xml:space="preserve">IDENTIFICACIÓN AVANZADA – Tarea(s) Empuje y arrastre de carga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</si>
  <si>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CARACTERISTICA DEL CARRO O TRANSPALETA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</si>
  <si>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MAGNITUD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</si>
  <si>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DURACIÓN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</si>
  <si>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Altura aplicación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</si>
  <si>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POSTURA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</si>
  <si>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</t>
    </r>
    <r>
      <rPr>
        <b/>
        <sz val="11"/>
        <color theme="0"/>
        <rFont val="ACHS Nueva Sans"/>
      </rPr>
      <t>ZONA DE AGARRE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</si>
  <si>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</si>
  <si>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 xml:space="preserve">CARACTERISTICA DEL CARRO 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</si>
  <si>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MAGNITUD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</si>
  <si>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DIRECCION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</si>
  <si>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ESFUERZO FISICO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</si>
  <si>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POSTURA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</si>
  <si>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ALTURA APLICACIÓN DE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</si>
  <si>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ALTURA APLICACIÓN DE FUERZA</t>
    </r>
  </si>
  <si>
    <t>El piso  en buenas condiciones (regular, compacto, seco y estable) y sin pendiente.</t>
  </si>
  <si>
    <t>Presencia de vías/caminos donde se permite el normal desplazamiento
(espacio suficiente para el desplazamiento).</t>
  </si>
  <si>
    <t>El carro o transpaleta cargada permite la visibilidad y
movimientos normales del trabajador.</t>
  </si>
  <si>
    <t>El centro de gravedad de la carga es estable.</t>
  </si>
  <si>
    <t>El carro o transpaleta permite su agarre sin riesgo de
cortes, compresión o quemaduras.</t>
  </si>
  <si>
    <t>Presencia de ruedas grandes o pequeñas en buen estado.</t>
  </si>
  <si>
    <t>Presencia de ruedas grandes o pequeñas adecuadas al
tipo de carro, peso de la carga y vías de desplazamiento.</t>
  </si>
  <si>
    <t>Método dinamómetro (*): la fuerza inicial no supera los 10
kgs de fuerza y la fuerza de sustentación no supera los 5 kgs
de fuerza.
Método Escala de Borg: los trabajadores perciben leve
esfuerzo físico (valor 2 o menos en escala de Borg) durante
la tarea (s) de empuje y arrastre de carga</t>
  </si>
  <si>
    <t>La(s) tarea(s) de empuje y arrastre de carga duran hasta 8 hrs. diaria.</t>
  </si>
  <si>
    <t>La fuerza se realiza entre las caderas y la zona media del tronco.</t>
  </si>
  <si>
    <t>La fuerza de empuje o arrastre es aplicada con el tronco recto (sin flexión o torsión).</t>
  </si>
  <si>
    <t>Las manos están delante del cuerpo y entre los hombros
cuando se realiza la fuerza de empuje o arrastre.</t>
  </si>
  <si>
    <t>El carro o transpaleta reduce la vista del operador y/o
dificulta su movimiento.</t>
  </si>
  <si>
    <t>La carga es inestable.</t>
  </si>
  <si>
    <t>El carro o transpaleta tienen condiciones peligrosas (bordes, superficies o protuberancias afiladas, etc) que pueden lesionar al trabajador.</t>
  </si>
  <si>
    <t>Presencia de ruedas grandes o pequeñas en mal estado, rotas, desgastadas o con poca mantención.</t>
  </si>
  <si>
    <t>Presencia de ruedas grandes o pequeñas inadecuadas al tipo de carro, peso de la carga y vías de desplazamiento.</t>
  </si>
  <si>
    <t>Método dinamómetro (*): 1. Fuerza inicial es superior a 36 kgs. (Hombres) o 24 kgs. (Mujeres).
2. Fuerza de sustentación es superior a 25 kgs. (Hombres) y 15 kgs. (Mujeres). Método Escala de Borg: los trabajadores perciben alto nivel
de esfuerzo físico (valor 8 o más en escala de Borg) durante la (s) tarea (s) de empuje y arrastre de carga (Para obtener la información debe preguntar a los trabajadores utilizando la escala de Borg al final de este anexo).</t>
  </si>
  <si>
    <t>Durante el desplazamiento la carga requiere de un levantamiento parcial, mientras se empuja o arrastra.</t>
  </si>
  <si>
    <t>La fuerza de empuje o arrastre es realizada con movimientos bruscos o de manera poco controlada.</t>
  </si>
  <si>
    <t>La fuerza de empuje o arrastre es aplicada con el tronco en flexión o torsión significativa</t>
  </si>
  <si>
    <t>Las manos no están delante del cuerpo o fuera del ancho de los hombros cuando se realiza la fuerza de empuje o arrastre.</t>
  </si>
  <si>
    <t>La fuerza de empuje o arrastre es aplicada sobre los 150 cm o bajo los 60 cm.</t>
  </si>
  <si>
    <t>La(s) tarea(s) de empuje y arrastre de carga duran más de 8 hrs. diaria.</t>
  </si>
  <si>
    <t>MMP</t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</si>
  <si>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>APLICACIÓN DE LA FUERZA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</si>
  <si>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EQUIPAMIENTO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</si>
  <si>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AMBIENTES Y ESPACIOS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</si>
  <si>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ORGANIZACIÓN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</si>
  <si>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ENTRENAMIENTO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</si>
  <si>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EQUIPAMIENTO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</si>
  <si>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AMBIENTES Y ESPACIOS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</si>
  <si>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ORGANIZACIÓN</t>
    </r>
  </si>
  <si>
    <t>IDENTIFICACIÓN AVANZADA – Tarea(s) Manejo manual de personas/pacientes – Condición Aceptable ENTRENAMIENTO</t>
  </si>
  <si>
    <t>En promedio, por turno, el trabajador realiza 6 o menos
MMP que superen los 15 kg. cada uno.</t>
  </si>
  <si>
    <t>Ausencia de asimetría (Ej: cuerpo rotado, torsión y/o inclinación
de tronco).</t>
  </si>
  <si>
    <t>El paciente es mantenido cerca del cuerpo del trabajador.</t>
  </si>
  <si>
    <t>El MMP se realiza entre la altura nudillo suelo y la altura
codo suelo (°).</t>
  </si>
  <si>
    <t>Cuenta con camas regulables en altura.</t>
  </si>
  <si>
    <t>Existe y se utilizan de forma correcta las ayudas mecánicas.</t>
  </si>
  <si>
    <t>Existen programas de mantenimiento de las ayudas mecánicas,
de sillas de rueda y camillas.</t>
  </si>
  <si>
    <t>La iluminación permite visualizar todos los elementos en el espacio de trabajo y la temperatura son adecuadas está entre 19° y 25° grados Celsius.</t>
  </si>
  <si>
    <t>Existe suficiente espacio para moverse libremente y para
utilizar las ayudas mecánicas existentes.</t>
  </si>
  <si>
    <t>Presencia de suelo en salas, pasillos y otros que permiten el normal desplazamiento de sillas de rueda y camillas.</t>
  </si>
  <si>
    <t>Existe un programa institucional para la prevención del riego por MMP: evaluación de riesgo, clasificación de pacientes (según nivel de asistencia requerida, peso, etc.), monitoreo de
la salud de los trabajadores, etc.</t>
  </si>
  <si>
    <t>Existen procedimientos escritos e informados de MMP de
acuerdo con el peso y características del paciente.</t>
  </si>
  <si>
    <t>La organización del trabajo permite distribuir las tareas
de MMP a lo largo de la jornada e incluye periodos de
descanso dentro de ella.</t>
  </si>
  <si>
    <t>Al menos un 75 % de los trabajadores del servicio/unidad  recibieron capacitación teórico-práctico en MMP en los últimos 12 meses.</t>
  </si>
  <si>
    <t>En promedio, por turno, el trabajador realiza 12 o más
MMP que superen los 15 kgs. cada uno.</t>
  </si>
  <si>
    <t>El MMP se realiza bajo las rodillas o sobre la altura codo suelo</t>
  </si>
  <si>
    <t>La distancia horizontal entre el cuerpo y el paciente manipulado es superior a 63 cm.</t>
  </si>
  <si>
    <t>Torsión extrema del tronco sin movimientos de los pies.</t>
  </si>
  <si>
    <t>Las camas no son regulables y tienen una altura inferior a 70 cm.</t>
  </si>
  <si>
    <t>Las camas tienen ninguna o solo 2 ruedas.</t>
  </si>
  <si>
    <t>El trabajador hace todo el esfuerzo en el manejo del paciente ya que no se utiliza ningún tipo de ayudas mecánicas.</t>
  </si>
  <si>
    <t>No existe programa de mantenimiento de las ayudas mecánicas ni de sillas de rueda o camillas.</t>
  </si>
  <si>
    <t>La temperatura ambiente es menor a 18° o superior a 26° grados Celsius y no se cuenta con ropa que proteja de las temperaturas extremas.</t>
  </si>
  <si>
    <t>Existe menos de 90 cm de espacio entre la cama y la pared o entre las camas, o menos de 120 cm. al final de la cama.</t>
  </si>
  <si>
    <t>Presencia de suelo resbaladizo, irregular o inestable en salas o pasillos.</t>
  </si>
  <si>
    <t>La organización carece de un sistema de clasificación del paciente (según nivel de asistencia, peso, etc.).</t>
  </si>
  <si>
    <t>La organización no cuenta con procedimientos escritos e informados de MMP de acuerdo con el peso y características del paciente.</t>
  </si>
  <si>
    <t>La organización del trabajo genera concentración de tareas de MMP en ciertos horarios de trabajo y no cuenta con pausas de
descanso durante la jornada.</t>
  </si>
  <si>
    <t>Un 50 % o menos de los trabajadores del servicio/unidad recibieron capacitación teórico-práctico en MMP en los últimos 18 meses.</t>
  </si>
  <si>
    <t>Vibración Cuerpo Completo</t>
  </si>
  <si>
    <t>Tabla V. IDENTIFICACIÓN AVANZADA – Tarea(s) con vibraciones de cuerpo completo  – Condición aceptable</t>
  </si>
  <si>
    <t>¿Se debe operar maquinaria vibrante por periodos prolongados de tiempo todos los días o gran parte de la jornada laboral?</t>
  </si>
  <si>
    <t>En la conducción de vehículos, ¿Se está expuesto a choques o movimientos bruscos?</t>
  </si>
  <si>
    <t>¿Los vehículos o maquinarias vibrantes se encuentran sin mantención?</t>
  </si>
  <si>
    <t>¿Se conduce por vías poco o mal mantenidas?</t>
  </si>
  <si>
    <t>Junto con la presencia de vibración, ¿Se adoptan posturas forzadas o estáticas para realizar las tareas?</t>
  </si>
  <si>
    <t>Junto con la presencia de vibración, ¿Se realiza manejo manual de carga en la tarea realizada por el trabajador o trabajadora?</t>
  </si>
  <si>
    <t>Los fabricantes o suministradores de la maquinaria que se utiliza no advierten del riesgo de la exposición a vibración</t>
  </si>
  <si>
    <t>Si los fabricantes o proveedores de maquinaria que se utiliza indican las aceleraciones equivalentes en los Ejes X, Y, Z ¿Se sobrepasa el criterio de accion de 0,5 m/s2?</t>
  </si>
  <si>
    <t>¿Existe desconocimiento por parte de los trabajadores sobre los riesgos relacionados con las vibraciones de cuerpo completo?</t>
  </si>
  <si>
    <t>¿No se han hecho capacitaciones a las y los trabajadores que se identifican realizando tareas expuesto a vibraciones de cuerpo entero?</t>
  </si>
  <si>
    <t>¿Hay reportes de dolores de espalda baja (lumbar), media (toráxica), alta (toráxica – cuello) de los trabajadores sometidos a vibración de cuerpo completo?</t>
  </si>
  <si>
    <t>Vibración Mano- Brazo</t>
  </si>
  <si>
    <t>Tabla IV. IDENTIFICACIÓN AVANZADA – Tarea(s) con vibraciones segmento mano-brazo  – Condición aceptable</t>
  </si>
  <si>
    <t>¿Se usan herramientas de acción rotatoria (con generación de torque)?</t>
  </si>
  <si>
    <t>¿Se usan herramientas percutoras o de impacto?</t>
  </si>
  <si>
    <t>Los fabricantes o suministradores de las herramientas no advierten que su uso presenta riesgo derivados de las vibraciones</t>
  </si>
  <si>
    <t>Si los fabricantes o proveedores de maquinaria que se utiliza indican las aceleraciones equivalentes para los ejes X, Y, Z ¿Se sobrepasa el límite de acción de 2,5 m/s2?</t>
  </si>
  <si>
    <t>¿Existe desconocimiento por parte de los trabajadores/as sobre la exposición a vibración de mano-brazo y sus consecuencias?</t>
  </si>
  <si>
    <t>¿Algunos de los trabajadores relata dolor, hormigueo, entumecimiento o alteraciones de la circulación de las manos después de utilizar las herramientas?</t>
  </si>
  <si>
    <t>¿Se debe oprar maquinarias o herramientas vibrantes por periodos prolongados mayores a 5 minutos todos los dias?</t>
  </si>
  <si>
    <t>¿Las herramientas que se utilizan no están diseñadas para la tarea realizada? ¿Las herramientas son de confeccion artesanal?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</si>
</sst>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CHS Nueva Sans"/>
    </font>
    <font>
      <b/>
      <sz val="9"/>
      <color rgb="FFFFFFFF"/>
      <name val="ACHS Nueva Sans"/>
    </font>
    <font>
      <b/>
      <sz val="8"/>
      <color rgb="FFFFFFFF"/>
      <name val="ACHS Nueva Sans"/>
    </font>
    <font>
      <b/>
      <sz val="8"/>
      <color rgb="FF000000"/>
      <name val="ACHS Nueva Sans"/>
    </font>
    <font>
      <sz val="8"/>
      <color rgb="FF000000"/>
      <name val="ACHS Nueva Sans"/>
    </font>
    <font>
      <b/>
      <sz val="10"/>
      <color rgb="FFFFFFFF"/>
      <name val="ACHS Nueva Sans"/>
    </font>
    <font>
      <sz val="9"/>
      <color theme="0"/>
      <name val="ACHS Nueva Sans"/>
    </font>
    <font>
      <b/>
      <sz val="11"/>
      <color theme="0"/>
      <name val="ACHS Nueva Sans"/>
    </font>
    <font>
      <b/>
      <sz val="14"/>
      <color theme="0"/>
      <name val="Aptos Narrow"/>
      <family val="2"/>
      <scheme val="minor"/>
    </font>
    <font>
      <sz val="11"/>
      <color theme="1"/>
      <name val="ACHS Nueva Sans"/>
    </font>
    <font>
      <b/>
      <sz val="11"/>
      <color rgb="FFFF0000"/>
      <name val="ACHS Nueva Sans"/>
    </font>
    <font>
      <sz val="11"/>
      <color theme="0"/>
      <name val="ACHS Nueva Sans"/>
    </font>
    <font>
      <sz val="22"/>
      <color theme="0"/>
      <name val="Aptos Narrow"/>
      <family val="2"/>
      <scheme val="minor"/>
    </font>
    <font>
      <b/>
      <sz val="11"/>
      <color rgb="FFFFFFFF"/>
      <name val="ACHS Nueva Sans"/>
    </font>
    <font>
      <b/>
      <sz val="10"/>
      <color theme="0"/>
      <name val="ACHS Nueva Sans"/>
    </font>
    <font>
      <u/>
      <sz val="11"/>
      <color theme="10"/>
      <name val="Aptos Narrow"/>
      <family val="2"/>
      <scheme val="minor"/>
    </font>
    <font>
      <sz val="10"/>
      <color theme="1"/>
      <name val="ACHS Nueva Sans"/>
    </font>
    <font>
      <b/>
      <sz val="10"/>
      <color theme="1"/>
      <name val="ACHS Nueva Sans"/>
    </font>
    <font>
      <sz val="11"/>
      <color theme="1"/>
      <name val="Calibri"/>
      <family val="2"/>
    </font>
    <font>
      <sz val="10"/>
      <color theme="1"/>
      <name val="Arial Narrow"/>
      <family val="2"/>
    </font>
    <font>
      <sz val="10"/>
      <color theme="1"/>
      <name val="Calibri"/>
      <family val="2"/>
    </font>
    <font>
      <sz val="10"/>
      <color rgb="FF002060"/>
      <name val="Calibri Light"/>
      <family val="2"/>
    </font>
    <font>
      <sz val="11"/>
      <color rgb="FF002060"/>
      <name val="Calibri"/>
      <family val="2"/>
    </font>
    <font>
      <b/>
      <sz val="11"/>
      <color theme="0" tint="-4.9989318521683403E-2"/>
      <name val="ACHS Nueva Sans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15BF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ADD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0" fillId="8" borderId="2" xfId="0" applyFont="1" applyFill="1" applyBorder="1" applyAlignment="1">
      <alignment vertical="center" wrapText="1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4" fillId="5" borderId="2" xfId="0" applyFont="1" applyFill="1" applyBorder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0" fillId="4" borderId="1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textRotation="90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18" fillId="9" borderId="1" xfId="1" applyFill="1" applyBorder="1" applyAlignment="1" applyProtection="1">
      <alignment vertical="center" wrapText="1"/>
      <protection locked="0"/>
    </xf>
    <xf numFmtId="0" fontId="19" fillId="9" borderId="1" xfId="0" applyFont="1" applyFill="1" applyBorder="1" applyAlignment="1" applyProtection="1">
      <alignment vertical="center" wrapText="1"/>
      <protection locked="0"/>
    </xf>
    <xf numFmtId="0" fontId="19" fillId="9" borderId="1" xfId="0" applyFont="1" applyFill="1" applyBorder="1" applyAlignment="1" applyProtection="1">
      <alignment horizontal="left" vertical="center" wrapText="1"/>
      <protection locked="0"/>
    </xf>
    <xf numFmtId="14" fontId="19" fillId="9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19" fillId="9" borderId="4" xfId="0" applyFont="1" applyFill="1" applyBorder="1" applyAlignment="1" applyProtection="1">
      <alignment vertical="center" wrapText="1"/>
      <protection locked="0"/>
    </xf>
    <xf numFmtId="0" fontId="19" fillId="9" borderId="0" xfId="0" applyFont="1" applyFill="1" applyAlignment="1" applyProtection="1">
      <alignment vertical="center" wrapText="1"/>
      <protection locked="0"/>
    </xf>
    <xf numFmtId="0" fontId="19" fillId="9" borderId="0" xfId="0" applyFont="1" applyFill="1" applyAlignment="1" applyProtection="1">
      <alignment horizontal="left" vertical="center" wrapText="1"/>
      <protection locked="0"/>
    </xf>
    <xf numFmtId="0" fontId="20" fillId="10" borderId="1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21" fillId="3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24" fillId="0" borderId="4" xfId="0" applyFont="1" applyBorder="1" applyAlignment="1">
      <alignment horizontal="center" wrapText="1"/>
    </xf>
    <xf numFmtId="0" fontId="24" fillId="0" borderId="15" xfId="0" applyFont="1" applyBorder="1" applyAlignment="1">
      <alignment horizontal="center" wrapText="1"/>
    </xf>
    <xf numFmtId="0" fontId="24" fillId="0" borderId="16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 applyProtection="1">
      <alignment vertical="center" wrapText="1"/>
      <protection locked="0"/>
    </xf>
    <xf numFmtId="0" fontId="0" fillId="0" borderId="21" xfId="0" applyBorder="1" applyAlignment="1">
      <alignment wrapText="1"/>
    </xf>
    <xf numFmtId="0" fontId="0" fillId="0" borderId="22" xfId="0" applyBorder="1"/>
    <xf numFmtId="0" fontId="10" fillId="8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26" fillId="4" borderId="2" xfId="0" applyFont="1" applyFill="1" applyBorder="1" applyAlignment="1">
      <alignment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0" fillId="0" borderId="1" xfId="0" applyBorder="1"/>
    <xf numFmtId="0" fontId="27" fillId="5" borderId="0" xfId="0" applyFont="1" applyFill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vertical="center" wrapText="1"/>
    </xf>
    <xf numFmtId="0" fontId="17" fillId="5" borderId="0" xfId="0" applyFont="1" applyFill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 applyProtection="1">
      <alignment horizontal="center" vertical="center" wrapText="1"/>
      <protection locked="0"/>
    </xf>
    <xf numFmtId="0" fontId="19" fillId="9" borderId="6" xfId="0" applyFont="1" applyFill="1" applyBorder="1" applyAlignment="1" applyProtection="1">
      <alignment horizontal="center" vertical="center" wrapText="1"/>
      <protection locked="0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textRotation="90" wrapText="1"/>
    </xf>
    <xf numFmtId="0" fontId="2" fillId="5" borderId="0" xfId="0" applyFont="1" applyFill="1" applyAlignment="1">
      <alignment horizontal="center" vertical="center" textRotation="90" wrapText="1"/>
    </xf>
    <xf numFmtId="0" fontId="2" fillId="5" borderId="8" xfId="0" applyFont="1" applyFill="1" applyBorder="1" applyAlignment="1">
      <alignment horizontal="center" vertical="center" textRotation="90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left" vertical="center"/>
    </xf>
  </cellXfs>
  <cellStyles count="2">
    <cellStyle name="Hipervínculo" xfId="1" builtinId="8"/>
    <cellStyle name="Normal" xfId="0" builtinId="0"/>
  </cellStyles>
  <dxfs count="71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60120682589094"/>
          <c:y val="0.16853335640737216"/>
          <c:w val="0.46783163732440419"/>
          <c:h val="0.61897724322921177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7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96-4527-8419-3AF2DE42BE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96-4527-8419-3AF2DE42BE02}"/>
              </c:ext>
            </c:extLst>
          </c:dPt>
          <c:dLbls>
            <c:dLbl>
              <c:idx val="0"/>
              <c:layout>
                <c:manualLayout>
                  <c:x val="0.18252413215789887"/>
                  <c:y val="-0.181967061809581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96-4527-8419-3AF2DE42BE02}"/>
                </c:ext>
              </c:extLst>
            </c:dLbl>
            <c:dLbl>
              <c:idx val="1"/>
              <c:layout>
                <c:manualLayout>
                  <c:x val="-4.3132689809122694E-2"/>
                  <c:y val="3.035389807043350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96-4527-8419-3AF2DE42BE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Portada!$F$1:$G$1</c:f>
              <c:strCache>
                <c:ptCount val="2"/>
                <c:pt idx="0">
                  <c:v>N° de Puestos </c:v>
                </c:pt>
                <c:pt idx="1">
                  <c:v>Evaluados</c:v>
                </c:pt>
              </c:strCache>
            </c:strRef>
          </c:cat>
          <c:val>
            <c:numRef>
              <c:f>Portada!$F$2:$G$2</c:f>
              <c:numCache>
                <c:formatCode>General</c:formatCode>
                <c:ptCount val="2"/>
                <c:pt idx="0">
                  <c:v>7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527-8419-3AF2DE42BE0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096179837985367"/>
          <c:y val="0.83791122263563222"/>
          <c:w val="0.82705592033553943"/>
          <c:h val="0.15934238989357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2</xdr:row>
      <xdr:rowOff>95250</xdr:rowOff>
    </xdr:from>
    <xdr:to>
      <xdr:col>8</xdr:col>
      <xdr:colOff>53340</xdr:colOff>
      <xdr:row>7</xdr:row>
      <xdr:rowOff>251460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DCB850-9D63-17E8-6319-17097334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1</xdr:row>
      <xdr:rowOff>7619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03D38-A3CE-4878-965C-C2B3361F128D}"/>
            </a:ext>
          </a:extLst>
        </xdr:cNvPr>
        <xdr:cNvSpPr/>
      </xdr:nvSpPr>
      <xdr:spPr>
        <a:xfrm>
          <a:off x="25908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167640</xdr:rowOff>
    </xdr:from>
    <xdr:to>
      <xdr:col>4</xdr:col>
      <xdr:colOff>891540</xdr:colOff>
      <xdr:row>0</xdr:row>
      <xdr:rowOff>441959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7F912-A352-46ED-98C2-C4E2A66B4DEB}"/>
            </a:ext>
          </a:extLst>
        </xdr:cNvPr>
        <xdr:cNvSpPr/>
      </xdr:nvSpPr>
      <xdr:spPr>
        <a:xfrm>
          <a:off x="2788920" y="16764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0</xdr:row>
      <xdr:rowOff>274319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77E49-7AA8-4A61-BBD1-D1EC02D6E4D3}"/>
            </a:ext>
          </a:extLst>
        </xdr:cNvPr>
        <xdr:cNvSpPr/>
      </xdr:nvSpPr>
      <xdr:spPr>
        <a:xfrm>
          <a:off x="27813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251460</xdr:rowOff>
    </xdr:from>
    <xdr:to>
      <xdr:col>4</xdr:col>
      <xdr:colOff>906780</xdr:colOff>
      <xdr:row>0</xdr:row>
      <xdr:rowOff>525779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57403-1FB6-4650-BEB4-CEBC3411EA55}"/>
            </a:ext>
          </a:extLst>
        </xdr:cNvPr>
        <xdr:cNvSpPr/>
      </xdr:nvSpPr>
      <xdr:spPr>
        <a:xfrm>
          <a:off x="280416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883479</xdr:colOff>
      <xdr:row>0</xdr:row>
      <xdr:rowOff>276087</xdr:rowOff>
    </xdr:from>
    <xdr:to>
      <xdr:col>4</xdr:col>
      <xdr:colOff>784529</xdr:colOff>
      <xdr:row>0</xdr:row>
      <xdr:rowOff>550406</xdr:rowOff>
    </xdr:to>
    <xdr:sp macro="" textlink="">
      <xdr:nvSpPr>
        <xdr:cNvPr id="3" name="Flecha: hacia l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10DF5-557F-40A6-87EC-18B5877AF4D4}"/>
            </a:ext>
          </a:extLst>
        </xdr:cNvPr>
        <xdr:cNvSpPr/>
      </xdr:nvSpPr>
      <xdr:spPr>
        <a:xfrm>
          <a:off x="2683566" y="276087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0</xdr:row>
      <xdr:rowOff>274320</xdr:rowOff>
    </xdr:from>
    <xdr:to>
      <xdr:col>5</xdr:col>
      <xdr:colOff>160020</xdr:colOff>
      <xdr:row>0</xdr:row>
      <xdr:rowOff>548639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FE41A-D628-4B63-BC95-AD4037886F5F}"/>
            </a:ext>
          </a:extLst>
        </xdr:cNvPr>
        <xdr:cNvSpPr/>
      </xdr:nvSpPr>
      <xdr:spPr>
        <a:xfrm>
          <a:off x="3177540" y="274320"/>
          <a:ext cx="6934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861060</xdr:colOff>
      <xdr:row>0</xdr:row>
      <xdr:rowOff>251460</xdr:rowOff>
    </xdr:from>
    <xdr:to>
      <xdr:col>4</xdr:col>
      <xdr:colOff>762000</xdr:colOff>
      <xdr:row>0</xdr:row>
      <xdr:rowOff>525779</xdr:rowOff>
    </xdr:to>
    <xdr:sp macro="" textlink="">
      <xdr:nvSpPr>
        <xdr:cNvPr id="4" name="Flecha: hacia la izquierd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EC1E0-D7D6-A940-AF78-E2015AABAD34}"/>
            </a:ext>
          </a:extLst>
        </xdr:cNvPr>
        <xdr:cNvSpPr/>
      </xdr:nvSpPr>
      <xdr:spPr>
        <a:xfrm>
          <a:off x="265938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MUNOZC@AGROSUPER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301B-4B59-4FD8-B812-8690A78D29D2}">
  <dimension ref="A1:H14"/>
  <sheetViews>
    <sheetView workbookViewId="0">
      <selection activeCell="I9" sqref="I9"/>
    </sheetView>
  </sheetViews>
  <sheetFormatPr defaultColWidth="11.42578125" defaultRowHeight="14.45"/>
  <cols>
    <col min="1" max="1" width="26.28515625" style="1" customWidth="1"/>
    <col min="2" max="2" width="44.28515625" customWidth="1"/>
    <col min="3" max="3" width="16.28515625" customWidth="1"/>
    <col min="4" max="4" width="27.5703125" style="34" customWidth="1"/>
    <col min="6" max="6" width="12.5703125" bestFit="1" customWidth="1"/>
    <col min="7" max="7" width="9.140625" bestFit="1" customWidth="1"/>
    <col min="8" max="8" width="10" bestFit="1" customWidth="1"/>
  </cols>
  <sheetData>
    <row r="1" spans="1:8" ht="26.45" customHeight="1" thickBot="1">
      <c r="A1" s="111" t="s">
        <v>0</v>
      </c>
      <c r="B1" s="111"/>
      <c r="C1" s="111"/>
      <c r="D1" s="111"/>
      <c r="F1" s="39" t="s">
        <v>1</v>
      </c>
      <c r="G1" s="39" t="s">
        <v>2</v>
      </c>
      <c r="H1" s="39" t="s">
        <v>3</v>
      </c>
    </row>
    <row r="2" spans="1:8" ht="22.15" customHeight="1" thickBot="1">
      <c r="A2" s="38" t="s">
        <v>4</v>
      </c>
      <c r="B2" s="31" t="s">
        <v>5</v>
      </c>
      <c r="C2" s="29" t="s">
        <v>6</v>
      </c>
      <c r="D2" s="32" t="s">
        <v>7</v>
      </c>
      <c r="F2" s="40">
        <f>COUNTIF(Datos!B:B,"Despacho")</f>
        <v>7</v>
      </c>
      <c r="G2" s="41">
        <f>COUNTIF(Datos!T:T,"SI")</f>
        <v>5</v>
      </c>
      <c r="H2" s="41">
        <f>COUNTIF(Datos!T:T,"NO")</f>
        <v>2</v>
      </c>
    </row>
    <row r="3" spans="1:8" ht="25.9" customHeight="1">
      <c r="A3" s="38" t="s">
        <v>8</v>
      </c>
      <c r="B3" s="31" t="s">
        <v>9</v>
      </c>
      <c r="C3" s="29" t="s">
        <v>10</v>
      </c>
      <c r="D3" s="32"/>
    </row>
    <row r="4" spans="1:8" ht="22.15" customHeight="1">
      <c r="A4" s="38" t="s">
        <v>11</v>
      </c>
      <c r="B4" s="31" t="s">
        <v>12</v>
      </c>
      <c r="C4" s="29" t="s">
        <v>13</v>
      </c>
      <c r="D4" s="32" t="s">
        <v>14</v>
      </c>
    </row>
    <row r="5" spans="1:8" ht="22.15" customHeight="1">
      <c r="A5" s="38" t="s">
        <v>15</v>
      </c>
      <c r="B5" s="31" t="s">
        <v>16</v>
      </c>
      <c r="C5" s="31"/>
      <c r="D5" s="31"/>
    </row>
    <row r="6" spans="1:8" ht="31.9" customHeight="1">
      <c r="A6" s="38" t="s">
        <v>17</v>
      </c>
      <c r="B6" s="31" t="s">
        <v>18</v>
      </c>
      <c r="C6" s="29" t="s">
        <v>19</v>
      </c>
      <c r="D6" s="33">
        <v>45440</v>
      </c>
    </row>
    <row r="7" spans="1:8" ht="22.15" customHeight="1">
      <c r="A7" s="112" t="s">
        <v>20</v>
      </c>
      <c r="B7" s="112"/>
      <c r="C7" s="112"/>
      <c r="D7" s="112"/>
    </row>
    <row r="8" spans="1:8" ht="33.6" customHeight="1">
      <c r="A8" s="38" t="s">
        <v>21</v>
      </c>
      <c r="B8" s="31" t="s">
        <v>22</v>
      </c>
      <c r="C8" s="113" t="s">
        <v>23</v>
      </c>
      <c r="D8" s="114"/>
    </row>
    <row r="9" spans="1:8" ht="22.15" customHeight="1">
      <c r="A9" s="38" t="s">
        <v>24</v>
      </c>
      <c r="B9" s="35" t="s">
        <v>12</v>
      </c>
      <c r="C9" s="29" t="s">
        <v>25</v>
      </c>
      <c r="D9" s="32"/>
    </row>
    <row r="10" spans="1:8" ht="22.15" customHeight="1">
      <c r="A10" s="38" t="s">
        <v>13</v>
      </c>
      <c r="B10" s="35" t="s">
        <v>14</v>
      </c>
      <c r="C10" s="29" t="s">
        <v>26</v>
      </c>
      <c r="D10" s="32">
        <v>0</v>
      </c>
    </row>
    <row r="11" spans="1:8" ht="22.15" customHeight="1">
      <c r="A11" s="112" t="s">
        <v>27</v>
      </c>
      <c r="B11" s="112"/>
      <c r="C11" s="112"/>
      <c r="D11" s="112"/>
    </row>
    <row r="12" spans="1:8" ht="22.15" customHeight="1">
      <c r="A12" s="38" t="s">
        <v>28</v>
      </c>
      <c r="B12" s="35" t="s">
        <v>29</v>
      </c>
      <c r="C12" s="29" t="s">
        <v>30</v>
      </c>
      <c r="D12" s="32">
        <v>722312747</v>
      </c>
    </row>
    <row r="13" spans="1:8" ht="22.15" customHeight="1">
      <c r="A13" s="38" t="s">
        <v>31</v>
      </c>
      <c r="B13" s="31" t="s">
        <v>32</v>
      </c>
      <c r="C13" s="36"/>
      <c r="D13" s="37"/>
    </row>
    <row r="14" spans="1:8" ht="22.15" customHeight="1">
      <c r="A14" s="38" t="s">
        <v>33</v>
      </c>
      <c r="B14" s="30" t="s">
        <v>34</v>
      </c>
    </row>
  </sheetData>
  <sheetProtection formatCells="0" formatColumns="0" formatRows="0" insertColumns="0" insertRows="0" insertHyperlinks="0" deleteColumns="0" deleteRows="0"/>
  <mergeCells count="4">
    <mergeCell ref="A1:D1"/>
    <mergeCell ref="A7:D7"/>
    <mergeCell ref="C8:D8"/>
    <mergeCell ref="A11:D11"/>
  </mergeCells>
  <hyperlinks>
    <hyperlink ref="B14" r:id="rId1" xr:uid="{CDAE92A1-96D1-444B-AFA4-2E7F67769B0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C973-AD32-4E2C-95CE-A2FAE575DA22}">
  <dimension ref="A1:T25"/>
  <sheetViews>
    <sheetView workbookViewId="0">
      <pane xSplit="4" ySplit="1" topLeftCell="E5" activePane="bottomRight" state="frozen"/>
      <selection pane="bottomRight" activeCell="T8" sqref="T8"/>
      <selection pane="bottomLeft" activeCell="A2" sqref="A2"/>
      <selection pane="topRight" activeCell="E1" sqref="E1"/>
    </sheetView>
  </sheetViews>
  <sheetFormatPr defaultColWidth="11.42578125" defaultRowHeight="14.45"/>
  <cols>
    <col min="1" max="1" width="3.140625" style="5" bestFit="1" customWidth="1"/>
    <col min="2" max="2" width="11.5703125" style="5"/>
    <col min="3" max="3" width="11.140625" style="5" bestFit="1" customWidth="1"/>
    <col min="4" max="4" width="28.140625" style="5" customWidth="1"/>
    <col min="5" max="5" width="35.5703125" style="5" customWidth="1"/>
    <col min="6" max="6" width="13.7109375" style="5" customWidth="1"/>
    <col min="7" max="7" width="9.42578125" style="5" customWidth="1"/>
    <col min="8" max="8" width="9.140625" style="5" customWidth="1"/>
    <col min="9" max="9" width="10.140625" style="5" customWidth="1"/>
    <col min="10" max="10" width="11.5703125" style="5"/>
    <col min="11" max="11" width="9" style="5" bestFit="1" customWidth="1"/>
    <col min="12" max="12" width="10.7109375" style="5" bestFit="1" customWidth="1"/>
    <col min="13" max="13" width="8.85546875" style="5" bestFit="1" customWidth="1"/>
    <col min="14" max="14" width="16.42578125" style="5" customWidth="1"/>
    <col min="15" max="16" width="11.5703125" style="5"/>
    <col min="17" max="17" width="34" style="5" customWidth="1"/>
    <col min="18" max="19" width="31.7109375" style="5" customWidth="1"/>
    <col min="20" max="20" width="11.5703125" style="7"/>
  </cols>
  <sheetData>
    <row r="1" spans="1:20" ht="99.6" customHeight="1">
      <c r="A1" s="27"/>
      <c r="B1" s="27" t="s">
        <v>35</v>
      </c>
      <c r="C1" s="27" t="s">
        <v>36</v>
      </c>
      <c r="D1" s="27" t="s">
        <v>37</v>
      </c>
      <c r="E1" s="27" t="s">
        <v>38</v>
      </c>
      <c r="F1" s="27" t="s">
        <v>39</v>
      </c>
      <c r="G1" s="24" t="s">
        <v>40</v>
      </c>
      <c r="H1" s="24" t="s">
        <v>41</v>
      </c>
      <c r="I1" s="24" t="s">
        <v>42</v>
      </c>
      <c r="J1" s="24" t="s">
        <v>43</v>
      </c>
      <c r="K1" s="27" t="s">
        <v>44</v>
      </c>
      <c r="L1" s="27" t="s">
        <v>45</v>
      </c>
      <c r="M1" s="27" t="s">
        <v>46</v>
      </c>
      <c r="N1" s="27" t="s">
        <v>47</v>
      </c>
      <c r="O1" s="27" t="s">
        <v>48</v>
      </c>
      <c r="P1" s="27" t="s">
        <v>49</v>
      </c>
      <c r="Q1" s="27" t="s">
        <v>50</v>
      </c>
      <c r="R1" s="27" t="s">
        <v>51</v>
      </c>
      <c r="S1" s="27" t="s">
        <v>52</v>
      </c>
      <c r="T1" s="28" t="s">
        <v>53</v>
      </c>
    </row>
    <row r="2" spans="1:20" ht="70.150000000000006" customHeight="1">
      <c r="A2" s="42">
        <v>1</v>
      </c>
      <c r="B2" s="43" t="s">
        <v>22</v>
      </c>
      <c r="C2" s="43" t="s">
        <v>54</v>
      </c>
      <c r="D2" s="110" t="s">
        <v>55</v>
      </c>
      <c r="E2" s="44" t="s">
        <v>56</v>
      </c>
      <c r="F2" s="44" t="s">
        <v>57</v>
      </c>
      <c r="G2" s="42">
        <v>0</v>
      </c>
      <c r="H2" s="43">
        <v>2</v>
      </c>
      <c r="I2" s="45">
        <v>6</v>
      </c>
      <c r="J2" s="45">
        <v>0</v>
      </c>
      <c r="K2" s="43" t="s">
        <v>58</v>
      </c>
      <c r="L2" s="43" t="s">
        <v>59</v>
      </c>
      <c r="M2" s="46" t="s">
        <v>60</v>
      </c>
      <c r="N2" s="43" t="s">
        <v>61</v>
      </c>
      <c r="O2" s="46" t="s">
        <v>62</v>
      </c>
      <c r="P2" s="46" t="s">
        <v>63</v>
      </c>
      <c r="Q2" s="46" t="s">
        <v>64</v>
      </c>
      <c r="R2" s="43" t="s">
        <v>65</v>
      </c>
      <c r="S2" s="43" t="s">
        <v>66</v>
      </c>
      <c r="T2" s="47" t="s">
        <v>62</v>
      </c>
    </row>
    <row r="3" spans="1:20" ht="70.150000000000006" customHeight="1">
      <c r="A3" s="42">
        <v>2</v>
      </c>
      <c r="B3" s="43" t="s">
        <v>22</v>
      </c>
      <c r="C3" s="43" t="s">
        <v>54</v>
      </c>
      <c r="D3" s="110" t="s">
        <v>67</v>
      </c>
      <c r="E3" s="44" t="s">
        <v>68</v>
      </c>
      <c r="F3" s="44" t="s">
        <v>57</v>
      </c>
      <c r="G3" s="42">
        <v>0</v>
      </c>
      <c r="H3" s="43">
        <v>2</v>
      </c>
      <c r="I3" s="45">
        <v>24</v>
      </c>
      <c r="J3" s="45">
        <v>0</v>
      </c>
      <c r="K3" s="43" t="s">
        <v>58</v>
      </c>
      <c r="L3" s="43" t="s">
        <v>59</v>
      </c>
      <c r="M3" s="46" t="s">
        <v>60</v>
      </c>
      <c r="N3" s="43" t="s">
        <v>61</v>
      </c>
      <c r="O3" s="46" t="s">
        <v>62</v>
      </c>
      <c r="P3" s="46" t="s">
        <v>63</v>
      </c>
      <c r="Q3" s="46" t="s">
        <v>64</v>
      </c>
      <c r="R3" s="43" t="s">
        <v>65</v>
      </c>
      <c r="S3" s="43" t="s">
        <v>66</v>
      </c>
      <c r="T3" s="47" t="s">
        <v>62</v>
      </c>
    </row>
    <row r="4" spans="1:20" ht="70.150000000000006" customHeight="1">
      <c r="A4" s="42">
        <v>3</v>
      </c>
      <c r="B4" s="43" t="s">
        <v>22</v>
      </c>
      <c r="C4" s="43" t="s">
        <v>54</v>
      </c>
      <c r="D4" s="110" t="s">
        <v>55</v>
      </c>
      <c r="E4" s="44" t="s">
        <v>69</v>
      </c>
      <c r="F4" s="44" t="s">
        <v>57</v>
      </c>
      <c r="G4" s="42">
        <v>0</v>
      </c>
      <c r="H4" s="43">
        <v>2</v>
      </c>
      <c r="I4" s="45">
        <v>24</v>
      </c>
      <c r="J4" s="45">
        <v>0</v>
      </c>
      <c r="K4" s="43" t="s">
        <v>58</v>
      </c>
      <c r="L4" s="43" t="s">
        <v>59</v>
      </c>
      <c r="M4" s="46" t="s">
        <v>60</v>
      </c>
      <c r="N4" s="43" t="s">
        <v>61</v>
      </c>
      <c r="O4" s="46" t="s">
        <v>62</v>
      </c>
      <c r="P4" s="46" t="s">
        <v>63</v>
      </c>
      <c r="Q4" s="46" t="s">
        <v>64</v>
      </c>
      <c r="R4" s="43" t="s">
        <v>65</v>
      </c>
      <c r="S4" s="43" t="s">
        <v>66</v>
      </c>
      <c r="T4" s="47" t="s">
        <v>62</v>
      </c>
    </row>
    <row r="5" spans="1:20" ht="70.150000000000006" customHeight="1">
      <c r="A5" s="42">
        <v>4</v>
      </c>
      <c r="B5" s="43" t="s">
        <v>22</v>
      </c>
      <c r="C5" s="43" t="s">
        <v>70</v>
      </c>
      <c r="D5" s="110" t="s">
        <v>71</v>
      </c>
      <c r="E5" s="44" t="s">
        <v>72</v>
      </c>
      <c r="F5" s="44" t="s">
        <v>57</v>
      </c>
      <c r="G5" s="42">
        <v>0</v>
      </c>
      <c r="H5" s="43">
        <v>2</v>
      </c>
      <c r="I5" s="45"/>
      <c r="J5" s="45"/>
      <c r="K5" s="43" t="s">
        <v>58</v>
      </c>
      <c r="L5" s="43" t="s">
        <v>59</v>
      </c>
      <c r="M5" s="46" t="s">
        <v>73</v>
      </c>
      <c r="N5" s="43" t="s">
        <v>74</v>
      </c>
      <c r="O5" s="46" t="s">
        <v>75</v>
      </c>
      <c r="P5" s="46" t="s">
        <v>76</v>
      </c>
      <c r="Q5" s="46" t="s">
        <v>77</v>
      </c>
      <c r="R5" s="43" t="s">
        <v>78</v>
      </c>
      <c r="S5" s="43" t="s">
        <v>79</v>
      </c>
      <c r="T5" s="47" t="s">
        <v>80</v>
      </c>
    </row>
    <row r="6" spans="1:20" ht="70.150000000000006" customHeight="1">
      <c r="A6" s="42">
        <v>5</v>
      </c>
      <c r="B6" s="43" t="s">
        <v>22</v>
      </c>
      <c r="C6" s="43" t="s">
        <v>70</v>
      </c>
      <c r="D6" s="110" t="s">
        <v>81</v>
      </c>
      <c r="E6" s="44" t="s">
        <v>82</v>
      </c>
      <c r="F6" s="44" t="s">
        <v>57</v>
      </c>
      <c r="G6" s="42">
        <v>0</v>
      </c>
      <c r="H6" s="43">
        <v>2</v>
      </c>
      <c r="I6" s="45"/>
      <c r="J6" s="45"/>
      <c r="K6" s="43" t="s">
        <v>58</v>
      </c>
      <c r="L6" s="43" t="s">
        <v>59</v>
      </c>
      <c r="M6" s="46" t="s">
        <v>83</v>
      </c>
      <c r="N6" s="43" t="s">
        <v>74</v>
      </c>
      <c r="O6" s="46" t="s">
        <v>75</v>
      </c>
      <c r="P6" s="46" t="s">
        <v>76</v>
      </c>
      <c r="Q6" s="46" t="s">
        <v>77</v>
      </c>
      <c r="R6" s="43" t="s">
        <v>78</v>
      </c>
      <c r="S6" s="43" t="s">
        <v>79</v>
      </c>
      <c r="T6" s="47" t="s">
        <v>80</v>
      </c>
    </row>
    <row r="7" spans="1:20" ht="70.150000000000006" customHeight="1">
      <c r="A7" s="42">
        <v>6</v>
      </c>
      <c r="B7" s="43" t="s">
        <v>22</v>
      </c>
      <c r="C7" s="43" t="s">
        <v>70</v>
      </c>
      <c r="D7" s="110" t="s">
        <v>84</v>
      </c>
      <c r="E7" s="44" t="s">
        <v>85</v>
      </c>
      <c r="F7" s="44" t="s">
        <v>57</v>
      </c>
      <c r="G7" s="42">
        <v>0</v>
      </c>
      <c r="H7" s="43">
        <v>2</v>
      </c>
      <c r="I7" s="45"/>
      <c r="J7" s="45"/>
      <c r="K7" s="43" t="s">
        <v>58</v>
      </c>
      <c r="L7" s="43" t="s">
        <v>59</v>
      </c>
      <c r="M7" s="46" t="s">
        <v>86</v>
      </c>
      <c r="N7" s="43" t="s">
        <v>74</v>
      </c>
      <c r="O7" s="46" t="s">
        <v>75</v>
      </c>
      <c r="P7" s="46" t="s">
        <v>87</v>
      </c>
      <c r="Q7" s="46" t="s">
        <v>77</v>
      </c>
      <c r="R7" s="43" t="s">
        <v>78</v>
      </c>
      <c r="S7" s="43" t="s">
        <v>79</v>
      </c>
      <c r="T7" s="47" t="s">
        <v>62</v>
      </c>
    </row>
    <row r="8" spans="1:20" ht="70.150000000000006" customHeight="1">
      <c r="A8" s="42">
        <v>7</v>
      </c>
      <c r="B8" s="43" t="s">
        <v>22</v>
      </c>
      <c r="C8" s="43" t="s">
        <v>70</v>
      </c>
      <c r="D8" s="44" t="s">
        <v>88</v>
      </c>
      <c r="E8" s="44" t="s">
        <v>89</v>
      </c>
      <c r="F8" s="44" t="s">
        <v>57</v>
      </c>
      <c r="G8" s="42">
        <v>0</v>
      </c>
      <c r="H8" s="43">
        <v>2</v>
      </c>
      <c r="I8" s="45"/>
      <c r="J8" s="45"/>
      <c r="K8" s="43" t="s">
        <v>58</v>
      </c>
      <c r="L8" s="43" t="s">
        <v>59</v>
      </c>
      <c r="M8" s="46" t="s">
        <v>90</v>
      </c>
      <c r="N8" s="43" t="s">
        <v>74</v>
      </c>
      <c r="O8" s="46" t="s">
        <v>62</v>
      </c>
      <c r="P8" s="48" t="s">
        <v>91</v>
      </c>
      <c r="Q8" s="46" t="s">
        <v>77</v>
      </c>
      <c r="R8" s="43" t="s">
        <v>92</v>
      </c>
      <c r="S8" s="43" t="s">
        <v>79</v>
      </c>
      <c r="T8" s="47" t="s">
        <v>62</v>
      </c>
    </row>
    <row r="9" spans="1:20" ht="70.150000000000006" customHeight="1">
      <c r="A9" s="42">
        <v>8</v>
      </c>
      <c r="B9" s="43"/>
      <c r="C9" s="43"/>
      <c r="D9" s="44"/>
      <c r="E9" s="44"/>
      <c r="F9" s="44"/>
      <c r="G9" s="42"/>
      <c r="H9" s="43"/>
      <c r="I9" s="45"/>
      <c r="J9" s="45"/>
      <c r="K9" s="43"/>
      <c r="L9" s="43"/>
      <c r="M9" s="46"/>
      <c r="N9" s="43"/>
      <c r="O9" s="46"/>
      <c r="P9" s="46"/>
      <c r="Q9" s="46"/>
      <c r="R9" s="43"/>
      <c r="S9" s="43"/>
      <c r="T9" s="47"/>
    </row>
    <row r="10" spans="1:20" ht="70.150000000000006" customHeight="1">
      <c r="A10" s="42">
        <v>9</v>
      </c>
      <c r="B10" s="43"/>
      <c r="C10" s="43"/>
      <c r="D10" s="44"/>
      <c r="E10" s="44"/>
      <c r="F10" s="44"/>
      <c r="G10" s="42"/>
      <c r="H10" s="43"/>
      <c r="I10" s="45"/>
      <c r="J10" s="45"/>
      <c r="K10" s="43"/>
      <c r="L10" s="43"/>
      <c r="M10" s="46"/>
      <c r="N10" s="43"/>
      <c r="O10" s="46"/>
      <c r="P10" s="46"/>
      <c r="Q10" s="46"/>
      <c r="R10" s="43"/>
      <c r="S10" s="43"/>
      <c r="T10" s="47"/>
    </row>
    <row r="11" spans="1:20" ht="70.150000000000006" customHeight="1">
      <c r="A11" s="42">
        <v>10</v>
      </c>
      <c r="B11" s="43"/>
      <c r="C11" s="43"/>
      <c r="D11" s="44"/>
      <c r="E11" s="43"/>
      <c r="F11" s="44"/>
      <c r="G11" s="42"/>
      <c r="H11" s="43"/>
      <c r="I11" s="45"/>
      <c r="J11" s="45"/>
      <c r="K11" s="43"/>
      <c r="L11" s="43"/>
      <c r="M11" s="46"/>
      <c r="N11" s="43"/>
      <c r="O11" s="46"/>
      <c r="P11" s="46"/>
      <c r="Q11" s="46"/>
      <c r="R11" s="43"/>
      <c r="S11" s="43"/>
      <c r="T11" s="47"/>
    </row>
    <row r="12" spans="1:20" ht="70.150000000000006" customHeight="1">
      <c r="A12" s="42">
        <v>11</v>
      </c>
      <c r="B12" s="43"/>
      <c r="C12" s="43"/>
      <c r="D12" s="43"/>
      <c r="E12" s="43"/>
      <c r="F12" s="44"/>
      <c r="G12" s="42"/>
      <c r="H12" s="43"/>
      <c r="I12" s="45"/>
      <c r="J12" s="45"/>
      <c r="K12" s="43"/>
      <c r="L12" s="43"/>
      <c r="M12" s="46"/>
      <c r="N12" s="43"/>
      <c r="O12" s="46"/>
      <c r="P12" s="46"/>
      <c r="Q12" s="46"/>
      <c r="R12" s="43"/>
      <c r="S12" s="43"/>
      <c r="T12" s="47"/>
    </row>
    <row r="13" spans="1:20" ht="70.150000000000006" customHeight="1">
      <c r="A13" s="42">
        <v>12</v>
      </c>
      <c r="B13" s="43"/>
      <c r="C13" s="43"/>
      <c r="D13" s="43"/>
      <c r="E13" s="43"/>
      <c r="F13" s="44"/>
      <c r="G13" s="42"/>
      <c r="H13" s="43"/>
      <c r="I13" s="45"/>
      <c r="J13" s="45"/>
      <c r="K13" s="43"/>
      <c r="L13" s="43"/>
      <c r="M13" s="46"/>
      <c r="N13" s="43"/>
      <c r="O13" s="46"/>
      <c r="P13" s="46"/>
      <c r="Q13" s="46"/>
      <c r="R13" s="43"/>
      <c r="S13" s="43"/>
      <c r="T13" s="47"/>
    </row>
    <row r="14" spans="1:20" ht="70.150000000000006" customHeight="1">
      <c r="A14" s="42">
        <v>13</v>
      </c>
      <c r="B14" s="43"/>
      <c r="C14" s="43"/>
      <c r="D14" s="43"/>
      <c r="E14" s="43"/>
      <c r="F14" s="44"/>
      <c r="G14" s="42"/>
      <c r="H14" s="43"/>
      <c r="I14" s="45"/>
      <c r="J14" s="45"/>
      <c r="K14" s="43"/>
      <c r="L14" s="43"/>
      <c r="M14" s="46"/>
      <c r="N14" s="43"/>
      <c r="O14" s="46"/>
      <c r="P14" s="46"/>
      <c r="Q14" s="46"/>
      <c r="R14" s="43"/>
      <c r="S14" s="43"/>
      <c r="T14" s="47"/>
    </row>
    <row r="15" spans="1:20" ht="70.150000000000006" customHeight="1">
      <c r="A15" s="42">
        <v>14</v>
      </c>
      <c r="B15" s="43"/>
      <c r="C15" s="43"/>
      <c r="D15" s="43"/>
      <c r="E15" s="43"/>
      <c r="F15" s="44"/>
      <c r="G15" s="42"/>
      <c r="H15" s="43"/>
      <c r="I15" s="45"/>
      <c r="J15" s="45"/>
      <c r="K15" s="43"/>
      <c r="L15" s="43"/>
      <c r="M15" s="46"/>
      <c r="N15" s="43"/>
      <c r="O15" s="46"/>
      <c r="P15" s="46"/>
      <c r="Q15" s="46"/>
      <c r="R15" s="43"/>
      <c r="S15" s="43"/>
      <c r="T15" s="47"/>
    </row>
    <row r="16" spans="1:20" ht="70.150000000000006" customHeight="1">
      <c r="A16" s="42">
        <v>15</v>
      </c>
      <c r="B16" s="43"/>
      <c r="C16" s="43"/>
      <c r="D16" s="43"/>
      <c r="E16" s="43"/>
      <c r="F16" s="44"/>
      <c r="G16" s="42"/>
      <c r="H16" s="43"/>
      <c r="I16" s="45"/>
      <c r="J16" s="45"/>
      <c r="K16" s="43"/>
      <c r="L16" s="43"/>
      <c r="M16" s="46"/>
      <c r="N16" s="43"/>
      <c r="O16" s="46"/>
      <c r="P16" s="46"/>
      <c r="Q16" s="46"/>
      <c r="R16" s="43"/>
      <c r="S16" s="43"/>
      <c r="T16" s="47"/>
    </row>
    <row r="17" spans="1:20" ht="70.150000000000006" customHeight="1">
      <c r="A17" s="42">
        <v>16</v>
      </c>
      <c r="B17" s="43"/>
      <c r="C17" s="43"/>
      <c r="D17" s="43"/>
      <c r="E17" s="43"/>
      <c r="F17" s="44"/>
      <c r="G17" s="42"/>
      <c r="H17" s="43"/>
      <c r="I17" s="45"/>
      <c r="J17" s="45"/>
      <c r="K17" s="43"/>
      <c r="L17" s="43"/>
      <c r="M17" s="46"/>
      <c r="N17" s="43"/>
      <c r="O17" s="46"/>
      <c r="P17" s="46"/>
      <c r="Q17" s="46"/>
      <c r="R17" s="43"/>
      <c r="S17" s="43"/>
      <c r="T17" s="47"/>
    </row>
    <row r="18" spans="1:20" ht="70.150000000000006" customHeight="1">
      <c r="A18" s="42">
        <v>17</v>
      </c>
      <c r="B18" s="43"/>
      <c r="C18" s="43"/>
      <c r="D18" s="43"/>
      <c r="E18" s="43"/>
      <c r="F18" s="44"/>
      <c r="G18" s="42"/>
      <c r="H18" s="43"/>
      <c r="I18" s="45"/>
      <c r="J18" s="45"/>
      <c r="K18" s="43"/>
      <c r="L18" s="43"/>
      <c r="M18" s="46"/>
      <c r="N18" s="43"/>
      <c r="O18" s="46"/>
      <c r="P18" s="46"/>
      <c r="Q18" s="46"/>
      <c r="R18" s="43"/>
      <c r="S18" s="43"/>
      <c r="T18" s="47"/>
    </row>
    <row r="19" spans="1:20" ht="70.150000000000006" customHeight="1">
      <c r="A19" s="42">
        <v>18</v>
      </c>
      <c r="B19" s="43"/>
      <c r="C19" s="43"/>
      <c r="D19" s="43"/>
      <c r="E19" s="43"/>
      <c r="F19" s="44"/>
      <c r="G19" s="42"/>
      <c r="H19" s="43"/>
      <c r="I19" s="46"/>
      <c r="J19" s="46"/>
      <c r="K19" s="43"/>
      <c r="L19" s="43"/>
      <c r="M19" s="46"/>
      <c r="N19" s="43"/>
      <c r="O19" s="46"/>
      <c r="P19" s="46"/>
      <c r="Q19" s="46"/>
      <c r="R19" s="43"/>
      <c r="S19" s="43"/>
      <c r="T19" s="47"/>
    </row>
    <row r="20" spans="1:20" ht="70.150000000000006" customHeight="1">
      <c r="A20" s="42">
        <v>19</v>
      </c>
      <c r="B20" s="43"/>
      <c r="C20" s="43"/>
      <c r="D20" s="43"/>
      <c r="E20" s="43"/>
      <c r="F20" s="43"/>
      <c r="G20" s="42"/>
      <c r="H20" s="43"/>
      <c r="I20" s="46"/>
      <c r="J20" s="46"/>
      <c r="K20" s="43"/>
      <c r="L20" s="43"/>
      <c r="M20" s="46"/>
      <c r="N20" s="43"/>
      <c r="O20" s="46"/>
      <c r="P20" s="46"/>
      <c r="Q20" s="46"/>
      <c r="R20" s="43"/>
      <c r="S20" s="43"/>
      <c r="T20" s="47"/>
    </row>
    <row r="21" spans="1:20" ht="70.150000000000006" customHeight="1">
      <c r="A21" s="42">
        <v>20</v>
      </c>
      <c r="B21" s="43"/>
      <c r="C21" s="43"/>
      <c r="D21" s="43"/>
      <c r="E21" s="43"/>
      <c r="F21" s="43"/>
      <c r="G21" s="42"/>
      <c r="H21" s="43"/>
      <c r="I21" s="46"/>
      <c r="J21" s="46"/>
      <c r="K21" s="43"/>
      <c r="L21" s="43"/>
      <c r="M21" s="46"/>
      <c r="N21" s="43"/>
      <c r="O21" s="46"/>
      <c r="P21" s="46"/>
      <c r="Q21" s="46"/>
      <c r="R21" s="43"/>
      <c r="S21" s="43"/>
      <c r="T21" s="47"/>
    </row>
    <row r="22" spans="1:20" ht="70.150000000000006" customHeight="1">
      <c r="A22" s="42">
        <v>21</v>
      </c>
      <c r="B22" s="43"/>
      <c r="C22" s="43"/>
      <c r="D22" s="43"/>
      <c r="E22" s="43"/>
      <c r="F22" s="43"/>
      <c r="G22" s="42"/>
      <c r="H22" s="43"/>
      <c r="I22" s="46"/>
      <c r="J22" s="46"/>
      <c r="K22" s="43"/>
      <c r="L22" s="43"/>
      <c r="M22" s="46"/>
      <c r="N22" s="43"/>
      <c r="O22" s="46"/>
      <c r="P22" s="46"/>
      <c r="Q22" s="46"/>
      <c r="R22" s="43"/>
      <c r="S22" s="43"/>
      <c r="T22" s="47"/>
    </row>
    <row r="23" spans="1:20" ht="70.150000000000006" customHeight="1">
      <c r="A23" s="42">
        <v>22</v>
      </c>
      <c r="B23" s="43"/>
      <c r="C23" s="43"/>
      <c r="D23" s="43"/>
      <c r="E23" s="43"/>
      <c r="F23" s="43"/>
      <c r="G23" s="42"/>
      <c r="H23" s="43"/>
      <c r="I23" s="46"/>
      <c r="J23" s="46"/>
      <c r="K23" s="43"/>
      <c r="L23" s="43"/>
      <c r="M23" s="46"/>
      <c r="N23" s="43"/>
      <c r="O23" s="46"/>
      <c r="P23" s="46"/>
      <c r="Q23" s="46"/>
      <c r="R23" s="43"/>
      <c r="S23" s="43"/>
      <c r="T23" s="47"/>
    </row>
    <row r="24" spans="1:20" ht="70.150000000000006" customHeight="1">
      <c r="A24" s="42">
        <v>23</v>
      </c>
      <c r="B24" s="43"/>
      <c r="C24" s="43"/>
      <c r="D24" s="43"/>
      <c r="E24" s="43"/>
      <c r="F24" s="43"/>
      <c r="G24" s="42"/>
      <c r="H24" s="43"/>
      <c r="I24" s="46"/>
      <c r="J24" s="46"/>
      <c r="K24" s="43"/>
      <c r="L24" s="43"/>
      <c r="M24" s="46"/>
      <c r="N24" s="43"/>
      <c r="O24" s="46"/>
      <c r="P24" s="46"/>
      <c r="Q24" s="46"/>
      <c r="R24" s="43"/>
      <c r="S24" s="43"/>
      <c r="T24" s="47"/>
    </row>
    <row r="25" spans="1:20" ht="70.150000000000006" customHeight="1">
      <c r="A25" s="42">
        <v>24</v>
      </c>
      <c r="B25" s="43"/>
      <c r="C25" s="43"/>
      <c r="D25" s="43"/>
      <c r="E25" s="43"/>
      <c r="F25" s="43"/>
      <c r="G25" s="42"/>
      <c r="H25" s="43"/>
      <c r="I25" s="46"/>
      <c r="J25" s="46"/>
      <c r="K25" s="43"/>
      <c r="L25" s="43"/>
      <c r="M25" s="46"/>
      <c r="N25" s="43"/>
      <c r="O25" s="46"/>
      <c r="P25" s="46"/>
      <c r="Q25" s="46"/>
      <c r="R25" s="43"/>
      <c r="S25" s="43"/>
      <c r="T25" s="47"/>
    </row>
  </sheetData>
  <sheetProtection formatCells="0" formatColumns="0" formatRows="0" insertColumns="0" insertRows="0" insertHyperlinks="0" deleteColumns="0" deleteRows="0"/>
  <protectedRanges>
    <protectedRange algorithmName="SHA-512" hashValue="CQpFda0x1LJiowBRnJ3300QaQczxsEKOcQjQYgQv5DhL+DTYSOGMWzFOCUZBqGeUnyQ1eWk8V0Up/vJtEG8HNg==" saltValue="kELK6omg5AiPl6oZN+CvuA==" spinCount="100000" sqref="A1:T1" name="Rango1"/>
  </protectedRanges>
  <phoneticPr fontId="29" type="noConversion"/>
  <conditionalFormatting sqref="T1:T1048576">
    <cfRule type="cellIs" dxfId="70" priority="1" operator="equal">
      <formula>"NO"</formula>
    </cfRule>
    <cfRule type="cellIs" dxfId="69" priority="2" operator="equal">
      <formula>"SI"</formula>
    </cfRule>
  </conditionalFormatting>
  <dataValidations count="1">
    <dataValidation type="list" allowBlank="1" showInputMessage="1" showErrorMessage="1" sqref="T2:T25" xr:uid="{FFF403BE-3641-4AF1-98CF-8E04C2D040BB}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9275-0DD8-436C-88F7-F23C5AB6D84C}">
  <dimension ref="A1:Q47"/>
  <sheetViews>
    <sheetView tabSelected="1" workbookViewId="0">
      <pane ySplit="2" topLeftCell="B3" activePane="bottomLeft" state="frozen"/>
      <selection pane="bottomLeft" activeCell="L9" sqref="L9"/>
      <selection activeCell="A2" sqref="A2"/>
    </sheetView>
  </sheetViews>
  <sheetFormatPr defaultColWidth="11.42578125" defaultRowHeight="14.45"/>
  <cols>
    <col min="1" max="1" width="3" style="7" bestFit="1" customWidth="1"/>
    <col min="2" max="2" width="11.42578125" style="7" customWidth="1"/>
    <col min="3" max="3" width="21.7109375" style="7" bestFit="1" customWidth="1"/>
    <col min="4" max="4" width="21" style="7" customWidth="1"/>
    <col min="5" max="5" width="12.7109375" style="7" customWidth="1"/>
    <col min="6" max="9" width="6.5703125" style="7" customWidth="1"/>
    <col min="10" max="10" width="41.7109375" style="3" customWidth="1"/>
    <col min="11" max="11" width="41.28515625" style="3" customWidth="1"/>
    <col min="12" max="12" width="25.7109375" style="3" customWidth="1"/>
    <col min="13" max="13" width="40.85546875" style="3" customWidth="1"/>
    <col min="14" max="14" width="42.7109375" style="3" customWidth="1"/>
    <col min="15" max="15" width="29.42578125" style="3" customWidth="1"/>
    <col min="16" max="16" width="36.7109375" style="3" customWidth="1"/>
    <col min="17" max="17" width="34.7109375" style="3" customWidth="1"/>
  </cols>
  <sheetData>
    <row r="1" spans="1:17" ht="14.45" customHeight="1">
      <c r="A1" s="115" t="s">
        <v>93</v>
      </c>
      <c r="B1" s="23"/>
      <c r="C1" s="115" t="s">
        <v>36</v>
      </c>
      <c r="D1" s="115" t="s">
        <v>37</v>
      </c>
      <c r="E1" s="119" t="s">
        <v>39</v>
      </c>
      <c r="F1" s="121" t="s">
        <v>40</v>
      </c>
      <c r="G1" s="122" t="s">
        <v>41</v>
      </c>
      <c r="H1" s="122" t="s">
        <v>42</v>
      </c>
      <c r="I1" s="123" t="s">
        <v>43</v>
      </c>
      <c r="J1" s="26" t="s">
        <v>94</v>
      </c>
      <c r="K1" s="26" t="s">
        <v>95</v>
      </c>
      <c r="L1" s="26" t="s">
        <v>96</v>
      </c>
      <c r="M1" s="26" t="s">
        <v>97</v>
      </c>
      <c r="N1" s="26" t="s">
        <v>98</v>
      </c>
      <c r="O1" s="26" t="s">
        <v>99</v>
      </c>
      <c r="P1" s="26" t="s">
        <v>100</v>
      </c>
      <c r="Q1" s="117" t="s">
        <v>101</v>
      </c>
    </row>
    <row r="2" spans="1:17" ht="94.9" customHeight="1">
      <c r="A2" s="116"/>
      <c r="B2" s="25" t="s">
        <v>102</v>
      </c>
      <c r="C2" s="116"/>
      <c r="D2" s="116"/>
      <c r="E2" s="120"/>
      <c r="F2" s="121"/>
      <c r="G2" s="122"/>
      <c r="H2" s="122"/>
      <c r="I2" s="123"/>
      <c r="J2" s="108" t="s">
        <v>103</v>
      </c>
      <c r="K2" s="21" t="s">
        <v>104</v>
      </c>
      <c r="L2" s="22" t="s">
        <v>105</v>
      </c>
      <c r="M2" s="22" t="s">
        <v>106</v>
      </c>
      <c r="N2" s="21" t="s">
        <v>107</v>
      </c>
      <c r="O2" s="21" t="s">
        <v>108</v>
      </c>
      <c r="P2" s="21" t="s">
        <v>109</v>
      </c>
      <c r="Q2" s="118"/>
    </row>
    <row r="3" spans="1:17" ht="38.450000000000003" customHeight="1">
      <c r="A3" s="73">
        <f>Datos!A2</f>
        <v>1</v>
      </c>
      <c r="B3" s="73" t="str">
        <f>Datos!B2</f>
        <v>Despacho</v>
      </c>
      <c r="C3" s="73" t="str">
        <f>Datos!C2</f>
        <v xml:space="preserve"> Carton Frezzer</v>
      </c>
      <c r="D3" s="73" t="str">
        <f>Datos!D2</f>
        <v xml:space="preserve">Pinchador </v>
      </c>
      <c r="E3" s="74" t="str">
        <f>Datos!F2</f>
        <v>06:00  - 14:00  14:00 - 22:00  22:00 - 06:00</v>
      </c>
      <c r="F3" s="74">
        <f>Datos!G2</f>
        <v>0</v>
      </c>
      <c r="G3" s="74">
        <f>Datos!H2</f>
        <v>2</v>
      </c>
      <c r="H3" s="74">
        <f>Datos!I2</f>
        <v>6</v>
      </c>
      <c r="I3" s="74">
        <f>Datos!J2</f>
        <v>0</v>
      </c>
      <c r="J3" s="6" t="s">
        <v>62</v>
      </c>
      <c r="K3" s="6" t="s">
        <v>80</v>
      </c>
      <c r="L3" s="6" t="s">
        <v>62</v>
      </c>
      <c r="M3" s="6" t="s">
        <v>62</v>
      </c>
      <c r="N3" s="6" t="s">
        <v>80</v>
      </c>
      <c r="O3" s="6" t="s">
        <v>80</v>
      </c>
      <c r="P3" s="6" t="s">
        <v>80</v>
      </c>
      <c r="Q3" s="6" t="str">
        <f>IF(AND(J3="NO",K3="NO",L3="NO",M3="NO",N3="NO",O3="NO",P3="NO"),"Ausencia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4" spans="1:17" ht="43.5">
      <c r="A4" s="73">
        <f>Datos!A3</f>
        <v>2</v>
      </c>
      <c r="B4" s="73" t="str">
        <f>Datos!B3</f>
        <v>Despacho</v>
      </c>
      <c r="C4" s="73" t="str">
        <f>Datos!C3</f>
        <v xml:space="preserve"> Carton Frezzer</v>
      </c>
      <c r="D4" s="73" t="str">
        <f>Datos!D3</f>
        <v>Depaletizador</v>
      </c>
      <c r="E4" s="74" t="str">
        <f>Datos!F3</f>
        <v>06:00  - 14:00  14:00 - 22:00  22:00 - 06:00</v>
      </c>
      <c r="F4" s="74">
        <f>Datos!G3</f>
        <v>0</v>
      </c>
      <c r="G4" s="74">
        <f>Datos!H3</f>
        <v>2</v>
      </c>
      <c r="H4" s="74">
        <f>Datos!I3</f>
        <v>24</v>
      </c>
      <c r="I4" s="74">
        <f>Datos!J3</f>
        <v>0</v>
      </c>
      <c r="J4" s="6" t="s">
        <v>62</v>
      </c>
      <c r="K4" s="6" t="s">
        <v>80</v>
      </c>
      <c r="L4" s="6" t="s">
        <v>62</v>
      </c>
      <c r="M4" s="6" t="s">
        <v>62</v>
      </c>
      <c r="N4" s="6" t="s">
        <v>80</v>
      </c>
      <c r="O4" s="6" t="s">
        <v>80</v>
      </c>
      <c r="P4" s="6" t="s">
        <v>80</v>
      </c>
      <c r="Q4" s="6" t="str">
        <f t="shared" ref="Q4:Q9" si="0">IF(AND(J4="NO",K4="NO",L4="NO",M4="NO",N4="NO",O4="NO",P4="NO"),"Ausencia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5" spans="1:17" ht="43.5">
      <c r="A5" s="73">
        <f>Datos!A4</f>
        <v>3</v>
      </c>
      <c r="B5" s="73" t="str">
        <f>Datos!B4</f>
        <v>Despacho</v>
      </c>
      <c r="C5" s="73" t="str">
        <f>Datos!C4</f>
        <v xml:space="preserve"> Carton Frezzer</v>
      </c>
      <c r="D5" s="73" t="str">
        <f>Datos!D4</f>
        <v xml:space="preserve">Pinchador </v>
      </c>
      <c r="E5" s="74" t="str">
        <f>Datos!F4</f>
        <v>06:00  - 14:00  14:00 - 22:00  22:00 - 06:00</v>
      </c>
      <c r="F5" s="74">
        <f>Datos!G4</f>
        <v>0</v>
      </c>
      <c r="G5" s="74">
        <f>Datos!H4</f>
        <v>2</v>
      </c>
      <c r="H5" s="74">
        <f>Datos!I4</f>
        <v>24</v>
      </c>
      <c r="I5" s="74">
        <f>Datos!J4</f>
        <v>0</v>
      </c>
      <c r="J5" s="6" t="s">
        <v>62</v>
      </c>
      <c r="K5" s="6" t="s">
        <v>80</v>
      </c>
      <c r="L5" s="6" t="s">
        <v>62</v>
      </c>
      <c r="M5" s="6" t="s">
        <v>62</v>
      </c>
      <c r="N5" s="6" t="s">
        <v>80</v>
      </c>
      <c r="O5" s="6" t="s">
        <v>80</v>
      </c>
      <c r="P5" s="6" t="s">
        <v>80</v>
      </c>
      <c r="Q5" s="6" t="str">
        <f t="shared" si="0"/>
        <v>Aplicar identificación avanzada-condición aceptable para cada tipo de factor de riesgo identificado</v>
      </c>
    </row>
    <row r="6" spans="1:17" ht="43.5">
      <c r="A6" s="73">
        <f>Datos!A5</f>
        <v>4</v>
      </c>
      <c r="B6" s="73" t="str">
        <f>Datos!B5</f>
        <v>Despacho</v>
      </c>
      <c r="C6" s="73" t="str">
        <f>Datos!C5</f>
        <v>Despacho congelado</v>
      </c>
      <c r="D6" s="73" t="str">
        <f>Datos!D5</f>
        <v>Gruero</v>
      </c>
      <c r="E6" s="74" t="str">
        <f>Datos!F5</f>
        <v>06:00  - 14:00  14:00 - 22:00  22:00 - 06:00</v>
      </c>
      <c r="F6" s="74">
        <f>Datos!G5</f>
        <v>0</v>
      </c>
      <c r="G6" s="74">
        <f>Datos!H5</f>
        <v>2</v>
      </c>
      <c r="H6" s="74">
        <f>Datos!I5</f>
        <v>0</v>
      </c>
      <c r="I6" s="74">
        <f>Datos!J5</f>
        <v>0</v>
      </c>
      <c r="J6" s="6" t="s">
        <v>80</v>
      </c>
      <c r="K6" s="6" t="s">
        <v>80</v>
      </c>
      <c r="L6" s="6" t="s">
        <v>80</v>
      </c>
      <c r="M6" s="6" t="s">
        <v>80</v>
      </c>
      <c r="N6" s="6" t="s">
        <v>80</v>
      </c>
      <c r="O6" s="6" t="s">
        <v>80</v>
      </c>
      <c r="P6" s="6" t="s">
        <v>80</v>
      </c>
      <c r="Q6" s="6" t="str">
        <f t="shared" si="0"/>
        <v>Ausencia total del riesgo, reevaluar cada 3 años con nueva identificación inicial</v>
      </c>
    </row>
    <row r="7" spans="1:17" ht="43.5">
      <c r="A7" s="73">
        <f>Datos!A6</f>
        <v>5</v>
      </c>
      <c r="B7" s="73" t="str">
        <f>Datos!B6</f>
        <v>Despacho</v>
      </c>
      <c r="C7" s="73" t="str">
        <f>Datos!C6</f>
        <v>Despacho congelado</v>
      </c>
      <c r="D7" s="73" t="str">
        <f>Datos!D6</f>
        <v>Transpaletero</v>
      </c>
      <c r="E7" s="74" t="str">
        <f>Datos!F6</f>
        <v>06:00  - 14:00  14:00 - 22:00  22:00 - 06:00</v>
      </c>
      <c r="F7" s="74">
        <f>Datos!G6</f>
        <v>0</v>
      </c>
      <c r="G7" s="74">
        <f>Datos!H6</f>
        <v>2</v>
      </c>
      <c r="H7" s="74">
        <f>Datos!I6</f>
        <v>0</v>
      </c>
      <c r="I7" s="74">
        <f>Datos!J6</f>
        <v>0</v>
      </c>
      <c r="J7" s="6" t="s">
        <v>80</v>
      </c>
      <c r="K7" s="6" t="s">
        <v>80</v>
      </c>
      <c r="L7" s="6" t="s">
        <v>80</v>
      </c>
      <c r="M7" s="6" t="s">
        <v>80</v>
      </c>
      <c r="N7" s="6" t="s">
        <v>80</v>
      </c>
      <c r="O7" s="6" t="s">
        <v>80</v>
      </c>
      <c r="P7" s="6" t="s">
        <v>80</v>
      </c>
      <c r="Q7" s="6" t="str">
        <f t="shared" si="0"/>
        <v>Ausencia total del riesgo, reevaluar cada 3 años con nueva identificación inicial</v>
      </c>
    </row>
    <row r="8" spans="1:17" ht="43.5">
      <c r="A8" s="73">
        <f>Datos!A7</f>
        <v>6</v>
      </c>
      <c r="B8" s="73" t="str">
        <f>Datos!B7</f>
        <v>Despacho</v>
      </c>
      <c r="C8" s="73" t="str">
        <f>Datos!C7</f>
        <v>Despacho congelado</v>
      </c>
      <c r="D8" s="73" t="str">
        <f>Datos!D7</f>
        <v>Postura de films</v>
      </c>
      <c r="E8" s="74" t="str">
        <f>Datos!F7</f>
        <v>06:00  - 14:00  14:00 - 22:00  22:00 - 06:00</v>
      </c>
      <c r="F8" s="74">
        <f>Datos!G7</f>
        <v>0</v>
      </c>
      <c r="G8" s="74">
        <f>Datos!H7</f>
        <v>2</v>
      </c>
      <c r="H8" s="74">
        <f>Datos!I7</f>
        <v>0</v>
      </c>
      <c r="I8" s="74">
        <f>Datos!J7</f>
        <v>0</v>
      </c>
      <c r="J8" s="6" t="s">
        <v>62</v>
      </c>
      <c r="K8" s="6" t="s">
        <v>80</v>
      </c>
      <c r="L8" s="6" t="s">
        <v>80</v>
      </c>
      <c r="M8" s="6" t="s">
        <v>80</v>
      </c>
      <c r="N8" s="6" t="s">
        <v>80</v>
      </c>
      <c r="O8" s="6" t="s">
        <v>80</v>
      </c>
      <c r="P8" s="6" t="s">
        <v>80</v>
      </c>
      <c r="Q8" s="6" t="str">
        <f t="shared" si="0"/>
        <v>Aplicar identificación avanzada-condición aceptable para cada tipo de factor de riesgo identificado</v>
      </c>
    </row>
    <row r="9" spans="1:17" ht="45.75">
      <c r="A9" s="73">
        <f>Datos!A8</f>
        <v>7</v>
      </c>
      <c r="B9" s="73" t="s">
        <v>22</v>
      </c>
      <c r="C9" s="73" t="s">
        <v>110</v>
      </c>
      <c r="D9" s="73" t="str">
        <f>Datos!D8</f>
        <v>Reprocesos de producto</v>
      </c>
      <c r="E9" s="74" t="str">
        <f>Datos!F8</f>
        <v>06:00  - 14:00  14:00 - 22:00  22:00 - 06:00</v>
      </c>
      <c r="F9" s="74">
        <f>Datos!G8</f>
        <v>0</v>
      </c>
      <c r="G9" s="74">
        <f>Datos!H8</f>
        <v>2</v>
      </c>
      <c r="H9" s="74">
        <f>Datos!I8</f>
        <v>0</v>
      </c>
      <c r="I9" s="74">
        <f>Datos!J8</f>
        <v>0</v>
      </c>
      <c r="J9" s="6" t="s">
        <v>62</v>
      </c>
      <c r="K9" s="6" t="s">
        <v>80</v>
      </c>
      <c r="L9" s="6" t="s">
        <v>62</v>
      </c>
      <c r="M9" s="6" t="s">
        <v>80</v>
      </c>
      <c r="N9" s="6" t="s">
        <v>80</v>
      </c>
      <c r="O9" s="6" t="s">
        <v>80</v>
      </c>
      <c r="P9" s="6" t="s">
        <v>80</v>
      </c>
      <c r="Q9" s="6" t="str">
        <f t="shared" si="0"/>
        <v>Aplicar identificación avanzada-condición aceptable para cada tipo de factor de riesgo identificado</v>
      </c>
    </row>
    <row r="10" spans="1:17" ht="15"/>
    <row r="11" spans="1:17" ht="15"/>
    <row r="12" spans="1:17" ht="15"/>
    <row r="13" spans="1:17" ht="15"/>
    <row r="14" spans="1:17" ht="15"/>
    <row r="15" spans="1:17" ht="15"/>
    <row r="16" spans="1:17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</sheetData>
  <mergeCells count="9">
    <mergeCell ref="A1:A2"/>
    <mergeCell ref="C1:C2"/>
    <mergeCell ref="D1:D2"/>
    <mergeCell ref="Q1:Q2"/>
    <mergeCell ref="E1:E2"/>
    <mergeCell ref="F1:F2"/>
    <mergeCell ref="G1:G2"/>
    <mergeCell ref="H1:H2"/>
    <mergeCell ref="I1:I2"/>
  </mergeCells>
  <conditionalFormatting sqref="J3:P9">
    <cfRule type="cellIs" dxfId="68" priority="3" operator="equal">
      <formula>"SI"</formula>
    </cfRule>
    <cfRule type="cellIs" dxfId="67" priority="4" operator="equal">
      <formula>"NO"</formula>
    </cfRule>
  </conditionalFormatting>
  <conditionalFormatting sqref="Q3:Q9">
    <cfRule type="cellIs" dxfId="66" priority="1" operator="equal">
      <formula>"Aplicar identificación avanzada-condición aceptable para cada tipo de factor de riesgo identificado"</formula>
    </cfRule>
    <cfRule type="cellIs" dxfId="65" priority="2" operator="equal">
      <formula>"Ausencia total del riesgo, reevaluar cada 3 años con nueva identificación inicial"</formula>
    </cfRule>
  </conditionalFormatting>
  <dataValidations count="1">
    <dataValidation type="list" allowBlank="1" showInputMessage="1" showErrorMessage="1" sqref="J3:P9" xr:uid="{070143B6-A02F-4E94-99E6-D443BF1ACD06}">
      <formula1>"SI,NO"</formula1>
    </dataValidation>
  </dataValidations>
  <hyperlinks>
    <hyperlink ref="J1" location="'Mov. Rep.'!A1" display="Trabajo repetitivo de miembros superiores." xr:uid="{3CDB5ED2-8AAD-466F-A929-83AA0B82CF27}"/>
    <hyperlink ref="K1" location="'Postura estatica'!A1" display="Postura de trabajo estática" xr:uid="{9575FEAC-B375-41FB-BB56-9C2BD0252557}"/>
    <hyperlink ref="L1" location="'MMC Levantamiento-Descenso'!A1" display="MMC Levantamiento/Descenso" xr:uid="{BE889A4C-9C8F-49A5-9138-903164A0C8F8}"/>
    <hyperlink ref="M1" location="'MMC Empuje-Arrastre '!A1" display="MMC Empuje/Arrastre" xr:uid="{1C19BA96-F978-47FA-A84D-D459C5A6A95F}"/>
    <hyperlink ref="N1" location="'Manejo manual PCTS'!A1" display="Manejo manual de pacientes / personas" xr:uid="{B7E6099C-FAC0-4BEC-9D38-BCA9E3497355}"/>
    <hyperlink ref="O1" location="'Vibración Cuerpo completo'!A1" display="Vibración de cuerpo completo" xr:uid="{9C84EFD3-DBBF-49D8-91E2-E065E75B7605}"/>
    <hyperlink ref="P1" location="'Vibración Mano-Brazo'!A1" display="Vibración segmento mano – brazo" xr:uid="{ACDC2766-AAA0-4282-B50D-150694D2F6D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D02D-6D46-46C4-94A2-A8488AC0AEFD}">
  <dimension ref="A1:AC302"/>
  <sheetViews>
    <sheetView zoomScaleNormal="100" workbookViewId="0">
      <pane xSplit="4" ySplit="2" topLeftCell="E5" activePane="bottomRight" state="frozen"/>
      <selection pane="bottomRight" activeCell="E6" sqref="E6"/>
      <selection pane="bottomLeft" activeCell="A3" sqref="A3"/>
      <selection pane="topRight" activeCell="E1" sqref="E1"/>
    </sheetView>
  </sheetViews>
  <sheetFormatPr defaultColWidth="11.42578125" defaultRowHeight="14.45"/>
  <cols>
    <col min="1" max="1" width="3.140625" style="67" customWidth="1"/>
    <col min="2" max="3" width="11.5703125" style="68" customWidth="1"/>
    <col min="4" max="4" width="11.5703125" style="70"/>
    <col min="5" max="5" width="13.5703125" style="71" customWidth="1"/>
    <col min="6" max="6" width="11.5703125" style="68"/>
    <col min="7" max="8" width="11.5703125" style="69"/>
    <col min="9" max="9" width="11.5703125" style="72" customWidth="1"/>
    <col min="10" max="10" width="23.28515625" style="56" customWidth="1"/>
    <col min="11" max="11" width="28.7109375" style="49" customWidth="1"/>
    <col min="12" max="12" width="32" style="49" customWidth="1"/>
    <col min="13" max="13" width="18.85546875" style="49" customWidth="1"/>
    <col min="14" max="14" width="18.140625" style="49" customWidth="1"/>
    <col min="15" max="15" width="12.140625" style="49" customWidth="1"/>
    <col min="16" max="16" width="10.42578125" style="49" customWidth="1"/>
    <col min="17" max="17" width="22" style="49" customWidth="1"/>
    <col min="18" max="18" width="25.42578125" style="49" customWidth="1"/>
    <col min="19" max="19" width="20.28515625" style="49" customWidth="1"/>
    <col min="20" max="20" width="29.28515625" style="49" customWidth="1"/>
    <col min="21" max="21" width="16.85546875" style="49" customWidth="1"/>
    <col min="22" max="22" width="17.28515625" style="49" customWidth="1"/>
    <col min="23" max="28" width="11.5703125" style="49"/>
    <col min="29" max="29" width="11.5703125" style="1"/>
  </cols>
  <sheetData>
    <row r="1" spans="1:29" ht="21" customHeight="1" thickBot="1">
      <c r="A1" s="124" t="s">
        <v>111</v>
      </c>
      <c r="B1" s="125"/>
      <c r="C1" s="125"/>
      <c r="D1" s="125"/>
      <c r="E1" s="125"/>
      <c r="F1" s="128" t="s">
        <v>112</v>
      </c>
      <c r="G1" s="128"/>
      <c r="H1" s="128" t="s">
        <v>113</v>
      </c>
      <c r="I1" s="129"/>
      <c r="J1" s="126" t="s">
        <v>114</v>
      </c>
      <c r="K1" s="126"/>
      <c r="L1" s="126"/>
      <c r="M1" s="126"/>
      <c r="N1" s="126"/>
      <c r="O1" s="126"/>
      <c r="P1" s="126"/>
      <c r="Q1" s="127" t="s">
        <v>115</v>
      </c>
      <c r="R1" s="127"/>
      <c r="S1" s="127"/>
      <c r="T1" s="127"/>
      <c r="U1" s="127"/>
      <c r="V1" s="127"/>
      <c r="W1" s="127"/>
      <c r="X1" s="127" t="s">
        <v>116</v>
      </c>
      <c r="Y1" s="127"/>
      <c r="Z1" s="127"/>
      <c r="AA1" s="127"/>
      <c r="AB1" s="127"/>
    </row>
    <row r="2" spans="1:29" ht="88.15" customHeight="1">
      <c r="A2" s="52" t="s">
        <v>93</v>
      </c>
      <c r="B2" s="53" t="s">
        <v>35</v>
      </c>
      <c r="C2" s="53" t="s">
        <v>36</v>
      </c>
      <c r="D2" s="58" t="s">
        <v>37</v>
      </c>
      <c r="E2" s="57" t="s">
        <v>39</v>
      </c>
      <c r="F2" s="53" t="s">
        <v>117</v>
      </c>
      <c r="G2" s="53" t="s">
        <v>118</v>
      </c>
      <c r="H2" s="53" t="s">
        <v>119</v>
      </c>
      <c r="I2" s="54" t="s">
        <v>120</v>
      </c>
      <c r="J2" s="51" t="s">
        <v>121</v>
      </c>
      <c r="K2" s="50" t="s">
        <v>122</v>
      </c>
      <c r="L2" s="50" t="s">
        <v>123</v>
      </c>
      <c r="M2" s="50" t="s">
        <v>124</v>
      </c>
      <c r="N2" s="50" t="s">
        <v>125</v>
      </c>
      <c r="O2" s="50" t="s">
        <v>126</v>
      </c>
      <c r="P2" s="50" t="s">
        <v>127</v>
      </c>
      <c r="Q2" s="50" t="s">
        <v>128</v>
      </c>
      <c r="R2" s="50" t="s">
        <v>129</v>
      </c>
      <c r="S2" s="50" t="s">
        <v>130</v>
      </c>
      <c r="T2" s="50" t="s">
        <v>131</v>
      </c>
      <c r="U2" s="50" t="s">
        <v>132</v>
      </c>
      <c r="V2" s="50" t="s">
        <v>133</v>
      </c>
      <c r="W2" s="50" t="s">
        <v>134</v>
      </c>
      <c r="X2" s="50" t="s">
        <v>135</v>
      </c>
      <c r="Y2" s="50" t="s">
        <v>136</v>
      </c>
      <c r="Z2" s="50" t="s">
        <v>137</v>
      </c>
      <c r="AA2" s="50" t="s">
        <v>138</v>
      </c>
      <c r="AB2" s="50" t="s">
        <v>139</v>
      </c>
      <c r="AC2" s="50" t="s">
        <v>140</v>
      </c>
    </row>
    <row r="3" spans="1:29" s="5" customFormat="1" ht="39.6" customHeight="1">
      <c r="A3" s="63">
        <f>Inicial!A3</f>
        <v>1</v>
      </c>
      <c r="B3" s="64" t="str">
        <f>Inicial!B3</f>
        <v>Despacho</v>
      </c>
      <c r="C3" s="64" t="str">
        <f>Inicial!C3</f>
        <v xml:space="preserve"> Carton Frezzer</v>
      </c>
      <c r="D3" s="65" t="str">
        <f>Inicial!D3</f>
        <v xml:space="preserve">Pinchador </v>
      </c>
      <c r="E3" s="63" t="str">
        <f>IF(Inicial!J3="SI",Inicial!E3,"N/A")</f>
        <v>06:00  - 14:00  14:00 - 22:00  22:00 - 06:00</v>
      </c>
      <c r="F3" s="64">
        <f>IF(Inicial!J3="SI",Inicial!F3,"N/A")</f>
        <v>0</v>
      </c>
      <c r="G3" s="64">
        <f>IF(Inicial!J3="SI",Inicial!G3,"N/A")</f>
        <v>2</v>
      </c>
      <c r="H3" s="64">
        <f>IF(Inicial!J3="SI",Inicial!H3,"N/A")</f>
        <v>6</v>
      </c>
      <c r="I3" s="66">
        <f>IF(Inicial!J3="SI",Inicial!I3,"N/A")</f>
        <v>0</v>
      </c>
      <c r="J3" s="55" t="s">
        <v>80</v>
      </c>
      <c r="K3" s="6" t="s">
        <v>62</v>
      </c>
      <c r="L3" s="6" t="s">
        <v>62</v>
      </c>
      <c r="M3" s="6" t="s">
        <v>62</v>
      </c>
      <c r="N3" s="6" t="s">
        <v>62</v>
      </c>
      <c r="O3" s="6" t="s">
        <v>62</v>
      </c>
      <c r="P3" s="6" t="str">
        <f>IF(OR(J3="NO",K3="NO",L3="NO",M3="NO",N3="NO",O3="NO"),"No Aceptable","Aceptable")</f>
        <v>No Aceptable</v>
      </c>
      <c r="Q3" s="6" t="s">
        <v>80</v>
      </c>
      <c r="R3" s="6" t="s">
        <v>80</v>
      </c>
      <c r="S3" s="6" t="s">
        <v>80</v>
      </c>
      <c r="T3" s="6" t="s">
        <v>80</v>
      </c>
      <c r="U3" s="6" t="s">
        <v>80</v>
      </c>
      <c r="V3" s="6" t="s">
        <v>80</v>
      </c>
      <c r="W3" s="6" t="str">
        <f>IF(AND(Q3="NO",R3="NO",S3="NO",T3="NO",U3="NO",V3="NO"),"No Critico","Critico")</f>
        <v>No Critico</v>
      </c>
      <c r="X3" s="6"/>
      <c r="Y3" s="6"/>
      <c r="Z3" s="6"/>
      <c r="AA3" s="6"/>
      <c r="AB3" s="6"/>
      <c r="AC3" s="2"/>
    </row>
    <row r="4" spans="1:29" ht="31.9" customHeight="1">
      <c r="A4" s="63">
        <f>Inicial!A4</f>
        <v>2</v>
      </c>
      <c r="B4" s="64" t="str">
        <f>Inicial!B4</f>
        <v>Despacho</v>
      </c>
      <c r="C4" s="64" t="str">
        <f>Inicial!C4</f>
        <v xml:space="preserve"> Carton Frezzer</v>
      </c>
      <c r="D4" s="65" t="str">
        <f>Inicial!D4</f>
        <v>Depaletizador</v>
      </c>
      <c r="E4" s="63" t="str">
        <f>IF(Inicial!J4="SI",Inicial!E4,"N/A")</f>
        <v>06:00  - 14:00  14:00 - 22:00  22:00 - 06:00</v>
      </c>
      <c r="F4" s="64">
        <f>IF(Inicial!J4="SI",Inicial!F4,"N/A")</f>
        <v>0</v>
      </c>
      <c r="G4" s="64">
        <f>IF(Inicial!J4="SI",Inicial!G4,"N/A")</f>
        <v>2</v>
      </c>
      <c r="H4" s="64">
        <f>IF(Inicial!J4="SI",Inicial!H4,"N/A")</f>
        <v>24</v>
      </c>
      <c r="I4" s="66">
        <f>IF(Inicial!J4="SI",Inicial!I4,"N/A")</f>
        <v>0</v>
      </c>
      <c r="J4" s="55" t="s">
        <v>80</v>
      </c>
      <c r="K4" s="6" t="s">
        <v>62</v>
      </c>
      <c r="L4" s="6" t="s">
        <v>62</v>
      </c>
      <c r="M4" s="6" t="s">
        <v>62</v>
      </c>
      <c r="N4" s="6" t="s">
        <v>62</v>
      </c>
      <c r="O4" s="6" t="s">
        <v>62</v>
      </c>
      <c r="P4" s="6" t="str">
        <f t="shared" ref="P4:P5" si="0">IF(OR(J4="NO",K4="NO",L4="NO",M4="NO",N4="NO",O4="NO"),"No Aceptable","Aceptable")</f>
        <v>No Aceptable</v>
      </c>
      <c r="Q4" s="6" t="s">
        <v>80</v>
      </c>
      <c r="R4" s="6" t="s">
        <v>80</v>
      </c>
      <c r="S4" s="6" t="s">
        <v>80</v>
      </c>
      <c r="T4" s="6" t="s">
        <v>80</v>
      </c>
      <c r="U4" s="6" t="s">
        <v>80</v>
      </c>
      <c r="V4" s="6" t="s">
        <v>80</v>
      </c>
      <c r="W4" s="6" t="str">
        <f t="shared" ref="W4:W5" si="1">IF(AND(Q4="NO",R4="NO",S4="NO",T4="NO",U4="NO",V4="NO"),"No Critico","Critico")</f>
        <v>No Critico</v>
      </c>
    </row>
    <row r="5" spans="1:29" ht="51.6" customHeight="1">
      <c r="A5" s="63">
        <f>Inicial!A5</f>
        <v>3</v>
      </c>
      <c r="B5" s="64" t="str">
        <f>Inicial!B5</f>
        <v>Despacho</v>
      </c>
      <c r="C5" s="64" t="str">
        <f>Inicial!C5</f>
        <v xml:space="preserve"> Carton Frezzer</v>
      </c>
      <c r="D5" s="65" t="str">
        <f>Inicial!D5</f>
        <v xml:space="preserve">Pinchador </v>
      </c>
      <c r="E5" s="63" t="str">
        <f>IF(Inicial!J5="SI",Inicial!E5,"N/A")</f>
        <v>06:00  - 14:00  14:00 - 22:00  22:00 - 06:00</v>
      </c>
      <c r="F5" s="64">
        <f>IF(Inicial!J5="SI",Inicial!F5,"N/A")</f>
        <v>0</v>
      </c>
      <c r="G5" s="64">
        <f>IF(Inicial!J5="SI",Inicial!G5,"N/A")</f>
        <v>2</v>
      </c>
      <c r="H5" s="64">
        <f>IF(Inicial!J5="SI",Inicial!H5,"N/A")</f>
        <v>24</v>
      </c>
      <c r="I5" s="66">
        <f>IF(Inicial!J5="SI",Inicial!I5,"N/A")</f>
        <v>0</v>
      </c>
      <c r="J5" s="55" t="s">
        <v>80</v>
      </c>
      <c r="K5" s="6" t="s">
        <v>62</v>
      </c>
      <c r="L5" s="6" t="s">
        <v>62</v>
      </c>
      <c r="M5" s="6" t="s">
        <v>62</v>
      </c>
      <c r="N5" s="6" t="s">
        <v>62</v>
      </c>
      <c r="O5" s="6" t="s">
        <v>62</v>
      </c>
      <c r="P5" s="6" t="str">
        <f t="shared" si="0"/>
        <v>No Aceptable</v>
      </c>
      <c r="Q5" s="6" t="s">
        <v>80</v>
      </c>
      <c r="R5" s="6" t="s">
        <v>80</v>
      </c>
      <c r="S5" s="6" t="s">
        <v>80</v>
      </c>
      <c r="T5" s="6" t="s">
        <v>80</v>
      </c>
      <c r="U5" s="6" t="s">
        <v>80</v>
      </c>
      <c r="V5" s="6" t="s">
        <v>80</v>
      </c>
      <c r="W5" s="6" t="str">
        <f t="shared" si="1"/>
        <v>No Critico</v>
      </c>
    </row>
    <row r="6" spans="1:29" ht="37.15" customHeight="1">
      <c r="A6" s="63">
        <f>Inicial!A6</f>
        <v>4</v>
      </c>
      <c r="B6" s="64" t="str">
        <f>Inicial!B6</f>
        <v>Despacho</v>
      </c>
      <c r="C6" s="64" t="str">
        <f>Inicial!C6</f>
        <v>Despacho congelado</v>
      </c>
      <c r="D6" s="65" t="str">
        <f>Inicial!D6</f>
        <v>Gruero</v>
      </c>
      <c r="E6" s="63" t="str">
        <f>IF(Inicial!J6="SI",Inicial!E6,"N/A")</f>
        <v>N/A</v>
      </c>
      <c r="F6" s="64" t="str">
        <f>IF(Inicial!J6="SI",Inicial!F6,"N/A")</f>
        <v>N/A</v>
      </c>
      <c r="G6" s="64" t="str">
        <f>IF(Inicial!J6="SI",Inicial!G6,"N/A")</f>
        <v>N/A</v>
      </c>
      <c r="H6" s="64" t="str">
        <f>IF(Inicial!J6="SI",Inicial!H6,"N/A")</f>
        <v>N/A</v>
      </c>
      <c r="I6" s="66" t="str">
        <f>IF(Inicial!J6="SI",Inicial!I6,"N/A")</f>
        <v>N/A</v>
      </c>
      <c r="J6" s="55"/>
      <c r="K6" s="6"/>
      <c r="L6" s="6"/>
      <c r="M6" s="6"/>
      <c r="N6" s="6"/>
      <c r="O6" s="6"/>
      <c r="P6" s="6" t="str">
        <f t="shared" ref="P6:P67" si="2">IF(OR(J6="NO",K6="NO",L6="NO",M6="NO",N6="NO",O6="NO"),"No Aceptable","Aceptable")</f>
        <v>Aceptable</v>
      </c>
      <c r="Q6" s="6"/>
      <c r="R6" s="6"/>
      <c r="S6" s="6"/>
      <c r="T6" s="6"/>
      <c r="U6" s="6"/>
      <c r="V6" s="6"/>
      <c r="W6" s="6" t="str">
        <f t="shared" ref="W6:W67" si="3">IF(AND(Q6="NO",R6="NO",S6="NO",T6="NO",U6="NO",V6="NO"),"No Critico","Critico")</f>
        <v>Critico</v>
      </c>
    </row>
    <row r="7" spans="1:29" ht="37.15" customHeight="1">
      <c r="A7" s="63">
        <f>Inicial!A7</f>
        <v>5</v>
      </c>
      <c r="B7" s="64" t="str">
        <f>Inicial!B7</f>
        <v>Despacho</v>
      </c>
      <c r="C7" s="64" t="str">
        <f>Inicial!C7</f>
        <v>Despacho congelado</v>
      </c>
      <c r="D7" s="65" t="str">
        <f>Inicial!D7</f>
        <v>Transpaletero</v>
      </c>
      <c r="E7" s="63" t="str">
        <f>IF(Inicial!J7="SI",Inicial!E7,"N/A")</f>
        <v>N/A</v>
      </c>
      <c r="F7" s="64" t="str">
        <f>IF(Inicial!J7="SI",Inicial!F7,"N/A")</f>
        <v>N/A</v>
      </c>
      <c r="G7" s="64" t="str">
        <f>IF(Inicial!J7="SI",Inicial!G7,"N/A")</f>
        <v>N/A</v>
      </c>
      <c r="H7" s="64" t="str">
        <f>IF(Inicial!J7="SI",Inicial!H7,"N/A")</f>
        <v>N/A</v>
      </c>
      <c r="I7" s="66" t="str">
        <f>IF(Inicial!J7="SI",Inicial!I7,"N/A")</f>
        <v>N/A</v>
      </c>
      <c r="J7" s="55"/>
      <c r="K7" s="6"/>
      <c r="L7" s="6"/>
      <c r="M7" s="6"/>
      <c r="N7" s="6"/>
      <c r="O7" s="6"/>
      <c r="P7" s="6" t="str">
        <f t="shared" si="2"/>
        <v>Aceptable</v>
      </c>
      <c r="Q7" s="6"/>
      <c r="R7" s="6"/>
      <c r="S7" s="6"/>
      <c r="T7" s="6"/>
      <c r="U7" s="6"/>
      <c r="V7" s="6"/>
      <c r="W7" s="6" t="str">
        <f t="shared" si="3"/>
        <v>Critico</v>
      </c>
    </row>
    <row r="8" spans="1:29" ht="37.15" customHeight="1">
      <c r="A8" s="63">
        <f>Inicial!A8</f>
        <v>6</v>
      </c>
      <c r="B8" s="64" t="str">
        <f>Inicial!B8</f>
        <v>Despacho</v>
      </c>
      <c r="C8" s="64" t="str">
        <f>Inicial!C8</f>
        <v>Despacho congelado</v>
      </c>
      <c r="D8" s="65" t="str">
        <f>Inicial!D8</f>
        <v>Postura de films</v>
      </c>
      <c r="E8" s="63" t="str">
        <f>IF(Inicial!J8="SI",Inicial!E8,"N/A")</f>
        <v>06:00  - 14:00  14:00 - 22:00  22:00 - 06:00</v>
      </c>
      <c r="F8" s="64">
        <f>IF(Inicial!J8="SI",Inicial!F8,"N/A")</f>
        <v>0</v>
      </c>
      <c r="G8" s="64">
        <f>IF(Inicial!J8="SI",Inicial!G8,"N/A")</f>
        <v>2</v>
      </c>
      <c r="H8" s="64">
        <f>IF(Inicial!J8="SI",Inicial!H8,"N/A")</f>
        <v>0</v>
      </c>
      <c r="I8" s="66">
        <f>IF(Inicial!J8="SI",Inicial!I8,"N/A")</f>
        <v>0</v>
      </c>
      <c r="J8" s="55" t="s">
        <v>62</v>
      </c>
      <c r="K8" s="55" t="s">
        <v>62</v>
      </c>
      <c r="L8" s="55" t="s">
        <v>62</v>
      </c>
      <c r="M8" s="55" t="s">
        <v>62</v>
      </c>
      <c r="N8" s="55" t="s">
        <v>62</v>
      </c>
      <c r="O8" s="55" t="s">
        <v>62</v>
      </c>
      <c r="P8" s="6" t="str">
        <f t="shared" si="2"/>
        <v>Aceptable</v>
      </c>
      <c r="Q8" s="6"/>
      <c r="R8" s="6"/>
      <c r="S8" s="6"/>
      <c r="T8" s="6"/>
      <c r="U8" s="6"/>
      <c r="V8" s="6"/>
      <c r="W8" s="6" t="str">
        <f t="shared" si="3"/>
        <v>Critico</v>
      </c>
    </row>
    <row r="9" spans="1:29" ht="37.15" customHeight="1">
      <c r="A9" s="63">
        <f>Inicial!A9</f>
        <v>7</v>
      </c>
      <c r="B9" s="64" t="str">
        <f>Inicial!B9</f>
        <v>Despacho</v>
      </c>
      <c r="C9" s="64" t="str">
        <f>Inicial!C9</f>
        <v>Despacho Congelado</v>
      </c>
      <c r="D9" s="65" t="str">
        <f>Inicial!D9</f>
        <v>Reprocesos de producto</v>
      </c>
      <c r="E9" s="63" t="str">
        <f>IF(Inicial!J9="SI",Inicial!E9,"N/A")</f>
        <v>06:00  - 14:00  14:00 - 22:00  22:00 - 06:00</v>
      </c>
      <c r="F9" s="64">
        <f>IF(Inicial!J9="SI",Inicial!F9,"N/A")</f>
        <v>0</v>
      </c>
      <c r="G9" s="64">
        <f>IF(Inicial!J9="SI",Inicial!G9,"N/A")</f>
        <v>2</v>
      </c>
      <c r="H9" s="64">
        <f>IF(Inicial!J9="SI",Inicial!H9,"N/A")</f>
        <v>0</v>
      </c>
      <c r="I9" s="66">
        <f>IF(Inicial!J9="SI",Inicial!I9,"N/A")</f>
        <v>0</v>
      </c>
      <c r="J9" s="55"/>
      <c r="K9" s="6"/>
      <c r="L9" s="6"/>
      <c r="M9" s="6"/>
      <c r="N9" s="6"/>
      <c r="O9" s="6"/>
      <c r="P9" s="6" t="str">
        <f t="shared" si="2"/>
        <v>Aceptable</v>
      </c>
      <c r="Q9" s="6"/>
      <c r="R9" s="6"/>
      <c r="S9" s="6"/>
      <c r="T9" s="6"/>
      <c r="U9" s="6"/>
      <c r="V9" s="6"/>
      <c r="W9" s="6" t="str">
        <f t="shared" si="3"/>
        <v>Critico</v>
      </c>
    </row>
    <row r="10" spans="1:29">
      <c r="A10" s="63" t="e">
        <f>Inicial!#REF!</f>
        <v>#REF!</v>
      </c>
      <c r="B10" s="64" t="e">
        <f>Inicial!#REF!</f>
        <v>#REF!</v>
      </c>
      <c r="C10" s="64" t="e">
        <f>Inicial!#REF!</f>
        <v>#REF!</v>
      </c>
      <c r="D10" s="65" t="e">
        <f>Inicial!#REF!</f>
        <v>#REF!</v>
      </c>
      <c r="E10" s="63" t="e">
        <f>IF(Inicial!#REF!="SI",Inicial!#REF!,"N/A")</f>
        <v>#REF!</v>
      </c>
      <c r="F10" s="64" t="e">
        <f>IF(Inicial!#REF!="SI",Inicial!#REF!,"N/A")</f>
        <v>#REF!</v>
      </c>
      <c r="G10" s="64" t="e">
        <f>IF(Inicial!#REF!="SI",Inicial!#REF!,"N/A")</f>
        <v>#REF!</v>
      </c>
      <c r="H10" s="64" t="e">
        <f>IF(Inicial!#REF!="SI",Inicial!#REF!,"N/A")</f>
        <v>#REF!</v>
      </c>
      <c r="I10" s="66" t="e">
        <f>IF(Inicial!#REF!="SI",Inicial!#REF!,"N/A")</f>
        <v>#REF!</v>
      </c>
      <c r="J10" s="55"/>
      <c r="K10" s="6"/>
      <c r="L10" s="6"/>
      <c r="M10" s="6"/>
      <c r="N10" s="6"/>
      <c r="O10" s="6"/>
      <c r="P10" s="6" t="str">
        <f t="shared" si="2"/>
        <v>Aceptable</v>
      </c>
      <c r="Q10" s="6"/>
      <c r="R10" s="6"/>
      <c r="S10" s="6"/>
      <c r="T10" s="6"/>
      <c r="U10" s="6"/>
      <c r="V10" s="6"/>
      <c r="W10" s="6" t="str">
        <f t="shared" si="3"/>
        <v>Critico</v>
      </c>
    </row>
    <row r="11" spans="1:29">
      <c r="A11" s="63" t="e">
        <f>Inicial!#REF!</f>
        <v>#REF!</v>
      </c>
      <c r="B11" s="64" t="e">
        <f>Inicial!#REF!</f>
        <v>#REF!</v>
      </c>
      <c r="C11" s="64" t="e">
        <f>Inicial!#REF!</f>
        <v>#REF!</v>
      </c>
      <c r="D11" s="65" t="e">
        <f>Inicial!#REF!</f>
        <v>#REF!</v>
      </c>
      <c r="E11" s="63" t="e">
        <f>IF(Inicial!#REF!="SI",Inicial!#REF!,"N/A")</f>
        <v>#REF!</v>
      </c>
      <c r="F11" s="64" t="e">
        <f>IF(Inicial!#REF!="SI",Inicial!#REF!,"N/A")</f>
        <v>#REF!</v>
      </c>
      <c r="G11" s="64" t="e">
        <f>IF(Inicial!#REF!="SI",Inicial!#REF!,"N/A")</f>
        <v>#REF!</v>
      </c>
      <c r="H11" s="64" t="e">
        <f>IF(Inicial!#REF!="SI",Inicial!#REF!,"N/A")</f>
        <v>#REF!</v>
      </c>
      <c r="I11" s="66" t="e">
        <f>IF(Inicial!#REF!="SI",Inicial!#REF!,"N/A")</f>
        <v>#REF!</v>
      </c>
      <c r="J11" s="55"/>
      <c r="K11" s="6"/>
      <c r="L11" s="6"/>
      <c r="M11" s="6"/>
      <c r="N11" s="6"/>
      <c r="O11" s="6"/>
      <c r="P11" s="6" t="str">
        <f t="shared" si="2"/>
        <v>Aceptable</v>
      </c>
      <c r="Q11" s="6"/>
      <c r="R11" s="6"/>
      <c r="S11" s="6"/>
      <c r="T11" s="6"/>
      <c r="U11" s="6"/>
      <c r="V11" s="6"/>
      <c r="W11" s="6" t="str">
        <f t="shared" si="3"/>
        <v>Critico</v>
      </c>
    </row>
    <row r="12" spans="1:29">
      <c r="A12" s="63" t="e">
        <f>Inicial!#REF!</f>
        <v>#REF!</v>
      </c>
      <c r="B12" s="64" t="e">
        <f>Inicial!#REF!</f>
        <v>#REF!</v>
      </c>
      <c r="C12" s="64" t="e">
        <f>Inicial!#REF!</f>
        <v>#REF!</v>
      </c>
      <c r="D12" s="65" t="e">
        <f>Inicial!#REF!</f>
        <v>#REF!</v>
      </c>
      <c r="E12" s="63" t="e">
        <f>IF(Inicial!#REF!="SI",Inicial!#REF!,"N/A")</f>
        <v>#REF!</v>
      </c>
      <c r="F12" s="64" t="e">
        <f>IF(Inicial!#REF!="SI",Inicial!#REF!,"N/A")</f>
        <v>#REF!</v>
      </c>
      <c r="G12" s="64" t="e">
        <f>IF(Inicial!#REF!="SI",Inicial!#REF!,"N/A")</f>
        <v>#REF!</v>
      </c>
      <c r="H12" s="64" t="e">
        <f>IF(Inicial!#REF!="SI",Inicial!#REF!,"N/A")</f>
        <v>#REF!</v>
      </c>
      <c r="I12" s="66" t="e">
        <f>IF(Inicial!#REF!="SI",Inicial!#REF!,"N/A")</f>
        <v>#REF!</v>
      </c>
      <c r="J12" s="55"/>
      <c r="K12" s="6"/>
      <c r="L12" s="6"/>
      <c r="M12" s="6"/>
      <c r="N12" s="6"/>
      <c r="O12" s="6"/>
      <c r="P12" s="6" t="str">
        <f t="shared" si="2"/>
        <v>Aceptable</v>
      </c>
      <c r="Q12" s="6"/>
      <c r="R12" s="6"/>
      <c r="S12" s="6"/>
      <c r="T12" s="6"/>
      <c r="U12" s="6"/>
      <c r="V12" s="6"/>
      <c r="W12" s="6" t="str">
        <f t="shared" si="3"/>
        <v>Critico</v>
      </c>
    </row>
    <row r="13" spans="1:29">
      <c r="A13" s="63" t="e">
        <f>Inicial!#REF!</f>
        <v>#REF!</v>
      </c>
      <c r="B13" s="64" t="e">
        <f>Inicial!#REF!</f>
        <v>#REF!</v>
      </c>
      <c r="C13" s="64" t="e">
        <f>Inicial!#REF!</f>
        <v>#REF!</v>
      </c>
      <c r="D13" s="65" t="e">
        <f>Inicial!#REF!</f>
        <v>#REF!</v>
      </c>
      <c r="E13" s="63" t="e">
        <f>IF(Inicial!#REF!="SI",Inicial!#REF!,"N/A")</f>
        <v>#REF!</v>
      </c>
      <c r="F13" s="64" t="e">
        <f>IF(Inicial!#REF!="SI",Inicial!#REF!,"N/A")</f>
        <v>#REF!</v>
      </c>
      <c r="G13" s="64" t="e">
        <f>IF(Inicial!#REF!="SI",Inicial!#REF!,"N/A")</f>
        <v>#REF!</v>
      </c>
      <c r="H13" s="64" t="e">
        <f>IF(Inicial!#REF!="SI",Inicial!#REF!,"N/A")</f>
        <v>#REF!</v>
      </c>
      <c r="I13" s="66" t="e">
        <f>IF(Inicial!#REF!="SI",Inicial!#REF!,"N/A")</f>
        <v>#REF!</v>
      </c>
      <c r="J13" s="55"/>
      <c r="K13" s="6"/>
      <c r="L13" s="6"/>
      <c r="M13" s="6"/>
      <c r="N13" s="6"/>
      <c r="O13" s="6"/>
      <c r="P13" s="6" t="str">
        <f t="shared" si="2"/>
        <v>Aceptable</v>
      </c>
      <c r="Q13" s="6"/>
      <c r="R13" s="6"/>
      <c r="S13" s="6"/>
      <c r="T13" s="6"/>
      <c r="U13" s="6"/>
      <c r="V13" s="6"/>
      <c r="W13" s="6" t="str">
        <f t="shared" si="3"/>
        <v>Critico</v>
      </c>
    </row>
    <row r="14" spans="1:29">
      <c r="A14" s="63" t="e">
        <f>Inicial!#REF!</f>
        <v>#REF!</v>
      </c>
      <c r="B14" s="64" t="e">
        <f>Inicial!#REF!</f>
        <v>#REF!</v>
      </c>
      <c r="C14" s="64" t="e">
        <f>Inicial!#REF!</f>
        <v>#REF!</v>
      </c>
      <c r="D14" s="65" t="e">
        <f>Inicial!#REF!</f>
        <v>#REF!</v>
      </c>
      <c r="E14" s="63" t="e">
        <f>IF(Inicial!#REF!="SI",Inicial!#REF!,"N/A")</f>
        <v>#REF!</v>
      </c>
      <c r="F14" s="64" t="e">
        <f>IF(Inicial!#REF!="SI",Inicial!#REF!,"N/A")</f>
        <v>#REF!</v>
      </c>
      <c r="G14" s="64" t="e">
        <f>IF(Inicial!#REF!="SI",Inicial!#REF!,"N/A")</f>
        <v>#REF!</v>
      </c>
      <c r="H14" s="64" t="e">
        <f>IF(Inicial!#REF!="SI",Inicial!#REF!,"N/A")</f>
        <v>#REF!</v>
      </c>
      <c r="I14" s="66" t="e">
        <f>IF(Inicial!#REF!="SI",Inicial!#REF!,"N/A")</f>
        <v>#REF!</v>
      </c>
      <c r="J14" s="55"/>
      <c r="K14" s="6"/>
      <c r="L14" s="6"/>
      <c r="M14" s="6"/>
      <c r="N14" s="6"/>
      <c r="O14" s="6"/>
      <c r="P14" s="6" t="str">
        <f t="shared" si="2"/>
        <v>Aceptable</v>
      </c>
      <c r="Q14" s="6"/>
      <c r="R14" s="6"/>
      <c r="S14" s="6"/>
      <c r="T14" s="6"/>
      <c r="U14" s="6"/>
      <c r="V14" s="6"/>
      <c r="W14" s="6" t="str">
        <f t="shared" si="3"/>
        <v>Critico</v>
      </c>
    </row>
    <row r="15" spans="1:29">
      <c r="A15" s="63" t="e">
        <f>Inicial!#REF!</f>
        <v>#REF!</v>
      </c>
      <c r="B15" s="64" t="e">
        <f>Inicial!#REF!</f>
        <v>#REF!</v>
      </c>
      <c r="C15" s="64" t="e">
        <f>Inicial!#REF!</f>
        <v>#REF!</v>
      </c>
      <c r="D15" s="65" t="e">
        <f>Inicial!#REF!</f>
        <v>#REF!</v>
      </c>
      <c r="E15" s="63" t="e">
        <f>IF(Inicial!#REF!="SI",Inicial!#REF!,"N/A")</f>
        <v>#REF!</v>
      </c>
      <c r="F15" s="64" t="e">
        <f>IF(Inicial!#REF!="SI",Inicial!#REF!,"N/A")</f>
        <v>#REF!</v>
      </c>
      <c r="G15" s="64" t="e">
        <f>IF(Inicial!#REF!="SI",Inicial!#REF!,"N/A")</f>
        <v>#REF!</v>
      </c>
      <c r="H15" s="64" t="e">
        <f>IF(Inicial!#REF!="SI",Inicial!#REF!,"N/A")</f>
        <v>#REF!</v>
      </c>
      <c r="I15" s="66" t="e">
        <f>IF(Inicial!#REF!="SI",Inicial!#REF!,"N/A")</f>
        <v>#REF!</v>
      </c>
      <c r="J15" s="55"/>
      <c r="K15" s="6"/>
      <c r="L15" s="6"/>
      <c r="M15" s="6"/>
      <c r="N15" s="6"/>
      <c r="O15" s="6"/>
      <c r="P15" s="6" t="str">
        <f t="shared" si="2"/>
        <v>Aceptable</v>
      </c>
      <c r="Q15" s="6"/>
      <c r="R15" s="6"/>
      <c r="S15" s="6"/>
      <c r="T15" s="6"/>
      <c r="U15" s="6"/>
      <c r="V15" s="6"/>
      <c r="W15" s="6" t="str">
        <f t="shared" si="3"/>
        <v>Critico</v>
      </c>
    </row>
    <row r="16" spans="1:29">
      <c r="A16" s="63" t="e">
        <f>Inicial!#REF!</f>
        <v>#REF!</v>
      </c>
      <c r="B16" s="64" t="e">
        <f>Inicial!#REF!</f>
        <v>#REF!</v>
      </c>
      <c r="C16" s="64" t="e">
        <f>Inicial!#REF!</f>
        <v>#REF!</v>
      </c>
      <c r="D16" s="65" t="e">
        <f>Inicial!#REF!</f>
        <v>#REF!</v>
      </c>
      <c r="E16" s="63" t="e">
        <f>IF(Inicial!#REF!="SI",Inicial!#REF!,"N/A")</f>
        <v>#REF!</v>
      </c>
      <c r="F16" s="64" t="e">
        <f>IF(Inicial!#REF!="SI",Inicial!#REF!,"N/A")</f>
        <v>#REF!</v>
      </c>
      <c r="G16" s="64" t="e">
        <f>IF(Inicial!#REF!="SI",Inicial!#REF!,"N/A")</f>
        <v>#REF!</v>
      </c>
      <c r="H16" s="64" t="e">
        <f>IF(Inicial!#REF!="SI",Inicial!#REF!,"N/A")</f>
        <v>#REF!</v>
      </c>
      <c r="I16" s="66" t="e">
        <f>IF(Inicial!#REF!="SI",Inicial!#REF!,"N/A")</f>
        <v>#REF!</v>
      </c>
      <c r="J16" s="55"/>
      <c r="K16" s="6"/>
      <c r="L16" s="6"/>
      <c r="M16" s="6"/>
      <c r="N16" s="6"/>
      <c r="O16" s="6"/>
      <c r="P16" s="6" t="str">
        <f t="shared" si="2"/>
        <v>Aceptable</v>
      </c>
      <c r="Q16" s="6"/>
      <c r="R16" s="6"/>
      <c r="S16" s="6"/>
      <c r="T16" s="6"/>
      <c r="U16" s="6"/>
      <c r="V16" s="6"/>
      <c r="W16" s="6" t="str">
        <f t="shared" si="3"/>
        <v>Critico</v>
      </c>
    </row>
    <row r="17" spans="1:23">
      <c r="A17" s="63" t="e">
        <f>Inicial!#REF!</f>
        <v>#REF!</v>
      </c>
      <c r="B17" s="64" t="e">
        <f>Inicial!#REF!</f>
        <v>#REF!</v>
      </c>
      <c r="C17" s="64" t="e">
        <f>Inicial!#REF!</f>
        <v>#REF!</v>
      </c>
      <c r="D17" s="65" t="e">
        <f>Inicial!#REF!</f>
        <v>#REF!</v>
      </c>
      <c r="E17" s="63" t="e">
        <f>IF(Inicial!#REF!="SI",Inicial!#REF!,"N/A")</f>
        <v>#REF!</v>
      </c>
      <c r="F17" s="64" t="e">
        <f>IF(Inicial!#REF!="SI",Inicial!#REF!,"N/A")</f>
        <v>#REF!</v>
      </c>
      <c r="G17" s="64" t="e">
        <f>IF(Inicial!#REF!="SI",Inicial!#REF!,"N/A")</f>
        <v>#REF!</v>
      </c>
      <c r="H17" s="64" t="e">
        <f>IF(Inicial!#REF!="SI",Inicial!#REF!,"N/A")</f>
        <v>#REF!</v>
      </c>
      <c r="I17" s="66" t="e">
        <f>IF(Inicial!#REF!="SI",Inicial!#REF!,"N/A")</f>
        <v>#REF!</v>
      </c>
      <c r="J17" s="55"/>
      <c r="K17" s="6"/>
      <c r="L17" s="6"/>
      <c r="M17" s="6"/>
      <c r="N17" s="6"/>
      <c r="O17" s="6"/>
      <c r="P17" s="6" t="str">
        <f t="shared" si="2"/>
        <v>Aceptable</v>
      </c>
      <c r="Q17" s="6"/>
      <c r="R17" s="6"/>
      <c r="S17" s="6"/>
      <c r="T17" s="6"/>
      <c r="U17" s="6"/>
      <c r="V17" s="6"/>
      <c r="W17" s="6" t="str">
        <f t="shared" si="3"/>
        <v>Critico</v>
      </c>
    </row>
    <row r="18" spans="1:23">
      <c r="A18" s="63" t="e">
        <f>Inicial!#REF!</f>
        <v>#REF!</v>
      </c>
      <c r="B18" s="64" t="e">
        <f>Inicial!#REF!</f>
        <v>#REF!</v>
      </c>
      <c r="C18" s="64" t="e">
        <f>Inicial!#REF!</f>
        <v>#REF!</v>
      </c>
      <c r="D18" s="65" t="e">
        <f>Inicial!#REF!</f>
        <v>#REF!</v>
      </c>
      <c r="E18" s="63" t="e">
        <f>IF(Inicial!#REF!="SI",Inicial!#REF!,"N/A")</f>
        <v>#REF!</v>
      </c>
      <c r="F18" s="64" t="e">
        <f>IF(Inicial!#REF!="SI",Inicial!#REF!,"N/A")</f>
        <v>#REF!</v>
      </c>
      <c r="G18" s="64" t="e">
        <f>IF(Inicial!#REF!="SI",Inicial!#REF!,"N/A")</f>
        <v>#REF!</v>
      </c>
      <c r="H18" s="64" t="e">
        <f>IF(Inicial!#REF!="SI",Inicial!#REF!,"N/A")</f>
        <v>#REF!</v>
      </c>
      <c r="I18" s="66" t="e">
        <f>IF(Inicial!#REF!="SI",Inicial!#REF!,"N/A")</f>
        <v>#REF!</v>
      </c>
      <c r="J18" s="55"/>
      <c r="K18" s="6"/>
      <c r="L18" s="6"/>
      <c r="M18" s="6"/>
      <c r="N18" s="6"/>
      <c r="O18" s="6"/>
      <c r="P18" s="6" t="str">
        <f t="shared" si="2"/>
        <v>Aceptable</v>
      </c>
      <c r="Q18" s="6"/>
      <c r="R18" s="6"/>
      <c r="S18" s="6"/>
      <c r="T18" s="6"/>
      <c r="U18" s="6"/>
      <c r="V18" s="6"/>
      <c r="W18" s="6" t="str">
        <f t="shared" si="3"/>
        <v>Critico</v>
      </c>
    </row>
    <row r="19" spans="1:23">
      <c r="A19" s="63" t="e">
        <f>Inicial!#REF!</f>
        <v>#REF!</v>
      </c>
      <c r="B19" s="64" t="e">
        <f>Inicial!#REF!</f>
        <v>#REF!</v>
      </c>
      <c r="C19" s="64" t="e">
        <f>Inicial!#REF!</f>
        <v>#REF!</v>
      </c>
      <c r="D19" s="65" t="e">
        <f>Inicial!#REF!</f>
        <v>#REF!</v>
      </c>
      <c r="E19" s="63" t="e">
        <f>IF(Inicial!#REF!="SI",Inicial!#REF!,"N/A")</f>
        <v>#REF!</v>
      </c>
      <c r="F19" s="64" t="e">
        <f>IF(Inicial!#REF!="SI",Inicial!#REF!,"N/A")</f>
        <v>#REF!</v>
      </c>
      <c r="G19" s="64" t="e">
        <f>IF(Inicial!#REF!="SI",Inicial!#REF!,"N/A")</f>
        <v>#REF!</v>
      </c>
      <c r="H19" s="64" t="e">
        <f>IF(Inicial!#REF!="SI",Inicial!#REF!,"N/A")</f>
        <v>#REF!</v>
      </c>
      <c r="I19" s="66" t="e">
        <f>IF(Inicial!#REF!="SI",Inicial!#REF!,"N/A")</f>
        <v>#REF!</v>
      </c>
      <c r="J19" s="55"/>
      <c r="K19" s="6"/>
      <c r="L19" s="6"/>
      <c r="M19" s="6"/>
      <c r="N19" s="6"/>
      <c r="O19" s="6"/>
      <c r="P19" s="6" t="str">
        <f t="shared" si="2"/>
        <v>Aceptable</v>
      </c>
      <c r="Q19" s="6"/>
      <c r="R19" s="6"/>
      <c r="S19" s="6"/>
      <c r="T19" s="6"/>
      <c r="U19" s="6"/>
      <c r="V19" s="6"/>
      <c r="W19" s="6" t="str">
        <f t="shared" si="3"/>
        <v>Critico</v>
      </c>
    </row>
    <row r="20" spans="1:23">
      <c r="A20" s="63" t="e">
        <f>Inicial!#REF!</f>
        <v>#REF!</v>
      </c>
      <c r="B20" s="64" t="e">
        <f>Inicial!#REF!</f>
        <v>#REF!</v>
      </c>
      <c r="C20" s="64" t="e">
        <f>Inicial!#REF!</f>
        <v>#REF!</v>
      </c>
      <c r="D20" s="65" t="e">
        <f>Inicial!#REF!</f>
        <v>#REF!</v>
      </c>
      <c r="E20" s="63" t="e">
        <f>IF(Inicial!#REF!="SI",Inicial!#REF!,"N/A")</f>
        <v>#REF!</v>
      </c>
      <c r="F20" s="64" t="e">
        <f>IF(Inicial!#REF!="SI",Inicial!#REF!,"N/A")</f>
        <v>#REF!</v>
      </c>
      <c r="G20" s="64" t="e">
        <f>IF(Inicial!#REF!="SI",Inicial!#REF!,"N/A")</f>
        <v>#REF!</v>
      </c>
      <c r="H20" s="64" t="e">
        <f>IF(Inicial!#REF!="SI",Inicial!#REF!,"N/A")</f>
        <v>#REF!</v>
      </c>
      <c r="I20" s="66" t="e">
        <f>IF(Inicial!#REF!="SI",Inicial!#REF!,"N/A")</f>
        <v>#REF!</v>
      </c>
      <c r="J20" s="55"/>
      <c r="K20" s="6"/>
      <c r="L20" s="6"/>
      <c r="M20" s="6"/>
      <c r="N20" s="6"/>
      <c r="O20" s="6"/>
      <c r="P20" s="6" t="str">
        <f t="shared" si="2"/>
        <v>Aceptable</v>
      </c>
      <c r="Q20" s="6"/>
      <c r="R20" s="6"/>
      <c r="S20" s="6"/>
      <c r="T20" s="6"/>
      <c r="U20" s="6"/>
      <c r="V20" s="6"/>
      <c r="W20" s="6" t="str">
        <f t="shared" si="3"/>
        <v>Critico</v>
      </c>
    </row>
    <row r="21" spans="1:23">
      <c r="A21" s="63" t="e">
        <f>Inicial!#REF!</f>
        <v>#REF!</v>
      </c>
      <c r="B21" s="64" t="e">
        <f>Inicial!#REF!</f>
        <v>#REF!</v>
      </c>
      <c r="C21" s="64" t="e">
        <f>Inicial!#REF!</f>
        <v>#REF!</v>
      </c>
      <c r="D21" s="65" t="e">
        <f>Inicial!#REF!</f>
        <v>#REF!</v>
      </c>
      <c r="E21" s="63" t="e">
        <f>IF(Inicial!#REF!="SI",Inicial!#REF!,"N/A")</f>
        <v>#REF!</v>
      </c>
      <c r="F21" s="64" t="e">
        <f>IF(Inicial!#REF!="SI",Inicial!#REF!,"N/A")</f>
        <v>#REF!</v>
      </c>
      <c r="G21" s="64" t="e">
        <f>IF(Inicial!#REF!="SI",Inicial!#REF!,"N/A")</f>
        <v>#REF!</v>
      </c>
      <c r="H21" s="64" t="e">
        <f>IF(Inicial!#REF!="SI",Inicial!#REF!,"N/A")</f>
        <v>#REF!</v>
      </c>
      <c r="I21" s="66" t="e">
        <f>IF(Inicial!#REF!="SI",Inicial!#REF!,"N/A")</f>
        <v>#REF!</v>
      </c>
      <c r="J21" s="55"/>
      <c r="K21" s="6"/>
      <c r="L21" s="6"/>
      <c r="M21" s="6"/>
      <c r="N21" s="6"/>
      <c r="O21" s="6"/>
      <c r="P21" s="6" t="str">
        <f t="shared" si="2"/>
        <v>Aceptable</v>
      </c>
      <c r="Q21" s="6"/>
      <c r="R21" s="6"/>
      <c r="S21" s="6"/>
      <c r="T21" s="6"/>
      <c r="U21" s="6"/>
      <c r="V21" s="6"/>
      <c r="W21" s="6" t="str">
        <f t="shared" si="3"/>
        <v>Critico</v>
      </c>
    </row>
    <row r="22" spans="1:23">
      <c r="A22" s="63" t="e">
        <f>Inicial!#REF!</f>
        <v>#REF!</v>
      </c>
      <c r="B22" s="64" t="e">
        <f>Inicial!#REF!</f>
        <v>#REF!</v>
      </c>
      <c r="C22" s="64" t="e">
        <f>Inicial!#REF!</f>
        <v>#REF!</v>
      </c>
      <c r="D22" s="65" t="e">
        <f>Inicial!#REF!</f>
        <v>#REF!</v>
      </c>
      <c r="E22" s="63" t="e">
        <f>IF(Inicial!#REF!="SI",Inicial!#REF!,"N/A")</f>
        <v>#REF!</v>
      </c>
      <c r="F22" s="64" t="e">
        <f>IF(Inicial!#REF!="SI",Inicial!#REF!,"N/A")</f>
        <v>#REF!</v>
      </c>
      <c r="G22" s="64" t="e">
        <f>IF(Inicial!#REF!="SI",Inicial!#REF!,"N/A")</f>
        <v>#REF!</v>
      </c>
      <c r="H22" s="64" t="e">
        <f>IF(Inicial!#REF!="SI",Inicial!#REF!,"N/A")</f>
        <v>#REF!</v>
      </c>
      <c r="I22" s="66" t="e">
        <f>IF(Inicial!#REF!="SI",Inicial!#REF!,"N/A")</f>
        <v>#REF!</v>
      </c>
      <c r="J22" s="55"/>
      <c r="K22" s="6"/>
      <c r="L22" s="6"/>
      <c r="M22" s="6"/>
      <c r="N22" s="6"/>
      <c r="O22" s="6"/>
      <c r="P22" s="6" t="str">
        <f t="shared" si="2"/>
        <v>Aceptable</v>
      </c>
      <c r="Q22" s="6"/>
      <c r="R22" s="6"/>
      <c r="S22" s="6"/>
      <c r="T22" s="6"/>
      <c r="U22" s="6"/>
      <c r="V22" s="6"/>
      <c r="W22" s="6" t="str">
        <f t="shared" si="3"/>
        <v>Critico</v>
      </c>
    </row>
    <row r="23" spans="1:23">
      <c r="A23" s="63" t="e">
        <f>Inicial!#REF!</f>
        <v>#REF!</v>
      </c>
      <c r="B23" s="64" t="e">
        <f>Inicial!#REF!</f>
        <v>#REF!</v>
      </c>
      <c r="C23" s="64" t="e">
        <f>Inicial!#REF!</f>
        <v>#REF!</v>
      </c>
      <c r="D23" s="65" t="e">
        <f>Inicial!#REF!</f>
        <v>#REF!</v>
      </c>
      <c r="E23" s="63" t="e">
        <f>IF(Inicial!#REF!="SI",Inicial!#REF!,"N/A")</f>
        <v>#REF!</v>
      </c>
      <c r="F23" s="64" t="e">
        <f>IF(Inicial!#REF!="SI",Inicial!#REF!,"N/A")</f>
        <v>#REF!</v>
      </c>
      <c r="G23" s="64" t="e">
        <f>IF(Inicial!#REF!="SI",Inicial!#REF!,"N/A")</f>
        <v>#REF!</v>
      </c>
      <c r="H23" s="64" t="e">
        <f>IF(Inicial!#REF!="SI",Inicial!#REF!,"N/A")</f>
        <v>#REF!</v>
      </c>
      <c r="I23" s="66" t="e">
        <f>IF(Inicial!#REF!="SI",Inicial!#REF!,"N/A")</f>
        <v>#REF!</v>
      </c>
      <c r="J23" s="55"/>
      <c r="K23" s="6"/>
      <c r="L23" s="6"/>
      <c r="M23" s="6"/>
      <c r="N23" s="6"/>
      <c r="O23" s="6"/>
      <c r="P23" s="6" t="str">
        <f t="shared" si="2"/>
        <v>Aceptable</v>
      </c>
      <c r="Q23" s="6"/>
      <c r="R23" s="6"/>
      <c r="S23" s="6"/>
      <c r="T23" s="6"/>
      <c r="U23" s="6"/>
      <c r="V23" s="6"/>
      <c r="W23" s="6" t="str">
        <f t="shared" si="3"/>
        <v>Critico</v>
      </c>
    </row>
    <row r="24" spans="1:23">
      <c r="A24" s="63" t="e">
        <f>Inicial!#REF!</f>
        <v>#REF!</v>
      </c>
      <c r="B24" s="64" t="e">
        <f>Inicial!#REF!</f>
        <v>#REF!</v>
      </c>
      <c r="C24" s="64" t="e">
        <f>Inicial!#REF!</f>
        <v>#REF!</v>
      </c>
      <c r="D24" s="65" t="e">
        <f>Inicial!#REF!</f>
        <v>#REF!</v>
      </c>
      <c r="E24" s="63" t="e">
        <f>IF(Inicial!#REF!="SI",Inicial!#REF!,"N/A")</f>
        <v>#REF!</v>
      </c>
      <c r="F24" s="64" t="e">
        <f>IF(Inicial!#REF!="SI",Inicial!#REF!,"N/A")</f>
        <v>#REF!</v>
      </c>
      <c r="G24" s="64" t="e">
        <f>IF(Inicial!#REF!="SI",Inicial!#REF!,"N/A")</f>
        <v>#REF!</v>
      </c>
      <c r="H24" s="64" t="e">
        <f>IF(Inicial!#REF!="SI",Inicial!#REF!,"N/A")</f>
        <v>#REF!</v>
      </c>
      <c r="I24" s="66" t="e">
        <f>IF(Inicial!#REF!="SI",Inicial!#REF!,"N/A")</f>
        <v>#REF!</v>
      </c>
      <c r="J24" s="55"/>
      <c r="K24" s="6"/>
      <c r="L24" s="6"/>
      <c r="M24" s="6"/>
      <c r="N24" s="6"/>
      <c r="O24" s="6"/>
      <c r="P24" s="6" t="str">
        <f t="shared" si="2"/>
        <v>Aceptable</v>
      </c>
      <c r="Q24" s="6"/>
      <c r="R24" s="6"/>
      <c r="S24" s="6"/>
      <c r="T24" s="6"/>
      <c r="U24" s="6"/>
      <c r="V24" s="6"/>
      <c r="W24" s="6" t="str">
        <f t="shared" si="3"/>
        <v>Critico</v>
      </c>
    </row>
    <row r="25" spans="1:23">
      <c r="A25" s="63" t="e">
        <f>Inicial!#REF!</f>
        <v>#REF!</v>
      </c>
      <c r="B25" s="64" t="e">
        <f>Inicial!#REF!</f>
        <v>#REF!</v>
      </c>
      <c r="C25" s="64" t="e">
        <f>Inicial!#REF!</f>
        <v>#REF!</v>
      </c>
      <c r="D25" s="65" t="e">
        <f>Inicial!#REF!</f>
        <v>#REF!</v>
      </c>
      <c r="E25" s="63" t="e">
        <f>IF(Inicial!#REF!="SI",Inicial!#REF!,"N/A")</f>
        <v>#REF!</v>
      </c>
      <c r="F25" s="64" t="e">
        <f>IF(Inicial!#REF!="SI",Inicial!#REF!,"N/A")</f>
        <v>#REF!</v>
      </c>
      <c r="G25" s="64" t="e">
        <f>IF(Inicial!#REF!="SI",Inicial!#REF!,"N/A")</f>
        <v>#REF!</v>
      </c>
      <c r="H25" s="64" t="e">
        <f>IF(Inicial!#REF!="SI",Inicial!#REF!,"N/A")</f>
        <v>#REF!</v>
      </c>
      <c r="I25" s="66" t="e">
        <f>IF(Inicial!#REF!="SI",Inicial!#REF!,"N/A")</f>
        <v>#REF!</v>
      </c>
      <c r="J25" s="55"/>
      <c r="K25" s="6"/>
      <c r="L25" s="6"/>
      <c r="M25" s="6"/>
      <c r="N25" s="6"/>
      <c r="O25" s="6"/>
      <c r="P25" s="6" t="str">
        <f t="shared" si="2"/>
        <v>Aceptable</v>
      </c>
      <c r="Q25" s="6"/>
      <c r="R25" s="6"/>
      <c r="S25" s="6"/>
      <c r="T25" s="6"/>
      <c r="U25" s="6"/>
      <c r="V25" s="6"/>
      <c r="W25" s="6" t="str">
        <f t="shared" si="3"/>
        <v>Critico</v>
      </c>
    </row>
    <row r="26" spans="1:23">
      <c r="A26" s="63" t="e">
        <f>Inicial!#REF!</f>
        <v>#REF!</v>
      </c>
      <c r="B26" s="64" t="e">
        <f>Inicial!#REF!</f>
        <v>#REF!</v>
      </c>
      <c r="C26" s="64" t="e">
        <f>Inicial!#REF!</f>
        <v>#REF!</v>
      </c>
      <c r="D26" s="65" t="e">
        <f>Inicial!#REF!</f>
        <v>#REF!</v>
      </c>
      <c r="E26" s="63" t="e">
        <f>IF(Inicial!#REF!="SI",Inicial!#REF!,"N/A")</f>
        <v>#REF!</v>
      </c>
      <c r="F26" s="64" t="e">
        <f>IF(Inicial!#REF!="SI",Inicial!#REF!,"N/A")</f>
        <v>#REF!</v>
      </c>
      <c r="G26" s="64" t="e">
        <f>IF(Inicial!#REF!="SI",Inicial!#REF!,"N/A")</f>
        <v>#REF!</v>
      </c>
      <c r="H26" s="64" t="e">
        <f>IF(Inicial!#REF!="SI",Inicial!#REF!,"N/A")</f>
        <v>#REF!</v>
      </c>
      <c r="I26" s="66" t="e">
        <f>IF(Inicial!#REF!="SI",Inicial!#REF!,"N/A")</f>
        <v>#REF!</v>
      </c>
      <c r="J26" s="55"/>
      <c r="K26" s="6"/>
      <c r="L26" s="6"/>
      <c r="M26" s="6"/>
      <c r="N26" s="6"/>
      <c r="O26" s="6"/>
      <c r="P26" s="6" t="str">
        <f t="shared" si="2"/>
        <v>Aceptable</v>
      </c>
      <c r="Q26" s="6"/>
      <c r="R26" s="6"/>
      <c r="S26" s="6"/>
      <c r="T26" s="6"/>
      <c r="U26" s="6"/>
      <c r="V26" s="6"/>
      <c r="W26" s="6" t="str">
        <f t="shared" si="3"/>
        <v>Critico</v>
      </c>
    </row>
    <row r="27" spans="1:23">
      <c r="A27" s="63" t="e">
        <f>Inicial!#REF!</f>
        <v>#REF!</v>
      </c>
      <c r="B27" s="64" t="e">
        <f>Inicial!#REF!</f>
        <v>#REF!</v>
      </c>
      <c r="C27" s="64" t="e">
        <f>Inicial!#REF!</f>
        <v>#REF!</v>
      </c>
      <c r="D27" s="65" t="e">
        <f>Inicial!#REF!</f>
        <v>#REF!</v>
      </c>
      <c r="E27" s="63" t="e">
        <f>IF(Inicial!#REF!="SI",Inicial!#REF!,"N/A")</f>
        <v>#REF!</v>
      </c>
      <c r="F27" s="64" t="e">
        <f>IF(Inicial!#REF!="SI",Inicial!#REF!,"N/A")</f>
        <v>#REF!</v>
      </c>
      <c r="G27" s="64" t="e">
        <f>IF(Inicial!#REF!="SI",Inicial!#REF!,"N/A")</f>
        <v>#REF!</v>
      </c>
      <c r="H27" s="64" t="e">
        <f>IF(Inicial!#REF!="SI",Inicial!#REF!,"N/A")</f>
        <v>#REF!</v>
      </c>
      <c r="I27" s="66" t="e">
        <f>IF(Inicial!#REF!="SI",Inicial!#REF!,"N/A")</f>
        <v>#REF!</v>
      </c>
      <c r="J27" s="55"/>
      <c r="K27" s="6"/>
      <c r="L27" s="6"/>
      <c r="M27" s="6"/>
      <c r="N27" s="6"/>
      <c r="O27" s="6"/>
      <c r="P27" s="6" t="str">
        <f t="shared" si="2"/>
        <v>Aceptable</v>
      </c>
      <c r="Q27" s="6"/>
      <c r="R27" s="6"/>
      <c r="S27" s="6"/>
      <c r="T27" s="6"/>
      <c r="U27" s="6"/>
      <c r="V27" s="6"/>
      <c r="W27" s="6" t="str">
        <f t="shared" si="3"/>
        <v>Critico</v>
      </c>
    </row>
    <row r="28" spans="1:23">
      <c r="A28" s="63" t="e">
        <f>Inicial!#REF!</f>
        <v>#REF!</v>
      </c>
      <c r="B28" s="64" t="e">
        <f>Inicial!#REF!</f>
        <v>#REF!</v>
      </c>
      <c r="C28" s="64" t="e">
        <f>Inicial!#REF!</f>
        <v>#REF!</v>
      </c>
      <c r="D28" s="65" t="e">
        <f>Inicial!#REF!</f>
        <v>#REF!</v>
      </c>
      <c r="E28" s="63" t="e">
        <f>IF(Inicial!#REF!="SI",Inicial!#REF!,"N/A")</f>
        <v>#REF!</v>
      </c>
      <c r="F28" s="64" t="e">
        <f>IF(Inicial!#REF!="SI",Inicial!#REF!,"N/A")</f>
        <v>#REF!</v>
      </c>
      <c r="G28" s="64" t="e">
        <f>IF(Inicial!#REF!="SI",Inicial!#REF!,"N/A")</f>
        <v>#REF!</v>
      </c>
      <c r="H28" s="64" t="e">
        <f>IF(Inicial!#REF!="SI",Inicial!#REF!,"N/A")</f>
        <v>#REF!</v>
      </c>
      <c r="I28" s="66" t="e">
        <f>IF(Inicial!#REF!="SI",Inicial!#REF!,"N/A")</f>
        <v>#REF!</v>
      </c>
      <c r="J28" s="55"/>
      <c r="K28" s="6"/>
      <c r="L28" s="6"/>
      <c r="M28" s="6"/>
      <c r="N28" s="6"/>
      <c r="O28" s="6"/>
      <c r="P28" s="6" t="str">
        <f t="shared" si="2"/>
        <v>Aceptable</v>
      </c>
      <c r="Q28" s="6"/>
      <c r="R28" s="6"/>
      <c r="S28" s="6"/>
      <c r="T28" s="6"/>
      <c r="U28" s="6"/>
      <c r="V28" s="6"/>
      <c r="W28" s="6" t="str">
        <f t="shared" si="3"/>
        <v>Critico</v>
      </c>
    </row>
    <row r="29" spans="1:23">
      <c r="A29" s="63" t="e">
        <f>Inicial!#REF!</f>
        <v>#REF!</v>
      </c>
      <c r="B29" s="64" t="e">
        <f>Inicial!#REF!</f>
        <v>#REF!</v>
      </c>
      <c r="C29" s="64" t="e">
        <f>Inicial!#REF!</f>
        <v>#REF!</v>
      </c>
      <c r="D29" s="65" t="e">
        <f>Inicial!#REF!</f>
        <v>#REF!</v>
      </c>
      <c r="E29" s="63" t="e">
        <f>IF(Inicial!#REF!="SI",Inicial!#REF!,"N/A")</f>
        <v>#REF!</v>
      </c>
      <c r="F29" s="64" t="e">
        <f>IF(Inicial!#REF!="SI",Inicial!#REF!,"N/A")</f>
        <v>#REF!</v>
      </c>
      <c r="G29" s="64" t="e">
        <f>IF(Inicial!#REF!="SI",Inicial!#REF!,"N/A")</f>
        <v>#REF!</v>
      </c>
      <c r="H29" s="64" t="e">
        <f>IF(Inicial!#REF!="SI",Inicial!#REF!,"N/A")</f>
        <v>#REF!</v>
      </c>
      <c r="I29" s="66" t="e">
        <f>IF(Inicial!#REF!="SI",Inicial!#REF!,"N/A")</f>
        <v>#REF!</v>
      </c>
      <c r="J29" s="55"/>
      <c r="K29" s="6"/>
      <c r="L29" s="6"/>
      <c r="M29" s="6"/>
      <c r="N29" s="6"/>
      <c r="O29" s="6"/>
      <c r="P29" s="6" t="str">
        <f t="shared" si="2"/>
        <v>Aceptable</v>
      </c>
      <c r="Q29" s="6"/>
      <c r="R29" s="6"/>
      <c r="S29" s="6"/>
      <c r="T29" s="6"/>
      <c r="U29" s="6"/>
      <c r="V29" s="6"/>
      <c r="W29" s="6" t="str">
        <f t="shared" si="3"/>
        <v>Critico</v>
      </c>
    </row>
    <row r="30" spans="1:23">
      <c r="A30" s="63" t="e">
        <f>Inicial!#REF!</f>
        <v>#REF!</v>
      </c>
      <c r="B30" s="64" t="e">
        <f>Inicial!#REF!</f>
        <v>#REF!</v>
      </c>
      <c r="C30" s="64" t="e">
        <f>Inicial!#REF!</f>
        <v>#REF!</v>
      </c>
      <c r="D30" s="65" t="e">
        <f>Inicial!#REF!</f>
        <v>#REF!</v>
      </c>
      <c r="E30" s="63" t="e">
        <f>IF(Inicial!#REF!="SI",Inicial!#REF!,"N/A")</f>
        <v>#REF!</v>
      </c>
      <c r="F30" s="64" t="e">
        <f>IF(Inicial!#REF!="SI",Inicial!#REF!,"N/A")</f>
        <v>#REF!</v>
      </c>
      <c r="G30" s="64" t="e">
        <f>IF(Inicial!#REF!="SI",Inicial!#REF!,"N/A")</f>
        <v>#REF!</v>
      </c>
      <c r="H30" s="64" t="e">
        <f>IF(Inicial!#REF!="SI",Inicial!#REF!,"N/A")</f>
        <v>#REF!</v>
      </c>
      <c r="I30" s="66" t="e">
        <f>IF(Inicial!#REF!="SI",Inicial!#REF!,"N/A")</f>
        <v>#REF!</v>
      </c>
      <c r="J30" s="55"/>
      <c r="K30" s="6"/>
      <c r="L30" s="6"/>
      <c r="M30" s="6"/>
      <c r="N30" s="6"/>
      <c r="O30" s="6"/>
      <c r="P30" s="6" t="str">
        <f t="shared" si="2"/>
        <v>Aceptable</v>
      </c>
      <c r="Q30" s="6"/>
      <c r="R30" s="6"/>
      <c r="S30" s="6"/>
      <c r="T30" s="6"/>
      <c r="U30" s="6"/>
      <c r="V30" s="6"/>
      <c r="W30" s="6" t="str">
        <f t="shared" si="3"/>
        <v>Critico</v>
      </c>
    </row>
    <row r="31" spans="1:23">
      <c r="A31" s="63" t="e">
        <f>Inicial!#REF!</f>
        <v>#REF!</v>
      </c>
      <c r="B31" s="64" t="e">
        <f>Inicial!#REF!</f>
        <v>#REF!</v>
      </c>
      <c r="C31" s="64" t="e">
        <f>Inicial!#REF!</f>
        <v>#REF!</v>
      </c>
      <c r="D31" s="65" t="e">
        <f>Inicial!#REF!</f>
        <v>#REF!</v>
      </c>
      <c r="E31" s="63" t="e">
        <f>IF(Inicial!#REF!="SI",Inicial!#REF!,"N/A")</f>
        <v>#REF!</v>
      </c>
      <c r="F31" s="64" t="e">
        <f>IF(Inicial!#REF!="SI",Inicial!#REF!,"N/A")</f>
        <v>#REF!</v>
      </c>
      <c r="G31" s="64" t="e">
        <f>IF(Inicial!#REF!="SI",Inicial!#REF!,"N/A")</f>
        <v>#REF!</v>
      </c>
      <c r="H31" s="64" t="e">
        <f>IF(Inicial!#REF!="SI",Inicial!#REF!,"N/A")</f>
        <v>#REF!</v>
      </c>
      <c r="I31" s="66" t="e">
        <f>IF(Inicial!#REF!="SI",Inicial!#REF!,"N/A")</f>
        <v>#REF!</v>
      </c>
      <c r="J31" s="55"/>
      <c r="K31" s="6"/>
      <c r="L31" s="6"/>
      <c r="M31" s="6"/>
      <c r="N31" s="6"/>
      <c r="O31" s="6"/>
      <c r="P31" s="6" t="str">
        <f t="shared" si="2"/>
        <v>Aceptable</v>
      </c>
      <c r="Q31" s="6"/>
      <c r="R31" s="6"/>
      <c r="S31" s="6"/>
      <c r="T31" s="6"/>
      <c r="U31" s="6"/>
      <c r="V31" s="6"/>
      <c r="W31" s="6" t="str">
        <f t="shared" si="3"/>
        <v>Critico</v>
      </c>
    </row>
    <row r="32" spans="1:23">
      <c r="A32" s="63" t="e">
        <f>Inicial!#REF!</f>
        <v>#REF!</v>
      </c>
      <c r="B32" s="64" t="e">
        <f>Inicial!#REF!</f>
        <v>#REF!</v>
      </c>
      <c r="C32" s="64" t="e">
        <f>Inicial!#REF!</f>
        <v>#REF!</v>
      </c>
      <c r="D32" s="65" t="e">
        <f>Inicial!#REF!</f>
        <v>#REF!</v>
      </c>
      <c r="E32" s="63" t="e">
        <f>IF(Inicial!#REF!="SI",Inicial!#REF!,"N/A")</f>
        <v>#REF!</v>
      </c>
      <c r="F32" s="64" t="e">
        <f>IF(Inicial!#REF!="SI",Inicial!#REF!,"N/A")</f>
        <v>#REF!</v>
      </c>
      <c r="G32" s="64" t="e">
        <f>IF(Inicial!#REF!="SI",Inicial!#REF!,"N/A")</f>
        <v>#REF!</v>
      </c>
      <c r="H32" s="64" t="e">
        <f>IF(Inicial!#REF!="SI",Inicial!#REF!,"N/A")</f>
        <v>#REF!</v>
      </c>
      <c r="I32" s="66" t="e">
        <f>IF(Inicial!#REF!="SI",Inicial!#REF!,"N/A")</f>
        <v>#REF!</v>
      </c>
      <c r="J32" s="55"/>
      <c r="K32" s="6"/>
      <c r="L32" s="6"/>
      <c r="M32" s="6"/>
      <c r="N32" s="6"/>
      <c r="O32" s="6"/>
      <c r="P32" s="6" t="str">
        <f t="shared" si="2"/>
        <v>Aceptable</v>
      </c>
      <c r="Q32" s="6"/>
      <c r="R32" s="6"/>
      <c r="S32" s="6"/>
      <c r="T32" s="6"/>
      <c r="U32" s="6"/>
      <c r="V32" s="6"/>
      <c r="W32" s="6" t="str">
        <f t="shared" si="3"/>
        <v>Critico</v>
      </c>
    </row>
    <row r="33" spans="1:23">
      <c r="A33" s="63" t="e">
        <f>Inicial!#REF!</f>
        <v>#REF!</v>
      </c>
      <c r="B33" s="64" t="e">
        <f>Inicial!#REF!</f>
        <v>#REF!</v>
      </c>
      <c r="C33" s="64" t="e">
        <f>Inicial!#REF!</f>
        <v>#REF!</v>
      </c>
      <c r="D33" s="65" t="e">
        <f>Inicial!#REF!</f>
        <v>#REF!</v>
      </c>
      <c r="E33" s="63" t="e">
        <f>IF(Inicial!#REF!="SI",Inicial!#REF!,"N/A")</f>
        <v>#REF!</v>
      </c>
      <c r="F33" s="64" t="e">
        <f>IF(Inicial!#REF!="SI",Inicial!#REF!,"N/A")</f>
        <v>#REF!</v>
      </c>
      <c r="G33" s="64" t="e">
        <f>IF(Inicial!#REF!="SI",Inicial!#REF!,"N/A")</f>
        <v>#REF!</v>
      </c>
      <c r="H33" s="64" t="e">
        <f>IF(Inicial!#REF!="SI",Inicial!#REF!,"N/A")</f>
        <v>#REF!</v>
      </c>
      <c r="I33" s="66" t="e">
        <f>IF(Inicial!#REF!="SI",Inicial!#REF!,"N/A")</f>
        <v>#REF!</v>
      </c>
      <c r="J33" s="55"/>
      <c r="K33" s="6"/>
      <c r="L33" s="6"/>
      <c r="M33" s="6"/>
      <c r="N33" s="6"/>
      <c r="O33" s="6"/>
      <c r="P33" s="6" t="str">
        <f t="shared" si="2"/>
        <v>Aceptable</v>
      </c>
      <c r="Q33" s="6"/>
      <c r="R33" s="6"/>
      <c r="S33" s="6"/>
      <c r="T33" s="6"/>
      <c r="U33" s="6"/>
      <c r="V33" s="6"/>
      <c r="W33" s="6" t="str">
        <f t="shared" si="3"/>
        <v>Critico</v>
      </c>
    </row>
    <row r="34" spans="1:23">
      <c r="A34" s="63" t="e">
        <f>Inicial!#REF!</f>
        <v>#REF!</v>
      </c>
      <c r="B34" s="64" t="e">
        <f>Inicial!#REF!</f>
        <v>#REF!</v>
      </c>
      <c r="C34" s="64" t="e">
        <f>Inicial!#REF!</f>
        <v>#REF!</v>
      </c>
      <c r="D34" s="65" t="e">
        <f>Inicial!#REF!</f>
        <v>#REF!</v>
      </c>
      <c r="E34" s="63" t="e">
        <f>IF(Inicial!#REF!="SI",Inicial!#REF!,"N/A")</f>
        <v>#REF!</v>
      </c>
      <c r="F34" s="64" t="e">
        <f>IF(Inicial!#REF!="SI",Inicial!#REF!,"N/A")</f>
        <v>#REF!</v>
      </c>
      <c r="G34" s="64" t="e">
        <f>IF(Inicial!#REF!="SI",Inicial!#REF!,"N/A")</f>
        <v>#REF!</v>
      </c>
      <c r="H34" s="64" t="e">
        <f>IF(Inicial!#REF!="SI",Inicial!#REF!,"N/A")</f>
        <v>#REF!</v>
      </c>
      <c r="I34" s="66" t="e">
        <f>IF(Inicial!#REF!="SI",Inicial!#REF!,"N/A")</f>
        <v>#REF!</v>
      </c>
      <c r="J34" s="55"/>
      <c r="K34" s="6"/>
      <c r="L34" s="6"/>
      <c r="M34" s="6"/>
      <c r="N34" s="6"/>
      <c r="O34" s="6"/>
      <c r="P34" s="6" t="str">
        <f t="shared" si="2"/>
        <v>Aceptable</v>
      </c>
      <c r="Q34" s="6"/>
      <c r="R34" s="6"/>
      <c r="S34" s="6"/>
      <c r="T34" s="6"/>
      <c r="U34" s="6"/>
      <c r="V34" s="6"/>
      <c r="W34" s="6" t="str">
        <f t="shared" si="3"/>
        <v>Critico</v>
      </c>
    </row>
    <row r="35" spans="1:23">
      <c r="A35" s="63" t="e">
        <f>Inicial!#REF!</f>
        <v>#REF!</v>
      </c>
      <c r="B35" s="64" t="e">
        <f>Inicial!#REF!</f>
        <v>#REF!</v>
      </c>
      <c r="C35" s="64" t="e">
        <f>Inicial!#REF!</f>
        <v>#REF!</v>
      </c>
      <c r="D35" s="65" t="e">
        <f>Inicial!#REF!</f>
        <v>#REF!</v>
      </c>
      <c r="E35" s="63" t="e">
        <f>IF(Inicial!#REF!="SI",Inicial!#REF!,"N/A")</f>
        <v>#REF!</v>
      </c>
      <c r="F35" s="64" t="e">
        <f>IF(Inicial!#REF!="SI",Inicial!#REF!,"N/A")</f>
        <v>#REF!</v>
      </c>
      <c r="G35" s="64" t="e">
        <f>IF(Inicial!#REF!="SI",Inicial!#REF!,"N/A")</f>
        <v>#REF!</v>
      </c>
      <c r="H35" s="64" t="e">
        <f>IF(Inicial!#REF!="SI",Inicial!#REF!,"N/A")</f>
        <v>#REF!</v>
      </c>
      <c r="I35" s="66" t="e">
        <f>IF(Inicial!#REF!="SI",Inicial!#REF!,"N/A")</f>
        <v>#REF!</v>
      </c>
      <c r="J35" s="55"/>
      <c r="K35" s="6"/>
      <c r="L35" s="6"/>
      <c r="M35" s="6"/>
      <c r="N35" s="6"/>
      <c r="O35" s="6"/>
      <c r="P35" s="6" t="str">
        <f t="shared" si="2"/>
        <v>Aceptable</v>
      </c>
      <c r="Q35" s="6"/>
      <c r="R35" s="6"/>
      <c r="S35" s="6"/>
      <c r="T35" s="6"/>
      <c r="U35" s="6"/>
      <c r="V35" s="6"/>
      <c r="W35" s="6" t="str">
        <f t="shared" si="3"/>
        <v>Critico</v>
      </c>
    </row>
    <row r="36" spans="1:23">
      <c r="A36" s="63" t="e">
        <f>Inicial!#REF!</f>
        <v>#REF!</v>
      </c>
      <c r="B36" s="64" t="e">
        <f>Inicial!#REF!</f>
        <v>#REF!</v>
      </c>
      <c r="C36" s="64" t="e">
        <f>Inicial!#REF!</f>
        <v>#REF!</v>
      </c>
      <c r="D36" s="65" t="e">
        <f>Inicial!#REF!</f>
        <v>#REF!</v>
      </c>
      <c r="E36" s="63" t="e">
        <f>IF(Inicial!#REF!="SI",Inicial!#REF!,"N/A")</f>
        <v>#REF!</v>
      </c>
      <c r="F36" s="64" t="e">
        <f>IF(Inicial!#REF!="SI",Inicial!#REF!,"N/A")</f>
        <v>#REF!</v>
      </c>
      <c r="G36" s="64" t="e">
        <f>IF(Inicial!#REF!="SI",Inicial!#REF!,"N/A")</f>
        <v>#REF!</v>
      </c>
      <c r="H36" s="64" t="e">
        <f>IF(Inicial!#REF!="SI",Inicial!#REF!,"N/A")</f>
        <v>#REF!</v>
      </c>
      <c r="I36" s="66" t="e">
        <f>IF(Inicial!#REF!="SI",Inicial!#REF!,"N/A")</f>
        <v>#REF!</v>
      </c>
      <c r="P36" s="6" t="str">
        <f t="shared" si="2"/>
        <v>Aceptable</v>
      </c>
      <c r="Q36" s="6"/>
      <c r="R36" s="6"/>
      <c r="S36" s="6"/>
      <c r="T36" s="6"/>
      <c r="U36" s="6"/>
      <c r="V36" s="6"/>
      <c r="W36" s="6" t="str">
        <f t="shared" si="3"/>
        <v>Critico</v>
      </c>
    </row>
    <row r="37" spans="1:23">
      <c r="A37" s="63" t="e">
        <f>Inicial!#REF!</f>
        <v>#REF!</v>
      </c>
      <c r="B37" s="64" t="e">
        <f>Inicial!#REF!</f>
        <v>#REF!</v>
      </c>
      <c r="C37" s="64" t="e">
        <f>Inicial!#REF!</f>
        <v>#REF!</v>
      </c>
      <c r="D37" s="65" t="e">
        <f>Inicial!#REF!</f>
        <v>#REF!</v>
      </c>
      <c r="E37" s="63" t="e">
        <f>IF(Inicial!#REF!="SI",Inicial!#REF!,"N/A")</f>
        <v>#REF!</v>
      </c>
      <c r="F37" s="64" t="e">
        <f>IF(Inicial!#REF!="SI",Inicial!#REF!,"N/A")</f>
        <v>#REF!</v>
      </c>
      <c r="G37" s="64" t="e">
        <f>IF(Inicial!#REF!="SI",Inicial!#REF!,"N/A")</f>
        <v>#REF!</v>
      </c>
      <c r="H37" s="64" t="e">
        <f>IF(Inicial!#REF!="SI",Inicial!#REF!,"N/A")</f>
        <v>#REF!</v>
      </c>
      <c r="I37" s="66" t="e">
        <f>IF(Inicial!#REF!="SI",Inicial!#REF!,"N/A")</f>
        <v>#REF!</v>
      </c>
      <c r="P37" s="6" t="str">
        <f t="shared" si="2"/>
        <v>Aceptable</v>
      </c>
      <c r="Q37" s="6"/>
      <c r="R37" s="6"/>
      <c r="S37" s="6"/>
      <c r="T37" s="6"/>
      <c r="U37" s="6"/>
      <c r="V37" s="6"/>
      <c r="W37" s="6" t="str">
        <f t="shared" si="3"/>
        <v>Critico</v>
      </c>
    </row>
    <row r="38" spans="1:23">
      <c r="A38" s="63" t="e">
        <f>Inicial!#REF!</f>
        <v>#REF!</v>
      </c>
      <c r="B38" s="64" t="e">
        <f>Inicial!#REF!</f>
        <v>#REF!</v>
      </c>
      <c r="C38" s="64" t="e">
        <f>Inicial!#REF!</f>
        <v>#REF!</v>
      </c>
      <c r="D38" s="65" t="e">
        <f>Inicial!#REF!</f>
        <v>#REF!</v>
      </c>
      <c r="E38" s="63" t="e">
        <f>IF(Inicial!#REF!="SI",Inicial!#REF!,"N/A")</f>
        <v>#REF!</v>
      </c>
      <c r="F38" s="64" t="e">
        <f>IF(Inicial!#REF!="SI",Inicial!#REF!,"N/A")</f>
        <v>#REF!</v>
      </c>
      <c r="G38" s="64" t="e">
        <f>IF(Inicial!#REF!="SI",Inicial!#REF!,"N/A")</f>
        <v>#REF!</v>
      </c>
      <c r="H38" s="64" t="e">
        <f>IF(Inicial!#REF!="SI",Inicial!#REF!,"N/A")</f>
        <v>#REF!</v>
      </c>
      <c r="I38" s="66" t="e">
        <f>IF(Inicial!#REF!="SI",Inicial!#REF!,"N/A")</f>
        <v>#REF!</v>
      </c>
      <c r="P38" s="6" t="str">
        <f t="shared" si="2"/>
        <v>Aceptable</v>
      </c>
      <c r="Q38" s="6"/>
      <c r="R38" s="6"/>
      <c r="S38" s="6"/>
      <c r="T38" s="6"/>
      <c r="U38" s="6"/>
      <c r="V38" s="6"/>
      <c r="W38" s="6" t="str">
        <f t="shared" si="3"/>
        <v>Critico</v>
      </c>
    </row>
    <row r="39" spans="1:23">
      <c r="A39" s="63" t="e">
        <f>Inicial!#REF!</f>
        <v>#REF!</v>
      </c>
      <c r="B39" s="64" t="e">
        <f>Inicial!#REF!</f>
        <v>#REF!</v>
      </c>
      <c r="C39" s="64" t="e">
        <f>Inicial!#REF!</f>
        <v>#REF!</v>
      </c>
      <c r="D39" s="65" t="e">
        <f>Inicial!#REF!</f>
        <v>#REF!</v>
      </c>
      <c r="E39" s="63" t="e">
        <f>IF(Inicial!#REF!="SI",Inicial!#REF!,"N/A")</f>
        <v>#REF!</v>
      </c>
      <c r="F39" s="64" t="e">
        <f>IF(Inicial!#REF!="SI",Inicial!#REF!,"N/A")</f>
        <v>#REF!</v>
      </c>
      <c r="G39" s="64" t="e">
        <f>IF(Inicial!#REF!="SI",Inicial!#REF!,"N/A")</f>
        <v>#REF!</v>
      </c>
      <c r="H39" s="64" t="e">
        <f>IF(Inicial!#REF!="SI",Inicial!#REF!,"N/A")</f>
        <v>#REF!</v>
      </c>
      <c r="I39" s="66" t="e">
        <f>IF(Inicial!#REF!="SI",Inicial!#REF!,"N/A")</f>
        <v>#REF!</v>
      </c>
      <c r="P39" s="6" t="str">
        <f t="shared" si="2"/>
        <v>Aceptable</v>
      </c>
      <c r="Q39" s="6"/>
      <c r="R39" s="6"/>
      <c r="S39" s="6"/>
      <c r="T39" s="6"/>
      <c r="U39" s="6"/>
      <c r="V39" s="6"/>
      <c r="W39" s="6" t="str">
        <f t="shared" si="3"/>
        <v>Critico</v>
      </c>
    </row>
    <row r="40" spans="1:23">
      <c r="A40" s="63" t="e">
        <f>Inicial!#REF!</f>
        <v>#REF!</v>
      </c>
      <c r="B40" s="64" t="e">
        <f>Inicial!#REF!</f>
        <v>#REF!</v>
      </c>
      <c r="C40" s="64" t="e">
        <f>Inicial!#REF!</f>
        <v>#REF!</v>
      </c>
      <c r="D40" s="65" t="e">
        <f>Inicial!#REF!</f>
        <v>#REF!</v>
      </c>
      <c r="E40" s="63" t="e">
        <f>IF(Inicial!#REF!="SI",Inicial!#REF!,"N/A")</f>
        <v>#REF!</v>
      </c>
      <c r="F40" s="64" t="e">
        <f>IF(Inicial!#REF!="SI",Inicial!#REF!,"N/A")</f>
        <v>#REF!</v>
      </c>
      <c r="G40" s="64" t="e">
        <f>IF(Inicial!#REF!="SI",Inicial!#REF!,"N/A")</f>
        <v>#REF!</v>
      </c>
      <c r="H40" s="64" t="e">
        <f>IF(Inicial!#REF!="SI",Inicial!#REF!,"N/A")</f>
        <v>#REF!</v>
      </c>
      <c r="I40" s="66" t="e">
        <f>IF(Inicial!#REF!="SI",Inicial!#REF!,"N/A")</f>
        <v>#REF!</v>
      </c>
      <c r="P40" s="6" t="str">
        <f t="shared" si="2"/>
        <v>Aceptable</v>
      </c>
      <c r="Q40" s="6"/>
      <c r="R40" s="6"/>
      <c r="S40" s="6"/>
      <c r="T40" s="6"/>
      <c r="U40" s="6"/>
      <c r="V40" s="6"/>
      <c r="W40" s="6" t="str">
        <f t="shared" si="3"/>
        <v>Critico</v>
      </c>
    </row>
    <row r="41" spans="1:23">
      <c r="A41" s="63" t="e">
        <f>Inicial!#REF!</f>
        <v>#REF!</v>
      </c>
      <c r="B41" s="64" t="e">
        <f>Inicial!#REF!</f>
        <v>#REF!</v>
      </c>
      <c r="C41" s="64" t="e">
        <f>Inicial!#REF!</f>
        <v>#REF!</v>
      </c>
      <c r="D41" s="65" t="e">
        <f>Inicial!#REF!</f>
        <v>#REF!</v>
      </c>
      <c r="E41" s="63" t="e">
        <f>IF(Inicial!#REF!="SI",Inicial!#REF!,"N/A")</f>
        <v>#REF!</v>
      </c>
      <c r="F41" s="64" t="e">
        <f>IF(Inicial!#REF!="SI",Inicial!#REF!,"N/A")</f>
        <v>#REF!</v>
      </c>
      <c r="G41" s="64" t="e">
        <f>IF(Inicial!#REF!="SI",Inicial!#REF!,"N/A")</f>
        <v>#REF!</v>
      </c>
      <c r="H41" s="64" t="e">
        <f>IF(Inicial!#REF!="SI",Inicial!#REF!,"N/A")</f>
        <v>#REF!</v>
      </c>
      <c r="I41" s="66" t="e">
        <f>IF(Inicial!#REF!="SI",Inicial!#REF!,"N/A")</f>
        <v>#REF!</v>
      </c>
      <c r="P41" s="6" t="str">
        <f t="shared" si="2"/>
        <v>Aceptable</v>
      </c>
      <c r="Q41" s="6"/>
      <c r="R41" s="6"/>
      <c r="S41" s="6"/>
      <c r="T41" s="6"/>
      <c r="U41" s="6"/>
      <c r="V41" s="6"/>
      <c r="W41" s="6" t="str">
        <f t="shared" si="3"/>
        <v>Critico</v>
      </c>
    </row>
    <row r="42" spans="1:23">
      <c r="A42" s="63" t="e">
        <f>Inicial!#REF!</f>
        <v>#REF!</v>
      </c>
      <c r="B42" s="64" t="e">
        <f>Inicial!#REF!</f>
        <v>#REF!</v>
      </c>
      <c r="C42" s="64" t="e">
        <f>Inicial!#REF!</f>
        <v>#REF!</v>
      </c>
      <c r="D42" s="65" t="e">
        <f>Inicial!#REF!</f>
        <v>#REF!</v>
      </c>
      <c r="E42" s="63" t="e">
        <f>IF(Inicial!#REF!="SI",Inicial!#REF!,"N/A")</f>
        <v>#REF!</v>
      </c>
      <c r="F42" s="64" t="e">
        <f>IF(Inicial!#REF!="SI",Inicial!#REF!,"N/A")</f>
        <v>#REF!</v>
      </c>
      <c r="G42" s="64" t="e">
        <f>IF(Inicial!#REF!="SI",Inicial!#REF!,"N/A")</f>
        <v>#REF!</v>
      </c>
      <c r="H42" s="64" t="e">
        <f>IF(Inicial!#REF!="SI",Inicial!#REF!,"N/A")</f>
        <v>#REF!</v>
      </c>
      <c r="I42" s="66" t="e">
        <f>IF(Inicial!#REF!="SI",Inicial!#REF!,"N/A")</f>
        <v>#REF!</v>
      </c>
      <c r="P42" s="6" t="str">
        <f t="shared" si="2"/>
        <v>Aceptable</v>
      </c>
      <c r="Q42" s="6"/>
      <c r="R42" s="6"/>
      <c r="S42" s="6"/>
      <c r="T42" s="6"/>
      <c r="U42" s="6"/>
      <c r="V42" s="6"/>
      <c r="W42" s="6" t="str">
        <f t="shared" si="3"/>
        <v>Critico</v>
      </c>
    </row>
    <row r="43" spans="1:23">
      <c r="A43" s="63" t="e">
        <f>Inicial!#REF!</f>
        <v>#REF!</v>
      </c>
      <c r="B43" s="64" t="e">
        <f>Inicial!#REF!</f>
        <v>#REF!</v>
      </c>
      <c r="C43" s="64" t="e">
        <f>Inicial!#REF!</f>
        <v>#REF!</v>
      </c>
      <c r="D43" s="65" t="e">
        <f>Inicial!#REF!</f>
        <v>#REF!</v>
      </c>
      <c r="E43" s="63" t="e">
        <f>IF(Inicial!#REF!="SI",Inicial!#REF!,"N/A")</f>
        <v>#REF!</v>
      </c>
      <c r="F43" s="64" t="e">
        <f>IF(Inicial!#REF!="SI",Inicial!#REF!,"N/A")</f>
        <v>#REF!</v>
      </c>
      <c r="G43" s="64" t="e">
        <f>IF(Inicial!#REF!="SI",Inicial!#REF!,"N/A")</f>
        <v>#REF!</v>
      </c>
      <c r="H43" s="64" t="e">
        <f>IF(Inicial!#REF!="SI",Inicial!#REF!,"N/A")</f>
        <v>#REF!</v>
      </c>
      <c r="I43" s="66" t="e">
        <f>IF(Inicial!#REF!="SI",Inicial!#REF!,"N/A")</f>
        <v>#REF!</v>
      </c>
      <c r="P43" s="6" t="str">
        <f t="shared" si="2"/>
        <v>Aceptable</v>
      </c>
      <c r="Q43" s="6"/>
      <c r="R43" s="6"/>
      <c r="S43" s="6"/>
      <c r="T43" s="6"/>
      <c r="U43" s="6"/>
      <c r="V43" s="6"/>
      <c r="W43" s="6" t="str">
        <f t="shared" si="3"/>
        <v>Critico</v>
      </c>
    </row>
    <row r="44" spans="1:23">
      <c r="A44" s="63" t="e">
        <f>Inicial!#REF!</f>
        <v>#REF!</v>
      </c>
      <c r="B44" s="64" t="e">
        <f>Inicial!#REF!</f>
        <v>#REF!</v>
      </c>
      <c r="C44" s="64" t="e">
        <f>Inicial!#REF!</f>
        <v>#REF!</v>
      </c>
      <c r="D44" s="65" t="e">
        <f>Inicial!#REF!</f>
        <v>#REF!</v>
      </c>
      <c r="E44" s="63" t="e">
        <f>IF(Inicial!#REF!="SI",Inicial!#REF!,"N/A")</f>
        <v>#REF!</v>
      </c>
      <c r="F44" s="64" t="e">
        <f>IF(Inicial!#REF!="SI",Inicial!#REF!,"N/A")</f>
        <v>#REF!</v>
      </c>
      <c r="G44" s="64" t="e">
        <f>IF(Inicial!#REF!="SI",Inicial!#REF!,"N/A")</f>
        <v>#REF!</v>
      </c>
      <c r="H44" s="64" t="e">
        <f>IF(Inicial!#REF!="SI",Inicial!#REF!,"N/A")</f>
        <v>#REF!</v>
      </c>
      <c r="I44" s="66" t="e">
        <f>IF(Inicial!#REF!="SI",Inicial!#REF!,"N/A")</f>
        <v>#REF!</v>
      </c>
      <c r="P44" s="6" t="str">
        <f t="shared" si="2"/>
        <v>Aceptable</v>
      </c>
      <c r="Q44" s="6"/>
      <c r="R44" s="6"/>
      <c r="S44" s="6"/>
      <c r="T44" s="6"/>
      <c r="U44" s="6"/>
      <c r="V44" s="6"/>
      <c r="W44" s="6" t="str">
        <f t="shared" si="3"/>
        <v>Critico</v>
      </c>
    </row>
    <row r="45" spans="1:23">
      <c r="A45" s="63" t="e">
        <f>Inicial!#REF!</f>
        <v>#REF!</v>
      </c>
      <c r="B45" s="64" t="e">
        <f>Inicial!#REF!</f>
        <v>#REF!</v>
      </c>
      <c r="C45" s="64" t="e">
        <f>Inicial!#REF!</f>
        <v>#REF!</v>
      </c>
      <c r="D45" s="65" t="e">
        <f>Inicial!#REF!</f>
        <v>#REF!</v>
      </c>
      <c r="E45" s="63" t="e">
        <f>IF(Inicial!#REF!="SI",Inicial!#REF!,"N/A")</f>
        <v>#REF!</v>
      </c>
      <c r="F45" s="64" t="e">
        <f>IF(Inicial!#REF!="SI",Inicial!#REF!,"N/A")</f>
        <v>#REF!</v>
      </c>
      <c r="G45" s="64" t="e">
        <f>IF(Inicial!#REF!="SI",Inicial!#REF!,"N/A")</f>
        <v>#REF!</v>
      </c>
      <c r="H45" s="64" t="e">
        <f>IF(Inicial!#REF!="SI",Inicial!#REF!,"N/A")</f>
        <v>#REF!</v>
      </c>
      <c r="I45" s="66" t="e">
        <f>IF(Inicial!#REF!="SI",Inicial!#REF!,"N/A")</f>
        <v>#REF!</v>
      </c>
      <c r="P45" s="6" t="str">
        <f t="shared" si="2"/>
        <v>Aceptable</v>
      </c>
      <c r="Q45" s="6"/>
      <c r="R45" s="6"/>
      <c r="S45" s="6"/>
      <c r="T45" s="6"/>
      <c r="U45" s="6"/>
      <c r="V45" s="6"/>
      <c r="W45" s="6" t="str">
        <f t="shared" si="3"/>
        <v>Critico</v>
      </c>
    </row>
    <row r="46" spans="1:23">
      <c r="A46" s="63" t="e">
        <f>Inicial!#REF!</f>
        <v>#REF!</v>
      </c>
      <c r="B46" s="64" t="e">
        <f>Inicial!#REF!</f>
        <v>#REF!</v>
      </c>
      <c r="C46" s="64" t="e">
        <f>Inicial!#REF!</f>
        <v>#REF!</v>
      </c>
      <c r="D46" s="65" t="e">
        <f>Inicial!#REF!</f>
        <v>#REF!</v>
      </c>
      <c r="E46" s="63" t="e">
        <f>IF(Inicial!#REF!="SI",Inicial!#REF!,"N/A")</f>
        <v>#REF!</v>
      </c>
      <c r="F46" s="64" t="e">
        <f>IF(Inicial!#REF!="SI",Inicial!#REF!,"N/A")</f>
        <v>#REF!</v>
      </c>
      <c r="G46" s="64" t="e">
        <f>IF(Inicial!#REF!="SI",Inicial!#REF!,"N/A")</f>
        <v>#REF!</v>
      </c>
      <c r="H46" s="64" t="e">
        <f>IF(Inicial!#REF!="SI",Inicial!#REF!,"N/A")</f>
        <v>#REF!</v>
      </c>
      <c r="I46" s="66" t="e">
        <f>IF(Inicial!#REF!="SI",Inicial!#REF!,"N/A")</f>
        <v>#REF!</v>
      </c>
      <c r="P46" s="6" t="str">
        <f t="shared" si="2"/>
        <v>Aceptable</v>
      </c>
      <c r="Q46" s="6"/>
      <c r="R46" s="6"/>
      <c r="S46" s="6"/>
      <c r="T46" s="6"/>
      <c r="U46" s="6"/>
      <c r="V46" s="6"/>
      <c r="W46" s="6" t="str">
        <f t="shared" si="3"/>
        <v>Critico</v>
      </c>
    </row>
    <row r="47" spans="1:23">
      <c r="A47" s="63" t="e">
        <f>Inicial!#REF!</f>
        <v>#REF!</v>
      </c>
      <c r="B47" s="64" t="e">
        <f>Inicial!#REF!</f>
        <v>#REF!</v>
      </c>
      <c r="C47" s="64" t="e">
        <f>Inicial!#REF!</f>
        <v>#REF!</v>
      </c>
      <c r="D47" s="65" t="e">
        <f>Inicial!#REF!</f>
        <v>#REF!</v>
      </c>
      <c r="E47" s="63" t="e">
        <f>IF(Inicial!#REF!="SI",Inicial!#REF!,"N/A")</f>
        <v>#REF!</v>
      </c>
      <c r="F47" s="64" t="e">
        <f>IF(Inicial!#REF!="SI",Inicial!#REF!,"N/A")</f>
        <v>#REF!</v>
      </c>
      <c r="G47" s="64" t="e">
        <f>IF(Inicial!#REF!="SI",Inicial!#REF!,"N/A")</f>
        <v>#REF!</v>
      </c>
      <c r="H47" s="64" t="e">
        <f>IF(Inicial!#REF!="SI",Inicial!#REF!,"N/A")</f>
        <v>#REF!</v>
      </c>
      <c r="I47" s="66" t="e">
        <f>IF(Inicial!#REF!="SI",Inicial!#REF!,"N/A")</f>
        <v>#REF!</v>
      </c>
      <c r="P47" s="6" t="str">
        <f t="shared" si="2"/>
        <v>Aceptable</v>
      </c>
      <c r="Q47" s="6"/>
      <c r="R47" s="6"/>
      <c r="S47" s="6"/>
      <c r="T47" s="6"/>
      <c r="U47" s="6"/>
      <c r="V47" s="6"/>
      <c r="W47" s="6" t="str">
        <f t="shared" si="3"/>
        <v>Critico</v>
      </c>
    </row>
    <row r="48" spans="1:23">
      <c r="A48" s="63">
        <f>Inicial!A10</f>
        <v>0</v>
      </c>
      <c r="B48" s="64">
        <f>Inicial!B10</f>
        <v>0</v>
      </c>
      <c r="C48" s="64">
        <f>Inicial!C10</f>
        <v>0</v>
      </c>
      <c r="D48" s="65">
        <f>Inicial!D10</f>
        <v>0</v>
      </c>
      <c r="E48" s="63" t="str">
        <f>IF(Inicial!J10="SI",Inicial!E10,"N/A")</f>
        <v>N/A</v>
      </c>
      <c r="F48" s="64" t="str">
        <f>IF(Inicial!J10="SI",Inicial!F10,"N/A")</f>
        <v>N/A</v>
      </c>
      <c r="G48" s="64" t="str">
        <f>IF(Inicial!J10="SI",Inicial!G10,"N/A")</f>
        <v>N/A</v>
      </c>
      <c r="H48" s="64" t="str">
        <f>IF(Inicial!J10="SI",Inicial!H10,"N/A")</f>
        <v>N/A</v>
      </c>
      <c r="I48" s="66" t="str">
        <f>IF(Inicial!J10="SI",Inicial!I10,"N/A")</f>
        <v>N/A</v>
      </c>
      <c r="P48" s="6" t="str">
        <f t="shared" si="2"/>
        <v>Aceptable</v>
      </c>
      <c r="Q48" s="6"/>
      <c r="R48" s="6"/>
      <c r="S48" s="6"/>
      <c r="T48" s="6"/>
      <c r="U48" s="6"/>
      <c r="V48" s="6"/>
      <c r="W48" s="6" t="str">
        <f t="shared" si="3"/>
        <v>Critico</v>
      </c>
    </row>
    <row r="49" spans="1:23">
      <c r="A49" s="63">
        <f>Inicial!A11</f>
        <v>0</v>
      </c>
      <c r="B49" s="64">
        <f>Inicial!B11</f>
        <v>0</v>
      </c>
      <c r="C49" s="64">
        <f>Inicial!C11</f>
        <v>0</v>
      </c>
      <c r="D49" s="65">
        <f>Inicial!D11</f>
        <v>0</v>
      </c>
      <c r="E49" s="63" t="str">
        <f>IF(Inicial!J11="SI",Inicial!E11,"N/A")</f>
        <v>N/A</v>
      </c>
      <c r="F49" s="64" t="str">
        <f>IF(Inicial!J11="SI",Inicial!F11,"N/A")</f>
        <v>N/A</v>
      </c>
      <c r="G49" s="64" t="str">
        <f>IF(Inicial!J11="SI",Inicial!G11,"N/A")</f>
        <v>N/A</v>
      </c>
      <c r="H49" s="64" t="str">
        <f>IF(Inicial!J11="SI",Inicial!H11,"N/A")</f>
        <v>N/A</v>
      </c>
      <c r="I49" s="66" t="str">
        <f>IF(Inicial!J11="SI",Inicial!I11,"N/A")</f>
        <v>N/A</v>
      </c>
      <c r="P49" s="6" t="str">
        <f t="shared" si="2"/>
        <v>Aceptable</v>
      </c>
      <c r="Q49" s="6"/>
      <c r="R49" s="6"/>
      <c r="S49" s="6"/>
      <c r="T49" s="6"/>
      <c r="U49" s="6"/>
      <c r="V49" s="6"/>
      <c r="W49" s="6" t="str">
        <f t="shared" si="3"/>
        <v>Critico</v>
      </c>
    </row>
    <row r="50" spans="1:23">
      <c r="A50" s="63">
        <f>Inicial!A12</f>
        <v>0</v>
      </c>
      <c r="B50" s="64">
        <f>Inicial!B12</f>
        <v>0</v>
      </c>
      <c r="C50" s="64">
        <f>Inicial!C12</f>
        <v>0</v>
      </c>
      <c r="D50" s="65">
        <f>Inicial!D12</f>
        <v>0</v>
      </c>
      <c r="E50" s="63" t="str">
        <f>IF(Inicial!J12="SI",Inicial!E12,"N/A")</f>
        <v>N/A</v>
      </c>
      <c r="F50" s="64" t="str">
        <f>IF(Inicial!J12="SI",Inicial!F12,"N/A")</f>
        <v>N/A</v>
      </c>
      <c r="G50" s="64" t="str">
        <f>IF(Inicial!J12="SI",Inicial!G12,"N/A")</f>
        <v>N/A</v>
      </c>
      <c r="H50" s="64" t="str">
        <f>IF(Inicial!J12="SI",Inicial!H12,"N/A")</f>
        <v>N/A</v>
      </c>
      <c r="I50" s="66" t="str">
        <f>IF(Inicial!J12="SI",Inicial!I12,"N/A")</f>
        <v>N/A</v>
      </c>
      <c r="P50" s="6" t="str">
        <f t="shared" si="2"/>
        <v>Aceptable</v>
      </c>
      <c r="Q50" s="6"/>
      <c r="R50" s="6"/>
      <c r="S50" s="6"/>
      <c r="T50" s="6"/>
      <c r="U50" s="6"/>
      <c r="V50" s="6"/>
      <c r="W50" s="6" t="str">
        <f t="shared" si="3"/>
        <v>Critico</v>
      </c>
    </row>
    <row r="51" spans="1:23">
      <c r="A51" s="63">
        <f>Inicial!A13</f>
        <v>0</v>
      </c>
      <c r="B51" s="64">
        <f>Inicial!B13</f>
        <v>0</v>
      </c>
      <c r="C51" s="64">
        <f>Inicial!C13</f>
        <v>0</v>
      </c>
      <c r="D51" s="65">
        <f>Inicial!D13</f>
        <v>0</v>
      </c>
      <c r="E51" s="63" t="str">
        <f>IF(Inicial!J13="SI",Inicial!E13,"N/A")</f>
        <v>N/A</v>
      </c>
      <c r="F51" s="64" t="str">
        <f>IF(Inicial!J13="SI",Inicial!F13,"N/A")</f>
        <v>N/A</v>
      </c>
      <c r="G51" s="64" t="str">
        <f>IF(Inicial!J13="SI",Inicial!G13,"N/A")</f>
        <v>N/A</v>
      </c>
      <c r="H51" s="64" t="str">
        <f>IF(Inicial!J13="SI",Inicial!H13,"N/A")</f>
        <v>N/A</v>
      </c>
      <c r="I51" s="66" t="str">
        <f>IF(Inicial!J13="SI",Inicial!I13,"N/A")</f>
        <v>N/A</v>
      </c>
      <c r="P51" s="6" t="str">
        <f t="shared" si="2"/>
        <v>Aceptable</v>
      </c>
      <c r="Q51" s="6"/>
      <c r="R51" s="6"/>
      <c r="S51" s="6"/>
      <c r="T51" s="6"/>
      <c r="U51" s="6"/>
      <c r="V51" s="6"/>
      <c r="W51" s="6" t="str">
        <f t="shared" si="3"/>
        <v>Critico</v>
      </c>
    </row>
    <row r="52" spans="1:23">
      <c r="A52" s="63">
        <f>Inicial!A14</f>
        <v>0</v>
      </c>
      <c r="B52" s="64">
        <f>Inicial!B14</f>
        <v>0</v>
      </c>
      <c r="C52" s="64">
        <f>Inicial!C14</f>
        <v>0</v>
      </c>
      <c r="D52" s="65">
        <f>Inicial!D14</f>
        <v>0</v>
      </c>
      <c r="E52" s="63" t="str">
        <f>IF(Inicial!J14="SI",Inicial!E14,"N/A")</f>
        <v>N/A</v>
      </c>
      <c r="F52" s="64" t="str">
        <f>IF(Inicial!J14="SI",Inicial!F14,"N/A")</f>
        <v>N/A</v>
      </c>
      <c r="G52" s="64" t="str">
        <f>IF(Inicial!J14="SI",Inicial!G14,"N/A")</f>
        <v>N/A</v>
      </c>
      <c r="H52" s="64" t="str">
        <f>IF(Inicial!J14="SI",Inicial!H14,"N/A")</f>
        <v>N/A</v>
      </c>
      <c r="I52" s="66" t="str">
        <f>IF(Inicial!J14="SI",Inicial!I14,"N/A")</f>
        <v>N/A</v>
      </c>
      <c r="P52" s="6" t="str">
        <f t="shared" si="2"/>
        <v>Aceptable</v>
      </c>
      <c r="Q52" s="6"/>
      <c r="R52" s="6"/>
      <c r="S52" s="6"/>
      <c r="T52" s="6"/>
      <c r="U52" s="6"/>
      <c r="V52" s="6"/>
      <c r="W52" s="6" t="str">
        <f t="shared" si="3"/>
        <v>Critico</v>
      </c>
    </row>
    <row r="53" spans="1:23">
      <c r="A53" s="63">
        <f>Inicial!A15</f>
        <v>0</v>
      </c>
      <c r="B53" s="64">
        <f>Inicial!B15</f>
        <v>0</v>
      </c>
      <c r="C53" s="64">
        <f>Inicial!C15</f>
        <v>0</v>
      </c>
      <c r="D53" s="65">
        <f>Inicial!D15</f>
        <v>0</v>
      </c>
      <c r="E53" s="63" t="str">
        <f>IF(Inicial!J15="SI",Inicial!E15,"N/A")</f>
        <v>N/A</v>
      </c>
      <c r="F53" s="64" t="str">
        <f>IF(Inicial!J15="SI",Inicial!F15,"N/A")</f>
        <v>N/A</v>
      </c>
      <c r="G53" s="64" t="str">
        <f>IF(Inicial!J15="SI",Inicial!G15,"N/A")</f>
        <v>N/A</v>
      </c>
      <c r="H53" s="64" t="str">
        <f>IF(Inicial!J15="SI",Inicial!H15,"N/A")</f>
        <v>N/A</v>
      </c>
      <c r="I53" s="66" t="str">
        <f>IF(Inicial!J15="SI",Inicial!I15,"N/A")</f>
        <v>N/A</v>
      </c>
      <c r="P53" s="6" t="str">
        <f t="shared" si="2"/>
        <v>Aceptable</v>
      </c>
      <c r="Q53" s="6"/>
      <c r="R53" s="6"/>
      <c r="S53" s="6"/>
      <c r="T53" s="6"/>
      <c r="U53" s="6"/>
      <c r="V53" s="6"/>
      <c r="W53" s="6" t="str">
        <f t="shared" si="3"/>
        <v>Critico</v>
      </c>
    </row>
    <row r="54" spans="1:23">
      <c r="A54" s="63">
        <f>Inicial!A16</f>
        <v>0</v>
      </c>
      <c r="B54" s="64">
        <f>Inicial!B16</f>
        <v>0</v>
      </c>
      <c r="C54" s="64">
        <f>Inicial!C16</f>
        <v>0</v>
      </c>
      <c r="D54" s="65">
        <f>Inicial!D16</f>
        <v>0</v>
      </c>
      <c r="E54" s="63" t="str">
        <f>IF(Inicial!J16="SI",Inicial!E16,"N/A")</f>
        <v>N/A</v>
      </c>
      <c r="F54" s="64" t="str">
        <f>IF(Inicial!J16="SI",Inicial!F16,"N/A")</f>
        <v>N/A</v>
      </c>
      <c r="G54" s="64" t="str">
        <f>IF(Inicial!J16="SI",Inicial!G16,"N/A")</f>
        <v>N/A</v>
      </c>
      <c r="H54" s="64" t="str">
        <f>IF(Inicial!J16="SI",Inicial!H16,"N/A")</f>
        <v>N/A</v>
      </c>
      <c r="I54" s="66" t="str">
        <f>IF(Inicial!J16="SI",Inicial!I16,"N/A")</f>
        <v>N/A</v>
      </c>
      <c r="P54" s="6" t="str">
        <f t="shared" si="2"/>
        <v>Aceptable</v>
      </c>
      <c r="Q54" s="6"/>
      <c r="R54" s="6"/>
      <c r="S54" s="6"/>
      <c r="T54" s="6"/>
      <c r="U54" s="6"/>
      <c r="V54" s="6"/>
      <c r="W54" s="6" t="str">
        <f t="shared" si="3"/>
        <v>Critico</v>
      </c>
    </row>
    <row r="55" spans="1:23">
      <c r="A55" s="63">
        <f>Inicial!A17</f>
        <v>0</v>
      </c>
      <c r="B55" s="64">
        <f>Inicial!B17</f>
        <v>0</v>
      </c>
      <c r="C55" s="64">
        <f>Inicial!C17</f>
        <v>0</v>
      </c>
      <c r="D55" s="65">
        <f>Inicial!D17</f>
        <v>0</v>
      </c>
      <c r="E55" s="63" t="str">
        <f>IF(Inicial!J17="SI",Inicial!E17,"N/A")</f>
        <v>N/A</v>
      </c>
      <c r="F55" s="64" t="str">
        <f>IF(Inicial!J17="SI",Inicial!F17,"N/A")</f>
        <v>N/A</v>
      </c>
      <c r="G55" s="64" t="str">
        <f>IF(Inicial!J17="SI",Inicial!G17,"N/A")</f>
        <v>N/A</v>
      </c>
      <c r="H55" s="64" t="str">
        <f>IF(Inicial!J17="SI",Inicial!H17,"N/A")</f>
        <v>N/A</v>
      </c>
      <c r="I55" s="66" t="str">
        <f>IF(Inicial!J17="SI",Inicial!I17,"N/A")</f>
        <v>N/A</v>
      </c>
      <c r="P55" s="6" t="str">
        <f t="shared" si="2"/>
        <v>Aceptable</v>
      </c>
      <c r="Q55" s="6"/>
      <c r="R55" s="6"/>
      <c r="S55" s="6"/>
      <c r="T55" s="6"/>
      <c r="U55" s="6"/>
      <c r="V55" s="6"/>
      <c r="W55" s="6" t="str">
        <f t="shared" si="3"/>
        <v>Critico</v>
      </c>
    </row>
    <row r="56" spans="1:23">
      <c r="A56" s="63">
        <f>Inicial!A18</f>
        <v>0</v>
      </c>
      <c r="B56" s="64">
        <f>Inicial!B18</f>
        <v>0</v>
      </c>
      <c r="C56" s="64">
        <f>Inicial!C18</f>
        <v>0</v>
      </c>
      <c r="D56" s="65">
        <f>Inicial!D18</f>
        <v>0</v>
      </c>
      <c r="E56" s="63" t="str">
        <f>IF(Inicial!J18="SI",Inicial!E18,"N/A")</f>
        <v>N/A</v>
      </c>
      <c r="F56" s="64" t="str">
        <f>IF(Inicial!J18="SI",Inicial!F18,"N/A")</f>
        <v>N/A</v>
      </c>
      <c r="G56" s="64" t="str">
        <f>IF(Inicial!J18="SI",Inicial!G18,"N/A")</f>
        <v>N/A</v>
      </c>
      <c r="H56" s="64" t="str">
        <f>IF(Inicial!J18="SI",Inicial!H18,"N/A")</f>
        <v>N/A</v>
      </c>
      <c r="I56" s="66" t="str">
        <f>IF(Inicial!J18="SI",Inicial!I18,"N/A")</f>
        <v>N/A</v>
      </c>
      <c r="P56" s="6" t="str">
        <f t="shared" si="2"/>
        <v>Aceptable</v>
      </c>
      <c r="Q56" s="6"/>
      <c r="R56" s="6"/>
      <c r="S56" s="6"/>
      <c r="T56" s="6"/>
      <c r="U56" s="6"/>
      <c r="V56" s="6"/>
      <c r="W56" s="6" t="str">
        <f t="shared" si="3"/>
        <v>Critico</v>
      </c>
    </row>
    <row r="57" spans="1:23">
      <c r="A57" s="63">
        <f>Inicial!A19</f>
        <v>0</v>
      </c>
      <c r="B57" s="64">
        <f>Inicial!B19</f>
        <v>0</v>
      </c>
      <c r="C57" s="64">
        <f>Inicial!C19</f>
        <v>0</v>
      </c>
      <c r="D57" s="65">
        <f>Inicial!D19</f>
        <v>0</v>
      </c>
      <c r="E57" s="63" t="str">
        <f>IF(Inicial!J19="SI",Inicial!E19,"N/A")</f>
        <v>N/A</v>
      </c>
      <c r="F57" s="64" t="str">
        <f>IF(Inicial!J19="SI",Inicial!F19,"N/A")</f>
        <v>N/A</v>
      </c>
      <c r="G57" s="64" t="str">
        <f>IF(Inicial!J19="SI",Inicial!G19,"N/A")</f>
        <v>N/A</v>
      </c>
      <c r="H57" s="64" t="str">
        <f>IF(Inicial!J19="SI",Inicial!H19,"N/A")</f>
        <v>N/A</v>
      </c>
      <c r="I57" s="66" t="str">
        <f>IF(Inicial!J19="SI",Inicial!I19,"N/A")</f>
        <v>N/A</v>
      </c>
      <c r="P57" s="6" t="str">
        <f t="shared" si="2"/>
        <v>Aceptable</v>
      </c>
      <c r="Q57" s="6"/>
      <c r="R57" s="6"/>
      <c r="S57" s="6"/>
      <c r="T57" s="6"/>
      <c r="U57" s="6"/>
      <c r="V57" s="6"/>
      <c r="W57" s="6" t="str">
        <f t="shared" si="3"/>
        <v>Critico</v>
      </c>
    </row>
    <row r="58" spans="1:23">
      <c r="A58" s="63">
        <f>Inicial!A20</f>
        <v>0</v>
      </c>
      <c r="B58" s="64">
        <f>Inicial!B20</f>
        <v>0</v>
      </c>
      <c r="C58" s="64">
        <f>Inicial!C20</f>
        <v>0</v>
      </c>
      <c r="D58" s="65">
        <f>Inicial!D20</f>
        <v>0</v>
      </c>
      <c r="E58" s="63" t="str">
        <f>IF(Inicial!J20="SI",Inicial!E20,"N/A")</f>
        <v>N/A</v>
      </c>
      <c r="F58" s="64" t="str">
        <f>IF(Inicial!J20="SI",Inicial!F20,"N/A")</f>
        <v>N/A</v>
      </c>
      <c r="G58" s="64" t="str">
        <f>IF(Inicial!J20="SI",Inicial!G20,"N/A")</f>
        <v>N/A</v>
      </c>
      <c r="H58" s="64" t="str">
        <f>IF(Inicial!J20="SI",Inicial!H20,"N/A")</f>
        <v>N/A</v>
      </c>
      <c r="I58" s="66" t="str">
        <f>IF(Inicial!J20="SI",Inicial!I20,"N/A")</f>
        <v>N/A</v>
      </c>
      <c r="P58" s="6" t="str">
        <f t="shared" si="2"/>
        <v>Aceptable</v>
      </c>
      <c r="Q58" s="6"/>
      <c r="R58" s="6"/>
      <c r="S58" s="6"/>
      <c r="T58" s="6"/>
      <c r="U58" s="6"/>
      <c r="V58" s="6"/>
      <c r="W58" s="6" t="str">
        <f t="shared" si="3"/>
        <v>Critico</v>
      </c>
    </row>
    <row r="59" spans="1:23">
      <c r="A59" s="63">
        <f>Inicial!A21</f>
        <v>0</v>
      </c>
      <c r="B59" s="64">
        <f>Inicial!B21</f>
        <v>0</v>
      </c>
      <c r="C59" s="64">
        <f>Inicial!C21</f>
        <v>0</v>
      </c>
      <c r="D59" s="65">
        <f>Inicial!D21</f>
        <v>0</v>
      </c>
      <c r="E59" s="63" t="str">
        <f>IF(Inicial!J21="SI",Inicial!E21,"N/A")</f>
        <v>N/A</v>
      </c>
      <c r="F59" s="64" t="str">
        <f>IF(Inicial!J21="SI",Inicial!F21,"N/A")</f>
        <v>N/A</v>
      </c>
      <c r="G59" s="64" t="str">
        <f>IF(Inicial!J21="SI",Inicial!G21,"N/A")</f>
        <v>N/A</v>
      </c>
      <c r="H59" s="64" t="str">
        <f>IF(Inicial!J21="SI",Inicial!H21,"N/A")</f>
        <v>N/A</v>
      </c>
      <c r="I59" s="66" t="str">
        <f>IF(Inicial!J21="SI",Inicial!I21,"N/A")</f>
        <v>N/A</v>
      </c>
      <c r="P59" s="6" t="str">
        <f t="shared" si="2"/>
        <v>Aceptable</v>
      </c>
      <c r="Q59" s="6"/>
      <c r="R59" s="6"/>
      <c r="S59" s="6"/>
      <c r="T59" s="6"/>
      <c r="U59" s="6"/>
      <c r="V59" s="6"/>
      <c r="W59" s="6" t="str">
        <f t="shared" si="3"/>
        <v>Critico</v>
      </c>
    </row>
    <row r="60" spans="1:23">
      <c r="A60" s="63">
        <f>Inicial!A22</f>
        <v>0</v>
      </c>
      <c r="B60" s="64">
        <f>Inicial!B22</f>
        <v>0</v>
      </c>
      <c r="C60" s="64">
        <f>Inicial!C22</f>
        <v>0</v>
      </c>
      <c r="D60" s="65">
        <f>Inicial!D22</f>
        <v>0</v>
      </c>
      <c r="E60" s="63" t="str">
        <f>IF(Inicial!J22="SI",Inicial!E22,"N/A")</f>
        <v>N/A</v>
      </c>
      <c r="F60" s="64" t="str">
        <f>IF(Inicial!J22="SI",Inicial!F22,"N/A")</f>
        <v>N/A</v>
      </c>
      <c r="G60" s="64" t="str">
        <f>IF(Inicial!J22="SI",Inicial!G22,"N/A")</f>
        <v>N/A</v>
      </c>
      <c r="H60" s="64" t="str">
        <f>IF(Inicial!J22="SI",Inicial!H22,"N/A")</f>
        <v>N/A</v>
      </c>
      <c r="I60" s="66" t="str">
        <f>IF(Inicial!J22="SI",Inicial!I22,"N/A")</f>
        <v>N/A</v>
      </c>
      <c r="P60" s="6" t="str">
        <f t="shared" si="2"/>
        <v>Aceptable</v>
      </c>
      <c r="Q60" s="6"/>
      <c r="R60" s="6"/>
      <c r="S60" s="6"/>
      <c r="T60" s="6"/>
      <c r="U60" s="6"/>
      <c r="V60" s="6"/>
      <c r="W60" s="6" t="str">
        <f t="shared" si="3"/>
        <v>Critico</v>
      </c>
    </row>
    <row r="61" spans="1:23">
      <c r="A61" s="63">
        <f>Inicial!A23</f>
        <v>0</v>
      </c>
      <c r="B61" s="64">
        <f>Inicial!B23</f>
        <v>0</v>
      </c>
      <c r="C61" s="64">
        <f>Inicial!C23</f>
        <v>0</v>
      </c>
      <c r="D61" s="65">
        <f>Inicial!D23</f>
        <v>0</v>
      </c>
      <c r="E61" s="63" t="str">
        <f>IF(Inicial!J23="SI",Inicial!E23,"N/A")</f>
        <v>N/A</v>
      </c>
      <c r="F61" s="64" t="str">
        <f>IF(Inicial!J23="SI",Inicial!F23,"N/A")</f>
        <v>N/A</v>
      </c>
      <c r="G61" s="64" t="str">
        <f>IF(Inicial!J23="SI",Inicial!G23,"N/A")</f>
        <v>N/A</v>
      </c>
      <c r="H61" s="64" t="str">
        <f>IF(Inicial!J23="SI",Inicial!H23,"N/A")</f>
        <v>N/A</v>
      </c>
      <c r="I61" s="66" t="str">
        <f>IF(Inicial!J23="SI",Inicial!I23,"N/A")</f>
        <v>N/A</v>
      </c>
      <c r="P61" s="6" t="str">
        <f t="shared" si="2"/>
        <v>Aceptable</v>
      </c>
      <c r="Q61" s="6"/>
      <c r="R61" s="6"/>
      <c r="S61" s="6"/>
      <c r="T61" s="6"/>
      <c r="U61" s="6"/>
      <c r="V61" s="6"/>
      <c r="W61" s="6" t="str">
        <f t="shared" si="3"/>
        <v>Critico</v>
      </c>
    </row>
    <row r="62" spans="1:23">
      <c r="A62" s="63">
        <f>Inicial!A24</f>
        <v>0</v>
      </c>
      <c r="B62" s="64">
        <f>Inicial!B24</f>
        <v>0</v>
      </c>
      <c r="C62" s="64">
        <f>Inicial!C24</f>
        <v>0</v>
      </c>
      <c r="D62" s="65">
        <f>Inicial!D24</f>
        <v>0</v>
      </c>
      <c r="E62" s="63" t="str">
        <f>IF(Inicial!J24="SI",Inicial!E24,"N/A")</f>
        <v>N/A</v>
      </c>
      <c r="F62" s="64" t="str">
        <f>IF(Inicial!J24="SI",Inicial!F24,"N/A")</f>
        <v>N/A</v>
      </c>
      <c r="G62" s="64" t="str">
        <f>IF(Inicial!J24="SI",Inicial!G24,"N/A")</f>
        <v>N/A</v>
      </c>
      <c r="H62" s="64" t="str">
        <f>IF(Inicial!J24="SI",Inicial!H24,"N/A")</f>
        <v>N/A</v>
      </c>
      <c r="I62" s="66" t="str">
        <f>IF(Inicial!J24="SI",Inicial!I24,"N/A")</f>
        <v>N/A</v>
      </c>
      <c r="P62" s="6" t="str">
        <f t="shared" si="2"/>
        <v>Aceptable</v>
      </c>
      <c r="Q62" s="6"/>
      <c r="R62" s="6"/>
      <c r="S62" s="6"/>
      <c r="T62" s="6"/>
      <c r="U62" s="6"/>
      <c r="V62" s="6"/>
      <c r="W62" s="6" t="str">
        <f t="shared" si="3"/>
        <v>Critico</v>
      </c>
    </row>
    <row r="63" spans="1:23">
      <c r="A63" s="63">
        <f>Inicial!A25</f>
        <v>0</v>
      </c>
      <c r="B63" s="64">
        <f>Inicial!B25</f>
        <v>0</v>
      </c>
      <c r="C63" s="64">
        <f>Inicial!C25</f>
        <v>0</v>
      </c>
      <c r="D63" s="65">
        <f>Inicial!D25</f>
        <v>0</v>
      </c>
      <c r="E63" s="63" t="str">
        <f>IF(Inicial!J25="SI",Inicial!E25,"N/A")</f>
        <v>N/A</v>
      </c>
      <c r="F63" s="64" t="str">
        <f>IF(Inicial!J25="SI",Inicial!F25,"N/A")</f>
        <v>N/A</v>
      </c>
      <c r="G63" s="64" t="str">
        <f>IF(Inicial!J25="SI",Inicial!G25,"N/A")</f>
        <v>N/A</v>
      </c>
      <c r="H63" s="64" t="str">
        <f>IF(Inicial!J25="SI",Inicial!H25,"N/A")</f>
        <v>N/A</v>
      </c>
      <c r="I63" s="66" t="str">
        <f>IF(Inicial!J25="SI",Inicial!I25,"N/A")</f>
        <v>N/A</v>
      </c>
      <c r="P63" s="6" t="str">
        <f t="shared" si="2"/>
        <v>Aceptable</v>
      </c>
      <c r="Q63" s="6"/>
      <c r="R63" s="6"/>
      <c r="S63" s="6"/>
      <c r="T63" s="6"/>
      <c r="U63" s="6"/>
      <c r="V63" s="6"/>
      <c r="W63" s="6" t="str">
        <f t="shared" si="3"/>
        <v>Critico</v>
      </c>
    </row>
    <row r="64" spans="1:23">
      <c r="A64" s="63">
        <f>Inicial!A26</f>
        <v>0</v>
      </c>
      <c r="B64" s="64">
        <f>Inicial!B26</f>
        <v>0</v>
      </c>
      <c r="C64" s="64">
        <f>Inicial!C26</f>
        <v>0</v>
      </c>
      <c r="D64" s="65">
        <f>Inicial!D26</f>
        <v>0</v>
      </c>
      <c r="E64" s="63" t="str">
        <f>IF(Inicial!J26="SI",Inicial!E26,"N/A")</f>
        <v>N/A</v>
      </c>
      <c r="F64" s="64" t="str">
        <f>IF(Inicial!J26="SI",Inicial!F26,"N/A")</f>
        <v>N/A</v>
      </c>
      <c r="G64" s="64" t="str">
        <f>IF(Inicial!J26="SI",Inicial!G26,"N/A")</f>
        <v>N/A</v>
      </c>
      <c r="H64" s="64" t="str">
        <f>IF(Inicial!J26="SI",Inicial!H26,"N/A")</f>
        <v>N/A</v>
      </c>
      <c r="I64" s="66" t="str">
        <f>IF(Inicial!J26="SI",Inicial!I26,"N/A")</f>
        <v>N/A</v>
      </c>
      <c r="P64" s="6" t="str">
        <f t="shared" si="2"/>
        <v>Aceptable</v>
      </c>
      <c r="Q64" s="6"/>
      <c r="R64" s="6"/>
      <c r="S64" s="6"/>
      <c r="T64" s="6"/>
      <c r="U64" s="6"/>
      <c r="V64" s="6"/>
      <c r="W64" s="6" t="str">
        <f t="shared" si="3"/>
        <v>Critico</v>
      </c>
    </row>
    <row r="65" spans="1:23">
      <c r="A65" s="63">
        <f>Inicial!A27</f>
        <v>0</v>
      </c>
      <c r="B65" s="64">
        <f>Inicial!B27</f>
        <v>0</v>
      </c>
      <c r="C65" s="64">
        <f>Inicial!C27</f>
        <v>0</v>
      </c>
      <c r="D65" s="65">
        <f>Inicial!D27</f>
        <v>0</v>
      </c>
      <c r="E65" s="63" t="str">
        <f>IF(Inicial!J27="SI",Inicial!E27,"N/A")</f>
        <v>N/A</v>
      </c>
      <c r="F65" s="64" t="str">
        <f>IF(Inicial!J27="SI",Inicial!F27,"N/A")</f>
        <v>N/A</v>
      </c>
      <c r="G65" s="64" t="str">
        <f>IF(Inicial!J27="SI",Inicial!G27,"N/A")</f>
        <v>N/A</v>
      </c>
      <c r="H65" s="64" t="str">
        <f>IF(Inicial!J27="SI",Inicial!H27,"N/A")</f>
        <v>N/A</v>
      </c>
      <c r="I65" s="66" t="str">
        <f>IF(Inicial!J27="SI",Inicial!I27,"N/A")</f>
        <v>N/A</v>
      </c>
      <c r="P65" s="6" t="str">
        <f t="shared" si="2"/>
        <v>Aceptable</v>
      </c>
      <c r="Q65" s="6"/>
      <c r="R65" s="6"/>
      <c r="S65" s="6"/>
      <c r="T65" s="6"/>
      <c r="U65" s="6"/>
      <c r="V65" s="6"/>
      <c r="W65" s="6" t="str">
        <f t="shared" si="3"/>
        <v>Critico</v>
      </c>
    </row>
    <row r="66" spans="1:23">
      <c r="A66" s="63">
        <f>Inicial!A28</f>
        <v>0</v>
      </c>
      <c r="B66" s="64">
        <f>Inicial!B28</f>
        <v>0</v>
      </c>
      <c r="C66" s="64">
        <f>Inicial!C28</f>
        <v>0</v>
      </c>
      <c r="D66" s="65">
        <f>Inicial!D28</f>
        <v>0</v>
      </c>
      <c r="E66" s="63" t="str">
        <f>IF(Inicial!J28="SI",Inicial!E28,"N/A")</f>
        <v>N/A</v>
      </c>
      <c r="F66" s="64" t="str">
        <f>IF(Inicial!J28="SI",Inicial!F28,"N/A")</f>
        <v>N/A</v>
      </c>
      <c r="G66" s="64" t="str">
        <f>IF(Inicial!J28="SI",Inicial!G28,"N/A")</f>
        <v>N/A</v>
      </c>
      <c r="H66" s="64" t="str">
        <f>IF(Inicial!J28="SI",Inicial!H28,"N/A")</f>
        <v>N/A</v>
      </c>
      <c r="I66" s="66" t="str">
        <f>IF(Inicial!J28="SI",Inicial!I28,"N/A")</f>
        <v>N/A</v>
      </c>
      <c r="P66" s="6" t="str">
        <f t="shared" si="2"/>
        <v>Aceptable</v>
      </c>
      <c r="Q66" s="6"/>
      <c r="R66" s="6"/>
      <c r="S66" s="6"/>
      <c r="T66" s="6"/>
      <c r="U66" s="6"/>
      <c r="V66" s="6"/>
      <c r="W66" s="6" t="str">
        <f t="shared" si="3"/>
        <v>Critico</v>
      </c>
    </row>
    <row r="67" spans="1:23">
      <c r="A67" s="63">
        <f>Inicial!A29</f>
        <v>0</v>
      </c>
      <c r="B67" s="64">
        <f>Inicial!B29</f>
        <v>0</v>
      </c>
      <c r="C67" s="64">
        <f>Inicial!C29</f>
        <v>0</v>
      </c>
      <c r="D67" s="65">
        <f>Inicial!D29</f>
        <v>0</v>
      </c>
      <c r="E67" s="63" t="str">
        <f>IF(Inicial!J29="SI",Inicial!E29,"N/A")</f>
        <v>N/A</v>
      </c>
      <c r="F67" s="64" t="str">
        <f>IF(Inicial!J29="SI",Inicial!F29,"N/A")</f>
        <v>N/A</v>
      </c>
      <c r="G67" s="64" t="str">
        <f>IF(Inicial!J29="SI",Inicial!G29,"N/A")</f>
        <v>N/A</v>
      </c>
      <c r="H67" s="64" t="str">
        <f>IF(Inicial!J29="SI",Inicial!H29,"N/A")</f>
        <v>N/A</v>
      </c>
      <c r="I67" s="66" t="str">
        <f>IF(Inicial!J29="SI",Inicial!I29,"N/A")</f>
        <v>N/A</v>
      </c>
      <c r="P67" s="6" t="str">
        <f t="shared" si="2"/>
        <v>Aceptable</v>
      </c>
      <c r="Q67" s="6"/>
      <c r="R67" s="6"/>
      <c r="S67" s="6"/>
      <c r="T67" s="6"/>
      <c r="U67" s="6"/>
      <c r="V67" s="6"/>
      <c r="W67" s="6" t="str">
        <f t="shared" si="3"/>
        <v>Critico</v>
      </c>
    </row>
    <row r="68" spans="1:23">
      <c r="A68" s="63">
        <f>Inicial!A30</f>
        <v>0</v>
      </c>
      <c r="B68" s="64">
        <f>Inicial!B30</f>
        <v>0</v>
      </c>
      <c r="C68" s="64">
        <f>Inicial!C30</f>
        <v>0</v>
      </c>
      <c r="D68" s="65">
        <f>Inicial!D30</f>
        <v>0</v>
      </c>
      <c r="E68" s="63" t="str">
        <f>IF(Inicial!J30="SI",Inicial!E30,"N/A")</f>
        <v>N/A</v>
      </c>
      <c r="F68" s="64" t="str">
        <f>IF(Inicial!J30="SI",Inicial!F30,"N/A")</f>
        <v>N/A</v>
      </c>
      <c r="G68" s="64" t="str">
        <f>IF(Inicial!J30="SI",Inicial!G30,"N/A")</f>
        <v>N/A</v>
      </c>
      <c r="H68" s="64" t="str">
        <f>IF(Inicial!J30="SI",Inicial!H30,"N/A")</f>
        <v>N/A</v>
      </c>
      <c r="I68" s="66" t="str">
        <f>IF(Inicial!J30="SI",Inicial!I30,"N/A")</f>
        <v>N/A</v>
      </c>
      <c r="P68" s="6" t="str">
        <f t="shared" ref="P68:P131" si="4">IF(OR(J68="NO",K68="NO",L68="NO",M68="NO",N68="NO",O68="NO"),"No Aceptable","Aceptable")</f>
        <v>Aceptable</v>
      </c>
      <c r="Q68" s="6"/>
      <c r="R68" s="6"/>
      <c r="S68" s="6"/>
      <c r="T68" s="6"/>
      <c r="U68" s="6"/>
      <c r="V68" s="6"/>
      <c r="W68" s="6" t="str">
        <f t="shared" ref="W68:W131" si="5">IF(AND(Q68="NO",R68="NO",S68="NO",T68="NO",U68="NO",V68="NO"),"No Critico","Critico")</f>
        <v>Critico</v>
      </c>
    </row>
    <row r="69" spans="1:23">
      <c r="A69" s="63">
        <f>Inicial!A31</f>
        <v>0</v>
      </c>
      <c r="B69" s="64">
        <f>Inicial!B31</f>
        <v>0</v>
      </c>
      <c r="C69" s="64">
        <f>Inicial!C31</f>
        <v>0</v>
      </c>
      <c r="D69" s="65">
        <f>Inicial!D31</f>
        <v>0</v>
      </c>
      <c r="E69" s="63" t="str">
        <f>IF(Inicial!J31="SI",Inicial!E31,"N/A")</f>
        <v>N/A</v>
      </c>
      <c r="F69" s="64" t="str">
        <f>IF(Inicial!J31="SI",Inicial!F31,"N/A")</f>
        <v>N/A</v>
      </c>
      <c r="G69" s="64" t="str">
        <f>IF(Inicial!J31="SI",Inicial!G31,"N/A")</f>
        <v>N/A</v>
      </c>
      <c r="H69" s="64" t="str">
        <f>IF(Inicial!J31="SI",Inicial!H31,"N/A")</f>
        <v>N/A</v>
      </c>
      <c r="I69" s="66" t="str">
        <f>IF(Inicial!J31="SI",Inicial!I31,"N/A")</f>
        <v>N/A</v>
      </c>
      <c r="P69" s="6" t="str">
        <f t="shared" si="4"/>
        <v>Aceptable</v>
      </c>
      <c r="Q69" s="6"/>
      <c r="R69" s="6"/>
      <c r="S69" s="6"/>
      <c r="T69" s="6"/>
      <c r="U69" s="6"/>
      <c r="V69" s="6"/>
      <c r="W69" s="6" t="str">
        <f t="shared" si="5"/>
        <v>Critico</v>
      </c>
    </row>
    <row r="70" spans="1:23">
      <c r="A70" s="63">
        <f>Inicial!A32</f>
        <v>0</v>
      </c>
      <c r="B70" s="64">
        <f>Inicial!B32</f>
        <v>0</v>
      </c>
      <c r="C70" s="64">
        <f>Inicial!C32</f>
        <v>0</v>
      </c>
      <c r="D70" s="65">
        <f>Inicial!D32</f>
        <v>0</v>
      </c>
      <c r="E70" s="63" t="str">
        <f>IF(Inicial!J32="SI",Inicial!E32,"N/A")</f>
        <v>N/A</v>
      </c>
      <c r="F70" s="64" t="str">
        <f>IF(Inicial!J32="SI",Inicial!F32,"N/A")</f>
        <v>N/A</v>
      </c>
      <c r="G70" s="64" t="str">
        <f>IF(Inicial!J32="SI",Inicial!G32,"N/A")</f>
        <v>N/A</v>
      </c>
      <c r="H70" s="64" t="str">
        <f>IF(Inicial!J32="SI",Inicial!H32,"N/A")</f>
        <v>N/A</v>
      </c>
      <c r="I70" s="66" t="str">
        <f>IF(Inicial!J32="SI",Inicial!I32,"N/A")</f>
        <v>N/A</v>
      </c>
      <c r="P70" s="6" t="str">
        <f t="shared" si="4"/>
        <v>Aceptable</v>
      </c>
      <c r="Q70" s="6"/>
      <c r="R70" s="6"/>
      <c r="S70" s="6"/>
      <c r="T70" s="6"/>
      <c r="U70" s="6"/>
      <c r="V70" s="6"/>
      <c r="W70" s="6" t="str">
        <f t="shared" si="5"/>
        <v>Critico</v>
      </c>
    </row>
    <row r="71" spans="1:23">
      <c r="A71" s="63">
        <f>Inicial!A33</f>
        <v>0</v>
      </c>
      <c r="B71" s="64">
        <f>Inicial!B33</f>
        <v>0</v>
      </c>
      <c r="C71" s="64">
        <f>Inicial!C33</f>
        <v>0</v>
      </c>
      <c r="D71" s="65">
        <f>Inicial!D33</f>
        <v>0</v>
      </c>
      <c r="E71" s="63" t="str">
        <f>IF(Inicial!J33="SI",Inicial!E33,"N/A")</f>
        <v>N/A</v>
      </c>
      <c r="F71" s="64" t="str">
        <f>IF(Inicial!J33="SI",Inicial!F33,"N/A")</f>
        <v>N/A</v>
      </c>
      <c r="G71" s="64" t="str">
        <f>IF(Inicial!J33="SI",Inicial!G33,"N/A")</f>
        <v>N/A</v>
      </c>
      <c r="H71" s="64" t="str">
        <f>IF(Inicial!J33="SI",Inicial!H33,"N/A")</f>
        <v>N/A</v>
      </c>
      <c r="I71" s="66" t="str">
        <f>IF(Inicial!J33="SI",Inicial!I33,"N/A")</f>
        <v>N/A</v>
      </c>
      <c r="P71" s="6" t="str">
        <f t="shared" si="4"/>
        <v>Aceptable</v>
      </c>
      <c r="Q71" s="6"/>
      <c r="R71" s="6"/>
      <c r="S71" s="6"/>
      <c r="T71" s="6"/>
      <c r="U71" s="6"/>
      <c r="V71" s="6"/>
      <c r="W71" s="6" t="str">
        <f t="shared" si="5"/>
        <v>Critico</v>
      </c>
    </row>
    <row r="72" spans="1:23">
      <c r="A72" s="63">
        <f>Inicial!A34</f>
        <v>0</v>
      </c>
      <c r="B72" s="64">
        <f>Inicial!B34</f>
        <v>0</v>
      </c>
      <c r="C72" s="64">
        <f>Inicial!C34</f>
        <v>0</v>
      </c>
      <c r="D72" s="65">
        <f>Inicial!D34</f>
        <v>0</v>
      </c>
      <c r="E72" s="63" t="str">
        <f>IF(Inicial!J34="SI",Inicial!E34,"N/A")</f>
        <v>N/A</v>
      </c>
      <c r="F72" s="64" t="str">
        <f>IF(Inicial!J34="SI",Inicial!F34,"N/A")</f>
        <v>N/A</v>
      </c>
      <c r="G72" s="64" t="str">
        <f>IF(Inicial!J34="SI",Inicial!G34,"N/A")</f>
        <v>N/A</v>
      </c>
      <c r="H72" s="64" t="str">
        <f>IF(Inicial!J34="SI",Inicial!H34,"N/A")</f>
        <v>N/A</v>
      </c>
      <c r="I72" s="66" t="str">
        <f>IF(Inicial!J34="SI",Inicial!I34,"N/A")</f>
        <v>N/A</v>
      </c>
      <c r="P72" s="6" t="str">
        <f t="shared" si="4"/>
        <v>Aceptable</v>
      </c>
      <c r="Q72" s="6"/>
      <c r="R72" s="6"/>
      <c r="S72" s="6"/>
      <c r="T72" s="6"/>
      <c r="U72" s="6"/>
      <c r="V72" s="6"/>
      <c r="W72" s="6" t="str">
        <f t="shared" si="5"/>
        <v>Critico</v>
      </c>
    </row>
    <row r="73" spans="1:23">
      <c r="A73" s="63">
        <f>Inicial!A35</f>
        <v>0</v>
      </c>
      <c r="B73" s="64">
        <f>Inicial!B35</f>
        <v>0</v>
      </c>
      <c r="C73" s="64">
        <f>Inicial!C35</f>
        <v>0</v>
      </c>
      <c r="D73" s="65">
        <f>Inicial!D35</f>
        <v>0</v>
      </c>
      <c r="E73" s="63" t="str">
        <f>IF(Inicial!J35="SI",Inicial!E35,"N/A")</f>
        <v>N/A</v>
      </c>
      <c r="F73" s="64" t="str">
        <f>IF(Inicial!J35="SI",Inicial!F35,"N/A")</f>
        <v>N/A</v>
      </c>
      <c r="G73" s="64" t="str">
        <f>IF(Inicial!J35="SI",Inicial!G35,"N/A")</f>
        <v>N/A</v>
      </c>
      <c r="H73" s="64" t="str">
        <f>IF(Inicial!J35="SI",Inicial!H35,"N/A")</f>
        <v>N/A</v>
      </c>
      <c r="I73" s="66" t="str">
        <f>IF(Inicial!J35="SI",Inicial!I35,"N/A")</f>
        <v>N/A</v>
      </c>
      <c r="P73" s="6" t="str">
        <f t="shared" si="4"/>
        <v>Aceptable</v>
      </c>
      <c r="Q73" s="6"/>
      <c r="R73" s="6"/>
      <c r="S73" s="6"/>
      <c r="T73" s="6"/>
      <c r="U73" s="6"/>
      <c r="V73" s="6"/>
      <c r="W73" s="6" t="str">
        <f t="shared" si="5"/>
        <v>Critico</v>
      </c>
    </row>
    <row r="74" spans="1:23">
      <c r="A74" s="63">
        <f>Inicial!A36</f>
        <v>0</v>
      </c>
      <c r="B74" s="64">
        <f>Inicial!B36</f>
        <v>0</v>
      </c>
      <c r="C74" s="64">
        <f>Inicial!C36</f>
        <v>0</v>
      </c>
      <c r="D74" s="65">
        <f>Inicial!D36</f>
        <v>0</v>
      </c>
      <c r="E74" s="63" t="str">
        <f>IF(Inicial!J36="SI",Inicial!E36,"N/A")</f>
        <v>N/A</v>
      </c>
      <c r="F74" s="64" t="str">
        <f>IF(Inicial!J36="SI",Inicial!F36,"N/A")</f>
        <v>N/A</v>
      </c>
      <c r="G74" s="64" t="str">
        <f>IF(Inicial!J36="SI",Inicial!G36,"N/A")</f>
        <v>N/A</v>
      </c>
      <c r="H74" s="64" t="str">
        <f>IF(Inicial!J36="SI",Inicial!H36,"N/A")</f>
        <v>N/A</v>
      </c>
      <c r="I74" s="66" t="str">
        <f>IF(Inicial!J36="SI",Inicial!I36,"N/A")</f>
        <v>N/A</v>
      </c>
      <c r="P74" s="6" t="str">
        <f t="shared" si="4"/>
        <v>Aceptable</v>
      </c>
      <c r="Q74" s="6"/>
      <c r="R74" s="6"/>
      <c r="S74" s="6"/>
      <c r="T74" s="6"/>
      <c r="U74" s="6"/>
      <c r="V74" s="6"/>
      <c r="W74" s="6" t="str">
        <f t="shared" si="5"/>
        <v>Critico</v>
      </c>
    </row>
    <row r="75" spans="1:23">
      <c r="A75" s="63">
        <f>Inicial!A37</f>
        <v>0</v>
      </c>
      <c r="B75" s="64">
        <f>Inicial!B37</f>
        <v>0</v>
      </c>
      <c r="C75" s="64">
        <f>Inicial!C37</f>
        <v>0</v>
      </c>
      <c r="D75" s="65">
        <f>Inicial!D37</f>
        <v>0</v>
      </c>
      <c r="E75" s="63" t="str">
        <f>IF(Inicial!J37="SI",Inicial!E37,"N/A")</f>
        <v>N/A</v>
      </c>
      <c r="F75" s="64" t="str">
        <f>IF(Inicial!J37="SI",Inicial!F37,"N/A")</f>
        <v>N/A</v>
      </c>
      <c r="G75" s="64" t="str">
        <f>IF(Inicial!J37="SI",Inicial!G37,"N/A")</f>
        <v>N/A</v>
      </c>
      <c r="H75" s="64" t="str">
        <f>IF(Inicial!J37="SI",Inicial!H37,"N/A")</f>
        <v>N/A</v>
      </c>
      <c r="I75" s="66" t="str">
        <f>IF(Inicial!J37="SI",Inicial!I37,"N/A")</f>
        <v>N/A</v>
      </c>
      <c r="P75" s="6" t="str">
        <f t="shared" si="4"/>
        <v>Aceptable</v>
      </c>
      <c r="Q75" s="6"/>
      <c r="R75" s="6"/>
      <c r="S75" s="6"/>
      <c r="T75" s="6"/>
      <c r="U75" s="6"/>
      <c r="V75" s="6"/>
      <c r="W75" s="6" t="str">
        <f t="shared" si="5"/>
        <v>Critico</v>
      </c>
    </row>
    <row r="76" spans="1:23">
      <c r="A76" s="63">
        <f>Inicial!A38</f>
        <v>0</v>
      </c>
      <c r="B76" s="64">
        <f>Inicial!B38</f>
        <v>0</v>
      </c>
      <c r="C76" s="64">
        <f>Inicial!C38</f>
        <v>0</v>
      </c>
      <c r="D76" s="65">
        <f>Inicial!D38</f>
        <v>0</v>
      </c>
      <c r="E76" s="63" t="str">
        <f>IF(Inicial!J38="SI",Inicial!E38,"N/A")</f>
        <v>N/A</v>
      </c>
      <c r="F76" s="64" t="str">
        <f>IF(Inicial!J38="SI",Inicial!F38,"N/A")</f>
        <v>N/A</v>
      </c>
      <c r="G76" s="64" t="str">
        <f>IF(Inicial!J38="SI",Inicial!G38,"N/A")</f>
        <v>N/A</v>
      </c>
      <c r="H76" s="64" t="str">
        <f>IF(Inicial!J38="SI",Inicial!H38,"N/A")</f>
        <v>N/A</v>
      </c>
      <c r="I76" s="66" t="str">
        <f>IF(Inicial!J38="SI",Inicial!I38,"N/A")</f>
        <v>N/A</v>
      </c>
      <c r="P76" s="6" t="str">
        <f t="shared" si="4"/>
        <v>Aceptable</v>
      </c>
      <c r="Q76" s="6"/>
      <c r="R76" s="6"/>
      <c r="S76" s="6"/>
      <c r="T76" s="6"/>
      <c r="U76" s="6"/>
      <c r="V76" s="6"/>
      <c r="W76" s="6" t="str">
        <f t="shared" si="5"/>
        <v>Critico</v>
      </c>
    </row>
    <row r="77" spans="1:23">
      <c r="A77" s="63">
        <f>Inicial!A39</f>
        <v>0</v>
      </c>
      <c r="B77" s="64">
        <f>Inicial!B39</f>
        <v>0</v>
      </c>
      <c r="C77" s="64">
        <f>Inicial!C39</f>
        <v>0</v>
      </c>
      <c r="D77" s="65">
        <f>Inicial!D39</f>
        <v>0</v>
      </c>
      <c r="E77" s="63" t="str">
        <f>IF(Inicial!J39="SI",Inicial!E39,"N/A")</f>
        <v>N/A</v>
      </c>
      <c r="F77" s="64" t="str">
        <f>IF(Inicial!J39="SI",Inicial!F39,"N/A")</f>
        <v>N/A</v>
      </c>
      <c r="G77" s="64" t="str">
        <f>IF(Inicial!J39="SI",Inicial!G39,"N/A")</f>
        <v>N/A</v>
      </c>
      <c r="H77" s="64" t="str">
        <f>IF(Inicial!J39="SI",Inicial!H39,"N/A")</f>
        <v>N/A</v>
      </c>
      <c r="I77" s="66" t="str">
        <f>IF(Inicial!J39="SI",Inicial!I39,"N/A")</f>
        <v>N/A</v>
      </c>
      <c r="P77" s="6" t="str">
        <f t="shared" si="4"/>
        <v>Aceptable</v>
      </c>
      <c r="Q77" s="6"/>
      <c r="R77" s="6"/>
      <c r="S77" s="6"/>
      <c r="T77" s="6"/>
      <c r="U77" s="6"/>
      <c r="V77" s="6"/>
      <c r="W77" s="6" t="str">
        <f t="shared" si="5"/>
        <v>Critico</v>
      </c>
    </row>
    <row r="78" spans="1:23">
      <c r="A78" s="63">
        <f>Inicial!A40</f>
        <v>0</v>
      </c>
      <c r="B78" s="64">
        <f>Inicial!B40</f>
        <v>0</v>
      </c>
      <c r="C78" s="64">
        <f>Inicial!C40</f>
        <v>0</v>
      </c>
      <c r="D78" s="65">
        <f>Inicial!D40</f>
        <v>0</v>
      </c>
      <c r="E78" s="63" t="str">
        <f>IF(Inicial!J40="SI",Inicial!E40,"N/A")</f>
        <v>N/A</v>
      </c>
      <c r="F78" s="64" t="str">
        <f>IF(Inicial!J40="SI",Inicial!F40,"N/A")</f>
        <v>N/A</v>
      </c>
      <c r="G78" s="64" t="str">
        <f>IF(Inicial!J40="SI",Inicial!G40,"N/A")</f>
        <v>N/A</v>
      </c>
      <c r="H78" s="64" t="str">
        <f>IF(Inicial!J40="SI",Inicial!H40,"N/A")</f>
        <v>N/A</v>
      </c>
      <c r="I78" s="66" t="str">
        <f>IF(Inicial!J40="SI",Inicial!I40,"N/A")</f>
        <v>N/A</v>
      </c>
      <c r="P78" s="6" t="str">
        <f t="shared" si="4"/>
        <v>Aceptable</v>
      </c>
      <c r="Q78" s="6"/>
      <c r="R78" s="6"/>
      <c r="S78" s="6"/>
      <c r="T78" s="6"/>
      <c r="U78" s="6"/>
      <c r="V78" s="6"/>
      <c r="W78" s="6" t="str">
        <f t="shared" si="5"/>
        <v>Critico</v>
      </c>
    </row>
    <row r="79" spans="1:23">
      <c r="A79" s="63">
        <f>Inicial!A41</f>
        <v>0</v>
      </c>
      <c r="B79" s="64">
        <f>Inicial!B41</f>
        <v>0</v>
      </c>
      <c r="C79" s="64">
        <f>Inicial!C41</f>
        <v>0</v>
      </c>
      <c r="D79" s="65">
        <f>Inicial!D41</f>
        <v>0</v>
      </c>
      <c r="E79" s="63" t="str">
        <f>IF(Inicial!J41="SI",Inicial!E41,"N/A")</f>
        <v>N/A</v>
      </c>
      <c r="F79" s="64" t="str">
        <f>IF(Inicial!J41="SI",Inicial!F41,"N/A")</f>
        <v>N/A</v>
      </c>
      <c r="G79" s="64" t="str">
        <f>IF(Inicial!J41="SI",Inicial!G41,"N/A")</f>
        <v>N/A</v>
      </c>
      <c r="H79" s="64" t="str">
        <f>IF(Inicial!J41="SI",Inicial!H41,"N/A")</f>
        <v>N/A</v>
      </c>
      <c r="I79" s="66" t="str">
        <f>IF(Inicial!J41="SI",Inicial!I41,"N/A")</f>
        <v>N/A</v>
      </c>
      <c r="P79" s="6" t="str">
        <f t="shared" si="4"/>
        <v>Aceptable</v>
      </c>
      <c r="Q79" s="6"/>
      <c r="R79" s="6"/>
      <c r="S79" s="6"/>
      <c r="T79" s="6"/>
      <c r="U79" s="6"/>
      <c r="V79" s="6"/>
      <c r="W79" s="6" t="str">
        <f t="shared" si="5"/>
        <v>Critico</v>
      </c>
    </row>
    <row r="80" spans="1:23">
      <c r="A80" s="63">
        <f>Inicial!A42</f>
        <v>0</v>
      </c>
      <c r="B80" s="64">
        <f>Inicial!B42</f>
        <v>0</v>
      </c>
      <c r="C80" s="64">
        <f>Inicial!C42</f>
        <v>0</v>
      </c>
      <c r="D80" s="65">
        <f>Inicial!D42</f>
        <v>0</v>
      </c>
      <c r="E80" s="63" t="str">
        <f>IF(Inicial!J42="SI",Inicial!E42,"N/A")</f>
        <v>N/A</v>
      </c>
      <c r="F80" s="64" t="str">
        <f>IF(Inicial!J42="SI",Inicial!F42,"N/A")</f>
        <v>N/A</v>
      </c>
      <c r="G80" s="64" t="str">
        <f>IF(Inicial!J42="SI",Inicial!G42,"N/A")</f>
        <v>N/A</v>
      </c>
      <c r="H80" s="64" t="str">
        <f>IF(Inicial!J42="SI",Inicial!H42,"N/A")</f>
        <v>N/A</v>
      </c>
      <c r="I80" s="66" t="str">
        <f>IF(Inicial!J42="SI",Inicial!I42,"N/A")</f>
        <v>N/A</v>
      </c>
      <c r="P80" s="6" t="str">
        <f t="shared" si="4"/>
        <v>Aceptable</v>
      </c>
      <c r="Q80" s="6"/>
      <c r="R80" s="6"/>
      <c r="S80" s="6"/>
      <c r="T80" s="6"/>
      <c r="U80" s="6"/>
      <c r="V80" s="6"/>
      <c r="W80" s="6" t="str">
        <f t="shared" si="5"/>
        <v>Critico</v>
      </c>
    </row>
    <row r="81" spans="1:23">
      <c r="A81" s="63">
        <f>Inicial!A43</f>
        <v>0</v>
      </c>
      <c r="B81" s="64">
        <f>Inicial!B43</f>
        <v>0</v>
      </c>
      <c r="C81" s="64">
        <f>Inicial!C43</f>
        <v>0</v>
      </c>
      <c r="D81" s="65">
        <f>Inicial!D43</f>
        <v>0</v>
      </c>
      <c r="E81" s="63" t="str">
        <f>IF(Inicial!J43="SI",Inicial!E43,"N/A")</f>
        <v>N/A</v>
      </c>
      <c r="F81" s="64" t="str">
        <f>IF(Inicial!J43="SI",Inicial!F43,"N/A")</f>
        <v>N/A</v>
      </c>
      <c r="G81" s="64" t="str">
        <f>IF(Inicial!J43="SI",Inicial!G43,"N/A")</f>
        <v>N/A</v>
      </c>
      <c r="H81" s="64" t="str">
        <f>IF(Inicial!J43="SI",Inicial!H43,"N/A")</f>
        <v>N/A</v>
      </c>
      <c r="I81" s="66" t="str">
        <f>IF(Inicial!J43="SI",Inicial!I43,"N/A")</f>
        <v>N/A</v>
      </c>
      <c r="P81" s="6" t="str">
        <f t="shared" si="4"/>
        <v>Aceptable</v>
      </c>
      <c r="Q81" s="6"/>
      <c r="R81" s="6"/>
      <c r="S81" s="6"/>
      <c r="T81" s="6"/>
      <c r="U81" s="6"/>
      <c r="V81" s="6"/>
      <c r="W81" s="6" t="str">
        <f t="shared" si="5"/>
        <v>Critico</v>
      </c>
    </row>
    <row r="82" spans="1:23">
      <c r="A82" s="63">
        <f>Inicial!A44</f>
        <v>0</v>
      </c>
      <c r="B82" s="64">
        <f>Inicial!B44</f>
        <v>0</v>
      </c>
      <c r="C82" s="64">
        <f>Inicial!C44</f>
        <v>0</v>
      </c>
      <c r="D82" s="65">
        <f>Inicial!D44</f>
        <v>0</v>
      </c>
      <c r="E82" s="63" t="str">
        <f>IF(Inicial!J44="SI",Inicial!E44,"N/A")</f>
        <v>N/A</v>
      </c>
      <c r="F82" s="64" t="str">
        <f>IF(Inicial!J44="SI",Inicial!F44,"N/A")</f>
        <v>N/A</v>
      </c>
      <c r="G82" s="64" t="str">
        <f>IF(Inicial!J44="SI",Inicial!G44,"N/A")</f>
        <v>N/A</v>
      </c>
      <c r="H82" s="64" t="str">
        <f>IF(Inicial!J44="SI",Inicial!H44,"N/A")</f>
        <v>N/A</v>
      </c>
      <c r="I82" s="66" t="str">
        <f>IF(Inicial!J44="SI",Inicial!I44,"N/A")</f>
        <v>N/A</v>
      </c>
      <c r="P82" s="6" t="str">
        <f t="shared" si="4"/>
        <v>Aceptable</v>
      </c>
      <c r="Q82" s="6"/>
      <c r="R82" s="6"/>
      <c r="S82" s="6"/>
      <c r="T82" s="6"/>
      <c r="U82" s="6"/>
      <c r="V82" s="6"/>
      <c r="W82" s="6" t="str">
        <f t="shared" si="5"/>
        <v>Critico</v>
      </c>
    </row>
    <row r="83" spans="1:23">
      <c r="A83" s="63">
        <f>Inicial!A45</f>
        <v>0</v>
      </c>
      <c r="B83" s="64">
        <f>Inicial!B45</f>
        <v>0</v>
      </c>
      <c r="C83" s="64">
        <f>Inicial!C45</f>
        <v>0</v>
      </c>
      <c r="D83" s="65">
        <f>Inicial!D45</f>
        <v>0</v>
      </c>
      <c r="E83" s="63" t="str">
        <f>IF(Inicial!J45="SI",Inicial!E45,"N/A")</f>
        <v>N/A</v>
      </c>
      <c r="F83" s="64" t="str">
        <f>IF(Inicial!J45="SI",Inicial!F45,"N/A")</f>
        <v>N/A</v>
      </c>
      <c r="G83" s="64" t="str">
        <f>IF(Inicial!J45="SI",Inicial!G45,"N/A")</f>
        <v>N/A</v>
      </c>
      <c r="H83" s="64" t="str">
        <f>IF(Inicial!J45="SI",Inicial!H45,"N/A")</f>
        <v>N/A</v>
      </c>
      <c r="I83" s="66" t="str">
        <f>IF(Inicial!J45="SI",Inicial!I45,"N/A")</f>
        <v>N/A</v>
      </c>
      <c r="P83" s="6" t="str">
        <f t="shared" si="4"/>
        <v>Aceptable</v>
      </c>
      <c r="Q83" s="6"/>
      <c r="R83" s="6"/>
      <c r="S83" s="6"/>
      <c r="T83" s="6"/>
      <c r="U83" s="6"/>
      <c r="V83" s="6"/>
      <c r="W83" s="6" t="str">
        <f t="shared" si="5"/>
        <v>Critico</v>
      </c>
    </row>
    <row r="84" spans="1:23">
      <c r="A84" s="63">
        <f>Inicial!A46</f>
        <v>0</v>
      </c>
      <c r="B84" s="64">
        <f>Inicial!B46</f>
        <v>0</v>
      </c>
      <c r="C84" s="64">
        <f>Inicial!C46</f>
        <v>0</v>
      </c>
      <c r="D84" s="65">
        <f>Inicial!D46</f>
        <v>0</v>
      </c>
      <c r="E84" s="63" t="str">
        <f>IF(Inicial!J46="SI",Inicial!E46,"N/A")</f>
        <v>N/A</v>
      </c>
      <c r="F84" s="64" t="str">
        <f>IF(Inicial!J46="SI",Inicial!F46,"N/A")</f>
        <v>N/A</v>
      </c>
      <c r="G84" s="64" t="str">
        <f>IF(Inicial!J46="SI",Inicial!G46,"N/A")</f>
        <v>N/A</v>
      </c>
      <c r="H84" s="64" t="str">
        <f>IF(Inicial!J46="SI",Inicial!H46,"N/A")</f>
        <v>N/A</v>
      </c>
      <c r="I84" s="66" t="str">
        <f>IF(Inicial!J46="SI",Inicial!I46,"N/A")</f>
        <v>N/A</v>
      </c>
      <c r="P84" s="6" t="str">
        <f t="shared" si="4"/>
        <v>Aceptable</v>
      </c>
      <c r="Q84" s="6"/>
      <c r="R84" s="6"/>
      <c r="S84" s="6"/>
      <c r="T84" s="6"/>
      <c r="U84" s="6"/>
      <c r="V84" s="6"/>
      <c r="W84" s="6" t="str">
        <f t="shared" si="5"/>
        <v>Critico</v>
      </c>
    </row>
    <row r="85" spans="1:23">
      <c r="A85" s="63">
        <f>Inicial!A47</f>
        <v>0</v>
      </c>
      <c r="B85" s="64">
        <f>Inicial!B47</f>
        <v>0</v>
      </c>
      <c r="C85" s="64">
        <f>Inicial!C47</f>
        <v>0</v>
      </c>
      <c r="D85" s="65">
        <f>Inicial!D47</f>
        <v>0</v>
      </c>
      <c r="E85" s="63" t="str">
        <f>IF(Inicial!J47="SI",Inicial!E47,"N/A")</f>
        <v>N/A</v>
      </c>
      <c r="F85" s="64" t="str">
        <f>IF(Inicial!J47="SI",Inicial!F47,"N/A")</f>
        <v>N/A</v>
      </c>
      <c r="G85" s="64" t="str">
        <f>IF(Inicial!J47="SI",Inicial!G47,"N/A")</f>
        <v>N/A</v>
      </c>
      <c r="H85" s="64" t="str">
        <f>IF(Inicial!J47="SI",Inicial!H47,"N/A")</f>
        <v>N/A</v>
      </c>
      <c r="I85" s="66" t="str">
        <f>IF(Inicial!J47="SI",Inicial!I47,"N/A")</f>
        <v>N/A</v>
      </c>
      <c r="P85" s="6" t="str">
        <f t="shared" si="4"/>
        <v>Aceptable</v>
      </c>
      <c r="Q85" s="6"/>
      <c r="R85" s="6"/>
      <c r="S85" s="6"/>
      <c r="T85" s="6"/>
      <c r="U85" s="6"/>
      <c r="V85" s="6"/>
      <c r="W85" s="6" t="str">
        <f t="shared" si="5"/>
        <v>Critico</v>
      </c>
    </row>
    <row r="86" spans="1:23">
      <c r="A86" s="63">
        <f>Inicial!A48</f>
        <v>0</v>
      </c>
      <c r="B86" s="64">
        <f>Inicial!B48</f>
        <v>0</v>
      </c>
      <c r="C86" s="64">
        <f>Inicial!C48</f>
        <v>0</v>
      </c>
      <c r="D86" s="65">
        <f>Inicial!D48</f>
        <v>0</v>
      </c>
      <c r="E86" s="63" t="str">
        <f>IF(Inicial!J48="SI",Inicial!E48,"N/A")</f>
        <v>N/A</v>
      </c>
      <c r="F86" s="64" t="str">
        <f>IF(Inicial!J48="SI",Inicial!F48,"N/A")</f>
        <v>N/A</v>
      </c>
      <c r="G86" s="64" t="str">
        <f>IF(Inicial!J48="SI",Inicial!G48,"N/A")</f>
        <v>N/A</v>
      </c>
      <c r="H86" s="64" t="str">
        <f>IF(Inicial!J48="SI",Inicial!H48,"N/A")</f>
        <v>N/A</v>
      </c>
      <c r="I86" s="66" t="str">
        <f>IF(Inicial!J48="SI",Inicial!I48,"N/A")</f>
        <v>N/A</v>
      </c>
      <c r="P86" s="6" t="str">
        <f t="shared" si="4"/>
        <v>Aceptable</v>
      </c>
      <c r="Q86" s="6"/>
      <c r="R86" s="6"/>
      <c r="S86" s="6"/>
      <c r="T86" s="6"/>
      <c r="U86" s="6"/>
      <c r="V86" s="6"/>
      <c r="W86" s="6" t="str">
        <f t="shared" si="5"/>
        <v>Critico</v>
      </c>
    </row>
    <row r="87" spans="1:23">
      <c r="A87" s="63">
        <f>Inicial!A49</f>
        <v>0</v>
      </c>
      <c r="B87" s="64">
        <f>Inicial!B49</f>
        <v>0</v>
      </c>
      <c r="C87" s="64">
        <f>Inicial!C49</f>
        <v>0</v>
      </c>
      <c r="D87" s="65">
        <f>Inicial!D49</f>
        <v>0</v>
      </c>
      <c r="E87" s="63" t="str">
        <f>IF(Inicial!J49="SI",Inicial!E49,"N/A")</f>
        <v>N/A</v>
      </c>
      <c r="F87" s="64" t="str">
        <f>IF(Inicial!J49="SI",Inicial!F49,"N/A")</f>
        <v>N/A</v>
      </c>
      <c r="G87" s="64" t="str">
        <f>IF(Inicial!J49="SI",Inicial!G49,"N/A")</f>
        <v>N/A</v>
      </c>
      <c r="H87" s="64" t="str">
        <f>IF(Inicial!J49="SI",Inicial!H49,"N/A")</f>
        <v>N/A</v>
      </c>
      <c r="I87" s="66" t="str">
        <f>IF(Inicial!J49="SI",Inicial!I49,"N/A")</f>
        <v>N/A</v>
      </c>
      <c r="P87" s="6" t="str">
        <f t="shared" si="4"/>
        <v>Aceptable</v>
      </c>
      <c r="Q87" s="6"/>
      <c r="R87" s="6"/>
      <c r="S87" s="6"/>
      <c r="T87" s="6"/>
      <c r="U87" s="6"/>
      <c r="V87" s="6"/>
      <c r="W87" s="6" t="str">
        <f t="shared" si="5"/>
        <v>Critico</v>
      </c>
    </row>
    <row r="88" spans="1:23">
      <c r="A88" s="63">
        <f>Inicial!A50</f>
        <v>0</v>
      </c>
      <c r="B88" s="64">
        <f>Inicial!B50</f>
        <v>0</v>
      </c>
      <c r="C88" s="64">
        <f>Inicial!C50</f>
        <v>0</v>
      </c>
      <c r="D88" s="65">
        <f>Inicial!D50</f>
        <v>0</v>
      </c>
      <c r="E88" s="63" t="str">
        <f>IF(Inicial!J50="SI",Inicial!E50,"N/A")</f>
        <v>N/A</v>
      </c>
      <c r="F88" s="64" t="str">
        <f>IF(Inicial!J50="SI",Inicial!F50,"N/A")</f>
        <v>N/A</v>
      </c>
      <c r="G88" s="64" t="str">
        <f>IF(Inicial!J50="SI",Inicial!G50,"N/A")</f>
        <v>N/A</v>
      </c>
      <c r="H88" s="64" t="str">
        <f>IF(Inicial!J50="SI",Inicial!H50,"N/A")</f>
        <v>N/A</v>
      </c>
      <c r="I88" s="66" t="str">
        <f>IF(Inicial!J50="SI",Inicial!I50,"N/A")</f>
        <v>N/A</v>
      </c>
      <c r="P88" s="6" t="str">
        <f t="shared" si="4"/>
        <v>Aceptable</v>
      </c>
      <c r="Q88" s="6"/>
      <c r="R88" s="6"/>
      <c r="S88" s="6"/>
      <c r="T88" s="6"/>
      <c r="U88" s="6"/>
      <c r="V88" s="6"/>
      <c r="W88" s="6" t="str">
        <f t="shared" si="5"/>
        <v>Critico</v>
      </c>
    </row>
    <row r="89" spans="1:23">
      <c r="A89" s="63">
        <f>Inicial!A51</f>
        <v>0</v>
      </c>
      <c r="B89" s="64">
        <f>Inicial!B51</f>
        <v>0</v>
      </c>
      <c r="C89" s="64">
        <f>Inicial!C51</f>
        <v>0</v>
      </c>
      <c r="D89" s="65">
        <f>Inicial!D51</f>
        <v>0</v>
      </c>
      <c r="E89" s="63" t="str">
        <f>IF(Inicial!J51="SI",Inicial!E51,"N/A")</f>
        <v>N/A</v>
      </c>
      <c r="F89" s="64" t="str">
        <f>IF(Inicial!J51="SI",Inicial!F51,"N/A")</f>
        <v>N/A</v>
      </c>
      <c r="G89" s="64" t="str">
        <f>IF(Inicial!J51="SI",Inicial!G51,"N/A")</f>
        <v>N/A</v>
      </c>
      <c r="H89" s="64" t="str">
        <f>IF(Inicial!J51="SI",Inicial!H51,"N/A")</f>
        <v>N/A</v>
      </c>
      <c r="I89" s="66" t="str">
        <f>IF(Inicial!J51="SI",Inicial!I51,"N/A")</f>
        <v>N/A</v>
      </c>
      <c r="P89" s="6" t="str">
        <f t="shared" si="4"/>
        <v>Aceptable</v>
      </c>
      <c r="Q89" s="6"/>
      <c r="R89" s="6"/>
      <c r="S89" s="6"/>
      <c r="T89" s="6"/>
      <c r="U89" s="6"/>
      <c r="V89" s="6"/>
      <c r="W89" s="6" t="str">
        <f t="shared" si="5"/>
        <v>Critico</v>
      </c>
    </row>
    <row r="90" spans="1:23">
      <c r="A90" s="63">
        <f>Inicial!A52</f>
        <v>0</v>
      </c>
      <c r="B90" s="64">
        <f>Inicial!B52</f>
        <v>0</v>
      </c>
      <c r="C90" s="64">
        <f>Inicial!C52</f>
        <v>0</v>
      </c>
      <c r="D90" s="65">
        <f>Inicial!D52</f>
        <v>0</v>
      </c>
      <c r="E90" s="63" t="str">
        <f>IF(Inicial!J52="SI",Inicial!E52,"N/A")</f>
        <v>N/A</v>
      </c>
      <c r="F90" s="64" t="str">
        <f>IF(Inicial!J52="SI",Inicial!F52,"N/A")</f>
        <v>N/A</v>
      </c>
      <c r="G90" s="64" t="str">
        <f>IF(Inicial!J52="SI",Inicial!G52,"N/A")</f>
        <v>N/A</v>
      </c>
      <c r="H90" s="64" t="str">
        <f>IF(Inicial!J52="SI",Inicial!H52,"N/A")</f>
        <v>N/A</v>
      </c>
      <c r="I90" s="66" t="str">
        <f>IF(Inicial!J52="SI",Inicial!I52,"N/A")</f>
        <v>N/A</v>
      </c>
      <c r="P90" s="6" t="str">
        <f t="shared" si="4"/>
        <v>Aceptable</v>
      </c>
      <c r="Q90" s="6"/>
      <c r="R90" s="6"/>
      <c r="S90" s="6"/>
      <c r="T90" s="6"/>
      <c r="U90" s="6"/>
      <c r="V90" s="6"/>
      <c r="W90" s="6" t="str">
        <f t="shared" si="5"/>
        <v>Critico</v>
      </c>
    </row>
    <row r="91" spans="1:23">
      <c r="A91" s="63">
        <f>Inicial!A53</f>
        <v>0</v>
      </c>
      <c r="B91" s="64">
        <f>Inicial!B53</f>
        <v>0</v>
      </c>
      <c r="C91" s="64">
        <f>Inicial!C53</f>
        <v>0</v>
      </c>
      <c r="D91" s="65">
        <f>Inicial!D53</f>
        <v>0</v>
      </c>
      <c r="E91" s="63" t="str">
        <f>IF(Inicial!J53="SI",Inicial!E53,"N/A")</f>
        <v>N/A</v>
      </c>
      <c r="F91" s="64" t="str">
        <f>IF(Inicial!J53="SI",Inicial!F53,"N/A")</f>
        <v>N/A</v>
      </c>
      <c r="G91" s="64" t="str">
        <f>IF(Inicial!J53="SI",Inicial!G53,"N/A")</f>
        <v>N/A</v>
      </c>
      <c r="H91" s="64" t="str">
        <f>IF(Inicial!J53="SI",Inicial!H53,"N/A")</f>
        <v>N/A</v>
      </c>
      <c r="I91" s="66" t="str">
        <f>IF(Inicial!J53="SI",Inicial!I53,"N/A")</f>
        <v>N/A</v>
      </c>
      <c r="P91" s="6" t="str">
        <f t="shared" si="4"/>
        <v>Aceptable</v>
      </c>
      <c r="Q91" s="6"/>
      <c r="R91" s="6"/>
      <c r="S91" s="6"/>
      <c r="T91" s="6"/>
      <c r="U91" s="6"/>
      <c r="V91" s="6"/>
      <c r="W91" s="6" t="str">
        <f t="shared" si="5"/>
        <v>Critico</v>
      </c>
    </row>
    <row r="92" spans="1:23">
      <c r="A92" s="63">
        <f>Inicial!A54</f>
        <v>0</v>
      </c>
      <c r="B92" s="64">
        <f>Inicial!B54</f>
        <v>0</v>
      </c>
      <c r="C92" s="64">
        <f>Inicial!C54</f>
        <v>0</v>
      </c>
      <c r="D92" s="65">
        <f>Inicial!D54</f>
        <v>0</v>
      </c>
      <c r="E92" s="63" t="str">
        <f>IF(Inicial!J54="SI",Inicial!E54,"N/A")</f>
        <v>N/A</v>
      </c>
      <c r="F92" s="64" t="str">
        <f>IF(Inicial!J54="SI",Inicial!F54,"N/A")</f>
        <v>N/A</v>
      </c>
      <c r="G92" s="64" t="str">
        <f>IF(Inicial!J54="SI",Inicial!G54,"N/A")</f>
        <v>N/A</v>
      </c>
      <c r="H92" s="64" t="str">
        <f>IF(Inicial!J54="SI",Inicial!H54,"N/A")</f>
        <v>N/A</v>
      </c>
      <c r="I92" s="66" t="str">
        <f>IF(Inicial!J54="SI",Inicial!I54,"N/A")</f>
        <v>N/A</v>
      </c>
      <c r="P92" s="6" t="str">
        <f t="shared" si="4"/>
        <v>Aceptable</v>
      </c>
      <c r="Q92" s="6"/>
      <c r="R92" s="6"/>
      <c r="S92" s="6"/>
      <c r="T92" s="6"/>
      <c r="U92" s="6"/>
      <c r="V92" s="6"/>
      <c r="W92" s="6" t="str">
        <f t="shared" si="5"/>
        <v>Critico</v>
      </c>
    </row>
    <row r="93" spans="1:23">
      <c r="A93" s="63">
        <f>Inicial!A55</f>
        <v>0</v>
      </c>
      <c r="B93" s="64">
        <f>Inicial!B55</f>
        <v>0</v>
      </c>
      <c r="C93" s="64">
        <f>Inicial!C55</f>
        <v>0</v>
      </c>
      <c r="D93" s="65">
        <f>Inicial!D55</f>
        <v>0</v>
      </c>
      <c r="E93" s="63" t="str">
        <f>IF(Inicial!J55="SI",Inicial!E55,"N/A")</f>
        <v>N/A</v>
      </c>
      <c r="F93" s="64" t="str">
        <f>IF(Inicial!J55="SI",Inicial!F55,"N/A")</f>
        <v>N/A</v>
      </c>
      <c r="G93" s="64" t="str">
        <f>IF(Inicial!J55="SI",Inicial!G55,"N/A")</f>
        <v>N/A</v>
      </c>
      <c r="H93" s="64" t="str">
        <f>IF(Inicial!J55="SI",Inicial!H55,"N/A")</f>
        <v>N/A</v>
      </c>
      <c r="I93" s="66" t="str">
        <f>IF(Inicial!J55="SI",Inicial!I55,"N/A")</f>
        <v>N/A</v>
      </c>
      <c r="P93" s="6" t="str">
        <f t="shared" si="4"/>
        <v>Aceptable</v>
      </c>
      <c r="Q93" s="6"/>
      <c r="R93" s="6"/>
      <c r="S93" s="6"/>
      <c r="T93" s="6"/>
      <c r="U93" s="6"/>
      <c r="V93" s="6"/>
      <c r="W93" s="6" t="str">
        <f t="shared" si="5"/>
        <v>Critico</v>
      </c>
    </row>
    <row r="94" spans="1:23">
      <c r="A94" s="63">
        <f>Inicial!A56</f>
        <v>0</v>
      </c>
      <c r="B94" s="64">
        <f>Inicial!B56</f>
        <v>0</v>
      </c>
      <c r="C94" s="64">
        <f>Inicial!C56</f>
        <v>0</v>
      </c>
      <c r="D94" s="65">
        <f>Inicial!D56</f>
        <v>0</v>
      </c>
      <c r="E94" s="63" t="str">
        <f>IF(Inicial!J56="SI",Inicial!E56,"N/A")</f>
        <v>N/A</v>
      </c>
      <c r="F94" s="64" t="str">
        <f>IF(Inicial!J56="SI",Inicial!F56,"N/A")</f>
        <v>N/A</v>
      </c>
      <c r="G94" s="64" t="str">
        <f>IF(Inicial!J56="SI",Inicial!G56,"N/A")</f>
        <v>N/A</v>
      </c>
      <c r="H94" s="64" t="str">
        <f>IF(Inicial!J56="SI",Inicial!H56,"N/A")</f>
        <v>N/A</v>
      </c>
      <c r="I94" s="66" t="str">
        <f>IF(Inicial!J56="SI",Inicial!I56,"N/A")</f>
        <v>N/A</v>
      </c>
      <c r="P94" s="6" t="str">
        <f t="shared" si="4"/>
        <v>Aceptable</v>
      </c>
      <c r="Q94" s="6"/>
      <c r="R94" s="6"/>
      <c r="S94" s="6"/>
      <c r="T94" s="6"/>
      <c r="U94" s="6"/>
      <c r="V94" s="6"/>
      <c r="W94" s="6" t="str">
        <f t="shared" si="5"/>
        <v>Critico</v>
      </c>
    </row>
    <row r="95" spans="1:23">
      <c r="A95" s="63">
        <f>Inicial!A57</f>
        <v>0</v>
      </c>
      <c r="B95" s="64">
        <f>Inicial!B57</f>
        <v>0</v>
      </c>
      <c r="C95" s="64">
        <f>Inicial!C57</f>
        <v>0</v>
      </c>
      <c r="D95" s="65">
        <f>Inicial!D57</f>
        <v>0</v>
      </c>
      <c r="E95" s="63" t="str">
        <f>IF(Inicial!J57="SI",Inicial!E57,"N/A")</f>
        <v>N/A</v>
      </c>
      <c r="F95" s="64" t="str">
        <f>IF(Inicial!J57="SI",Inicial!F57,"N/A")</f>
        <v>N/A</v>
      </c>
      <c r="G95" s="64" t="str">
        <f>IF(Inicial!J57="SI",Inicial!G57,"N/A")</f>
        <v>N/A</v>
      </c>
      <c r="H95" s="64" t="str">
        <f>IF(Inicial!J57="SI",Inicial!H57,"N/A")</f>
        <v>N/A</v>
      </c>
      <c r="I95" s="66" t="str">
        <f>IF(Inicial!J57="SI",Inicial!I57,"N/A")</f>
        <v>N/A</v>
      </c>
      <c r="P95" s="6" t="str">
        <f t="shared" si="4"/>
        <v>Aceptable</v>
      </c>
      <c r="Q95" s="6"/>
      <c r="R95" s="6"/>
      <c r="S95" s="6"/>
      <c r="T95" s="6"/>
      <c r="U95" s="6"/>
      <c r="V95" s="6"/>
      <c r="W95" s="6" t="str">
        <f t="shared" si="5"/>
        <v>Critico</v>
      </c>
    </row>
    <row r="96" spans="1:23">
      <c r="A96" s="63">
        <f>Inicial!A58</f>
        <v>0</v>
      </c>
      <c r="B96" s="64">
        <f>Inicial!B58</f>
        <v>0</v>
      </c>
      <c r="C96" s="64">
        <f>Inicial!C58</f>
        <v>0</v>
      </c>
      <c r="D96" s="65">
        <f>Inicial!D58</f>
        <v>0</v>
      </c>
      <c r="E96" s="63" t="str">
        <f>IF(Inicial!J58="SI",Inicial!E58,"N/A")</f>
        <v>N/A</v>
      </c>
      <c r="F96" s="64" t="str">
        <f>IF(Inicial!J58="SI",Inicial!F58,"N/A")</f>
        <v>N/A</v>
      </c>
      <c r="G96" s="64" t="str">
        <f>IF(Inicial!J58="SI",Inicial!G58,"N/A")</f>
        <v>N/A</v>
      </c>
      <c r="H96" s="64" t="str">
        <f>IF(Inicial!J58="SI",Inicial!H58,"N/A")</f>
        <v>N/A</v>
      </c>
      <c r="I96" s="66" t="str">
        <f>IF(Inicial!J58="SI",Inicial!I58,"N/A")</f>
        <v>N/A</v>
      </c>
      <c r="P96" s="6" t="str">
        <f t="shared" si="4"/>
        <v>Aceptable</v>
      </c>
      <c r="Q96" s="6"/>
      <c r="R96" s="6"/>
      <c r="S96" s="6"/>
      <c r="T96" s="6"/>
      <c r="U96" s="6"/>
      <c r="V96" s="6"/>
      <c r="W96" s="6" t="str">
        <f t="shared" si="5"/>
        <v>Critico</v>
      </c>
    </row>
    <row r="97" spans="1:23">
      <c r="A97" s="63">
        <f>Inicial!A59</f>
        <v>0</v>
      </c>
      <c r="B97" s="64">
        <f>Inicial!B59</f>
        <v>0</v>
      </c>
      <c r="C97" s="64">
        <f>Inicial!C59</f>
        <v>0</v>
      </c>
      <c r="D97" s="65">
        <f>Inicial!D59</f>
        <v>0</v>
      </c>
      <c r="E97" s="63" t="str">
        <f>IF(Inicial!J59="SI",Inicial!E59,"N/A")</f>
        <v>N/A</v>
      </c>
      <c r="F97" s="64" t="str">
        <f>IF(Inicial!J59="SI",Inicial!F59,"N/A")</f>
        <v>N/A</v>
      </c>
      <c r="G97" s="64" t="str">
        <f>IF(Inicial!J59="SI",Inicial!G59,"N/A")</f>
        <v>N/A</v>
      </c>
      <c r="H97" s="64" t="str">
        <f>IF(Inicial!J59="SI",Inicial!H59,"N/A")</f>
        <v>N/A</v>
      </c>
      <c r="I97" s="66" t="str">
        <f>IF(Inicial!J59="SI",Inicial!I59,"N/A")</f>
        <v>N/A</v>
      </c>
      <c r="P97" s="6" t="str">
        <f t="shared" si="4"/>
        <v>Aceptable</v>
      </c>
      <c r="Q97" s="6"/>
      <c r="R97" s="6"/>
      <c r="S97" s="6"/>
      <c r="T97" s="6"/>
      <c r="U97" s="6"/>
      <c r="V97" s="6"/>
      <c r="W97" s="6" t="str">
        <f t="shared" si="5"/>
        <v>Critico</v>
      </c>
    </row>
    <row r="98" spans="1:23">
      <c r="A98" s="63">
        <f>Inicial!A60</f>
        <v>0</v>
      </c>
      <c r="B98" s="64">
        <f>Inicial!B60</f>
        <v>0</v>
      </c>
      <c r="C98" s="64">
        <f>Inicial!C60</f>
        <v>0</v>
      </c>
      <c r="D98" s="65">
        <f>Inicial!D60</f>
        <v>0</v>
      </c>
      <c r="E98" s="63" t="str">
        <f>IF(Inicial!J60="SI",Inicial!E60,"N/A")</f>
        <v>N/A</v>
      </c>
      <c r="F98" s="64" t="str">
        <f>IF(Inicial!J60="SI",Inicial!F60,"N/A")</f>
        <v>N/A</v>
      </c>
      <c r="G98" s="64" t="str">
        <f>IF(Inicial!J60="SI",Inicial!G60,"N/A")</f>
        <v>N/A</v>
      </c>
      <c r="H98" s="64" t="str">
        <f>IF(Inicial!J60="SI",Inicial!H60,"N/A")</f>
        <v>N/A</v>
      </c>
      <c r="I98" s="66" t="str">
        <f>IF(Inicial!J60="SI",Inicial!I60,"N/A")</f>
        <v>N/A</v>
      </c>
      <c r="P98" s="6" t="str">
        <f t="shared" si="4"/>
        <v>Aceptable</v>
      </c>
      <c r="Q98" s="6"/>
      <c r="R98" s="6"/>
      <c r="S98" s="6"/>
      <c r="T98" s="6"/>
      <c r="U98" s="6"/>
      <c r="V98" s="6"/>
      <c r="W98" s="6" t="str">
        <f t="shared" si="5"/>
        <v>Critico</v>
      </c>
    </row>
    <row r="99" spans="1:23">
      <c r="A99" s="63">
        <f>Inicial!A61</f>
        <v>0</v>
      </c>
      <c r="B99" s="64">
        <f>Inicial!B61</f>
        <v>0</v>
      </c>
      <c r="C99" s="64">
        <f>Inicial!C61</f>
        <v>0</v>
      </c>
      <c r="D99" s="65">
        <f>Inicial!D61</f>
        <v>0</v>
      </c>
      <c r="E99" s="63" t="str">
        <f>IF(Inicial!J61="SI",Inicial!E61,"N/A")</f>
        <v>N/A</v>
      </c>
      <c r="F99" s="64" t="str">
        <f>IF(Inicial!J61="SI",Inicial!F61,"N/A")</f>
        <v>N/A</v>
      </c>
      <c r="G99" s="64" t="str">
        <f>IF(Inicial!J61="SI",Inicial!G61,"N/A")</f>
        <v>N/A</v>
      </c>
      <c r="H99" s="64" t="str">
        <f>IF(Inicial!J61="SI",Inicial!H61,"N/A")</f>
        <v>N/A</v>
      </c>
      <c r="I99" s="66" t="str">
        <f>IF(Inicial!J61="SI",Inicial!I61,"N/A")</f>
        <v>N/A</v>
      </c>
      <c r="P99" s="6" t="str">
        <f t="shared" si="4"/>
        <v>Aceptable</v>
      </c>
      <c r="Q99" s="6"/>
      <c r="R99" s="6"/>
      <c r="S99" s="6"/>
      <c r="T99" s="6"/>
      <c r="U99" s="6"/>
      <c r="V99" s="6"/>
      <c r="W99" s="6" t="str">
        <f t="shared" si="5"/>
        <v>Critico</v>
      </c>
    </row>
    <row r="100" spans="1:23">
      <c r="A100" s="63">
        <f>Inicial!A62</f>
        <v>0</v>
      </c>
      <c r="B100" s="64">
        <f>Inicial!B62</f>
        <v>0</v>
      </c>
      <c r="C100" s="64">
        <f>Inicial!C62</f>
        <v>0</v>
      </c>
      <c r="D100" s="65">
        <f>Inicial!D62</f>
        <v>0</v>
      </c>
      <c r="E100" s="63" t="str">
        <f>IF(Inicial!J62="SI",Inicial!E62,"N/A")</f>
        <v>N/A</v>
      </c>
      <c r="F100" s="64" t="str">
        <f>IF(Inicial!J62="SI",Inicial!F62,"N/A")</f>
        <v>N/A</v>
      </c>
      <c r="G100" s="64" t="str">
        <f>IF(Inicial!J62="SI",Inicial!G62,"N/A")</f>
        <v>N/A</v>
      </c>
      <c r="H100" s="64" t="str">
        <f>IF(Inicial!J62="SI",Inicial!H62,"N/A")</f>
        <v>N/A</v>
      </c>
      <c r="I100" s="66" t="str">
        <f>IF(Inicial!J62="SI",Inicial!I62,"N/A")</f>
        <v>N/A</v>
      </c>
      <c r="P100" s="6" t="str">
        <f t="shared" si="4"/>
        <v>Aceptable</v>
      </c>
      <c r="Q100" s="6"/>
      <c r="R100" s="6"/>
      <c r="S100" s="6"/>
      <c r="T100" s="6"/>
      <c r="U100" s="6"/>
      <c r="V100" s="6"/>
      <c r="W100" s="6" t="str">
        <f t="shared" si="5"/>
        <v>Critico</v>
      </c>
    </row>
    <row r="101" spans="1:23">
      <c r="A101" s="63">
        <f>Inicial!A63</f>
        <v>0</v>
      </c>
      <c r="B101" s="64">
        <f>Inicial!B63</f>
        <v>0</v>
      </c>
      <c r="C101" s="64">
        <f>Inicial!C63</f>
        <v>0</v>
      </c>
      <c r="D101" s="65">
        <f>Inicial!D63</f>
        <v>0</v>
      </c>
      <c r="E101" s="63" t="str">
        <f>IF(Inicial!J63="SI",Inicial!E63,"N/A")</f>
        <v>N/A</v>
      </c>
      <c r="F101" s="64" t="str">
        <f>IF(Inicial!J63="SI",Inicial!F63,"N/A")</f>
        <v>N/A</v>
      </c>
      <c r="G101" s="64" t="str">
        <f>IF(Inicial!J63="SI",Inicial!G63,"N/A")</f>
        <v>N/A</v>
      </c>
      <c r="H101" s="64" t="str">
        <f>IF(Inicial!J63="SI",Inicial!H63,"N/A")</f>
        <v>N/A</v>
      </c>
      <c r="I101" s="66" t="str">
        <f>IF(Inicial!J63="SI",Inicial!I63,"N/A")</f>
        <v>N/A</v>
      </c>
      <c r="P101" s="6" t="str">
        <f t="shared" si="4"/>
        <v>Aceptable</v>
      </c>
      <c r="Q101" s="6"/>
      <c r="R101" s="6"/>
      <c r="S101" s="6"/>
      <c r="T101" s="6"/>
      <c r="U101" s="6"/>
      <c r="V101" s="6"/>
      <c r="W101" s="6" t="str">
        <f t="shared" si="5"/>
        <v>Critico</v>
      </c>
    </row>
    <row r="102" spans="1:23">
      <c r="A102" s="63">
        <f>Inicial!A64</f>
        <v>0</v>
      </c>
      <c r="B102" s="64">
        <f>Inicial!B64</f>
        <v>0</v>
      </c>
      <c r="C102" s="64">
        <f>Inicial!C64</f>
        <v>0</v>
      </c>
      <c r="D102" s="65">
        <f>Inicial!D64</f>
        <v>0</v>
      </c>
      <c r="E102" s="63" t="str">
        <f>IF(Inicial!J64="SI",Inicial!E64,"N/A")</f>
        <v>N/A</v>
      </c>
      <c r="F102" s="64" t="str">
        <f>IF(Inicial!J64="SI",Inicial!F64,"N/A")</f>
        <v>N/A</v>
      </c>
      <c r="G102" s="64" t="str">
        <f>IF(Inicial!J64="SI",Inicial!G64,"N/A")</f>
        <v>N/A</v>
      </c>
      <c r="H102" s="64" t="str">
        <f>IF(Inicial!J64="SI",Inicial!H64,"N/A")</f>
        <v>N/A</v>
      </c>
      <c r="I102" s="66" t="str">
        <f>IF(Inicial!J64="SI",Inicial!I64,"N/A")</f>
        <v>N/A</v>
      </c>
      <c r="P102" s="6" t="str">
        <f t="shared" si="4"/>
        <v>Aceptable</v>
      </c>
      <c r="Q102" s="6"/>
      <c r="R102" s="6"/>
      <c r="S102" s="6"/>
      <c r="T102" s="6"/>
      <c r="U102" s="6"/>
      <c r="V102" s="6"/>
      <c r="W102" s="6" t="str">
        <f t="shared" si="5"/>
        <v>Critico</v>
      </c>
    </row>
    <row r="103" spans="1:23">
      <c r="A103" s="63">
        <f>Inicial!A65</f>
        <v>0</v>
      </c>
      <c r="B103" s="64">
        <f>Inicial!B65</f>
        <v>0</v>
      </c>
      <c r="C103" s="64">
        <f>Inicial!C65</f>
        <v>0</v>
      </c>
      <c r="D103" s="65">
        <f>Inicial!D65</f>
        <v>0</v>
      </c>
      <c r="E103" s="63" t="str">
        <f>IF(Inicial!J65="SI",Inicial!E65,"N/A")</f>
        <v>N/A</v>
      </c>
      <c r="F103" s="64" t="str">
        <f>IF(Inicial!J65="SI",Inicial!F65,"N/A")</f>
        <v>N/A</v>
      </c>
      <c r="G103" s="64" t="str">
        <f>IF(Inicial!J65="SI",Inicial!G65,"N/A")</f>
        <v>N/A</v>
      </c>
      <c r="H103" s="64" t="str">
        <f>IF(Inicial!J65="SI",Inicial!H65,"N/A")</f>
        <v>N/A</v>
      </c>
      <c r="I103" s="66" t="str">
        <f>IF(Inicial!J65="SI",Inicial!I65,"N/A")</f>
        <v>N/A</v>
      </c>
      <c r="P103" s="6" t="str">
        <f t="shared" si="4"/>
        <v>Aceptable</v>
      </c>
      <c r="Q103" s="6"/>
      <c r="R103" s="6"/>
      <c r="S103" s="6"/>
      <c r="T103" s="6"/>
      <c r="U103" s="6"/>
      <c r="V103" s="6"/>
      <c r="W103" s="6" t="str">
        <f t="shared" si="5"/>
        <v>Critico</v>
      </c>
    </row>
    <row r="104" spans="1:23">
      <c r="A104" s="63">
        <f>Inicial!A66</f>
        <v>0</v>
      </c>
      <c r="B104" s="64">
        <f>Inicial!B66</f>
        <v>0</v>
      </c>
      <c r="C104" s="64">
        <f>Inicial!C66</f>
        <v>0</v>
      </c>
      <c r="D104" s="65">
        <f>Inicial!D66</f>
        <v>0</v>
      </c>
      <c r="E104" s="63" t="str">
        <f>IF(Inicial!J66="SI",Inicial!E66,"N/A")</f>
        <v>N/A</v>
      </c>
      <c r="F104" s="64" t="str">
        <f>IF(Inicial!J66="SI",Inicial!F66,"N/A")</f>
        <v>N/A</v>
      </c>
      <c r="G104" s="64" t="str">
        <f>IF(Inicial!J66="SI",Inicial!G66,"N/A")</f>
        <v>N/A</v>
      </c>
      <c r="H104" s="64" t="str">
        <f>IF(Inicial!J66="SI",Inicial!H66,"N/A")</f>
        <v>N/A</v>
      </c>
      <c r="I104" s="66" t="str">
        <f>IF(Inicial!J66="SI",Inicial!I66,"N/A")</f>
        <v>N/A</v>
      </c>
      <c r="P104" s="6" t="str">
        <f t="shared" si="4"/>
        <v>Aceptable</v>
      </c>
      <c r="Q104" s="6"/>
      <c r="R104" s="6"/>
      <c r="S104" s="6"/>
      <c r="T104" s="6"/>
      <c r="U104" s="6"/>
      <c r="V104" s="6"/>
      <c r="W104" s="6" t="str">
        <f t="shared" si="5"/>
        <v>Critico</v>
      </c>
    </row>
    <row r="105" spans="1:23">
      <c r="A105" s="63">
        <f>Inicial!A67</f>
        <v>0</v>
      </c>
      <c r="B105" s="64">
        <f>Inicial!B67</f>
        <v>0</v>
      </c>
      <c r="C105" s="64">
        <f>Inicial!C67</f>
        <v>0</v>
      </c>
      <c r="D105" s="65">
        <f>Inicial!D67</f>
        <v>0</v>
      </c>
      <c r="E105" s="63" t="str">
        <f>IF(Inicial!J67="SI",Inicial!E67,"N/A")</f>
        <v>N/A</v>
      </c>
      <c r="F105" s="64" t="str">
        <f>IF(Inicial!J67="SI",Inicial!F67,"N/A")</f>
        <v>N/A</v>
      </c>
      <c r="G105" s="64" t="str">
        <f>IF(Inicial!J67="SI",Inicial!G67,"N/A")</f>
        <v>N/A</v>
      </c>
      <c r="H105" s="64" t="str">
        <f>IF(Inicial!J67="SI",Inicial!H67,"N/A")</f>
        <v>N/A</v>
      </c>
      <c r="I105" s="66" t="str">
        <f>IF(Inicial!J67="SI",Inicial!I67,"N/A")</f>
        <v>N/A</v>
      </c>
      <c r="P105" s="6" t="str">
        <f t="shared" si="4"/>
        <v>Aceptable</v>
      </c>
      <c r="Q105" s="6"/>
      <c r="R105" s="6"/>
      <c r="S105" s="6"/>
      <c r="T105" s="6"/>
      <c r="U105" s="6"/>
      <c r="V105" s="6"/>
      <c r="W105" s="6" t="str">
        <f t="shared" si="5"/>
        <v>Critico</v>
      </c>
    </row>
    <row r="106" spans="1:23">
      <c r="A106" s="63">
        <f>Inicial!A68</f>
        <v>0</v>
      </c>
      <c r="B106" s="64">
        <f>Inicial!B68</f>
        <v>0</v>
      </c>
      <c r="C106" s="64">
        <f>Inicial!C68</f>
        <v>0</v>
      </c>
      <c r="D106" s="65">
        <f>Inicial!D68</f>
        <v>0</v>
      </c>
      <c r="E106" s="63" t="str">
        <f>IF(Inicial!J68="SI",Inicial!E68,"N/A")</f>
        <v>N/A</v>
      </c>
      <c r="F106" s="64" t="str">
        <f>IF(Inicial!J68="SI",Inicial!F68,"N/A")</f>
        <v>N/A</v>
      </c>
      <c r="G106" s="64" t="str">
        <f>IF(Inicial!J68="SI",Inicial!G68,"N/A")</f>
        <v>N/A</v>
      </c>
      <c r="H106" s="64" t="str">
        <f>IF(Inicial!J68="SI",Inicial!H68,"N/A")</f>
        <v>N/A</v>
      </c>
      <c r="I106" s="66" t="str">
        <f>IF(Inicial!J68="SI",Inicial!I68,"N/A")</f>
        <v>N/A</v>
      </c>
      <c r="P106" s="6" t="str">
        <f t="shared" si="4"/>
        <v>Aceptable</v>
      </c>
      <c r="Q106" s="6"/>
      <c r="R106" s="6"/>
      <c r="S106" s="6"/>
      <c r="T106" s="6"/>
      <c r="U106" s="6"/>
      <c r="V106" s="6"/>
      <c r="W106" s="6" t="str">
        <f t="shared" si="5"/>
        <v>Critico</v>
      </c>
    </row>
    <row r="107" spans="1:23">
      <c r="A107" s="63">
        <f>Inicial!A69</f>
        <v>0</v>
      </c>
      <c r="B107" s="64">
        <f>Inicial!B69</f>
        <v>0</v>
      </c>
      <c r="C107" s="64">
        <f>Inicial!C69</f>
        <v>0</v>
      </c>
      <c r="D107" s="65">
        <f>Inicial!D69</f>
        <v>0</v>
      </c>
      <c r="E107" s="63" t="str">
        <f>IF(Inicial!J69="SI",Inicial!E69,"N/A")</f>
        <v>N/A</v>
      </c>
      <c r="F107" s="64" t="str">
        <f>IF(Inicial!J69="SI",Inicial!F69,"N/A")</f>
        <v>N/A</v>
      </c>
      <c r="G107" s="64" t="str">
        <f>IF(Inicial!J69="SI",Inicial!G69,"N/A")</f>
        <v>N/A</v>
      </c>
      <c r="H107" s="64" t="str">
        <f>IF(Inicial!J69="SI",Inicial!H69,"N/A")</f>
        <v>N/A</v>
      </c>
      <c r="I107" s="66" t="str">
        <f>IF(Inicial!J69="SI",Inicial!I69,"N/A")</f>
        <v>N/A</v>
      </c>
      <c r="P107" s="6" t="str">
        <f t="shared" si="4"/>
        <v>Aceptable</v>
      </c>
      <c r="Q107" s="6"/>
      <c r="R107" s="6"/>
      <c r="S107" s="6"/>
      <c r="T107" s="6"/>
      <c r="U107" s="6"/>
      <c r="V107" s="6"/>
      <c r="W107" s="6" t="str">
        <f t="shared" si="5"/>
        <v>Critico</v>
      </c>
    </row>
    <row r="108" spans="1:23">
      <c r="A108" s="63">
        <f>Inicial!A70</f>
        <v>0</v>
      </c>
      <c r="B108" s="64">
        <f>Inicial!B70</f>
        <v>0</v>
      </c>
      <c r="C108" s="64">
        <f>Inicial!C70</f>
        <v>0</v>
      </c>
      <c r="D108" s="65">
        <f>Inicial!D70</f>
        <v>0</v>
      </c>
      <c r="E108" s="63" t="str">
        <f>IF(Inicial!J70="SI",Inicial!E70,"N/A")</f>
        <v>N/A</v>
      </c>
      <c r="F108" s="64" t="str">
        <f>IF(Inicial!J70="SI",Inicial!F70,"N/A")</f>
        <v>N/A</v>
      </c>
      <c r="G108" s="64" t="str">
        <f>IF(Inicial!J70="SI",Inicial!G70,"N/A")</f>
        <v>N/A</v>
      </c>
      <c r="H108" s="64" t="str">
        <f>IF(Inicial!J70="SI",Inicial!H70,"N/A")</f>
        <v>N/A</v>
      </c>
      <c r="I108" s="66" t="str">
        <f>IF(Inicial!J70="SI",Inicial!I70,"N/A")</f>
        <v>N/A</v>
      </c>
      <c r="P108" s="6" t="str">
        <f t="shared" si="4"/>
        <v>Aceptable</v>
      </c>
      <c r="Q108" s="6"/>
      <c r="R108" s="6"/>
      <c r="S108" s="6"/>
      <c r="T108" s="6"/>
      <c r="U108" s="6"/>
      <c r="V108" s="6"/>
      <c r="W108" s="6" t="str">
        <f t="shared" si="5"/>
        <v>Critico</v>
      </c>
    </row>
    <row r="109" spans="1:23">
      <c r="A109" s="63">
        <f>Inicial!A71</f>
        <v>0</v>
      </c>
      <c r="B109" s="64">
        <f>Inicial!B71</f>
        <v>0</v>
      </c>
      <c r="C109" s="64">
        <f>Inicial!C71</f>
        <v>0</v>
      </c>
      <c r="D109" s="65">
        <f>Inicial!D71</f>
        <v>0</v>
      </c>
      <c r="E109" s="63" t="str">
        <f>IF(Inicial!J71="SI",Inicial!E71,"N/A")</f>
        <v>N/A</v>
      </c>
      <c r="F109" s="64" t="str">
        <f>IF(Inicial!J71="SI",Inicial!F71,"N/A")</f>
        <v>N/A</v>
      </c>
      <c r="G109" s="64" t="str">
        <f>IF(Inicial!J71="SI",Inicial!G71,"N/A")</f>
        <v>N/A</v>
      </c>
      <c r="H109" s="64" t="str">
        <f>IF(Inicial!J71="SI",Inicial!H71,"N/A")</f>
        <v>N/A</v>
      </c>
      <c r="I109" s="66" t="str">
        <f>IF(Inicial!J71="SI",Inicial!I71,"N/A")</f>
        <v>N/A</v>
      </c>
      <c r="P109" s="6" t="str">
        <f t="shared" si="4"/>
        <v>Aceptable</v>
      </c>
      <c r="Q109" s="6"/>
      <c r="R109" s="6"/>
      <c r="S109" s="6"/>
      <c r="T109" s="6"/>
      <c r="U109" s="6"/>
      <c r="V109" s="6"/>
      <c r="W109" s="6" t="str">
        <f t="shared" si="5"/>
        <v>Critico</v>
      </c>
    </row>
    <row r="110" spans="1:23">
      <c r="A110" s="63">
        <f>Inicial!A72</f>
        <v>0</v>
      </c>
      <c r="B110" s="64">
        <f>Inicial!B72</f>
        <v>0</v>
      </c>
      <c r="C110" s="64">
        <f>Inicial!C72</f>
        <v>0</v>
      </c>
      <c r="D110" s="65">
        <f>Inicial!D72</f>
        <v>0</v>
      </c>
      <c r="E110" s="63" t="str">
        <f>IF(Inicial!J72="SI",Inicial!E72,"N/A")</f>
        <v>N/A</v>
      </c>
      <c r="F110" s="64" t="str">
        <f>IF(Inicial!J72="SI",Inicial!F72,"N/A")</f>
        <v>N/A</v>
      </c>
      <c r="G110" s="64" t="str">
        <f>IF(Inicial!J72="SI",Inicial!G72,"N/A")</f>
        <v>N/A</v>
      </c>
      <c r="H110" s="64" t="str">
        <f>IF(Inicial!J72="SI",Inicial!H72,"N/A")</f>
        <v>N/A</v>
      </c>
      <c r="I110" s="66" t="str">
        <f>IF(Inicial!J72="SI",Inicial!I72,"N/A")</f>
        <v>N/A</v>
      </c>
      <c r="P110" s="6" t="str">
        <f t="shared" si="4"/>
        <v>Aceptable</v>
      </c>
      <c r="Q110" s="6"/>
      <c r="R110" s="6"/>
      <c r="S110" s="6"/>
      <c r="T110" s="6"/>
      <c r="U110" s="6"/>
      <c r="V110" s="6"/>
      <c r="W110" s="6" t="str">
        <f t="shared" si="5"/>
        <v>Critico</v>
      </c>
    </row>
    <row r="111" spans="1:23">
      <c r="A111" s="63">
        <f>Inicial!A73</f>
        <v>0</v>
      </c>
      <c r="B111" s="64">
        <f>Inicial!B73</f>
        <v>0</v>
      </c>
      <c r="C111" s="64">
        <f>Inicial!C73</f>
        <v>0</v>
      </c>
      <c r="D111" s="65">
        <f>Inicial!D73</f>
        <v>0</v>
      </c>
      <c r="E111" s="63" t="str">
        <f>IF(Inicial!J73="SI",Inicial!E73,"N/A")</f>
        <v>N/A</v>
      </c>
      <c r="F111" s="64" t="str">
        <f>IF(Inicial!J73="SI",Inicial!F73,"N/A")</f>
        <v>N/A</v>
      </c>
      <c r="G111" s="64" t="str">
        <f>IF(Inicial!J73="SI",Inicial!G73,"N/A")</f>
        <v>N/A</v>
      </c>
      <c r="H111" s="64" t="str">
        <f>IF(Inicial!J73="SI",Inicial!H73,"N/A")</f>
        <v>N/A</v>
      </c>
      <c r="I111" s="66" t="str">
        <f>IF(Inicial!J73="SI",Inicial!I73,"N/A")</f>
        <v>N/A</v>
      </c>
      <c r="P111" s="6" t="str">
        <f t="shared" si="4"/>
        <v>Aceptable</v>
      </c>
      <c r="Q111" s="6"/>
      <c r="R111" s="6"/>
      <c r="S111" s="6"/>
      <c r="T111" s="6"/>
      <c r="U111" s="6"/>
      <c r="V111" s="6"/>
      <c r="W111" s="6" t="str">
        <f t="shared" si="5"/>
        <v>Critico</v>
      </c>
    </row>
    <row r="112" spans="1:23">
      <c r="A112" s="63">
        <f>Inicial!A74</f>
        <v>0</v>
      </c>
      <c r="B112" s="64">
        <f>Inicial!B74</f>
        <v>0</v>
      </c>
      <c r="C112" s="64">
        <f>Inicial!C74</f>
        <v>0</v>
      </c>
      <c r="D112" s="65">
        <f>Inicial!D74</f>
        <v>0</v>
      </c>
      <c r="E112" s="63" t="str">
        <f>IF(Inicial!J74="SI",Inicial!E74,"N/A")</f>
        <v>N/A</v>
      </c>
      <c r="F112" s="64" t="str">
        <f>IF(Inicial!J74="SI",Inicial!F74,"N/A")</f>
        <v>N/A</v>
      </c>
      <c r="G112" s="64" t="str">
        <f>IF(Inicial!J74="SI",Inicial!G74,"N/A")</f>
        <v>N/A</v>
      </c>
      <c r="H112" s="64" t="str">
        <f>IF(Inicial!J74="SI",Inicial!H74,"N/A")</f>
        <v>N/A</v>
      </c>
      <c r="I112" s="66" t="str">
        <f>IF(Inicial!J74="SI",Inicial!I74,"N/A")</f>
        <v>N/A</v>
      </c>
      <c r="P112" s="6" t="str">
        <f t="shared" si="4"/>
        <v>Aceptable</v>
      </c>
      <c r="Q112" s="6"/>
      <c r="R112" s="6"/>
      <c r="S112" s="6"/>
      <c r="T112" s="6"/>
      <c r="U112" s="6"/>
      <c r="V112" s="6"/>
      <c r="W112" s="6" t="str">
        <f t="shared" si="5"/>
        <v>Critico</v>
      </c>
    </row>
    <row r="113" spans="1:23">
      <c r="A113" s="63">
        <f>Inicial!A75</f>
        <v>0</v>
      </c>
      <c r="B113" s="64">
        <f>Inicial!B75</f>
        <v>0</v>
      </c>
      <c r="C113" s="64">
        <f>Inicial!C75</f>
        <v>0</v>
      </c>
      <c r="D113" s="65">
        <f>Inicial!D75</f>
        <v>0</v>
      </c>
      <c r="E113" s="63" t="str">
        <f>IF(Inicial!J75="SI",Inicial!E75,"N/A")</f>
        <v>N/A</v>
      </c>
      <c r="F113" s="64" t="str">
        <f>IF(Inicial!J75="SI",Inicial!F75,"N/A")</f>
        <v>N/A</v>
      </c>
      <c r="G113" s="64" t="str">
        <f>IF(Inicial!J75="SI",Inicial!G75,"N/A")</f>
        <v>N/A</v>
      </c>
      <c r="H113" s="64" t="str">
        <f>IF(Inicial!J75="SI",Inicial!H75,"N/A")</f>
        <v>N/A</v>
      </c>
      <c r="I113" s="66" t="str">
        <f>IF(Inicial!J75="SI",Inicial!I75,"N/A")</f>
        <v>N/A</v>
      </c>
      <c r="P113" s="6" t="str">
        <f t="shared" si="4"/>
        <v>Aceptable</v>
      </c>
      <c r="Q113" s="6"/>
      <c r="R113" s="6"/>
      <c r="S113" s="6"/>
      <c r="T113" s="6"/>
      <c r="U113" s="6"/>
      <c r="V113" s="6"/>
      <c r="W113" s="6" t="str">
        <f t="shared" si="5"/>
        <v>Critico</v>
      </c>
    </row>
    <row r="114" spans="1:23">
      <c r="A114" s="63">
        <f>Inicial!A76</f>
        <v>0</v>
      </c>
      <c r="B114" s="64">
        <f>Inicial!B76</f>
        <v>0</v>
      </c>
      <c r="C114" s="64">
        <f>Inicial!C76</f>
        <v>0</v>
      </c>
      <c r="D114" s="65">
        <f>Inicial!D76</f>
        <v>0</v>
      </c>
      <c r="E114" s="63" t="str">
        <f>IF(Inicial!J76="SI",Inicial!E76,"N/A")</f>
        <v>N/A</v>
      </c>
      <c r="F114" s="64" t="str">
        <f>IF(Inicial!J76="SI",Inicial!F76,"N/A")</f>
        <v>N/A</v>
      </c>
      <c r="G114" s="64" t="str">
        <f>IF(Inicial!J76="SI",Inicial!G76,"N/A")</f>
        <v>N/A</v>
      </c>
      <c r="H114" s="64" t="str">
        <f>IF(Inicial!J76="SI",Inicial!H76,"N/A")</f>
        <v>N/A</v>
      </c>
      <c r="I114" s="66" t="str">
        <f>IF(Inicial!J76="SI",Inicial!I76,"N/A")</f>
        <v>N/A</v>
      </c>
      <c r="P114" s="6" t="str">
        <f t="shared" si="4"/>
        <v>Aceptable</v>
      </c>
      <c r="Q114" s="6"/>
      <c r="R114" s="6"/>
      <c r="S114" s="6"/>
      <c r="T114" s="6"/>
      <c r="U114" s="6"/>
      <c r="V114" s="6"/>
      <c r="W114" s="6" t="str">
        <f t="shared" si="5"/>
        <v>Critico</v>
      </c>
    </row>
    <row r="115" spans="1:23">
      <c r="A115" s="63">
        <f>Inicial!A77</f>
        <v>0</v>
      </c>
      <c r="B115" s="64">
        <f>Inicial!B77</f>
        <v>0</v>
      </c>
      <c r="C115" s="64">
        <f>Inicial!C77</f>
        <v>0</v>
      </c>
      <c r="D115" s="65">
        <f>Inicial!D77</f>
        <v>0</v>
      </c>
      <c r="E115" s="63" t="str">
        <f>IF(Inicial!J77="SI",Inicial!E77,"N/A")</f>
        <v>N/A</v>
      </c>
      <c r="F115" s="64" t="str">
        <f>IF(Inicial!J77="SI",Inicial!F77,"N/A")</f>
        <v>N/A</v>
      </c>
      <c r="G115" s="64" t="str">
        <f>IF(Inicial!J77="SI",Inicial!G77,"N/A")</f>
        <v>N/A</v>
      </c>
      <c r="H115" s="64" t="str">
        <f>IF(Inicial!J77="SI",Inicial!H77,"N/A")</f>
        <v>N/A</v>
      </c>
      <c r="I115" s="66" t="str">
        <f>IF(Inicial!J77="SI",Inicial!I77,"N/A")</f>
        <v>N/A</v>
      </c>
      <c r="P115" s="6" t="str">
        <f t="shared" si="4"/>
        <v>Aceptable</v>
      </c>
      <c r="Q115" s="6"/>
      <c r="R115" s="6"/>
      <c r="S115" s="6"/>
      <c r="T115" s="6"/>
      <c r="U115" s="6"/>
      <c r="V115" s="6"/>
      <c r="W115" s="6" t="str">
        <f t="shared" si="5"/>
        <v>Critico</v>
      </c>
    </row>
    <row r="116" spans="1:23">
      <c r="A116" s="63">
        <f>Inicial!A78</f>
        <v>0</v>
      </c>
      <c r="B116" s="64">
        <f>Inicial!B78</f>
        <v>0</v>
      </c>
      <c r="C116" s="64">
        <f>Inicial!C78</f>
        <v>0</v>
      </c>
      <c r="D116" s="65">
        <f>Inicial!D78</f>
        <v>0</v>
      </c>
      <c r="E116" s="63" t="str">
        <f>IF(Inicial!J78="SI",Inicial!E78,"N/A")</f>
        <v>N/A</v>
      </c>
      <c r="F116" s="64" t="str">
        <f>IF(Inicial!J78="SI",Inicial!F78,"N/A")</f>
        <v>N/A</v>
      </c>
      <c r="G116" s="64" t="str">
        <f>IF(Inicial!J78="SI",Inicial!G78,"N/A")</f>
        <v>N/A</v>
      </c>
      <c r="H116" s="64" t="str">
        <f>IF(Inicial!J78="SI",Inicial!H78,"N/A")</f>
        <v>N/A</v>
      </c>
      <c r="I116" s="66" t="str">
        <f>IF(Inicial!J78="SI",Inicial!I78,"N/A")</f>
        <v>N/A</v>
      </c>
      <c r="P116" s="6" t="str">
        <f t="shared" si="4"/>
        <v>Aceptable</v>
      </c>
      <c r="Q116" s="6"/>
      <c r="R116" s="6"/>
      <c r="S116" s="6"/>
      <c r="T116" s="6"/>
      <c r="U116" s="6"/>
      <c r="V116" s="6"/>
      <c r="W116" s="6" t="str">
        <f t="shared" si="5"/>
        <v>Critico</v>
      </c>
    </row>
    <row r="117" spans="1:23">
      <c r="A117" s="63">
        <f>Inicial!A79</f>
        <v>0</v>
      </c>
      <c r="B117" s="64">
        <f>Inicial!B79</f>
        <v>0</v>
      </c>
      <c r="C117" s="64">
        <f>Inicial!C79</f>
        <v>0</v>
      </c>
      <c r="D117" s="65">
        <f>Inicial!D79</f>
        <v>0</v>
      </c>
      <c r="E117" s="63" t="str">
        <f>IF(Inicial!J79="SI",Inicial!E79,"N/A")</f>
        <v>N/A</v>
      </c>
      <c r="F117" s="64" t="str">
        <f>IF(Inicial!J79="SI",Inicial!F79,"N/A")</f>
        <v>N/A</v>
      </c>
      <c r="G117" s="64" t="str">
        <f>IF(Inicial!J79="SI",Inicial!G79,"N/A")</f>
        <v>N/A</v>
      </c>
      <c r="H117" s="64" t="str">
        <f>IF(Inicial!J79="SI",Inicial!H79,"N/A")</f>
        <v>N/A</v>
      </c>
      <c r="I117" s="66" t="str">
        <f>IF(Inicial!J79="SI",Inicial!I79,"N/A")</f>
        <v>N/A</v>
      </c>
      <c r="P117" s="6" t="str">
        <f t="shared" si="4"/>
        <v>Aceptable</v>
      </c>
      <c r="Q117" s="6"/>
      <c r="R117" s="6"/>
      <c r="S117" s="6"/>
      <c r="T117" s="6"/>
      <c r="U117" s="6"/>
      <c r="V117" s="6"/>
      <c r="W117" s="6" t="str">
        <f t="shared" si="5"/>
        <v>Critico</v>
      </c>
    </row>
    <row r="118" spans="1:23">
      <c r="A118" s="63">
        <f>Inicial!A80</f>
        <v>0</v>
      </c>
      <c r="B118" s="64">
        <f>Inicial!B80</f>
        <v>0</v>
      </c>
      <c r="C118" s="64">
        <f>Inicial!C80</f>
        <v>0</v>
      </c>
      <c r="D118" s="65">
        <f>Inicial!D80</f>
        <v>0</v>
      </c>
      <c r="E118" s="63" t="str">
        <f>IF(Inicial!J80="SI",Inicial!E80,"N/A")</f>
        <v>N/A</v>
      </c>
      <c r="F118" s="64" t="str">
        <f>IF(Inicial!J80="SI",Inicial!F80,"N/A")</f>
        <v>N/A</v>
      </c>
      <c r="G118" s="64" t="str">
        <f>IF(Inicial!J80="SI",Inicial!G80,"N/A")</f>
        <v>N/A</v>
      </c>
      <c r="H118" s="64" t="str">
        <f>IF(Inicial!J80="SI",Inicial!H80,"N/A")</f>
        <v>N/A</v>
      </c>
      <c r="I118" s="66" t="str">
        <f>IF(Inicial!J80="SI",Inicial!I80,"N/A")</f>
        <v>N/A</v>
      </c>
      <c r="P118" s="6" t="str">
        <f t="shared" si="4"/>
        <v>Aceptable</v>
      </c>
      <c r="Q118" s="6"/>
      <c r="R118" s="6"/>
      <c r="S118" s="6"/>
      <c r="T118" s="6"/>
      <c r="U118" s="6"/>
      <c r="V118" s="6"/>
      <c r="W118" s="6" t="str">
        <f t="shared" si="5"/>
        <v>Critico</v>
      </c>
    </row>
    <row r="119" spans="1:23">
      <c r="A119" s="63">
        <f>Inicial!A81</f>
        <v>0</v>
      </c>
      <c r="B119" s="64">
        <f>Inicial!B81</f>
        <v>0</v>
      </c>
      <c r="C119" s="64">
        <f>Inicial!C81</f>
        <v>0</v>
      </c>
      <c r="D119" s="65">
        <f>Inicial!D81</f>
        <v>0</v>
      </c>
      <c r="E119" s="63" t="str">
        <f>IF(Inicial!J81="SI",Inicial!E81,"N/A")</f>
        <v>N/A</v>
      </c>
      <c r="F119" s="64" t="str">
        <f>IF(Inicial!J81="SI",Inicial!F81,"N/A")</f>
        <v>N/A</v>
      </c>
      <c r="G119" s="64" t="str">
        <f>IF(Inicial!J81="SI",Inicial!G81,"N/A")</f>
        <v>N/A</v>
      </c>
      <c r="H119" s="64" t="str">
        <f>IF(Inicial!J81="SI",Inicial!H81,"N/A")</f>
        <v>N/A</v>
      </c>
      <c r="I119" s="66" t="str">
        <f>IF(Inicial!J81="SI",Inicial!I81,"N/A")</f>
        <v>N/A</v>
      </c>
      <c r="P119" s="6" t="str">
        <f t="shared" si="4"/>
        <v>Aceptable</v>
      </c>
      <c r="Q119" s="6"/>
      <c r="R119" s="6"/>
      <c r="S119" s="6"/>
      <c r="T119" s="6"/>
      <c r="U119" s="6"/>
      <c r="V119" s="6"/>
      <c r="W119" s="6" t="str">
        <f t="shared" si="5"/>
        <v>Critico</v>
      </c>
    </row>
    <row r="120" spans="1:23">
      <c r="A120" s="63">
        <f>Inicial!A82</f>
        <v>0</v>
      </c>
      <c r="B120" s="64">
        <f>Inicial!B82</f>
        <v>0</v>
      </c>
      <c r="C120" s="64">
        <f>Inicial!C82</f>
        <v>0</v>
      </c>
      <c r="D120" s="65">
        <f>Inicial!D82</f>
        <v>0</v>
      </c>
      <c r="E120" s="63" t="str">
        <f>IF(Inicial!J82="SI",Inicial!E82,"N/A")</f>
        <v>N/A</v>
      </c>
      <c r="F120" s="64" t="str">
        <f>IF(Inicial!J82="SI",Inicial!F82,"N/A")</f>
        <v>N/A</v>
      </c>
      <c r="G120" s="64" t="str">
        <f>IF(Inicial!J82="SI",Inicial!G82,"N/A")</f>
        <v>N/A</v>
      </c>
      <c r="H120" s="64" t="str">
        <f>IF(Inicial!J82="SI",Inicial!H82,"N/A")</f>
        <v>N/A</v>
      </c>
      <c r="I120" s="66" t="str">
        <f>IF(Inicial!J82="SI",Inicial!I82,"N/A")</f>
        <v>N/A</v>
      </c>
      <c r="P120" s="6" t="str">
        <f t="shared" si="4"/>
        <v>Aceptable</v>
      </c>
      <c r="Q120" s="6"/>
      <c r="R120" s="6"/>
      <c r="S120" s="6"/>
      <c r="T120" s="6"/>
      <c r="U120" s="6"/>
      <c r="V120" s="6"/>
      <c r="W120" s="6" t="str">
        <f t="shared" si="5"/>
        <v>Critico</v>
      </c>
    </row>
    <row r="121" spans="1:23">
      <c r="A121" s="63">
        <f>Inicial!A83</f>
        <v>0</v>
      </c>
      <c r="B121" s="64">
        <f>Inicial!B83</f>
        <v>0</v>
      </c>
      <c r="C121" s="64">
        <f>Inicial!C83</f>
        <v>0</v>
      </c>
      <c r="D121" s="65">
        <f>Inicial!D83</f>
        <v>0</v>
      </c>
      <c r="E121" s="63" t="str">
        <f>IF(Inicial!J83="SI",Inicial!E83,"N/A")</f>
        <v>N/A</v>
      </c>
      <c r="F121" s="64" t="str">
        <f>IF(Inicial!J83="SI",Inicial!F83,"N/A")</f>
        <v>N/A</v>
      </c>
      <c r="G121" s="64" t="str">
        <f>IF(Inicial!J83="SI",Inicial!G83,"N/A")</f>
        <v>N/A</v>
      </c>
      <c r="H121" s="64" t="str">
        <f>IF(Inicial!J83="SI",Inicial!H83,"N/A")</f>
        <v>N/A</v>
      </c>
      <c r="I121" s="66" t="str">
        <f>IF(Inicial!J83="SI",Inicial!I83,"N/A")</f>
        <v>N/A</v>
      </c>
      <c r="P121" s="6" t="str">
        <f t="shared" si="4"/>
        <v>Aceptable</v>
      </c>
      <c r="Q121" s="6"/>
      <c r="R121" s="6"/>
      <c r="S121" s="6"/>
      <c r="T121" s="6"/>
      <c r="U121" s="6"/>
      <c r="V121" s="6"/>
      <c r="W121" s="6" t="str">
        <f t="shared" si="5"/>
        <v>Critico</v>
      </c>
    </row>
    <row r="122" spans="1:23">
      <c r="A122" s="63">
        <f>Inicial!A84</f>
        <v>0</v>
      </c>
      <c r="B122" s="64">
        <f>Inicial!B84</f>
        <v>0</v>
      </c>
      <c r="C122" s="64">
        <f>Inicial!C84</f>
        <v>0</v>
      </c>
      <c r="D122" s="65">
        <f>Inicial!D84</f>
        <v>0</v>
      </c>
      <c r="E122" s="63" t="str">
        <f>IF(Inicial!J84="SI",Inicial!E84,"N/A")</f>
        <v>N/A</v>
      </c>
      <c r="F122" s="64" t="str">
        <f>IF(Inicial!J84="SI",Inicial!F84,"N/A")</f>
        <v>N/A</v>
      </c>
      <c r="G122" s="64" t="str">
        <f>IF(Inicial!J84="SI",Inicial!G84,"N/A")</f>
        <v>N/A</v>
      </c>
      <c r="H122" s="64" t="str">
        <f>IF(Inicial!J84="SI",Inicial!H84,"N/A")</f>
        <v>N/A</v>
      </c>
      <c r="I122" s="66" t="str">
        <f>IF(Inicial!J84="SI",Inicial!I84,"N/A")</f>
        <v>N/A</v>
      </c>
      <c r="P122" s="6" t="str">
        <f t="shared" si="4"/>
        <v>Aceptable</v>
      </c>
      <c r="Q122" s="6"/>
      <c r="R122" s="6"/>
      <c r="S122" s="6"/>
      <c r="T122" s="6"/>
      <c r="U122" s="6"/>
      <c r="V122" s="6"/>
      <c r="W122" s="6" t="str">
        <f t="shared" si="5"/>
        <v>Critico</v>
      </c>
    </row>
    <row r="123" spans="1:23">
      <c r="A123" s="63">
        <f>Inicial!A85</f>
        <v>0</v>
      </c>
      <c r="B123" s="64">
        <f>Inicial!B85</f>
        <v>0</v>
      </c>
      <c r="C123" s="64">
        <f>Inicial!C85</f>
        <v>0</v>
      </c>
      <c r="D123" s="65">
        <f>Inicial!D85</f>
        <v>0</v>
      </c>
      <c r="E123" s="63" t="str">
        <f>IF(Inicial!J85="SI",Inicial!E85,"N/A")</f>
        <v>N/A</v>
      </c>
      <c r="F123" s="64" t="str">
        <f>IF(Inicial!J85="SI",Inicial!F85,"N/A")</f>
        <v>N/A</v>
      </c>
      <c r="G123" s="64" t="str">
        <f>IF(Inicial!J85="SI",Inicial!G85,"N/A")</f>
        <v>N/A</v>
      </c>
      <c r="H123" s="64" t="str">
        <f>IF(Inicial!J85="SI",Inicial!H85,"N/A")</f>
        <v>N/A</v>
      </c>
      <c r="I123" s="66" t="str">
        <f>IF(Inicial!J85="SI",Inicial!I85,"N/A")</f>
        <v>N/A</v>
      </c>
      <c r="P123" s="6" t="str">
        <f t="shared" si="4"/>
        <v>Aceptable</v>
      </c>
      <c r="Q123" s="6"/>
      <c r="R123" s="6"/>
      <c r="S123" s="6"/>
      <c r="T123" s="6"/>
      <c r="U123" s="6"/>
      <c r="V123" s="6"/>
      <c r="W123" s="6" t="str">
        <f t="shared" si="5"/>
        <v>Critico</v>
      </c>
    </row>
    <row r="124" spans="1:23">
      <c r="A124" s="63">
        <f>Inicial!A86</f>
        <v>0</v>
      </c>
      <c r="B124" s="64">
        <f>Inicial!B86</f>
        <v>0</v>
      </c>
      <c r="C124" s="64">
        <f>Inicial!C86</f>
        <v>0</v>
      </c>
      <c r="D124" s="65">
        <f>Inicial!D86</f>
        <v>0</v>
      </c>
      <c r="E124" s="63" t="str">
        <f>IF(Inicial!J86="SI",Inicial!E86,"N/A")</f>
        <v>N/A</v>
      </c>
      <c r="F124" s="64" t="str">
        <f>IF(Inicial!J86="SI",Inicial!F86,"N/A")</f>
        <v>N/A</v>
      </c>
      <c r="G124" s="64" t="str">
        <f>IF(Inicial!J86="SI",Inicial!G86,"N/A")</f>
        <v>N/A</v>
      </c>
      <c r="H124" s="64" t="str">
        <f>IF(Inicial!J86="SI",Inicial!H86,"N/A")</f>
        <v>N/A</v>
      </c>
      <c r="I124" s="66" t="str">
        <f>IF(Inicial!J86="SI",Inicial!I86,"N/A")</f>
        <v>N/A</v>
      </c>
      <c r="P124" s="6" t="str">
        <f t="shared" si="4"/>
        <v>Aceptable</v>
      </c>
      <c r="Q124" s="6"/>
      <c r="R124" s="6"/>
      <c r="S124" s="6"/>
      <c r="T124" s="6"/>
      <c r="U124" s="6"/>
      <c r="V124" s="6"/>
      <c r="W124" s="6" t="str">
        <f t="shared" si="5"/>
        <v>Critico</v>
      </c>
    </row>
    <row r="125" spans="1:23">
      <c r="A125" s="63">
        <f>Inicial!A87</f>
        <v>0</v>
      </c>
      <c r="B125" s="64">
        <f>Inicial!B87</f>
        <v>0</v>
      </c>
      <c r="C125" s="64">
        <f>Inicial!C87</f>
        <v>0</v>
      </c>
      <c r="D125" s="65">
        <f>Inicial!D87</f>
        <v>0</v>
      </c>
      <c r="E125" s="63" t="str">
        <f>IF(Inicial!J87="SI",Inicial!E87,"N/A")</f>
        <v>N/A</v>
      </c>
      <c r="F125" s="64" t="str">
        <f>IF(Inicial!J87="SI",Inicial!F87,"N/A")</f>
        <v>N/A</v>
      </c>
      <c r="G125" s="64" t="str">
        <f>IF(Inicial!J87="SI",Inicial!G87,"N/A")</f>
        <v>N/A</v>
      </c>
      <c r="H125" s="64" t="str">
        <f>IF(Inicial!J87="SI",Inicial!H87,"N/A")</f>
        <v>N/A</v>
      </c>
      <c r="I125" s="66" t="str">
        <f>IF(Inicial!J87="SI",Inicial!I87,"N/A")</f>
        <v>N/A</v>
      </c>
      <c r="P125" s="6" t="str">
        <f t="shared" si="4"/>
        <v>Aceptable</v>
      </c>
      <c r="Q125" s="6"/>
      <c r="R125" s="6"/>
      <c r="S125" s="6"/>
      <c r="T125" s="6"/>
      <c r="U125" s="6"/>
      <c r="V125" s="6"/>
      <c r="W125" s="6" t="str">
        <f t="shared" si="5"/>
        <v>Critico</v>
      </c>
    </row>
    <row r="126" spans="1:23">
      <c r="A126" s="63">
        <f>Inicial!A88</f>
        <v>0</v>
      </c>
      <c r="B126" s="64">
        <f>Inicial!B88</f>
        <v>0</v>
      </c>
      <c r="C126" s="64">
        <f>Inicial!C88</f>
        <v>0</v>
      </c>
      <c r="D126" s="65">
        <f>Inicial!D88</f>
        <v>0</v>
      </c>
      <c r="E126" s="63" t="str">
        <f>IF(Inicial!J88="SI",Inicial!E88,"N/A")</f>
        <v>N/A</v>
      </c>
      <c r="F126" s="64" t="str">
        <f>IF(Inicial!J88="SI",Inicial!F88,"N/A")</f>
        <v>N/A</v>
      </c>
      <c r="G126" s="64" t="str">
        <f>IF(Inicial!J88="SI",Inicial!G88,"N/A")</f>
        <v>N/A</v>
      </c>
      <c r="H126" s="64" t="str">
        <f>IF(Inicial!J88="SI",Inicial!H88,"N/A")</f>
        <v>N/A</v>
      </c>
      <c r="I126" s="66" t="str">
        <f>IF(Inicial!J88="SI",Inicial!I88,"N/A")</f>
        <v>N/A</v>
      </c>
      <c r="P126" s="6" t="str">
        <f t="shared" si="4"/>
        <v>Aceptable</v>
      </c>
      <c r="Q126" s="6"/>
      <c r="R126" s="6"/>
      <c r="S126" s="6"/>
      <c r="T126" s="6"/>
      <c r="U126" s="6"/>
      <c r="V126" s="6"/>
      <c r="W126" s="6" t="str">
        <f t="shared" si="5"/>
        <v>Critico</v>
      </c>
    </row>
    <row r="127" spans="1:23">
      <c r="A127" s="63">
        <f>Inicial!A89</f>
        <v>0</v>
      </c>
      <c r="B127" s="64">
        <f>Inicial!B89</f>
        <v>0</v>
      </c>
      <c r="C127" s="64">
        <f>Inicial!C89</f>
        <v>0</v>
      </c>
      <c r="D127" s="65">
        <f>Inicial!D89</f>
        <v>0</v>
      </c>
      <c r="E127" s="63" t="str">
        <f>IF(Inicial!J89="SI",Inicial!E89,"N/A")</f>
        <v>N/A</v>
      </c>
      <c r="F127" s="64" t="str">
        <f>IF(Inicial!J89="SI",Inicial!F89,"N/A")</f>
        <v>N/A</v>
      </c>
      <c r="G127" s="64" t="str">
        <f>IF(Inicial!J89="SI",Inicial!G89,"N/A")</f>
        <v>N/A</v>
      </c>
      <c r="H127" s="64" t="str">
        <f>IF(Inicial!J89="SI",Inicial!H89,"N/A")</f>
        <v>N/A</v>
      </c>
      <c r="I127" s="66" t="str">
        <f>IF(Inicial!J89="SI",Inicial!I89,"N/A")</f>
        <v>N/A</v>
      </c>
      <c r="P127" s="6" t="str">
        <f t="shared" si="4"/>
        <v>Aceptable</v>
      </c>
      <c r="Q127" s="6"/>
      <c r="R127" s="6"/>
      <c r="S127" s="6"/>
      <c r="T127" s="6"/>
      <c r="U127" s="6"/>
      <c r="V127" s="6"/>
      <c r="W127" s="6" t="str">
        <f t="shared" si="5"/>
        <v>Critico</v>
      </c>
    </row>
    <row r="128" spans="1:23">
      <c r="A128" s="63">
        <f>Inicial!A90</f>
        <v>0</v>
      </c>
      <c r="B128" s="64">
        <f>Inicial!B90</f>
        <v>0</v>
      </c>
      <c r="C128" s="64">
        <f>Inicial!C90</f>
        <v>0</v>
      </c>
      <c r="D128" s="65">
        <f>Inicial!D90</f>
        <v>0</v>
      </c>
      <c r="E128" s="63" t="str">
        <f>IF(Inicial!J90="SI",Inicial!E90,"N/A")</f>
        <v>N/A</v>
      </c>
      <c r="F128" s="64" t="str">
        <f>IF(Inicial!J90="SI",Inicial!F90,"N/A")</f>
        <v>N/A</v>
      </c>
      <c r="G128" s="64" t="str">
        <f>IF(Inicial!J90="SI",Inicial!G90,"N/A")</f>
        <v>N/A</v>
      </c>
      <c r="H128" s="64" t="str">
        <f>IF(Inicial!J90="SI",Inicial!H90,"N/A")</f>
        <v>N/A</v>
      </c>
      <c r="I128" s="66" t="str">
        <f>IF(Inicial!J90="SI",Inicial!I90,"N/A")</f>
        <v>N/A</v>
      </c>
      <c r="P128" s="6" t="str">
        <f t="shared" si="4"/>
        <v>Aceptable</v>
      </c>
      <c r="Q128" s="6"/>
      <c r="R128" s="6"/>
      <c r="S128" s="6"/>
      <c r="T128" s="6"/>
      <c r="U128" s="6"/>
      <c r="V128" s="6"/>
      <c r="W128" s="6" t="str">
        <f t="shared" si="5"/>
        <v>Critico</v>
      </c>
    </row>
    <row r="129" spans="1:23">
      <c r="A129" s="63">
        <f>Inicial!A91</f>
        <v>0</v>
      </c>
      <c r="B129" s="64">
        <f>Inicial!B91</f>
        <v>0</v>
      </c>
      <c r="C129" s="64">
        <f>Inicial!C91</f>
        <v>0</v>
      </c>
      <c r="D129" s="65">
        <f>Inicial!D91</f>
        <v>0</v>
      </c>
      <c r="E129" s="63" t="str">
        <f>IF(Inicial!J91="SI",Inicial!E91,"N/A")</f>
        <v>N/A</v>
      </c>
      <c r="F129" s="64" t="str">
        <f>IF(Inicial!J91="SI",Inicial!F91,"N/A")</f>
        <v>N/A</v>
      </c>
      <c r="G129" s="64" t="str">
        <f>IF(Inicial!J91="SI",Inicial!G91,"N/A")</f>
        <v>N/A</v>
      </c>
      <c r="H129" s="64" t="str">
        <f>IF(Inicial!J91="SI",Inicial!H91,"N/A")</f>
        <v>N/A</v>
      </c>
      <c r="I129" s="66" t="str">
        <f>IF(Inicial!J91="SI",Inicial!I91,"N/A")</f>
        <v>N/A</v>
      </c>
      <c r="P129" s="6" t="str">
        <f t="shared" si="4"/>
        <v>Aceptable</v>
      </c>
      <c r="Q129" s="6"/>
      <c r="R129" s="6"/>
      <c r="S129" s="6"/>
      <c r="T129" s="6"/>
      <c r="U129" s="6"/>
      <c r="V129" s="6"/>
      <c r="W129" s="6" t="str">
        <f t="shared" si="5"/>
        <v>Critico</v>
      </c>
    </row>
    <row r="130" spans="1:23">
      <c r="A130" s="63">
        <f>Inicial!A92</f>
        <v>0</v>
      </c>
      <c r="B130" s="64">
        <f>Inicial!B92</f>
        <v>0</v>
      </c>
      <c r="C130" s="64">
        <f>Inicial!C92</f>
        <v>0</v>
      </c>
      <c r="D130" s="65">
        <f>Inicial!D92</f>
        <v>0</v>
      </c>
      <c r="E130" s="63" t="str">
        <f>IF(Inicial!J92="SI",Inicial!E92,"N/A")</f>
        <v>N/A</v>
      </c>
      <c r="F130" s="64" t="str">
        <f>IF(Inicial!J92="SI",Inicial!F92,"N/A")</f>
        <v>N/A</v>
      </c>
      <c r="G130" s="64" t="str">
        <f>IF(Inicial!J92="SI",Inicial!G92,"N/A")</f>
        <v>N/A</v>
      </c>
      <c r="H130" s="64" t="str">
        <f>IF(Inicial!J92="SI",Inicial!H92,"N/A")</f>
        <v>N/A</v>
      </c>
      <c r="I130" s="66" t="str">
        <f>IF(Inicial!J92="SI",Inicial!I92,"N/A")</f>
        <v>N/A</v>
      </c>
      <c r="P130" s="6" t="str">
        <f t="shared" si="4"/>
        <v>Aceptable</v>
      </c>
      <c r="Q130" s="6"/>
      <c r="R130" s="6"/>
      <c r="S130" s="6"/>
      <c r="T130" s="6"/>
      <c r="U130" s="6"/>
      <c r="V130" s="6"/>
      <c r="W130" s="6" t="str">
        <f t="shared" si="5"/>
        <v>Critico</v>
      </c>
    </row>
    <row r="131" spans="1:23">
      <c r="A131" s="63">
        <f>Inicial!A93</f>
        <v>0</v>
      </c>
      <c r="B131" s="64">
        <f>Inicial!B93</f>
        <v>0</v>
      </c>
      <c r="C131" s="64">
        <f>Inicial!C93</f>
        <v>0</v>
      </c>
      <c r="D131" s="65">
        <f>Inicial!D93</f>
        <v>0</v>
      </c>
      <c r="E131" s="63" t="str">
        <f>IF(Inicial!J93="SI",Inicial!E93,"N/A")</f>
        <v>N/A</v>
      </c>
      <c r="F131" s="64" t="str">
        <f>IF(Inicial!J93="SI",Inicial!F93,"N/A")</f>
        <v>N/A</v>
      </c>
      <c r="G131" s="64" t="str">
        <f>IF(Inicial!J93="SI",Inicial!G93,"N/A")</f>
        <v>N/A</v>
      </c>
      <c r="H131" s="64" t="str">
        <f>IF(Inicial!J93="SI",Inicial!H93,"N/A")</f>
        <v>N/A</v>
      </c>
      <c r="I131" s="66" t="str">
        <f>IF(Inicial!J93="SI",Inicial!I93,"N/A")</f>
        <v>N/A</v>
      </c>
      <c r="P131" s="6" t="str">
        <f t="shared" si="4"/>
        <v>Aceptable</v>
      </c>
      <c r="Q131" s="6"/>
      <c r="R131" s="6"/>
      <c r="S131" s="6"/>
      <c r="T131" s="6"/>
      <c r="U131" s="6"/>
      <c r="V131" s="6"/>
      <c r="W131" s="6" t="str">
        <f t="shared" si="5"/>
        <v>Critico</v>
      </c>
    </row>
    <row r="132" spans="1:23">
      <c r="A132" s="63">
        <f>Inicial!A94</f>
        <v>0</v>
      </c>
      <c r="B132" s="64">
        <f>Inicial!B94</f>
        <v>0</v>
      </c>
      <c r="C132" s="64">
        <f>Inicial!C94</f>
        <v>0</v>
      </c>
      <c r="D132" s="65">
        <f>Inicial!D94</f>
        <v>0</v>
      </c>
      <c r="E132" s="63" t="str">
        <f>IF(Inicial!J94="SI",Inicial!E94,"N/A")</f>
        <v>N/A</v>
      </c>
      <c r="F132" s="64" t="str">
        <f>IF(Inicial!J94="SI",Inicial!F94,"N/A")</f>
        <v>N/A</v>
      </c>
      <c r="G132" s="64" t="str">
        <f>IF(Inicial!J94="SI",Inicial!G94,"N/A")</f>
        <v>N/A</v>
      </c>
      <c r="H132" s="64" t="str">
        <f>IF(Inicial!J94="SI",Inicial!H94,"N/A")</f>
        <v>N/A</v>
      </c>
      <c r="I132" s="66" t="str">
        <f>IF(Inicial!J94="SI",Inicial!I94,"N/A")</f>
        <v>N/A</v>
      </c>
      <c r="P132" s="6" t="str">
        <f t="shared" ref="P132:P195" si="6">IF(OR(J132="NO",K132="NO",L132="NO",M132="NO",N132="NO",O132="NO"),"No Aceptable","Aceptable")</f>
        <v>Aceptable</v>
      </c>
      <c r="Q132" s="6"/>
      <c r="R132" s="6"/>
      <c r="S132" s="6"/>
      <c r="T132" s="6"/>
      <c r="U132" s="6"/>
      <c r="V132" s="6"/>
      <c r="W132" s="6" t="str">
        <f t="shared" ref="W132:W195" si="7">IF(AND(Q132="NO",R132="NO",S132="NO",T132="NO",U132="NO",V132="NO"),"No Critico","Critico")</f>
        <v>Critico</v>
      </c>
    </row>
    <row r="133" spans="1:23">
      <c r="A133" s="63">
        <f>Inicial!A95</f>
        <v>0</v>
      </c>
      <c r="B133" s="64">
        <f>Inicial!B95</f>
        <v>0</v>
      </c>
      <c r="C133" s="64">
        <f>Inicial!C95</f>
        <v>0</v>
      </c>
      <c r="D133" s="65">
        <f>Inicial!D95</f>
        <v>0</v>
      </c>
      <c r="E133" s="63" t="str">
        <f>IF(Inicial!J95="SI",Inicial!E95,"N/A")</f>
        <v>N/A</v>
      </c>
      <c r="F133" s="64" t="str">
        <f>IF(Inicial!J95="SI",Inicial!F95,"N/A")</f>
        <v>N/A</v>
      </c>
      <c r="G133" s="64" t="str">
        <f>IF(Inicial!J95="SI",Inicial!G95,"N/A")</f>
        <v>N/A</v>
      </c>
      <c r="H133" s="64" t="str">
        <f>IF(Inicial!J95="SI",Inicial!H95,"N/A")</f>
        <v>N/A</v>
      </c>
      <c r="I133" s="66" t="str">
        <f>IF(Inicial!J95="SI",Inicial!I95,"N/A")</f>
        <v>N/A</v>
      </c>
      <c r="P133" s="6" t="str">
        <f t="shared" si="6"/>
        <v>Aceptable</v>
      </c>
      <c r="Q133" s="6"/>
      <c r="R133" s="6"/>
      <c r="S133" s="6"/>
      <c r="T133" s="6"/>
      <c r="U133" s="6"/>
      <c r="V133" s="6"/>
      <c r="W133" s="6" t="str">
        <f t="shared" si="7"/>
        <v>Critico</v>
      </c>
    </row>
    <row r="134" spans="1:23">
      <c r="A134" s="63">
        <f>Inicial!A96</f>
        <v>0</v>
      </c>
      <c r="B134" s="64">
        <f>Inicial!B96</f>
        <v>0</v>
      </c>
      <c r="C134" s="64">
        <f>Inicial!C96</f>
        <v>0</v>
      </c>
      <c r="D134" s="65">
        <f>Inicial!D96</f>
        <v>0</v>
      </c>
      <c r="E134" s="63" t="str">
        <f>IF(Inicial!J96="SI",Inicial!E96,"N/A")</f>
        <v>N/A</v>
      </c>
      <c r="F134" s="64" t="str">
        <f>IF(Inicial!J96="SI",Inicial!F96,"N/A")</f>
        <v>N/A</v>
      </c>
      <c r="G134" s="64" t="str">
        <f>IF(Inicial!J96="SI",Inicial!G96,"N/A")</f>
        <v>N/A</v>
      </c>
      <c r="H134" s="64" t="str">
        <f>IF(Inicial!J96="SI",Inicial!H96,"N/A")</f>
        <v>N/A</v>
      </c>
      <c r="I134" s="66" t="str">
        <f>IF(Inicial!J96="SI",Inicial!I96,"N/A")</f>
        <v>N/A</v>
      </c>
      <c r="P134" s="6" t="str">
        <f t="shared" si="6"/>
        <v>Aceptable</v>
      </c>
      <c r="Q134" s="6"/>
      <c r="R134" s="6"/>
      <c r="S134" s="6"/>
      <c r="T134" s="6"/>
      <c r="U134" s="6"/>
      <c r="V134" s="6"/>
      <c r="W134" s="6" t="str">
        <f t="shared" si="7"/>
        <v>Critico</v>
      </c>
    </row>
    <row r="135" spans="1:23">
      <c r="A135" s="63">
        <f>Inicial!A97</f>
        <v>0</v>
      </c>
      <c r="B135" s="64">
        <f>Inicial!B97</f>
        <v>0</v>
      </c>
      <c r="C135" s="64">
        <f>Inicial!C97</f>
        <v>0</v>
      </c>
      <c r="D135" s="65">
        <f>Inicial!D97</f>
        <v>0</v>
      </c>
      <c r="E135" s="63" t="str">
        <f>IF(Inicial!J97="SI",Inicial!E97,"N/A")</f>
        <v>N/A</v>
      </c>
      <c r="F135" s="64" t="str">
        <f>IF(Inicial!J97="SI",Inicial!F97,"N/A")</f>
        <v>N/A</v>
      </c>
      <c r="G135" s="64" t="str">
        <f>IF(Inicial!J97="SI",Inicial!G97,"N/A")</f>
        <v>N/A</v>
      </c>
      <c r="H135" s="64" t="str">
        <f>IF(Inicial!J97="SI",Inicial!H97,"N/A")</f>
        <v>N/A</v>
      </c>
      <c r="I135" s="66" t="str">
        <f>IF(Inicial!J97="SI",Inicial!I97,"N/A")</f>
        <v>N/A</v>
      </c>
      <c r="P135" s="6" t="str">
        <f t="shared" si="6"/>
        <v>Aceptable</v>
      </c>
      <c r="Q135" s="6"/>
      <c r="R135" s="6"/>
      <c r="S135" s="6"/>
      <c r="T135" s="6"/>
      <c r="U135" s="6"/>
      <c r="V135" s="6"/>
      <c r="W135" s="6" t="str">
        <f t="shared" si="7"/>
        <v>Critico</v>
      </c>
    </row>
    <row r="136" spans="1:23">
      <c r="A136" s="63">
        <f>Inicial!A98</f>
        <v>0</v>
      </c>
      <c r="B136" s="64">
        <f>Inicial!B98</f>
        <v>0</v>
      </c>
      <c r="C136" s="64">
        <f>Inicial!C98</f>
        <v>0</v>
      </c>
      <c r="D136" s="65">
        <f>Inicial!D98</f>
        <v>0</v>
      </c>
      <c r="E136" s="63" t="str">
        <f>IF(Inicial!J98="SI",Inicial!E98,"N/A")</f>
        <v>N/A</v>
      </c>
      <c r="F136" s="64" t="str">
        <f>IF(Inicial!J98="SI",Inicial!F98,"N/A")</f>
        <v>N/A</v>
      </c>
      <c r="G136" s="64" t="str">
        <f>IF(Inicial!J98="SI",Inicial!G98,"N/A")</f>
        <v>N/A</v>
      </c>
      <c r="H136" s="64" t="str">
        <f>IF(Inicial!J98="SI",Inicial!H98,"N/A")</f>
        <v>N/A</v>
      </c>
      <c r="I136" s="66" t="str">
        <f>IF(Inicial!J98="SI",Inicial!I98,"N/A")</f>
        <v>N/A</v>
      </c>
      <c r="P136" s="6" t="str">
        <f t="shared" si="6"/>
        <v>Aceptable</v>
      </c>
      <c r="Q136" s="6"/>
      <c r="R136" s="6"/>
      <c r="S136" s="6"/>
      <c r="T136" s="6"/>
      <c r="U136" s="6"/>
      <c r="V136" s="6"/>
      <c r="W136" s="6" t="str">
        <f t="shared" si="7"/>
        <v>Critico</v>
      </c>
    </row>
    <row r="137" spans="1:23">
      <c r="A137" s="63">
        <f>Inicial!A99</f>
        <v>0</v>
      </c>
      <c r="B137" s="64">
        <f>Inicial!B99</f>
        <v>0</v>
      </c>
      <c r="C137" s="64">
        <f>Inicial!C99</f>
        <v>0</v>
      </c>
      <c r="D137" s="65">
        <f>Inicial!D99</f>
        <v>0</v>
      </c>
      <c r="E137" s="63" t="str">
        <f>IF(Inicial!J99="SI",Inicial!E99,"N/A")</f>
        <v>N/A</v>
      </c>
      <c r="F137" s="64" t="str">
        <f>IF(Inicial!J99="SI",Inicial!F99,"N/A")</f>
        <v>N/A</v>
      </c>
      <c r="G137" s="64" t="str">
        <f>IF(Inicial!J99="SI",Inicial!G99,"N/A")</f>
        <v>N/A</v>
      </c>
      <c r="H137" s="64" t="str">
        <f>IF(Inicial!J99="SI",Inicial!H99,"N/A")</f>
        <v>N/A</v>
      </c>
      <c r="I137" s="66" t="str">
        <f>IF(Inicial!J99="SI",Inicial!I99,"N/A")</f>
        <v>N/A</v>
      </c>
      <c r="P137" s="6" t="str">
        <f t="shared" si="6"/>
        <v>Aceptable</v>
      </c>
      <c r="Q137" s="6"/>
      <c r="R137" s="6"/>
      <c r="S137" s="6"/>
      <c r="T137" s="6"/>
      <c r="U137" s="6"/>
      <c r="V137" s="6"/>
      <c r="W137" s="6" t="str">
        <f t="shared" si="7"/>
        <v>Critico</v>
      </c>
    </row>
    <row r="138" spans="1:23">
      <c r="A138" s="63">
        <f>Inicial!A100</f>
        <v>0</v>
      </c>
      <c r="B138" s="64">
        <f>Inicial!B100</f>
        <v>0</v>
      </c>
      <c r="C138" s="64">
        <f>Inicial!C100</f>
        <v>0</v>
      </c>
      <c r="D138" s="65">
        <f>Inicial!D100</f>
        <v>0</v>
      </c>
      <c r="E138" s="63" t="str">
        <f>IF(Inicial!J100="SI",Inicial!E100,"N/A")</f>
        <v>N/A</v>
      </c>
      <c r="F138" s="64" t="str">
        <f>IF(Inicial!J100="SI",Inicial!F100,"N/A")</f>
        <v>N/A</v>
      </c>
      <c r="G138" s="64" t="str">
        <f>IF(Inicial!J100="SI",Inicial!G100,"N/A")</f>
        <v>N/A</v>
      </c>
      <c r="H138" s="64" t="str">
        <f>IF(Inicial!J100="SI",Inicial!H100,"N/A")</f>
        <v>N/A</v>
      </c>
      <c r="I138" s="66" t="str">
        <f>IF(Inicial!J100="SI",Inicial!I100,"N/A")</f>
        <v>N/A</v>
      </c>
      <c r="P138" s="6" t="str">
        <f t="shared" si="6"/>
        <v>Aceptable</v>
      </c>
      <c r="Q138" s="6"/>
      <c r="R138" s="6"/>
      <c r="S138" s="6"/>
      <c r="T138" s="6"/>
      <c r="U138" s="6"/>
      <c r="V138" s="6"/>
      <c r="W138" s="6" t="str">
        <f t="shared" si="7"/>
        <v>Critico</v>
      </c>
    </row>
    <row r="139" spans="1:23">
      <c r="A139" s="63">
        <f>Inicial!A101</f>
        <v>0</v>
      </c>
      <c r="B139" s="64">
        <f>Inicial!B101</f>
        <v>0</v>
      </c>
      <c r="C139" s="64">
        <f>Inicial!C101</f>
        <v>0</v>
      </c>
      <c r="D139" s="65">
        <f>Inicial!D101</f>
        <v>0</v>
      </c>
      <c r="E139" s="63" t="str">
        <f>IF(Inicial!J101="SI",Inicial!E101,"N/A")</f>
        <v>N/A</v>
      </c>
      <c r="F139" s="64" t="str">
        <f>IF(Inicial!J101="SI",Inicial!F101,"N/A")</f>
        <v>N/A</v>
      </c>
      <c r="G139" s="64" t="str">
        <f>IF(Inicial!J101="SI",Inicial!G101,"N/A")</f>
        <v>N/A</v>
      </c>
      <c r="H139" s="64" t="str">
        <f>IF(Inicial!J101="SI",Inicial!H101,"N/A")</f>
        <v>N/A</v>
      </c>
      <c r="I139" s="66" t="str">
        <f>IF(Inicial!J101="SI",Inicial!I101,"N/A")</f>
        <v>N/A</v>
      </c>
      <c r="P139" s="6" t="str">
        <f t="shared" si="6"/>
        <v>Aceptable</v>
      </c>
      <c r="Q139" s="6"/>
      <c r="R139" s="6"/>
      <c r="S139" s="6"/>
      <c r="T139" s="6"/>
      <c r="U139" s="6"/>
      <c r="V139" s="6"/>
      <c r="W139" s="6" t="str">
        <f t="shared" si="7"/>
        <v>Critico</v>
      </c>
    </row>
    <row r="140" spans="1:23">
      <c r="A140" s="63">
        <f>Inicial!A102</f>
        <v>0</v>
      </c>
      <c r="B140" s="64">
        <f>Inicial!B102</f>
        <v>0</v>
      </c>
      <c r="C140" s="64">
        <f>Inicial!C102</f>
        <v>0</v>
      </c>
      <c r="D140" s="65">
        <f>Inicial!D102</f>
        <v>0</v>
      </c>
      <c r="E140" s="63" t="str">
        <f>IF(Inicial!J102="SI",Inicial!E102,"N/A")</f>
        <v>N/A</v>
      </c>
      <c r="F140" s="64" t="str">
        <f>IF(Inicial!J102="SI",Inicial!F102,"N/A")</f>
        <v>N/A</v>
      </c>
      <c r="G140" s="64" t="str">
        <f>IF(Inicial!J102="SI",Inicial!G102,"N/A")</f>
        <v>N/A</v>
      </c>
      <c r="H140" s="64" t="str">
        <f>IF(Inicial!J102="SI",Inicial!H102,"N/A")</f>
        <v>N/A</v>
      </c>
      <c r="I140" s="66" t="str">
        <f>IF(Inicial!J102="SI",Inicial!I102,"N/A")</f>
        <v>N/A</v>
      </c>
      <c r="P140" s="6" t="str">
        <f t="shared" si="6"/>
        <v>Aceptable</v>
      </c>
      <c r="Q140" s="6"/>
      <c r="R140" s="6"/>
      <c r="S140" s="6"/>
      <c r="T140" s="6"/>
      <c r="U140" s="6"/>
      <c r="V140" s="6"/>
      <c r="W140" s="6" t="str">
        <f t="shared" si="7"/>
        <v>Critico</v>
      </c>
    </row>
    <row r="141" spans="1:23">
      <c r="A141" s="63">
        <f>Inicial!A103</f>
        <v>0</v>
      </c>
      <c r="B141" s="64">
        <f>Inicial!B103</f>
        <v>0</v>
      </c>
      <c r="C141" s="64">
        <f>Inicial!C103</f>
        <v>0</v>
      </c>
      <c r="D141" s="65">
        <f>Inicial!D103</f>
        <v>0</v>
      </c>
      <c r="E141" s="63" t="str">
        <f>IF(Inicial!J103="SI",Inicial!E103,"N/A")</f>
        <v>N/A</v>
      </c>
      <c r="F141" s="64" t="str">
        <f>IF(Inicial!J103="SI",Inicial!F103,"N/A")</f>
        <v>N/A</v>
      </c>
      <c r="G141" s="64" t="str">
        <f>IF(Inicial!J103="SI",Inicial!G103,"N/A")</f>
        <v>N/A</v>
      </c>
      <c r="H141" s="64" t="str">
        <f>IF(Inicial!J103="SI",Inicial!H103,"N/A")</f>
        <v>N/A</v>
      </c>
      <c r="I141" s="66" t="str">
        <f>IF(Inicial!J103="SI",Inicial!I103,"N/A")</f>
        <v>N/A</v>
      </c>
      <c r="P141" s="6" t="str">
        <f t="shared" si="6"/>
        <v>Aceptable</v>
      </c>
      <c r="Q141" s="6"/>
      <c r="R141" s="6"/>
      <c r="S141" s="6"/>
      <c r="T141" s="6"/>
      <c r="U141" s="6"/>
      <c r="V141" s="6"/>
      <c r="W141" s="6" t="str">
        <f t="shared" si="7"/>
        <v>Critico</v>
      </c>
    </row>
    <row r="142" spans="1:23">
      <c r="A142" s="63">
        <f>Inicial!A104</f>
        <v>0</v>
      </c>
      <c r="B142" s="64">
        <f>Inicial!B104</f>
        <v>0</v>
      </c>
      <c r="C142" s="64">
        <f>Inicial!C104</f>
        <v>0</v>
      </c>
      <c r="D142" s="65">
        <f>Inicial!D104</f>
        <v>0</v>
      </c>
      <c r="E142" s="63" t="str">
        <f>IF(Inicial!J104="SI",Inicial!E104,"N/A")</f>
        <v>N/A</v>
      </c>
      <c r="F142" s="64" t="str">
        <f>IF(Inicial!J104="SI",Inicial!F104,"N/A")</f>
        <v>N/A</v>
      </c>
      <c r="G142" s="64" t="str">
        <f>IF(Inicial!J104="SI",Inicial!G104,"N/A")</f>
        <v>N/A</v>
      </c>
      <c r="H142" s="64" t="str">
        <f>IF(Inicial!J104="SI",Inicial!H104,"N/A")</f>
        <v>N/A</v>
      </c>
      <c r="I142" s="66" t="str">
        <f>IF(Inicial!J104="SI",Inicial!I104,"N/A")</f>
        <v>N/A</v>
      </c>
      <c r="P142" s="6" t="str">
        <f t="shared" si="6"/>
        <v>Aceptable</v>
      </c>
      <c r="Q142" s="6"/>
      <c r="R142" s="6"/>
      <c r="S142" s="6"/>
      <c r="T142" s="6"/>
      <c r="U142" s="6"/>
      <c r="V142" s="6"/>
      <c r="W142" s="6" t="str">
        <f t="shared" si="7"/>
        <v>Critico</v>
      </c>
    </row>
    <row r="143" spans="1:23">
      <c r="A143" s="63">
        <f>Inicial!A105</f>
        <v>0</v>
      </c>
      <c r="B143" s="64">
        <f>Inicial!B105</f>
        <v>0</v>
      </c>
      <c r="C143" s="64">
        <f>Inicial!C105</f>
        <v>0</v>
      </c>
      <c r="D143" s="65">
        <f>Inicial!D105</f>
        <v>0</v>
      </c>
      <c r="E143" s="63" t="str">
        <f>IF(Inicial!J105="SI",Inicial!E105,"N/A")</f>
        <v>N/A</v>
      </c>
      <c r="F143" s="64" t="str">
        <f>IF(Inicial!J105="SI",Inicial!F105,"N/A")</f>
        <v>N/A</v>
      </c>
      <c r="G143" s="64" t="str">
        <f>IF(Inicial!J105="SI",Inicial!G105,"N/A")</f>
        <v>N/A</v>
      </c>
      <c r="H143" s="64" t="str">
        <f>IF(Inicial!J105="SI",Inicial!H105,"N/A")</f>
        <v>N/A</v>
      </c>
      <c r="I143" s="66" t="str">
        <f>IF(Inicial!J105="SI",Inicial!I105,"N/A")</f>
        <v>N/A</v>
      </c>
      <c r="P143" s="6" t="str">
        <f t="shared" si="6"/>
        <v>Aceptable</v>
      </c>
      <c r="Q143" s="6"/>
      <c r="R143" s="6"/>
      <c r="S143" s="6"/>
      <c r="T143" s="6"/>
      <c r="U143" s="6"/>
      <c r="V143" s="6"/>
      <c r="W143" s="6" t="str">
        <f t="shared" si="7"/>
        <v>Critico</v>
      </c>
    </row>
    <row r="144" spans="1:23">
      <c r="A144" s="63">
        <f>Inicial!A106</f>
        <v>0</v>
      </c>
      <c r="B144" s="64">
        <f>Inicial!B106</f>
        <v>0</v>
      </c>
      <c r="C144" s="64">
        <f>Inicial!C106</f>
        <v>0</v>
      </c>
      <c r="D144" s="65">
        <f>Inicial!D106</f>
        <v>0</v>
      </c>
      <c r="E144" s="63" t="str">
        <f>IF(Inicial!J106="SI",Inicial!E106,"N/A")</f>
        <v>N/A</v>
      </c>
      <c r="F144" s="64" t="str">
        <f>IF(Inicial!J106="SI",Inicial!F106,"N/A")</f>
        <v>N/A</v>
      </c>
      <c r="G144" s="64" t="str">
        <f>IF(Inicial!J106="SI",Inicial!G106,"N/A")</f>
        <v>N/A</v>
      </c>
      <c r="H144" s="64" t="str">
        <f>IF(Inicial!J106="SI",Inicial!H106,"N/A")</f>
        <v>N/A</v>
      </c>
      <c r="I144" s="66" t="str">
        <f>IF(Inicial!J106="SI",Inicial!I106,"N/A")</f>
        <v>N/A</v>
      </c>
      <c r="P144" s="6" t="str">
        <f t="shared" si="6"/>
        <v>Aceptable</v>
      </c>
      <c r="Q144" s="6"/>
      <c r="R144" s="6"/>
      <c r="S144" s="6"/>
      <c r="T144" s="6"/>
      <c r="U144" s="6"/>
      <c r="V144" s="6"/>
      <c r="W144" s="6" t="str">
        <f t="shared" si="7"/>
        <v>Critico</v>
      </c>
    </row>
    <row r="145" spans="1:23">
      <c r="A145" s="63">
        <f>Inicial!A107</f>
        <v>0</v>
      </c>
      <c r="B145" s="64">
        <f>Inicial!B107</f>
        <v>0</v>
      </c>
      <c r="C145" s="64">
        <f>Inicial!C107</f>
        <v>0</v>
      </c>
      <c r="D145" s="65">
        <f>Inicial!D107</f>
        <v>0</v>
      </c>
      <c r="E145" s="63" t="str">
        <f>IF(Inicial!J107="SI",Inicial!E107,"N/A")</f>
        <v>N/A</v>
      </c>
      <c r="F145" s="64" t="str">
        <f>IF(Inicial!J107="SI",Inicial!F107,"N/A")</f>
        <v>N/A</v>
      </c>
      <c r="G145" s="64" t="str">
        <f>IF(Inicial!J107="SI",Inicial!G107,"N/A")</f>
        <v>N/A</v>
      </c>
      <c r="H145" s="64" t="str">
        <f>IF(Inicial!J107="SI",Inicial!H107,"N/A")</f>
        <v>N/A</v>
      </c>
      <c r="I145" s="66" t="str">
        <f>IF(Inicial!J107="SI",Inicial!I107,"N/A")</f>
        <v>N/A</v>
      </c>
      <c r="P145" s="6" t="str">
        <f t="shared" si="6"/>
        <v>Aceptable</v>
      </c>
      <c r="Q145" s="6"/>
      <c r="R145" s="6"/>
      <c r="S145" s="6"/>
      <c r="T145" s="6"/>
      <c r="U145" s="6"/>
      <c r="V145" s="6"/>
      <c r="W145" s="6" t="str">
        <f t="shared" si="7"/>
        <v>Critico</v>
      </c>
    </row>
    <row r="146" spans="1:23">
      <c r="A146" s="63">
        <f>Inicial!A108</f>
        <v>0</v>
      </c>
      <c r="B146" s="64">
        <f>Inicial!B108</f>
        <v>0</v>
      </c>
      <c r="C146" s="64">
        <f>Inicial!C108</f>
        <v>0</v>
      </c>
      <c r="D146" s="65">
        <f>Inicial!D108</f>
        <v>0</v>
      </c>
      <c r="E146" s="63" t="str">
        <f>IF(Inicial!J108="SI",Inicial!E108,"N/A")</f>
        <v>N/A</v>
      </c>
      <c r="F146" s="64" t="str">
        <f>IF(Inicial!J108="SI",Inicial!F108,"N/A")</f>
        <v>N/A</v>
      </c>
      <c r="G146" s="64" t="str">
        <f>IF(Inicial!J108="SI",Inicial!G108,"N/A")</f>
        <v>N/A</v>
      </c>
      <c r="H146" s="64" t="str">
        <f>IF(Inicial!J108="SI",Inicial!H108,"N/A")</f>
        <v>N/A</v>
      </c>
      <c r="I146" s="66" t="str">
        <f>IF(Inicial!J108="SI",Inicial!I108,"N/A")</f>
        <v>N/A</v>
      </c>
      <c r="P146" s="6" t="str">
        <f t="shared" si="6"/>
        <v>Aceptable</v>
      </c>
      <c r="Q146" s="6"/>
      <c r="R146" s="6"/>
      <c r="S146" s="6"/>
      <c r="T146" s="6"/>
      <c r="U146" s="6"/>
      <c r="V146" s="6"/>
      <c r="W146" s="6" t="str">
        <f t="shared" si="7"/>
        <v>Critico</v>
      </c>
    </row>
    <row r="147" spans="1:23">
      <c r="A147" s="63">
        <f>Inicial!A109</f>
        <v>0</v>
      </c>
      <c r="B147" s="64">
        <f>Inicial!B109</f>
        <v>0</v>
      </c>
      <c r="C147" s="64">
        <f>Inicial!C109</f>
        <v>0</v>
      </c>
      <c r="D147" s="65">
        <f>Inicial!D109</f>
        <v>0</v>
      </c>
      <c r="E147" s="63" t="str">
        <f>IF(Inicial!J109="SI",Inicial!E109,"N/A")</f>
        <v>N/A</v>
      </c>
      <c r="F147" s="64" t="str">
        <f>IF(Inicial!J109="SI",Inicial!F109,"N/A")</f>
        <v>N/A</v>
      </c>
      <c r="G147" s="64" t="str">
        <f>IF(Inicial!J109="SI",Inicial!G109,"N/A")</f>
        <v>N/A</v>
      </c>
      <c r="H147" s="64" t="str">
        <f>IF(Inicial!J109="SI",Inicial!H109,"N/A")</f>
        <v>N/A</v>
      </c>
      <c r="I147" s="66" t="str">
        <f>IF(Inicial!J109="SI",Inicial!I109,"N/A")</f>
        <v>N/A</v>
      </c>
      <c r="P147" s="6" t="str">
        <f t="shared" si="6"/>
        <v>Aceptable</v>
      </c>
      <c r="Q147" s="6"/>
      <c r="R147" s="6"/>
      <c r="S147" s="6"/>
      <c r="T147" s="6"/>
      <c r="U147" s="6"/>
      <c r="V147" s="6"/>
      <c r="W147" s="6" t="str">
        <f t="shared" si="7"/>
        <v>Critico</v>
      </c>
    </row>
    <row r="148" spans="1:23">
      <c r="A148" s="63">
        <f>Inicial!A110</f>
        <v>0</v>
      </c>
      <c r="B148" s="64">
        <f>Inicial!B110</f>
        <v>0</v>
      </c>
      <c r="C148" s="64">
        <f>Inicial!C110</f>
        <v>0</v>
      </c>
      <c r="D148" s="65">
        <f>Inicial!D110</f>
        <v>0</v>
      </c>
      <c r="E148" s="63" t="str">
        <f>IF(Inicial!J110="SI",Inicial!E110,"N/A")</f>
        <v>N/A</v>
      </c>
      <c r="F148" s="64" t="str">
        <f>IF(Inicial!J110="SI",Inicial!F110,"N/A")</f>
        <v>N/A</v>
      </c>
      <c r="G148" s="64" t="str">
        <f>IF(Inicial!J110="SI",Inicial!G110,"N/A")</f>
        <v>N/A</v>
      </c>
      <c r="H148" s="64" t="str">
        <f>IF(Inicial!J110="SI",Inicial!H110,"N/A")</f>
        <v>N/A</v>
      </c>
      <c r="I148" s="66" t="str">
        <f>IF(Inicial!J110="SI",Inicial!I110,"N/A")</f>
        <v>N/A</v>
      </c>
      <c r="P148" s="6" t="str">
        <f t="shared" si="6"/>
        <v>Aceptable</v>
      </c>
      <c r="Q148" s="6"/>
      <c r="R148" s="6"/>
      <c r="S148" s="6"/>
      <c r="T148" s="6"/>
      <c r="U148" s="6"/>
      <c r="V148" s="6"/>
      <c r="W148" s="6" t="str">
        <f t="shared" si="7"/>
        <v>Critico</v>
      </c>
    </row>
    <row r="149" spans="1:23">
      <c r="A149" s="63">
        <f>Inicial!A111</f>
        <v>0</v>
      </c>
      <c r="B149" s="64">
        <f>Inicial!B111</f>
        <v>0</v>
      </c>
      <c r="C149" s="64">
        <f>Inicial!C111</f>
        <v>0</v>
      </c>
      <c r="D149" s="65">
        <f>Inicial!D111</f>
        <v>0</v>
      </c>
      <c r="E149" s="63" t="str">
        <f>IF(Inicial!J111="SI",Inicial!E111,"N/A")</f>
        <v>N/A</v>
      </c>
      <c r="F149" s="64" t="str">
        <f>IF(Inicial!J111="SI",Inicial!F111,"N/A")</f>
        <v>N/A</v>
      </c>
      <c r="G149" s="64" t="str">
        <f>IF(Inicial!J111="SI",Inicial!G111,"N/A")</f>
        <v>N/A</v>
      </c>
      <c r="H149" s="64" t="str">
        <f>IF(Inicial!J111="SI",Inicial!H111,"N/A")</f>
        <v>N/A</v>
      </c>
      <c r="I149" s="66" t="str">
        <f>IF(Inicial!J111="SI",Inicial!I111,"N/A")</f>
        <v>N/A</v>
      </c>
      <c r="P149" s="6" t="str">
        <f t="shared" si="6"/>
        <v>Aceptable</v>
      </c>
      <c r="Q149" s="6"/>
      <c r="R149" s="6"/>
      <c r="S149" s="6"/>
      <c r="T149" s="6"/>
      <c r="U149" s="6"/>
      <c r="V149" s="6"/>
      <c r="W149" s="6" t="str">
        <f t="shared" si="7"/>
        <v>Critico</v>
      </c>
    </row>
    <row r="150" spans="1:23">
      <c r="A150" s="63">
        <f>Inicial!A112</f>
        <v>0</v>
      </c>
      <c r="B150" s="64">
        <f>Inicial!B112</f>
        <v>0</v>
      </c>
      <c r="C150" s="64">
        <f>Inicial!C112</f>
        <v>0</v>
      </c>
      <c r="D150" s="65">
        <f>Inicial!D112</f>
        <v>0</v>
      </c>
      <c r="E150" s="63" t="str">
        <f>IF(Inicial!J112="SI",Inicial!E112,"N/A")</f>
        <v>N/A</v>
      </c>
      <c r="F150" s="64" t="str">
        <f>IF(Inicial!J112="SI",Inicial!F112,"N/A")</f>
        <v>N/A</v>
      </c>
      <c r="G150" s="64" t="str">
        <f>IF(Inicial!J112="SI",Inicial!G112,"N/A")</f>
        <v>N/A</v>
      </c>
      <c r="H150" s="64" t="str">
        <f>IF(Inicial!J112="SI",Inicial!H112,"N/A")</f>
        <v>N/A</v>
      </c>
      <c r="I150" s="66" t="str">
        <f>IF(Inicial!J112="SI",Inicial!I112,"N/A")</f>
        <v>N/A</v>
      </c>
      <c r="P150" s="6" t="str">
        <f t="shared" si="6"/>
        <v>Aceptable</v>
      </c>
      <c r="Q150" s="6"/>
      <c r="R150" s="6"/>
      <c r="S150" s="6"/>
      <c r="T150" s="6"/>
      <c r="U150" s="6"/>
      <c r="V150" s="6"/>
      <c r="W150" s="6" t="str">
        <f t="shared" si="7"/>
        <v>Critico</v>
      </c>
    </row>
    <row r="151" spans="1:23">
      <c r="A151" s="63">
        <f>Inicial!A113</f>
        <v>0</v>
      </c>
      <c r="B151" s="64">
        <f>Inicial!B113</f>
        <v>0</v>
      </c>
      <c r="C151" s="64">
        <f>Inicial!C113</f>
        <v>0</v>
      </c>
      <c r="D151" s="65">
        <f>Inicial!D113</f>
        <v>0</v>
      </c>
      <c r="E151" s="63" t="str">
        <f>IF(Inicial!J113="SI",Inicial!E113,"N/A")</f>
        <v>N/A</v>
      </c>
      <c r="F151" s="64" t="str">
        <f>IF(Inicial!J113="SI",Inicial!F113,"N/A")</f>
        <v>N/A</v>
      </c>
      <c r="G151" s="64" t="str">
        <f>IF(Inicial!J113="SI",Inicial!G113,"N/A")</f>
        <v>N/A</v>
      </c>
      <c r="H151" s="64" t="str">
        <f>IF(Inicial!J113="SI",Inicial!H113,"N/A")</f>
        <v>N/A</v>
      </c>
      <c r="I151" s="66" t="str">
        <f>IF(Inicial!J113="SI",Inicial!I113,"N/A")</f>
        <v>N/A</v>
      </c>
      <c r="P151" s="6" t="str">
        <f t="shared" si="6"/>
        <v>Aceptable</v>
      </c>
      <c r="Q151" s="6"/>
      <c r="R151" s="6"/>
      <c r="S151" s="6"/>
      <c r="T151" s="6"/>
      <c r="U151" s="6"/>
      <c r="V151" s="6"/>
      <c r="W151" s="6" t="str">
        <f t="shared" si="7"/>
        <v>Critico</v>
      </c>
    </row>
    <row r="152" spans="1:23">
      <c r="A152" s="63">
        <f>Inicial!A114</f>
        <v>0</v>
      </c>
      <c r="B152" s="64">
        <f>Inicial!B114</f>
        <v>0</v>
      </c>
      <c r="C152" s="64">
        <f>Inicial!C114</f>
        <v>0</v>
      </c>
      <c r="D152" s="65">
        <f>Inicial!D114</f>
        <v>0</v>
      </c>
      <c r="E152" s="63" t="str">
        <f>IF(Inicial!J114="SI",Inicial!E114,"N/A")</f>
        <v>N/A</v>
      </c>
      <c r="F152" s="64" t="str">
        <f>IF(Inicial!J114="SI",Inicial!F114,"N/A")</f>
        <v>N/A</v>
      </c>
      <c r="G152" s="64" t="str">
        <f>IF(Inicial!J114="SI",Inicial!G114,"N/A")</f>
        <v>N/A</v>
      </c>
      <c r="H152" s="64" t="str">
        <f>IF(Inicial!J114="SI",Inicial!H114,"N/A")</f>
        <v>N/A</v>
      </c>
      <c r="I152" s="66" t="str">
        <f>IF(Inicial!J114="SI",Inicial!I114,"N/A")</f>
        <v>N/A</v>
      </c>
      <c r="P152" s="6" t="str">
        <f t="shared" si="6"/>
        <v>Aceptable</v>
      </c>
      <c r="Q152" s="6"/>
      <c r="R152" s="6"/>
      <c r="S152" s="6"/>
      <c r="T152" s="6"/>
      <c r="U152" s="6"/>
      <c r="V152" s="6"/>
      <c r="W152" s="6" t="str">
        <f t="shared" si="7"/>
        <v>Critico</v>
      </c>
    </row>
    <row r="153" spans="1:23">
      <c r="A153" s="63">
        <f>Inicial!A115</f>
        <v>0</v>
      </c>
      <c r="B153" s="64">
        <f>Inicial!B115</f>
        <v>0</v>
      </c>
      <c r="C153" s="64">
        <f>Inicial!C115</f>
        <v>0</v>
      </c>
      <c r="D153" s="65">
        <f>Inicial!D115</f>
        <v>0</v>
      </c>
      <c r="E153" s="63" t="str">
        <f>IF(Inicial!J115="SI",Inicial!E115,"N/A")</f>
        <v>N/A</v>
      </c>
      <c r="F153" s="64" t="str">
        <f>IF(Inicial!J115="SI",Inicial!F115,"N/A")</f>
        <v>N/A</v>
      </c>
      <c r="G153" s="64" t="str">
        <f>IF(Inicial!J115="SI",Inicial!G115,"N/A")</f>
        <v>N/A</v>
      </c>
      <c r="H153" s="64" t="str">
        <f>IF(Inicial!J115="SI",Inicial!H115,"N/A")</f>
        <v>N/A</v>
      </c>
      <c r="I153" s="66" t="str">
        <f>IF(Inicial!J115="SI",Inicial!I115,"N/A")</f>
        <v>N/A</v>
      </c>
      <c r="P153" s="6" t="str">
        <f t="shared" si="6"/>
        <v>Aceptable</v>
      </c>
      <c r="Q153" s="6"/>
      <c r="R153" s="6"/>
      <c r="S153" s="6"/>
      <c r="T153" s="6"/>
      <c r="U153" s="6"/>
      <c r="V153" s="6"/>
      <c r="W153" s="6" t="str">
        <f t="shared" si="7"/>
        <v>Critico</v>
      </c>
    </row>
    <row r="154" spans="1:23">
      <c r="A154" s="63">
        <f>Inicial!A116</f>
        <v>0</v>
      </c>
      <c r="B154" s="64">
        <f>Inicial!B116</f>
        <v>0</v>
      </c>
      <c r="C154" s="64">
        <f>Inicial!C116</f>
        <v>0</v>
      </c>
      <c r="D154" s="65">
        <f>Inicial!D116</f>
        <v>0</v>
      </c>
      <c r="E154" s="63" t="str">
        <f>IF(Inicial!J116="SI",Inicial!E116,"N/A")</f>
        <v>N/A</v>
      </c>
      <c r="F154" s="64" t="str">
        <f>IF(Inicial!J116="SI",Inicial!F116,"N/A")</f>
        <v>N/A</v>
      </c>
      <c r="G154" s="64" t="str">
        <f>IF(Inicial!J116="SI",Inicial!G116,"N/A")</f>
        <v>N/A</v>
      </c>
      <c r="H154" s="64" t="str">
        <f>IF(Inicial!J116="SI",Inicial!H116,"N/A")</f>
        <v>N/A</v>
      </c>
      <c r="I154" s="66" t="str">
        <f>IF(Inicial!J116="SI",Inicial!I116,"N/A")</f>
        <v>N/A</v>
      </c>
      <c r="P154" s="6" t="str">
        <f t="shared" si="6"/>
        <v>Aceptable</v>
      </c>
      <c r="Q154" s="6"/>
      <c r="R154" s="6"/>
      <c r="S154" s="6"/>
      <c r="T154" s="6"/>
      <c r="U154" s="6"/>
      <c r="V154" s="6"/>
      <c r="W154" s="6" t="str">
        <f t="shared" si="7"/>
        <v>Critico</v>
      </c>
    </row>
    <row r="155" spans="1:23">
      <c r="A155" s="63">
        <f>Inicial!A117</f>
        <v>0</v>
      </c>
      <c r="B155" s="64">
        <f>Inicial!B117</f>
        <v>0</v>
      </c>
      <c r="C155" s="64">
        <f>Inicial!C117</f>
        <v>0</v>
      </c>
      <c r="D155" s="65">
        <f>Inicial!D117</f>
        <v>0</v>
      </c>
      <c r="E155" s="63" t="str">
        <f>IF(Inicial!J117="SI",Inicial!E117,"N/A")</f>
        <v>N/A</v>
      </c>
      <c r="F155" s="64" t="str">
        <f>IF(Inicial!J117="SI",Inicial!F117,"N/A")</f>
        <v>N/A</v>
      </c>
      <c r="G155" s="64" t="str">
        <f>IF(Inicial!J117="SI",Inicial!G117,"N/A")</f>
        <v>N/A</v>
      </c>
      <c r="H155" s="64" t="str">
        <f>IF(Inicial!J117="SI",Inicial!H117,"N/A")</f>
        <v>N/A</v>
      </c>
      <c r="I155" s="66" t="str">
        <f>IF(Inicial!J117="SI",Inicial!I117,"N/A")</f>
        <v>N/A</v>
      </c>
      <c r="P155" s="6" t="str">
        <f t="shared" si="6"/>
        <v>Aceptable</v>
      </c>
      <c r="Q155" s="6"/>
      <c r="R155" s="6"/>
      <c r="S155" s="6"/>
      <c r="T155" s="6"/>
      <c r="U155" s="6"/>
      <c r="V155" s="6"/>
      <c r="W155" s="6" t="str">
        <f t="shared" si="7"/>
        <v>Critico</v>
      </c>
    </row>
    <row r="156" spans="1:23">
      <c r="A156" s="63">
        <f>Inicial!A118</f>
        <v>0</v>
      </c>
      <c r="B156" s="64">
        <f>Inicial!B118</f>
        <v>0</v>
      </c>
      <c r="C156" s="64">
        <f>Inicial!C118</f>
        <v>0</v>
      </c>
      <c r="D156" s="65">
        <f>Inicial!D118</f>
        <v>0</v>
      </c>
      <c r="E156" s="63" t="str">
        <f>IF(Inicial!J118="SI",Inicial!E118,"N/A")</f>
        <v>N/A</v>
      </c>
      <c r="F156" s="64" t="str">
        <f>IF(Inicial!J118="SI",Inicial!F118,"N/A")</f>
        <v>N/A</v>
      </c>
      <c r="G156" s="64" t="str">
        <f>IF(Inicial!J118="SI",Inicial!G118,"N/A")</f>
        <v>N/A</v>
      </c>
      <c r="H156" s="64" t="str">
        <f>IF(Inicial!J118="SI",Inicial!H118,"N/A")</f>
        <v>N/A</v>
      </c>
      <c r="I156" s="66" t="str">
        <f>IF(Inicial!J118="SI",Inicial!I118,"N/A")</f>
        <v>N/A</v>
      </c>
      <c r="P156" s="6" t="str">
        <f t="shared" si="6"/>
        <v>Aceptable</v>
      </c>
      <c r="Q156" s="6"/>
      <c r="R156" s="6"/>
      <c r="S156" s="6"/>
      <c r="T156" s="6"/>
      <c r="U156" s="6"/>
      <c r="V156" s="6"/>
      <c r="W156" s="6" t="str">
        <f t="shared" si="7"/>
        <v>Critico</v>
      </c>
    </row>
    <row r="157" spans="1:23">
      <c r="A157" s="63">
        <f>Inicial!A119</f>
        <v>0</v>
      </c>
      <c r="B157" s="64">
        <f>Inicial!B119</f>
        <v>0</v>
      </c>
      <c r="C157" s="64">
        <f>Inicial!C119</f>
        <v>0</v>
      </c>
      <c r="D157" s="65">
        <f>Inicial!D119</f>
        <v>0</v>
      </c>
      <c r="E157" s="63" t="str">
        <f>IF(Inicial!J119="SI",Inicial!E119,"N/A")</f>
        <v>N/A</v>
      </c>
      <c r="F157" s="64" t="str">
        <f>IF(Inicial!J119="SI",Inicial!F119,"N/A")</f>
        <v>N/A</v>
      </c>
      <c r="G157" s="64" t="str">
        <f>IF(Inicial!J119="SI",Inicial!G119,"N/A")</f>
        <v>N/A</v>
      </c>
      <c r="H157" s="64" t="str">
        <f>IF(Inicial!J119="SI",Inicial!H119,"N/A")</f>
        <v>N/A</v>
      </c>
      <c r="I157" s="66" t="str">
        <f>IF(Inicial!J119="SI",Inicial!I119,"N/A")</f>
        <v>N/A</v>
      </c>
      <c r="P157" s="6" t="str">
        <f t="shared" si="6"/>
        <v>Aceptable</v>
      </c>
      <c r="Q157" s="6"/>
      <c r="R157" s="6"/>
      <c r="S157" s="6"/>
      <c r="T157" s="6"/>
      <c r="U157" s="6"/>
      <c r="V157" s="6"/>
      <c r="W157" s="6" t="str">
        <f t="shared" si="7"/>
        <v>Critico</v>
      </c>
    </row>
    <row r="158" spans="1:23">
      <c r="A158" s="63">
        <f>Inicial!A120</f>
        <v>0</v>
      </c>
      <c r="B158" s="64">
        <f>Inicial!B120</f>
        <v>0</v>
      </c>
      <c r="C158" s="64">
        <f>Inicial!C120</f>
        <v>0</v>
      </c>
      <c r="D158" s="65">
        <f>Inicial!D120</f>
        <v>0</v>
      </c>
      <c r="E158" s="63" t="str">
        <f>IF(Inicial!J120="SI",Inicial!E120,"N/A")</f>
        <v>N/A</v>
      </c>
      <c r="F158" s="64" t="str">
        <f>IF(Inicial!J120="SI",Inicial!F120,"N/A")</f>
        <v>N/A</v>
      </c>
      <c r="G158" s="64" t="str">
        <f>IF(Inicial!J120="SI",Inicial!G120,"N/A")</f>
        <v>N/A</v>
      </c>
      <c r="H158" s="64" t="str">
        <f>IF(Inicial!J120="SI",Inicial!H120,"N/A")</f>
        <v>N/A</v>
      </c>
      <c r="I158" s="66" t="str">
        <f>IF(Inicial!J120="SI",Inicial!I120,"N/A")</f>
        <v>N/A</v>
      </c>
      <c r="P158" s="6" t="str">
        <f t="shared" si="6"/>
        <v>Aceptable</v>
      </c>
      <c r="Q158" s="6"/>
      <c r="R158" s="6"/>
      <c r="S158" s="6"/>
      <c r="T158" s="6"/>
      <c r="U158" s="6"/>
      <c r="V158" s="6"/>
      <c r="W158" s="6" t="str">
        <f t="shared" si="7"/>
        <v>Critico</v>
      </c>
    </row>
    <row r="159" spans="1:23">
      <c r="A159" s="63">
        <f>Inicial!A121</f>
        <v>0</v>
      </c>
      <c r="B159" s="64">
        <f>Inicial!B121</f>
        <v>0</v>
      </c>
      <c r="C159" s="64">
        <f>Inicial!C121</f>
        <v>0</v>
      </c>
      <c r="D159" s="65">
        <f>Inicial!D121</f>
        <v>0</v>
      </c>
      <c r="E159" s="63" t="str">
        <f>IF(Inicial!J121="SI",Inicial!E121,"N/A")</f>
        <v>N/A</v>
      </c>
      <c r="F159" s="64" t="str">
        <f>IF(Inicial!J121="SI",Inicial!F121,"N/A")</f>
        <v>N/A</v>
      </c>
      <c r="G159" s="64" t="str">
        <f>IF(Inicial!J121="SI",Inicial!G121,"N/A")</f>
        <v>N/A</v>
      </c>
      <c r="H159" s="64" t="str">
        <f>IF(Inicial!J121="SI",Inicial!H121,"N/A")</f>
        <v>N/A</v>
      </c>
      <c r="I159" s="66" t="str">
        <f>IF(Inicial!J121="SI",Inicial!I121,"N/A")</f>
        <v>N/A</v>
      </c>
      <c r="P159" s="6" t="str">
        <f t="shared" si="6"/>
        <v>Aceptable</v>
      </c>
      <c r="Q159" s="6"/>
      <c r="R159" s="6"/>
      <c r="S159" s="6"/>
      <c r="T159" s="6"/>
      <c r="U159" s="6"/>
      <c r="V159" s="6"/>
      <c r="W159" s="6" t="str">
        <f t="shared" si="7"/>
        <v>Critico</v>
      </c>
    </row>
    <row r="160" spans="1:23">
      <c r="A160" s="63">
        <f>Inicial!A122</f>
        <v>0</v>
      </c>
      <c r="B160" s="64">
        <f>Inicial!B122</f>
        <v>0</v>
      </c>
      <c r="C160" s="64">
        <f>Inicial!C122</f>
        <v>0</v>
      </c>
      <c r="D160" s="65">
        <f>Inicial!D122</f>
        <v>0</v>
      </c>
      <c r="E160" s="63" t="str">
        <f>IF(Inicial!J122="SI",Inicial!E122,"N/A")</f>
        <v>N/A</v>
      </c>
      <c r="F160" s="64" t="str">
        <f>IF(Inicial!J122="SI",Inicial!F122,"N/A")</f>
        <v>N/A</v>
      </c>
      <c r="G160" s="64" t="str">
        <f>IF(Inicial!J122="SI",Inicial!G122,"N/A")</f>
        <v>N/A</v>
      </c>
      <c r="H160" s="64" t="str">
        <f>IF(Inicial!J122="SI",Inicial!H122,"N/A")</f>
        <v>N/A</v>
      </c>
      <c r="I160" s="66" t="str">
        <f>IF(Inicial!J122="SI",Inicial!I122,"N/A")</f>
        <v>N/A</v>
      </c>
      <c r="P160" s="6" t="str">
        <f t="shared" si="6"/>
        <v>Aceptable</v>
      </c>
      <c r="Q160" s="6"/>
      <c r="R160" s="6"/>
      <c r="S160" s="6"/>
      <c r="T160" s="6"/>
      <c r="U160" s="6"/>
      <c r="V160" s="6"/>
      <c r="W160" s="6" t="str">
        <f t="shared" si="7"/>
        <v>Critico</v>
      </c>
    </row>
    <row r="161" spans="1:23">
      <c r="A161" s="63">
        <f>Inicial!A123</f>
        <v>0</v>
      </c>
      <c r="B161" s="64">
        <f>Inicial!B123</f>
        <v>0</v>
      </c>
      <c r="C161" s="64">
        <f>Inicial!C123</f>
        <v>0</v>
      </c>
      <c r="D161" s="65">
        <f>Inicial!D123</f>
        <v>0</v>
      </c>
      <c r="E161" s="63" t="str">
        <f>IF(Inicial!J123="SI",Inicial!E123,"N/A")</f>
        <v>N/A</v>
      </c>
      <c r="F161" s="64" t="str">
        <f>IF(Inicial!J123="SI",Inicial!F123,"N/A")</f>
        <v>N/A</v>
      </c>
      <c r="G161" s="64" t="str">
        <f>IF(Inicial!J123="SI",Inicial!G123,"N/A")</f>
        <v>N/A</v>
      </c>
      <c r="H161" s="64" t="str">
        <f>IF(Inicial!J123="SI",Inicial!H123,"N/A")</f>
        <v>N/A</v>
      </c>
      <c r="I161" s="66" t="str">
        <f>IF(Inicial!J123="SI",Inicial!I123,"N/A")</f>
        <v>N/A</v>
      </c>
      <c r="P161" s="6" t="str">
        <f t="shared" si="6"/>
        <v>Aceptable</v>
      </c>
      <c r="Q161" s="6"/>
      <c r="R161" s="6"/>
      <c r="S161" s="6"/>
      <c r="T161" s="6"/>
      <c r="U161" s="6"/>
      <c r="V161" s="6"/>
      <c r="W161" s="6" t="str">
        <f t="shared" si="7"/>
        <v>Critico</v>
      </c>
    </row>
    <row r="162" spans="1:23">
      <c r="A162" s="63">
        <f>Inicial!A124</f>
        <v>0</v>
      </c>
      <c r="B162" s="64">
        <f>Inicial!B124</f>
        <v>0</v>
      </c>
      <c r="C162" s="64">
        <f>Inicial!C124</f>
        <v>0</v>
      </c>
      <c r="D162" s="65">
        <f>Inicial!D124</f>
        <v>0</v>
      </c>
      <c r="E162" s="63" t="str">
        <f>IF(Inicial!J124="SI",Inicial!E124,"N/A")</f>
        <v>N/A</v>
      </c>
      <c r="F162" s="64" t="str">
        <f>IF(Inicial!J124="SI",Inicial!F124,"N/A")</f>
        <v>N/A</v>
      </c>
      <c r="G162" s="64" t="str">
        <f>IF(Inicial!J124="SI",Inicial!G124,"N/A")</f>
        <v>N/A</v>
      </c>
      <c r="H162" s="64" t="str">
        <f>IF(Inicial!J124="SI",Inicial!H124,"N/A")</f>
        <v>N/A</v>
      </c>
      <c r="I162" s="66" t="str">
        <f>IF(Inicial!J124="SI",Inicial!I124,"N/A")</f>
        <v>N/A</v>
      </c>
      <c r="P162" s="6" t="str">
        <f t="shared" si="6"/>
        <v>Aceptable</v>
      </c>
      <c r="Q162" s="6"/>
      <c r="R162" s="6"/>
      <c r="S162" s="6"/>
      <c r="T162" s="6"/>
      <c r="U162" s="6"/>
      <c r="V162" s="6"/>
      <c r="W162" s="6" t="str">
        <f t="shared" si="7"/>
        <v>Critico</v>
      </c>
    </row>
    <row r="163" spans="1:23">
      <c r="A163" s="63">
        <f>Inicial!A125</f>
        <v>0</v>
      </c>
      <c r="B163" s="64">
        <f>Inicial!B125</f>
        <v>0</v>
      </c>
      <c r="C163" s="64">
        <f>Inicial!C125</f>
        <v>0</v>
      </c>
      <c r="D163" s="65">
        <f>Inicial!D125</f>
        <v>0</v>
      </c>
      <c r="E163" s="63" t="str">
        <f>IF(Inicial!J125="SI",Inicial!E125,"N/A")</f>
        <v>N/A</v>
      </c>
      <c r="F163" s="64" t="str">
        <f>IF(Inicial!J125="SI",Inicial!F125,"N/A")</f>
        <v>N/A</v>
      </c>
      <c r="G163" s="64" t="str">
        <f>IF(Inicial!J125="SI",Inicial!G125,"N/A")</f>
        <v>N/A</v>
      </c>
      <c r="H163" s="64" t="str">
        <f>IF(Inicial!J125="SI",Inicial!H125,"N/A")</f>
        <v>N/A</v>
      </c>
      <c r="I163" s="66" t="str">
        <f>IF(Inicial!J125="SI",Inicial!I125,"N/A")</f>
        <v>N/A</v>
      </c>
      <c r="P163" s="6" t="str">
        <f t="shared" si="6"/>
        <v>Aceptable</v>
      </c>
      <c r="Q163" s="6"/>
      <c r="R163" s="6"/>
      <c r="S163" s="6"/>
      <c r="T163" s="6"/>
      <c r="U163" s="6"/>
      <c r="V163" s="6"/>
      <c r="W163" s="6" t="str">
        <f t="shared" si="7"/>
        <v>Critico</v>
      </c>
    </row>
    <row r="164" spans="1:23">
      <c r="A164" s="63">
        <f>Inicial!A126</f>
        <v>0</v>
      </c>
      <c r="B164" s="64">
        <f>Inicial!B126</f>
        <v>0</v>
      </c>
      <c r="C164" s="64">
        <f>Inicial!C126</f>
        <v>0</v>
      </c>
      <c r="D164" s="65">
        <f>Inicial!D126</f>
        <v>0</v>
      </c>
      <c r="E164" s="63" t="str">
        <f>IF(Inicial!J126="SI",Inicial!E126,"N/A")</f>
        <v>N/A</v>
      </c>
      <c r="F164" s="64" t="str">
        <f>IF(Inicial!J126="SI",Inicial!F126,"N/A")</f>
        <v>N/A</v>
      </c>
      <c r="G164" s="64" t="str">
        <f>IF(Inicial!J126="SI",Inicial!G126,"N/A")</f>
        <v>N/A</v>
      </c>
      <c r="H164" s="64" t="str">
        <f>IF(Inicial!J126="SI",Inicial!H126,"N/A")</f>
        <v>N/A</v>
      </c>
      <c r="I164" s="66" t="str">
        <f>IF(Inicial!J126="SI",Inicial!I126,"N/A")</f>
        <v>N/A</v>
      </c>
      <c r="P164" s="6" t="str">
        <f t="shared" si="6"/>
        <v>Aceptable</v>
      </c>
      <c r="Q164" s="6"/>
      <c r="R164" s="6"/>
      <c r="S164" s="6"/>
      <c r="T164" s="6"/>
      <c r="U164" s="6"/>
      <c r="V164" s="6"/>
      <c r="W164" s="6" t="str">
        <f t="shared" si="7"/>
        <v>Critico</v>
      </c>
    </row>
    <row r="165" spans="1:23">
      <c r="A165" s="63">
        <f>Inicial!A127</f>
        <v>0</v>
      </c>
      <c r="B165" s="64">
        <f>Inicial!B127</f>
        <v>0</v>
      </c>
      <c r="C165" s="64">
        <f>Inicial!C127</f>
        <v>0</v>
      </c>
      <c r="D165" s="65">
        <f>Inicial!D127</f>
        <v>0</v>
      </c>
      <c r="E165" s="63" t="str">
        <f>IF(Inicial!J127="SI",Inicial!E127,"N/A")</f>
        <v>N/A</v>
      </c>
      <c r="F165" s="64" t="str">
        <f>IF(Inicial!J127="SI",Inicial!F127,"N/A")</f>
        <v>N/A</v>
      </c>
      <c r="G165" s="64" t="str">
        <f>IF(Inicial!J127="SI",Inicial!G127,"N/A")</f>
        <v>N/A</v>
      </c>
      <c r="H165" s="64" t="str">
        <f>IF(Inicial!J127="SI",Inicial!H127,"N/A")</f>
        <v>N/A</v>
      </c>
      <c r="I165" s="66" t="str">
        <f>IF(Inicial!J127="SI",Inicial!I127,"N/A")</f>
        <v>N/A</v>
      </c>
      <c r="P165" s="6" t="str">
        <f t="shared" si="6"/>
        <v>Aceptable</v>
      </c>
      <c r="Q165" s="6"/>
      <c r="R165" s="6"/>
      <c r="S165" s="6"/>
      <c r="T165" s="6"/>
      <c r="U165" s="6"/>
      <c r="V165" s="6"/>
      <c r="W165" s="6" t="str">
        <f t="shared" si="7"/>
        <v>Critico</v>
      </c>
    </row>
    <row r="166" spans="1:23">
      <c r="A166" s="63">
        <f>Inicial!A128</f>
        <v>0</v>
      </c>
      <c r="B166" s="64">
        <f>Inicial!B128</f>
        <v>0</v>
      </c>
      <c r="C166" s="64">
        <f>Inicial!C128</f>
        <v>0</v>
      </c>
      <c r="D166" s="65">
        <f>Inicial!D128</f>
        <v>0</v>
      </c>
      <c r="E166" s="63" t="str">
        <f>IF(Inicial!J128="SI",Inicial!E128,"N/A")</f>
        <v>N/A</v>
      </c>
      <c r="F166" s="64" t="str">
        <f>IF(Inicial!J128="SI",Inicial!F128,"N/A")</f>
        <v>N/A</v>
      </c>
      <c r="G166" s="64" t="str">
        <f>IF(Inicial!J128="SI",Inicial!G128,"N/A")</f>
        <v>N/A</v>
      </c>
      <c r="H166" s="64" t="str">
        <f>IF(Inicial!J128="SI",Inicial!H128,"N/A")</f>
        <v>N/A</v>
      </c>
      <c r="I166" s="66" t="str">
        <f>IF(Inicial!J128="SI",Inicial!I128,"N/A")</f>
        <v>N/A</v>
      </c>
      <c r="P166" s="6" t="str">
        <f t="shared" si="6"/>
        <v>Aceptable</v>
      </c>
      <c r="Q166" s="6"/>
      <c r="R166" s="6"/>
      <c r="S166" s="6"/>
      <c r="T166" s="6"/>
      <c r="U166" s="6"/>
      <c r="V166" s="6"/>
      <c r="W166" s="6" t="str">
        <f t="shared" si="7"/>
        <v>Critico</v>
      </c>
    </row>
    <row r="167" spans="1:23">
      <c r="A167" s="63">
        <f>Inicial!A129</f>
        <v>0</v>
      </c>
      <c r="B167" s="64">
        <f>Inicial!B129</f>
        <v>0</v>
      </c>
      <c r="C167" s="64">
        <f>Inicial!C129</f>
        <v>0</v>
      </c>
      <c r="D167" s="65">
        <f>Inicial!D129</f>
        <v>0</v>
      </c>
      <c r="E167" s="63" t="str">
        <f>IF(Inicial!J129="SI",Inicial!E129,"N/A")</f>
        <v>N/A</v>
      </c>
      <c r="F167" s="64" t="str">
        <f>IF(Inicial!J129="SI",Inicial!F129,"N/A")</f>
        <v>N/A</v>
      </c>
      <c r="G167" s="64" t="str">
        <f>IF(Inicial!J129="SI",Inicial!G129,"N/A")</f>
        <v>N/A</v>
      </c>
      <c r="H167" s="64" t="str">
        <f>IF(Inicial!J129="SI",Inicial!H129,"N/A")</f>
        <v>N/A</v>
      </c>
      <c r="I167" s="66" t="str">
        <f>IF(Inicial!J129="SI",Inicial!I129,"N/A")</f>
        <v>N/A</v>
      </c>
      <c r="P167" s="6" t="str">
        <f t="shared" si="6"/>
        <v>Aceptable</v>
      </c>
      <c r="Q167" s="6"/>
      <c r="R167" s="6"/>
      <c r="S167" s="6"/>
      <c r="T167" s="6"/>
      <c r="U167" s="6"/>
      <c r="V167" s="6"/>
      <c r="W167" s="6" t="str">
        <f t="shared" si="7"/>
        <v>Critico</v>
      </c>
    </row>
    <row r="168" spans="1:23">
      <c r="A168" s="63">
        <f>Inicial!A130</f>
        <v>0</v>
      </c>
      <c r="B168" s="64">
        <f>Inicial!B130</f>
        <v>0</v>
      </c>
      <c r="C168" s="64">
        <f>Inicial!C130</f>
        <v>0</v>
      </c>
      <c r="D168" s="65">
        <f>Inicial!D130</f>
        <v>0</v>
      </c>
      <c r="E168" s="63" t="str">
        <f>IF(Inicial!J130="SI",Inicial!E130,"N/A")</f>
        <v>N/A</v>
      </c>
      <c r="F168" s="64" t="str">
        <f>IF(Inicial!J130="SI",Inicial!F130,"N/A")</f>
        <v>N/A</v>
      </c>
      <c r="G168" s="64" t="str">
        <f>IF(Inicial!J130="SI",Inicial!G130,"N/A")</f>
        <v>N/A</v>
      </c>
      <c r="H168" s="64" t="str">
        <f>IF(Inicial!J130="SI",Inicial!H130,"N/A")</f>
        <v>N/A</v>
      </c>
      <c r="I168" s="66" t="str">
        <f>IF(Inicial!J130="SI",Inicial!I130,"N/A")</f>
        <v>N/A</v>
      </c>
      <c r="P168" s="6" t="str">
        <f t="shared" si="6"/>
        <v>Aceptable</v>
      </c>
      <c r="Q168" s="6"/>
      <c r="R168" s="6"/>
      <c r="S168" s="6"/>
      <c r="T168" s="6"/>
      <c r="U168" s="6"/>
      <c r="V168" s="6"/>
      <c r="W168" s="6" t="str">
        <f t="shared" si="7"/>
        <v>Critico</v>
      </c>
    </row>
    <row r="169" spans="1:23">
      <c r="A169" s="63">
        <f>Inicial!A131</f>
        <v>0</v>
      </c>
      <c r="B169" s="64">
        <f>Inicial!B131</f>
        <v>0</v>
      </c>
      <c r="C169" s="64">
        <f>Inicial!C131</f>
        <v>0</v>
      </c>
      <c r="D169" s="65">
        <f>Inicial!D131</f>
        <v>0</v>
      </c>
      <c r="E169" s="63" t="str">
        <f>IF(Inicial!J131="SI",Inicial!E131,"N/A")</f>
        <v>N/A</v>
      </c>
      <c r="F169" s="64" t="str">
        <f>IF(Inicial!J131="SI",Inicial!F131,"N/A")</f>
        <v>N/A</v>
      </c>
      <c r="G169" s="64" t="str">
        <f>IF(Inicial!J131="SI",Inicial!G131,"N/A")</f>
        <v>N/A</v>
      </c>
      <c r="H169" s="64" t="str">
        <f>IF(Inicial!J131="SI",Inicial!H131,"N/A")</f>
        <v>N/A</v>
      </c>
      <c r="I169" s="66" t="str">
        <f>IF(Inicial!J131="SI",Inicial!I131,"N/A")</f>
        <v>N/A</v>
      </c>
      <c r="P169" s="6" t="str">
        <f t="shared" si="6"/>
        <v>Aceptable</v>
      </c>
      <c r="Q169" s="6"/>
      <c r="R169" s="6"/>
      <c r="S169" s="6"/>
      <c r="T169" s="6"/>
      <c r="U169" s="6"/>
      <c r="V169" s="6"/>
      <c r="W169" s="6" t="str">
        <f t="shared" si="7"/>
        <v>Critico</v>
      </c>
    </row>
    <row r="170" spans="1:23">
      <c r="A170" s="63">
        <f>Inicial!A132</f>
        <v>0</v>
      </c>
      <c r="B170" s="64">
        <f>Inicial!B132</f>
        <v>0</v>
      </c>
      <c r="C170" s="64">
        <f>Inicial!C132</f>
        <v>0</v>
      </c>
      <c r="D170" s="65">
        <f>Inicial!D132</f>
        <v>0</v>
      </c>
      <c r="E170" s="63" t="str">
        <f>IF(Inicial!J132="SI",Inicial!E132,"N/A")</f>
        <v>N/A</v>
      </c>
      <c r="F170" s="64" t="str">
        <f>IF(Inicial!J132="SI",Inicial!F132,"N/A")</f>
        <v>N/A</v>
      </c>
      <c r="G170" s="64" t="str">
        <f>IF(Inicial!J132="SI",Inicial!G132,"N/A")</f>
        <v>N/A</v>
      </c>
      <c r="H170" s="64" t="str">
        <f>IF(Inicial!J132="SI",Inicial!H132,"N/A")</f>
        <v>N/A</v>
      </c>
      <c r="I170" s="66" t="str">
        <f>IF(Inicial!J132="SI",Inicial!I132,"N/A")</f>
        <v>N/A</v>
      </c>
      <c r="P170" s="6" t="str">
        <f t="shared" si="6"/>
        <v>Aceptable</v>
      </c>
      <c r="Q170" s="6"/>
      <c r="R170" s="6"/>
      <c r="S170" s="6"/>
      <c r="T170" s="6"/>
      <c r="U170" s="6"/>
      <c r="V170" s="6"/>
      <c r="W170" s="6" t="str">
        <f t="shared" si="7"/>
        <v>Critico</v>
      </c>
    </row>
    <row r="171" spans="1:23">
      <c r="A171" s="63">
        <f>Inicial!A133</f>
        <v>0</v>
      </c>
      <c r="B171" s="64">
        <f>Inicial!B133</f>
        <v>0</v>
      </c>
      <c r="C171" s="64">
        <f>Inicial!C133</f>
        <v>0</v>
      </c>
      <c r="D171" s="65">
        <f>Inicial!D133</f>
        <v>0</v>
      </c>
      <c r="E171" s="63" t="str">
        <f>IF(Inicial!J133="SI",Inicial!E133,"N/A")</f>
        <v>N/A</v>
      </c>
      <c r="F171" s="64" t="str">
        <f>IF(Inicial!J133="SI",Inicial!F133,"N/A")</f>
        <v>N/A</v>
      </c>
      <c r="G171" s="64" t="str">
        <f>IF(Inicial!J133="SI",Inicial!G133,"N/A")</f>
        <v>N/A</v>
      </c>
      <c r="H171" s="64" t="str">
        <f>IF(Inicial!J133="SI",Inicial!H133,"N/A")</f>
        <v>N/A</v>
      </c>
      <c r="I171" s="66" t="str">
        <f>IF(Inicial!J133="SI",Inicial!I133,"N/A")</f>
        <v>N/A</v>
      </c>
      <c r="P171" s="6" t="str">
        <f t="shared" si="6"/>
        <v>Aceptable</v>
      </c>
      <c r="Q171" s="6"/>
      <c r="R171" s="6"/>
      <c r="S171" s="6"/>
      <c r="T171" s="6"/>
      <c r="U171" s="6"/>
      <c r="V171" s="6"/>
      <c r="W171" s="6" t="str">
        <f t="shared" si="7"/>
        <v>Critico</v>
      </c>
    </row>
    <row r="172" spans="1:23">
      <c r="A172" s="63">
        <f>Inicial!A134</f>
        <v>0</v>
      </c>
      <c r="B172" s="64">
        <f>Inicial!B134</f>
        <v>0</v>
      </c>
      <c r="C172" s="64">
        <f>Inicial!C134</f>
        <v>0</v>
      </c>
      <c r="D172" s="65">
        <f>Inicial!D134</f>
        <v>0</v>
      </c>
      <c r="E172" s="63" t="str">
        <f>IF(Inicial!J134="SI",Inicial!E134,"N/A")</f>
        <v>N/A</v>
      </c>
      <c r="F172" s="64" t="str">
        <f>IF(Inicial!J134="SI",Inicial!F134,"N/A")</f>
        <v>N/A</v>
      </c>
      <c r="G172" s="64" t="str">
        <f>IF(Inicial!J134="SI",Inicial!G134,"N/A")</f>
        <v>N/A</v>
      </c>
      <c r="H172" s="64" t="str">
        <f>IF(Inicial!J134="SI",Inicial!H134,"N/A")</f>
        <v>N/A</v>
      </c>
      <c r="I172" s="66" t="str">
        <f>IF(Inicial!J134="SI",Inicial!I134,"N/A")</f>
        <v>N/A</v>
      </c>
      <c r="P172" s="6" t="str">
        <f t="shared" si="6"/>
        <v>Aceptable</v>
      </c>
      <c r="Q172" s="6"/>
      <c r="R172" s="6"/>
      <c r="S172" s="6"/>
      <c r="T172" s="6"/>
      <c r="U172" s="6"/>
      <c r="V172" s="6"/>
      <c r="W172" s="6" t="str">
        <f t="shared" si="7"/>
        <v>Critico</v>
      </c>
    </row>
    <row r="173" spans="1:23">
      <c r="A173" s="63">
        <f>Inicial!A135</f>
        <v>0</v>
      </c>
      <c r="B173" s="64">
        <f>Inicial!B135</f>
        <v>0</v>
      </c>
      <c r="C173" s="64">
        <f>Inicial!C135</f>
        <v>0</v>
      </c>
      <c r="D173" s="65">
        <f>Inicial!D135</f>
        <v>0</v>
      </c>
      <c r="E173" s="63" t="str">
        <f>IF(Inicial!J135="SI",Inicial!E135,"N/A")</f>
        <v>N/A</v>
      </c>
      <c r="F173" s="64" t="str">
        <f>IF(Inicial!J135="SI",Inicial!F135,"N/A")</f>
        <v>N/A</v>
      </c>
      <c r="G173" s="64" t="str">
        <f>IF(Inicial!J135="SI",Inicial!G135,"N/A")</f>
        <v>N/A</v>
      </c>
      <c r="H173" s="64" t="str">
        <f>IF(Inicial!J135="SI",Inicial!H135,"N/A")</f>
        <v>N/A</v>
      </c>
      <c r="I173" s="66" t="str">
        <f>IF(Inicial!J135="SI",Inicial!I135,"N/A")</f>
        <v>N/A</v>
      </c>
      <c r="P173" s="6" t="str">
        <f t="shared" si="6"/>
        <v>Aceptable</v>
      </c>
      <c r="Q173" s="6"/>
      <c r="R173" s="6"/>
      <c r="S173" s="6"/>
      <c r="T173" s="6"/>
      <c r="U173" s="6"/>
      <c r="V173" s="6"/>
      <c r="W173" s="6" t="str">
        <f t="shared" si="7"/>
        <v>Critico</v>
      </c>
    </row>
    <row r="174" spans="1:23">
      <c r="A174" s="63">
        <f>Inicial!A136</f>
        <v>0</v>
      </c>
      <c r="B174" s="64">
        <f>Inicial!B136</f>
        <v>0</v>
      </c>
      <c r="C174" s="64">
        <f>Inicial!C136</f>
        <v>0</v>
      </c>
      <c r="D174" s="65">
        <f>Inicial!D136</f>
        <v>0</v>
      </c>
      <c r="E174" s="63" t="str">
        <f>IF(Inicial!J136="SI",Inicial!E136,"N/A")</f>
        <v>N/A</v>
      </c>
      <c r="F174" s="64" t="str">
        <f>IF(Inicial!J136="SI",Inicial!F136,"N/A")</f>
        <v>N/A</v>
      </c>
      <c r="G174" s="64" t="str">
        <f>IF(Inicial!J136="SI",Inicial!G136,"N/A")</f>
        <v>N/A</v>
      </c>
      <c r="H174" s="64" t="str">
        <f>IF(Inicial!J136="SI",Inicial!H136,"N/A")</f>
        <v>N/A</v>
      </c>
      <c r="I174" s="66" t="str">
        <f>IF(Inicial!J136="SI",Inicial!I136,"N/A")</f>
        <v>N/A</v>
      </c>
      <c r="P174" s="6" t="str">
        <f t="shared" si="6"/>
        <v>Aceptable</v>
      </c>
      <c r="Q174" s="6"/>
      <c r="R174" s="6"/>
      <c r="S174" s="6"/>
      <c r="T174" s="6"/>
      <c r="U174" s="6"/>
      <c r="V174" s="6"/>
      <c r="W174" s="6" t="str">
        <f t="shared" si="7"/>
        <v>Critico</v>
      </c>
    </row>
    <row r="175" spans="1:23">
      <c r="A175" s="63">
        <f>Inicial!A137</f>
        <v>0</v>
      </c>
      <c r="B175" s="64">
        <f>Inicial!B137</f>
        <v>0</v>
      </c>
      <c r="C175" s="64">
        <f>Inicial!C137</f>
        <v>0</v>
      </c>
      <c r="D175" s="65">
        <f>Inicial!D137</f>
        <v>0</v>
      </c>
      <c r="E175" s="63" t="str">
        <f>IF(Inicial!J137="SI",Inicial!E137,"N/A")</f>
        <v>N/A</v>
      </c>
      <c r="F175" s="64" t="str">
        <f>IF(Inicial!J137="SI",Inicial!F137,"N/A")</f>
        <v>N/A</v>
      </c>
      <c r="G175" s="64" t="str">
        <f>IF(Inicial!J137="SI",Inicial!G137,"N/A")</f>
        <v>N/A</v>
      </c>
      <c r="H175" s="64" t="str">
        <f>IF(Inicial!J137="SI",Inicial!H137,"N/A")</f>
        <v>N/A</v>
      </c>
      <c r="I175" s="66" t="str">
        <f>IF(Inicial!J137="SI",Inicial!I137,"N/A")</f>
        <v>N/A</v>
      </c>
      <c r="P175" s="6" t="str">
        <f t="shared" si="6"/>
        <v>Aceptable</v>
      </c>
      <c r="Q175" s="6"/>
      <c r="R175" s="6"/>
      <c r="S175" s="6"/>
      <c r="T175" s="6"/>
      <c r="U175" s="6"/>
      <c r="V175" s="6"/>
      <c r="W175" s="6" t="str">
        <f t="shared" si="7"/>
        <v>Critico</v>
      </c>
    </row>
    <row r="176" spans="1:23">
      <c r="A176" s="63">
        <f>Inicial!A138</f>
        <v>0</v>
      </c>
      <c r="B176" s="64">
        <f>Inicial!B138</f>
        <v>0</v>
      </c>
      <c r="C176" s="64">
        <f>Inicial!C138</f>
        <v>0</v>
      </c>
      <c r="D176" s="65">
        <f>Inicial!D138</f>
        <v>0</v>
      </c>
      <c r="E176" s="63" t="str">
        <f>IF(Inicial!J138="SI",Inicial!E138,"N/A")</f>
        <v>N/A</v>
      </c>
      <c r="F176" s="64" t="str">
        <f>IF(Inicial!J138="SI",Inicial!F138,"N/A")</f>
        <v>N/A</v>
      </c>
      <c r="G176" s="64" t="str">
        <f>IF(Inicial!J138="SI",Inicial!G138,"N/A")</f>
        <v>N/A</v>
      </c>
      <c r="H176" s="64" t="str">
        <f>IF(Inicial!J138="SI",Inicial!H138,"N/A")</f>
        <v>N/A</v>
      </c>
      <c r="I176" s="66" t="str">
        <f>IF(Inicial!J138="SI",Inicial!I138,"N/A")</f>
        <v>N/A</v>
      </c>
      <c r="P176" s="6" t="str">
        <f t="shared" si="6"/>
        <v>Aceptable</v>
      </c>
      <c r="Q176" s="6"/>
      <c r="R176" s="6"/>
      <c r="S176" s="6"/>
      <c r="T176" s="6"/>
      <c r="U176" s="6"/>
      <c r="V176" s="6"/>
      <c r="W176" s="6" t="str">
        <f t="shared" si="7"/>
        <v>Critico</v>
      </c>
    </row>
    <row r="177" spans="1:23">
      <c r="A177" s="63">
        <f>Inicial!A139</f>
        <v>0</v>
      </c>
      <c r="B177" s="64">
        <f>Inicial!B139</f>
        <v>0</v>
      </c>
      <c r="C177" s="64">
        <f>Inicial!C139</f>
        <v>0</v>
      </c>
      <c r="D177" s="65">
        <f>Inicial!D139</f>
        <v>0</v>
      </c>
      <c r="E177" s="63" t="str">
        <f>IF(Inicial!J139="SI",Inicial!E139,"N/A")</f>
        <v>N/A</v>
      </c>
      <c r="F177" s="64" t="str">
        <f>IF(Inicial!J139="SI",Inicial!F139,"N/A")</f>
        <v>N/A</v>
      </c>
      <c r="G177" s="64" t="str">
        <f>IF(Inicial!J139="SI",Inicial!G139,"N/A")</f>
        <v>N/A</v>
      </c>
      <c r="H177" s="64" t="str">
        <f>IF(Inicial!J139="SI",Inicial!H139,"N/A")</f>
        <v>N/A</v>
      </c>
      <c r="I177" s="66" t="str">
        <f>IF(Inicial!J139="SI",Inicial!I139,"N/A")</f>
        <v>N/A</v>
      </c>
      <c r="P177" s="6" t="str">
        <f t="shared" si="6"/>
        <v>Aceptable</v>
      </c>
      <c r="Q177" s="6"/>
      <c r="R177" s="6"/>
      <c r="S177" s="6"/>
      <c r="T177" s="6"/>
      <c r="U177" s="6"/>
      <c r="V177" s="6"/>
      <c r="W177" s="6" t="str">
        <f t="shared" si="7"/>
        <v>Critico</v>
      </c>
    </row>
    <row r="178" spans="1:23">
      <c r="A178" s="63">
        <f>Inicial!A140</f>
        <v>0</v>
      </c>
      <c r="B178" s="64">
        <f>Inicial!B140</f>
        <v>0</v>
      </c>
      <c r="C178" s="64">
        <f>Inicial!C140</f>
        <v>0</v>
      </c>
      <c r="D178" s="65">
        <f>Inicial!D140</f>
        <v>0</v>
      </c>
      <c r="E178" s="63" t="str">
        <f>IF(Inicial!J140="SI",Inicial!E140,"N/A")</f>
        <v>N/A</v>
      </c>
      <c r="F178" s="64" t="str">
        <f>IF(Inicial!J140="SI",Inicial!F140,"N/A")</f>
        <v>N/A</v>
      </c>
      <c r="G178" s="64" t="str">
        <f>IF(Inicial!J140="SI",Inicial!G140,"N/A")</f>
        <v>N/A</v>
      </c>
      <c r="H178" s="64" t="str">
        <f>IF(Inicial!J140="SI",Inicial!H140,"N/A")</f>
        <v>N/A</v>
      </c>
      <c r="I178" s="66" t="str">
        <f>IF(Inicial!J140="SI",Inicial!I140,"N/A")</f>
        <v>N/A</v>
      </c>
      <c r="P178" s="6" t="str">
        <f t="shared" si="6"/>
        <v>Aceptable</v>
      </c>
      <c r="Q178" s="6"/>
      <c r="R178" s="6"/>
      <c r="S178" s="6"/>
      <c r="T178" s="6"/>
      <c r="U178" s="6"/>
      <c r="V178" s="6"/>
      <c r="W178" s="6" t="str">
        <f t="shared" si="7"/>
        <v>Critico</v>
      </c>
    </row>
    <row r="179" spans="1:23">
      <c r="A179" s="63">
        <f>Inicial!A141</f>
        <v>0</v>
      </c>
      <c r="B179" s="64">
        <f>Inicial!B141</f>
        <v>0</v>
      </c>
      <c r="C179" s="64">
        <f>Inicial!C141</f>
        <v>0</v>
      </c>
      <c r="D179" s="65">
        <f>Inicial!D141</f>
        <v>0</v>
      </c>
      <c r="E179" s="63" t="str">
        <f>IF(Inicial!J141="SI",Inicial!E141,"N/A")</f>
        <v>N/A</v>
      </c>
      <c r="F179" s="64" t="str">
        <f>IF(Inicial!J141="SI",Inicial!F141,"N/A")</f>
        <v>N/A</v>
      </c>
      <c r="G179" s="64" t="str">
        <f>IF(Inicial!J141="SI",Inicial!G141,"N/A")</f>
        <v>N/A</v>
      </c>
      <c r="H179" s="64" t="str">
        <f>IF(Inicial!J141="SI",Inicial!H141,"N/A")</f>
        <v>N/A</v>
      </c>
      <c r="I179" s="66" t="str">
        <f>IF(Inicial!J141="SI",Inicial!I141,"N/A")</f>
        <v>N/A</v>
      </c>
      <c r="P179" s="6" t="str">
        <f t="shared" si="6"/>
        <v>Aceptable</v>
      </c>
      <c r="Q179" s="6"/>
      <c r="R179" s="6"/>
      <c r="S179" s="6"/>
      <c r="T179" s="6"/>
      <c r="U179" s="6"/>
      <c r="V179" s="6"/>
      <c r="W179" s="6" t="str">
        <f t="shared" si="7"/>
        <v>Critico</v>
      </c>
    </row>
    <row r="180" spans="1:23">
      <c r="A180" s="63">
        <f>Inicial!A142</f>
        <v>0</v>
      </c>
      <c r="B180" s="64">
        <f>Inicial!B142</f>
        <v>0</v>
      </c>
      <c r="C180" s="64">
        <f>Inicial!C142</f>
        <v>0</v>
      </c>
      <c r="D180" s="65">
        <f>Inicial!D142</f>
        <v>0</v>
      </c>
      <c r="E180" s="63" t="str">
        <f>IF(Inicial!J142="SI",Inicial!E142,"N/A")</f>
        <v>N/A</v>
      </c>
      <c r="F180" s="64" t="str">
        <f>IF(Inicial!J142="SI",Inicial!F142,"N/A")</f>
        <v>N/A</v>
      </c>
      <c r="G180" s="64" t="str">
        <f>IF(Inicial!J142="SI",Inicial!G142,"N/A")</f>
        <v>N/A</v>
      </c>
      <c r="H180" s="64" t="str">
        <f>IF(Inicial!J142="SI",Inicial!H142,"N/A")</f>
        <v>N/A</v>
      </c>
      <c r="I180" s="66" t="str">
        <f>IF(Inicial!J142="SI",Inicial!I142,"N/A")</f>
        <v>N/A</v>
      </c>
      <c r="P180" s="6" t="str">
        <f t="shared" si="6"/>
        <v>Aceptable</v>
      </c>
      <c r="Q180" s="6"/>
      <c r="R180" s="6"/>
      <c r="S180" s="6"/>
      <c r="T180" s="6"/>
      <c r="U180" s="6"/>
      <c r="V180" s="6"/>
      <c r="W180" s="6" t="str">
        <f t="shared" si="7"/>
        <v>Critico</v>
      </c>
    </row>
    <row r="181" spans="1:23">
      <c r="A181" s="63">
        <f>Inicial!A143</f>
        <v>0</v>
      </c>
      <c r="B181" s="64">
        <f>Inicial!B143</f>
        <v>0</v>
      </c>
      <c r="C181" s="64">
        <f>Inicial!C143</f>
        <v>0</v>
      </c>
      <c r="D181" s="65">
        <f>Inicial!D143</f>
        <v>0</v>
      </c>
      <c r="E181" s="63" t="str">
        <f>IF(Inicial!J143="SI",Inicial!E143,"N/A")</f>
        <v>N/A</v>
      </c>
      <c r="F181" s="64" t="str">
        <f>IF(Inicial!J143="SI",Inicial!F143,"N/A")</f>
        <v>N/A</v>
      </c>
      <c r="G181" s="64" t="str">
        <f>IF(Inicial!J143="SI",Inicial!G143,"N/A")</f>
        <v>N/A</v>
      </c>
      <c r="H181" s="64" t="str">
        <f>IF(Inicial!J143="SI",Inicial!H143,"N/A")</f>
        <v>N/A</v>
      </c>
      <c r="I181" s="66" t="str">
        <f>IF(Inicial!J143="SI",Inicial!I143,"N/A")</f>
        <v>N/A</v>
      </c>
      <c r="P181" s="6" t="str">
        <f t="shared" si="6"/>
        <v>Aceptable</v>
      </c>
      <c r="Q181" s="6"/>
      <c r="R181" s="6"/>
      <c r="S181" s="6"/>
      <c r="T181" s="6"/>
      <c r="U181" s="6"/>
      <c r="V181" s="6"/>
      <c r="W181" s="6" t="str">
        <f t="shared" si="7"/>
        <v>Critico</v>
      </c>
    </row>
    <row r="182" spans="1:23">
      <c r="A182" s="63">
        <f>Inicial!A144</f>
        <v>0</v>
      </c>
      <c r="B182" s="64">
        <f>Inicial!B144</f>
        <v>0</v>
      </c>
      <c r="C182" s="64">
        <f>Inicial!C144</f>
        <v>0</v>
      </c>
      <c r="D182" s="65">
        <f>Inicial!D144</f>
        <v>0</v>
      </c>
      <c r="E182" s="63" t="str">
        <f>IF(Inicial!J144="SI",Inicial!E144,"N/A")</f>
        <v>N/A</v>
      </c>
      <c r="F182" s="64" t="str">
        <f>IF(Inicial!J144="SI",Inicial!F144,"N/A")</f>
        <v>N/A</v>
      </c>
      <c r="G182" s="64" t="str">
        <f>IF(Inicial!J144="SI",Inicial!G144,"N/A")</f>
        <v>N/A</v>
      </c>
      <c r="H182" s="64" t="str">
        <f>IF(Inicial!J144="SI",Inicial!H144,"N/A")</f>
        <v>N/A</v>
      </c>
      <c r="I182" s="66" t="str">
        <f>IF(Inicial!J144="SI",Inicial!I144,"N/A")</f>
        <v>N/A</v>
      </c>
      <c r="P182" s="6" t="str">
        <f t="shared" si="6"/>
        <v>Aceptable</v>
      </c>
      <c r="Q182" s="6"/>
      <c r="R182" s="6"/>
      <c r="S182" s="6"/>
      <c r="T182" s="6"/>
      <c r="U182" s="6"/>
      <c r="V182" s="6"/>
      <c r="W182" s="6" t="str">
        <f t="shared" si="7"/>
        <v>Critico</v>
      </c>
    </row>
    <row r="183" spans="1:23">
      <c r="A183" s="63">
        <f>Inicial!A145</f>
        <v>0</v>
      </c>
      <c r="B183" s="64">
        <f>Inicial!B145</f>
        <v>0</v>
      </c>
      <c r="C183" s="64">
        <f>Inicial!C145</f>
        <v>0</v>
      </c>
      <c r="D183" s="65">
        <f>Inicial!D145</f>
        <v>0</v>
      </c>
      <c r="E183" s="63" t="str">
        <f>IF(Inicial!J145="SI",Inicial!E145,"N/A")</f>
        <v>N/A</v>
      </c>
      <c r="F183" s="64" t="str">
        <f>IF(Inicial!J145="SI",Inicial!F145,"N/A")</f>
        <v>N/A</v>
      </c>
      <c r="G183" s="64" t="str">
        <f>IF(Inicial!J145="SI",Inicial!G145,"N/A")</f>
        <v>N/A</v>
      </c>
      <c r="H183" s="64" t="str">
        <f>IF(Inicial!J145="SI",Inicial!H145,"N/A")</f>
        <v>N/A</v>
      </c>
      <c r="I183" s="66" t="str">
        <f>IF(Inicial!J145="SI",Inicial!I145,"N/A")</f>
        <v>N/A</v>
      </c>
      <c r="P183" s="6" t="str">
        <f t="shared" si="6"/>
        <v>Aceptable</v>
      </c>
      <c r="Q183" s="6"/>
      <c r="R183" s="6"/>
      <c r="S183" s="6"/>
      <c r="T183" s="6"/>
      <c r="U183" s="6"/>
      <c r="V183" s="6"/>
      <c r="W183" s="6" t="str">
        <f t="shared" si="7"/>
        <v>Critico</v>
      </c>
    </row>
    <row r="184" spans="1:23">
      <c r="A184" s="63">
        <f>Inicial!A146</f>
        <v>0</v>
      </c>
      <c r="B184" s="64">
        <f>Inicial!B146</f>
        <v>0</v>
      </c>
      <c r="C184" s="64">
        <f>Inicial!C146</f>
        <v>0</v>
      </c>
      <c r="D184" s="65">
        <f>Inicial!D146</f>
        <v>0</v>
      </c>
      <c r="E184" s="63" t="str">
        <f>IF(Inicial!J146="SI",Inicial!E146,"N/A")</f>
        <v>N/A</v>
      </c>
      <c r="F184" s="64" t="str">
        <f>IF(Inicial!J146="SI",Inicial!F146,"N/A")</f>
        <v>N/A</v>
      </c>
      <c r="G184" s="64" t="str">
        <f>IF(Inicial!J146="SI",Inicial!G146,"N/A")</f>
        <v>N/A</v>
      </c>
      <c r="H184" s="64" t="str">
        <f>IF(Inicial!J146="SI",Inicial!H146,"N/A")</f>
        <v>N/A</v>
      </c>
      <c r="I184" s="66" t="str">
        <f>IF(Inicial!J146="SI",Inicial!I146,"N/A")</f>
        <v>N/A</v>
      </c>
      <c r="P184" s="6" t="str">
        <f t="shared" si="6"/>
        <v>Aceptable</v>
      </c>
      <c r="Q184" s="6"/>
      <c r="R184" s="6"/>
      <c r="S184" s="6"/>
      <c r="T184" s="6"/>
      <c r="U184" s="6"/>
      <c r="V184" s="6"/>
      <c r="W184" s="6" t="str">
        <f t="shared" si="7"/>
        <v>Critico</v>
      </c>
    </row>
    <row r="185" spans="1:23">
      <c r="A185" s="63">
        <f>Inicial!A147</f>
        <v>0</v>
      </c>
      <c r="B185" s="64">
        <f>Inicial!B147</f>
        <v>0</v>
      </c>
      <c r="C185" s="64">
        <f>Inicial!C147</f>
        <v>0</v>
      </c>
      <c r="D185" s="65">
        <f>Inicial!D147</f>
        <v>0</v>
      </c>
      <c r="E185" s="63" t="str">
        <f>IF(Inicial!J147="SI",Inicial!E147,"N/A")</f>
        <v>N/A</v>
      </c>
      <c r="F185" s="64" t="str">
        <f>IF(Inicial!J147="SI",Inicial!F147,"N/A")</f>
        <v>N/A</v>
      </c>
      <c r="G185" s="64" t="str">
        <f>IF(Inicial!J147="SI",Inicial!G147,"N/A")</f>
        <v>N/A</v>
      </c>
      <c r="H185" s="64" t="str">
        <f>IF(Inicial!J147="SI",Inicial!H147,"N/A")</f>
        <v>N/A</v>
      </c>
      <c r="I185" s="66" t="str">
        <f>IF(Inicial!J147="SI",Inicial!I147,"N/A")</f>
        <v>N/A</v>
      </c>
      <c r="P185" s="6" t="str">
        <f t="shared" si="6"/>
        <v>Aceptable</v>
      </c>
      <c r="Q185" s="6"/>
      <c r="R185" s="6"/>
      <c r="S185" s="6"/>
      <c r="T185" s="6"/>
      <c r="U185" s="6"/>
      <c r="V185" s="6"/>
      <c r="W185" s="6" t="str">
        <f t="shared" si="7"/>
        <v>Critico</v>
      </c>
    </row>
    <row r="186" spans="1:23">
      <c r="A186" s="63">
        <f>Inicial!A148</f>
        <v>0</v>
      </c>
      <c r="B186" s="64">
        <f>Inicial!B148</f>
        <v>0</v>
      </c>
      <c r="C186" s="64">
        <f>Inicial!C148</f>
        <v>0</v>
      </c>
      <c r="D186" s="65">
        <f>Inicial!D148</f>
        <v>0</v>
      </c>
      <c r="E186" s="63" t="str">
        <f>IF(Inicial!J148="SI",Inicial!E148,"N/A")</f>
        <v>N/A</v>
      </c>
      <c r="F186" s="64" t="str">
        <f>IF(Inicial!J148="SI",Inicial!F148,"N/A")</f>
        <v>N/A</v>
      </c>
      <c r="G186" s="64" t="str">
        <f>IF(Inicial!J148="SI",Inicial!G148,"N/A")</f>
        <v>N/A</v>
      </c>
      <c r="H186" s="64" t="str">
        <f>IF(Inicial!J148="SI",Inicial!H148,"N/A")</f>
        <v>N/A</v>
      </c>
      <c r="I186" s="66" t="str">
        <f>IF(Inicial!J148="SI",Inicial!I148,"N/A")</f>
        <v>N/A</v>
      </c>
      <c r="P186" s="6" t="str">
        <f t="shared" si="6"/>
        <v>Aceptable</v>
      </c>
      <c r="Q186" s="6"/>
      <c r="R186" s="6"/>
      <c r="S186" s="6"/>
      <c r="T186" s="6"/>
      <c r="U186" s="6"/>
      <c r="V186" s="6"/>
      <c r="W186" s="6" t="str">
        <f t="shared" si="7"/>
        <v>Critico</v>
      </c>
    </row>
    <row r="187" spans="1:23">
      <c r="A187" s="63">
        <f>Inicial!A149</f>
        <v>0</v>
      </c>
      <c r="B187" s="64">
        <f>Inicial!B149</f>
        <v>0</v>
      </c>
      <c r="C187" s="64">
        <f>Inicial!C149</f>
        <v>0</v>
      </c>
      <c r="D187" s="65">
        <f>Inicial!D149</f>
        <v>0</v>
      </c>
      <c r="E187" s="63" t="str">
        <f>IF(Inicial!J149="SI",Inicial!E149,"N/A")</f>
        <v>N/A</v>
      </c>
      <c r="F187" s="64" t="str">
        <f>IF(Inicial!J149="SI",Inicial!F149,"N/A")</f>
        <v>N/A</v>
      </c>
      <c r="G187" s="64" t="str">
        <f>IF(Inicial!J149="SI",Inicial!G149,"N/A")</f>
        <v>N/A</v>
      </c>
      <c r="H187" s="64" t="str">
        <f>IF(Inicial!J149="SI",Inicial!H149,"N/A")</f>
        <v>N/A</v>
      </c>
      <c r="I187" s="66" t="str">
        <f>IF(Inicial!J149="SI",Inicial!I149,"N/A")</f>
        <v>N/A</v>
      </c>
      <c r="P187" s="6" t="str">
        <f t="shared" si="6"/>
        <v>Aceptable</v>
      </c>
      <c r="Q187" s="6"/>
      <c r="R187" s="6"/>
      <c r="S187" s="6"/>
      <c r="T187" s="6"/>
      <c r="U187" s="6"/>
      <c r="V187" s="6"/>
      <c r="W187" s="6" t="str">
        <f t="shared" si="7"/>
        <v>Critico</v>
      </c>
    </row>
    <row r="188" spans="1:23">
      <c r="A188" s="63">
        <f>Inicial!A150</f>
        <v>0</v>
      </c>
      <c r="B188" s="64">
        <f>Inicial!B150</f>
        <v>0</v>
      </c>
      <c r="C188" s="64">
        <f>Inicial!C150</f>
        <v>0</v>
      </c>
      <c r="D188" s="65">
        <f>Inicial!D150</f>
        <v>0</v>
      </c>
      <c r="E188" s="63" t="str">
        <f>IF(Inicial!J150="SI",Inicial!E150,"N/A")</f>
        <v>N/A</v>
      </c>
      <c r="F188" s="64" t="str">
        <f>IF(Inicial!J150="SI",Inicial!F150,"N/A")</f>
        <v>N/A</v>
      </c>
      <c r="G188" s="64" t="str">
        <f>IF(Inicial!J150="SI",Inicial!G150,"N/A")</f>
        <v>N/A</v>
      </c>
      <c r="H188" s="64" t="str">
        <f>IF(Inicial!J150="SI",Inicial!H150,"N/A")</f>
        <v>N/A</v>
      </c>
      <c r="I188" s="66" t="str">
        <f>IF(Inicial!J150="SI",Inicial!I150,"N/A")</f>
        <v>N/A</v>
      </c>
      <c r="P188" s="6" t="str">
        <f t="shared" si="6"/>
        <v>Aceptable</v>
      </c>
      <c r="Q188" s="6"/>
      <c r="R188" s="6"/>
      <c r="S188" s="6"/>
      <c r="T188" s="6"/>
      <c r="U188" s="6"/>
      <c r="V188" s="6"/>
      <c r="W188" s="6" t="str">
        <f t="shared" si="7"/>
        <v>Critico</v>
      </c>
    </row>
    <row r="189" spans="1:23">
      <c r="A189" s="63">
        <f>Inicial!A151</f>
        <v>0</v>
      </c>
      <c r="B189" s="64">
        <f>Inicial!B151</f>
        <v>0</v>
      </c>
      <c r="C189" s="64">
        <f>Inicial!C151</f>
        <v>0</v>
      </c>
      <c r="D189" s="65">
        <f>Inicial!D151</f>
        <v>0</v>
      </c>
      <c r="E189" s="63" t="str">
        <f>IF(Inicial!J151="SI",Inicial!E151,"N/A")</f>
        <v>N/A</v>
      </c>
      <c r="F189" s="64" t="str">
        <f>IF(Inicial!J151="SI",Inicial!F151,"N/A")</f>
        <v>N/A</v>
      </c>
      <c r="G189" s="64" t="str">
        <f>IF(Inicial!J151="SI",Inicial!G151,"N/A")</f>
        <v>N/A</v>
      </c>
      <c r="H189" s="64" t="str">
        <f>IF(Inicial!J151="SI",Inicial!H151,"N/A")</f>
        <v>N/A</v>
      </c>
      <c r="I189" s="66" t="str">
        <f>IF(Inicial!J151="SI",Inicial!I151,"N/A")</f>
        <v>N/A</v>
      </c>
      <c r="P189" s="6" t="str">
        <f t="shared" si="6"/>
        <v>Aceptable</v>
      </c>
      <c r="Q189" s="6"/>
      <c r="R189" s="6"/>
      <c r="S189" s="6"/>
      <c r="T189" s="6"/>
      <c r="U189" s="6"/>
      <c r="V189" s="6"/>
      <c r="W189" s="6" t="str">
        <f t="shared" si="7"/>
        <v>Critico</v>
      </c>
    </row>
    <row r="190" spans="1:23">
      <c r="A190" s="63">
        <f>Inicial!A152</f>
        <v>0</v>
      </c>
      <c r="B190" s="64">
        <f>Inicial!B152</f>
        <v>0</v>
      </c>
      <c r="C190" s="64">
        <f>Inicial!C152</f>
        <v>0</v>
      </c>
      <c r="D190" s="65">
        <f>Inicial!D152</f>
        <v>0</v>
      </c>
      <c r="E190" s="63" t="str">
        <f>IF(Inicial!J152="SI",Inicial!E152,"N/A")</f>
        <v>N/A</v>
      </c>
      <c r="F190" s="64" t="str">
        <f>IF(Inicial!J152="SI",Inicial!F152,"N/A")</f>
        <v>N/A</v>
      </c>
      <c r="G190" s="64" t="str">
        <f>IF(Inicial!J152="SI",Inicial!G152,"N/A")</f>
        <v>N/A</v>
      </c>
      <c r="H190" s="64" t="str">
        <f>IF(Inicial!J152="SI",Inicial!H152,"N/A")</f>
        <v>N/A</v>
      </c>
      <c r="I190" s="66" t="str">
        <f>IF(Inicial!J152="SI",Inicial!I152,"N/A")</f>
        <v>N/A</v>
      </c>
      <c r="P190" s="6" t="str">
        <f t="shared" si="6"/>
        <v>Aceptable</v>
      </c>
      <c r="Q190" s="6"/>
      <c r="R190" s="6"/>
      <c r="S190" s="6"/>
      <c r="T190" s="6"/>
      <c r="U190" s="6"/>
      <c r="V190" s="6"/>
      <c r="W190" s="6" t="str">
        <f t="shared" si="7"/>
        <v>Critico</v>
      </c>
    </row>
    <row r="191" spans="1:23">
      <c r="A191" s="63">
        <f>Inicial!A153</f>
        <v>0</v>
      </c>
      <c r="B191" s="64">
        <f>Inicial!B153</f>
        <v>0</v>
      </c>
      <c r="C191" s="64">
        <f>Inicial!C153</f>
        <v>0</v>
      </c>
      <c r="D191" s="65">
        <f>Inicial!D153</f>
        <v>0</v>
      </c>
      <c r="E191" s="63" t="str">
        <f>IF(Inicial!J153="SI",Inicial!E153,"N/A")</f>
        <v>N/A</v>
      </c>
      <c r="F191" s="64" t="str">
        <f>IF(Inicial!J153="SI",Inicial!F153,"N/A")</f>
        <v>N/A</v>
      </c>
      <c r="G191" s="64" t="str">
        <f>IF(Inicial!J153="SI",Inicial!G153,"N/A")</f>
        <v>N/A</v>
      </c>
      <c r="H191" s="64" t="str">
        <f>IF(Inicial!J153="SI",Inicial!H153,"N/A")</f>
        <v>N/A</v>
      </c>
      <c r="I191" s="66" t="str">
        <f>IF(Inicial!J153="SI",Inicial!I153,"N/A")</f>
        <v>N/A</v>
      </c>
      <c r="P191" s="6" t="str">
        <f t="shared" si="6"/>
        <v>Aceptable</v>
      </c>
      <c r="Q191" s="6"/>
      <c r="R191" s="6"/>
      <c r="S191" s="6"/>
      <c r="T191" s="6"/>
      <c r="U191" s="6"/>
      <c r="V191" s="6"/>
      <c r="W191" s="6" t="str">
        <f t="shared" si="7"/>
        <v>Critico</v>
      </c>
    </row>
    <row r="192" spans="1:23">
      <c r="A192" s="63">
        <f>Inicial!A154</f>
        <v>0</v>
      </c>
      <c r="B192" s="64">
        <f>Inicial!B154</f>
        <v>0</v>
      </c>
      <c r="C192" s="64">
        <f>Inicial!C154</f>
        <v>0</v>
      </c>
      <c r="D192" s="65">
        <f>Inicial!D154</f>
        <v>0</v>
      </c>
      <c r="E192" s="63" t="str">
        <f>IF(Inicial!J154="SI",Inicial!E154,"N/A")</f>
        <v>N/A</v>
      </c>
      <c r="F192" s="64" t="str">
        <f>IF(Inicial!J154="SI",Inicial!F154,"N/A")</f>
        <v>N/A</v>
      </c>
      <c r="G192" s="64" t="str">
        <f>IF(Inicial!J154="SI",Inicial!G154,"N/A")</f>
        <v>N/A</v>
      </c>
      <c r="H192" s="64" t="str">
        <f>IF(Inicial!J154="SI",Inicial!H154,"N/A")</f>
        <v>N/A</v>
      </c>
      <c r="I192" s="66" t="str">
        <f>IF(Inicial!J154="SI",Inicial!I154,"N/A")</f>
        <v>N/A</v>
      </c>
      <c r="P192" s="6" t="str">
        <f t="shared" si="6"/>
        <v>Aceptable</v>
      </c>
      <c r="Q192" s="6"/>
      <c r="R192" s="6"/>
      <c r="S192" s="6"/>
      <c r="T192" s="6"/>
      <c r="U192" s="6"/>
      <c r="V192" s="6"/>
      <c r="W192" s="6" t="str">
        <f t="shared" si="7"/>
        <v>Critico</v>
      </c>
    </row>
    <row r="193" spans="1:23">
      <c r="A193" s="63">
        <f>Inicial!A155</f>
        <v>0</v>
      </c>
      <c r="B193" s="64">
        <f>Inicial!B155</f>
        <v>0</v>
      </c>
      <c r="C193" s="64">
        <f>Inicial!C155</f>
        <v>0</v>
      </c>
      <c r="D193" s="65">
        <f>Inicial!D155</f>
        <v>0</v>
      </c>
      <c r="E193" s="63" t="str">
        <f>IF(Inicial!J155="SI",Inicial!E155,"N/A")</f>
        <v>N/A</v>
      </c>
      <c r="F193" s="64" t="str">
        <f>IF(Inicial!J155="SI",Inicial!F155,"N/A")</f>
        <v>N/A</v>
      </c>
      <c r="G193" s="64" t="str">
        <f>IF(Inicial!J155="SI",Inicial!G155,"N/A")</f>
        <v>N/A</v>
      </c>
      <c r="H193" s="64" t="str">
        <f>IF(Inicial!J155="SI",Inicial!H155,"N/A")</f>
        <v>N/A</v>
      </c>
      <c r="I193" s="66" t="str">
        <f>IF(Inicial!J155="SI",Inicial!I155,"N/A")</f>
        <v>N/A</v>
      </c>
      <c r="P193" s="6" t="str">
        <f t="shared" si="6"/>
        <v>Aceptable</v>
      </c>
      <c r="Q193" s="6"/>
      <c r="R193" s="6"/>
      <c r="S193" s="6"/>
      <c r="T193" s="6"/>
      <c r="U193" s="6"/>
      <c r="V193" s="6"/>
      <c r="W193" s="6" t="str">
        <f t="shared" si="7"/>
        <v>Critico</v>
      </c>
    </row>
    <row r="194" spans="1:23">
      <c r="A194" s="63">
        <f>Inicial!A156</f>
        <v>0</v>
      </c>
      <c r="B194" s="64">
        <f>Inicial!B156</f>
        <v>0</v>
      </c>
      <c r="C194" s="64">
        <f>Inicial!C156</f>
        <v>0</v>
      </c>
      <c r="D194" s="65">
        <f>Inicial!D156</f>
        <v>0</v>
      </c>
      <c r="E194" s="63" t="str">
        <f>IF(Inicial!J156="SI",Inicial!E156,"N/A")</f>
        <v>N/A</v>
      </c>
      <c r="F194" s="64" t="str">
        <f>IF(Inicial!J156="SI",Inicial!F156,"N/A")</f>
        <v>N/A</v>
      </c>
      <c r="G194" s="64" t="str">
        <f>IF(Inicial!J156="SI",Inicial!G156,"N/A")</f>
        <v>N/A</v>
      </c>
      <c r="H194" s="64" t="str">
        <f>IF(Inicial!J156="SI",Inicial!H156,"N/A")</f>
        <v>N/A</v>
      </c>
      <c r="I194" s="66" t="str">
        <f>IF(Inicial!J156="SI",Inicial!I156,"N/A")</f>
        <v>N/A</v>
      </c>
      <c r="P194" s="6" t="str">
        <f t="shared" si="6"/>
        <v>Aceptable</v>
      </c>
      <c r="Q194" s="6"/>
      <c r="R194" s="6"/>
      <c r="S194" s="6"/>
      <c r="T194" s="6"/>
      <c r="U194" s="6"/>
      <c r="V194" s="6"/>
      <c r="W194" s="6" t="str">
        <f t="shared" si="7"/>
        <v>Critico</v>
      </c>
    </row>
    <row r="195" spans="1:23">
      <c r="A195" s="63">
        <f>Inicial!A157</f>
        <v>0</v>
      </c>
      <c r="B195" s="64">
        <f>Inicial!B157</f>
        <v>0</v>
      </c>
      <c r="C195" s="64">
        <f>Inicial!C157</f>
        <v>0</v>
      </c>
      <c r="D195" s="65">
        <f>Inicial!D157</f>
        <v>0</v>
      </c>
      <c r="E195" s="63" t="str">
        <f>IF(Inicial!J157="SI",Inicial!E157,"N/A")</f>
        <v>N/A</v>
      </c>
      <c r="F195" s="64" t="str">
        <f>IF(Inicial!J157="SI",Inicial!F157,"N/A")</f>
        <v>N/A</v>
      </c>
      <c r="G195" s="64" t="str">
        <f>IF(Inicial!J157="SI",Inicial!G157,"N/A")</f>
        <v>N/A</v>
      </c>
      <c r="H195" s="64" t="str">
        <f>IF(Inicial!J157="SI",Inicial!H157,"N/A")</f>
        <v>N/A</v>
      </c>
      <c r="I195" s="66" t="str">
        <f>IF(Inicial!J157="SI",Inicial!I157,"N/A")</f>
        <v>N/A</v>
      </c>
      <c r="P195" s="6" t="str">
        <f t="shared" si="6"/>
        <v>Aceptable</v>
      </c>
      <c r="Q195" s="6"/>
      <c r="R195" s="6"/>
      <c r="S195" s="6"/>
      <c r="T195" s="6"/>
      <c r="U195" s="6"/>
      <c r="V195" s="6"/>
      <c r="W195" s="6" t="str">
        <f t="shared" si="7"/>
        <v>Critico</v>
      </c>
    </row>
    <row r="196" spans="1:23">
      <c r="A196" s="63">
        <f>Inicial!A158</f>
        <v>0</v>
      </c>
      <c r="B196" s="64">
        <f>Inicial!B158</f>
        <v>0</v>
      </c>
      <c r="C196" s="64">
        <f>Inicial!C158</f>
        <v>0</v>
      </c>
      <c r="D196" s="65">
        <f>Inicial!D158</f>
        <v>0</v>
      </c>
      <c r="E196" s="63" t="str">
        <f>IF(Inicial!J158="SI",Inicial!E158,"N/A")</f>
        <v>N/A</v>
      </c>
      <c r="F196" s="64" t="str">
        <f>IF(Inicial!J158="SI",Inicial!F158,"N/A")</f>
        <v>N/A</v>
      </c>
      <c r="G196" s="64" t="str">
        <f>IF(Inicial!J158="SI",Inicial!G158,"N/A")</f>
        <v>N/A</v>
      </c>
      <c r="H196" s="64" t="str">
        <f>IF(Inicial!J158="SI",Inicial!H158,"N/A")</f>
        <v>N/A</v>
      </c>
      <c r="I196" s="66" t="str">
        <f>IF(Inicial!J158="SI",Inicial!I158,"N/A")</f>
        <v>N/A</v>
      </c>
      <c r="P196" s="6" t="str">
        <f t="shared" ref="P196:P251" si="8">IF(OR(J196="NO",K196="NO",L196="NO",M196="NO",N196="NO",O196="NO"),"No Aceptable","Aceptable")</f>
        <v>Aceptable</v>
      </c>
      <c r="Q196" s="6"/>
      <c r="R196" s="6"/>
      <c r="S196" s="6"/>
      <c r="T196" s="6"/>
      <c r="U196" s="6"/>
      <c r="V196" s="6"/>
      <c r="W196" s="6" t="str">
        <f t="shared" ref="W196:W251" si="9">IF(AND(Q196="NO",R196="NO",S196="NO",T196="NO",U196="NO",V196="NO"),"No Critico","Critico")</f>
        <v>Critico</v>
      </c>
    </row>
    <row r="197" spans="1:23">
      <c r="A197" s="63">
        <f>Inicial!A159</f>
        <v>0</v>
      </c>
      <c r="B197" s="64">
        <f>Inicial!B159</f>
        <v>0</v>
      </c>
      <c r="C197" s="64">
        <f>Inicial!C159</f>
        <v>0</v>
      </c>
      <c r="D197" s="65">
        <f>Inicial!D159</f>
        <v>0</v>
      </c>
      <c r="E197" s="63" t="str">
        <f>IF(Inicial!J159="SI",Inicial!E159,"N/A")</f>
        <v>N/A</v>
      </c>
      <c r="F197" s="64" t="str">
        <f>IF(Inicial!J159="SI",Inicial!F159,"N/A")</f>
        <v>N/A</v>
      </c>
      <c r="G197" s="64" t="str">
        <f>IF(Inicial!J159="SI",Inicial!G159,"N/A")</f>
        <v>N/A</v>
      </c>
      <c r="H197" s="64" t="str">
        <f>IF(Inicial!J159="SI",Inicial!H159,"N/A")</f>
        <v>N/A</v>
      </c>
      <c r="I197" s="66" t="str">
        <f>IF(Inicial!J159="SI",Inicial!I159,"N/A")</f>
        <v>N/A</v>
      </c>
      <c r="P197" s="6" t="str">
        <f t="shared" si="8"/>
        <v>Aceptable</v>
      </c>
      <c r="Q197" s="6"/>
      <c r="R197" s="6"/>
      <c r="S197" s="6"/>
      <c r="T197" s="6"/>
      <c r="U197" s="6"/>
      <c r="V197" s="6"/>
      <c r="W197" s="6" t="str">
        <f t="shared" si="9"/>
        <v>Critico</v>
      </c>
    </row>
    <row r="198" spans="1:23">
      <c r="A198" s="63">
        <f>Inicial!A160</f>
        <v>0</v>
      </c>
      <c r="B198" s="64">
        <f>Inicial!B160</f>
        <v>0</v>
      </c>
      <c r="C198" s="64">
        <f>Inicial!C160</f>
        <v>0</v>
      </c>
      <c r="D198" s="65">
        <f>Inicial!D160</f>
        <v>0</v>
      </c>
      <c r="E198" s="63" t="str">
        <f>IF(Inicial!J160="SI",Inicial!E160,"N/A")</f>
        <v>N/A</v>
      </c>
      <c r="F198" s="64" t="str">
        <f>IF(Inicial!J160="SI",Inicial!F160,"N/A")</f>
        <v>N/A</v>
      </c>
      <c r="G198" s="64" t="str">
        <f>IF(Inicial!J160="SI",Inicial!G160,"N/A")</f>
        <v>N/A</v>
      </c>
      <c r="H198" s="64" t="str">
        <f>IF(Inicial!J160="SI",Inicial!H160,"N/A")</f>
        <v>N/A</v>
      </c>
      <c r="I198" s="66" t="str">
        <f>IF(Inicial!J160="SI",Inicial!I160,"N/A")</f>
        <v>N/A</v>
      </c>
      <c r="P198" s="6" t="str">
        <f t="shared" si="8"/>
        <v>Aceptable</v>
      </c>
      <c r="Q198" s="6"/>
      <c r="R198" s="6"/>
      <c r="S198" s="6"/>
      <c r="T198" s="6"/>
      <c r="U198" s="6"/>
      <c r="V198" s="6"/>
      <c r="W198" s="6" t="str">
        <f t="shared" si="9"/>
        <v>Critico</v>
      </c>
    </row>
    <row r="199" spans="1:23">
      <c r="A199" s="63">
        <f>Inicial!A161</f>
        <v>0</v>
      </c>
      <c r="B199" s="64">
        <f>Inicial!B161</f>
        <v>0</v>
      </c>
      <c r="C199" s="64">
        <f>Inicial!C161</f>
        <v>0</v>
      </c>
      <c r="D199" s="65">
        <f>Inicial!D161</f>
        <v>0</v>
      </c>
      <c r="E199" s="63" t="str">
        <f>IF(Inicial!J161="SI",Inicial!E161,"N/A")</f>
        <v>N/A</v>
      </c>
      <c r="F199" s="64" t="str">
        <f>IF(Inicial!J161="SI",Inicial!F161,"N/A")</f>
        <v>N/A</v>
      </c>
      <c r="G199" s="64" t="str">
        <f>IF(Inicial!J161="SI",Inicial!G161,"N/A")</f>
        <v>N/A</v>
      </c>
      <c r="H199" s="64" t="str">
        <f>IF(Inicial!J161="SI",Inicial!H161,"N/A")</f>
        <v>N/A</v>
      </c>
      <c r="I199" s="66" t="str">
        <f>IF(Inicial!J161="SI",Inicial!I161,"N/A")</f>
        <v>N/A</v>
      </c>
      <c r="P199" s="6" t="str">
        <f t="shared" si="8"/>
        <v>Aceptable</v>
      </c>
      <c r="Q199" s="6"/>
      <c r="R199" s="6"/>
      <c r="S199" s="6"/>
      <c r="T199" s="6"/>
      <c r="U199" s="6"/>
      <c r="V199" s="6"/>
      <c r="W199" s="6" t="str">
        <f t="shared" si="9"/>
        <v>Critico</v>
      </c>
    </row>
    <row r="200" spans="1:23">
      <c r="A200" s="63">
        <f>Inicial!A162</f>
        <v>0</v>
      </c>
      <c r="B200" s="64">
        <f>Inicial!B162</f>
        <v>0</v>
      </c>
      <c r="C200" s="64">
        <f>Inicial!C162</f>
        <v>0</v>
      </c>
      <c r="D200" s="65">
        <f>Inicial!D162</f>
        <v>0</v>
      </c>
      <c r="E200" s="63" t="str">
        <f>IF(Inicial!J162="SI",Inicial!E162,"N/A")</f>
        <v>N/A</v>
      </c>
      <c r="F200" s="64" t="str">
        <f>IF(Inicial!J162="SI",Inicial!F162,"N/A")</f>
        <v>N/A</v>
      </c>
      <c r="G200" s="64" t="str">
        <f>IF(Inicial!J162="SI",Inicial!G162,"N/A")</f>
        <v>N/A</v>
      </c>
      <c r="H200" s="64" t="str">
        <f>IF(Inicial!J162="SI",Inicial!H162,"N/A")</f>
        <v>N/A</v>
      </c>
      <c r="I200" s="66" t="str">
        <f>IF(Inicial!J162="SI",Inicial!I162,"N/A")</f>
        <v>N/A</v>
      </c>
      <c r="P200" s="6" t="str">
        <f t="shared" si="8"/>
        <v>Aceptable</v>
      </c>
      <c r="Q200" s="6"/>
      <c r="R200" s="6"/>
      <c r="S200" s="6"/>
      <c r="T200" s="6"/>
      <c r="U200" s="6"/>
      <c r="V200" s="6"/>
      <c r="W200" s="6" t="str">
        <f t="shared" si="9"/>
        <v>Critico</v>
      </c>
    </row>
    <row r="201" spans="1:23">
      <c r="A201" s="63">
        <f>Inicial!A163</f>
        <v>0</v>
      </c>
      <c r="B201" s="64">
        <f>Inicial!B163</f>
        <v>0</v>
      </c>
      <c r="C201" s="64">
        <f>Inicial!C163</f>
        <v>0</v>
      </c>
      <c r="D201" s="65">
        <f>Inicial!D163</f>
        <v>0</v>
      </c>
      <c r="E201" s="63" t="str">
        <f>IF(Inicial!J163="SI",Inicial!E163,"N/A")</f>
        <v>N/A</v>
      </c>
      <c r="F201" s="64" t="str">
        <f>IF(Inicial!J163="SI",Inicial!F163,"N/A")</f>
        <v>N/A</v>
      </c>
      <c r="G201" s="64" t="str">
        <f>IF(Inicial!J163="SI",Inicial!G163,"N/A")</f>
        <v>N/A</v>
      </c>
      <c r="H201" s="64" t="str">
        <f>IF(Inicial!J163="SI",Inicial!H163,"N/A")</f>
        <v>N/A</v>
      </c>
      <c r="I201" s="66" t="str">
        <f>IF(Inicial!J163="SI",Inicial!I163,"N/A")</f>
        <v>N/A</v>
      </c>
      <c r="P201" s="6" t="str">
        <f t="shared" si="8"/>
        <v>Aceptable</v>
      </c>
      <c r="Q201" s="6"/>
      <c r="R201" s="6"/>
      <c r="S201" s="6"/>
      <c r="T201" s="6"/>
      <c r="U201" s="6"/>
      <c r="V201" s="6"/>
      <c r="W201" s="6" t="str">
        <f t="shared" si="9"/>
        <v>Critico</v>
      </c>
    </row>
    <row r="202" spans="1:23">
      <c r="A202" s="63">
        <f>Inicial!A164</f>
        <v>0</v>
      </c>
      <c r="B202" s="64">
        <f>Inicial!B164</f>
        <v>0</v>
      </c>
      <c r="C202" s="64">
        <f>Inicial!C164</f>
        <v>0</v>
      </c>
      <c r="D202" s="65">
        <f>Inicial!D164</f>
        <v>0</v>
      </c>
      <c r="E202" s="63" t="str">
        <f>IF(Inicial!J164="SI",Inicial!E164,"N/A")</f>
        <v>N/A</v>
      </c>
      <c r="F202" s="64" t="str">
        <f>IF(Inicial!J164="SI",Inicial!F164,"N/A")</f>
        <v>N/A</v>
      </c>
      <c r="G202" s="64" t="str">
        <f>IF(Inicial!J164="SI",Inicial!G164,"N/A")</f>
        <v>N/A</v>
      </c>
      <c r="H202" s="64" t="str">
        <f>IF(Inicial!J164="SI",Inicial!H164,"N/A")</f>
        <v>N/A</v>
      </c>
      <c r="I202" s="66" t="str">
        <f>IF(Inicial!J164="SI",Inicial!I164,"N/A")</f>
        <v>N/A</v>
      </c>
      <c r="P202" s="6" t="str">
        <f t="shared" si="8"/>
        <v>Aceptable</v>
      </c>
      <c r="Q202" s="6"/>
      <c r="R202" s="6"/>
      <c r="S202" s="6"/>
      <c r="T202" s="6"/>
      <c r="U202" s="6"/>
      <c r="V202" s="6"/>
      <c r="W202" s="6" t="str">
        <f t="shared" si="9"/>
        <v>Critico</v>
      </c>
    </row>
    <row r="203" spans="1:23">
      <c r="A203" s="63">
        <f>Inicial!A165</f>
        <v>0</v>
      </c>
      <c r="B203" s="64">
        <f>Inicial!B165</f>
        <v>0</v>
      </c>
      <c r="C203" s="64">
        <f>Inicial!C165</f>
        <v>0</v>
      </c>
      <c r="D203" s="65">
        <f>Inicial!D165</f>
        <v>0</v>
      </c>
      <c r="E203" s="63" t="str">
        <f>IF(Inicial!J165="SI",Inicial!E165,"N/A")</f>
        <v>N/A</v>
      </c>
      <c r="F203" s="64" t="str">
        <f>IF(Inicial!J165="SI",Inicial!F165,"N/A")</f>
        <v>N/A</v>
      </c>
      <c r="G203" s="64" t="str">
        <f>IF(Inicial!J165="SI",Inicial!G165,"N/A")</f>
        <v>N/A</v>
      </c>
      <c r="H203" s="64" t="str">
        <f>IF(Inicial!J165="SI",Inicial!H165,"N/A")</f>
        <v>N/A</v>
      </c>
      <c r="I203" s="66" t="str">
        <f>IF(Inicial!J165="SI",Inicial!I165,"N/A")</f>
        <v>N/A</v>
      </c>
      <c r="P203" s="6" t="str">
        <f t="shared" si="8"/>
        <v>Aceptable</v>
      </c>
      <c r="Q203" s="6"/>
      <c r="R203" s="6"/>
      <c r="S203" s="6"/>
      <c r="T203" s="6"/>
      <c r="U203" s="6"/>
      <c r="V203" s="6"/>
      <c r="W203" s="6" t="str">
        <f t="shared" si="9"/>
        <v>Critico</v>
      </c>
    </row>
    <row r="204" spans="1:23">
      <c r="A204" s="63">
        <f>Inicial!A166</f>
        <v>0</v>
      </c>
      <c r="B204" s="64">
        <f>Inicial!B166</f>
        <v>0</v>
      </c>
      <c r="C204" s="64">
        <f>Inicial!C166</f>
        <v>0</v>
      </c>
      <c r="D204" s="65">
        <f>Inicial!D166</f>
        <v>0</v>
      </c>
      <c r="E204" s="63" t="str">
        <f>IF(Inicial!J166="SI",Inicial!E166,"N/A")</f>
        <v>N/A</v>
      </c>
      <c r="F204" s="64" t="str">
        <f>IF(Inicial!J166="SI",Inicial!F166,"N/A")</f>
        <v>N/A</v>
      </c>
      <c r="G204" s="64" t="str">
        <f>IF(Inicial!J166="SI",Inicial!G166,"N/A")</f>
        <v>N/A</v>
      </c>
      <c r="H204" s="64" t="str">
        <f>IF(Inicial!J166="SI",Inicial!H166,"N/A")</f>
        <v>N/A</v>
      </c>
      <c r="I204" s="66" t="str">
        <f>IF(Inicial!J166="SI",Inicial!I166,"N/A")</f>
        <v>N/A</v>
      </c>
      <c r="P204" s="6" t="str">
        <f t="shared" si="8"/>
        <v>Aceptable</v>
      </c>
      <c r="Q204" s="6"/>
      <c r="R204" s="6"/>
      <c r="S204" s="6"/>
      <c r="T204" s="6"/>
      <c r="U204" s="6"/>
      <c r="V204" s="6"/>
      <c r="W204" s="6" t="str">
        <f t="shared" si="9"/>
        <v>Critico</v>
      </c>
    </row>
    <row r="205" spans="1:23">
      <c r="A205" s="63">
        <f>Inicial!A167</f>
        <v>0</v>
      </c>
      <c r="B205" s="64">
        <f>Inicial!B167</f>
        <v>0</v>
      </c>
      <c r="C205" s="64">
        <f>Inicial!C167</f>
        <v>0</v>
      </c>
      <c r="D205" s="65">
        <f>Inicial!D167</f>
        <v>0</v>
      </c>
      <c r="E205" s="63" t="str">
        <f>IF(Inicial!J167="SI",Inicial!E167,"N/A")</f>
        <v>N/A</v>
      </c>
      <c r="F205" s="64" t="str">
        <f>IF(Inicial!J167="SI",Inicial!F167,"N/A")</f>
        <v>N/A</v>
      </c>
      <c r="G205" s="64" t="str">
        <f>IF(Inicial!J167="SI",Inicial!G167,"N/A")</f>
        <v>N/A</v>
      </c>
      <c r="H205" s="64" t="str">
        <f>IF(Inicial!J167="SI",Inicial!H167,"N/A")</f>
        <v>N/A</v>
      </c>
      <c r="I205" s="66" t="str">
        <f>IF(Inicial!J167="SI",Inicial!I167,"N/A")</f>
        <v>N/A</v>
      </c>
      <c r="P205" s="6" t="str">
        <f t="shared" si="8"/>
        <v>Aceptable</v>
      </c>
      <c r="Q205" s="6"/>
      <c r="R205" s="6"/>
      <c r="S205" s="6"/>
      <c r="T205" s="6"/>
      <c r="U205" s="6"/>
      <c r="V205" s="6"/>
      <c r="W205" s="6" t="str">
        <f t="shared" si="9"/>
        <v>Critico</v>
      </c>
    </row>
    <row r="206" spans="1:23">
      <c r="A206" s="63">
        <f>Inicial!A168</f>
        <v>0</v>
      </c>
      <c r="B206" s="64">
        <f>Inicial!B168</f>
        <v>0</v>
      </c>
      <c r="C206" s="64">
        <f>Inicial!C168</f>
        <v>0</v>
      </c>
      <c r="D206" s="65">
        <f>Inicial!D168</f>
        <v>0</v>
      </c>
      <c r="E206" s="63" t="str">
        <f>IF(Inicial!J168="SI",Inicial!E168,"N/A")</f>
        <v>N/A</v>
      </c>
      <c r="F206" s="64" t="str">
        <f>IF(Inicial!J168="SI",Inicial!F168,"N/A")</f>
        <v>N/A</v>
      </c>
      <c r="G206" s="64" t="str">
        <f>IF(Inicial!J168="SI",Inicial!G168,"N/A")</f>
        <v>N/A</v>
      </c>
      <c r="H206" s="64" t="str">
        <f>IF(Inicial!J168="SI",Inicial!H168,"N/A")</f>
        <v>N/A</v>
      </c>
      <c r="I206" s="66" t="str">
        <f>IF(Inicial!J168="SI",Inicial!I168,"N/A")</f>
        <v>N/A</v>
      </c>
      <c r="P206" s="6" t="str">
        <f t="shared" si="8"/>
        <v>Aceptable</v>
      </c>
      <c r="Q206" s="6"/>
      <c r="R206" s="6"/>
      <c r="S206" s="6"/>
      <c r="T206" s="6"/>
      <c r="U206" s="6"/>
      <c r="V206" s="6"/>
      <c r="W206" s="6" t="str">
        <f t="shared" si="9"/>
        <v>Critico</v>
      </c>
    </row>
    <row r="207" spans="1:23">
      <c r="A207" s="63">
        <f>Inicial!A169</f>
        <v>0</v>
      </c>
      <c r="B207" s="64">
        <f>Inicial!B169</f>
        <v>0</v>
      </c>
      <c r="C207" s="64">
        <f>Inicial!C169</f>
        <v>0</v>
      </c>
      <c r="D207" s="65">
        <f>Inicial!D169</f>
        <v>0</v>
      </c>
      <c r="E207" s="63" t="str">
        <f>IF(Inicial!J169="SI",Inicial!E169,"N/A")</f>
        <v>N/A</v>
      </c>
      <c r="F207" s="64" t="str">
        <f>IF(Inicial!J169="SI",Inicial!F169,"N/A")</f>
        <v>N/A</v>
      </c>
      <c r="G207" s="64" t="str">
        <f>IF(Inicial!J169="SI",Inicial!G169,"N/A")</f>
        <v>N/A</v>
      </c>
      <c r="H207" s="64" t="str">
        <f>IF(Inicial!J169="SI",Inicial!H169,"N/A")</f>
        <v>N/A</v>
      </c>
      <c r="I207" s="66" t="str">
        <f>IF(Inicial!J169="SI",Inicial!I169,"N/A")</f>
        <v>N/A</v>
      </c>
      <c r="P207" s="6" t="str">
        <f t="shared" si="8"/>
        <v>Aceptable</v>
      </c>
      <c r="Q207" s="6"/>
      <c r="R207" s="6"/>
      <c r="S207" s="6"/>
      <c r="T207" s="6"/>
      <c r="U207" s="6"/>
      <c r="V207" s="6"/>
      <c r="W207" s="6" t="str">
        <f t="shared" si="9"/>
        <v>Critico</v>
      </c>
    </row>
    <row r="208" spans="1:23">
      <c r="A208" s="63">
        <f>Inicial!A170</f>
        <v>0</v>
      </c>
      <c r="B208" s="64">
        <f>Inicial!B170</f>
        <v>0</v>
      </c>
      <c r="C208" s="64">
        <f>Inicial!C170</f>
        <v>0</v>
      </c>
      <c r="D208" s="65">
        <f>Inicial!D170</f>
        <v>0</v>
      </c>
      <c r="E208" s="63" t="str">
        <f>IF(Inicial!J170="SI",Inicial!E170,"N/A")</f>
        <v>N/A</v>
      </c>
      <c r="F208" s="64" t="str">
        <f>IF(Inicial!J170="SI",Inicial!F170,"N/A")</f>
        <v>N/A</v>
      </c>
      <c r="G208" s="64" t="str">
        <f>IF(Inicial!J170="SI",Inicial!G170,"N/A")</f>
        <v>N/A</v>
      </c>
      <c r="H208" s="64" t="str">
        <f>IF(Inicial!J170="SI",Inicial!H170,"N/A")</f>
        <v>N/A</v>
      </c>
      <c r="I208" s="66" t="str">
        <f>IF(Inicial!J170="SI",Inicial!I170,"N/A")</f>
        <v>N/A</v>
      </c>
      <c r="P208" s="6" t="str">
        <f t="shared" si="8"/>
        <v>Aceptable</v>
      </c>
      <c r="Q208" s="6"/>
      <c r="R208" s="6"/>
      <c r="S208" s="6"/>
      <c r="T208" s="6"/>
      <c r="U208" s="6"/>
      <c r="V208" s="6"/>
      <c r="W208" s="6" t="str">
        <f t="shared" si="9"/>
        <v>Critico</v>
      </c>
    </row>
    <row r="209" spans="1:23">
      <c r="A209" s="63">
        <f>Inicial!A171</f>
        <v>0</v>
      </c>
      <c r="B209" s="64">
        <f>Inicial!B171</f>
        <v>0</v>
      </c>
      <c r="C209" s="64">
        <f>Inicial!C171</f>
        <v>0</v>
      </c>
      <c r="D209" s="65">
        <f>Inicial!D171</f>
        <v>0</v>
      </c>
      <c r="E209" s="63" t="str">
        <f>IF(Inicial!J171="SI",Inicial!E171,"N/A")</f>
        <v>N/A</v>
      </c>
      <c r="F209" s="64" t="str">
        <f>IF(Inicial!J171="SI",Inicial!F171,"N/A")</f>
        <v>N/A</v>
      </c>
      <c r="G209" s="64" t="str">
        <f>IF(Inicial!J171="SI",Inicial!G171,"N/A")</f>
        <v>N/A</v>
      </c>
      <c r="H209" s="64" t="str">
        <f>IF(Inicial!J171="SI",Inicial!H171,"N/A")</f>
        <v>N/A</v>
      </c>
      <c r="I209" s="66" t="str">
        <f>IF(Inicial!J171="SI",Inicial!I171,"N/A")</f>
        <v>N/A</v>
      </c>
      <c r="P209" s="6" t="str">
        <f t="shared" si="8"/>
        <v>Aceptable</v>
      </c>
      <c r="Q209" s="6"/>
      <c r="R209" s="6"/>
      <c r="S209" s="6"/>
      <c r="T209" s="6"/>
      <c r="U209" s="6"/>
      <c r="V209" s="6"/>
      <c r="W209" s="6" t="str">
        <f t="shared" si="9"/>
        <v>Critico</v>
      </c>
    </row>
    <row r="210" spans="1:23">
      <c r="A210" s="63">
        <f>Inicial!A172</f>
        <v>0</v>
      </c>
      <c r="B210" s="64">
        <f>Inicial!B172</f>
        <v>0</v>
      </c>
      <c r="C210" s="64">
        <f>Inicial!C172</f>
        <v>0</v>
      </c>
      <c r="D210" s="65">
        <f>Inicial!D172</f>
        <v>0</v>
      </c>
      <c r="E210" s="63" t="str">
        <f>IF(Inicial!J172="SI",Inicial!E172,"N/A")</f>
        <v>N/A</v>
      </c>
      <c r="F210" s="64" t="str">
        <f>IF(Inicial!J172="SI",Inicial!F172,"N/A")</f>
        <v>N/A</v>
      </c>
      <c r="G210" s="64" t="str">
        <f>IF(Inicial!J172="SI",Inicial!G172,"N/A")</f>
        <v>N/A</v>
      </c>
      <c r="H210" s="64" t="str">
        <f>IF(Inicial!J172="SI",Inicial!H172,"N/A")</f>
        <v>N/A</v>
      </c>
      <c r="I210" s="66" t="str">
        <f>IF(Inicial!J172="SI",Inicial!I172,"N/A")</f>
        <v>N/A</v>
      </c>
      <c r="P210" s="6" t="str">
        <f t="shared" si="8"/>
        <v>Aceptable</v>
      </c>
      <c r="Q210" s="6"/>
      <c r="R210" s="6"/>
      <c r="S210" s="6"/>
      <c r="T210" s="6"/>
      <c r="U210" s="6"/>
      <c r="V210" s="6"/>
      <c r="W210" s="6" t="str">
        <f t="shared" si="9"/>
        <v>Critico</v>
      </c>
    </row>
    <row r="211" spans="1:23">
      <c r="A211" s="63">
        <f>Inicial!A173</f>
        <v>0</v>
      </c>
      <c r="B211" s="64">
        <f>Inicial!B173</f>
        <v>0</v>
      </c>
      <c r="C211" s="64">
        <f>Inicial!C173</f>
        <v>0</v>
      </c>
      <c r="D211" s="65">
        <f>Inicial!D173</f>
        <v>0</v>
      </c>
      <c r="E211" s="63" t="str">
        <f>IF(Inicial!J173="SI",Inicial!E173,"N/A")</f>
        <v>N/A</v>
      </c>
      <c r="F211" s="64" t="str">
        <f>IF(Inicial!J173="SI",Inicial!F173,"N/A")</f>
        <v>N/A</v>
      </c>
      <c r="G211" s="64" t="str">
        <f>IF(Inicial!J173="SI",Inicial!G173,"N/A")</f>
        <v>N/A</v>
      </c>
      <c r="H211" s="64" t="str">
        <f>IF(Inicial!J173="SI",Inicial!H173,"N/A")</f>
        <v>N/A</v>
      </c>
      <c r="I211" s="66" t="str">
        <f>IF(Inicial!J173="SI",Inicial!I173,"N/A")</f>
        <v>N/A</v>
      </c>
      <c r="P211" s="6" t="str">
        <f t="shared" si="8"/>
        <v>Aceptable</v>
      </c>
      <c r="Q211" s="6"/>
      <c r="R211" s="6"/>
      <c r="S211" s="6"/>
      <c r="T211" s="6"/>
      <c r="U211" s="6"/>
      <c r="V211" s="6"/>
      <c r="W211" s="6" t="str">
        <f t="shared" si="9"/>
        <v>Critico</v>
      </c>
    </row>
    <row r="212" spans="1:23">
      <c r="A212" s="63">
        <f>Inicial!A174</f>
        <v>0</v>
      </c>
      <c r="B212" s="64">
        <f>Inicial!B174</f>
        <v>0</v>
      </c>
      <c r="C212" s="64">
        <f>Inicial!C174</f>
        <v>0</v>
      </c>
      <c r="D212" s="65">
        <f>Inicial!D174</f>
        <v>0</v>
      </c>
      <c r="E212" s="63" t="str">
        <f>IF(Inicial!J174="SI",Inicial!E174,"N/A")</f>
        <v>N/A</v>
      </c>
      <c r="F212" s="64" t="str">
        <f>IF(Inicial!J174="SI",Inicial!F174,"N/A")</f>
        <v>N/A</v>
      </c>
      <c r="G212" s="64" t="str">
        <f>IF(Inicial!J174="SI",Inicial!G174,"N/A")</f>
        <v>N/A</v>
      </c>
      <c r="H212" s="64" t="str">
        <f>IF(Inicial!J174="SI",Inicial!H174,"N/A")</f>
        <v>N/A</v>
      </c>
      <c r="I212" s="66" t="str">
        <f>IF(Inicial!J174="SI",Inicial!I174,"N/A")</f>
        <v>N/A</v>
      </c>
      <c r="P212" s="6" t="str">
        <f t="shared" si="8"/>
        <v>Aceptable</v>
      </c>
      <c r="Q212" s="6"/>
      <c r="R212" s="6"/>
      <c r="S212" s="6"/>
      <c r="T212" s="6"/>
      <c r="U212" s="6"/>
      <c r="V212" s="6"/>
      <c r="W212" s="6" t="str">
        <f t="shared" si="9"/>
        <v>Critico</v>
      </c>
    </row>
    <row r="213" spans="1:23">
      <c r="A213" s="63">
        <f>Inicial!A175</f>
        <v>0</v>
      </c>
      <c r="B213" s="64">
        <f>Inicial!B175</f>
        <v>0</v>
      </c>
      <c r="C213" s="64">
        <f>Inicial!C175</f>
        <v>0</v>
      </c>
      <c r="D213" s="65">
        <f>Inicial!D175</f>
        <v>0</v>
      </c>
      <c r="E213" s="63" t="str">
        <f>IF(Inicial!J175="SI",Inicial!E175,"N/A")</f>
        <v>N/A</v>
      </c>
      <c r="F213" s="64" t="str">
        <f>IF(Inicial!J175="SI",Inicial!F175,"N/A")</f>
        <v>N/A</v>
      </c>
      <c r="G213" s="64" t="str">
        <f>IF(Inicial!J175="SI",Inicial!G175,"N/A")</f>
        <v>N/A</v>
      </c>
      <c r="H213" s="64" t="str">
        <f>IF(Inicial!J175="SI",Inicial!H175,"N/A")</f>
        <v>N/A</v>
      </c>
      <c r="I213" s="66" t="str">
        <f>IF(Inicial!J175="SI",Inicial!I175,"N/A")</f>
        <v>N/A</v>
      </c>
      <c r="P213" s="6" t="str">
        <f t="shared" si="8"/>
        <v>Aceptable</v>
      </c>
      <c r="Q213" s="6"/>
      <c r="R213" s="6"/>
      <c r="S213" s="6"/>
      <c r="T213" s="6"/>
      <c r="U213" s="6"/>
      <c r="V213" s="6"/>
      <c r="W213" s="6" t="str">
        <f t="shared" si="9"/>
        <v>Critico</v>
      </c>
    </row>
    <row r="214" spans="1:23">
      <c r="A214" s="63">
        <f>Inicial!A176</f>
        <v>0</v>
      </c>
      <c r="B214" s="64">
        <f>Inicial!B176</f>
        <v>0</v>
      </c>
      <c r="C214" s="64">
        <f>Inicial!C176</f>
        <v>0</v>
      </c>
      <c r="D214" s="65">
        <f>Inicial!D176</f>
        <v>0</v>
      </c>
      <c r="E214" s="63" t="str">
        <f>IF(Inicial!J176="SI",Inicial!E176,"N/A")</f>
        <v>N/A</v>
      </c>
      <c r="F214" s="64" t="str">
        <f>IF(Inicial!J176="SI",Inicial!F176,"N/A")</f>
        <v>N/A</v>
      </c>
      <c r="G214" s="64" t="str">
        <f>IF(Inicial!J176="SI",Inicial!G176,"N/A")</f>
        <v>N/A</v>
      </c>
      <c r="H214" s="64" t="str">
        <f>IF(Inicial!J176="SI",Inicial!H176,"N/A")</f>
        <v>N/A</v>
      </c>
      <c r="I214" s="66" t="str">
        <f>IF(Inicial!J176="SI",Inicial!I176,"N/A")</f>
        <v>N/A</v>
      </c>
      <c r="P214" s="6" t="str">
        <f t="shared" si="8"/>
        <v>Aceptable</v>
      </c>
      <c r="Q214" s="6"/>
      <c r="R214" s="6"/>
      <c r="S214" s="6"/>
      <c r="T214" s="6"/>
      <c r="U214" s="6"/>
      <c r="V214" s="6"/>
      <c r="W214" s="6" t="str">
        <f t="shared" si="9"/>
        <v>Critico</v>
      </c>
    </row>
    <row r="215" spans="1:23">
      <c r="A215" s="63">
        <f>Inicial!A177</f>
        <v>0</v>
      </c>
      <c r="B215" s="64">
        <f>Inicial!B177</f>
        <v>0</v>
      </c>
      <c r="C215" s="64">
        <f>Inicial!C177</f>
        <v>0</v>
      </c>
      <c r="D215" s="65">
        <f>Inicial!D177</f>
        <v>0</v>
      </c>
      <c r="E215" s="63" t="str">
        <f>IF(Inicial!J177="SI",Inicial!E177,"N/A")</f>
        <v>N/A</v>
      </c>
      <c r="F215" s="64" t="str">
        <f>IF(Inicial!J177="SI",Inicial!F177,"N/A")</f>
        <v>N/A</v>
      </c>
      <c r="G215" s="64" t="str">
        <f>IF(Inicial!J177="SI",Inicial!G177,"N/A")</f>
        <v>N/A</v>
      </c>
      <c r="H215" s="64" t="str">
        <f>IF(Inicial!J177="SI",Inicial!H177,"N/A")</f>
        <v>N/A</v>
      </c>
      <c r="I215" s="66" t="str">
        <f>IF(Inicial!J177="SI",Inicial!I177,"N/A")</f>
        <v>N/A</v>
      </c>
      <c r="P215" s="6" t="str">
        <f t="shared" si="8"/>
        <v>Aceptable</v>
      </c>
      <c r="Q215" s="6"/>
      <c r="R215" s="6"/>
      <c r="S215" s="6"/>
      <c r="T215" s="6"/>
      <c r="U215" s="6"/>
      <c r="V215" s="6"/>
      <c r="W215" s="6" t="str">
        <f t="shared" si="9"/>
        <v>Critico</v>
      </c>
    </row>
    <row r="216" spans="1:23">
      <c r="A216" s="63">
        <f>Inicial!A178</f>
        <v>0</v>
      </c>
      <c r="B216" s="64">
        <f>Inicial!B178</f>
        <v>0</v>
      </c>
      <c r="C216" s="64">
        <f>Inicial!C178</f>
        <v>0</v>
      </c>
      <c r="D216" s="65">
        <f>Inicial!D178</f>
        <v>0</v>
      </c>
      <c r="E216" s="63" t="str">
        <f>IF(Inicial!J178="SI",Inicial!E178,"N/A")</f>
        <v>N/A</v>
      </c>
      <c r="F216" s="64" t="str">
        <f>IF(Inicial!J178="SI",Inicial!F178,"N/A")</f>
        <v>N/A</v>
      </c>
      <c r="G216" s="64" t="str">
        <f>IF(Inicial!J178="SI",Inicial!G178,"N/A")</f>
        <v>N/A</v>
      </c>
      <c r="H216" s="64" t="str">
        <f>IF(Inicial!J178="SI",Inicial!H178,"N/A")</f>
        <v>N/A</v>
      </c>
      <c r="I216" s="66" t="str">
        <f>IF(Inicial!J178="SI",Inicial!I178,"N/A")</f>
        <v>N/A</v>
      </c>
      <c r="P216" s="6" t="str">
        <f t="shared" si="8"/>
        <v>Aceptable</v>
      </c>
      <c r="Q216" s="6"/>
      <c r="R216" s="6"/>
      <c r="S216" s="6"/>
      <c r="T216" s="6"/>
      <c r="U216" s="6"/>
      <c r="V216" s="6"/>
      <c r="W216" s="6" t="str">
        <f t="shared" si="9"/>
        <v>Critico</v>
      </c>
    </row>
    <row r="217" spans="1:23">
      <c r="A217" s="63">
        <f>Inicial!A179</f>
        <v>0</v>
      </c>
      <c r="B217" s="64">
        <f>Inicial!B179</f>
        <v>0</v>
      </c>
      <c r="C217" s="64">
        <f>Inicial!C179</f>
        <v>0</v>
      </c>
      <c r="D217" s="65">
        <f>Inicial!D179</f>
        <v>0</v>
      </c>
      <c r="E217" s="63" t="str">
        <f>IF(Inicial!J179="SI",Inicial!E179,"N/A")</f>
        <v>N/A</v>
      </c>
      <c r="F217" s="64" t="str">
        <f>IF(Inicial!J179="SI",Inicial!F179,"N/A")</f>
        <v>N/A</v>
      </c>
      <c r="G217" s="64" t="str">
        <f>IF(Inicial!J179="SI",Inicial!G179,"N/A")</f>
        <v>N/A</v>
      </c>
      <c r="H217" s="64" t="str">
        <f>IF(Inicial!J179="SI",Inicial!H179,"N/A")</f>
        <v>N/A</v>
      </c>
      <c r="I217" s="66" t="str">
        <f>IF(Inicial!J179="SI",Inicial!I179,"N/A")</f>
        <v>N/A</v>
      </c>
      <c r="P217" s="6" t="str">
        <f t="shared" si="8"/>
        <v>Aceptable</v>
      </c>
      <c r="Q217" s="6"/>
      <c r="R217" s="6"/>
      <c r="S217" s="6"/>
      <c r="T217" s="6"/>
      <c r="U217" s="6"/>
      <c r="V217" s="6"/>
      <c r="W217" s="6" t="str">
        <f t="shared" si="9"/>
        <v>Critico</v>
      </c>
    </row>
    <row r="218" spans="1:23">
      <c r="A218" s="63">
        <f>Inicial!A180</f>
        <v>0</v>
      </c>
      <c r="B218" s="64">
        <f>Inicial!B180</f>
        <v>0</v>
      </c>
      <c r="C218" s="64">
        <f>Inicial!C180</f>
        <v>0</v>
      </c>
      <c r="D218" s="65">
        <f>Inicial!D180</f>
        <v>0</v>
      </c>
      <c r="E218" s="63" t="str">
        <f>IF(Inicial!J180="SI",Inicial!E180,"N/A")</f>
        <v>N/A</v>
      </c>
      <c r="F218" s="64" t="str">
        <f>IF(Inicial!J180="SI",Inicial!F180,"N/A")</f>
        <v>N/A</v>
      </c>
      <c r="G218" s="64" t="str">
        <f>IF(Inicial!J180="SI",Inicial!G180,"N/A")</f>
        <v>N/A</v>
      </c>
      <c r="H218" s="64" t="str">
        <f>IF(Inicial!J180="SI",Inicial!H180,"N/A")</f>
        <v>N/A</v>
      </c>
      <c r="I218" s="66" t="str">
        <f>IF(Inicial!J180="SI",Inicial!I180,"N/A")</f>
        <v>N/A</v>
      </c>
      <c r="P218" s="6" t="str">
        <f t="shared" si="8"/>
        <v>Aceptable</v>
      </c>
      <c r="Q218" s="6"/>
      <c r="R218" s="6"/>
      <c r="S218" s="6"/>
      <c r="T218" s="6"/>
      <c r="U218" s="6"/>
      <c r="V218" s="6"/>
      <c r="W218" s="6" t="str">
        <f t="shared" si="9"/>
        <v>Critico</v>
      </c>
    </row>
    <row r="219" spans="1:23">
      <c r="A219" s="63">
        <f>Inicial!A181</f>
        <v>0</v>
      </c>
      <c r="B219" s="64">
        <f>Inicial!B181</f>
        <v>0</v>
      </c>
      <c r="C219" s="64">
        <f>Inicial!C181</f>
        <v>0</v>
      </c>
      <c r="D219" s="65">
        <f>Inicial!D181</f>
        <v>0</v>
      </c>
      <c r="E219" s="63" t="str">
        <f>IF(Inicial!J181="SI",Inicial!E181,"N/A")</f>
        <v>N/A</v>
      </c>
      <c r="F219" s="64" t="str">
        <f>IF(Inicial!J181="SI",Inicial!F181,"N/A")</f>
        <v>N/A</v>
      </c>
      <c r="G219" s="64" t="str">
        <f>IF(Inicial!J181="SI",Inicial!G181,"N/A")</f>
        <v>N/A</v>
      </c>
      <c r="H219" s="64" t="str">
        <f>IF(Inicial!J181="SI",Inicial!H181,"N/A")</f>
        <v>N/A</v>
      </c>
      <c r="I219" s="66" t="str">
        <f>IF(Inicial!J181="SI",Inicial!I181,"N/A")</f>
        <v>N/A</v>
      </c>
      <c r="P219" s="6" t="str">
        <f t="shared" si="8"/>
        <v>Aceptable</v>
      </c>
      <c r="Q219" s="6"/>
      <c r="R219" s="6"/>
      <c r="S219" s="6"/>
      <c r="T219" s="6"/>
      <c r="U219" s="6"/>
      <c r="V219" s="6"/>
      <c r="W219" s="6" t="str">
        <f t="shared" si="9"/>
        <v>Critico</v>
      </c>
    </row>
    <row r="220" spans="1:23">
      <c r="A220" s="63">
        <f>Inicial!A182</f>
        <v>0</v>
      </c>
      <c r="P220" s="6" t="str">
        <f t="shared" si="8"/>
        <v>Aceptable</v>
      </c>
      <c r="Q220" s="6"/>
      <c r="R220" s="6"/>
      <c r="S220" s="6"/>
      <c r="T220" s="6"/>
      <c r="U220" s="6"/>
      <c r="V220" s="6"/>
      <c r="W220" s="6" t="str">
        <f t="shared" si="9"/>
        <v>Critico</v>
      </c>
    </row>
    <row r="221" spans="1:23">
      <c r="A221" s="63">
        <f>Inicial!A183</f>
        <v>0</v>
      </c>
      <c r="P221" s="6" t="str">
        <f t="shared" si="8"/>
        <v>Aceptable</v>
      </c>
      <c r="Q221" s="6"/>
      <c r="R221" s="6"/>
      <c r="S221" s="6"/>
      <c r="T221" s="6"/>
      <c r="U221" s="6"/>
      <c r="V221" s="6"/>
      <c r="W221" s="6" t="str">
        <f t="shared" si="9"/>
        <v>Critico</v>
      </c>
    </row>
    <row r="222" spans="1:23">
      <c r="A222" s="63">
        <f>Inicial!A184</f>
        <v>0</v>
      </c>
      <c r="P222" s="6" t="str">
        <f t="shared" si="8"/>
        <v>Aceptable</v>
      </c>
      <c r="Q222" s="6"/>
      <c r="R222" s="6"/>
      <c r="S222" s="6"/>
      <c r="T222" s="6"/>
      <c r="U222" s="6"/>
      <c r="V222" s="6"/>
      <c r="W222" s="6" t="str">
        <f t="shared" si="9"/>
        <v>Critico</v>
      </c>
    </row>
    <row r="223" spans="1:23">
      <c r="A223" s="63">
        <f>Inicial!A185</f>
        <v>0</v>
      </c>
      <c r="P223" s="6" t="str">
        <f t="shared" si="8"/>
        <v>Aceptable</v>
      </c>
      <c r="Q223" s="6"/>
      <c r="R223" s="6"/>
      <c r="S223" s="6"/>
      <c r="T223" s="6"/>
      <c r="U223" s="6"/>
      <c r="V223" s="6"/>
      <c r="W223" s="6" t="str">
        <f t="shared" si="9"/>
        <v>Critico</v>
      </c>
    </row>
    <row r="224" spans="1:23">
      <c r="A224" s="63">
        <f>Inicial!A186</f>
        <v>0</v>
      </c>
      <c r="P224" s="6" t="str">
        <f t="shared" si="8"/>
        <v>Aceptable</v>
      </c>
      <c r="Q224" s="6"/>
      <c r="R224" s="6"/>
      <c r="S224" s="6"/>
      <c r="T224" s="6"/>
      <c r="U224" s="6"/>
      <c r="V224" s="6"/>
      <c r="W224" s="6" t="str">
        <f t="shared" si="9"/>
        <v>Critico</v>
      </c>
    </row>
    <row r="225" spans="1:23">
      <c r="A225" s="63">
        <f>Inicial!A187</f>
        <v>0</v>
      </c>
      <c r="P225" s="6" t="str">
        <f t="shared" si="8"/>
        <v>Aceptable</v>
      </c>
      <c r="Q225" s="6"/>
      <c r="R225" s="6"/>
      <c r="S225" s="6"/>
      <c r="T225" s="6"/>
      <c r="U225" s="6"/>
      <c r="V225" s="6"/>
      <c r="W225" s="6" t="str">
        <f t="shared" si="9"/>
        <v>Critico</v>
      </c>
    </row>
    <row r="226" spans="1:23">
      <c r="A226" s="63">
        <f>Inicial!A188</f>
        <v>0</v>
      </c>
      <c r="P226" s="6" t="str">
        <f t="shared" si="8"/>
        <v>Aceptable</v>
      </c>
      <c r="Q226" s="6"/>
      <c r="R226" s="6"/>
      <c r="S226" s="6"/>
      <c r="T226" s="6"/>
      <c r="U226" s="6"/>
      <c r="V226" s="6"/>
      <c r="W226" s="6" t="str">
        <f t="shared" si="9"/>
        <v>Critico</v>
      </c>
    </row>
    <row r="227" spans="1:23">
      <c r="A227" s="63">
        <f>Inicial!A189</f>
        <v>0</v>
      </c>
      <c r="P227" s="6" t="str">
        <f t="shared" si="8"/>
        <v>Aceptable</v>
      </c>
      <c r="Q227" s="6"/>
      <c r="R227" s="6"/>
      <c r="S227" s="6"/>
      <c r="T227" s="6"/>
      <c r="U227" s="6"/>
      <c r="V227" s="6"/>
      <c r="W227" s="6" t="str">
        <f t="shared" si="9"/>
        <v>Critico</v>
      </c>
    </row>
    <row r="228" spans="1:23">
      <c r="A228" s="63">
        <f>Inicial!A190</f>
        <v>0</v>
      </c>
      <c r="P228" s="6" t="str">
        <f t="shared" si="8"/>
        <v>Aceptable</v>
      </c>
      <c r="Q228" s="6"/>
      <c r="R228" s="6"/>
      <c r="S228" s="6"/>
      <c r="T228" s="6"/>
      <c r="U228" s="6"/>
      <c r="V228" s="6"/>
      <c r="W228" s="6" t="str">
        <f t="shared" si="9"/>
        <v>Critico</v>
      </c>
    </row>
    <row r="229" spans="1:23">
      <c r="A229" s="63">
        <f>Inicial!A191</f>
        <v>0</v>
      </c>
      <c r="P229" s="6" t="str">
        <f t="shared" si="8"/>
        <v>Aceptable</v>
      </c>
      <c r="Q229" s="6"/>
      <c r="R229" s="6"/>
      <c r="S229" s="6"/>
      <c r="T229" s="6"/>
      <c r="U229" s="6"/>
      <c r="V229" s="6"/>
      <c r="W229" s="6" t="str">
        <f t="shared" si="9"/>
        <v>Critico</v>
      </c>
    </row>
    <row r="230" spans="1:23">
      <c r="A230" s="63">
        <f>Inicial!A192</f>
        <v>0</v>
      </c>
      <c r="P230" s="6" t="str">
        <f t="shared" si="8"/>
        <v>Aceptable</v>
      </c>
      <c r="Q230" s="6"/>
      <c r="R230" s="6"/>
      <c r="S230" s="6"/>
      <c r="T230" s="6"/>
      <c r="U230" s="6"/>
      <c r="V230" s="6"/>
      <c r="W230" s="6" t="str">
        <f t="shared" si="9"/>
        <v>Critico</v>
      </c>
    </row>
    <row r="231" spans="1:23">
      <c r="A231" s="63">
        <f>Inicial!A193</f>
        <v>0</v>
      </c>
      <c r="P231" s="6" t="str">
        <f t="shared" si="8"/>
        <v>Aceptable</v>
      </c>
      <c r="Q231" s="6"/>
      <c r="R231" s="6"/>
      <c r="S231" s="6"/>
      <c r="T231" s="6"/>
      <c r="U231" s="6"/>
      <c r="V231" s="6"/>
      <c r="W231" s="6" t="str">
        <f t="shared" si="9"/>
        <v>Critico</v>
      </c>
    </row>
    <row r="232" spans="1:23">
      <c r="A232" s="63">
        <f>Inicial!A194</f>
        <v>0</v>
      </c>
      <c r="P232" s="6" t="str">
        <f t="shared" si="8"/>
        <v>Aceptable</v>
      </c>
      <c r="Q232" s="6"/>
      <c r="R232" s="6"/>
      <c r="S232" s="6"/>
      <c r="T232" s="6"/>
      <c r="U232" s="6"/>
      <c r="V232" s="6"/>
      <c r="W232" s="6" t="str">
        <f t="shared" si="9"/>
        <v>Critico</v>
      </c>
    </row>
    <row r="233" spans="1:23">
      <c r="A233" s="63">
        <f>Inicial!A195</f>
        <v>0</v>
      </c>
      <c r="P233" s="6" t="str">
        <f t="shared" si="8"/>
        <v>Aceptable</v>
      </c>
      <c r="Q233" s="6"/>
      <c r="R233" s="6"/>
      <c r="S233" s="6"/>
      <c r="T233" s="6"/>
      <c r="U233" s="6"/>
      <c r="V233" s="6"/>
      <c r="W233" s="6" t="str">
        <f t="shared" si="9"/>
        <v>Critico</v>
      </c>
    </row>
    <row r="234" spans="1:23">
      <c r="A234" s="63">
        <f>Inicial!A196</f>
        <v>0</v>
      </c>
      <c r="P234" s="6" t="str">
        <f t="shared" si="8"/>
        <v>Aceptable</v>
      </c>
      <c r="Q234" s="6"/>
      <c r="R234" s="6"/>
      <c r="S234" s="6"/>
      <c r="T234" s="6"/>
      <c r="U234" s="6"/>
      <c r="V234" s="6"/>
      <c r="W234" s="6" t="str">
        <f t="shared" si="9"/>
        <v>Critico</v>
      </c>
    </row>
    <row r="235" spans="1:23">
      <c r="A235" s="63">
        <f>Inicial!A197</f>
        <v>0</v>
      </c>
      <c r="P235" s="6" t="str">
        <f t="shared" si="8"/>
        <v>Aceptable</v>
      </c>
      <c r="Q235" s="6"/>
      <c r="R235" s="6"/>
      <c r="S235" s="6"/>
      <c r="T235" s="6"/>
      <c r="U235" s="6"/>
      <c r="V235" s="6"/>
      <c r="W235" s="6" t="str">
        <f t="shared" si="9"/>
        <v>Critico</v>
      </c>
    </row>
    <row r="236" spans="1:23">
      <c r="A236" s="63">
        <f>Inicial!A198</f>
        <v>0</v>
      </c>
      <c r="P236" s="6" t="str">
        <f t="shared" si="8"/>
        <v>Aceptable</v>
      </c>
      <c r="Q236" s="6"/>
      <c r="R236" s="6"/>
      <c r="S236" s="6"/>
      <c r="T236" s="6"/>
      <c r="U236" s="6"/>
      <c r="V236" s="6"/>
      <c r="W236" s="6" t="str">
        <f t="shared" si="9"/>
        <v>Critico</v>
      </c>
    </row>
    <row r="237" spans="1:23">
      <c r="A237" s="63">
        <f>Inicial!A199</f>
        <v>0</v>
      </c>
      <c r="P237" s="6" t="str">
        <f t="shared" si="8"/>
        <v>Aceptable</v>
      </c>
      <c r="Q237" s="6"/>
      <c r="R237" s="6"/>
      <c r="S237" s="6"/>
      <c r="T237" s="6"/>
      <c r="U237" s="6"/>
      <c r="V237" s="6"/>
      <c r="W237" s="6" t="str">
        <f t="shared" si="9"/>
        <v>Critico</v>
      </c>
    </row>
    <row r="238" spans="1:23">
      <c r="A238" s="63">
        <f>Inicial!A200</f>
        <v>0</v>
      </c>
      <c r="P238" s="6" t="str">
        <f t="shared" si="8"/>
        <v>Aceptable</v>
      </c>
      <c r="Q238" s="6"/>
      <c r="R238" s="6"/>
      <c r="S238" s="6"/>
      <c r="T238" s="6"/>
      <c r="U238" s="6"/>
      <c r="V238" s="6"/>
      <c r="W238" s="6" t="str">
        <f t="shared" si="9"/>
        <v>Critico</v>
      </c>
    </row>
    <row r="239" spans="1:23">
      <c r="A239" s="63">
        <f>Inicial!A201</f>
        <v>0</v>
      </c>
      <c r="P239" s="6" t="str">
        <f t="shared" si="8"/>
        <v>Aceptable</v>
      </c>
      <c r="Q239" s="6"/>
      <c r="R239" s="6"/>
      <c r="S239" s="6"/>
      <c r="T239" s="6"/>
      <c r="U239" s="6"/>
      <c r="V239" s="6"/>
      <c r="W239" s="6" t="str">
        <f t="shared" si="9"/>
        <v>Critico</v>
      </c>
    </row>
    <row r="240" spans="1:23">
      <c r="A240" s="63">
        <f>Inicial!A202</f>
        <v>0</v>
      </c>
      <c r="P240" s="6" t="str">
        <f t="shared" si="8"/>
        <v>Aceptable</v>
      </c>
      <c r="Q240" s="6"/>
      <c r="R240" s="6"/>
      <c r="S240" s="6"/>
      <c r="T240" s="6"/>
      <c r="U240" s="6"/>
      <c r="V240" s="6"/>
      <c r="W240" s="6" t="str">
        <f t="shared" si="9"/>
        <v>Critico</v>
      </c>
    </row>
    <row r="241" spans="1:23">
      <c r="A241" s="63">
        <f>Inicial!A203</f>
        <v>0</v>
      </c>
      <c r="P241" s="6" t="str">
        <f t="shared" si="8"/>
        <v>Aceptable</v>
      </c>
      <c r="Q241" s="6"/>
      <c r="R241" s="6"/>
      <c r="S241" s="6"/>
      <c r="T241" s="6"/>
      <c r="U241" s="6"/>
      <c r="V241" s="6"/>
      <c r="W241" s="6" t="str">
        <f t="shared" si="9"/>
        <v>Critico</v>
      </c>
    </row>
    <row r="242" spans="1:23">
      <c r="A242" s="63">
        <f>Inicial!A204</f>
        <v>0</v>
      </c>
      <c r="P242" s="6" t="str">
        <f t="shared" si="8"/>
        <v>Aceptable</v>
      </c>
      <c r="Q242" s="6"/>
      <c r="R242" s="6"/>
      <c r="S242" s="6"/>
      <c r="T242" s="6"/>
      <c r="U242" s="6"/>
      <c r="V242" s="6"/>
      <c r="W242" s="6" t="str">
        <f t="shared" si="9"/>
        <v>Critico</v>
      </c>
    </row>
    <row r="243" spans="1:23">
      <c r="A243" s="63">
        <f>Inicial!A205</f>
        <v>0</v>
      </c>
      <c r="P243" s="6" t="str">
        <f t="shared" si="8"/>
        <v>Aceptable</v>
      </c>
      <c r="Q243" s="6"/>
      <c r="R243" s="6"/>
      <c r="S243" s="6"/>
      <c r="T243" s="6"/>
      <c r="U243" s="6"/>
      <c r="V243" s="6"/>
      <c r="W243" s="6" t="str">
        <f t="shared" si="9"/>
        <v>Critico</v>
      </c>
    </row>
    <row r="244" spans="1:23">
      <c r="A244" s="63">
        <f>Inicial!A206</f>
        <v>0</v>
      </c>
      <c r="P244" s="6" t="str">
        <f t="shared" si="8"/>
        <v>Aceptable</v>
      </c>
      <c r="Q244" s="6"/>
      <c r="R244" s="6"/>
      <c r="S244" s="6"/>
      <c r="T244" s="6"/>
      <c r="U244" s="6"/>
      <c r="V244" s="6"/>
      <c r="W244" s="6" t="str">
        <f t="shared" si="9"/>
        <v>Critico</v>
      </c>
    </row>
    <row r="245" spans="1:23">
      <c r="A245" s="63">
        <f>Inicial!A207</f>
        <v>0</v>
      </c>
      <c r="P245" s="6" t="str">
        <f t="shared" si="8"/>
        <v>Aceptable</v>
      </c>
      <c r="Q245" s="6"/>
      <c r="R245" s="6"/>
      <c r="S245" s="6"/>
      <c r="T245" s="6"/>
      <c r="U245" s="6"/>
      <c r="V245" s="6"/>
      <c r="W245" s="6" t="str">
        <f t="shared" si="9"/>
        <v>Critico</v>
      </c>
    </row>
    <row r="246" spans="1:23">
      <c r="A246" s="63">
        <f>Inicial!A208</f>
        <v>0</v>
      </c>
      <c r="P246" s="6" t="str">
        <f t="shared" si="8"/>
        <v>Aceptable</v>
      </c>
      <c r="Q246" s="6"/>
      <c r="R246" s="6"/>
      <c r="S246" s="6"/>
      <c r="T246" s="6"/>
      <c r="U246" s="6"/>
      <c r="V246" s="6"/>
      <c r="W246" s="6" t="str">
        <f t="shared" si="9"/>
        <v>Critico</v>
      </c>
    </row>
    <row r="247" spans="1:23">
      <c r="A247" s="63">
        <f>Inicial!A209</f>
        <v>0</v>
      </c>
      <c r="P247" s="6" t="str">
        <f t="shared" si="8"/>
        <v>Aceptable</v>
      </c>
      <c r="Q247" s="6"/>
      <c r="R247" s="6"/>
      <c r="S247" s="6"/>
      <c r="T247" s="6"/>
      <c r="U247" s="6"/>
      <c r="V247" s="6"/>
      <c r="W247" s="6" t="str">
        <f t="shared" si="9"/>
        <v>Critico</v>
      </c>
    </row>
    <row r="248" spans="1:23">
      <c r="A248" s="63">
        <f>Inicial!A210</f>
        <v>0</v>
      </c>
      <c r="P248" s="6" t="str">
        <f t="shared" si="8"/>
        <v>Aceptable</v>
      </c>
      <c r="Q248" s="6"/>
      <c r="R248" s="6"/>
      <c r="S248" s="6"/>
      <c r="T248" s="6"/>
      <c r="U248" s="6"/>
      <c r="V248" s="6"/>
      <c r="W248" s="6" t="str">
        <f t="shared" si="9"/>
        <v>Critico</v>
      </c>
    </row>
    <row r="249" spans="1:23">
      <c r="A249" s="63">
        <f>Inicial!A211</f>
        <v>0</v>
      </c>
      <c r="P249" s="6" t="str">
        <f t="shared" si="8"/>
        <v>Aceptable</v>
      </c>
      <c r="Q249" s="6"/>
      <c r="R249" s="6"/>
      <c r="S249" s="6"/>
      <c r="T249" s="6"/>
      <c r="U249" s="6"/>
      <c r="V249" s="6"/>
      <c r="W249" s="6" t="str">
        <f t="shared" si="9"/>
        <v>Critico</v>
      </c>
    </row>
    <row r="250" spans="1:23">
      <c r="A250" s="63">
        <f>Inicial!A212</f>
        <v>0</v>
      </c>
      <c r="P250" s="6" t="str">
        <f t="shared" si="8"/>
        <v>Aceptable</v>
      </c>
      <c r="Q250" s="6"/>
      <c r="R250" s="6"/>
      <c r="S250" s="6"/>
      <c r="T250" s="6"/>
      <c r="U250" s="6"/>
      <c r="V250" s="6"/>
      <c r="W250" s="6" t="str">
        <f t="shared" si="9"/>
        <v>Critico</v>
      </c>
    </row>
    <row r="251" spans="1:23">
      <c r="A251" s="63">
        <f>Inicial!A213</f>
        <v>0</v>
      </c>
      <c r="P251" s="6" t="str">
        <f t="shared" si="8"/>
        <v>Aceptable</v>
      </c>
      <c r="Q251" s="6"/>
      <c r="R251" s="6"/>
      <c r="S251" s="6"/>
      <c r="T251" s="6"/>
      <c r="U251" s="6"/>
      <c r="V251" s="6"/>
      <c r="W251" s="6" t="str">
        <f t="shared" si="9"/>
        <v>Critico</v>
      </c>
    </row>
    <row r="252" spans="1:23">
      <c r="Q252" s="6"/>
      <c r="R252" s="6"/>
      <c r="S252" s="6"/>
      <c r="T252" s="6"/>
      <c r="U252" s="6"/>
      <c r="V252" s="6"/>
    </row>
    <row r="253" spans="1:23">
      <c r="Q253" s="6"/>
      <c r="R253" s="6"/>
      <c r="S253" s="6"/>
      <c r="T253" s="6"/>
      <c r="U253" s="6"/>
      <c r="V253" s="6"/>
    </row>
    <row r="254" spans="1:23">
      <c r="Q254" s="6"/>
      <c r="R254" s="6"/>
      <c r="S254" s="6"/>
      <c r="T254" s="6"/>
      <c r="U254" s="6"/>
      <c r="V254" s="6"/>
    </row>
    <row r="255" spans="1:23">
      <c r="Q255" s="6"/>
      <c r="R255" s="6"/>
      <c r="S255" s="6"/>
      <c r="T255" s="6"/>
      <c r="U255" s="6"/>
      <c r="V255" s="6"/>
    </row>
    <row r="256" spans="1:23">
      <c r="Q256" s="6"/>
      <c r="R256" s="6"/>
      <c r="S256" s="6"/>
      <c r="T256" s="6"/>
      <c r="U256" s="6"/>
      <c r="V256" s="6"/>
    </row>
    <row r="257" spans="17:22">
      <c r="Q257" s="6"/>
      <c r="R257" s="6"/>
      <c r="S257" s="6"/>
      <c r="T257" s="6"/>
      <c r="U257" s="6"/>
      <c r="V257" s="6"/>
    </row>
    <row r="258" spans="17:22">
      <c r="Q258" s="6"/>
      <c r="R258" s="6"/>
      <c r="S258" s="6"/>
      <c r="T258" s="6"/>
      <c r="U258" s="6"/>
      <c r="V258" s="6"/>
    </row>
    <row r="259" spans="17:22">
      <c r="Q259" s="6"/>
      <c r="R259" s="6"/>
      <c r="S259" s="6"/>
      <c r="T259" s="6"/>
      <c r="U259" s="6"/>
      <c r="V259" s="6"/>
    </row>
    <row r="260" spans="17:22">
      <c r="Q260" s="6"/>
      <c r="R260" s="6"/>
      <c r="S260" s="6"/>
      <c r="T260" s="6"/>
      <c r="U260" s="6"/>
      <c r="V260" s="6"/>
    </row>
    <row r="261" spans="17:22">
      <c r="Q261" s="6"/>
      <c r="R261" s="6"/>
      <c r="S261" s="6"/>
      <c r="T261" s="6"/>
      <c r="U261" s="6"/>
      <c r="V261" s="6"/>
    </row>
    <row r="262" spans="17:22">
      <c r="Q262" s="6"/>
      <c r="R262" s="6"/>
      <c r="S262" s="6"/>
      <c r="T262" s="6"/>
      <c r="U262" s="6"/>
      <c r="V262" s="6"/>
    </row>
    <row r="263" spans="17:22">
      <c r="Q263" s="6"/>
      <c r="R263" s="6"/>
      <c r="S263" s="6"/>
      <c r="T263" s="6"/>
      <c r="U263" s="6"/>
      <c r="V263" s="6"/>
    </row>
    <row r="264" spans="17:22">
      <c r="Q264" s="6"/>
      <c r="R264" s="6"/>
      <c r="S264" s="6"/>
      <c r="T264" s="6"/>
      <c r="U264" s="6"/>
      <c r="V264" s="6"/>
    </row>
    <row r="265" spans="17:22">
      <c r="Q265" s="6"/>
      <c r="R265" s="6"/>
      <c r="S265" s="6"/>
      <c r="T265" s="6"/>
      <c r="U265" s="6"/>
      <c r="V265" s="6"/>
    </row>
    <row r="266" spans="17:22">
      <c r="Q266" s="6"/>
      <c r="R266" s="6"/>
      <c r="S266" s="6"/>
      <c r="T266" s="6"/>
      <c r="U266" s="6"/>
      <c r="V266" s="6"/>
    </row>
    <row r="267" spans="17:22">
      <c r="Q267" s="6"/>
      <c r="R267" s="6"/>
      <c r="S267" s="6"/>
      <c r="T267" s="6"/>
      <c r="U267" s="6"/>
      <c r="V267" s="6"/>
    </row>
    <row r="268" spans="17:22">
      <c r="Q268" s="6"/>
      <c r="R268" s="6"/>
      <c r="S268" s="6"/>
      <c r="T268" s="6"/>
      <c r="U268" s="6"/>
      <c r="V268" s="6"/>
    </row>
    <row r="269" spans="17:22">
      <c r="Q269" s="6"/>
      <c r="R269" s="6"/>
      <c r="S269" s="6"/>
      <c r="T269" s="6"/>
      <c r="U269" s="6"/>
      <c r="V269" s="6"/>
    </row>
    <row r="270" spans="17:22">
      <c r="Q270" s="6"/>
      <c r="R270" s="6"/>
      <c r="S270" s="6"/>
      <c r="T270" s="6"/>
      <c r="U270" s="6"/>
      <c r="V270" s="6"/>
    </row>
    <row r="271" spans="17:22">
      <c r="Q271" s="6"/>
      <c r="R271" s="6"/>
      <c r="S271" s="6"/>
      <c r="T271" s="6"/>
      <c r="U271" s="6"/>
      <c r="V271" s="6"/>
    </row>
    <row r="272" spans="17:22">
      <c r="Q272" s="6"/>
      <c r="R272" s="6"/>
      <c r="S272" s="6"/>
      <c r="T272" s="6"/>
      <c r="U272" s="6"/>
      <c r="V272" s="6"/>
    </row>
    <row r="273" spans="17:22">
      <c r="Q273" s="6"/>
      <c r="R273" s="6"/>
      <c r="S273" s="6"/>
      <c r="T273" s="6"/>
      <c r="U273" s="6"/>
      <c r="V273" s="6"/>
    </row>
    <row r="274" spans="17:22">
      <c r="Q274" s="6"/>
      <c r="R274" s="6"/>
      <c r="S274" s="6"/>
      <c r="T274" s="6"/>
      <c r="U274" s="6"/>
      <c r="V274" s="6"/>
    </row>
    <row r="275" spans="17:22">
      <c r="Q275" s="6"/>
      <c r="R275" s="6"/>
      <c r="S275" s="6"/>
      <c r="T275" s="6"/>
      <c r="U275" s="6"/>
      <c r="V275" s="6"/>
    </row>
    <row r="276" spans="17:22">
      <c r="Q276" s="6"/>
      <c r="R276" s="6"/>
      <c r="S276" s="6"/>
      <c r="T276" s="6"/>
      <c r="U276" s="6"/>
      <c r="V276" s="6"/>
    </row>
    <row r="277" spans="17:22">
      <c r="Q277" s="6"/>
      <c r="R277" s="6"/>
      <c r="S277" s="6"/>
      <c r="T277" s="6"/>
      <c r="U277" s="6"/>
      <c r="V277" s="6"/>
    </row>
    <row r="278" spans="17:22">
      <c r="Q278" s="6"/>
      <c r="R278" s="6"/>
      <c r="S278" s="6"/>
      <c r="T278" s="6"/>
      <c r="U278" s="6"/>
      <c r="V278" s="6"/>
    </row>
    <row r="279" spans="17:22">
      <c r="Q279" s="6"/>
      <c r="R279" s="6"/>
      <c r="S279" s="6"/>
      <c r="T279" s="6"/>
      <c r="U279" s="6"/>
      <c r="V279" s="6"/>
    </row>
    <row r="280" spans="17:22">
      <c r="Q280" s="6"/>
      <c r="R280" s="6"/>
      <c r="S280" s="6"/>
      <c r="T280" s="6"/>
      <c r="U280" s="6"/>
      <c r="V280" s="6"/>
    </row>
    <row r="281" spans="17:22">
      <c r="Q281" s="6"/>
      <c r="R281" s="6"/>
      <c r="S281" s="6"/>
      <c r="T281" s="6"/>
      <c r="U281" s="6"/>
      <c r="V281" s="6"/>
    </row>
    <row r="282" spans="17:22">
      <c r="Q282" s="6"/>
      <c r="R282" s="6"/>
      <c r="S282" s="6"/>
      <c r="T282" s="6"/>
      <c r="U282" s="6"/>
      <c r="V282" s="6"/>
    </row>
    <row r="283" spans="17:22">
      <c r="Q283" s="6"/>
      <c r="R283" s="6"/>
      <c r="S283" s="6"/>
      <c r="T283" s="6"/>
      <c r="U283" s="6"/>
      <c r="V283" s="6"/>
    </row>
    <row r="284" spans="17:22">
      <c r="Q284" s="6"/>
      <c r="R284" s="6"/>
      <c r="S284" s="6"/>
      <c r="T284" s="6"/>
      <c r="U284" s="6"/>
      <c r="V284" s="6"/>
    </row>
    <row r="285" spans="17:22">
      <c r="Q285" s="6"/>
      <c r="R285" s="6"/>
      <c r="S285" s="6"/>
      <c r="T285" s="6"/>
      <c r="U285" s="6"/>
      <c r="V285" s="6"/>
    </row>
    <row r="286" spans="17:22">
      <c r="Q286" s="6"/>
      <c r="R286" s="6"/>
      <c r="S286" s="6"/>
      <c r="T286" s="6"/>
      <c r="U286" s="6"/>
      <c r="V286" s="6"/>
    </row>
    <row r="287" spans="17:22">
      <c r="Q287" s="6"/>
      <c r="R287" s="6"/>
      <c r="S287" s="6"/>
      <c r="T287" s="6"/>
      <c r="U287" s="6"/>
      <c r="V287" s="6"/>
    </row>
    <row r="288" spans="17:22">
      <c r="Q288" s="6"/>
      <c r="R288" s="6"/>
      <c r="S288" s="6"/>
      <c r="T288" s="6"/>
      <c r="U288" s="6"/>
      <c r="V288" s="6"/>
    </row>
    <row r="289" spans="17:22">
      <c r="Q289" s="6"/>
      <c r="R289" s="6"/>
      <c r="S289" s="6"/>
      <c r="T289" s="6"/>
      <c r="U289" s="6"/>
      <c r="V289" s="6"/>
    </row>
    <row r="290" spans="17:22">
      <c r="Q290" s="6"/>
      <c r="R290" s="6"/>
      <c r="S290" s="6"/>
      <c r="T290" s="6"/>
      <c r="U290" s="6"/>
      <c r="V290" s="6"/>
    </row>
    <row r="291" spans="17:22">
      <c r="Q291" s="6"/>
      <c r="R291" s="6"/>
      <c r="S291" s="6"/>
      <c r="T291" s="6"/>
      <c r="U291" s="6"/>
      <c r="V291" s="6"/>
    </row>
    <row r="292" spans="17:22">
      <c r="Q292" s="6"/>
      <c r="R292" s="6"/>
      <c r="S292" s="6"/>
      <c r="T292" s="6"/>
      <c r="U292" s="6"/>
      <c r="V292" s="6"/>
    </row>
    <row r="293" spans="17:22">
      <c r="Q293" s="6"/>
      <c r="R293" s="6"/>
      <c r="S293" s="6"/>
      <c r="T293" s="6"/>
      <c r="U293" s="6"/>
      <c r="V293" s="6"/>
    </row>
    <row r="294" spans="17:22">
      <c r="Q294" s="6"/>
      <c r="R294" s="6"/>
      <c r="S294" s="6"/>
      <c r="T294" s="6"/>
      <c r="U294" s="6"/>
      <c r="V294" s="6"/>
    </row>
    <row r="295" spans="17:22">
      <c r="Q295" s="6"/>
      <c r="R295" s="6"/>
      <c r="S295" s="6"/>
      <c r="T295" s="6"/>
      <c r="U295" s="6"/>
      <c r="V295" s="6"/>
    </row>
    <row r="296" spans="17:22">
      <c r="Q296" s="6"/>
      <c r="R296" s="6"/>
      <c r="S296" s="6"/>
      <c r="T296" s="6"/>
      <c r="U296" s="6"/>
      <c r="V296" s="6"/>
    </row>
    <row r="297" spans="17:22">
      <c r="Q297" s="6"/>
      <c r="R297" s="6"/>
      <c r="S297" s="6"/>
      <c r="T297" s="6"/>
      <c r="U297" s="6"/>
      <c r="V297" s="6"/>
    </row>
    <row r="298" spans="17:22">
      <c r="Q298" s="6"/>
      <c r="R298" s="6"/>
      <c r="S298" s="6"/>
      <c r="T298" s="6"/>
      <c r="U298" s="6"/>
      <c r="V298" s="6"/>
    </row>
    <row r="299" spans="17:22">
      <c r="Q299" s="6"/>
      <c r="R299" s="6"/>
      <c r="S299" s="6"/>
      <c r="T299" s="6"/>
      <c r="U299" s="6"/>
      <c r="V299" s="6"/>
    </row>
    <row r="300" spans="17:22">
      <c r="Q300" s="6"/>
      <c r="R300" s="6"/>
      <c r="S300" s="6"/>
      <c r="T300" s="6"/>
      <c r="U300" s="6"/>
      <c r="V300" s="6"/>
    </row>
    <row r="301" spans="17:22">
      <c r="Q301" s="6"/>
      <c r="R301" s="6"/>
      <c r="S301" s="6"/>
      <c r="T301" s="6"/>
      <c r="U301" s="6"/>
      <c r="V301" s="6"/>
    </row>
    <row r="302" spans="17:22">
      <c r="Q302" s="6"/>
      <c r="R302" s="6"/>
      <c r="S302" s="6"/>
      <c r="T302" s="6"/>
      <c r="U302" s="6"/>
      <c r="V302" s="6"/>
    </row>
  </sheetData>
  <mergeCells count="6">
    <mergeCell ref="A1:E1"/>
    <mergeCell ref="J1:P1"/>
    <mergeCell ref="Q1:W1"/>
    <mergeCell ref="X1:AB1"/>
    <mergeCell ref="H1:I1"/>
    <mergeCell ref="F1:G1"/>
  </mergeCells>
  <conditionalFormatting sqref="J3:O1048576">
    <cfRule type="cellIs" dxfId="64" priority="8" operator="equal">
      <formula>"NO"</formula>
    </cfRule>
    <cfRule type="cellIs" dxfId="63" priority="9" operator="equal">
      <formula>"SI"</formula>
    </cfRule>
  </conditionalFormatting>
  <conditionalFormatting sqref="P3:P1048576">
    <cfRule type="cellIs" dxfId="62" priority="10" operator="equal">
      <formula>"No Aceptable"</formula>
    </cfRule>
    <cfRule type="cellIs" dxfId="61" priority="11" operator="equal">
      <formula>"Aceptable"</formula>
    </cfRule>
  </conditionalFormatting>
  <conditionalFormatting sqref="Q3:V248">
    <cfRule type="cellIs" dxfId="60" priority="1" operator="equal">
      <formula>"N/A"</formula>
    </cfRule>
  </conditionalFormatting>
  <conditionalFormatting sqref="Q3:V302">
    <cfRule type="cellIs" dxfId="59" priority="4" operator="equal">
      <formula>"SI"</formula>
    </cfRule>
    <cfRule type="cellIs" dxfId="58" priority="5" operator="equal">
      <formula>"NO"</formula>
    </cfRule>
  </conditionalFormatting>
  <conditionalFormatting sqref="W3:W251">
    <cfRule type="cellIs" dxfId="57" priority="2" operator="equal">
      <formula>"No Critico"</formula>
    </cfRule>
    <cfRule type="cellIs" dxfId="56" priority="3" operator="equal">
      <formula>"Critico"</formula>
    </cfRule>
  </conditionalFormatting>
  <dataValidations count="1">
    <dataValidation type="list" allowBlank="1" showInputMessage="1" showErrorMessage="1" sqref="Q3:V302 J3:O35" xr:uid="{9CC706B0-5768-48BE-9FF6-CA6C40CD340B}">
      <formula1>"SI,NO,N/A"</formula1>
    </dataValidation>
  </dataValidations>
  <pageMargins left="0.7" right="0.7" top="0.75" bottom="0.75" header="0.3" footer="0.3"/>
  <pageSetup paperSize="0" orientation="portrait" horizontalDpi="0" verticalDpi="0" copie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B3DA-B8B8-47B7-BE7B-56E5A5B0650B}">
  <dimension ref="A1:BJ298"/>
  <sheetViews>
    <sheetView workbookViewId="0">
      <pane xSplit="9" ySplit="2" topLeftCell="J3" activePane="bottomRight" state="frozen"/>
      <selection pane="bottomRight" activeCell="E6" sqref="E6"/>
      <selection pane="bottomLeft" activeCell="A3" sqref="A3"/>
      <selection pane="topRight" activeCell="J1" sqref="J1"/>
    </sheetView>
  </sheetViews>
  <sheetFormatPr defaultColWidth="11.42578125" defaultRowHeight="15" customHeight="1"/>
  <cols>
    <col min="1" max="1" width="3.140625" style="4" customWidth="1"/>
    <col min="2" max="3" width="11.5703125" style="1" customWidth="1"/>
    <col min="4" max="4" width="14.28515625" style="1" customWidth="1"/>
    <col min="5" max="5" width="13.5703125" style="80" customWidth="1"/>
    <col min="6" max="6" width="11.5703125" style="1"/>
    <col min="9" max="9" width="11.5703125" style="81" customWidth="1"/>
    <col min="10" max="10" width="15.85546875" style="1" customWidth="1"/>
    <col min="11" max="11" width="18.28515625" customWidth="1"/>
    <col min="12" max="12" width="17.85546875" customWidth="1"/>
    <col min="13" max="13" width="15" customWidth="1"/>
    <col min="14" max="14" width="14.28515625" customWidth="1"/>
    <col min="15" max="15" width="18.28515625" customWidth="1"/>
    <col min="16" max="16" width="19.85546875" customWidth="1"/>
    <col min="17" max="17" width="20.28515625" customWidth="1"/>
    <col min="18" max="18" width="13.28515625" customWidth="1"/>
    <col min="19" max="19" width="19.42578125" customWidth="1"/>
    <col min="20" max="20" width="22" customWidth="1"/>
    <col min="25" max="25" width="40.7109375" customWidth="1"/>
    <col min="28" max="28" width="16.28515625" customWidth="1"/>
    <col min="31" max="32" width="14" customWidth="1"/>
    <col min="33" max="33" width="13.28515625" customWidth="1"/>
    <col min="34" max="34" width="30.140625" customWidth="1"/>
    <col min="35" max="35" width="14.7109375" customWidth="1"/>
    <col min="36" max="36" width="30.5703125" customWidth="1"/>
    <col min="39" max="39" width="14.28515625" style="4" customWidth="1"/>
    <col min="40" max="40" width="11.5703125" style="4"/>
    <col min="41" max="41" width="20" style="4" customWidth="1"/>
    <col min="42" max="42" width="15.5703125" style="4" customWidth="1"/>
    <col min="43" max="43" width="11.5703125" style="4"/>
    <col min="56" max="56" width="13.7109375" customWidth="1"/>
  </cols>
  <sheetData>
    <row r="1" spans="1:62" ht="51.6" customHeight="1" thickBot="1">
      <c r="A1" s="130" t="s">
        <v>141</v>
      </c>
      <c r="B1" s="127"/>
      <c r="C1" s="127"/>
      <c r="D1" s="127"/>
      <c r="E1" s="127"/>
      <c r="F1" s="127" t="s">
        <v>112</v>
      </c>
      <c r="G1" s="127"/>
      <c r="H1" s="127" t="s">
        <v>113</v>
      </c>
      <c r="I1" s="127"/>
      <c r="J1" s="134" t="s">
        <v>142</v>
      </c>
      <c r="K1" s="135"/>
      <c r="L1" s="136"/>
      <c r="M1" s="134" t="s">
        <v>143</v>
      </c>
      <c r="N1" s="135"/>
      <c r="O1" s="135"/>
      <c r="P1" s="136"/>
      <c r="Q1" s="134" t="s">
        <v>144</v>
      </c>
      <c r="R1" s="135"/>
      <c r="S1" s="135"/>
      <c r="T1" s="136"/>
      <c r="U1" s="134" t="s">
        <v>145</v>
      </c>
      <c r="V1" s="135"/>
      <c r="W1" s="135"/>
      <c r="X1" s="136"/>
      <c r="Y1" s="15" t="s">
        <v>146</v>
      </c>
      <c r="Z1" s="134" t="s">
        <v>147</v>
      </c>
      <c r="AA1" s="135"/>
      <c r="AB1" s="135"/>
      <c r="AC1" s="134" t="s">
        <v>148</v>
      </c>
      <c r="AD1" s="135"/>
      <c r="AE1" s="135"/>
      <c r="AF1" s="109" t="s">
        <v>149</v>
      </c>
      <c r="AG1" s="10" t="s">
        <v>150</v>
      </c>
      <c r="AH1" s="134" t="s">
        <v>151</v>
      </c>
      <c r="AI1" s="135"/>
      <c r="AJ1" s="135"/>
      <c r="AK1" s="135" t="s">
        <v>152</v>
      </c>
      <c r="AL1" s="135"/>
      <c r="AM1" s="135"/>
      <c r="AN1" s="136"/>
      <c r="AO1" s="16" t="s">
        <v>153</v>
      </c>
      <c r="AP1" s="134" t="s">
        <v>154</v>
      </c>
      <c r="AQ1" s="135"/>
      <c r="AR1" s="135"/>
      <c r="AS1" s="135"/>
      <c r="AT1" s="135"/>
      <c r="AU1" s="135"/>
      <c r="AV1" s="136"/>
      <c r="AW1" s="137" t="s">
        <v>155</v>
      </c>
      <c r="AX1" s="137"/>
      <c r="AY1" s="137"/>
      <c r="AZ1" s="137"/>
      <c r="BA1" s="137"/>
      <c r="BB1" s="137" t="s">
        <v>156</v>
      </c>
      <c r="BC1" s="134"/>
      <c r="BD1" s="17" t="s">
        <v>150</v>
      </c>
      <c r="BE1" s="131" t="s">
        <v>116</v>
      </c>
      <c r="BF1" s="132"/>
      <c r="BG1" s="132"/>
      <c r="BH1" s="132"/>
      <c r="BI1" s="132"/>
      <c r="BJ1" s="133"/>
    </row>
    <row r="2" spans="1:62" ht="88.15" customHeight="1">
      <c r="A2" s="8" t="s">
        <v>93</v>
      </c>
      <c r="B2" s="9" t="s">
        <v>35</v>
      </c>
      <c r="C2" s="9" t="s">
        <v>36</v>
      </c>
      <c r="D2" s="9" t="s">
        <v>37</v>
      </c>
      <c r="E2" s="76" t="s">
        <v>39</v>
      </c>
      <c r="F2" s="77" t="s">
        <v>117</v>
      </c>
      <c r="G2" s="77" t="s">
        <v>118</v>
      </c>
      <c r="H2" s="77" t="s">
        <v>119</v>
      </c>
      <c r="I2" s="78" t="s">
        <v>120</v>
      </c>
      <c r="J2" s="79" t="s">
        <v>157</v>
      </c>
      <c r="K2" s="13" t="s">
        <v>158</v>
      </c>
      <c r="L2" s="13" t="s">
        <v>159</v>
      </c>
      <c r="M2" s="13" t="s">
        <v>160</v>
      </c>
      <c r="N2" s="13" t="s">
        <v>161</v>
      </c>
      <c r="O2" s="13" t="s">
        <v>162</v>
      </c>
      <c r="P2" s="13" t="s">
        <v>163</v>
      </c>
      <c r="Q2" s="13" t="s">
        <v>164</v>
      </c>
      <c r="R2" s="13" t="s">
        <v>165</v>
      </c>
      <c r="S2" s="13" t="s">
        <v>166</v>
      </c>
      <c r="T2" s="13" t="s">
        <v>167</v>
      </c>
      <c r="U2" s="13" t="s">
        <v>164</v>
      </c>
      <c r="V2" s="13" t="s">
        <v>165</v>
      </c>
      <c r="W2" s="13" t="s">
        <v>166</v>
      </c>
      <c r="X2" s="13" t="s">
        <v>168</v>
      </c>
      <c r="Y2" s="13" t="s">
        <v>169</v>
      </c>
      <c r="Z2" s="13" t="s">
        <v>170</v>
      </c>
      <c r="AA2" s="13" t="s">
        <v>171</v>
      </c>
      <c r="AB2" s="13" t="s">
        <v>172</v>
      </c>
      <c r="AC2" s="13" t="s">
        <v>173</v>
      </c>
      <c r="AD2" s="13" t="s">
        <v>174</v>
      </c>
      <c r="AE2" s="13" t="s">
        <v>175</v>
      </c>
      <c r="AF2" s="13" t="s">
        <v>176</v>
      </c>
      <c r="AG2" s="10" t="s">
        <v>127</v>
      </c>
      <c r="AH2" s="13" t="s">
        <v>177</v>
      </c>
      <c r="AI2" s="13" t="s">
        <v>178</v>
      </c>
      <c r="AJ2" s="13" t="s">
        <v>179</v>
      </c>
      <c r="AK2" s="13" t="s">
        <v>180</v>
      </c>
      <c r="AL2" s="13" t="s">
        <v>181</v>
      </c>
      <c r="AM2" s="13" t="s">
        <v>182</v>
      </c>
      <c r="AN2" s="13" t="s">
        <v>183</v>
      </c>
      <c r="AO2" s="13" t="s">
        <v>184</v>
      </c>
      <c r="AP2" s="13" t="s">
        <v>185</v>
      </c>
      <c r="AQ2" s="13" t="s">
        <v>186</v>
      </c>
      <c r="AR2" s="13" t="s">
        <v>187</v>
      </c>
      <c r="AS2" s="13" t="s">
        <v>188</v>
      </c>
      <c r="AT2" s="13" t="s">
        <v>189</v>
      </c>
      <c r="AU2" s="13" t="s">
        <v>190</v>
      </c>
      <c r="AV2" s="13" t="s">
        <v>191</v>
      </c>
      <c r="AW2" s="13" t="s">
        <v>192</v>
      </c>
      <c r="AX2" s="13" t="s">
        <v>193</v>
      </c>
      <c r="AY2" s="13" t="s">
        <v>194</v>
      </c>
      <c r="AZ2" s="13" t="s">
        <v>195</v>
      </c>
      <c r="BA2" s="13" t="s">
        <v>196</v>
      </c>
      <c r="BB2" s="13" t="s">
        <v>197</v>
      </c>
      <c r="BC2" s="13" t="s">
        <v>198</v>
      </c>
      <c r="BD2" s="13" t="s">
        <v>134</v>
      </c>
      <c r="BE2" s="13" t="s">
        <v>135</v>
      </c>
      <c r="BF2" s="13" t="s">
        <v>136</v>
      </c>
      <c r="BG2" s="13" t="s">
        <v>137</v>
      </c>
      <c r="BH2" s="13" t="s">
        <v>138</v>
      </c>
      <c r="BI2" s="13" t="s">
        <v>139</v>
      </c>
      <c r="BJ2" s="13" t="s">
        <v>140</v>
      </c>
    </row>
    <row r="3" spans="1:62" s="5" customFormat="1" ht="25.9" customHeight="1">
      <c r="A3" s="63">
        <f>Inicial!A3</f>
        <v>1</v>
      </c>
      <c r="B3" s="64" t="str">
        <f>Inicial!B3</f>
        <v>Despacho</v>
      </c>
      <c r="C3" s="64" t="str">
        <f>Inicial!C3</f>
        <v xml:space="preserve"> Carton Frezzer</v>
      </c>
      <c r="D3" s="65" t="str">
        <f>Inicial!D3</f>
        <v xml:space="preserve">Pinchador </v>
      </c>
      <c r="E3" s="63" t="str">
        <f>IF(Inicial!L3="SI",Inicial!E3,"N/A")</f>
        <v>06:00  - 14:00  14:00 - 22:00  22:00 - 06:00</v>
      </c>
      <c r="F3" s="64">
        <f>IF(Inicial!L3="SI",Inicial!F3,"N/A")</f>
        <v>0</v>
      </c>
      <c r="G3" s="64">
        <f>IF(Inicial!L3="SI",Inicial!G3,"N/A")</f>
        <v>2</v>
      </c>
      <c r="H3" s="64">
        <f>IF(Inicial!L3="SI",Inicial!H3,"N/A")</f>
        <v>6</v>
      </c>
      <c r="I3" s="66">
        <f>IF(Inicial!L3="SI",Inicial!I3,"N/A")</f>
        <v>0</v>
      </c>
      <c r="J3" s="11" t="s">
        <v>80</v>
      </c>
      <c r="K3" s="11" t="s">
        <v>62</v>
      </c>
      <c r="L3" s="11" t="s">
        <v>62</v>
      </c>
      <c r="M3" s="11" t="s">
        <v>62</v>
      </c>
      <c r="N3" s="11" t="s">
        <v>62</v>
      </c>
      <c r="O3" s="11" t="s">
        <v>62</v>
      </c>
      <c r="P3" s="11" t="s">
        <v>62</v>
      </c>
      <c r="Q3" s="11" t="s">
        <v>199</v>
      </c>
      <c r="R3" s="11" t="s">
        <v>199</v>
      </c>
      <c r="S3" s="11" t="s">
        <v>199</v>
      </c>
      <c r="T3" s="11" t="s">
        <v>199</v>
      </c>
      <c r="U3" s="11" t="s">
        <v>199</v>
      </c>
      <c r="V3" s="11" t="s">
        <v>199</v>
      </c>
      <c r="W3" s="11" t="s">
        <v>199</v>
      </c>
      <c r="X3" s="11" t="s">
        <v>199</v>
      </c>
      <c r="Y3" s="11" t="s">
        <v>80</v>
      </c>
      <c r="Z3" s="11" t="s">
        <v>62</v>
      </c>
      <c r="AA3" s="11" t="s">
        <v>62</v>
      </c>
      <c r="AB3" s="11" t="s">
        <v>62</v>
      </c>
      <c r="AC3" s="11" t="s">
        <v>62</v>
      </c>
      <c r="AD3" s="11" t="s">
        <v>62</v>
      </c>
      <c r="AE3" s="11" t="s">
        <v>62</v>
      </c>
      <c r="AF3" s="11" t="s">
        <v>62</v>
      </c>
      <c r="AG3" s="12" t="str" cm="1">
        <f t="array" ref="AG3">IF(OR(M3:AF3="NO"),"No aceptable","Aceptable")</f>
        <v>No aceptable</v>
      </c>
      <c r="AH3" s="11" t="s">
        <v>80</v>
      </c>
      <c r="AI3" s="11" t="s">
        <v>80</v>
      </c>
      <c r="AJ3" s="11" t="s">
        <v>80</v>
      </c>
      <c r="AK3" s="11" t="s">
        <v>80</v>
      </c>
      <c r="AL3" s="11" t="s">
        <v>80</v>
      </c>
      <c r="AM3" s="11" t="s">
        <v>80</v>
      </c>
      <c r="AN3" s="11" t="s">
        <v>80</v>
      </c>
      <c r="AO3" s="11" t="s">
        <v>80</v>
      </c>
      <c r="AP3" s="11" t="s">
        <v>80</v>
      </c>
      <c r="AQ3" s="11" t="s">
        <v>80</v>
      </c>
      <c r="AR3" s="11" t="s">
        <v>80</v>
      </c>
      <c r="AS3" s="11" t="s">
        <v>80</v>
      </c>
      <c r="AT3" s="11" t="s">
        <v>80</v>
      </c>
      <c r="AU3" s="11" t="s">
        <v>80</v>
      </c>
      <c r="AV3" s="11" t="s">
        <v>80</v>
      </c>
      <c r="AW3" s="11" t="s">
        <v>80</v>
      </c>
      <c r="AX3" s="11" t="s">
        <v>199</v>
      </c>
      <c r="AY3" s="11" t="s">
        <v>80</v>
      </c>
      <c r="AZ3" s="11" t="s">
        <v>199</v>
      </c>
      <c r="BA3" s="11" t="s">
        <v>199</v>
      </c>
      <c r="BB3" s="11" t="s">
        <v>199</v>
      </c>
      <c r="BC3" s="11" t="s">
        <v>80</v>
      </c>
      <c r="BD3" s="3" t="str" cm="1">
        <f t="array" ref="BD3">IF(OR(AK3:BC3="SI"),"Critico","No Critico")</f>
        <v>No Critico</v>
      </c>
      <c r="BE3" s="1"/>
      <c r="BF3" s="1"/>
      <c r="BG3" s="1"/>
      <c r="BH3" s="1"/>
      <c r="BI3" s="1"/>
      <c r="BJ3" s="1"/>
    </row>
    <row r="4" spans="1:62" ht="25.9" customHeight="1">
      <c r="A4" s="63">
        <f>Inicial!A4</f>
        <v>2</v>
      </c>
      <c r="B4" s="64" t="str">
        <f>Inicial!B4</f>
        <v>Despacho</v>
      </c>
      <c r="C4" s="64" t="str">
        <f>Inicial!C4</f>
        <v xml:space="preserve"> Carton Frezzer</v>
      </c>
      <c r="D4" s="65" t="str">
        <f>Inicial!D4</f>
        <v>Depaletizador</v>
      </c>
      <c r="E4" s="63" t="str">
        <f>IF(Inicial!L4="SI",Inicial!E4,"N/A")</f>
        <v>06:00  - 14:00  14:00 - 22:00  22:00 - 06:00</v>
      </c>
      <c r="F4" s="64">
        <f>IF(Inicial!L4="SI",Inicial!F4,"N/A")</f>
        <v>0</v>
      </c>
      <c r="G4" s="64">
        <f>IF(Inicial!L4="SI",Inicial!G4,"N/A")</f>
        <v>2</v>
      </c>
      <c r="H4" s="64">
        <f>IF(Inicial!L4="SI",Inicial!H4,"N/A")</f>
        <v>24</v>
      </c>
      <c r="I4" s="66">
        <f>IF(Inicial!L4="SI",Inicial!I4,"N/A")</f>
        <v>0</v>
      </c>
      <c r="J4" s="11" t="s">
        <v>80</v>
      </c>
      <c r="K4" s="11" t="s">
        <v>62</v>
      </c>
      <c r="L4" s="11" t="s">
        <v>62</v>
      </c>
      <c r="M4" s="11" t="s">
        <v>62</v>
      </c>
      <c r="N4" s="11" t="s">
        <v>62</v>
      </c>
      <c r="O4" s="11" t="s">
        <v>62</v>
      </c>
      <c r="P4" s="11" t="s">
        <v>62</v>
      </c>
      <c r="Q4" s="11" t="s">
        <v>199</v>
      </c>
      <c r="R4" s="11" t="s">
        <v>199</v>
      </c>
      <c r="S4" s="11" t="s">
        <v>199</v>
      </c>
      <c r="T4" s="11" t="s">
        <v>199</v>
      </c>
      <c r="U4" s="11" t="s">
        <v>62</v>
      </c>
      <c r="V4" s="11" t="s">
        <v>62</v>
      </c>
      <c r="W4" s="11" t="s">
        <v>62</v>
      </c>
      <c r="X4" s="11" t="s">
        <v>80</v>
      </c>
      <c r="Y4" s="11" t="s">
        <v>80</v>
      </c>
      <c r="Z4" s="11" t="s">
        <v>62</v>
      </c>
      <c r="AA4" s="11" t="s">
        <v>62</v>
      </c>
      <c r="AB4" s="11" t="s">
        <v>62</v>
      </c>
      <c r="AC4" s="11" t="s">
        <v>62</v>
      </c>
      <c r="AD4" s="11" t="s">
        <v>62</v>
      </c>
      <c r="AE4" s="11" t="s">
        <v>62</v>
      </c>
      <c r="AF4" s="11" t="s">
        <v>62</v>
      </c>
      <c r="AG4" s="12" t="str" cm="1">
        <f t="array" ref="AG4">IF(OR(M4:AF4="NO"),"No aceptable","Aceptable")</f>
        <v>No aceptable</v>
      </c>
      <c r="AH4" s="11" t="s">
        <v>80</v>
      </c>
      <c r="AI4" s="11" t="s">
        <v>80</v>
      </c>
      <c r="AJ4" s="11" t="s">
        <v>80</v>
      </c>
      <c r="AK4" s="11" t="s">
        <v>80</v>
      </c>
      <c r="AL4" s="11" t="s">
        <v>80</v>
      </c>
      <c r="AM4" s="11" t="s">
        <v>80</v>
      </c>
      <c r="AN4" s="11" t="s">
        <v>80</v>
      </c>
      <c r="AO4" s="11" t="s">
        <v>80</v>
      </c>
      <c r="AP4" s="11" t="s">
        <v>80</v>
      </c>
      <c r="AQ4" s="11" t="s">
        <v>62</v>
      </c>
      <c r="AR4" s="11" t="s">
        <v>80</v>
      </c>
      <c r="AS4" s="11" t="s">
        <v>80</v>
      </c>
      <c r="AT4" s="11" t="s">
        <v>80</v>
      </c>
      <c r="AU4" s="11" t="s">
        <v>80</v>
      </c>
      <c r="AV4" s="11" t="s">
        <v>80</v>
      </c>
      <c r="AW4" s="11" t="s">
        <v>80</v>
      </c>
      <c r="AX4" s="11" t="s">
        <v>80</v>
      </c>
      <c r="AY4" s="11" t="s">
        <v>199</v>
      </c>
      <c r="AZ4" s="11" t="s">
        <v>80</v>
      </c>
      <c r="BA4" s="11" t="s">
        <v>199</v>
      </c>
      <c r="BB4" s="11" t="s">
        <v>80</v>
      </c>
      <c r="BC4" s="11" t="s">
        <v>80</v>
      </c>
      <c r="BD4" s="3" t="s">
        <v>200</v>
      </c>
      <c r="BE4" s="1"/>
      <c r="BF4" s="1"/>
      <c r="BG4" s="1"/>
      <c r="BH4" s="1"/>
      <c r="BI4" s="1"/>
      <c r="BJ4" s="1"/>
    </row>
    <row r="5" spans="1:62" ht="25.9" customHeight="1">
      <c r="A5" s="63">
        <f>Inicial!A5</f>
        <v>3</v>
      </c>
      <c r="B5" s="64" t="str">
        <f>Inicial!B5</f>
        <v>Despacho</v>
      </c>
      <c r="C5" s="64" t="str">
        <f>Inicial!C5</f>
        <v xml:space="preserve"> Carton Frezzer</v>
      </c>
      <c r="D5" s="65" t="str">
        <f>Inicial!D5</f>
        <v xml:space="preserve">Pinchador </v>
      </c>
      <c r="E5" s="63" t="str">
        <f>IF(Inicial!L5="SI",Inicial!E5,"N/A")</f>
        <v>06:00  - 14:00  14:00 - 22:00  22:00 - 06:00</v>
      </c>
      <c r="F5" s="64">
        <f>IF(Inicial!L5="SI",Inicial!F5,"N/A")</f>
        <v>0</v>
      </c>
      <c r="G5" s="64">
        <f>IF(Inicial!L5="SI",Inicial!G5,"N/A")</f>
        <v>2</v>
      </c>
      <c r="H5" s="64">
        <f>IF(Inicial!L5="SI",Inicial!H5,"N/A")</f>
        <v>24</v>
      </c>
      <c r="I5" s="66">
        <f>IF(Inicial!L5="SI",Inicial!I5,"N/A")</f>
        <v>0</v>
      </c>
      <c r="J5" s="11" t="s">
        <v>80</v>
      </c>
      <c r="K5" s="11" t="s">
        <v>62</v>
      </c>
      <c r="L5" s="11" t="s">
        <v>62</v>
      </c>
      <c r="M5" s="11" t="s">
        <v>62</v>
      </c>
      <c r="N5" s="11" t="s">
        <v>62</v>
      </c>
      <c r="O5" s="11" t="s">
        <v>62</v>
      </c>
      <c r="P5" s="11" t="s">
        <v>62</v>
      </c>
      <c r="Q5" s="11" t="s">
        <v>199</v>
      </c>
      <c r="R5" s="11" t="s">
        <v>199</v>
      </c>
      <c r="S5" s="11" t="s">
        <v>199</v>
      </c>
      <c r="T5" s="11" t="s">
        <v>199</v>
      </c>
      <c r="U5" s="11" t="s">
        <v>62</v>
      </c>
      <c r="V5" s="11" t="s">
        <v>62</v>
      </c>
      <c r="W5" s="11" t="s">
        <v>62</v>
      </c>
      <c r="X5" s="11" t="s">
        <v>80</v>
      </c>
      <c r="Y5" s="11" t="s">
        <v>80</v>
      </c>
      <c r="Z5" s="11" t="s">
        <v>62</v>
      </c>
      <c r="AA5" s="11" t="s">
        <v>62</v>
      </c>
      <c r="AB5" s="11" t="s">
        <v>62</v>
      </c>
      <c r="AC5" s="11" t="s">
        <v>62</v>
      </c>
      <c r="AD5" s="11" t="s">
        <v>62</v>
      </c>
      <c r="AE5" s="11" t="s">
        <v>62</v>
      </c>
      <c r="AF5" s="11" t="s">
        <v>62</v>
      </c>
      <c r="AG5" s="12" t="str" cm="1">
        <f t="array" ref="AG5">IF(OR(M5:AF5="NO"),"No aceptable","Aceptable")</f>
        <v>No aceptable</v>
      </c>
      <c r="AH5" s="11" t="s">
        <v>80</v>
      </c>
      <c r="AI5" s="11" t="s">
        <v>80</v>
      </c>
      <c r="AJ5" s="11" t="s">
        <v>80</v>
      </c>
      <c r="AK5" s="11" t="s">
        <v>80</v>
      </c>
      <c r="AL5" s="11" t="s">
        <v>80</v>
      </c>
      <c r="AM5" s="11" t="s">
        <v>80</v>
      </c>
      <c r="AN5" s="11" t="s">
        <v>80</v>
      </c>
      <c r="AO5" s="11" t="s">
        <v>80</v>
      </c>
      <c r="AP5" s="11" t="s">
        <v>80</v>
      </c>
      <c r="AQ5" s="11" t="s">
        <v>62</v>
      </c>
      <c r="AR5" s="11" t="s">
        <v>80</v>
      </c>
      <c r="AS5" s="11" t="s">
        <v>80</v>
      </c>
      <c r="AT5" s="11" t="s">
        <v>80</v>
      </c>
      <c r="AU5" s="11" t="s">
        <v>80</v>
      </c>
      <c r="AV5" s="11" t="s">
        <v>80</v>
      </c>
      <c r="AW5" s="11" t="s">
        <v>80</v>
      </c>
      <c r="AX5" s="11" t="s">
        <v>80</v>
      </c>
      <c r="AY5" s="11" t="s">
        <v>199</v>
      </c>
      <c r="AZ5" s="11" t="s">
        <v>80</v>
      </c>
      <c r="BA5" s="11" t="s">
        <v>199</v>
      </c>
      <c r="BB5" s="11" t="s">
        <v>80</v>
      </c>
      <c r="BC5" s="11" t="s">
        <v>80</v>
      </c>
      <c r="BD5" s="3" t="s">
        <v>200</v>
      </c>
      <c r="BE5" s="1"/>
      <c r="BF5" s="1"/>
      <c r="BG5" s="1"/>
      <c r="BH5" s="1"/>
      <c r="BI5" s="1"/>
      <c r="BJ5" s="1"/>
    </row>
    <row r="6" spans="1:62" ht="25.9" customHeight="1">
      <c r="A6" s="63">
        <f>Inicial!A6</f>
        <v>4</v>
      </c>
      <c r="B6" s="64" t="str">
        <f>Inicial!B6</f>
        <v>Despacho</v>
      </c>
      <c r="C6" s="64" t="str">
        <f>Inicial!C6</f>
        <v>Despacho congelado</v>
      </c>
      <c r="D6" s="65" t="str">
        <f>Inicial!D6</f>
        <v>Gruero</v>
      </c>
      <c r="E6" s="63" t="str">
        <f>IF(Inicial!L6="SI",Inicial!E6,"N/A")</f>
        <v>N/A</v>
      </c>
      <c r="F6" s="64" t="str">
        <f>IF(Inicial!L6="SI",Inicial!F6,"N/A")</f>
        <v>N/A</v>
      </c>
      <c r="G6" s="64" t="str">
        <f>IF(Inicial!L6="SI",Inicial!G6,"N/A")</f>
        <v>N/A</v>
      </c>
      <c r="H6" s="64" t="str">
        <f>IF(Inicial!L6="SI",Inicial!H6,"N/A")</f>
        <v>N/A</v>
      </c>
      <c r="I6" s="66" t="str">
        <f>IF(Inicial!L6="SI",Inicial!I6,"N/A")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 t="str" cm="1">
        <f t="array" ref="AG6">IF(OR(M6:AF6="NO"),"No aceptable","Aceptable")</f>
        <v>Aceptable</v>
      </c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3" t="str" cm="1">
        <f t="array" ref="BD6">IF(OR(AK6:BC6="SI"),"Critico","No Critico")</f>
        <v>No Critico</v>
      </c>
    </row>
    <row r="7" spans="1:62" ht="25.9" customHeight="1">
      <c r="A7" s="63">
        <f>Inicial!A7</f>
        <v>5</v>
      </c>
      <c r="B7" s="64" t="str">
        <f>Inicial!B7</f>
        <v>Despacho</v>
      </c>
      <c r="C7" s="64" t="str">
        <f>Inicial!C7</f>
        <v>Despacho congelado</v>
      </c>
      <c r="D7" s="65" t="str">
        <f>Inicial!D7</f>
        <v>Transpaletero</v>
      </c>
      <c r="E7" s="63" t="str">
        <f>IF(Inicial!L7="SI",Inicial!E7,"N/A")</f>
        <v>N/A</v>
      </c>
      <c r="F7" s="64" t="str">
        <f>IF(Inicial!L7="SI",Inicial!F7,"N/A")</f>
        <v>N/A</v>
      </c>
      <c r="G7" s="64" t="str">
        <f>IF(Inicial!L7="SI",Inicial!G7,"N/A")</f>
        <v>N/A</v>
      </c>
      <c r="H7" s="64" t="str">
        <f>IF(Inicial!L7="SI",Inicial!H7,"N/A")</f>
        <v>N/A</v>
      </c>
      <c r="I7" s="66" t="str">
        <f>IF(Inicial!L7="SI",Inicial!I7,"N/A")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 t="str" cm="1">
        <f t="array" ref="AG7">IF(OR(M7:AF7="NO"),"No aceptable","Aceptable")</f>
        <v>Aceptable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3" t="str" cm="1">
        <f t="array" ref="BD7">IF(OR(AK7:BC7="SI"),"Critico","No Critico")</f>
        <v>No Critico</v>
      </c>
    </row>
    <row r="8" spans="1:62" ht="25.9" customHeight="1">
      <c r="A8" s="63">
        <f>Inicial!A8</f>
        <v>6</v>
      </c>
      <c r="B8" s="64" t="str">
        <f>Inicial!B8</f>
        <v>Despacho</v>
      </c>
      <c r="C8" s="64" t="str">
        <f>Inicial!C8</f>
        <v>Despacho congelado</v>
      </c>
      <c r="D8" s="65" t="str">
        <f>Inicial!D8</f>
        <v>Postura de films</v>
      </c>
      <c r="E8" s="63" t="str">
        <f>IF(Inicial!L8="SI",Inicial!E8,"N/A")</f>
        <v>N/A</v>
      </c>
      <c r="F8" s="64" t="str">
        <f>IF(Inicial!L8="SI",Inicial!F8,"N/A")</f>
        <v>N/A</v>
      </c>
      <c r="G8" s="64" t="str">
        <f>IF(Inicial!L8="SI",Inicial!G8,"N/A")</f>
        <v>N/A</v>
      </c>
      <c r="H8" s="64" t="str">
        <f>IF(Inicial!L8="SI",Inicial!H8,"N/A")</f>
        <v>N/A</v>
      </c>
      <c r="I8" s="66" t="str">
        <f>IF(Inicial!L8="SI",Inicial!I8,"N/A")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 t="str" cm="1">
        <f t="array" ref="AG8">IF(OR(M8:AF8="NO"),"No aceptable","Aceptable")</f>
        <v>Aceptable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3" t="str" cm="1">
        <f t="array" ref="BD8">IF(OR(AK8:BC8="SI"),"Critico","No Critico")</f>
        <v>No Critico</v>
      </c>
    </row>
    <row r="9" spans="1:62" ht="33.75">
      <c r="A9" s="63">
        <f>Inicial!A9</f>
        <v>7</v>
      </c>
      <c r="B9" s="64" t="str">
        <f>Inicial!B9</f>
        <v>Despacho</v>
      </c>
      <c r="C9" s="64" t="str">
        <f>Inicial!C9</f>
        <v>Despacho Congelado</v>
      </c>
      <c r="D9" s="65" t="str">
        <f>Inicial!D9</f>
        <v>Reprocesos de producto</v>
      </c>
      <c r="E9" s="63" t="str">
        <f>IF(Inicial!L9="SI",Inicial!E9,"N/A")</f>
        <v>06:00  - 14:00  14:00 - 22:00  22:00 - 06:00</v>
      </c>
      <c r="F9" s="64">
        <f>IF(Inicial!L9="SI",Inicial!F9,"N/A")</f>
        <v>0</v>
      </c>
      <c r="G9" s="64">
        <f>IF(Inicial!L9="SI",Inicial!G9,"N/A")</f>
        <v>2</v>
      </c>
      <c r="H9" s="64">
        <f>IF(Inicial!L9="SI",Inicial!H9,"N/A")</f>
        <v>0</v>
      </c>
      <c r="I9" s="66">
        <f>IF(Inicial!L9="SI",Inicial!I9,"N/A")</f>
        <v>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 t="str" cm="1">
        <f t="array" ref="AG9">IF(OR(M9:AF9="NO"),"No aceptable","Aceptable")</f>
        <v>Aceptable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3" t="str" cm="1">
        <f t="array" ref="BD9">IF(OR(AK9:BC9="SI"),"Critico","No Critico")</f>
        <v>No Critico</v>
      </c>
    </row>
    <row r="10" spans="1:62" ht="33.75">
      <c r="A10" s="63" t="e">
        <f>Inicial!#REF!</f>
        <v>#REF!</v>
      </c>
      <c r="B10" s="64" t="e">
        <f>Inicial!#REF!</f>
        <v>#REF!</v>
      </c>
      <c r="C10" s="64" t="e">
        <f>Inicial!#REF!</f>
        <v>#REF!</v>
      </c>
      <c r="D10" s="65" t="e">
        <f>Inicial!#REF!</f>
        <v>#REF!</v>
      </c>
      <c r="E10" s="63" t="e">
        <f>IF(Inicial!#REF!="SI",Inicial!#REF!,"N/A")</f>
        <v>#REF!</v>
      </c>
      <c r="F10" s="64" t="e">
        <f>IF(Inicial!#REF!="SI",Inicial!#REF!,"N/A")</f>
        <v>#REF!</v>
      </c>
      <c r="G10" s="64" t="e">
        <f>IF(Inicial!#REF!="SI",Inicial!#REF!,"N/A")</f>
        <v>#REF!</v>
      </c>
      <c r="H10" s="64" t="e">
        <f>IF(Inicial!#REF!="SI",Inicial!#REF!,"N/A")</f>
        <v>#REF!</v>
      </c>
      <c r="I10" s="66" t="e">
        <f>IF(Inicial!#REF!="SI",Inicial!#REF!,"N/A")</f>
        <v>#REF!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 t="str" cm="1">
        <f t="array" ref="AG10">IF(OR(M10:AF10="NO"),"No aceptable","Aceptable")</f>
        <v>Aceptable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3" t="str" cm="1">
        <f t="array" ref="BD10">IF(OR(AK10:BC10="SI"),"Critico","No Critico")</f>
        <v>No Critico</v>
      </c>
    </row>
    <row r="11" spans="1:62" ht="33.75">
      <c r="A11" s="63" t="e">
        <f>Inicial!#REF!</f>
        <v>#REF!</v>
      </c>
      <c r="B11" s="64" t="e">
        <f>Inicial!#REF!</f>
        <v>#REF!</v>
      </c>
      <c r="C11" s="64" t="e">
        <f>Inicial!#REF!</f>
        <v>#REF!</v>
      </c>
      <c r="D11" s="65" t="e">
        <f>Inicial!#REF!</f>
        <v>#REF!</v>
      </c>
      <c r="E11" s="63" t="e">
        <f>IF(Inicial!#REF!="SI",Inicial!#REF!,"N/A")</f>
        <v>#REF!</v>
      </c>
      <c r="F11" s="64" t="e">
        <f>IF(Inicial!#REF!="SI",Inicial!#REF!,"N/A")</f>
        <v>#REF!</v>
      </c>
      <c r="G11" s="64" t="e">
        <f>IF(Inicial!#REF!="SI",Inicial!#REF!,"N/A")</f>
        <v>#REF!</v>
      </c>
      <c r="H11" s="64" t="e">
        <f>IF(Inicial!#REF!="SI",Inicial!#REF!,"N/A")</f>
        <v>#REF!</v>
      </c>
      <c r="I11" s="66" t="e">
        <f>IF(Inicial!#REF!="SI",Inicial!#REF!,"N/A")</f>
        <v>#REF!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 t="str" cm="1">
        <f t="array" ref="AG11">IF(OR(M11:AF11="NO"),"No aceptable","Aceptable")</f>
        <v>Aceptable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3" t="str" cm="1">
        <f t="array" ref="BD11">IF(OR(AK11:BC11="SI"),"Critico","No Critico")</f>
        <v>No Critico</v>
      </c>
    </row>
    <row r="12" spans="1:62" ht="33.75">
      <c r="A12" s="63" t="e">
        <f>Inicial!#REF!</f>
        <v>#REF!</v>
      </c>
      <c r="B12" s="64" t="e">
        <f>Inicial!#REF!</f>
        <v>#REF!</v>
      </c>
      <c r="C12" s="64" t="e">
        <f>Inicial!#REF!</f>
        <v>#REF!</v>
      </c>
      <c r="D12" s="65" t="e">
        <f>Inicial!#REF!</f>
        <v>#REF!</v>
      </c>
      <c r="E12" s="63" t="e">
        <f>IF(Inicial!#REF!="SI",Inicial!#REF!,"N/A")</f>
        <v>#REF!</v>
      </c>
      <c r="F12" s="64" t="e">
        <f>IF(Inicial!#REF!="SI",Inicial!#REF!,"N/A")</f>
        <v>#REF!</v>
      </c>
      <c r="G12" s="64" t="e">
        <f>IF(Inicial!#REF!="SI",Inicial!#REF!,"N/A")</f>
        <v>#REF!</v>
      </c>
      <c r="H12" s="64" t="e">
        <f>IF(Inicial!#REF!="SI",Inicial!#REF!,"N/A")</f>
        <v>#REF!</v>
      </c>
      <c r="I12" s="66" t="e">
        <f>IF(Inicial!#REF!="SI",Inicial!#REF!,"N/A")</f>
        <v>#REF!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 t="str" cm="1">
        <f t="array" ref="AG12">IF(OR(M12:AF12="NO"),"No aceptable","Aceptable")</f>
        <v>Aceptable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3" t="str" cm="1">
        <f t="array" ref="BD12">IF(OR(AK12:BC12="SI"),"Critico","No Critico")</f>
        <v>No Critico</v>
      </c>
    </row>
    <row r="13" spans="1:62" ht="33.75">
      <c r="A13" s="63" t="e">
        <f>Inicial!#REF!</f>
        <v>#REF!</v>
      </c>
      <c r="B13" s="64" t="e">
        <f>Inicial!#REF!</f>
        <v>#REF!</v>
      </c>
      <c r="C13" s="64" t="e">
        <f>Inicial!#REF!</f>
        <v>#REF!</v>
      </c>
      <c r="D13" s="65" t="e">
        <f>Inicial!#REF!</f>
        <v>#REF!</v>
      </c>
      <c r="E13" s="63" t="e">
        <f>IF(Inicial!#REF!="SI",Inicial!#REF!,"N/A")</f>
        <v>#REF!</v>
      </c>
      <c r="F13" s="64" t="e">
        <f>IF(Inicial!#REF!="SI",Inicial!#REF!,"N/A")</f>
        <v>#REF!</v>
      </c>
      <c r="G13" s="64" t="e">
        <f>IF(Inicial!#REF!="SI",Inicial!#REF!,"N/A")</f>
        <v>#REF!</v>
      </c>
      <c r="H13" s="64" t="e">
        <f>IF(Inicial!#REF!="SI",Inicial!#REF!,"N/A")</f>
        <v>#REF!</v>
      </c>
      <c r="I13" s="66" t="e">
        <f>IF(Inicial!#REF!="SI",Inicial!#REF!,"N/A")</f>
        <v>#REF!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 t="str" cm="1">
        <f t="array" ref="AG13">IF(OR(M13:AF13="NO"),"No aceptable","Aceptable")</f>
        <v>Aceptable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3" t="str" cm="1">
        <f t="array" ref="BD13">IF(OR(AK13:BC13="SI"),"Critico","No Critico")</f>
        <v>No Critico</v>
      </c>
    </row>
    <row r="14" spans="1:62" ht="33.75">
      <c r="A14" s="63" t="e">
        <f>Inicial!#REF!</f>
        <v>#REF!</v>
      </c>
      <c r="B14" s="64" t="e">
        <f>Inicial!#REF!</f>
        <v>#REF!</v>
      </c>
      <c r="C14" s="64" t="e">
        <f>Inicial!#REF!</f>
        <v>#REF!</v>
      </c>
      <c r="D14" s="65" t="e">
        <f>Inicial!#REF!</f>
        <v>#REF!</v>
      </c>
      <c r="E14" s="63" t="e">
        <f>IF(Inicial!#REF!="SI",Inicial!#REF!,"N/A")</f>
        <v>#REF!</v>
      </c>
      <c r="F14" s="64" t="e">
        <f>IF(Inicial!#REF!="SI",Inicial!#REF!,"N/A")</f>
        <v>#REF!</v>
      </c>
      <c r="G14" s="64" t="e">
        <f>IF(Inicial!#REF!="SI",Inicial!#REF!,"N/A")</f>
        <v>#REF!</v>
      </c>
      <c r="H14" s="64" t="e">
        <f>IF(Inicial!#REF!="SI",Inicial!#REF!,"N/A")</f>
        <v>#REF!</v>
      </c>
      <c r="I14" s="66" t="e">
        <f>IF(Inicial!#REF!="SI",Inicial!#REF!,"N/A")</f>
        <v>#REF!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 t="str" cm="1">
        <f t="array" ref="AG14">IF(OR(M14:AF14="NO"),"No aceptable","Aceptable")</f>
        <v>Aceptable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3" t="str" cm="1">
        <f t="array" ref="BD14">IF(OR(AK14:BC14="SI"),"Critico","No Critico")</f>
        <v>No Critico</v>
      </c>
    </row>
    <row r="15" spans="1:62" ht="33.75">
      <c r="A15" s="63" t="e">
        <f>Inicial!#REF!</f>
        <v>#REF!</v>
      </c>
      <c r="B15" s="64" t="e">
        <f>Inicial!#REF!</f>
        <v>#REF!</v>
      </c>
      <c r="C15" s="64" t="e">
        <f>Inicial!#REF!</f>
        <v>#REF!</v>
      </c>
      <c r="D15" s="65" t="e">
        <f>Inicial!#REF!</f>
        <v>#REF!</v>
      </c>
      <c r="E15" s="63" t="e">
        <f>IF(Inicial!#REF!="SI",Inicial!#REF!,"N/A")</f>
        <v>#REF!</v>
      </c>
      <c r="F15" s="64" t="e">
        <f>IF(Inicial!#REF!="SI",Inicial!#REF!,"N/A")</f>
        <v>#REF!</v>
      </c>
      <c r="G15" s="64" t="e">
        <f>IF(Inicial!#REF!="SI",Inicial!#REF!,"N/A")</f>
        <v>#REF!</v>
      </c>
      <c r="H15" s="64" t="e">
        <f>IF(Inicial!#REF!="SI",Inicial!#REF!,"N/A")</f>
        <v>#REF!</v>
      </c>
      <c r="I15" s="66" t="e">
        <f>IF(Inicial!#REF!="SI",Inicial!#REF!,"N/A")</f>
        <v>#REF!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 t="str" cm="1">
        <f t="array" ref="AG15">IF(OR(M15:AF15="NO"),"No aceptable","Aceptable")</f>
        <v>Aceptable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3" t="str" cm="1">
        <f t="array" ref="BD15">IF(OR(AK15:BC15="SI"),"Critico","No Critico")</f>
        <v>No Critico</v>
      </c>
    </row>
    <row r="16" spans="1:62" ht="33.75">
      <c r="A16" s="63" t="e">
        <f>Inicial!#REF!</f>
        <v>#REF!</v>
      </c>
      <c r="B16" s="64" t="e">
        <f>Inicial!#REF!</f>
        <v>#REF!</v>
      </c>
      <c r="C16" s="64" t="e">
        <f>Inicial!#REF!</f>
        <v>#REF!</v>
      </c>
      <c r="D16" s="65" t="e">
        <f>Inicial!#REF!</f>
        <v>#REF!</v>
      </c>
      <c r="E16" s="63" t="e">
        <f>IF(Inicial!#REF!="SI",Inicial!#REF!,"N/A")</f>
        <v>#REF!</v>
      </c>
      <c r="F16" s="64" t="e">
        <f>IF(Inicial!#REF!="SI",Inicial!#REF!,"N/A")</f>
        <v>#REF!</v>
      </c>
      <c r="G16" s="64" t="e">
        <f>IF(Inicial!#REF!="SI",Inicial!#REF!,"N/A")</f>
        <v>#REF!</v>
      </c>
      <c r="H16" s="64" t="e">
        <f>IF(Inicial!#REF!="SI",Inicial!#REF!,"N/A")</f>
        <v>#REF!</v>
      </c>
      <c r="I16" s="66" t="e">
        <f>IF(Inicial!#REF!="SI",Inicial!#REF!,"N/A")</f>
        <v>#REF!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2" t="str" cm="1">
        <f t="array" ref="AG16">IF(OR(M16:AF16="NO"),"No aceptable","Aceptable")</f>
        <v>Aceptable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3" t="str" cm="1">
        <f t="array" ref="BD16">IF(OR(AK16:BC16="SI"),"Critico","No Critico")</f>
        <v>No Critico</v>
      </c>
    </row>
    <row r="17" spans="1:56" ht="33.75">
      <c r="A17" s="63" t="e">
        <f>Inicial!#REF!</f>
        <v>#REF!</v>
      </c>
      <c r="B17" s="64" t="e">
        <f>Inicial!#REF!</f>
        <v>#REF!</v>
      </c>
      <c r="C17" s="64" t="e">
        <f>Inicial!#REF!</f>
        <v>#REF!</v>
      </c>
      <c r="D17" s="65" t="e">
        <f>Inicial!#REF!</f>
        <v>#REF!</v>
      </c>
      <c r="E17" s="63" t="e">
        <f>IF(Inicial!#REF!="SI",Inicial!#REF!,"N/A")</f>
        <v>#REF!</v>
      </c>
      <c r="F17" s="64" t="e">
        <f>IF(Inicial!#REF!="SI",Inicial!#REF!,"N/A")</f>
        <v>#REF!</v>
      </c>
      <c r="G17" s="64" t="e">
        <f>IF(Inicial!#REF!="SI",Inicial!#REF!,"N/A")</f>
        <v>#REF!</v>
      </c>
      <c r="H17" s="64" t="e">
        <f>IF(Inicial!#REF!="SI",Inicial!#REF!,"N/A")</f>
        <v>#REF!</v>
      </c>
      <c r="I17" s="66" t="e">
        <f>IF(Inicial!#REF!="SI",Inicial!#REF!,"N/A")</f>
        <v>#REF!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2" t="str" cm="1">
        <f t="array" ref="AG17">IF(OR(M17:AF17="NO"),"No aceptable","Aceptable")</f>
        <v>Aceptable</v>
      </c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3" t="str" cm="1">
        <f t="array" ref="BD17">IF(OR(AK17:BC17="SI"),"Critico","No Critico")</f>
        <v>No Critico</v>
      </c>
    </row>
    <row r="18" spans="1:56" ht="33.75">
      <c r="A18" s="63" t="e">
        <f>Inicial!#REF!</f>
        <v>#REF!</v>
      </c>
      <c r="B18" s="64" t="e">
        <f>Inicial!#REF!</f>
        <v>#REF!</v>
      </c>
      <c r="C18" s="64" t="e">
        <f>Inicial!#REF!</f>
        <v>#REF!</v>
      </c>
      <c r="D18" s="65" t="e">
        <f>Inicial!#REF!</f>
        <v>#REF!</v>
      </c>
      <c r="E18" s="63" t="e">
        <f>IF(Inicial!#REF!="SI",Inicial!#REF!,"N/A")</f>
        <v>#REF!</v>
      </c>
      <c r="F18" s="64" t="e">
        <f>IF(Inicial!#REF!="SI",Inicial!#REF!,"N/A")</f>
        <v>#REF!</v>
      </c>
      <c r="G18" s="64" t="e">
        <f>IF(Inicial!#REF!="SI",Inicial!#REF!,"N/A")</f>
        <v>#REF!</v>
      </c>
      <c r="H18" s="64" t="e">
        <f>IF(Inicial!#REF!="SI",Inicial!#REF!,"N/A")</f>
        <v>#REF!</v>
      </c>
      <c r="I18" s="66" t="e">
        <f>IF(Inicial!#REF!="SI",Inicial!#REF!,"N/A")</f>
        <v>#REF!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2" t="str" cm="1">
        <f t="array" ref="AG18">IF(OR(M18:AF18="NO"),"No aceptable","Aceptable")</f>
        <v>Aceptable</v>
      </c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3" t="str" cm="1">
        <f t="array" ref="BD18">IF(OR(AK18:BC18="SI"),"Critico","No Critico")</f>
        <v>No Critico</v>
      </c>
    </row>
    <row r="19" spans="1:56" ht="33.75">
      <c r="A19" s="63" t="e">
        <f>Inicial!#REF!</f>
        <v>#REF!</v>
      </c>
      <c r="B19" s="64" t="e">
        <f>Inicial!#REF!</f>
        <v>#REF!</v>
      </c>
      <c r="C19" s="64" t="e">
        <f>Inicial!#REF!</f>
        <v>#REF!</v>
      </c>
      <c r="D19" s="65" t="e">
        <f>Inicial!#REF!</f>
        <v>#REF!</v>
      </c>
      <c r="E19" s="63" t="e">
        <f>IF(Inicial!#REF!="SI",Inicial!#REF!,"N/A")</f>
        <v>#REF!</v>
      </c>
      <c r="F19" s="64" t="e">
        <f>IF(Inicial!#REF!="SI",Inicial!#REF!,"N/A")</f>
        <v>#REF!</v>
      </c>
      <c r="G19" s="64" t="e">
        <f>IF(Inicial!#REF!="SI",Inicial!#REF!,"N/A")</f>
        <v>#REF!</v>
      </c>
      <c r="H19" s="64" t="e">
        <f>IF(Inicial!#REF!="SI",Inicial!#REF!,"N/A")</f>
        <v>#REF!</v>
      </c>
      <c r="I19" s="66" t="e">
        <f>IF(Inicial!#REF!="SI",Inicial!#REF!,"N/A")</f>
        <v>#REF!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2" t="str" cm="1">
        <f t="array" ref="AG19">IF(OR(M19:AF19="NO"),"No aceptable","Aceptable")</f>
        <v>Aceptable</v>
      </c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3" t="str" cm="1">
        <f t="array" ref="BD19">IF(OR(AK19:BC19="SI"),"Critico","No Critico")</f>
        <v>No Critico</v>
      </c>
    </row>
    <row r="20" spans="1:56" ht="33.75">
      <c r="A20" s="63" t="e">
        <f>Inicial!#REF!</f>
        <v>#REF!</v>
      </c>
      <c r="B20" s="64" t="e">
        <f>Inicial!#REF!</f>
        <v>#REF!</v>
      </c>
      <c r="C20" s="64" t="e">
        <f>Inicial!#REF!</f>
        <v>#REF!</v>
      </c>
      <c r="D20" s="65" t="e">
        <f>Inicial!#REF!</f>
        <v>#REF!</v>
      </c>
      <c r="E20" s="63" t="e">
        <f>IF(Inicial!#REF!="SI",Inicial!#REF!,"N/A")</f>
        <v>#REF!</v>
      </c>
      <c r="F20" s="64" t="e">
        <f>IF(Inicial!#REF!="SI",Inicial!#REF!,"N/A")</f>
        <v>#REF!</v>
      </c>
      <c r="G20" s="64" t="e">
        <f>IF(Inicial!#REF!="SI",Inicial!#REF!,"N/A")</f>
        <v>#REF!</v>
      </c>
      <c r="H20" s="64" t="e">
        <f>IF(Inicial!#REF!="SI",Inicial!#REF!,"N/A")</f>
        <v>#REF!</v>
      </c>
      <c r="I20" s="66" t="e">
        <f>IF(Inicial!#REF!="SI",Inicial!#REF!,"N/A")</f>
        <v>#REF!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2" t="str" cm="1">
        <f t="array" ref="AG20">IF(OR(M20:AF20="NO"),"No aceptable","Aceptable")</f>
        <v>Aceptable</v>
      </c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3" t="str" cm="1">
        <f t="array" ref="BD20">IF(OR(AK20:BC20="SI"),"Critico","No Critico")</f>
        <v>No Critico</v>
      </c>
    </row>
    <row r="21" spans="1:56" ht="33.75">
      <c r="A21" s="63" t="e">
        <f>Inicial!#REF!</f>
        <v>#REF!</v>
      </c>
      <c r="B21" s="64" t="e">
        <f>Inicial!#REF!</f>
        <v>#REF!</v>
      </c>
      <c r="C21" s="64" t="e">
        <f>Inicial!#REF!</f>
        <v>#REF!</v>
      </c>
      <c r="D21" s="65" t="e">
        <f>Inicial!#REF!</f>
        <v>#REF!</v>
      </c>
      <c r="E21" s="63" t="e">
        <f>IF(Inicial!#REF!="SI",Inicial!#REF!,"N/A")</f>
        <v>#REF!</v>
      </c>
      <c r="F21" s="64" t="e">
        <f>IF(Inicial!#REF!="SI",Inicial!#REF!,"N/A")</f>
        <v>#REF!</v>
      </c>
      <c r="G21" s="64" t="e">
        <f>IF(Inicial!#REF!="SI",Inicial!#REF!,"N/A")</f>
        <v>#REF!</v>
      </c>
      <c r="H21" s="64" t="e">
        <f>IF(Inicial!#REF!="SI",Inicial!#REF!,"N/A")</f>
        <v>#REF!</v>
      </c>
      <c r="I21" s="66" t="e">
        <f>IF(Inicial!#REF!="SI",Inicial!#REF!,"N/A")</f>
        <v>#REF!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 t="str" cm="1">
        <f t="array" ref="AG21">IF(OR(M21:AF21="NO"),"No aceptable","Aceptable")</f>
        <v>Aceptable</v>
      </c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3" t="str" cm="1">
        <f t="array" ref="BD21">IF(OR(AK21:BC21="SI"),"Critico","No Critico")</f>
        <v>No Critico</v>
      </c>
    </row>
    <row r="22" spans="1:56" ht="33.75">
      <c r="A22" s="63" t="e">
        <f>Inicial!#REF!</f>
        <v>#REF!</v>
      </c>
      <c r="B22" s="64" t="e">
        <f>Inicial!#REF!</f>
        <v>#REF!</v>
      </c>
      <c r="C22" s="64" t="e">
        <f>Inicial!#REF!</f>
        <v>#REF!</v>
      </c>
      <c r="D22" s="65" t="e">
        <f>Inicial!#REF!</f>
        <v>#REF!</v>
      </c>
      <c r="E22" s="63" t="e">
        <f>IF(Inicial!#REF!="SI",Inicial!#REF!,"N/A")</f>
        <v>#REF!</v>
      </c>
      <c r="F22" s="64" t="e">
        <f>IF(Inicial!#REF!="SI",Inicial!#REF!,"N/A")</f>
        <v>#REF!</v>
      </c>
      <c r="G22" s="64" t="e">
        <f>IF(Inicial!#REF!="SI",Inicial!#REF!,"N/A")</f>
        <v>#REF!</v>
      </c>
      <c r="H22" s="64" t="e">
        <f>IF(Inicial!#REF!="SI",Inicial!#REF!,"N/A")</f>
        <v>#REF!</v>
      </c>
      <c r="I22" s="66" t="e">
        <f>IF(Inicial!#REF!="SI",Inicial!#REF!,"N/A")</f>
        <v>#REF!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2" t="str" cm="1">
        <f t="array" ref="AG22">IF(OR(M22:AF22="NO"),"No aceptable","Aceptable")</f>
        <v>Aceptable</v>
      </c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3" t="str" cm="1">
        <f t="array" ref="BD22">IF(OR(AK22:BC22="SI"),"Critico","No Critico")</f>
        <v>No Critico</v>
      </c>
    </row>
    <row r="23" spans="1:56" ht="33.75">
      <c r="A23" s="63" t="e">
        <f>Inicial!#REF!</f>
        <v>#REF!</v>
      </c>
      <c r="B23" s="64" t="e">
        <f>Inicial!#REF!</f>
        <v>#REF!</v>
      </c>
      <c r="C23" s="64" t="e">
        <f>Inicial!#REF!</f>
        <v>#REF!</v>
      </c>
      <c r="D23" s="65" t="e">
        <f>Inicial!#REF!</f>
        <v>#REF!</v>
      </c>
      <c r="E23" s="63" t="e">
        <f>IF(Inicial!#REF!="SI",Inicial!#REF!,"N/A")</f>
        <v>#REF!</v>
      </c>
      <c r="F23" s="64" t="e">
        <f>IF(Inicial!#REF!="SI",Inicial!#REF!,"N/A")</f>
        <v>#REF!</v>
      </c>
      <c r="G23" s="64" t="e">
        <f>IF(Inicial!#REF!="SI",Inicial!#REF!,"N/A")</f>
        <v>#REF!</v>
      </c>
      <c r="H23" s="64" t="e">
        <f>IF(Inicial!#REF!="SI",Inicial!#REF!,"N/A")</f>
        <v>#REF!</v>
      </c>
      <c r="I23" s="66" t="e">
        <f>IF(Inicial!#REF!="SI",Inicial!#REF!,"N/A")</f>
        <v>#REF!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2" t="str" cm="1">
        <f t="array" ref="AG23">IF(OR(M23:AF23="NO"),"No aceptable","Aceptable")</f>
        <v>Aceptable</v>
      </c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3" t="str" cm="1">
        <f t="array" ref="BD23">IF(OR(AK23:BC23="SI"),"Critico","No Critico")</f>
        <v>No Critico</v>
      </c>
    </row>
    <row r="24" spans="1:56" ht="33.75">
      <c r="A24" s="63" t="e">
        <f>Inicial!#REF!</f>
        <v>#REF!</v>
      </c>
      <c r="B24" s="64" t="e">
        <f>Inicial!#REF!</f>
        <v>#REF!</v>
      </c>
      <c r="C24" s="64" t="e">
        <f>Inicial!#REF!</f>
        <v>#REF!</v>
      </c>
      <c r="D24" s="65" t="e">
        <f>Inicial!#REF!</f>
        <v>#REF!</v>
      </c>
      <c r="E24" s="63" t="e">
        <f>IF(Inicial!#REF!="SI",Inicial!#REF!,"N/A")</f>
        <v>#REF!</v>
      </c>
      <c r="F24" s="64" t="e">
        <f>IF(Inicial!#REF!="SI",Inicial!#REF!,"N/A")</f>
        <v>#REF!</v>
      </c>
      <c r="G24" s="64" t="e">
        <f>IF(Inicial!#REF!="SI",Inicial!#REF!,"N/A")</f>
        <v>#REF!</v>
      </c>
      <c r="H24" s="64" t="e">
        <f>IF(Inicial!#REF!="SI",Inicial!#REF!,"N/A")</f>
        <v>#REF!</v>
      </c>
      <c r="I24" s="66" t="e">
        <f>IF(Inicial!#REF!="SI",Inicial!#REF!,"N/A")</f>
        <v>#REF!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2" t="str" cm="1">
        <f t="array" ref="AG24">IF(OR(M24:AF24="NO"),"No aceptable","Aceptable")</f>
        <v>Aceptable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3" t="str" cm="1">
        <f t="array" ref="BD24">IF(OR(AK24:BC24="SI"),"Critico","No Critico")</f>
        <v>No Critico</v>
      </c>
    </row>
    <row r="25" spans="1:56" ht="33.75">
      <c r="A25" s="63" t="e">
        <f>Inicial!#REF!</f>
        <v>#REF!</v>
      </c>
      <c r="B25" s="64" t="e">
        <f>Inicial!#REF!</f>
        <v>#REF!</v>
      </c>
      <c r="C25" s="64" t="e">
        <f>Inicial!#REF!</f>
        <v>#REF!</v>
      </c>
      <c r="D25" s="65" t="e">
        <f>Inicial!#REF!</f>
        <v>#REF!</v>
      </c>
      <c r="E25" s="63" t="e">
        <f>IF(Inicial!#REF!="SI",Inicial!#REF!,"N/A")</f>
        <v>#REF!</v>
      </c>
      <c r="F25" s="64" t="e">
        <f>IF(Inicial!#REF!="SI",Inicial!#REF!,"N/A")</f>
        <v>#REF!</v>
      </c>
      <c r="G25" s="64" t="e">
        <f>IF(Inicial!#REF!="SI",Inicial!#REF!,"N/A")</f>
        <v>#REF!</v>
      </c>
      <c r="H25" s="64" t="e">
        <f>IF(Inicial!#REF!="SI",Inicial!#REF!,"N/A")</f>
        <v>#REF!</v>
      </c>
      <c r="I25" s="66" t="e">
        <f>IF(Inicial!#REF!="SI",Inicial!#REF!,"N/A")</f>
        <v>#REF!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2" t="str" cm="1">
        <f t="array" ref="AG25">IF(OR(M25:AF25="NO"),"No aceptable","Aceptable")</f>
        <v>Aceptable</v>
      </c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3" t="str" cm="1">
        <f t="array" ref="BD25">IF(OR(AK25:BC25="SI"),"Critico","No Critico")</f>
        <v>No Critico</v>
      </c>
    </row>
    <row r="26" spans="1:56" ht="33.75">
      <c r="A26" s="63" t="e">
        <f>Inicial!#REF!</f>
        <v>#REF!</v>
      </c>
      <c r="B26" s="64" t="e">
        <f>Inicial!#REF!</f>
        <v>#REF!</v>
      </c>
      <c r="C26" s="64" t="e">
        <f>Inicial!#REF!</f>
        <v>#REF!</v>
      </c>
      <c r="D26" s="65" t="e">
        <f>Inicial!#REF!</f>
        <v>#REF!</v>
      </c>
      <c r="E26" s="63" t="e">
        <f>IF(Inicial!#REF!="SI",Inicial!#REF!,"N/A")</f>
        <v>#REF!</v>
      </c>
      <c r="F26" s="64" t="e">
        <f>IF(Inicial!#REF!="SI",Inicial!#REF!,"N/A")</f>
        <v>#REF!</v>
      </c>
      <c r="G26" s="64" t="e">
        <f>IF(Inicial!#REF!="SI",Inicial!#REF!,"N/A")</f>
        <v>#REF!</v>
      </c>
      <c r="H26" s="64" t="e">
        <f>IF(Inicial!#REF!="SI",Inicial!#REF!,"N/A")</f>
        <v>#REF!</v>
      </c>
      <c r="I26" s="66" t="e">
        <f>IF(Inicial!#REF!="SI",Inicial!#REF!,"N/A")</f>
        <v>#REF!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2" t="str" cm="1">
        <f t="array" ref="AG26">IF(OR(M26:AF26="NO"),"No aceptable","Aceptable")</f>
        <v>Aceptable</v>
      </c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3" t="str" cm="1">
        <f t="array" ref="BD26">IF(OR(AK26:BC26="SI"),"Critico","No Critico")</f>
        <v>No Critico</v>
      </c>
    </row>
    <row r="27" spans="1:56" ht="33.75">
      <c r="A27" s="63" t="e">
        <f>Inicial!#REF!</f>
        <v>#REF!</v>
      </c>
      <c r="B27" s="64" t="e">
        <f>Inicial!#REF!</f>
        <v>#REF!</v>
      </c>
      <c r="C27" s="64" t="e">
        <f>Inicial!#REF!</f>
        <v>#REF!</v>
      </c>
      <c r="D27" s="65" t="e">
        <f>Inicial!#REF!</f>
        <v>#REF!</v>
      </c>
      <c r="E27" s="63" t="e">
        <f>IF(Inicial!#REF!="SI",Inicial!#REF!,"N/A")</f>
        <v>#REF!</v>
      </c>
      <c r="F27" s="64" t="e">
        <f>IF(Inicial!#REF!="SI",Inicial!#REF!,"N/A")</f>
        <v>#REF!</v>
      </c>
      <c r="G27" s="64" t="e">
        <f>IF(Inicial!#REF!="SI",Inicial!#REF!,"N/A")</f>
        <v>#REF!</v>
      </c>
      <c r="H27" s="64" t="e">
        <f>IF(Inicial!#REF!="SI",Inicial!#REF!,"N/A")</f>
        <v>#REF!</v>
      </c>
      <c r="I27" s="66" t="e">
        <f>IF(Inicial!#REF!="SI",Inicial!#REF!,"N/A")</f>
        <v>#REF!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2" t="str" cm="1">
        <f t="array" ref="AG27">IF(OR(M27:AF27="NO"),"No aceptable","Aceptable")</f>
        <v>Aceptable</v>
      </c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3" t="str" cm="1">
        <f t="array" ref="BD27">IF(OR(AK27:BC27="SI"),"Critico","No Critico")</f>
        <v>No Critico</v>
      </c>
    </row>
    <row r="28" spans="1:56" ht="33.75">
      <c r="A28" s="63" t="e">
        <f>Inicial!#REF!</f>
        <v>#REF!</v>
      </c>
      <c r="B28" s="64" t="e">
        <f>Inicial!#REF!</f>
        <v>#REF!</v>
      </c>
      <c r="C28" s="64" t="e">
        <f>Inicial!#REF!</f>
        <v>#REF!</v>
      </c>
      <c r="D28" s="65" t="e">
        <f>Inicial!#REF!</f>
        <v>#REF!</v>
      </c>
      <c r="E28" s="63" t="e">
        <f>IF(Inicial!#REF!="SI",Inicial!#REF!,"N/A")</f>
        <v>#REF!</v>
      </c>
      <c r="F28" s="64" t="e">
        <f>IF(Inicial!#REF!="SI",Inicial!#REF!,"N/A")</f>
        <v>#REF!</v>
      </c>
      <c r="G28" s="64" t="e">
        <f>IF(Inicial!#REF!="SI",Inicial!#REF!,"N/A")</f>
        <v>#REF!</v>
      </c>
      <c r="H28" s="64" t="e">
        <f>IF(Inicial!#REF!="SI",Inicial!#REF!,"N/A")</f>
        <v>#REF!</v>
      </c>
      <c r="I28" s="66" t="e">
        <f>IF(Inicial!#REF!="SI",Inicial!#REF!,"N/A")</f>
        <v>#REF!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2" t="str" cm="1">
        <f t="array" ref="AG28">IF(OR(M28:AF28="NO"),"No aceptable","Aceptable")</f>
        <v>Aceptable</v>
      </c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3" t="str" cm="1">
        <f t="array" ref="BD28">IF(OR(AK28:BC28="SI"),"Critico","No Critico")</f>
        <v>No Critico</v>
      </c>
    </row>
    <row r="29" spans="1:56" ht="33.75">
      <c r="A29" s="63" t="e">
        <f>Inicial!#REF!</f>
        <v>#REF!</v>
      </c>
      <c r="B29" s="64" t="e">
        <f>Inicial!#REF!</f>
        <v>#REF!</v>
      </c>
      <c r="C29" s="64" t="e">
        <f>Inicial!#REF!</f>
        <v>#REF!</v>
      </c>
      <c r="D29" s="65" t="e">
        <f>Inicial!#REF!</f>
        <v>#REF!</v>
      </c>
      <c r="E29" s="63" t="e">
        <f>IF(Inicial!#REF!="SI",Inicial!#REF!,"N/A")</f>
        <v>#REF!</v>
      </c>
      <c r="F29" s="64" t="e">
        <f>IF(Inicial!#REF!="SI",Inicial!#REF!,"N/A")</f>
        <v>#REF!</v>
      </c>
      <c r="G29" s="64" t="e">
        <f>IF(Inicial!#REF!="SI",Inicial!#REF!,"N/A")</f>
        <v>#REF!</v>
      </c>
      <c r="H29" s="64" t="e">
        <f>IF(Inicial!#REF!="SI",Inicial!#REF!,"N/A")</f>
        <v>#REF!</v>
      </c>
      <c r="I29" s="66" t="e">
        <f>IF(Inicial!#REF!="SI",Inicial!#REF!,"N/A")</f>
        <v>#REF!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 t="str" cm="1">
        <f t="array" ref="AG29">IF(OR(M29:AF29="NO"),"No aceptable","Aceptable")</f>
        <v>Aceptable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3" t="str" cm="1">
        <f t="array" ref="BD29">IF(OR(AK29:BC29="SI"),"Critico","No Critico")</f>
        <v>No Critico</v>
      </c>
    </row>
    <row r="30" spans="1:56" ht="33.75">
      <c r="A30" s="63" t="e">
        <f>Inicial!#REF!</f>
        <v>#REF!</v>
      </c>
      <c r="B30" s="64" t="e">
        <f>Inicial!#REF!</f>
        <v>#REF!</v>
      </c>
      <c r="C30" s="64" t="e">
        <f>Inicial!#REF!</f>
        <v>#REF!</v>
      </c>
      <c r="D30" s="65" t="e">
        <f>Inicial!#REF!</f>
        <v>#REF!</v>
      </c>
      <c r="E30" s="63" t="e">
        <f>IF(Inicial!#REF!="SI",Inicial!#REF!,"N/A")</f>
        <v>#REF!</v>
      </c>
      <c r="F30" s="64" t="e">
        <f>IF(Inicial!#REF!="SI",Inicial!#REF!,"N/A")</f>
        <v>#REF!</v>
      </c>
      <c r="G30" s="64" t="e">
        <f>IF(Inicial!#REF!="SI",Inicial!#REF!,"N/A")</f>
        <v>#REF!</v>
      </c>
      <c r="H30" s="64" t="e">
        <f>IF(Inicial!#REF!="SI",Inicial!#REF!,"N/A")</f>
        <v>#REF!</v>
      </c>
      <c r="I30" s="66" t="e">
        <f>IF(Inicial!#REF!="SI",Inicial!#REF!,"N/A")</f>
        <v>#REF!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 t="str" cm="1">
        <f t="array" ref="AG30">IF(OR(M30:AF30="NO"),"No aceptable","Aceptable")</f>
        <v>Aceptable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3" t="str" cm="1">
        <f t="array" ref="BD30">IF(OR(AK30:BC30="SI"),"Critico","No Critico")</f>
        <v>No Critico</v>
      </c>
    </row>
    <row r="31" spans="1:56" ht="33.75">
      <c r="A31" s="63" t="e">
        <f>Inicial!#REF!</f>
        <v>#REF!</v>
      </c>
      <c r="B31" s="64" t="e">
        <f>Inicial!#REF!</f>
        <v>#REF!</v>
      </c>
      <c r="C31" s="64" t="e">
        <f>Inicial!#REF!</f>
        <v>#REF!</v>
      </c>
      <c r="D31" s="65" t="e">
        <f>Inicial!#REF!</f>
        <v>#REF!</v>
      </c>
      <c r="E31" s="63" t="e">
        <f>IF(Inicial!#REF!="SI",Inicial!#REF!,"N/A")</f>
        <v>#REF!</v>
      </c>
      <c r="F31" s="64" t="e">
        <f>IF(Inicial!#REF!="SI",Inicial!#REF!,"N/A")</f>
        <v>#REF!</v>
      </c>
      <c r="G31" s="64" t="e">
        <f>IF(Inicial!#REF!="SI",Inicial!#REF!,"N/A")</f>
        <v>#REF!</v>
      </c>
      <c r="H31" s="64" t="e">
        <f>IF(Inicial!#REF!="SI",Inicial!#REF!,"N/A")</f>
        <v>#REF!</v>
      </c>
      <c r="I31" s="66" t="e">
        <f>IF(Inicial!#REF!="SI",Inicial!#REF!,"N/A")</f>
        <v>#REF!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2" t="str" cm="1">
        <f t="array" ref="AG31">IF(OR(M31:AF31="NO"),"No aceptable","Aceptable")</f>
        <v>Aceptable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3" t="str" cm="1">
        <f t="array" ref="BD31">IF(OR(AK31:BC31="SI"),"Critico","No Critico")</f>
        <v>No Critico</v>
      </c>
    </row>
    <row r="32" spans="1:56" ht="33.75">
      <c r="A32" s="63" t="e">
        <f>Inicial!#REF!</f>
        <v>#REF!</v>
      </c>
      <c r="B32" s="64" t="e">
        <f>Inicial!#REF!</f>
        <v>#REF!</v>
      </c>
      <c r="C32" s="64" t="e">
        <f>Inicial!#REF!</f>
        <v>#REF!</v>
      </c>
      <c r="D32" s="65" t="e">
        <f>Inicial!#REF!</f>
        <v>#REF!</v>
      </c>
      <c r="E32" s="63" t="e">
        <f>IF(Inicial!#REF!="SI",Inicial!#REF!,"N/A")</f>
        <v>#REF!</v>
      </c>
      <c r="F32" s="64" t="e">
        <f>IF(Inicial!#REF!="SI",Inicial!#REF!,"N/A")</f>
        <v>#REF!</v>
      </c>
      <c r="G32" s="64" t="e">
        <f>IF(Inicial!#REF!="SI",Inicial!#REF!,"N/A")</f>
        <v>#REF!</v>
      </c>
      <c r="H32" s="64" t="e">
        <f>IF(Inicial!#REF!="SI",Inicial!#REF!,"N/A")</f>
        <v>#REF!</v>
      </c>
      <c r="I32" s="66" t="e">
        <f>IF(Inicial!#REF!="SI",Inicial!#REF!,"N/A")</f>
        <v>#REF!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2" t="str" cm="1">
        <f t="array" ref="AG32">IF(OR(M32:AF32="NO"),"No aceptable","Aceptable")</f>
        <v>Aceptable</v>
      </c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3" t="str" cm="1">
        <f t="array" ref="BD32">IF(OR(AK32:BC32="SI"),"Critico","No Critico")</f>
        <v>No Critico</v>
      </c>
    </row>
    <row r="33" spans="1:56" ht="33.75">
      <c r="A33" s="63" t="e">
        <f>Inicial!#REF!</f>
        <v>#REF!</v>
      </c>
      <c r="B33" s="64" t="e">
        <f>Inicial!#REF!</f>
        <v>#REF!</v>
      </c>
      <c r="C33" s="64" t="e">
        <f>Inicial!#REF!</f>
        <v>#REF!</v>
      </c>
      <c r="D33" s="65" t="e">
        <f>Inicial!#REF!</f>
        <v>#REF!</v>
      </c>
      <c r="E33" s="63" t="e">
        <f>IF(Inicial!#REF!="SI",Inicial!#REF!,"N/A")</f>
        <v>#REF!</v>
      </c>
      <c r="F33" s="64" t="e">
        <f>IF(Inicial!#REF!="SI",Inicial!#REF!,"N/A")</f>
        <v>#REF!</v>
      </c>
      <c r="G33" s="64" t="e">
        <f>IF(Inicial!#REF!="SI",Inicial!#REF!,"N/A")</f>
        <v>#REF!</v>
      </c>
      <c r="H33" s="64" t="e">
        <f>IF(Inicial!#REF!="SI",Inicial!#REF!,"N/A")</f>
        <v>#REF!</v>
      </c>
      <c r="I33" s="66" t="e">
        <f>IF(Inicial!#REF!="SI",Inicial!#REF!,"N/A")</f>
        <v>#REF!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 t="str" cm="1">
        <f t="array" ref="AG33">IF(OR(M33:AF33="NO"),"No aceptable","Aceptable")</f>
        <v>Aceptable</v>
      </c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3" t="str" cm="1">
        <f t="array" ref="BD33">IF(OR(AK33:BC33="SI"),"Critico","No Critico")</f>
        <v>No Critico</v>
      </c>
    </row>
    <row r="34" spans="1:56" ht="33.75">
      <c r="A34" s="63" t="e">
        <f>Inicial!#REF!</f>
        <v>#REF!</v>
      </c>
      <c r="B34" s="64" t="e">
        <f>Inicial!#REF!</f>
        <v>#REF!</v>
      </c>
      <c r="C34" s="64" t="e">
        <f>Inicial!#REF!</f>
        <v>#REF!</v>
      </c>
      <c r="D34" s="65" t="e">
        <f>Inicial!#REF!</f>
        <v>#REF!</v>
      </c>
      <c r="E34" s="63" t="e">
        <f>IF(Inicial!#REF!="SI",Inicial!#REF!,"N/A")</f>
        <v>#REF!</v>
      </c>
      <c r="F34" s="64" t="e">
        <f>IF(Inicial!#REF!="SI",Inicial!#REF!,"N/A")</f>
        <v>#REF!</v>
      </c>
      <c r="G34" s="64" t="e">
        <f>IF(Inicial!#REF!="SI",Inicial!#REF!,"N/A")</f>
        <v>#REF!</v>
      </c>
      <c r="H34" s="64" t="e">
        <f>IF(Inicial!#REF!="SI",Inicial!#REF!,"N/A")</f>
        <v>#REF!</v>
      </c>
      <c r="I34" s="66" t="e">
        <f>IF(Inicial!#REF!="SI",Inicial!#REF!,"N/A")</f>
        <v>#REF!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2" t="str" cm="1">
        <f t="array" ref="AG34">IF(OR(M34:AF34="NO"),"No aceptable","Aceptable")</f>
        <v>Aceptable</v>
      </c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3" t="str" cm="1">
        <f t="array" ref="BD34">IF(OR(AK34:BC34="SI"),"Critico","No Critico")</f>
        <v>No Critico</v>
      </c>
    </row>
    <row r="35" spans="1:56" ht="33.75">
      <c r="A35" s="63" t="e">
        <f>Inicial!#REF!</f>
        <v>#REF!</v>
      </c>
      <c r="B35" s="64" t="e">
        <f>Inicial!#REF!</f>
        <v>#REF!</v>
      </c>
      <c r="C35" s="64" t="e">
        <f>Inicial!#REF!</f>
        <v>#REF!</v>
      </c>
      <c r="D35" s="65" t="e">
        <f>Inicial!#REF!</f>
        <v>#REF!</v>
      </c>
      <c r="E35" s="63" t="e">
        <f>IF(Inicial!#REF!="SI",Inicial!#REF!,"N/A")</f>
        <v>#REF!</v>
      </c>
      <c r="F35" s="64" t="e">
        <f>IF(Inicial!#REF!="SI",Inicial!#REF!,"N/A")</f>
        <v>#REF!</v>
      </c>
      <c r="G35" s="64" t="e">
        <f>IF(Inicial!#REF!="SI",Inicial!#REF!,"N/A")</f>
        <v>#REF!</v>
      </c>
      <c r="H35" s="64" t="e">
        <f>IF(Inicial!#REF!="SI",Inicial!#REF!,"N/A")</f>
        <v>#REF!</v>
      </c>
      <c r="I35" s="66" t="e">
        <f>IF(Inicial!#REF!="SI",Inicial!#REF!,"N/A")</f>
        <v>#REF!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2" t="str" cm="1">
        <f t="array" ref="AG35">IF(OR(M35:AF35="NO"),"No aceptable","Aceptable")</f>
        <v>Aceptable</v>
      </c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3" t="str" cm="1">
        <f t="array" ref="BD35">IF(OR(AK35:BC35="SI"),"Critico","No Critico")</f>
        <v>No Critico</v>
      </c>
    </row>
    <row r="36" spans="1:56" ht="33.75">
      <c r="A36" s="63" t="e">
        <f>Inicial!#REF!</f>
        <v>#REF!</v>
      </c>
      <c r="B36" s="64" t="e">
        <f>Inicial!#REF!</f>
        <v>#REF!</v>
      </c>
      <c r="C36" s="64" t="e">
        <f>Inicial!#REF!</f>
        <v>#REF!</v>
      </c>
      <c r="D36" s="65" t="e">
        <f>Inicial!#REF!</f>
        <v>#REF!</v>
      </c>
      <c r="E36" s="63" t="e">
        <f>IF(Inicial!#REF!="SI",Inicial!#REF!,"N/A")</f>
        <v>#REF!</v>
      </c>
      <c r="F36" s="64" t="e">
        <f>IF(Inicial!#REF!="SI",Inicial!#REF!,"N/A")</f>
        <v>#REF!</v>
      </c>
      <c r="G36" s="64" t="e">
        <f>IF(Inicial!#REF!="SI",Inicial!#REF!,"N/A")</f>
        <v>#REF!</v>
      </c>
      <c r="H36" s="64" t="e">
        <f>IF(Inicial!#REF!="SI",Inicial!#REF!,"N/A")</f>
        <v>#REF!</v>
      </c>
      <c r="I36" s="66" t="e">
        <f>IF(Inicial!#REF!="SI",Inicial!#REF!,"N/A")</f>
        <v>#REF!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2" t="str" cm="1">
        <f t="array" ref="AG36">IF(OR(M36:AF36="NO"),"No aceptable","Aceptable")</f>
        <v>Aceptable</v>
      </c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3" t="str" cm="1">
        <f t="array" ref="BD36">IF(OR(AK36:BC36="SI"),"Critico","No Critico")</f>
        <v>No Critico</v>
      </c>
    </row>
    <row r="37" spans="1:56" ht="33.75">
      <c r="A37" s="63" t="e">
        <f>Inicial!#REF!</f>
        <v>#REF!</v>
      </c>
      <c r="B37" s="64" t="e">
        <f>Inicial!#REF!</f>
        <v>#REF!</v>
      </c>
      <c r="C37" s="64" t="e">
        <f>Inicial!#REF!</f>
        <v>#REF!</v>
      </c>
      <c r="D37" s="65" t="e">
        <f>Inicial!#REF!</f>
        <v>#REF!</v>
      </c>
      <c r="E37" s="63" t="e">
        <f>IF(Inicial!#REF!="SI",Inicial!#REF!,"N/A")</f>
        <v>#REF!</v>
      </c>
      <c r="F37" s="64" t="e">
        <f>IF(Inicial!#REF!="SI",Inicial!#REF!,"N/A")</f>
        <v>#REF!</v>
      </c>
      <c r="G37" s="64" t="e">
        <f>IF(Inicial!#REF!="SI",Inicial!#REF!,"N/A")</f>
        <v>#REF!</v>
      </c>
      <c r="H37" s="64" t="e">
        <f>IF(Inicial!#REF!="SI",Inicial!#REF!,"N/A")</f>
        <v>#REF!</v>
      </c>
      <c r="I37" s="66" t="e">
        <f>IF(Inicial!#REF!="SI",Inicial!#REF!,"N/A")</f>
        <v>#REF!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2" t="str" cm="1">
        <f t="array" ref="AG37">IF(OR(M37:AF37="NO"),"No aceptable","Aceptable")</f>
        <v>Aceptable</v>
      </c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3" t="str" cm="1">
        <f t="array" ref="BD37">IF(OR(AK37:BC37="SI"),"Critico","No Critico")</f>
        <v>No Critico</v>
      </c>
    </row>
    <row r="38" spans="1:56" ht="33.75">
      <c r="A38" s="63" t="e">
        <f>Inicial!#REF!</f>
        <v>#REF!</v>
      </c>
      <c r="B38" s="64" t="e">
        <f>Inicial!#REF!</f>
        <v>#REF!</v>
      </c>
      <c r="C38" s="64" t="e">
        <f>Inicial!#REF!</f>
        <v>#REF!</v>
      </c>
      <c r="D38" s="65" t="e">
        <f>Inicial!#REF!</f>
        <v>#REF!</v>
      </c>
      <c r="E38" s="63" t="e">
        <f>IF(Inicial!#REF!="SI",Inicial!#REF!,"N/A")</f>
        <v>#REF!</v>
      </c>
      <c r="F38" s="64" t="e">
        <f>IF(Inicial!#REF!="SI",Inicial!#REF!,"N/A")</f>
        <v>#REF!</v>
      </c>
      <c r="G38" s="64" t="e">
        <f>IF(Inicial!#REF!="SI",Inicial!#REF!,"N/A")</f>
        <v>#REF!</v>
      </c>
      <c r="H38" s="64" t="e">
        <f>IF(Inicial!#REF!="SI",Inicial!#REF!,"N/A")</f>
        <v>#REF!</v>
      </c>
      <c r="I38" s="66" t="e">
        <f>IF(Inicial!#REF!="SI",Inicial!#REF!,"N/A")</f>
        <v>#REF!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2" t="str" cm="1">
        <f t="array" ref="AG38">IF(OR(M38:AF38="NO"),"No aceptable","Aceptable")</f>
        <v>Aceptable</v>
      </c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3" t="str" cm="1">
        <f t="array" ref="BD38">IF(OR(AK38:BC38="SI"),"Critico","No Critico")</f>
        <v>No Critico</v>
      </c>
    </row>
    <row r="39" spans="1:56" ht="33.75">
      <c r="A39" s="63" t="e">
        <f>Inicial!#REF!</f>
        <v>#REF!</v>
      </c>
      <c r="B39" s="64" t="e">
        <f>Inicial!#REF!</f>
        <v>#REF!</v>
      </c>
      <c r="C39" s="64" t="e">
        <f>Inicial!#REF!</f>
        <v>#REF!</v>
      </c>
      <c r="D39" s="65" t="e">
        <f>Inicial!#REF!</f>
        <v>#REF!</v>
      </c>
      <c r="E39" s="63" t="e">
        <f>IF(Inicial!#REF!="SI",Inicial!#REF!,"N/A")</f>
        <v>#REF!</v>
      </c>
      <c r="F39" s="64" t="e">
        <f>IF(Inicial!#REF!="SI",Inicial!#REF!,"N/A")</f>
        <v>#REF!</v>
      </c>
      <c r="G39" s="64" t="e">
        <f>IF(Inicial!#REF!="SI",Inicial!#REF!,"N/A")</f>
        <v>#REF!</v>
      </c>
      <c r="H39" s="64" t="e">
        <f>IF(Inicial!#REF!="SI",Inicial!#REF!,"N/A")</f>
        <v>#REF!</v>
      </c>
      <c r="I39" s="66" t="e">
        <f>IF(Inicial!#REF!="SI",Inicial!#REF!,"N/A")</f>
        <v>#REF!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2" t="str" cm="1">
        <f t="array" ref="AG39">IF(OR(M39:AF39="NO"),"No aceptable","Aceptable")</f>
        <v>Aceptable</v>
      </c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3" t="str" cm="1">
        <f t="array" ref="BD39">IF(OR(AK39:BC39="SI"),"Critico","No Critico")</f>
        <v>No Critico</v>
      </c>
    </row>
    <row r="40" spans="1:56" ht="33.75">
      <c r="A40" s="63" t="e">
        <f>Inicial!#REF!</f>
        <v>#REF!</v>
      </c>
      <c r="B40" s="64" t="e">
        <f>Inicial!#REF!</f>
        <v>#REF!</v>
      </c>
      <c r="C40" s="64" t="e">
        <f>Inicial!#REF!</f>
        <v>#REF!</v>
      </c>
      <c r="D40" s="65" t="e">
        <f>Inicial!#REF!</f>
        <v>#REF!</v>
      </c>
      <c r="E40" s="63" t="e">
        <f>IF(Inicial!#REF!="SI",Inicial!#REF!,"N/A")</f>
        <v>#REF!</v>
      </c>
      <c r="F40" s="64" t="e">
        <f>IF(Inicial!#REF!="SI",Inicial!#REF!,"N/A")</f>
        <v>#REF!</v>
      </c>
      <c r="G40" s="64" t="e">
        <f>IF(Inicial!#REF!="SI",Inicial!#REF!,"N/A")</f>
        <v>#REF!</v>
      </c>
      <c r="H40" s="64" t="e">
        <f>IF(Inicial!#REF!="SI",Inicial!#REF!,"N/A")</f>
        <v>#REF!</v>
      </c>
      <c r="I40" s="66" t="e">
        <f>IF(Inicial!#REF!="SI",Inicial!#REF!,"N/A")</f>
        <v>#REF!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2" t="str" cm="1">
        <f t="array" ref="AG40">IF(OR(M40:AF40="NO"),"No aceptable","Aceptable")</f>
        <v>Aceptable</v>
      </c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3" t="str" cm="1">
        <f t="array" ref="BD40">IF(OR(AK40:BC40="SI"),"Critico","No Critico")</f>
        <v>No Critico</v>
      </c>
    </row>
    <row r="41" spans="1:56" ht="33.75">
      <c r="A41" s="63" t="e">
        <f>Inicial!#REF!</f>
        <v>#REF!</v>
      </c>
      <c r="B41" s="64" t="e">
        <f>Inicial!#REF!</f>
        <v>#REF!</v>
      </c>
      <c r="C41" s="64" t="e">
        <f>Inicial!#REF!</f>
        <v>#REF!</v>
      </c>
      <c r="D41" s="65" t="e">
        <f>Inicial!#REF!</f>
        <v>#REF!</v>
      </c>
      <c r="E41" s="63" t="e">
        <f>IF(Inicial!#REF!="SI",Inicial!#REF!,"N/A")</f>
        <v>#REF!</v>
      </c>
      <c r="F41" s="64" t="e">
        <f>IF(Inicial!#REF!="SI",Inicial!#REF!,"N/A")</f>
        <v>#REF!</v>
      </c>
      <c r="G41" s="64" t="e">
        <f>IF(Inicial!#REF!="SI",Inicial!#REF!,"N/A")</f>
        <v>#REF!</v>
      </c>
      <c r="H41" s="64" t="e">
        <f>IF(Inicial!#REF!="SI",Inicial!#REF!,"N/A")</f>
        <v>#REF!</v>
      </c>
      <c r="I41" s="66" t="e">
        <f>IF(Inicial!#REF!="SI",Inicial!#REF!,"N/A")</f>
        <v>#REF!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2" t="str" cm="1">
        <f t="array" ref="AG41">IF(OR(M41:AF41="NO"),"No aceptable","Aceptable")</f>
        <v>Aceptable</v>
      </c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3" t="str" cm="1">
        <f t="array" ref="BD41">IF(OR(AK41:BC41="SI"),"Critico","No Critico")</f>
        <v>No Critico</v>
      </c>
    </row>
    <row r="42" spans="1:56" ht="33.75">
      <c r="A42" s="63" t="e">
        <f>Inicial!#REF!</f>
        <v>#REF!</v>
      </c>
      <c r="B42" s="64" t="e">
        <f>Inicial!#REF!</f>
        <v>#REF!</v>
      </c>
      <c r="C42" s="64" t="e">
        <f>Inicial!#REF!</f>
        <v>#REF!</v>
      </c>
      <c r="D42" s="65" t="e">
        <f>Inicial!#REF!</f>
        <v>#REF!</v>
      </c>
      <c r="E42" s="63" t="e">
        <f>IF(Inicial!#REF!="SI",Inicial!#REF!,"N/A")</f>
        <v>#REF!</v>
      </c>
      <c r="F42" s="64" t="e">
        <f>IF(Inicial!#REF!="SI",Inicial!#REF!,"N/A")</f>
        <v>#REF!</v>
      </c>
      <c r="G42" s="64" t="e">
        <f>IF(Inicial!#REF!="SI",Inicial!#REF!,"N/A")</f>
        <v>#REF!</v>
      </c>
      <c r="H42" s="64" t="e">
        <f>IF(Inicial!#REF!="SI",Inicial!#REF!,"N/A")</f>
        <v>#REF!</v>
      </c>
      <c r="I42" s="66" t="e">
        <f>IF(Inicial!#REF!="SI",Inicial!#REF!,"N/A")</f>
        <v>#REF!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2" t="str" cm="1">
        <f t="array" ref="AG42">IF(OR(M42:AF42="NO"),"No aceptable","Aceptable")</f>
        <v>Aceptable</v>
      </c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3" t="str" cm="1">
        <f t="array" ref="BD42">IF(OR(AK42:BC42="SI"),"Critico","No Critico")</f>
        <v>No Critico</v>
      </c>
    </row>
    <row r="43" spans="1:56" ht="33.75">
      <c r="A43" s="63" t="e">
        <f>Inicial!#REF!</f>
        <v>#REF!</v>
      </c>
      <c r="B43" s="64" t="e">
        <f>Inicial!#REF!</f>
        <v>#REF!</v>
      </c>
      <c r="C43" s="64" t="e">
        <f>Inicial!#REF!</f>
        <v>#REF!</v>
      </c>
      <c r="D43" s="65" t="e">
        <f>Inicial!#REF!</f>
        <v>#REF!</v>
      </c>
      <c r="E43" s="63" t="e">
        <f>IF(Inicial!#REF!="SI",Inicial!#REF!,"N/A")</f>
        <v>#REF!</v>
      </c>
      <c r="F43" s="64" t="e">
        <f>IF(Inicial!#REF!="SI",Inicial!#REF!,"N/A")</f>
        <v>#REF!</v>
      </c>
      <c r="G43" s="64" t="e">
        <f>IF(Inicial!#REF!="SI",Inicial!#REF!,"N/A")</f>
        <v>#REF!</v>
      </c>
      <c r="H43" s="64" t="e">
        <f>IF(Inicial!#REF!="SI",Inicial!#REF!,"N/A")</f>
        <v>#REF!</v>
      </c>
      <c r="I43" s="66" t="e">
        <f>IF(Inicial!#REF!="SI",Inicial!#REF!,"N/A")</f>
        <v>#REF!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2" t="str" cm="1">
        <f t="array" ref="AG43">IF(OR(M43:AF43="NO"),"No aceptable","Aceptable")</f>
        <v>Aceptable</v>
      </c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3" t="str" cm="1">
        <f t="array" ref="BD43">IF(OR(AK43:BC43="SI"),"Critico","No Critico")</f>
        <v>No Critico</v>
      </c>
    </row>
    <row r="44" spans="1:56" ht="33.75">
      <c r="A44" s="63" t="e">
        <f>Inicial!#REF!</f>
        <v>#REF!</v>
      </c>
      <c r="B44" s="64" t="e">
        <f>Inicial!#REF!</f>
        <v>#REF!</v>
      </c>
      <c r="C44" s="64" t="e">
        <f>Inicial!#REF!</f>
        <v>#REF!</v>
      </c>
      <c r="D44" s="65" t="e">
        <f>Inicial!#REF!</f>
        <v>#REF!</v>
      </c>
      <c r="E44" s="63" t="e">
        <f>IF(Inicial!#REF!="SI",Inicial!#REF!,"N/A")</f>
        <v>#REF!</v>
      </c>
      <c r="F44" s="64" t="e">
        <f>IF(Inicial!#REF!="SI",Inicial!#REF!,"N/A")</f>
        <v>#REF!</v>
      </c>
      <c r="G44" s="64" t="e">
        <f>IF(Inicial!#REF!="SI",Inicial!#REF!,"N/A")</f>
        <v>#REF!</v>
      </c>
      <c r="H44" s="64" t="e">
        <f>IF(Inicial!#REF!="SI",Inicial!#REF!,"N/A")</f>
        <v>#REF!</v>
      </c>
      <c r="I44" s="66" t="e">
        <f>IF(Inicial!#REF!="SI",Inicial!#REF!,"N/A")</f>
        <v>#REF!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2" t="str" cm="1">
        <f t="array" ref="AG44">IF(OR(M44:AF44="NO"),"No aceptable","Aceptable")</f>
        <v>Aceptable</v>
      </c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3" t="str" cm="1">
        <f t="array" ref="BD44">IF(OR(AK44:BC44="SI"),"Critico","No Critico")</f>
        <v>No Critico</v>
      </c>
    </row>
    <row r="45" spans="1:56" ht="33.75">
      <c r="A45" s="63" t="e">
        <f>Inicial!#REF!</f>
        <v>#REF!</v>
      </c>
      <c r="B45" s="64" t="e">
        <f>Inicial!#REF!</f>
        <v>#REF!</v>
      </c>
      <c r="C45" s="64" t="e">
        <f>Inicial!#REF!</f>
        <v>#REF!</v>
      </c>
      <c r="D45" s="65" t="e">
        <f>Inicial!#REF!</f>
        <v>#REF!</v>
      </c>
      <c r="E45" s="63" t="e">
        <f>IF(Inicial!#REF!="SI",Inicial!#REF!,"N/A")</f>
        <v>#REF!</v>
      </c>
      <c r="F45" s="64" t="e">
        <f>IF(Inicial!#REF!="SI",Inicial!#REF!,"N/A")</f>
        <v>#REF!</v>
      </c>
      <c r="G45" s="64" t="e">
        <f>IF(Inicial!#REF!="SI",Inicial!#REF!,"N/A")</f>
        <v>#REF!</v>
      </c>
      <c r="H45" s="64" t="e">
        <f>IF(Inicial!#REF!="SI",Inicial!#REF!,"N/A")</f>
        <v>#REF!</v>
      </c>
      <c r="I45" s="66" t="e">
        <f>IF(Inicial!#REF!="SI",Inicial!#REF!,"N/A")</f>
        <v>#REF!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2" t="str" cm="1">
        <f t="array" ref="AG45">IF(OR(M45:AF45="NO"),"No aceptable","Aceptable")</f>
        <v>Aceptable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3" t="str" cm="1">
        <f t="array" ref="BD45">IF(OR(AK45:BC45="SI"),"Critico","No Critico")</f>
        <v>No Critico</v>
      </c>
    </row>
    <row r="46" spans="1:56" ht="33.75">
      <c r="A46" s="63" t="e">
        <f>Inicial!#REF!</f>
        <v>#REF!</v>
      </c>
      <c r="B46" s="64" t="e">
        <f>Inicial!#REF!</f>
        <v>#REF!</v>
      </c>
      <c r="C46" s="64" t="e">
        <f>Inicial!#REF!</f>
        <v>#REF!</v>
      </c>
      <c r="D46" s="65" t="e">
        <f>Inicial!#REF!</f>
        <v>#REF!</v>
      </c>
      <c r="E46" s="63" t="e">
        <f>IF(Inicial!#REF!="SI",Inicial!#REF!,"N/A")</f>
        <v>#REF!</v>
      </c>
      <c r="F46" s="64" t="e">
        <f>IF(Inicial!#REF!="SI",Inicial!#REF!,"N/A")</f>
        <v>#REF!</v>
      </c>
      <c r="G46" s="64" t="e">
        <f>IF(Inicial!#REF!="SI",Inicial!#REF!,"N/A")</f>
        <v>#REF!</v>
      </c>
      <c r="H46" s="64" t="e">
        <f>IF(Inicial!#REF!="SI",Inicial!#REF!,"N/A")</f>
        <v>#REF!</v>
      </c>
      <c r="I46" s="66" t="e">
        <f>IF(Inicial!#REF!="SI",Inicial!#REF!,"N/A")</f>
        <v>#REF!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2" t="str" cm="1">
        <f t="array" ref="AG46">IF(OR(M46:AF46="NO"),"No aceptable","Aceptable")</f>
        <v>Aceptable</v>
      </c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3" t="str" cm="1">
        <f t="array" ref="BD46">IF(OR(AK46:BC46="SI"),"Critico","No Critico")</f>
        <v>No Critico</v>
      </c>
    </row>
    <row r="47" spans="1:56" ht="33.75">
      <c r="A47" s="63" t="e">
        <f>Inicial!#REF!</f>
        <v>#REF!</v>
      </c>
      <c r="B47" s="64" t="e">
        <f>Inicial!#REF!</f>
        <v>#REF!</v>
      </c>
      <c r="C47" s="64" t="e">
        <f>Inicial!#REF!</f>
        <v>#REF!</v>
      </c>
      <c r="D47" s="65" t="e">
        <f>Inicial!#REF!</f>
        <v>#REF!</v>
      </c>
      <c r="E47" s="63" t="e">
        <f>IF(Inicial!#REF!="SI",Inicial!#REF!,"N/A")</f>
        <v>#REF!</v>
      </c>
      <c r="F47" s="64" t="e">
        <f>IF(Inicial!#REF!="SI",Inicial!#REF!,"N/A")</f>
        <v>#REF!</v>
      </c>
      <c r="G47" s="64" t="e">
        <f>IF(Inicial!#REF!="SI",Inicial!#REF!,"N/A")</f>
        <v>#REF!</v>
      </c>
      <c r="H47" s="64" t="e">
        <f>IF(Inicial!#REF!="SI",Inicial!#REF!,"N/A")</f>
        <v>#REF!</v>
      </c>
      <c r="I47" s="66" t="e">
        <f>IF(Inicial!#REF!="SI",Inicial!#REF!,"N/A")</f>
        <v>#REF!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2" t="str" cm="1">
        <f t="array" ref="AG47">IF(OR(M47:AF47="NO"),"No aceptable","Aceptable")</f>
        <v>Aceptable</v>
      </c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3" t="str" cm="1">
        <f t="array" ref="BD47">IF(OR(AK47:BC47="SI"),"Critico","No Critico")</f>
        <v>No Critico</v>
      </c>
    </row>
    <row r="48" spans="1:56" ht="33.75">
      <c r="A48" s="63">
        <f>Inicial!A10</f>
        <v>0</v>
      </c>
      <c r="B48" s="64">
        <f>Inicial!B10</f>
        <v>0</v>
      </c>
      <c r="C48" s="64">
        <f>Inicial!C10</f>
        <v>0</v>
      </c>
      <c r="D48" s="65">
        <f>Inicial!D10</f>
        <v>0</v>
      </c>
      <c r="E48" s="63" t="str">
        <f>IF(Inicial!L10="SI",Inicial!E10,"N/A")</f>
        <v>N/A</v>
      </c>
      <c r="F48" s="64" t="str">
        <f>IF(Inicial!L10="SI",Inicial!F10,"N/A")</f>
        <v>N/A</v>
      </c>
      <c r="G48" s="64" t="str">
        <f>IF(Inicial!L10="SI",Inicial!G10,"N/A")</f>
        <v>N/A</v>
      </c>
      <c r="H48" s="64" t="str">
        <f>IF(Inicial!L10="SI",Inicial!H10,"N/A")</f>
        <v>N/A</v>
      </c>
      <c r="I48" s="66" t="str">
        <f>IF(Inicial!L10="SI",Inicial!I10,"N/A")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 t="str" cm="1">
        <f t="array" ref="AG48">IF(OR(M48:AF48="NO"),"No aceptable","Aceptable")</f>
        <v>Aceptable</v>
      </c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3" t="str" cm="1">
        <f t="array" ref="BD48">IF(OR(AK48:BC48="SI"),"Critico","No Critico")</f>
        <v>No Critico</v>
      </c>
    </row>
    <row r="49" spans="1:56" ht="33.75">
      <c r="A49" s="63">
        <f>Inicial!A11</f>
        <v>0</v>
      </c>
      <c r="B49" s="64">
        <f>Inicial!B11</f>
        <v>0</v>
      </c>
      <c r="C49" s="64">
        <f>Inicial!C11</f>
        <v>0</v>
      </c>
      <c r="D49" s="65">
        <f>Inicial!D11</f>
        <v>0</v>
      </c>
      <c r="E49" s="63" t="str">
        <f>IF(Inicial!L11="SI",Inicial!E11,"N/A")</f>
        <v>N/A</v>
      </c>
      <c r="F49" s="64" t="str">
        <f>IF(Inicial!L11="SI",Inicial!F11,"N/A")</f>
        <v>N/A</v>
      </c>
      <c r="G49" s="64" t="str">
        <f>IF(Inicial!L11="SI",Inicial!G11,"N/A")</f>
        <v>N/A</v>
      </c>
      <c r="H49" s="64" t="str">
        <f>IF(Inicial!L11="SI",Inicial!H11,"N/A")</f>
        <v>N/A</v>
      </c>
      <c r="I49" s="66" t="str">
        <f>IF(Inicial!L11="SI",Inicial!I11,"N/A")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2" t="str" cm="1">
        <f t="array" ref="AG49">IF(OR(M49:AF49="NO"),"No aceptable","Aceptable")</f>
        <v>Aceptable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3" t="str" cm="1">
        <f t="array" ref="BD49">IF(OR(AK49:BC49="SI"),"Critico","No Critico")</f>
        <v>No Critico</v>
      </c>
    </row>
    <row r="50" spans="1:56" ht="33.75">
      <c r="A50" s="63">
        <f>Inicial!A12</f>
        <v>0</v>
      </c>
      <c r="B50" s="64">
        <f>Inicial!B12</f>
        <v>0</v>
      </c>
      <c r="C50" s="64">
        <f>Inicial!C12</f>
        <v>0</v>
      </c>
      <c r="D50" s="65">
        <f>Inicial!D12</f>
        <v>0</v>
      </c>
      <c r="E50" s="63" t="str">
        <f>IF(Inicial!L12="SI",Inicial!E12,"N/A")</f>
        <v>N/A</v>
      </c>
      <c r="F50" s="64" t="str">
        <f>IF(Inicial!L12="SI",Inicial!F12,"N/A")</f>
        <v>N/A</v>
      </c>
      <c r="G50" s="64" t="str">
        <f>IF(Inicial!L12="SI",Inicial!G12,"N/A")</f>
        <v>N/A</v>
      </c>
      <c r="H50" s="64" t="str">
        <f>IF(Inicial!L12="SI",Inicial!H12,"N/A")</f>
        <v>N/A</v>
      </c>
      <c r="I50" s="66" t="str">
        <f>IF(Inicial!L12="SI",Inicial!I12,"N/A")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2" t="str" cm="1">
        <f t="array" ref="AG50">IF(OR(M50:AF50="NO"),"No aceptable","Aceptable")</f>
        <v>Aceptable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3" t="str" cm="1">
        <f t="array" ref="BD50">IF(OR(AK50:BC50="SI"),"Critico","No Critico")</f>
        <v>No Critico</v>
      </c>
    </row>
    <row r="51" spans="1:56" ht="33.75">
      <c r="A51" s="63">
        <f>Inicial!A13</f>
        <v>0</v>
      </c>
      <c r="B51" s="64">
        <f>Inicial!B13</f>
        <v>0</v>
      </c>
      <c r="C51" s="64">
        <f>Inicial!C13</f>
        <v>0</v>
      </c>
      <c r="D51" s="65">
        <f>Inicial!D13</f>
        <v>0</v>
      </c>
      <c r="E51" s="63" t="str">
        <f>IF(Inicial!L13="SI",Inicial!E13,"N/A")</f>
        <v>N/A</v>
      </c>
      <c r="F51" s="64" t="str">
        <f>IF(Inicial!L13="SI",Inicial!F13,"N/A")</f>
        <v>N/A</v>
      </c>
      <c r="G51" s="64" t="str">
        <f>IF(Inicial!L13="SI",Inicial!G13,"N/A")</f>
        <v>N/A</v>
      </c>
      <c r="H51" s="64" t="str">
        <f>IF(Inicial!L13="SI",Inicial!H13,"N/A")</f>
        <v>N/A</v>
      </c>
      <c r="I51" s="66" t="str">
        <f>IF(Inicial!L13="SI",Inicial!I13,"N/A")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2" t="str" cm="1">
        <f t="array" ref="AG51">IF(OR(M51:AF51="NO"),"No aceptable","Aceptable")</f>
        <v>Aceptable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3" t="str" cm="1">
        <f t="array" ref="BD51">IF(OR(AK51:BC51="SI"),"Critico","No Critico")</f>
        <v>No Critico</v>
      </c>
    </row>
    <row r="52" spans="1:56" ht="33.75">
      <c r="A52" s="63">
        <f>Inicial!A14</f>
        <v>0</v>
      </c>
      <c r="B52" s="64">
        <f>Inicial!B14</f>
        <v>0</v>
      </c>
      <c r="C52" s="64">
        <f>Inicial!C14</f>
        <v>0</v>
      </c>
      <c r="D52" s="65">
        <f>Inicial!D14</f>
        <v>0</v>
      </c>
      <c r="E52" s="63" t="str">
        <f>IF(Inicial!L14="SI",Inicial!E14,"N/A")</f>
        <v>N/A</v>
      </c>
      <c r="F52" s="64" t="str">
        <f>IF(Inicial!L14="SI",Inicial!F14,"N/A")</f>
        <v>N/A</v>
      </c>
      <c r="G52" s="64" t="str">
        <f>IF(Inicial!L14="SI",Inicial!G14,"N/A")</f>
        <v>N/A</v>
      </c>
      <c r="H52" s="64" t="str">
        <f>IF(Inicial!L14="SI",Inicial!H14,"N/A")</f>
        <v>N/A</v>
      </c>
      <c r="I52" s="66" t="str">
        <f>IF(Inicial!L14="SI",Inicial!I14,"N/A")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2" t="str" cm="1">
        <f t="array" ref="AG52">IF(OR(M52:AF52="NO"),"No aceptable","Aceptable")</f>
        <v>Aceptable</v>
      </c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3" t="str" cm="1">
        <f t="array" ref="BD52">IF(OR(AK52:BC52="SI"),"Critico","No Critico")</f>
        <v>No Critico</v>
      </c>
    </row>
    <row r="53" spans="1:56" ht="33.75">
      <c r="A53" s="63">
        <f>Inicial!A15</f>
        <v>0</v>
      </c>
      <c r="B53" s="64">
        <f>Inicial!B15</f>
        <v>0</v>
      </c>
      <c r="C53" s="64">
        <f>Inicial!C15</f>
        <v>0</v>
      </c>
      <c r="D53" s="65">
        <f>Inicial!D15</f>
        <v>0</v>
      </c>
      <c r="E53" s="63" t="str">
        <f>IF(Inicial!L15="SI",Inicial!E15,"N/A")</f>
        <v>N/A</v>
      </c>
      <c r="F53" s="64" t="str">
        <f>IF(Inicial!L15="SI",Inicial!F15,"N/A")</f>
        <v>N/A</v>
      </c>
      <c r="G53" s="64" t="str">
        <f>IF(Inicial!L15="SI",Inicial!G15,"N/A")</f>
        <v>N/A</v>
      </c>
      <c r="H53" s="64" t="str">
        <f>IF(Inicial!L15="SI",Inicial!H15,"N/A")</f>
        <v>N/A</v>
      </c>
      <c r="I53" s="66" t="str">
        <f>IF(Inicial!L15="SI",Inicial!I15,"N/A")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2" t="str" cm="1">
        <f t="array" ref="AG53">IF(OR(M53:AF53="NO"),"No aceptable","Aceptable")</f>
        <v>Aceptable</v>
      </c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3" t="str" cm="1">
        <f t="array" ref="BD53">IF(OR(AK53:BC53="SI"),"Critico","No Critico")</f>
        <v>No Critico</v>
      </c>
    </row>
    <row r="54" spans="1:56" ht="33.75">
      <c r="A54" s="63">
        <f>Inicial!A16</f>
        <v>0</v>
      </c>
      <c r="B54" s="64">
        <f>Inicial!B16</f>
        <v>0</v>
      </c>
      <c r="C54" s="64">
        <f>Inicial!C16</f>
        <v>0</v>
      </c>
      <c r="D54" s="65">
        <f>Inicial!D16</f>
        <v>0</v>
      </c>
      <c r="E54" s="63" t="str">
        <f>IF(Inicial!L16="SI",Inicial!E16,"N/A")</f>
        <v>N/A</v>
      </c>
      <c r="F54" s="64" t="str">
        <f>IF(Inicial!L16="SI",Inicial!F16,"N/A")</f>
        <v>N/A</v>
      </c>
      <c r="G54" s="64" t="str">
        <f>IF(Inicial!L16="SI",Inicial!G16,"N/A")</f>
        <v>N/A</v>
      </c>
      <c r="H54" s="64" t="str">
        <f>IF(Inicial!L16="SI",Inicial!H16,"N/A")</f>
        <v>N/A</v>
      </c>
      <c r="I54" s="66" t="str">
        <f>IF(Inicial!L16="SI",Inicial!I16,"N/A")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2" t="str" cm="1">
        <f t="array" ref="AG54">IF(OR(M54:AF54="NO"),"No aceptable","Aceptable")</f>
        <v>Aceptable</v>
      </c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3" t="str" cm="1">
        <f t="array" ref="BD54">IF(OR(AK54:BC54="SI"),"Critico","No Critico")</f>
        <v>No Critico</v>
      </c>
    </row>
    <row r="55" spans="1:56" ht="33.75">
      <c r="A55" s="63">
        <f>Inicial!A17</f>
        <v>0</v>
      </c>
      <c r="B55" s="64">
        <f>Inicial!B17</f>
        <v>0</v>
      </c>
      <c r="C55" s="64">
        <f>Inicial!C17</f>
        <v>0</v>
      </c>
      <c r="D55" s="65">
        <f>Inicial!D17</f>
        <v>0</v>
      </c>
      <c r="E55" s="63" t="str">
        <f>IF(Inicial!L17="SI",Inicial!E17,"N/A")</f>
        <v>N/A</v>
      </c>
      <c r="F55" s="64" t="str">
        <f>IF(Inicial!L17="SI",Inicial!F17,"N/A")</f>
        <v>N/A</v>
      </c>
      <c r="G55" s="64" t="str">
        <f>IF(Inicial!L17="SI",Inicial!G17,"N/A")</f>
        <v>N/A</v>
      </c>
      <c r="H55" s="64" t="str">
        <f>IF(Inicial!L17="SI",Inicial!H17,"N/A")</f>
        <v>N/A</v>
      </c>
      <c r="I55" s="66" t="str">
        <f>IF(Inicial!L17="SI",Inicial!I17,"N/A")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2" t="str" cm="1">
        <f t="array" ref="AG55">IF(OR(M55:AF55="NO"),"No aceptable","Aceptable")</f>
        <v>Aceptable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3" t="str" cm="1">
        <f t="array" ref="BD55">IF(OR(AK55:BC55="SI"),"Critico","No Critico")</f>
        <v>No Critico</v>
      </c>
    </row>
    <row r="56" spans="1:56" ht="33.75">
      <c r="A56" s="63">
        <f>Inicial!A18</f>
        <v>0</v>
      </c>
      <c r="B56" s="64">
        <f>Inicial!B18</f>
        <v>0</v>
      </c>
      <c r="C56" s="64">
        <f>Inicial!C18</f>
        <v>0</v>
      </c>
      <c r="D56" s="65">
        <f>Inicial!D18</f>
        <v>0</v>
      </c>
      <c r="E56" s="63" t="str">
        <f>IF(Inicial!L18="SI",Inicial!E18,"N/A")</f>
        <v>N/A</v>
      </c>
      <c r="F56" s="64" t="str">
        <f>IF(Inicial!L18="SI",Inicial!F18,"N/A")</f>
        <v>N/A</v>
      </c>
      <c r="G56" s="64" t="str">
        <f>IF(Inicial!L18="SI",Inicial!G18,"N/A")</f>
        <v>N/A</v>
      </c>
      <c r="H56" s="64" t="str">
        <f>IF(Inicial!L18="SI",Inicial!H18,"N/A")</f>
        <v>N/A</v>
      </c>
      <c r="I56" s="66" t="str">
        <f>IF(Inicial!L18="SI",Inicial!I18,"N/A")</f>
        <v>N/A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 t="str" cm="1">
        <f t="array" ref="AG56">IF(OR(M56:AF56="NO"),"No aceptable","Aceptable")</f>
        <v>Aceptable</v>
      </c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3" t="str" cm="1">
        <f t="array" ref="BD56">IF(OR(AK56:BC56="SI"),"Critico","No Critico")</f>
        <v>No Critico</v>
      </c>
    </row>
    <row r="57" spans="1:56" ht="33.75">
      <c r="A57" s="63">
        <f>Inicial!A19</f>
        <v>0</v>
      </c>
      <c r="B57" s="64">
        <f>Inicial!B19</f>
        <v>0</v>
      </c>
      <c r="C57" s="64">
        <f>Inicial!C19</f>
        <v>0</v>
      </c>
      <c r="D57" s="65">
        <f>Inicial!D19</f>
        <v>0</v>
      </c>
      <c r="E57" s="63" t="str">
        <f>IF(Inicial!L19="SI",Inicial!E19,"N/A")</f>
        <v>N/A</v>
      </c>
      <c r="F57" s="64" t="str">
        <f>IF(Inicial!L19="SI",Inicial!F19,"N/A")</f>
        <v>N/A</v>
      </c>
      <c r="G57" s="64" t="str">
        <f>IF(Inicial!L19="SI",Inicial!G19,"N/A")</f>
        <v>N/A</v>
      </c>
      <c r="H57" s="64" t="str">
        <f>IF(Inicial!L19="SI",Inicial!H19,"N/A")</f>
        <v>N/A</v>
      </c>
      <c r="I57" s="66" t="str">
        <f>IF(Inicial!L19="SI",Inicial!I19,"N/A")</f>
        <v>N/A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2" t="str" cm="1">
        <f t="array" ref="AG57">IF(OR(M57:AF57="NO"),"No aceptable","Aceptable")</f>
        <v>Aceptable</v>
      </c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3" t="str" cm="1">
        <f t="array" ref="BD57">IF(OR(AK57:BC57="SI"),"Critico","No Critico")</f>
        <v>No Critico</v>
      </c>
    </row>
    <row r="58" spans="1:56" ht="33.75">
      <c r="A58" s="63">
        <f>Inicial!A20</f>
        <v>0</v>
      </c>
      <c r="B58" s="64">
        <f>Inicial!B20</f>
        <v>0</v>
      </c>
      <c r="C58" s="64">
        <f>Inicial!C20</f>
        <v>0</v>
      </c>
      <c r="D58" s="65">
        <f>Inicial!D20</f>
        <v>0</v>
      </c>
      <c r="E58" s="63" t="str">
        <f>IF(Inicial!L20="SI",Inicial!E20,"N/A")</f>
        <v>N/A</v>
      </c>
      <c r="F58" s="64" t="str">
        <f>IF(Inicial!L20="SI",Inicial!F20,"N/A")</f>
        <v>N/A</v>
      </c>
      <c r="G58" s="64" t="str">
        <f>IF(Inicial!L20="SI",Inicial!G20,"N/A")</f>
        <v>N/A</v>
      </c>
      <c r="H58" s="64" t="str">
        <f>IF(Inicial!L20="SI",Inicial!H20,"N/A")</f>
        <v>N/A</v>
      </c>
      <c r="I58" s="66" t="str">
        <f>IF(Inicial!L20="SI",Inicial!I20,"N/A")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 t="str" cm="1">
        <f t="array" ref="AG58">IF(OR(M58:AF58="NO"),"No aceptable","Aceptable")</f>
        <v>Aceptable</v>
      </c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3" t="str" cm="1">
        <f t="array" ref="BD58">IF(OR(AK58:BC58="SI"),"Critico","No Critico")</f>
        <v>No Critico</v>
      </c>
    </row>
    <row r="59" spans="1:56" ht="33.75">
      <c r="A59" s="63">
        <f>Inicial!A21</f>
        <v>0</v>
      </c>
      <c r="B59" s="64">
        <f>Inicial!B21</f>
        <v>0</v>
      </c>
      <c r="C59" s="64">
        <f>Inicial!C21</f>
        <v>0</v>
      </c>
      <c r="D59" s="65">
        <f>Inicial!D21</f>
        <v>0</v>
      </c>
      <c r="E59" s="63" t="str">
        <f>IF(Inicial!L21="SI",Inicial!E21,"N/A")</f>
        <v>N/A</v>
      </c>
      <c r="F59" s="64" t="str">
        <f>IF(Inicial!L21="SI",Inicial!F21,"N/A")</f>
        <v>N/A</v>
      </c>
      <c r="G59" s="64" t="str">
        <f>IF(Inicial!L21="SI",Inicial!G21,"N/A")</f>
        <v>N/A</v>
      </c>
      <c r="H59" s="64" t="str">
        <f>IF(Inicial!L21="SI",Inicial!H21,"N/A")</f>
        <v>N/A</v>
      </c>
      <c r="I59" s="66" t="str">
        <f>IF(Inicial!L21="SI",Inicial!I21,"N/A")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2" t="str" cm="1">
        <f t="array" ref="AG59">IF(OR(M59:AF59="NO"),"No aceptable","Aceptable")</f>
        <v>Aceptable</v>
      </c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3" t="str" cm="1">
        <f t="array" ref="BD59">IF(OR(AK59:BC59="SI"),"Critico","No Critico")</f>
        <v>No Critico</v>
      </c>
    </row>
    <row r="60" spans="1:56" ht="33.75">
      <c r="A60" s="63">
        <f>Inicial!A22</f>
        <v>0</v>
      </c>
      <c r="B60" s="64">
        <f>Inicial!B22</f>
        <v>0</v>
      </c>
      <c r="C60" s="64">
        <f>Inicial!C22</f>
        <v>0</v>
      </c>
      <c r="D60" s="65">
        <f>Inicial!D22</f>
        <v>0</v>
      </c>
      <c r="E60" s="63" t="str">
        <f>IF(Inicial!L22="SI",Inicial!E22,"N/A")</f>
        <v>N/A</v>
      </c>
      <c r="F60" s="64" t="str">
        <f>IF(Inicial!L22="SI",Inicial!F22,"N/A")</f>
        <v>N/A</v>
      </c>
      <c r="G60" s="64" t="str">
        <f>IF(Inicial!L22="SI",Inicial!G22,"N/A")</f>
        <v>N/A</v>
      </c>
      <c r="H60" s="64" t="str">
        <f>IF(Inicial!L22="SI",Inicial!H22,"N/A")</f>
        <v>N/A</v>
      </c>
      <c r="I60" s="66" t="str">
        <f>IF(Inicial!L22="SI",Inicial!I22,"N/A")</f>
        <v>N/A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 t="str" cm="1">
        <f t="array" ref="AG60">IF(OR(M60:AF60="NO"),"No aceptable","Aceptable")</f>
        <v>Aceptable</v>
      </c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3" t="str" cm="1">
        <f t="array" ref="BD60">IF(OR(AK60:BC60="SI"),"Critico","No Critico")</f>
        <v>No Critico</v>
      </c>
    </row>
    <row r="61" spans="1:56" ht="33.75">
      <c r="A61" s="63">
        <f>Inicial!A23</f>
        <v>0</v>
      </c>
      <c r="B61" s="64">
        <f>Inicial!B23</f>
        <v>0</v>
      </c>
      <c r="C61" s="64">
        <f>Inicial!C23</f>
        <v>0</v>
      </c>
      <c r="D61" s="65">
        <f>Inicial!D23</f>
        <v>0</v>
      </c>
      <c r="E61" s="63" t="str">
        <f>IF(Inicial!L23="SI",Inicial!E23,"N/A")</f>
        <v>N/A</v>
      </c>
      <c r="F61" s="64" t="str">
        <f>IF(Inicial!L23="SI",Inicial!F23,"N/A")</f>
        <v>N/A</v>
      </c>
      <c r="G61" s="64" t="str">
        <f>IF(Inicial!L23="SI",Inicial!G23,"N/A")</f>
        <v>N/A</v>
      </c>
      <c r="H61" s="64" t="str">
        <f>IF(Inicial!L23="SI",Inicial!H23,"N/A")</f>
        <v>N/A</v>
      </c>
      <c r="I61" s="66" t="str">
        <f>IF(Inicial!L23="SI",Inicial!I23,"N/A")</f>
        <v>N/A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2" t="str" cm="1">
        <f t="array" ref="AG61">IF(OR(M61:AF61="NO"),"No aceptable","Aceptable")</f>
        <v>Aceptable</v>
      </c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3" t="str" cm="1">
        <f t="array" ref="BD61">IF(OR(AK61:BC61="SI"),"Critico","No Critico")</f>
        <v>No Critico</v>
      </c>
    </row>
    <row r="62" spans="1:56" ht="33.75">
      <c r="A62" s="63">
        <f>Inicial!A24</f>
        <v>0</v>
      </c>
      <c r="B62" s="64">
        <f>Inicial!B24</f>
        <v>0</v>
      </c>
      <c r="C62" s="64">
        <f>Inicial!C24</f>
        <v>0</v>
      </c>
      <c r="D62" s="65">
        <f>Inicial!D24</f>
        <v>0</v>
      </c>
      <c r="E62" s="63" t="str">
        <f>IF(Inicial!L24="SI",Inicial!E24,"N/A")</f>
        <v>N/A</v>
      </c>
      <c r="F62" s="64" t="str">
        <f>IF(Inicial!L24="SI",Inicial!F24,"N/A")</f>
        <v>N/A</v>
      </c>
      <c r="G62" s="64" t="str">
        <f>IF(Inicial!L24="SI",Inicial!G24,"N/A")</f>
        <v>N/A</v>
      </c>
      <c r="H62" s="64" t="str">
        <f>IF(Inicial!L24="SI",Inicial!H24,"N/A")</f>
        <v>N/A</v>
      </c>
      <c r="I62" s="66" t="str">
        <f>IF(Inicial!L24="SI",Inicial!I24,"N/A")</f>
        <v>N/A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 t="str" cm="1">
        <f t="array" ref="AG62">IF(OR(M62:AF62="NO"),"No aceptable","Aceptable")</f>
        <v>Aceptable</v>
      </c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3" t="str" cm="1">
        <f t="array" ref="BD62">IF(OR(AK62:BC62="SI"),"Critico","No Critico")</f>
        <v>No Critico</v>
      </c>
    </row>
    <row r="63" spans="1:56" ht="33.75">
      <c r="A63" s="63">
        <f>Inicial!A25</f>
        <v>0</v>
      </c>
      <c r="B63" s="64">
        <f>Inicial!B25</f>
        <v>0</v>
      </c>
      <c r="C63" s="64">
        <f>Inicial!C25</f>
        <v>0</v>
      </c>
      <c r="D63" s="65">
        <f>Inicial!D25</f>
        <v>0</v>
      </c>
      <c r="E63" s="63" t="str">
        <f>IF(Inicial!L25="SI",Inicial!E25,"N/A")</f>
        <v>N/A</v>
      </c>
      <c r="F63" s="64" t="str">
        <f>IF(Inicial!L25="SI",Inicial!F25,"N/A")</f>
        <v>N/A</v>
      </c>
      <c r="G63" s="64" t="str">
        <f>IF(Inicial!L25="SI",Inicial!G25,"N/A")</f>
        <v>N/A</v>
      </c>
      <c r="H63" s="64" t="str">
        <f>IF(Inicial!L25="SI",Inicial!H25,"N/A")</f>
        <v>N/A</v>
      </c>
      <c r="I63" s="66" t="str">
        <f>IF(Inicial!L25="SI",Inicial!I25,"N/A")</f>
        <v>N/A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2" t="str" cm="1">
        <f t="array" ref="AG63">IF(OR(M63:AF63="NO"),"No aceptable","Aceptable")</f>
        <v>Aceptable</v>
      </c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3" t="str" cm="1">
        <f t="array" ref="BD63">IF(OR(AK63:BC63="SI"),"Critico","No Critico")</f>
        <v>No Critico</v>
      </c>
    </row>
    <row r="64" spans="1:56" ht="33.75">
      <c r="A64" s="63">
        <f>Inicial!A26</f>
        <v>0</v>
      </c>
      <c r="B64" s="64">
        <f>Inicial!B26</f>
        <v>0</v>
      </c>
      <c r="C64" s="64">
        <f>Inicial!C26</f>
        <v>0</v>
      </c>
      <c r="D64" s="65">
        <f>Inicial!D26</f>
        <v>0</v>
      </c>
      <c r="E64" s="63" t="str">
        <f>IF(Inicial!L26="SI",Inicial!E26,"N/A")</f>
        <v>N/A</v>
      </c>
      <c r="F64" s="64" t="str">
        <f>IF(Inicial!L26="SI",Inicial!F26,"N/A")</f>
        <v>N/A</v>
      </c>
      <c r="G64" s="64" t="str">
        <f>IF(Inicial!L26="SI",Inicial!G26,"N/A")</f>
        <v>N/A</v>
      </c>
      <c r="H64" s="64" t="str">
        <f>IF(Inicial!L26="SI",Inicial!H26,"N/A")</f>
        <v>N/A</v>
      </c>
      <c r="I64" s="66" t="str">
        <f>IF(Inicial!L26="SI",Inicial!I26,"N/A")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2" t="str" cm="1">
        <f t="array" ref="AG64">IF(OR(M64:AF64="NO"),"No aceptable","Aceptable")</f>
        <v>Aceptable</v>
      </c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3" t="str" cm="1">
        <f t="array" ref="BD64">IF(OR(AK64:BC64="SI"),"Critico","No Critico")</f>
        <v>No Critico</v>
      </c>
    </row>
    <row r="65" spans="1:56" ht="33.75">
      <c r="A65" s="63">
        <f>Inicial!A27</f>
        <v>0</v>
      </c>
      <c r="B65" s="64">
        <f>Inicial!B27</f>
        <v>0</v>
      </c>
      <c r="C65" s="64">
        <f>Inicial!C27</f>
        <v>0</v>
      </c>
      <c r="D65" s="65">
        <f>Inicial!D27</f>
        <v>0</v>
      </c>
      <c r="E65" s="63" t="str">
        <f>IF(Inicial!L27="SI",Inicial!E27,"N/A")</f>
        <v>N/A</v>
      </c>
      <c r="F65" s="64" t="str">
        <f>IF(Inicial!L27="SI",Inicial!F27,"N/A")</f>
        <v>N/A</v>
      </c>
      <c r="G65" s="64" t="str">
        <f>IF(Inicial!L27="SI",Inicial!G27,"N/A")</f>
        <v>N/A</v>
      </c>
      <c r="H65" s="64" t="str">
        <f>IF(Inicial!L27="SI",Inicial!H27,"N/A")</f>
        <v>N/A</v>
      </c>
      <c r="I65" s="66" t="str">
        <f>IF(Inicial!L27="SI",Inicial!I27,"N/A")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2" t="str" cm="1">
        <f t="array" ref="AG65">IF(OR(M65:AF65="NO"),"No aceptable","Aceptable")</f>
        <v>Aceptable</v>
      </c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3" t="str" cm="1">
        <f t="array" ref="BD65">IF(OR(AK65:BC65="SI"),"Critico","No Critico")</f>
        <v>No Critico</v>
      </c>
    </row>
    <row r="66" spans="1:56" ht="33.75">
      <c r="A66" s="63">
        <f>Inicial!A28</f>
        <v>0</v>
      </c>
      <c r="B66" s="64">
        <f>Inicial!B28</f>
        <v>0</v>
      </c>
      <c r="C66" s="64">
        <f>Inicial!C28</f>
        <v>0</v>
      </c>
      <c r="D66" s="65">
        <f>Inicial!D28</f>
        <v>0</v>
      </c>
      <c r="E66" s="63" t="str">
        <f>IF(Inicial!L28="SI",Inicial!E28,"N/A")</f>
        <v>N/A</v>
      </c>
      <c r="F66" s="64" t="str">
        <f>IF(Inicial!L28="SI",Inicial!F28,"N/A")</f>
        <v>N/A</v>
      </c>
      <c r="G66" s="64" t="str">
        <f>IF(Inicial!L28="SI",Inicial!G28,"N/A")</f>
        <v>N/A</v>
      </c>
      <c r="H66" s="64" t="str">
        <f>IF(Inicial!L28="SI",Inicial!H28,"N/A")</f>
        <v>N/A</v>
      </c>
      <c r="I66" s="66" t="str">
        <f>IF(Inicial!L28="SI",Inicial!I28,"N/A")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2" t="str" cm="1">
        <f t="array" ref="AG66">IF(OR(M66:AF66="NO"),"No aceptable","Aceptable")</f>
        <v>Aceptable</v>
      </c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3" t="str" cm="1">
        <f t="array" ref="BD66">IF(OR(AK66:BC66="SI"),"Critico","No Critico")</f>
        <v>No Critico</v>
      </c>
    </row>
    <row r="67" spans="1:56" ht="33.75">
      <c r="A67" s="63">
        <f>Inicial!A29</f>
        <v>0</v>
      </c>
      <c r="B67" s="64">
        <f>Inicial!B29</f>
        <v>0</v>
      </c>
      <c r="C67" s="64">
        <f>Inicial!C29</f>
        <v>0</v>
      </c>
      <c r="D67" s="65">
        <f>Inicial!D29</f>
        <v>0</v>
      </c>
      <c r="E67" s="63" t="str">
        <f>IF(Inicial!L29="SI",Inicial!E29,"N/A")</f>
        <v>N/A</v>
      </c>
      <c r="F67" s="64" t="str">
        <f>IF(Inicial!L29="SI",Inicial!F29,"N/A")</f>
        <v>N/A</v>
      </c>
      <c r="G67" s="64" t="str">
        <f>IF(Inicial!L29="SI",Inicial!G29,"N/A")</f>
        <v>N/A</v>
      </c>
      <c r="H67" s="64" t="str">
        <f>IF(Inicial!L29="SI",Inicial!H29,"N/A")</f>
        <v>N/A</v>
      </c>
      <c r="I67" s="66" t="str">
        <f>IF(Inicial!L29="SI",Inicial!I29,"N/A")</f>
        <v>N/A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2" t="str" cm="1">
        <f t="array" ref="AG67">IF(OR(M67:AF67="NO"),"No aceptable","Aceptable")</f>
        <v>Aceptable</v>
      </c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3" t="str" cm="1">
        <f t="array" ref="BD67">IF(OR(AK67:BC67="SI"),"Critico","No Critico")</f>
        <v>No Critico</v>
      </c>
    </row>
    <row r="68" spans="1:56" ht="33.75">
      <c r="A68" s="63">
        <f>Inicial!A30</f>
        <v>0</v>
      </c>
      <c r="B68" s="64">
        <f>Inicial!B30</f>
        <v>0</v>
      </c>
      <c r="C68" s="64">
        <f>Inicial!C30</f>
        <v>0</v>
      </c>
      <c r="D68" s="65">
        <f>Inicial!D30</f>
        <v>0</v>
      </c>
      <c r="E68" s="63" t="str">
        <f>IF(Inicial!L30="SI",Inicial!E30,"N/A")</f>
        <v>N/A</v>
      </c>
      <c r="F68" s="64" t="str">
        <f>IF(Inicial!L30="SI",Inicial!F30,"N/A")</f>
        <v>N/A</v>
      </c>
      <c r="G68" s="64" t="str">
        <f>IF(Inicial!L30="SI",Inicial!G30,"N/A")</f>
        <v>N/A</v>
      </c>
      <c r="H68" s="64" t="str">
        <f>IF(Inicial!L30="SI",Inicial!H30,"N/A")</f>
        <v>N/A</v>
      </c>
      <c r="I68" s="66" t="str">
        <f>IF(Inicial!L30="SI",Inicial!I30,"N/A")</f>
        <v>N/A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2" t="str" cm="1">
        <f t="array" ref="AG68">IF(OR(M68:AF68="NO"),"No aceptable","Aceptable")</f>
        <v>Aceptable</v>
      </c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3" t="str" cm="1">
        <f t="array" ref="BD68">IF(OR(AK68:BC68="SI"),"Critico","No Critico")</f>
        <v>No Critico</v>
      </c>
    </row>
    <row r="69" spans="1:56" ht="33.75">
      <c r="A69" s="63">
        <f>Inicial!A31</f>
        <v>0</v>
      </c>
      <c r="B69" s="64">
        <f>Inicial!B31</f>
        <v>0</v>
      </c>
      <c r="C69" s="64">
        <f>Inicial!C31</f>
        <v>0</v>
      </c>
      <c r="D69" s="65">
        <f>Inicial!D31</f>
        <v>0</v>
      </c>
      <c r="E69" s="63" t="str">
        <f>IF(Inicial!L31="SI",Inicial!E31,"N/A")</f>
        <v>N/A</v>
      </c>
      <c r="F69" s="64" t="str">
        <f>IF(Inicial!L31="SI",Inicial!F31,"N/A")</f>
        <v>N/A</v>
      </c>
      <c r="G69" s="64" t="str">
        <f>IF(Inicial!L31="SI",Inicial!G31,"N/A")</f>
        <v>N/A</v>
      </c>
      <c r="H69" s="64" t="str">
        <f>IF(Inicial!L31="SI",Inicial!H31,"N/A")</f>
        <v>N/A</v>
      </c>
      <c r="I69" s="66" t="str">
        <f>IF(Inicial!L31="SI",Inicial!I31,"N/A")</f>
        <v>N/A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2" t="str" cm="1">
        <f t="array" ref="AG69">IF(OR(M69:AF69="NO"),"No aceptable","Aceptable")</f>
        <v>Aceptable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3" t="str" cm="1">
        <f t="array" ref="BD69">IF(OR(AK69:BC69="SI"),"Critico","No Critico")</f>
        <v>No Critico</v>
      </c>
    </row>
    <row r="70" spans="1:56" ht="33.75">
      <c r="A70" s="63">
        <f>Inicial!A32</f>
        <v>0</v>
      </c>
      <c r="B70" s="64">
        <f>Inicial!B32</f>
        <v>0</v>
      </c>
      <c r="C70" s="64">
        <f>Inicial!C32</f>
        <v>0</v>
      </c>
      <c r="D70" s="65">
        <f>Inicial!D32</f>
        <v>0</v>
      </c>
      <c r="E70" s="63" t="str">
        <f>IF(Inicial!L32="SI",Inicial!E32,"N/A")</f>
        <v>N/A</v>
      </c>
      <c r="F70" s="64" t="str">
        <f>IF(Inicial!L32="SI",Inicial!F32,"N/A")</f>
        <v>N/A</v>
      </c>
      <c r="G70" s="64" t="str">
        <f>IF(Inicial!L32="SI",Inicial!G32,"N/A")</f>
        <v>N/A</v>
      </c>
      <c r="H70" s="64" t="str">
        <f>IF(Inicial!L32="SI",Inicial!H32,"N/A")</f>
        <v>N/A</v>
      </c>
      <c r="I70" s="66" t="str">
        <f>IF(Inicial!L32="SI",Inicial!I32,"N/A")</f>
        <v>N/A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2" t="str" cm="1">
        <f t="array" ref="AG70">IF(OR(M70:AF70="NO"),"No aceptable","Aceptable")</f>
        <v>Aceptable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3" t="str" cm="1">
        <f t="array" ref="BD70">IF(OR(AK70:BC70="SI"),"Critico","No Critico")</f>
        <v>No Critico</v>
      </c>
    </row>
    <row r="71" spans="1:56" ht="33.75">
      <c r="A71" s="63">
        <f>Inicial!A33</f>
        <v>0</v>
      </c>
      <c r="B71" s="64">
        <f>Inicial!B33</f>
        <v>0</v>
      </c>
      <c r="C71" s="64">
        <f>Inicial!C33</f>
        <v>0</v>
      </c>
      <c r="D71" s="65">
        <f>Inicial!D33</f>
        <v>0</v>
      </c>
      <c r="E71" s="63" t="str">
        <f>IF(Inicial!L33="SI",Inicial!E33,"N/A")</f>
        <v>N/A</v>
      </c>
      <c r="F71" s="64" t="str">
        <f>IF(Inicial!L33="SI",Inicial!F33,"N/A")</f>
        <v>N/A</v>
      </c>
      <c r="G71" s="64" t="str">
        <f>IF(Inicial!L33="SI",Inicial!G33,"N/A")</f>
        <v>N/A</v>
      </c>
      <c r="H71" s="64" t="str">
        <f>IF(Inicial!L33="SI",Inicial!H33,"N/A")</f>
        <v>N/A</v>
      </c>
      <c r="I71" s="66" t="str">
        <f>IF(Inicial!L33="SI",Inicial!I33,"N/A")</f>
        <v>N/A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 t="str" cm="1">
        <f t="array" ref="AG71">IF(OR(M71:AF71="NO"),"No aceptable","Aceptable")</f>
        <v>Aceptable</v>
      </c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3" t="str" cm="1">
        <f t="array" ref="BD71">IF(OR(AK71:BC71="SI"),"Critico","No Critico")</f>
        <v>No Critico</v>
      </c>
    </row>
    <row r="72" spans="1:56" ht="33.75">
      <c r="A72" s="63">
        <f>Inicial!A34</f>
        <v>0</v>
      </c>
      <c r="B72" s="64">
        <f>Inicial!B34</f>
        <v>0</v>
      </c>
      <c r="C72" s="64">
        <f>Inicial!C34</f>
        <v>0</v>
      </c>
      <c r="D72" s="65">
        <f>Inicial!D34</f>
        <v>0</v>
      </c>
      <c r="E72" s="63" t="str">
        <f>IF(Inicial!L34="SI",Inicial!E34,"N/A")</f>
        <v>N/A</v>
      </c>
      <c r="F72" s="64" t="str">
        <f>IF(Inicial!L34="SI",Inicial!F34,"N/A")</f>
        <v>N/A</v>
      </c>
      <c r="G72" s="64" t="str">
        <f>IF(Inicial!L34="SI",Inicial!G34,"N/A")</f>
        <v>N/A</v>
      </c>
      <c r="H72" s="64" t="str">
        <f>IF(Inicial!L34="SI",Inicial!H34,"N/A")</f>
        <v>N/A</v>
      </c>
      <c r="I72" s="66" t="str">
        <f>IF(Inicial!L34="SI",Inicial!I34,"N/A")</f>
        <v>N/A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2" t="str" cm="1">
        <f t="array" ref="AG72">IF(OR(M72:AF72="NO"),"No aceptable","Aceptable")</f>
        <v>Aceptable</v>
      </c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3" t="str" cm="1">
        <f t="array" ref="BD72">IF(OR(AK72:BC72="SI"),"Critico","No Critico")</f>
        <v>No Critico</v>
      </c>
    </row>
    <row r="73" spans="1:56" ht="33.75">
      <c r="A73" s="63">
        <f>Inicial!A35</f>
        <v>0</v>
      </c>
      <c r="B73" s="64">
        <f>Inicial!B35</f>
        <v>0</v>
      </c>
      <c r="C73" s="64">
        <f>Inicial!C35</f>
        <v>0</v>
      </c>
      <c r="D73" s="65">
        <f>Inicial!D35</f>
        <v>0</v>
      </c>
      <c r="E73" s="63" t="str">
        <f>IF(Inicial!L35="SI",Inicial!E35,"N/A")</f>
        <v>N/A</v>
      </c>
      <c r="F73" s="64" t="str">
        <f>IF(Inicial!L35="SI",Inicial!F35,"N/A")</f>
        <v>N/A</v>
      </c>
      <c r="G73" s="64" t="str">
        <f>IF(Inicial!L35="SI",Inicial!G35,"N/A")</f>
        <v>N/A</v>
      </c>
      <c r="H73" s="64" t="str">
        <f>IF(Inicial!L35="SI",Inicial!H35,"N/A")</f>
        <v>N/A</v>
      </c>
      <c r="I73" s="66" t="str">
        <f>IF(Inicial!L35="SI",Inicial!I35,"N/A")</f>
        <v>N/A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2" t="str" cm="1">
        <f t="array" ref="AG73">IF(OR(M73:AF73="NO"),"No aceptable","Aceptable")</f>
        <v>Aceptable</v>
      </c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3" t="str" cm="1">
        <f t="array" ref="BD73">IF(OR(AK73:BC73="SI"),"Critico","No Critico")</f>
        <v>No Critico</v>
      </c>
    </row>
    <row r="74" spans="1:56" ht="33.75">
      <c r="A74" s="63">
        <f>Inicial!A36</f>
        <v>0</v>
      </c>
      <c r="B74" s="64">
        <f>Inicial!B36</f>
        <v>0</v>
      </c>
      <c r="C74" s="64">
        <f>Inicial!C36</f>
        <v>0</v>
      </c>
      <c r="D74" s="65">
        <f>Inicial!D36</f>
        <v>0</v>
      </c>
      <c r="E74" s="63" t="str">
        <f>IF(Inicial!L36="SI",Inicial!E36,"N/A")</f>
        <v>N/A</v>
      </c>
      <c r="F74" s="64" t="str">
        <f>IF(Inicial!L36="SI",Inicial!F36,"N/A")</f>
        <v>N/A</v>
      </c>
      <c r="G74" s="64" t="str">
        <f>IF(Inicial!L36="SI",Inicial!G36,"N/A")</f>
        <v>N/A</v>
      </c>
      <c r="H74" s="64" t="str">
        <f>IF(Inicial!L36="SI",Inicial!H36,"N/A")</f>
        <v>N/A</v>
      </c>
      <c r="I74" s="66" t="str">
        <f>IF(Inicial!L36="SI",Inicial!I36,"N/A")</f>
        <v>N/A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2" t="str" cm="1">
        <f t="array" ref="AG74">IF(OR(M74:AF74="NO"),"No aceptable","Aceptable")</f>
        <v>Aceptable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3" t="str" cm="1">
        <f t="array" ref="BD74">IF(OR(AK74:BC74="SI"),"Critico","No Critico")</f>
        <v>No Critico</v>
      </c>
    </row>
    <row r="75" spans="1:56" ht="33.75">
      <c r="A75" s="63">
        <f>Inicial!A37</f>
        <v>0</v>
      </c>
      <c r="B75" s="64">
        <f>Inicial!B37</f>
        <v>0</v>
      </c>
      <c r="C75" s="64">
        <f>Inicial!C37</f>
        <v>0</v>
      </c>
      <c r="D75" s="65">
        <f>Inicial!D37</f>
        <v>0</v>
      </c>
      <c r="E75" s="63" t="str">
        <f>IF(Inicial!L37="SI",Inicial!E37,"N/A")</f>
        <v>N/A</v>
      </c>
      <c r="F75" s="64" t="str">
        <f>IF(Inicial!L37="SI",Inicial!F37,"N/A")</f>
        <v>N/A</v>
      </c>
      <c r="G75" s="64" t="str">
        <f>IF(Inicial!L37="SI",Inicial!G37,"N/A")</f>
        <v>N/A</v>
      </c>
      <c r="H75" s="64" t="str">
        <f>IF(Inicial!L37="SI",Inicial!H37,"N/A")</f>
        <v>N/A</v>
      </c>
      <c r="I75" s="66" t="str">
        <f>IF(Inicial!L37="SI",Inicial!I37,"N/A")</f>
        <v>N/A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2" t="str" cm="1">
        <f t="array" ref="AG75">IF(OR(M75:AF75="NO"),"No aceptable","Aceptable")</f>
        <v>Aceptable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3" t="str" cm="1">
        <f t="array" ref="BD75">IF(OR(AK75:BC75="SI"),"Critico","No Critico")</f>
        <v>No Critico</v>
      </c>
    </row>
    <row r="76" spans="1:56" ht="33.75">
      <c r="A76" s="63">
        <f>Inicial!A38</f>
        <v>0</v>
      </c>
      <c r="B76" s="64">
        <f>Inicial!B38</f>
        <v>0</v>
      </c>
      <c r="C76" s="64">
        <f>Inicial!C38</f>
        <v>0</v>
      </c>
      <c r="D76" s="65">
        <f>Inicial!D38</f>
        <v>0</v>
      </c>
      <c r="E76" s="63" t="str">
        <f>IF(Inicial!L38="SI",Inicial!E38,"N/A")</f>
        <v>N/A</v>
      </c>
      <c r="F76" s="64" t="str">
        <f>IF(Inicial!L38="SI",Inicial!F38,"N/A")</f>
        <v>N/A</v>
      </c>
      <c r="G76" s="64" t="str">
        <f>IF(Inicial!L38="SI",Inicial!G38,"N/A")</f>
        <v>N/A</v>
      </c>
      <c r="H76" s="64" t="str">
        <f>IF(Inicial!L38="SI",Inicial!H38,"N/A")</f>
        <v>N/A</v>
      </c>
      <c r="I76" s="66" t="str">
        <f>IF(Inicial!L38="SI",Inicial!I38,"N/A")</f>
        <v>N/A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2" t="str" cm="1">
        <f t="array" ref="AG76">IF(OR(M76:AF76="NO"),"No aceptable","Aceptable")</f>
        <v>Aceptable</v>
      </c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3" t="str" cm="1">
        <f t="array" ref="BD76">IF(OR(AK76:BC76="SI"),"Critico","No Critico")</f>
        <v>No Critico</v>
      </c>
    </row>
    <row r="77" spans="1:56" ht="33.75">
      <c r="A77" s="63">
        <f>Inicial!A39</f>
        <v>0</v>
      </c>
      <c r="B77" s="64">
        <f>Inicial!B39</f>
        <v>0</v>
      </c>
      <c r="C77" s="64">
        <f>Inicial!C39</f>
        <v>0</v>
      </c>
      <c r="D77" s="65">
        <f>Inicial!D39</f>
        <v>0</v>
      </c>
      <c r="E77" s="63" t="str">
        <f>IF(Inicial!L39="SI",Inicial!E39,"N/A")</f>
        <v>N/A</v>
      </c>
      <c r="F77" s="64" t="str">
        <f>IF(Inicial!L39="SI",Inicial!F39,"N/A")</f>
        <v>N/A</v>
      </c>
      <c r="G77" s="64" t="str">
        <f>IF(Inicial!L39="SI",Inicial!G39,"N/A")</f>
        <v>N/A</v>
      </c>
      <c r="H77" s="64" t="str">
        <f>IF(Inicial!L39="SI",Inicial!H39,"N/A")</f>
        <v>N/A</v>
      </c>
      <c r="I77" s="66" t="str">
        <f>IF(Inicial!L39="SI",Inicial!I39,"N/A")</f>
        <v>N/A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2" t="str" cm="1">
        <f t="array" ref="AG77">IF(OR(M77:AF77="NO"),"No aceptable","Aceptable")</f>
        <v>Aceptable</v>
      </c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3" t="str" cm="1">
        <f t="array" ref="BD77">IF(OR(AK77:BC77="SI"),"Critico","No Critico")</f>
        <v>No Critico</v>
      </c>
    </row>
    <row r="78" spans="1:56" ht="33.75">
      <c r="A78" s="63">
        <f>Inicial!A40</f>
        <v>0</v>
      </c>
      <c r="B78" s="64">
        <f>Inicial!B40</f>
        <v>0</v>
      </c>
      <c r="C78" s="64">
        <f>Inicial!C40</f>
        <v>0</v>
      </c>
      <c r="D78" s="65">
        <f>Inicial!D40</f>
        <v>0</v>
      </c>
      <c r="E78" s="63" t="str">
        <f>IF(Inicial!L40="SI",Inicial!E40,"N/A")</f>
        <v>N/A</v>
      </c>
      <c r="F78" s="64" t="str">
        <f>IF(Inicial!L40="SI",Inicial!F40,"N/A")</f>
        <v>N/A</v>
      </c>
      <c r="G78" s="64" t="str">
        <f>IF(Inicial!L40="SI",Inicial!G40,"N/A")</f>
        <v>N/A</v>
      </c>
      <c r="H78" s="64" t="str">
        <f>IF(Inicial!L40="SI",Inicial!H40,"N/A")</f>
        <v>N/A</v>
      </c>
      <c r="I78" s="66" t="str">
        <f>IF(Inicial!L40="SI",Inicial!I40,"N/A")</f>
        <v>N/A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2" t="str" cm="1">
        <f t="array" ref="AG78">IF(OR(M78:AF78="NO"),"No aceptable","Aceptable")</f>
        <v>Aceptable</v>
      </c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3" t="str" cm="1">
        <f t="array" ref="BD78">IF(OR(AK78:BC78="SI"),"Critico","No Critico")</f>
        <v>No Critico</v>
      </c>
    </row>
    <row r="79" spans="1:56" ht="33.75">
      <c r="A79" s="63">
        <f>Inicial!A41</f>
        <v>0</v>
      </c>
      <c r="B79" s="64">
        <f>Inicial!B41</f>
        <v>0</v>
      </c>
      <c r="C79" s="64">
        <f>Inicial!C41</f>
        <v>0</v>
      </c>
      <c r="D79" s="65">
        <f>Inicial!D41</f>
        <v>0</v>
      </c>
      <c r="E79" s="63" t="str">
        <f>IF(Inicial!L41="SI",Inicial!E41,"N/A")</f>
        <v>N/A</v>
      </c>
      <c r="F79" s="64" t="str">
        <f>IF(Inicial!L41="SI",Inicial!F41,"N/A")</f>
        <v>N/A</v>
      </c>
      <c r="G79" s="64" t="str">
        <f>IF(Inicial!L41="SI",Inicial!G41,"N/A")</f>
        <v>N/A</v>
      </c>
      <c r="H79" s="64" t="str">
        <f>IF(Inicial!L41="SI",Inicial!H41,"N/A")</f>
        <v>N/A</v>
      </c>
      <c r="I79" s="66" t="str">
        <f>IF(Inicial!L41="SI",Inicial!I41,"N/A")</f>
        <v>N/A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2" t="str" cm="1">
        <f t="array" ref="AG79">IF(OR(M79:AF79="NO"),"No aceptable","Aceptable")</f>
        <v>Aceptable</v>
      </c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3" t="str" cm="1">
        <f t="array" ref="BD79">IF(OR(AK79:BC79="SI"),"Critico","No Critico")</f>
        <v>No Critico</v>
      </c>
    </row>
    <row r="80" spans="1:56" ht="33.75">
      <c r="A80" s="63">
        <f>Inicial!A42</f>
        <v>0</v>
      </c>
      <c r="B80" s="64">
        <f>Inicial!B42</f>
        <v>0</v>
      </c>
      <c r="C80" s="64">
        <f>Inicial!C42</f>
        <v>0</v>
      </c>
      <c r="D80" s="65">
        <f>Inicial!D42</f>
        <v>0</v>
      </c>
      <c r="E80" s="63" t="str">
        <f>IF(Inicial!L42="SI",Inicial!E42,"N/A")</f>
        <v>N/A</v>
      </c>
      <c r="F80" s="64" t="str">
        <f>IF(Inicial!L42="SI",Inicial!F42,"N/A")</f>
        <v>N/A</v>
      </c>
      <c r="G80" s="64" t="str">
        <f>IF(Inicial!L42="SI",Inicial!G42,"N/A")</f>
        <v>N/A</v>
      </c>
      <c r="H80" s="64" t="str">
        <f>IF(Inicial!L42="SI",Inicial!H42,"N/A")</f>
        <v>N/A</v>
      </c>
      <c r="I80" s="66" t="str">
        <f>IF(Inicial!L42="SI",Inicial!I42,"N/A")</f>
        <v>N/A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2" t="str" cm="1">
        <f t="array" ref="AG80">IF(OR(M80:AF80="NO"),"No aceptable","Aceptable")</f>
        <v>Aceptable</v>
      </c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3" t="str" cm="1">
        <f t="array" ref="BD80">IF(OR(AK80:BC80="SI"),"Critico","No Critico")</f>
        <v>No Critico</v>
      </c>
    </row>
    <row r="81" spans="1:56" ht="33.75">
      <c r="A81" s="63">
        <f>Inicial!A43</f>
        <v>0</v>
      </c>
      <c r="B81" s="64">
        <f>Inicial!B43</f>
        <v>0</v>
      </c>
      <c r="C81" s="64">
        <f>Inicial!C43</f>
        <v>0</v>
      </c>
      <c r="D81" s="65">
        <f>Inicial!D43</f>
        <v>0</v>
      </c>
      <c r="E81" s="63" t="str">
        <f>IF(Inicial!L43="SI",Inicial!E43,"N/A")</f>
        <v>N/A</v>
      </c>
      <c r="F81" s="64" t="str">
        <f>IF(Inicial!L43="SI",Inicial!F43,"N/A")</f>
        <v>N/A</v>
      </c>
      <c r="G81" s="64" t="str">
        <f>IF(Inicial!L43="SI",Inicial!G43,"N/A")</f>
        <v>N/A</v>
      </c>
      <c r="H81" s="64" t="str">
        <f>IF(Inicial!L43="SI",Inicial!H43,"N/A")</f>
        <v>N/A</v>
      </c>
      <c r="I81" s="66" t="str">
        <f>IF(Inicial!L43="SI",Inicial!I43,"N/A")</f>
        <v>N/A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2" t="str" cm="1">
        <f t="array" ref="AG81">IF(OR(M81:AF81="NO"),"No aceptable","Aceptable")</f>
        <v>Aceptable</v>
      </c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3" t="str" cm="1">
        <f t="array" ref="BD81">IF(OR(AK81:BC81="SI"),"Critico","No Critico")</f>
        <v>No Critico</v>
      </c>
    </row>
    <row r="82" spans="1:56" ht="33.75">
      <c r="A82" s="63">
        <f>Inicial!A44</f>
        <v>0</v>
      </c>
      <c r="B82" s="64">
        <f>Inicial!B44</f>
        <v>0</v>
      </c>
      <c r="C82" s="64">
        <f>Inicial!C44</f>
        <v>0</v>
      </c>
      <c r="D82" s="65">
        <f>Inicial!D44</f>
        <v>0</v>
      </c>
      <c r="E82" s="63" t="str">
        <f>IF(Inicial!L44="SI",Inicial!E44,"N/A")</f>
        <v>N/A</v>
      </c>
      <c r="F82" s="64" t="str">
        <f>IF(Inicial!L44="SI",Inicial!F44,"N/A")</f>
        <v>N/A</v>
      </c>
      <c r="G82" s="64" t="str">
        <f>IF(Inicial!L44="SI",Inicial!G44,"N/A")</f>
        <v>N/A</v>
      </c>
      <c r="H82" s="64" t="str">
        <f>IF(Inicial!L44="SI",Inicial!H44,"N/A")</f>
        <v>N/A</v>
      </c>
      <c r="I82" s="66" t="str">
        <f>IF(Inicial!L44="SI",Inicial!I44,"N/A")</f>
        <v>N/A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2" t="str" cm="1">
        <f t="array" ref="AG82">IF(OR(M82:AF82="NO"),"No aceptable","Aceptable")</f>
        <v>Aceptable</v>
      </c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3" t="str" cm="1">
        <f t="array" ref="BD82">IF(OR(AK82:BC82="SI"),"Critico","No Critico")</f>
        <v>No Critico</v>
      </c>
    </row>
    <row r="83" spans="1:56" ht="33.75">
      <c r="A83" s="63">
        <f>Inicial!A45</f>
        <v>0</v>
      </c>
      <c r="B83" s="64">
        <f>Inicial!B45</f>
        <v>0</v>
      </c>
      <c r="C83" s="64">
        <f>Inicial!C45</f>
        <v>0</v>
      </c>
      <c r="D83" s="65">
        <f>Inicial!D45</f>
        <v>0</v>
      </c>
      <c r="E83" s="63" t="str">
        <f>IF(Inicial!L45="SI",Inicial!E45,"N/A")</f>
        <v>N/A</v>
      </c>
      <c r="F83" s="64" t="str">
        <f>IF(Inicial!L45="SI",Inicial!F45,"N/A")</f>
        <v>N/A</v>
      </c>
      <c r="G83" s="64" t="str">
        <f>IF(Inicial!L45="SI",Inicial!G45,"N/A")</f>
        <v>N/A</v>
      </c>
      <c r="H83" s="64" t="str">
        <f>IF(Inicial!L45="SI",Inicial!H45,"N/A")</f>
        <v>N/A</v>
      </c>
      <c r="I83" s="66" t="str">
        <f>IF(Inicial!L45="SI",Inicial!I45,"N/A")</f>
        <v>N/A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2" t="str" cm="1">
        <f t="array" ref="AG83">IF(OR(M83:AF83="NO"),"No aceptable","Aceptable")</f>
        <v>Aceptable</v>
      </c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3" t="str" cm="1">
        <f t="array" ref="BD83">IF(OR(AK83:BC83="SI"),"Critico","No Critico")</f>
        <v>No Critico</v>
      </c>
    </row>
    <row r="84" spans="1:56" ht="33.75">
      <c r="A84" s="63">
        <f>Inicial!A46</f>
        <v>0</v>
      </c>
      <c r="B84" s="64">
        <f>Inicial!B46</f>
        <v>0</v>
      </c>
      <c r="C84" s="64">
        <f>Inicial!C46</f>
        <v>0</v>
      </c>
      <c r="D84" s="65">
        <f>Inicial!D46</f>
        <v>0</v>
      </c>
      <c r="E84" s="63" t="str">
        <f>IF(Inicial!L46="SI",Inicial!E46,"N/A")</f>
        <v>N/A</v>
      </c>
      <c r="F84" s="64" t="str">
        <f>IF(Inicial!L46="SI",Inicial!F46,"N/A")</f>
        <v>N/A</v>
      </c>
      <c r="G84" s="64" t="str">
        <f>IF(Inicial!L46="SI",Inicial!G46,"N/A")</f>
        <v>N/A</v>
      </c>
      <c r="H84" s="64" t="str">
        <f>IF(Inicial!L46="SI",Inicial!H46,"N/A")</f>
        <v>N/A</v>
      </c>
      <c r="I84" s="66" t="str">
        <f>IF(Inicial!L46="SI",Inicial!I46,"N/A")</f>
        <v>N/A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2" t="str" cm="1">
        <f t="array" ref="AG84">IF(OR(M84:AF84="NO"),"No aceptable","Aceptable")</f>
        <v>Aceptable</v>
      </c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3" t="str" cm="1">
        <f t="array" ref="BD84">IF(OR(AK84:BC84="SI"),"Critico","No Critico")</f>
        <v>No Critico</v>
      </c>
    </row>
    <row r="85" spans="1:56" ht="33.75">
      <c r="A85" s="63">
        <f>Inicial!A47</f>
        <v>0</v>
      </c>
      <c r="B85" s="64">
        <f>Inicial!B47</f>
        <v>0</v>
      </c>
      <c r="C85" s="64">
        <f>Inicial!C47</f>
        <v>0</v>
      </c>
      <c r="D85" s="65">
        <f>Inicial!D47</f>
        <v>0</v>
      </c>
      <c r="E85" s="63" t="str">
        <f>IF(Inicial!L47="SI",Inicial!E47,"N/A")</f>
        <v>N/A</v>
      </c>
      <c r="F85" s="64" t="str">
        <f>IF(Inicial!L47="SI",Inicial!F47,"N/A")</f>
        <v>N/A</v>
      </c>
      <c r="G85" s="64" t="str">
        <f>IF(Inicial!L47="SI",Inicial!G47,"N/A")</f>
        <v>N/A</v>
      </c>
      <c r="H85" s="64" t="str">
        <f>IF(Inicial!L47="SI",Inicial!H47,"N/A")</f>
        <v>N/A</v>
      </c>
      <c r="I85" s="66" t="str">
        <f>IF(Inicial!L47="SI",Inicial!I47,"N/A")</f>
        <v>N/A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2" t="str" cm="1">
        <f t="array" ref="AG85">IF(OR(M85:AF85="NO"),"No aceptable","Aceptable")</f>
        <v>Aceptable</v>
      </c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3" t="str" cm="1">
        <f t="array" ref="BD85">IF(OR(AK85:BC85="SI"),"Critico","No Critico")</f>
        <v>No Critico</v>
      </c>
    </row>
    <row r="86" spans="1:56" ht="33.75">
      <c r="A86" s="63">
        <f>Inicial!A48</f>
        <v>0</v>
      </c>
      <c r="B86" s="64">
        <f>Inicial!B48</f>
        <v>0</v>
      </c>
      <c r="C86" s="64">
        <f>Inicial!C48</f>
        <v>0</v>
      </c>
      <c r="D86" s="65">
        <f>Inicial!D48</f>
        <v>0</v>
      </c>
      <c r="E86" s="63" t="str">
        <f>IF(Inicial!L48="SI",Inicial!E48,"N/A")</f>
        <v>N/A</v>
      </c>
      <c r="F86" s="64" t="str">
        <f>IF(Inicial!L48="SI",Inicial!F48,"N/A")</f>
        <v>N/A</v>
      </c>
      <c r="G86" s="64" t="str">
        <f>IF(Inicial!L48="SI",Inicial!G48,"N/A")</f>
        <v>N/A</v>
      </c>
      <c r="H86" s="64" t="str">
        <f>IF(Inicial!L48="SI",Inicial!H48,"N/A")</f>
        <v>N/A</v>
      </c>
      <c r="I86" s="66" t="str">
        <f>IF(Inicial!L48="SI",Inicial!I48,"N/A")</f>
        <v>N/A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2" t="str" cm="1">
        <f t="array" ref="AG86">IF(OR(M86:AF86="NO"),"No aceptable","Aceptable")</f>
        <v>Aceptable</v>
      </c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3" t="str" cm="1">
        <f t="array" ref="BD86">IF(OR(AK86:BC86="SI"),"Critico","No Critico")</f>
        <v>No Critico</v>
      </c>
    </row>
    <row r="87" spans="1:56" ht="33.75">
      <c r="A87" s="63">
        <f>Inicial!A49</f>
        <v>0</v>
      </c>
      <c r="B87" s="64">
        <f>Inicial!B49</f>
        <v>0</v>
      </c>
      <c r="C87" s="64">
        <f>Inicial!C49</f>
        <v>0</v>
      </c>
      <c r="D87" s="65">
        <f>Inicial!D49</f>
        <v>0</v>
      </c>
      <c r="E87" s="63" t="str">
        <f>IF(Inicial!L49="SI",Inicial!E49,"N/A")</f>
        <v>N/A</v>
      </c>
      <c r="F87" s="64" t="str">
        <f>IF(Inicial!L49="SI",Inicial!F49,"N/A")</f>
        <v>N/A</v>
      </c>
      <c r="G87" s="64" t="str">
        <f>IF(Inicial!L49="SI",Inicial!G49,"N/A")</f>
        <v>N/A</v>
      </c>
      <c r="H87" s="64" t="str">
        <f>IF(Inicial!L49="SI",Inicial!H49,"N/A")</f>
        <v>N/A</v>
      </c>
      <c r="I87" s="66" t="str">
        <f>IF(Inicial!L49="SI",Inicial!I49,"N/A")</f>
        <v>N/A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2" t="str" cm="1">
        <f t="array" ref="AG87">IF(OR(M87:AF87="NO"),"No aceptable","Aceptable")</f>
        <v>Aceptable</v>
      </c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3" t="str" cm="1">
        <f t="array" ref="BD87">IF(OR(AK87:BC87="SI"),"Critico","No Critico")</f>
        <v>No Critico</v>
      </c>
    </row>
    <row r="88" spans="1:56" ht="33.75">
      <c r="A88" s="63">
        <f>Inicial!A50</f>
        <v>0</v>
      </c>
      <c r="B88" s="64">
        <f>Inicial!B50</f>
        <v>0</v>
      </c>
      <c r="C88" s="64">
        <f>Inicial!C50</f>
        <v>0</v>
      </c>
      <c r="D88" s="65">
        <f>Inicial!D50</f>
        <v>0</v>
      </c>
      <c r="E88" s="63" t="str">
        <f>IF(Inicial!L50="SI",Inicial!E50,"N/A")</f>
        <v>N/A</v>
      </c>
      <c r="F88" s="64" t="str">
        <f>IF(Inicial!L50="SI",Inicial!F50,"N/A")</f>
        <v>N/A</v>
      </c>
      <c r="G88" s="64" t="str">
        <f>IF(Inicial!L50="SI",Inicial!G50,"N/A")</f>
        <v>N/A</v>
      </c>
      <c r="H88" s="64" t="str">
        <f>IF(Inicial!L50="SI",Inicial!H50,"N/A")</f>
        <v>N/A</v>
      </c>
      <c r="I88" s="66" t="str">
        <f>IF(Inicial!L50="SI",Inicial!I50,"N/A")</f>
        <v>N/A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2" t="str" cm="1">
        <f t="array" ref="AG88">IF(OR(M88:AF88="NO"),"No aceptable","Aceptable")</f>
        <v>Aceptable</v>
      </c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3" t="str" cm="1">
        <f t="array" ref="BD88">IF(OR(AK88:BC88="SI"),"Critico","No Critico")</f>
        <v>No Critico</v>
      </c>
    </row>
    <row r="89" spans="1:56" ht="33.75">
      <c r="A89" s="63">
        <f>Inicial!A51</f>
        <v>0</v>
      </c>
      <c r="B89" s="64">
        <f>Inicial!B51</f>
        <v>0</v>
      </c>
      <c r="C89" s="64">
        <f>Inicial!C51</f>
        <v>0</v>
      </c>
      <c r="D89" s="65">
        <f>Inicial!D51</f>
        <v>0</v>
      </c>
      <c r="E89" s="63" t="str">
        <f>IF(Inicial!L51="SI",Inicial!E51,"N/A")</f>
        <v>N/A</v>
      </c>
      <c r="F89" s="64" t="str">
        <f>IF(Inicial!L51="SI",Inicial!F51,"N/A")</f>
        <v>N/A</v>
      </c>
      <c r="G89" s="64" t="str">
        <f>IF(Inicial!L51="SI",Inicial!G51,"N/A")</f>
        <v>N/A</v>
      </c>
      <c r="H89" s="64" t="str">
        <f>IF(Inicial!L51="SI",Inicial!H51,"N/A")</f>
        <v>N/A</v>
      </c>
      <c r="I89" s="66" t="str">
        <f>IF(Inicial!L51="SI",Inicial!I51,"N/A")</f>
        <v>N/A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2" t="str" cm="1">
        <f t="array" ref="AG89">IF(OR(M89:AF89="NO"),"No aceptable","Aceptable")</f>
        <v>Aceptable</v>
      </c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3" t="str" cm="1">
        <f t="array" ref="BD89">IF(OR(AK89:BC89="SI"),"Critico","No Critico")</f>
        <v>No Critico</v>
      </c>
    </row>
    <row r="90" spans="1:56" ht="33.75">
      <c r="A90" s="63">
        <f>Inicial!A52</f>
        <v>0</v>
      </c>
      <c r="B90" s="64">
        <f>Inicial!B52</f>
        <v>0</v>
      </c>
      <c r="C90" s="64">
        <f>Inicial!C52</f>
        <v>0</v>
      </c>
      <c r="D90" s="65">
        <f>Inicial!D52</f>
        <v>0</v>
      </c>
      <c r="E90" s="63" t="str">
        <f>IF(Inicial!L52="SI",Inicial!E52,"N/A")</f>
        <v>N/A</v>
      </c>
      <c r="F90" s="64" t="str">
        <f>IF(Inicial!L52="SI",Inicial!F52,"N/A")</f>
        <v>N/A</v>
      </c>
      <c r="G90" s="64" t="str">
        <f>IF(Inicial!L52="SI",Inicial!G52,"N/A")</f>
        <v>N/A</v>
      </c>
      <c r="H90" s="64" t="str">
        <f>IF(Inicial!L52="SI",Inicial!H52,"N/A")</f>
        <v>N/A</v>
      </c>
      <c r="I90" s="66" t="str">
        <f>IF(Inicial!L52="SI",Inicial!I52,"N/A")</f>
        <v>N/A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2" t="str" cm="1">
        <f t="array" ref="AG90">IF(OR(M90:AF90="NO"),"No aceptable","Aceptable")</f>
        <v>Aceptable</v>
      </c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3" t="str" cm="1">
        <f t="array" ref="BD90">IF(OR(AK90:BC90="SI"),"Critico","No Critico")</f>
        <v>No Critico</v>
      </c>
    </row>
    <row r="91" spans="1:56" ht="33.75">
      <c r="A91" s="63">
        <f>Inicial!A53</f>
        <v>0</v>
      </c>
      <c r="B91" s="64">
        <f>Inicial!B53</f>
        <v>0</v>
      </c>
      <c r="C91" s="64">
        <f>Inicial!C53</f>
        <v>0</v>
      </c>
      <c r="D91" s="65">
        <f>Inicial!D53</f>
        <v>0</v>
      </c>
      <c r="E91" s="63" t="str">
        <f>IF(Inicial!L53="SI",Inicial!E53,"N/A")</f>
        <v>N/A</v>
      </c>
      <c r="F91" s="64" t="str">
        <f>IF(Inicial!L53="SI",Inicial!F53,"N/A")</f>
        <v>N/A</v>
      </c>
      <c r="G91" s="64" t="str">
        <f>IF(Inicial!L53="SI",Inicial!G53,"N/A")</f>
        <v>N/A</v>
      </c>
      <c r="H91" s="64" t="str">
        <f>IF(Inicial!L53="SI",Inicial!H53,"N/A")</f>
        <v>N/A</v>
      </c>
      <c r="I91" s="66" t="str">
        <f>IF(Inicial!L53="SI",Inicial!I53,"N/A")</f>
        <v>N/A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2" t="str" cm="1">
        <f t="array" ref="AG91">IF(OR(M91:AF91="NO"),"No aceptable","Aceptable")</f>
        <v>Aceptable</v>
      </c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3" t="str" cm="1">
        <f t="array" ref="BD91">IF(OR(AK91:BC91="SI"),"Critico","No Critico")</f>
        <v>No Critico</v>
      </c>
    </row>
    <row r="92" spans="1:56" ht="33.75">
      <c r="A92" s="63">
        <f>Inicial!A54</f>
        <v>0</v>
      </c>
      <c r="B92" s="64">
        <f>Inicial!B54</f>
        <v>0</v>
      </c>
      <c r="C92" s="64">
        <f>Inicial!C54</f>
        <v>0</v>
      </c>
      <c r="D92" s="65">
        <f>Inicial!D54</f>
        <v>0</v>
      </c>
      <c r="E92" s="63" t="str">
        <f>IF(Inicial!L54="SI",Inicial!E54,"N/A")</f>
        <v>N/A</v>
      </c>
      <c r="F92" s="64" t="str">
        <f>IF(Inicial!L54="SI",Inicial!F54,"N/A")</f>
        <v>N/A</v>
      </c>
      <c r="G92" s="64" t="str">
        <f>IF(Inicial!L54="SI",Inicial!G54,"N/A")</f>
        <v>N/A</v>
      </c>
      <c r="H92" s="64" t="str">
        <f>IF(Inicial!L54="SI",Inicial!H54,"N/A")</f>
        <v>N/A</v>
      </c>
      <c r="I92" s="66" t="str">
        <f>IF(Inicial!L54="SI",Inicial!I54,"N/A")</f>
        <v>N/A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2" t="str" cm="1">
        <f t="array" ref="AG92">IF(OR(M92:AF92="NO"),"No aceptable","Aceptable")</f>
        <v>Aceptable</v>
      </c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3" t="str" cm="1">
        <f t="array" ref="BD92">IF(OR(AK92:BC92="SI"),"Critico","No Critico")</f>
        <v>No Critico</v>
      </c>
    </row>
    <row r="93" spans="1:56" ht="33.75">
      <c r="A93" s="63">
        <f>Inicial!A55</f>
        <v>0</v>
      </c>
      <c r="B93" s="64">
        <f>Inicial!B55</f>
        <v>0</v>
      </c>
      <c r="C93" s="64">
        <f>Inicial!C55</f>
        <v>0</v>
      </c>
      <c r="D93" s="65">
        <f>Inicial!D55</f>
        <v>0</v>
      </c>
      <c r="E93" s="63" t="str">
        <f>IF(Inicial!L55="SI",Inicial!E55,"N/A")</f>
        <v>N/A</v>
      </c>
      <c r="F93" s="64" t="str">
        <f>IF(Inicial!L55="SI",Inicial!F55,"N/A")</f>
        <v>N/A</v>
      </c>
      <c r="G93" s="64" t="str">
        <f>IF(Inicial!L55="SI",Inicial!G55,"N/A")</f>
        <v>N/A</v>
      </c>
      <c r="H93" s="64" t="str">
        <f>IF(Inicial!L55="SI",Inicial!H55,"N/A")</f>
        <v>N/A</v>
      </c>
      <c r="I93" s="66" t="str">
        <f>IF(Inicial!L55="SI",Inicial!I55,"N/A")</f>
        <v>N/A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2" t="str" cm="1">
        <f t="array" ref="AG93">IF(OR(M93:AF93="NO"),"No aceptable","Aceptable")</f>
        <v>Aceptable</v>
      </c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3" t="str" cm="1">
        <f t="array" ref="BD93">IF(OR(AK93:BC93="SI"),"Critico","No Critico")</f>
        <v>No Critico</v>
      </c>
    </row>
    <row r="94" spans="1:56" ht="33.75">
      <c r="A94" s="63">
        <f>Inicial!A56</f>
        <v>0</v>
      </c>
      <c r="B94" s="64">
        <f>Inicial!B56</f>
        <v>0</v>
      </c>
      <c r="C94" s="64">
        <f>Inicial!C56</f>
        <v>0</v>
      </c>
      <c r="D94" s="65">
        <f>Inicial!D56</f>
        <v>0</v>
      </c>
      <c r="E94" s="63" t="str">
        <f>IF(Inicial!L56="SI",Inicial!E56,"N/A")</f>
        <v>N/A</v>
      </c>
      <c r="F94" s="64" t="str">
        <f>IF(Inicial!L56="SI",Inicial!F56,"N/A")</f>
        <v>N/A</v>
      </c>
      <c r="G94" s="64" t="str">
        <f>IF(Inicial!L56="SI",Inicial!G56,"N/A")</f>
        <v>N/A</v>
      </c>
      <c r="H94" s="64" t="str">
        <f>IF(Inicial!L56="SI",Inicial!H56,"N/A")</f>
        <v>N/A</v>
      </c>
      <c r="I94" s="66" t="str">
        <f>IF(Inicial!L56="SI",Inicial!I56,"N/A")</f>
        <v>N/A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2" t="str" cm="1">
        <f t="array" ref="AG94">IF(OR(M94:AF94="NO"),"No aceptable","Aceptable")</f>
        <v>Aceptable</v>
      </c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3" t="str" cm="1">
        <f t="array" ref="BD94">IF(OR(AK94:BC94="SI"),"Critico","No Critico")</f>
        <v>No Critico</v>
      </c>
    </row>
    <row r="95" spans="1:56" ht="33.75">
      <c r="A95" s="63">
        <f>Inicial!A57</f>
        <v>0</v>
      </c>
      <c r="B95" s="64">
        <f>Inicial!B57</f>
        <v>0</v>
      </c>
      <c r="C95" s="64">
        <f>Inicial!C57</f>
        <v>0</v>
      </c>
      <c r="D95" s="65">
        <f>Inicial!D57</f>
        <v>0</v>
      </c>
      <c r="E95" s="63" t="str">
        <f>IF(Inicial!L57="SI",Inicial!E57,"N/A")</f>
        <v>N/A</v>
      </c>
      <c r="F95" s="64" t="str">
        <f>IF(Inicial!L57="SI",Inicial!F57,"N/A")</f>
        <v>N/A</v>
      </c>
      <c r="G95" s="64" t="str">
        <f>IF(Inicial!L57="SI",Inicial!G57,"N/A")</f>
        <v>N/A</v>
      </c>
      <c r="H95" s="64" t="str">
        <f>IF(Inicial!L57="SI",Inicial!H57,"N/A")</f>
        <v>N/A</v>
      </c>
      <c r="I95" s="66" t="str">
        <f>IF(Inicial!L57="SI",Inicial!I57,"N/A")</f>
        <v>N/A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2" t="str" cm="1">
        <f t="array" ref="AG95">IF(OR(M95:AF95="NO"),"No aceptable","Aceptable")</f>
        <v>Aceptable</v>
      </c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3" t="str" cm="1">
        <f t="array" ref="BD95">IF(OR(AK95:BC95="SI"),"Critico","No Critico")</f>
        <v>No Critico</v>
      </c>
    </row>
    <row r="96" spans="1:56" ht="33.75">
      <c r="A96" s="63">
        <f>Inicial!A58</f>
        <v>0</v>
      </c>
      <c r="B96" s="64">
        <f>Inicial!B58</f>
        <v>0</v>
      </c>
      <c r="C96" s="64">
        <f>Inicial!C58</f>
        <v>0</v>
      </c>
      <c r="D96" s="65">
        <f>Inicial!D58</f>
        <v>0</v>
      </c>
      <c r="E96" s="63" t="str">
        <f>IF(Inicial!L58="SI",Inicial!E58,"N/A")</f>
        <v>N/A</v>
      </c>
      <c r="F96" s="64" t="str">
        <f>IF(Inicial!L58="SI",Inicial!F58,"N/A")</f>
        <v>N/A</v>
      </c>
      <c r="G96" s="64" t="str">
        <f>IF(Inicial!L58="SI",Inicial!G58,"N/A")</f>
        <v>N/A</v>
      </c>
      <c r="H96" s="64" t="str">
        <f>IF(Inicial!L58="SI",Inicial!H58,"N/A")</f>
        <v>N/A</v>
      </c>
      <c r="I96" s="66" t="str">
        <f>IF(Inicial!L58="SI",Inicial!I58,"N/A")</f>
        <v>N/A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2" t="str" cm="1">
        <f t="array" ref="AG96">IF(OR(M96:AF96="NO"),"No aceptable","Aceptable")</f>
        <v>Aceptable</v>
      </c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3" t="str" cm="1">
        <f t="array" ref="BD96">IF(OR(AK96:BC96="SI"),"Critico","No Critico")</f>
        <v>No Critico</v>
      </c>
    </row>
    <row r="97" spans="1:56" ht="33.75">
      <c r="A97" s="63">
        <f>Inicial!A59</f>
        <v>0</v>
      </c>
      <c r="B97" s="64">
        <f>Inicial!B59</f>
        <v>0</v>
      </c>
      <c r="C97" s="64">
        <f>Inicial!C59</f>
        <v>0</v>
      </c>
      <c r="D97" s="65">
        <f>Inicial!D59</f>
        <v>0</v>
      </c>
      <c r="E97" s="63" t="str">
        <f>IF(Inicial!L59="SI",Inicial!E59,"N/A")</f>
        <v>N/A</v>
      </c>
      <c r="F97" s="64" t="str">
        <f>IF(Inicial!L59="SI",Inicial!F59,"N/A")</f>
        <v>N/A</v>
      </c>
      <c r="G97" s="64" t="str">
        <f>IF(Inicial!L59="SI",Inicial!G59,"N/A")</f>
        <v>N/A</v>
      </c>
      <c r="H97" s="64" t="str">
        <f>IF(Inicial!L59="SI",Inicial!H59,"N/A")</f>
        <v>N/A</v>
      </c>
      <c r="I97" s="66" t="str">
        <f>IF(Inicial!L59="SI",Inicial!I59,"N/A")</f>
        <v>N/A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2" t="str" cm="1">
        <f t="array" ref="AG97">IF(OR(M97:AF97="NO"),"No aceptable","Aceptable")</f>
        <v>Aceptable</v>
      </c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3" t="str" cm="1">
        <f t="array" ref="BD97">IF(OR(AK97:BC97="SI"),"Critico","No Critico")</f>
        <v>No Critico</v>
      </c>
    </row>
    <row r="98" spans="1:56" ht="33.75">
      <c r="A98" s="63">
        <f>Inicial!A60</f>
        <v>0</v>
      </c>
      <c r="B98" s="64">
        <f>Inicial!B60</f>
        <v>0</v>
      </c>
      <c r="C98" s="64">
        <f>Inicial!C60</f>
        <v>0</v>
      </c>
      <c r="D98" s="65">
        <f>Inicial!D60</f>
        <v>0</v>
      </c>
      <c r="E98" s="63" t="str">
        <f>IF(Inicial!L60="SI",Inicial!E60,"N/A")</f>
        <v>N/A</v>
      </c>
      <c r="F98" s="64" t="str">
        <f>IF(Inicial!L60="SI",Inicial!F60,"N/A")</f>
        <v>N/A</v>
      </c>
      <c r="G98" s="64" t="str">
        <f>IF(Inicial!L60="SI",Inicial!G60,"N/A")</f>
        <v>N/A</v>
      </c>
      <c r="H98" s="64" t="str">
        <f>IF(Inicial!L60="SI",Inicial!H60,"N/A")</f>
        <v>N/A</v>
      </c>
      <c r="I98" s="66" t="str">
        <f>IF(Inicial!L60="SI",Inicial!I60,"N/A")</f>
        <v>N/A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2" t="str" cm="1">
        <f t="array" ref="AG98">IF(OR(M98:AF98="NO"),"No aceptable","Aceptable")</f>
        <v>Aceptable</v>
      </c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3" t="str" cm="1">
        <f t="array" ref="BD98">IF(OR(AK98:BC98="SI"),"Critico","No Critico")</f>
        <v>No Critico</v>
      </c>
    </row>
    <row r="99" spans="1:56" ht="33.75">
      <c r="A99" s="63">
        <f>Inicial!A61</f>
        <v>0</v>
      </c>
      <c r="B99" s="64">
        <f>Inicial!B61</f>
        <v>0</v>
      </c>
      <c r="C99" s="64">
        <f>Inicial!C61</f>
        <v>0</v>
      </c>
      <c r="D99" s="65">
        <f>Inicial!D61</f>
        <v>0</v>
      </c>
      <c r="E99" s="63" t="str">
        <f>IF(Inicial!L61="SI",Inicial!E61,"N/A")</f>
        <v>N/A</v>
      </c>
      <c r="F99" s="64" t="str">
        <f>IF(Inicial!L61="SI",Inicial!F61,"N/A")</f>
        <v>N/A</v>
      </c>
      <c r="G99" s="64" t="str">
        <f>IF(Inicial!L61="SI",Inicial!G61,"N/A")</f>
        <v>N/A</v>
      </c>
      <c r="H99" s="64" t="str">
        <f>IF(Inicial!L61="SI",Inicial!H61,"N/A")</f>
        <v>N/A</v>
      </c>
      <c r="I99" s="66" t="str">
        <f>IF(Inicial!L61="SI",Inicial!I61,"N/A")</f>
        <v>N/A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2" t="str" cm="1">
        <f t="array" ref="AG99">IF(OR(M99:AF99="NO"),"No aceptable","Aceptable")</f>
        <v>Aceptable</v>
      </c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3" t="str" cm="1">
        <f t="array" ref="BD99">IF(OR(AK99:BC99="SI"),"Critico","No Critico")</f>
        <v>No Critico</v>
      </c>
    </row>
    <row r="100" spans="1:56" ht="33.75">
      <c r="A100" s="63">
        <f>Inicial!A62</f>
        <v>0</v>
      </c>
      <c r="B100" s="64">
        <f>Inicial!B62</f>
        <v>0</v>
      </c>
      <c r="C100" s="64">
        <f>Inicial!C62</f>
        <v>0</v>
      </c>
      <c r="D100" s="65">
        <f>Inicial!D62</f>
        <v>0</v>
      </c>
      <c r="E100" s="63" t="str">
        <f>IF(Inicial!L62="SI",Inicial!E62,"N/A")</f>
        <v>N/A</v>
      </c>
      <c r="F100" s="64" t="str">
        <f>IF(Inicial!L62="SI",Inicial!F62,"N/A")</f>
        <v>N/A</v>
      </c>
      <c r="G100" s="64" t="str">
        <f>IF(Inicial!L62="SI",Inicial!G62,"N/A")</f>
        <v>N/A</v>
      </c>
      <c r="H100" s="64" t="str">
        <f>IF(Inicial!L62="SI",Inicial!H62,"N/A")</f>
        <v>N/A</v>
      </c>
      <c r="I100" s="66" t="str">
        <f>IF(Inicial!L62="SI",Inicial!I62,"N/A")</f>
        <v>N/A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2" t="str" cm="1">
        <f t="array" ref="AG100">IF(OR(M100:AF100="NO"),"No aceptable","Aceptable")</f>
        <v>Aceptable</v>
      </c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3" t="str" cm="1">
        <f t="array" ref="BD100">IF(OR(AK100:BC100="SI"),"Critico","No Critico")</f>
        <v>No Critico</v>
      </c>
    </row>
    <row r="101" spans="1:56" ht="33.75">
      <c r="A101" s="63">
        <f>Inicial!A63</f>
        <v>0</v>
      </c>
      <c r="B101" s="64">
        <f>Inicial!B63</f>
        <v>0</v>
      </c>
      <c r="C101" s="64">
        <f>Inicial!C63</f>
        <v>0</v>
      </c>
      <c r="D101" s="65">
        <f>Inicial!D63</f>
        <v>0</v>
      </c>
      <c r="E101" s="63" t="str">
        <f>IF(Inicial!L63="SI",Inicial!E63,"N/A")</f>
        <v>N/A</v>
      </c>
      <c r="F101" s="64" t="str">
        <f>IF(Inicial!L63="SI",Inicial!F63,"N/A")</f>
        <v>N/A</v>
      </c>
      <c r="G101" s="64" t="str">
        <f>IF(Inicial!L63="SI",Inicial!G63,"N/A")</f>
        <v>N/A</v>
      </c>
      <c r="H101" s="64" t="str">
        <f>IF(Inicial!L63="SI",Inicial!H63,"N/A")</f>
        <v>N/A</v>
      </c>
      <c r="I101" s="66" t="str">
        <f>IF(Inicial!L63="SI",Inicial!I63,"N/A")</f>
        <v>N/A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2" t="str" cm="1">
        <f t="array" ref="AG101">IF(OR(M101:AF101="NO"),"No aceptable","Aceptable")</f>
        <v>Aceptable</v>
      </c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3" t="str" cm="1">
        <f t="array" ref="BD101">IF(OR(AK101:BC101="SI"),"Critico","No Critico")</f>
        <v>No Critico</v>
      </c>
    </row>
    <row r="102" spans="1:56" ht="33.75">
      <c r="A102" s="63">
        <f>Inicial!A64</f>
        <v>0</v>
      </c>
      <c r="B102" s="64">
        <f>Inicial!B64</f>
        <v>0</v>
      </c>
      <c r="C102" s="64">
        <f>Inicial!C64</f>
        <v>0</v>
      </c>
      <c r="D102" s="65">
        <f>Inicial!D64</f>
        <v>0</v>
      </c>
      <c r="E102" s="63" t="str">
        <f>IF(Inicial!L64="SI",Inicial!E64,"N/A")</f>
        <v>N/A</v>
      </c>
      <c r="F102" s="64" t="str">
        <f>IF(Inicial!L64="SI",Inicial!F64,"N/A")</f>
        <v>N/A</v>
      </c>
      <c r="G102" s="64" t="str">
        <f>IF(Inicial!L64="SI",Inicial!G64,"N/A")</f>
        <v>N/A</v>
      </c>
      <c r="H102" s="64" t="str">
        <f>IF(Inicial!L64="SI",Inicial!H64,"N/A")</f>
        <v>N/A</v>
      </c>
      <c r="I102" s="66" t="str">
        <f>IF(Inicial!L64="SI",Inicial!I64,"N/A")</f>
        <v>N/A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2" t="str" cm="1">
        <f t="array" ref="AG102">IF(OR(M102:AF102="NO"),"No aceptable","Aceptable")</f>
        <v>Aceptable</v>
      </c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3" t="str" cm="1">
        <f t="array" ref="BD102">IF(OR(AK102:BC102="SI"),"Critico","No Critico")</f>
        <v>No Critico</v>
      </c>
    </row>
    <row r="103" spans="1:56" ht="33.75">
      <c r="A103" s="63">
        <f>Inicial!A65</f>
        <v>0</v>
      </c>
      <c r="B103" s="64">
        <f>Inicial!B65</f>
        <v>0</v>
      </c>
      <c r="C103" s="64">
        <f>Inicial!C65</f>
        <v>0</v>
      </c>
      <c r="D103" s="65">
        <f>Inicial!D65</f>
        <v>0</v>
      </c>
      <c r="E103" s="63" t="str">
        <f>IF(Inicial!L65="SI",Inicial!E65,"N/A")</f>
        <v>N/A</v>
      </c>
      <c r="F103" s="64" t="str">
        <f>IF(Inicial!L65="SI",Inicial!F65,"N/A")</f>
        <v>N/A</v>
      </c>
      <c r="G103" s="64" t="str">
        <f>IF(Inicial!L65="SI",Inicial!G65,"N/A")</f>
        <v>N/A</v>
      </c>
      <c r="H103" s="64" t="str">
        <f>IF(Inicial!L65="SI",Inicial!H65,"N/A")</f>
        <v>N/A</v>
      </c>
      <c r="I103" s="66" t="str">
        <f>IF(Inicial!L65="SI",Inicial!I65,"N/A")</f>
        <v>N/A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2" t="str" cm="1">
        <f t="array" ref="AG103">IF(OR(M103:AF103="NO"),"No aceptable","Aceptable")</f>
        <v>Aceptable</v>
      </c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3" t="str" cm="1">
        <f t="array" ref="BD103">IF(OR(AK103:BC103="SI"),"Critico","No Critico")</f>
        <v>No Critico</v>
      </c>
    </row>
    <row r="104" spans="1:56" ht="33.75">
      <c r="A104" s="63">
        <f>Inicial!A66</f>
        <v>0</v>
      </c>
      <c r="B104" s="64">
        <f>Inicial!B66</f>
        <v>0</v>
      </c>
      <c r="C104" s="64">
        <f>Inicial!C66</f>
        <v>0</v>
      </c>
      <c r="D104" s="65">
        <f>Inicial!D66</f>
        <v>0</v>
      </c>
      <c r="E104" s="63" t="str">
        <f>IF(Inicial!L66="SI",Inicial!E66,"N/A")</f>
        <v>N/A</v>
      </c>
      <c r="F104" s="64" t="str">
        <f>IF(Inicial!L66="SI",Inicial!F66,"N/A")</f>
        <v>N/A</v>
      </c>
      <c r="G104" s="64" t="str">
        <f>IF(Inicial!L66="SI",Inicial!G66,"N/A")</f>
        <v>N/A</v>
      </c>
      <c r="H104" s="64" t="str">
        <f>IF(Inicial!L66="SI",Inicial!H66,"N/A")</f>
        <v>N/A</v>
      </c>
      <c r="I104" s="66" t="str">
        <f>IF(Inicial!L66="SI",Inicial!I66,"N/A")</f>
        <v>N/A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2" t="str" cm="1">
        <f t="array" ref="AG104">IF(OR(M104:AF104="NO"),"No aceptable","Aceptable")</f>
        <v>Aceptable</v>
      </c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3" t="str" cm="1">
        <f t="array" ref="BD104">IF(OR(AK104:BC104="SI"),"Critico","No Critico")</f>
        <v>No Critico</v>
      </c>
    </row>
    <row r="105" spans="1:56" ht="33.75">
      <c r="A105" s="63">
        <f>Inicial!A67</f>
        <v>0</v>
      </c>
      <c r="B105" s="64">
        <f>Inicial!B67</f>
        <v>0</v>
      </c>
      <c r="C105" s="64">
        <f>Inicial!C67</f>
        <v>0</v>
      </c>
      <c r="D105" s="65">
        <f>Inicial!D67</f>
        <v>0</v>
      </c>
      <c r="E105" s="63" t="str">
        <f>IF(Inicial!L67="SI",Inicial!E67,"N/A")</f>
        <v>N/A</v>
      </c>
      <c r="F105" s="64" t="str">
        <f>IF(Inicial!L67="SI",Inicial!F67,"N/A")</f>
        <v>N/A</v>
      </c>
      <c r="G105" s="64" t="str">
        <f>IF(Inicial!L67="SI",Inicial!G67,"N/A")</f>
        <v>N/A</v>
      </c>
      <c r="H105" s="64" t="str">
        <f>IF(Inicial!L67="SI",Inicial!H67,"N/A")</f>
        <v>N/A</v>
      </c>
      <c r="I105" s="66" t="str">
        <f>IF(Inicial!L67="SI",Inicial!I67,"N/A")</f>
        <v>N/A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2" t="str" cm="1">
        <f t="array" ref="AG105">IF(OR(M105:AF105="NO"),"No aceptable","Aceptable")</f>
        <v>Aceptable</v>
      </c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3" t="str" cm="1">
        <f t="array" ref="BD105">IF(OR(AK105:BC105="SI"),"Critico","No Critico")</f>
        <v>No Critico</v>
      </c>
    </row>
    <row r="106" spans="1:56" ht="33.75">
      <c r="A106" s="63">
        <f>Inicial!A68</f>
        <v>0</v>
      </c>
      <c r="B106" s="64">
        <f>Inicial!B68</f>
        <v>0</v>
      </c>
      <c r="C106" s="64">
        <f>Inicial!C68</f>
        <v>0</v>
      </c>
      <c r="D106" s="65">
        <f>Inicial!D68</f>
        <v>0</v>
      </c>
      <c r="E106" s="63" t="str">
        <f>IF(Inicial!L68="SI",Inicial!E68,"N/A")</f>
        <v>N/A</v>
      </c>
      <c r="F106" s="64" t="str">
        <f>IF(Inicial!L68="SI",Inicial!F68,"N/A")</f>
        <v>N/A</v>
      </c>
      <c r="G106" s="64" t="str">
        <f>IF(Inicial!L68="SI",Inicial!G68,"N/A")</f>
        <v>N/A</v>
      </c>
      <c r="H106" s="64" t="str">
        <f>IF(Inicial!L68="SI",Inicial!H68,"N/A")</f>
        <v>N/A</v>
      </c>
      <c r="I106" s="66" t="str">
        <f>IF(Inicial!L68="SI",Inicial!I68,"N/A")</f>
        <v>N/A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2" t="str" cm="1">
        <f t="array" ref="AG106">IF(OR(M106:AF106="NO"),"No aceptable","Aceptable")</f>
        <v>Aceptable</v>
      </c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3" t="str" cm="1">
        <f t="array" ref="BD106">IF(OR(AK106:BC106="SI"),"Critico","No Critico")</f>
        <v>No Critico</v>
      </c>
    </row>
    <row r="107" spans="1:56" ht="33.75">
      <c r="A107" s="63">
        <f>Inicial!A69</f>
        <v>0</v>
      </c>
      <c r="B107" s="64">
        <f>Inicial!B69</f>
        <v>0</v>
      </c>
      <c r="C107" s="64">
        <f>Inicial!C69</f>
        <v>0</v>
      </c>
      <c r="D107" s="65">
        <f>Inicial!D69</f>
        <v>0</v>
      </c>
      <c r="E107" s="63" t="str">
        <f>IF(Inicial!L69="SI",Inicial!E69,"N/A")</f>
        <v>N/A</v>
      </c>
      <c r="F107" s="64" t="str">
        <f>IF(Inicial!L69="SI",Inicial!F69,"N/A")</f>
        <v>N/A</v>
      </c>
      <c r="G107" s="64" t="str">
        <f>IF(Inicial!L69="SI",Inicial!G69,"N/A")</f>
        <v>N/A</v>
      </c>
      <c r="H107" s="64" t="str">
        <f>IF(Inicial!L69="SI",Inicial!H69,"N/A")</f>
        <v>N/A</v>
      </c>
      <c r="I107" s="66" t="str">
        <f>IF(Inicial!L69="SI",Inicial!I69,"N/A")</f>
        <v>N/A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2" t="str" cm="1">
        <f t="array" ref="AG107">IF(OR(M107:AF107="NO"),"No aceptable","Aceptable")</f>
        <v>Aceptable</v>
      </c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3" t="str" cm="1">
        <f t="array" ref="BD107">IF(OR(AK107:BC107="SI"),"Critico","No Critico")</f>
        <v>No Critico</v>
      </c>
    </row>
    <row r="108" spans="1:56" ht="33.75">
      <c r="A108" s="63">
        <f>Inicial!A70</f>
        <v>0</v>
      </c>
      <c r="B108" s="64">
        <f>Inicial!B70</f>
        <v>0</v>
      </c>
      <c r="C108" s="64">
        <f>Inicial!C70</f>
        <v>0</v>
      </c>
      <c r="D108" s="65">
        <f>Inicial!D70</f>
        <v>0</v>
      </c>
      <c r="E108" s="63" t="str">
        <f>IF(Inicial!L70="SI",Inicial!E70,"N/A")</f>
        <v>N/A</v>
      </c>
      <c r="F108" s="64" t="str">
        <f>IF(Inicial!L70="SI",Inicial!F70,"N/A")</f>
        <v>N/A</v>
      </c>
      <c r="G108" s="64" t="str">
        <f>IF(Inicial!L70="SI",Inicial!G70,"N/A")</f>
        <v>N/A</v>
      </c>
      <c r="H108" s="64" t="str">
        <f>IF(Inicial!L70="SI",Inicial!H70,"N/A")</f>
        <v>N/A</v>
      </c>
      <c r="I108" s="66" t="str">
        <f>IF(Inicial!L70="SI",Inicial!I70,"N/A")</f>
        <v>N/A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2" t="str" cm="1">
        <f t="array" ref="AG108">IF(OR(M108:AF108="NO"),"No aceptable","Aceptable")</f>
        <v>Aceptable</v>
      </c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3" t="str" cm="1">
        <f t="array" ref="BD108">IF(OR(AK108:BC108="SI"),"Critico","No Critico")</f>
        <v>No Critico</v>
      </c>
    </row>
    <row r="109" spans="1:56" ht="33.75">
      <c r="A109" s="63">
        <f>Inicial!A71</f>
        <v>0</v>
      </c>
      <c r="B109" s="64">
        <f>Inicial!B71</f>
        <v>0</v>
      </c>
      <c r="C109" s="64">
        <f>Inicial!C71</f>
        <v>0</v>
      </c>
      <c r="D109" s="65">
        <f>Inicial!D71</f>
        <v>0</v>
      </c>
      <c r="E109" s="63" t="str">
        <f>IF(Inicial!L71="SI",Inicial!E71,"N/A")</f>
        <v>N/A</v>
      </c>
      <c r="F109" s="64" t="str">
        <f>IF(Inicial!L71="SI",Inicial!F71,"N/A")</f>
        <v>N/A</v>
      </c>
      <c r="G109" s="64" t="str">
        <f>IF(Inicial!L71="SI",Inicial!G71,"N/A")</f>
        <v>N/A</v>
      </c>
      <c r="H109" s="64" t="str">
        <f>IF(Inicial!L71="SI",Inicial!H71,"N/A")</f>
        <v>N/A</v>
      </c>
      <c r="I109" s="66" t="str">
        <f>IF(Inicial!L71="SI",Inicial!I71,"N/A")</f>
        <v>N/A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2" t="str" cm="1">
        <f t="array" ref="AG109">IF(OR(M109:AF109="NO"),"No aceptable","Aceptable")</f>
        <v>Aceptable</v>
      </c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3" t="str" cm="1">
        <f t="array" ref="BD109">IF(OR(AK109:BC109="SI"),"Critico","No Critico")</f>
        <v>No Critico</v>
      </c>
    </row>
    <row r="110" spans="1:56" ht="33.75">
      <c r="A110" s="63">
        <f>Inicial!A72</f>
        <v>0</v>
      </c>
      <c r="B110" s="64">
        <f>Inicial!B72</f>
        <v>0</v>
      </c>
      <c r="C110" s="64">
        <f>Inicial!C72</f>
        <v>0</v>
      </c>
      <c r="D110" s="65">
        <f>Inicial!D72</f>
        <v>0</v>
      </c>
      <c r="E110" s="63" t="str">
        <f>IF(Inicial!L72="SI",Inicial!E72,"N/A")</f>
        <v>N/A</v>
      </c>
      <c r="F110" s="64" t="str">
        <f>IF(Inicial!L72="SI",Inicial!F72,"N/A")</f>
        <v>N/A</v>
      </c>
      <c r="G110" s="64" t="str">
        <f>IF(Inicial!L72="SI",Inicial!G72,"N/A")</f>
        <v>N/A</v>
      </c>
      <c r="H110" s="64" t="str">
        <f>IF(Inicial!L72="SI",Inicial!H72,"N/A")</f>
        <v>N/A</v>
      </c>
      <c r="I110" s="66" t="str">
        <f>IF(Inicial!L72="SI",Inicial!I72,"N/A")</f>
        <v>N/A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2" t="str" cm="1">
        <f t="array" ref="AG110">IF(OR(M110:AF110="NO"),"No aceptable","Aceptable")</f>
        <v>Aceptable</v>
      </c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3" t="str" cm="1">
        <f t="array" ref="BD110">IF(OR(AK110:BC110="SI"),"Critico","No Critico")</f>
        <v>No Critico</v>
      </c>
    </row>
    <row r="111" spans="1:56" ht="33.75">
      <c r="A111" s="63">
        <f>Inicial!A73</f>
        <v>0</v>
      </c>
      <c r="B111" s="64">
        <f>Inicial!B73</f>
        <v>0</v>
      </c>
      <c r="C111" s="64">
        <f>Inicial!C73</f>
        <v>0</v>
      </c>
      <c r="D111" s="65">
        <f>Inicial!D73</f>
        <v>0</v>
      </c>
      <c r="E111" s="63" t="str">
        <f>IF(Inicial!L73="SI",Inicial!E73,"N/A")</f>
        <v>N/A</v>
      </c>
      <c r="F111" s="64" t="str">
        <f>IF(Inicial!L73="SI",Inicial!F73,"N/A")</f>
        <v>N/A</v>
      </c>
      <c r="G111" s="64" t="str">
        <f>IF(Inicial!L73="SI",Inicial!G73,"N/A")</f>
        <v>N/A</v>
      </c>
      <c r="H111" s="64" t="str">
        <f>IF(Inicial!L73="SI",Inicial!H73,"N/A")</f>
        <v>N/A</v>
      </c>
      <c r="I111" s="66" t="str">
        <f>IF(Inicial!L73="SI",Inicial!I73,"N/A")</f>
        <v>N/A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2" t="str" cm="1">
        <f t="array" ref="AG111">IF(OR(M111:AF111="NO"),"No aceptable","Aceptable")</f>
        <v>Aceptable</v>
      </c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3" t="str" cm="1">
        <f t="array" ref="BD111">IF(OR(AK111:BC111="SI"),"Critico","No Critico")</f>
        <v>No Critico</v>
      </c>
    </row>
    <row r="112" spans="1:56" ht="33.75">
      <c r="A112" s="63">
        <f>Inicial!A74</f>
        <v>0</v>
      </c>
      <c r="B112" s="64">
        <f>Inicial!B74</f>
        <v>0</v>
      </c>
      <c r="C112" s="64">
        <f>Inicial!C74</f>
        <v>0</v>
      </c>
      <c r="D112" s="65">
        <f>Inicial!D74</f>
        <v>0</v>
      </c>
      <c r="E112" s="63" t="str">
        <f>IF(Inicial!L74="SI",Inicial!E74,"N/A")</f>
        <v>N/A</v>
      </c>
      <c r="F112" s="64" t="str">
        <f>IF(Inicial!L74="SI",Inicial!F74,"N/A")</f>
        <v>N/A</v>
      </c>
      <c r="G112" s="64" t="str">
        <f>IF(Inicial!L74="SI",Inicial!G74,"N/A")</f>
        <v>N/A</v>
      </c>
      <c r="H112" s="64" t="str">
        <f>IF(Inicial!L74="SI",Inicial!H74,"N/A")</f>
        <v>N/A</v>
      </c>
      <c r="I112" s="66" t="str">
        <f>IF(Inicial!L74="SI",Inicial!I74,"N/A")</f>
        <v>N/A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2" t="str" cm="1">
        <f t="array" ref="AG112">IF(OR(M112:AF112="NO"),"No aceptable","Aceptable")</f>
        <v>Aceptable</v>
      </c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3" t="str" cm="1">
        <f t="array" ref="BD112">IF(OR(AK112:BC112="SI"),"Critico","No Critico")</f>
        <v>No Critico</v>
      </c>
    </row>
    <row r="113" spans="1:56" ht="33.75">
      <c r="A113" s="63">
        <f>Inicial!A75</f>
        <v>0</v>
      </c>
      <c r="B113" s="64">
        <f>Inicial!B75</f>
        <v>0</v>
      </c>
      <c r="C113" s="64">
        <f>Inicial!C75</f>
        <v>0</v>
      </c>
      <c r="D113" s="65">
        <f>Inicial!D75</f>
        <v>0</v>
      </c>
      <c r="E113" s="63" t="str">
        <f>IF(Inicial!L75="SI",Inicial!E75,"N/A")</f>
        <v>N/A</v>
      </c>
      <c r="F113" s="64" t="str">
        <f>IF(Inicial!L75="SI",Inicial!F75,"N/A")</f>
        <v>N/A</v>
      </c>
      <c r="G113" s="64" t="str">
        <f>IF(Inicial!L75="SI",Inicial!G75,"N/A")</f>
        <v>N/A</v>
      </c>
      <c r="H113" s="64" t="str">
        <f>IF(Inicial!L75="SI",Inicial!H75,"N/A")</f>
        <v>N/A</v>
      </c>
      <c r="I113" s="66" t="str">
        <f>IF(Inicial!L75="SI",Inicial!I75,"N/A")</f>
        <v>N/A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2" t="str" cm="1">
        <f t="array" ref="AG113">IF(OR(M113:AF113="NO"),"No aceptable","Aceptable")</f>
        <v>Aceptable</v>
      </c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3" t="str" cm="1">
        <f t="array" ref="BD113">IF(OR(AK113:BC113="SI"),"Critico","No Critico")</f>
        <v>No Critico</v>
      </c>
    </row>
    <row r="114" spans="1:56" ht="33.75">
      <c r="A114" s="63">
        <f>Inicial!A76</f>
        <v>0</v>
      </c>
      <c r="B114" s="64">
        <f>Inicial!B76</f>
        <v>0</v>
      </c>
      <c r="C114" s="64">
        <f>Inicial!C76</f>
        <v>0</v>
      </c>
      <c r="D114" s="65">
        <f>Inicial!D76</f>
        <v>0</v>
      </c>
      <c r="E114" s="63" t="str">
        <f>IF(Inicial!L76="SI",Inicial!E76,"N/A")</f>
        <v>N/A</v>
      </c>
      <c r="F114" s="64" t="str">
        <f>IF(Inicial!L76="SI",Inicial!F76,"N/A")</f>
        <v>N/A</v>
      </c>
      <c r="G114" s="64" t="str">
        <f>IF(Inicial!L76="SI",Inicial!G76,"N/A")</f>
        <v>N/A</v>
      </c>
      <c r="H114" s="64" t="str">
        <f>IF(Inicial!L76="SI",Inicial!H76,"N/A")</f>
        <v>N/A</v>
      </c>
      <c r="I114" s="66" t="str">
        <f>IF(Inicial!L76="SI",Inicial!I76,"N/A")</f>
        <v>N/A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2" t="str" cm="1">
        <f t="array" ref="AG114">IF(OR(M114:AF114="NO"),"No aceptable","Aceptable")</f>
        <v>Aceptable</v>
      </c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3" t="str" cm="1">
        <f t="array" ref="BD114">IF(OR(AK114:BC114="SI"),"Critico","No Critico")</f>
        <v>No Critico</v>
      </c>
    </row>
    <row r="115" spans="1:56" ht="33.75">
      <c r="A115" s="63">
        <f>Inicial!A77</f>
        <v>0</v>
      </c>
      <c r="B115" s="64">
        <f>Inicial!B77</f>
        <v>0</v>
      </c>
      <c r="C115" s="64">
        <f>Inicial!C77</f>
        <v>0</v>
      </c>
      <c r="D115" s="65">
        <f>Inicial!D77</f>
        <v>0</v>
      </c>
      <c r="E115" s="63" t="str">
        <f>IF(Inicial!L77="SI",Inicial!E77,"N/A")</f>
        <v>N/A</v>
      </c>
      <c r="F115" s="64" t="str">
        <f>IF(Inicial!L77="SI",Inicial!F77,"N/A")</f>
        <v>N/A</v>
      </c>
      <c r="G115" s="64" t="str">
        <f>IF(Inicial!L77="SI",Inicial!G77,"N/A")</f>
        <v>N/A</v>
      </c>
      <c r="H115" s="64" t="str">
        <f>IF(Inicial!L77="SI",Inicial!H77,"N/A")</f>
        <v>N/A</v>
      </c>
      <c r="I115" s="66" t="str">
        <f>IF(Inicial!L77="SI",Inicial!I77,"N/A")</f>
        <v>N/A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2" t="str" cm="1">
        <f t="array" ref="AG115">IF(OR(M115:AF115="NO"),"No aceptable","Aceptable")</f>
        <v>Aceptable</v>
      </c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3" t="str" cm="1">
        <f t="array" ref="BD115">IF(OR(AK115:BC115="SI"),"Critico","No Critico")</f>
        <v>No Critico</v>
      </c>
    </row>
    <row r="116" spans="1:56" ht="33.75">
      <c r="A116" s="63">
        <f>Inicial!A78</f>
        <v>0</v>
      </c>
      <c r="B116" s="64">
        <f>Inicial!B78</f>
        <v>0</v>
      </c>
      <c r="C116" s="64">
        <f>Inicial!C78</f>
        <v>0</v>
      </c>
      <c r="D116" s="65">
        <f>Inicial!D78</f>
        <v>0</v>
      </c>
      <c r="E116" s="63" t="str">
        <f>IF(Inicial!L78="SI",Inicial!E78,"N/A")</f>
        <v>N/A</v>
      </c>
      <c r="F116" s="64" t="str">
        <f>IF(Inicial!L78="SI",Inicial!F78,"N/A")</f>
        <v>N/A</v>
      </c>
      <c r="G116" s="64" t="str">
        <f>IF(Inicial!L78="SI",Inicial!G78,"N/A")</f>
        <v>N/A</v>
      </c>
      <c r="H116" s="64" t="str">
        <f>IF(Inicial!L78="SI",Inicial!H78,"N/A")</f>
        <v>N/A</v>
      </c>
      <c r="I116" s="66" t="str">
        <f>IF(Inicial!L78="SI",Inicial!I78,"N/A")</f>
        <v>N/A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2" t="str" cm="1">
        <f t="array" ref="AG116">IF(OR(M116:AF116="NO"),"No aceptable","Aceptable")</f>
        <v>Aceptable</v>
      </c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3" t="str" cm="1">
        <f t="array" ref="BD116">IF(OR(AK116:BC116="SI"),"Critico","No Critico")</f>
        <v>No Critico</v>
      </c>
    </row>
    <row r="117" spans="1:56" ht="33.75">
      <c r="A117" s="63">
        <f>Inicial!A79</f>
        <v>0</v>
      </c>
      <c r="B117" s="64">
        <f>Inicial!B79</f>
        <v>0</v>
      </c>
      <c r="C117" s="64">
        <f>Inicial!C79</f>
        <v>0</v>
      </c>
      <c r="D117" s="65">
        <f>Inicial!D79</f>
        <v>0</v>
      </c>
      <c r="E117" s="63" t="str">
        <f>IF(Inicial!L79="SI",Inicial!E79,"N/A")</f>
        <v>N/A</v>
      </c>
      <c r="F117" s="64" t="str">
        <f>IF(Inicial!L79="SI",Inicial!F79,"N/A")</f>
        <v>N/A</v>
      </c>
      <c r="G117" s="64" t="str">
        <f>IF(Inicial!L79="SI",Inicial!G79,"N/A")</f>
        <v>N/A</v>
      </c>
      <c r="H117" s="64" t="str">
        <f>IF(Inicial!L79="SI",Inicial!H79,"N/A")</f>
        <v>N/A</v>
      </c>
      <c r="I117" s="66" t="str">
        <f>IF(Inicial!L79="SI",Inicial!I79,"N/A")</f>
        <v>N/A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2" t="str" cm="1">
        <f t="array" ref="AG117">IF(OR(M117:AF117="NO"),"No aceptable","Aceptable")</f>
        <v>Aceptable</v>
      </c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3" t="str" cm="1">
        <f t="array" ref="BD117">IF(OR(AK117:BC117="SI"),"Critico","No Critico")</f>
        <v>No Critico</v>
      </c>
    </row>
    <row r="118" spans="1:56" ht="33.75">
      <c r="A118" s="63">
        <f>Inicial!A80</f>
        <v>0</v>
      </c>
      <c r="B118" s="64">
        <f>Inicial!B80</f>
        <v>0</v>
      </c>
      <c r="C118" s="64">
        <f>Inicial!C80</f>
        <v>0</v>
      </c>
      <c r="D118" s="65">
        <f>Inicial!D80</f>
        <v>0</v>
      </c>
      <c r="E118" s="63" t="str">
        <f>IF(Inicial!L80="SI",Inicial!E80,"N/A")</f>
        <v>N/A</v>
      </c>
      <c r="F118" s="64" t="str">
        <f>IF(Inicial!L80="SI",Inicial!F80,"N/A")</f>
        <v>N/A</v>
      </c>
      <c r="G118" s="64" t="str">
        <f>IF(Inicial!L80="SI",Inicial!G80,"N/A")</f>
        <v>N/A</v>
      </c>
      <c r="H118" s="64" t="str">
        <f>IF(Inicial!L80="SI",Inicial!H80,"N/A")</f>
        <v>N/A</v>
      </c>
      <c r="I118" s="66" t="str">
        <f>IF(Inicial!L80="SI",Inicial!I80,"N/A")</f>
        <v>N/A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2" t="str" cm="1">
        <f t="array" ref="AG118">IF(OR(M118:AF118="NO"),"No aceptable","Aceptable")</f>
        <v>Aceptable</v>
      </c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3" t="str" cm="1">
        <f t="array" ref="BD118">IF(OR(AK118:BC118="SI"),"Critico","No Critico")</f>
        <v>No Critico</v>
      </c>
    </row>
    <row r="119" spans="1:56" ht="33.75">
      <c r="A119" s="63">
        <f>Inicial!A81</f>
        <v>0</v>
      </c>
      <c r="B119" s="64">
        <f>Inicial!B81</f>
        <v>0</v>
      </c>
      <c r="C119" s="64">
        <f>Inicial!C81</f>
        <v>0</v>
      </c>
      <c r="D119" s="65">
        <f>Inicial!D81</f>
        <v>0</v>
      </c>
      <c r="E119" s="63" t="str">
        <f>IF(Inicial!L81="SI",Inicial!E81,"N/A")</f>
        <v>N/A</v>
      </c>
      <c r="F119" s="64" t="str">
        <f>IF(Inicial!L81="SI",Inicial!F81,"N/A")</f>
        <v>N/A</v>
      </c>
      <c r="G119" s="64" t="str">
        <f>IF(Inicial!L81="SI",Inicial!G81,"N/A")</f>
        <v>N/A</v>
      </c>
      <c r="H119" s="64" t="str">
        <f>IF(Inicial!L81="SI",Inicial!H81,"N/A")</f>
        <v>N/A</v>
      </c>
      <c r="I119" s="66" t="str">
        <f>IF(Inicial!L81="SI",Inicial!I81,"N/A")</f>
        <v>N/A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2" t="str" cm="1">
        <f t="array" ref="AG119">IF(OR(M119:AF119="NO"),"No aceptable","Aceptable")</f>
        <v>Aceptable</v>
      </c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3" t="str" cm="1">
        <f t="array" ref="BD119">IF(OR(AK119:BC119="SI"),"Critico","No Critico")</f>
        <v>No Critico</v>
      </c>
    </row>
    <row r="120" spans="1:56" ht="33.75">
      <c r="A120" s="63">
        <f>Inicial!A82</f>
        <v>0</v>
      </c>
      <c r="B120" s="64">
        <f>Inicial!B82</f>
        <v>0</v>
      </c>
      <c r="C120" s="64">
        <f>Inicial!C82</f>
        <v>0</v>
      </c>
      <c r="D120" s="65">
        <f>Inicial!D82</f>
        <v>0</v>
      </c>
      <c r="E120" s="63" t="str">
        <f>IF(Inicial!L82="SI",Inicial!E82,"N/A")</f>
        <v>N/A</v>
      </c>
      <c r="F120" s="64" t="str">
        <f>IF(Inicial!L82="SI",Inicial!F82,"N/A")</f>
        <v>N/A</v>
      </c>
      <c r="G120" s="64" t="str">
        <f>IF(Inicial!L82="SI",Inicial!G82,"N/A")</f>
        <v>N/A</v>
      </c>
      <c r="H120" s="64" t="str">
        <f>IF(Inicial!L82="SI",Inicial!H82,"N/A")</f>
        <v>N/A</v>
      </c>
      <c r="I120" s="66" t="str">
        <f>IF(Inicial!L82="SI",Inicial!I82,"N/A")</f>
        <v>N/A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2" t="str" cm="1">
        <f t="array" ref="AG120">IF(OR(M120:AF120="NO"),"No aceptable","Aceptable")</f>
        <v>Aceptable</v>
      </c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3" t="str" cm="1">
        <f t="array" ref="BD120">IF(OR(AK120:BC120="SI"),"Critico","No Critico")</f>
        <v>No Critico</v>
      </c>
    </row>
    <row r="121" spans="1:56" ht="33.75">
      <c r="A121" s="63">
        <f>Inicial!A83</f>
        <v>0</v>
      </c>
      <c r="B121" s="64">
        <f>Inicial!B83</f>
        <v>0</v>
      </c>
      <c r="C121" s="64">
        <f>Inicial!C83</f>
        <v>0</v>
      </c>
      <c r="D121" s="65">
        <f>Inicial!D83</f>
        <v>0</v>
      </c>
      <c r="E121" s="63" t="str">
        <f>IF(Inicial!L83="SI",Inicial!E83,"N/A")</f>
        <v>N/A</v>
      </c>
      <c r="F121" s="64" t="str">
        <f>IF(Inicial!L83="SI",Inicial!F83,"N/A")</f>
        <v>N/A</v>
      </c>
      <c r="G121" s="64" t="str">
        <f>IF(Inicial!L83="SI",Inicial!G83,"N/A")</f>
        <v>N/A</v>
      </c>
      <c r="H121" s="64" t="str">
        <f>IF(Inicial!L83="SI",Inicial!H83,"N/A")</f>
        <v>N/A</v>
      </c>
      <c r="I121" s="66" t="str">
        <f>IF(Inicial!L83="SI",Inicial!I83,"N/A")</f>
        <v>N/A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2" t="str" cm="1">
        <f t="array" ref="AG121">IF(OR(M121:AF121="NO"),"No aceptable","Aceptable")</f>
        <v>Aceptable</v>
      </c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3" t="str" cm="1">
        <f t="array" ref="BD121">IF(OR(AK121:BC121="SI"),"Critico","No Critico")</f>
        <v>No Critico</v>
      </c>
    </row>
    <row r="122" spans="1:56" ht="33.75">
      <c r="A122" s="63">
        <f>Inicial!A84</f>
        <v>0</v>
      </c>
      <c r="B122" s="64">
        <f>Inicial!B84</f>
        <v>0</v>
      </c>
      <c r="C122" s="64">
        <f>Inicial!C84</f>
        <v>0</v>
      </c>
      <c r="D122" s="65">
        <f>Inicial!D84</f>
        <v>0</v>
      </c>
      <c r="E122" s="63" t="str">
        <f>IF(Inicial!L84="SI",Inicial!E84,"N/A")</f>
        <v>N/A</v>
      </c>
      <c r="F122" s="64" t="str">
        <f>IF(Inicial!L84="SI",Inicial!F84,"N/A")</f>
        <v>N/A</v>
      </c>
      <c r="G122" s="64" t="str">
        <f>IF(Inicial!L84="SI",Inicial!G84,"N/A")</f>
        <v>N/A</v>
      </c>
      <c r="H122" s="64" t="str">
        <f>IF(Inicial!L84="SI",Inicial!H84,"N/A")</f>
        <v>N/A</v>
      </c>
      <c r="I122" s="66" t="str">
        <f>IF(Inicial!L84="SI",Inicial!I84,"N/A")</f>
        <v>N/A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2" t="str" cm="1">
        <f t="array" ref="AG122">IF(OR(M122:AF122="NO"),"No aceptable","Aceptable")</f>
        <v>Aceptable</v>
      </c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3" t="str" cm="1">
        <f t="array" ref="BD122">IF(OR(AK122:BC122="SI"),"Critico","No Critico")</f>
        <v>No Critico</v>
      </c>
    </row>
    <row r="123" spans="1:56" ht="33.75">
      <c r="A123" s="63">
        <f>Inicial!A85</f>
        <v>0</v>
      </c>
      <c r="B123" s="64">
        <f>Inicial!B85</f>
        <v>0</v>
      </c>
      <c r="C123" s="64">
        <f>Inicial!C85</f>
        <v>0</v>
      </c>
      <c r="D123" s="65">
        <f>Inicial!D85</f>
        <v>0</v>
      </c>
      <c r="E123" s="63" t="str">
        <f>IF(Inicial!L85="SI",Inicial!E85,"N/A")</f>
        <v>N/A</v>
      </c>
      <c r="F123" s="64" t="str">
        <f>IF(Inicial!L85="SI",Inicial!F85,"N/A")</f>
        <v>N/A</v>
      </c>
      <c r="G123" s="64" t="str">
        <f>IF(Inicial!L85="SI",Inicial!G85,"N/A")</f>
        <v>N/A</v>
      </c>
      <c r="H123" s="64" t="str">
        <f>IF(Inicial!L85="SI",Inicial!H85,"N/A")</f>
        <v>N/A</v>
      </c>
      <c r="I123" s="66" t="str">
        <f>IF(Inicial!L85="SI",Inicial!I85,"N/A")</f>
        <v>N/A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2" t="str" cm="1">
        <f t="array" ref="AG123">IF(OR(M123:AF123="NO"),"No aceptable","Aceptable")</f>
        <v>Aceptable</v>
      </c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3" t="str" cm="1">
        <f t="array" ref="BD123">IF(OR(AK123:BC123="SI"),"Critico","No Critico")</f>
        <v>No Critico</v>
      </c>
    </row>
    <row r="124" spans="1:56" ht="33.75">
      <c r="A124" s="63">
        <f>Inicial!A86</f>
        <v>0</v>
      </c>
      <c r="B124" s="64">
        <f>Inicial!B86</f>
        <v>0</v>
      </c>
      <c r="C124" s="64">
        <f>Inicial!C86</f>
        <v>0</v>
      </c>
      <c r="D124" s="65">
        <f>Inicial!D86</f>
        <v>0</v>
      </c>
      <c r="E124" s="63" t="str">
        <f>IF(Inicial!L86="SI",Inicial!E86,"N/A")</f>
        <v>N/A</v>
      </c>
      <c r="F124" s="64" t="str">
        <f>IF(Inicial!L86="SI",Inicial!F86,"N/A")</f>
        <v>N/A</v>
      </c>
      <c r="G124" s="64" t="str">
        <f>IF(Inicial!L86="SI",Inicial!G86,"N/A")</f>
        <v>N/A</v>
      </c>
      <c r="H124" s="64" t="str">
        <f>IF(Inicial!L86="SI",Inicial!H86,"N/A")</f>
        <v>N/A</v>
      </c>
      <c r="I124" s="66" t="str">
        <f>IF(Inicial!L86="SI",Inicial!I86,"N/A")</f>
        <v>N/A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2" t="str" cm="1">
        <f t="array" ref="AG124">IF(OR(M124:AF124="NO"),"No aceptable","Aceptable")</f>
        <v>Aceptable</v>
      </c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3" t="str" cm="1">
        <f t="array" ref="BD124">IF(OR(AK124:BC124="SI"),"Critico","No Critico")</f>
        <v>No Critico</v>
      </c>
    </row>
    <row r="125" spans="1:56" ht="33.75">
      <c r="A125" s="63">
        <f>Inicial!A87</f>
        <v>0</v>
      </c>
      <c r="B125" s="64">
        <f>Inicial!B87</f>
        <v>0</v>
      </c>
      <c r="C125" s="64">
        <f>Inicial!C87</f>
        <v>0</v>
      </c>
      <c r="D125" s="65">
        <f>Inicial!D87</f>
        <v>0</v>
      </c>
      <c r="E125" s="63" t="str">
        <f>IF(Inicial!L87="SI",Inicial!E87,"N/A")</f>
        <v>N/A</v>
      </c>
      <c r="F125" s="64" t="str">
        <f>IF(Inicial!L87="SI",Inicial!F87,"N/A")</f>
        <v>N/A</v>
      </c>
      <c r="G125" s="64" t="str">
        <f>IF(Inicial!L87="SI",Inicial!G87,"N/A")</f>
        <v>N/A</v>
      </c>
      <c r="H125" s="64" t="str">
        <f>IF(Inicial!L87="SI",Inicial!H87,"N/A")</f>
        <v>N/A</v>
      </c>
      <c r="I125" s="66" t="str">
        <f>IF(Inicial!L87="SI",Inicial!I87,"N/A")</f>
        <v>N/A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2" t="str" cm="1">
        <f t="array" ref="AG125">IF(OR(M125:AF125="NO"),"No aceptable","Aceptable")</f>
        <v>Aceptable</v>
      </c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3" t="str" cm="1">
        <f t="array" ref="BD125">IF(OR(AK125:BC125="SI"),"Critico","No Critico")</f>
        <v>No Critico</v>
      </c>
    </row>
    <row r="126" spans="1:56" ht="33.75">
      <c r="A126" s="63">
        <f>Inicial!A88</f>
        <v>0</v>
      </c>
      <c r="B126" s="64">
        <f>Inicial!B88</f>
        <v>0</v>
      </c>
      <c r="C126" s="64">
        <f>Inicial!C88</f>
        <v>0</v>
      </c>
      <c r="D126" s="65">
        <f>Inicial!D88</f>
        <v>0</v>
      </c>
      <c r="E126" s="63" t="str">
        <f>IF(Inicial!L88="SI",Inicial!E88,"N/A")</f>
        <v>N/A</v>
      </c>
      <c r="F126" s="64" t="str">
        <f>IF(Inicial!L88="SI",Inicial!F88,"N/A")</f>
        <v>N/A</v>
      </c>
      <c r="G126" s="64" t="str">
        <f>IF(Inicial!L88="SI",Inicial!G88,"N/A")</f>
        <v>N/A</v>
      </c>
      <c r="H126" s="64" t="str">
        <f>IF(Inicial!L88="SI",Inicial!H88,"N/A")</f>
        <v>N/A</v>
      </c>
      <c r="I126" s="66" t="str">
        <f>IF(Inicial!L88="SI",Inicial!I88,"N/A")</f>
        <v>N/A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2" t="str" cm="1">
        <f t="array" ref="AG126">IF(OR(M126:AF126="NO"),"No aceptable","Aceptable")</f>
        <v>Aceptable</v>
      </c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3" t="str" cm="1">
        <f t="array" ref="BD126">IF(OR(AK126:BC126="SI"),"Critico","No Critico")</f>
        <v>No Critico</v>
      </c>
    </row>
    <row r="127" spans="1:56" ht="33.75">
      <c r="A127" s="63">
        <f>Inicial!A89</f>
        <v>0</v>
      </c>
      <c r="B127" s="64">
        <f>Inicial!B89</f>
        <v>0</v>
      </c>
      <c r="C127" s="64">
        <f>Inicial!C89</f>
        <v>0</v>
      </c>
      <c r="D127" s="65">
        <f>Inicial!D89</f>
        <v>0</v>
      </c>
      <c r="E127" s="63" t="str">
        <f>IF(Inicial!L89="SI",Inicial!E89,"N/A")</f>
        <v>N/A</v>
      </c>
      <c r="F127" s="64" t="str">
        <f>IF(Inicial!L89="SI",Inicial!F89,"N/A")</f>
        <v>N/A</v>
      </c>
      <c r="G127" s="64" t="str">
        <f>IF(Inicial!L89="SI",Inicial!G89,"N/A")</f>
        <v>N/A</v>
      </c>
      <c r="H127" s="64" t="str">
        <f>IF(Inicial!L89="SI",Inicial!H89,"N/A")</f>
        <v>N/A</v>
      </c>
      <c r="I127" s="66" t="str">
        <f>IF(Inicial!L89="SI",Inicial!I89,"N/A")</f>
        <v>N/A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2" t="str" cm="1">
        <f t="array" ref="AG127">IF(OR(M127:AF127="NO"),"No aceptable","Aceptable")</f>
        <v>Aceptable</v>
      </c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3" t="str" cm="1">
        <f t="array" ref="BD127">IF(OR(AK127:BC127="SI"),"Critico","No Critico")</f>
        <v>No Critico</v>
      </c>
    </row>
    <row r="128" spans="1:56" ht="33.75">
      <c r="A128" s="63">
        <f>Inicial!A90</f>
        <v>0</v>
      </c>
      <c r="B128" s="64">
        <f>Inicial!B90</f>
        <v>0</v>
      </c>
      <c r="C128" s="64">
        <f>Inicial!C90</f>
        <v>0</v>
      </c>
      <c r="D128" s="65">
        <f>Inicial!D90</f>
        <v>0</v>
      </c>
      <c r="E128" s="63" t="str">
        <f>IF(Inicial!L90="SI",Inicial!E90,"N/A")</f>
        <v>N/A</v>
      </c>
      <c r="F128" s="64" t="str">
        <f>IF(Inicial!L90="SI",Inicial!F90,"N/A")</f>
        <v>N/A</v>
      </c>
      <c r="G128" s="64" t="str">
        <f>IF(Inicial!L90="SI",Inicial!G90,"N/A")</f>
        <v>N/A</v>
      </c>
      <c r="H128" s="64" t="str">
        <f>IF(Inicial!L90="SI",Inicial!H90,"N/A")</f>
        <v>N/A</v>
      </c>
      <c r="I128" s="66" t="str">
        <f>IF(Inicial!L90="SI",Inicial!I90,"N/A")</f>
        <v>N/A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2" t="str" cm="1">
        <f t="array" ref="AG128">IF(OR(M128:AF128="NO"),"No aceptable","Aceptable")</f>
        <v>Aceptable</v>
      </c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3" t="str" cm="1">
        <f t="array" ref="BD128">IF(OR(AK128:BC128="SI"),"Critico","No Critico")</f>
        <v>No Critico</v>
      </c>
    </row>
    <row r="129" spans="1:56" ht="33.75">
      <c r="A129" s="63">
        <f>Inicial!A91</f>
        <v>0</v>
      </c>
      <c r="B129" s="64">
        <f>Inicial!B91</f>
        <v>0</v>
      </c>
      <c r="C129" s="64">
        <f>Inicial!C91</f>
        <v>0</v>
      </c>
      <c r="D129" s="65">
        <f>Inicial!D91</f>
        <v>0</v>
      </c>
      <c r="E129" s="63" t="str">
        <f>IF(Inicial!L91="SI",Inicial!E91,"N/A")</f>
        <v>N/A</v>
      </c>
      <c r="F129" s="64" t="str">
        <f>IF(Inicial!L91="SI",Inicial!F91,"N/A")</f>
        <v>N/A</v>
      </c>
      <c r="G129" s="64" t="str">
        <f>IF(Inicial!L91="SI",Inicial!G91,"N/A")</f>
        <v>N/A</v>
      </c>
      <c r="H129" s="64" t="str">
        <f>IF(Inicial!L91="SI",Inicial!H91,"N/A")</f>
        <v>N/A</v>
      </c>
      <c r="I129" s="66" t="str">
        <f>IF(Inicial!L91="SI",Inicial!I91,"N/A")</f>
        <v>N/A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2" t="str" cm="1">
        <f t="array" ref="AG129">IF(OR(M129:AF129="NO"),"No aceptable","Aceptable")</f>
        <v>Aceptable</v>
      </c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3" t="str" cm="1">
        <f t="array" ref="BD129">IF(OR(AK129:BC129="SI"),"Critico","No Critico")</f>
        <v>No Critico</v>
      </c>
    </row>
    <row r="130" spans="1:56" ht="33.75">
      <c r="A130" s="63">
        <f>Inicial!A92</f>
        <v>0</v>
      </c>
      <c r="B130" s="64">
        <f>Inicial!B92</f>
        <v>0</v>
      </c>
      <c r="C130" s="64">
        <f>Inicial!C92</f>
        <v>0</v>
      </c>
      <c r="D130" s="65">
        <f>Inicial!D92</f>
        <v>0</v>
      </c>
      <c r="E130" s="63" t="str">
        <f>IF(Inicial!L92="SI",Inicial!E92,"N/A")</f>
        <v>N/A</v>
      </c>
      <c r="F130" s="64" t="str">
        <f>IF(Inicial!L92="SI",Inicial!F92,"N/A")</f>
        <v>N/A</v>
      </c>
      <c r="G130" s="64" t="str">
        <f>IF(Inicial!L92="SI",Inicial!G92,"N/A")</f>
        <v>N/A</v>
      </c>
      <c r="H130" s="64" t="str">
        <f>IF(Inicial!L92="SI",Inicial!H92,"N/A")</f>
        <v>N/A</v>
      </c>
      <c r="I130" s="66" t="str">
        <f>IF(Inicial!L92="SI",Inicial!I92,"N/A")</f>
        <v>N/A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2" t="str" cm="1">
        <f t="array" ref="AG130">IF(OR(M130:AF130="NO"),"No aceptable","Aceptable")</f>
        <v>Aceptable</v>
      </c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3" t="str" cm="1">
        <f t="array" ref="BD130">IF(OR(AK130:BC130="SI"),"Critico","No Critico")</f>
        <v>No Critico</v>
      </c>
    </row>
    <row r="131" spans="1:56" ht="33.75">
      <c r="A131" s="63">
        <f>Inicial!A93</f>
        <v>0</v>
      </c>
      <c r="B131" s="64">
        <f>Inicial!B93</f>
        <v>0</v>
      </c>
      <c r="C131" s="64">
        <f>Inicial!C93</f>
        <v>0</v>
      </c>
      <c r="D131" s="65">
        <f>Inicial!D93</f>
        <v>0</v>
      </c>
      <c r="E131" s="63" t="str">
        <f>IF(Inicial!L93="SI",Inicial!E93,"N/A")</f>
        <v>N/A</v>
      </c>
      <c r="F131" s="64" t="str">
        <f>IF(Inicial!L93="SI",Inicial!F93,"N/A")</f>
        <v>N/A</v>
      </c>
      <c r="G131" s="64" t="str">
        <f>IF(Inicial!L93="SI",Inicial!G93,"N/A")</f>
        <v>N/A</v>
      </c>
      <c r="H131" s="64" t="str">
        <f>IF(Inicial!L93="SI",Inicial!H93,"N/A")</f>
        <v>N/A</v>
      </c>
      <c r="I131" s="66" t="str">
        <f>IF(Inicial!L93="SI",Inicial!I93,"N/A")</f>
        <v>N/A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2" t="str" cm="1">
        <f t="array" ref="AG131">IF(OR(M131:AF131="NO"),"No aceptable","Aceptable")</f>
        <v>Aceptable</v>
      </c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3" t="str" cm="1">
        <f t="array" ref="BD131">IF(OR(AK131:BC131="SI"),"Critico","No Critico")</f>
        <v>No Critico</v>
      </c>
    </row>
    <row r="132" spans="1:56" ht="33.75">
      <c r="A132" s="63">
        <f>Inicial!A94</f>
        <v>0</v>
      </c>
      <c r="B132" s="64">
        <f>Inicial!B94</f>
        <v>0</v>
      </c>
      <c r="C132" s="64">
        <f>Inicial!C94</f>
        <v>0</v>
      </c>
      <c r="D132" s="65">
        <f>Inicial!D94</f>
        <v>0</v>
      </c>
      <c r="E132" s="63" t="str">
        <f>IF(Inicial!L94="SI",Inicial!E94,"N/A")</f>
        <v>N/A</v>
      </c>
      <c r="F132" s="64" t="str">
        <f>IF(Inicial!L94="SI",Inicial!F94,"N/A")</f>
        <v>N/A</v>
      </c>
      <c r="G132" s="64" t="str">
        <f>IF(Inicial!L94="SI",Inicial!G94,"N/A")</f>
        <v>N/A</v>
      </c>
      <c r="H132" s="64" t="str">
        <f>IF(Inicial!L94="SI",Inicial!H94,"N/A")</f>
        <v>N/A</v>
      </c>
      <c r="I132" s="66" t="str">
        <f>IF(Inicial!L94="SI",Inicial!I94,"N/A")</f>
        <v>N/A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2" t="str" cm="1">
        <f t="array" ref="AG132">IF(OR(M132:AF132="NO"),"No aceptable","Aceptable")</f>
        <v>Aceptable</v>
      </c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3" t="str" cm="1">
        <f t="array" ref="BD132">IF(OR(AK132:BC132="SI"),"Critico","No Critico")</f>
        <v>No Critico</v>
      </c>
    </row>
    <row r="133" spans="1:56" ht="16.5">
      <c r="A133" s="63">
        <f>Inicial!A95</f>
        <v>0</v>
      </c>
      <c r="B133" s="64">
        <f>Inicial!B95</f>
        <v>0</v>
      </c>
      <c r="C133" s="64">
        <f>Inicial!C95</f>
        <v>0</v>
      </c>
      <c r="D133" s="65">
        <f>Inicial!D95</f>
        <v>0</v>
      </c>
      <c r="E133" s="63" t="str">
        <f>IF(Inicial!L95="SI",Inicial!E95,"N/A")</f>
        <v>N/A</v>
      </c>
      <c r="F133" s="64" t="str">
        <f>IF(Inicial!L95="SI",Inicial!F95,"N/A")</f>
        <v>N/A</v>
      </c>
      <c r="G133" s="64" t="str">
        <f>IF(Inicial!L95="SI",Inicial!G95,"N/A")</f>
        <v>N/A</v>
      </c>
      <c r="H133" s="64" t="str">
        <f>IF(Inicial!L95="SI",Inicial!H95,"N/A")</f>
        <v>N/A</v>
      </c>
      <c r="I133" s="66" t="str">
        <f>IF(Inicial!L95="SI",Inicial!I95,"N/A")</f>
        <v>N/A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2" t="str" cm="1">
        <f t="array" ref="AG133">IF(OR(M133:AE133="NO"),"No aceptable","Aceptable")</f>
        <v>Aceptable</v>
      </c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3" t="str" cm="1">
        <f t="array" ref="BD133">IF(OR(AK133:BC133="SI"),"Critico","No Critico")</f>
        <v>No Critico</v>
      </c>
    </row>
    <row r="134" spans="1:56" ht="16.5">
      <c r="A134" s="63">
        <f>Inicial!A96</f>
        <v>0</v>
      </c>
      <c r="B134" s="64">
        <f>Inicial!B96</f>
        <v>0</v>
      </c>
      <c r="C134" s="64">
        <f>Inicial!C96</f>
        <v>0</v>
      </c>
      <c r="D134" s="65">
        <f>Inicial!D96</f>
        <v>0</v>
      </c>
      <c r="E134" s="63" t="str">
        <f>IF(Inicial!L96="SI",Inicial!E96,"N/A")</f>
        <v>N/A</v>
      </c>
      <c r="F134" s="64" t="str">
        <f>IF(Inicial!L96="SI",Inicial!F96,"N/A")</f>
        <v>N/A</v>
      </c>
      <c r="G134" s="64" t="str">
        <f>IF(Inicial!L96="SI",Inicial!G96,"N/A")</f>
        <v>N/A</v>
      </c>
      <c r="H134" s="64" t="str">
        <f>IF(Inicial!L96="SI",Inicial!H96,"N/A")</f>
        <v>N/A</v>
      </c>
      <c r="I134" s="66" t="str">
        <f>IF(Inicial!L96="SI",Inicial!I96,"N/A")</f>
        <v>N/A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2" t="str" cm="1">
        <f t="array" ref="AG134">IF(OR(M134:AE134="NO"),"No aceptable","Aceptable")</f>
        <v>Aceptable</v>
      </c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3" t="str" cm="1">
        <f t="array" ref="BD134">IF(OR(AK134:BC134="SI"),"Critico","No Critico")</f>
        <v>No Critico</v>
      </c>
    </row>
    <row r="135" spans="1:56" ht="16.5">
      <c r="A135" s="63">
        <f>Inicial!A97</f>
        <v>0</v>
      </c>
      <c r="B135" s="64">
        <f>Inicial!B97</f>
        <v>0</v>
      </c>
      <c r="C135" s="64">
        <f>Inicial!C97</f>
        <v>0</v>
      </c>
      <c r="D135" s="65">
        <f>Inicial!D97</f>
        <v>0</v>
      </c>
      <c r="E135" s="63" t="str">
        <f>IF(Inicial!L97="SI",Inicial!E97,"N/A")</f>
        <v>N/A</v>
      </c>
      <c r="F135" s="64" t="str">
        <f>IF(Inicial!L97="SI",Inicial!F97,"N/A")</f>
        <v>N/A</v>
      </c>
      <c r="G135" s="64" t="str">
        <f>IF(Inicial!L97="SI",Inicial!G97,"N/A")</f>
        <v>N/A</v>
      </c>
      <c r="H135" s="64" t="str">
        <f>IF(Inicial!L97="SI",Inicial!H97,"N/A")</f>
        <v>N/A</v>
      </c>
      <c r="I135" s="66" t="str">
        <f>IF(Inicial!L97="SI",Inicial!I97,"N/A")</f>
        <v>N/A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2" t="str" cm="1">
        <f t="array" ref="AG135">IF(OR(M135:AE135="NO"),"No aceptable","Aceptable")</f>
        <v>Aceptable</v>
      </c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3" t="str" cm="1">
        <f t="array" ref="BD135">IF(OR(AK135:BC135="SI"),"Critico","No Critico")</f>
        <v>No Critico</v>
      </c>
    </row>
    <row r="136" spans="1:56" ht="16.5">
      <c r="A136" s="63">
        <f>Inicial!A98</f>
        <v>0</v>
      </c>
      <c r="B136" s="64">
        <f>Inicial!B98</f>
        <v>0</v>
      </c>
      <c r="C136" s="64">
        <f>Inicial!C98</f>
        <v>0</v>
      </c>
      <c r="D136" s="65">
        <f>Inicial!D98</f>
        <v>0</v>
      </c>
      <c r="E136" s="63" t="str">
        <f>IF(Inicial!L98="SI",Inicial!E98,"N/A")</f>
        <v>N/A</v>
      </c>
      <c r="F136" s="64" t="str">
        <f>IF(Inicial!L98="SI",Inicial!F98,"N/A")</f>
        <v>N/A</v>
      </c>
      <c r="G136" s="64" t="str">
        <f>IF(Inicial!L98="SI",Inicial!G98,"N/A")</f>
        <v>N/A</v>
      </c>
      <c r="H136" s="64" t="str">
        <f>IF(Inicial!L98="SI",Inicial!H98,"N/A")</f>
        <v>N/A</v>
      </c>
      <c r="I136" s="66" t="str">
        <f>IF(Inicial!L98="SI",Inicial!I98,"N/A")</f>
        <v>N/A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2" t="str" cm="1">
        <f t="array" ref="AG136">IF(OR(M136:AE136="NO"),"No aceptable","Aceptable")</f>
        <v>Aceptable</v>
      </c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3" t="str" cm="1">
        <f t="array" ref="BD136">IF(OR(AK136:BC136="SI"),"Critico","No Critico")</f>
        <v>No Critico</v>
      </c>
    </row>
    <row r="137" spans="1:56" ht="16.5">
      <c r="A137" s="63">
        <f>Inicial!A99</f>
        <v>0</v>
      </c>
      <c r="B137" s="64">
        <f>Inicial!B99</f>
        <v>0</v>
      </c>
      <c r="C137" s="64">
        <f>Inicial!C99</f>
        <v>0</v>
      </c>
      <c r="D137" s="65">
        <f>Inicial!D99</f>
        <v>0</v>
      </c>
      <c r="E137" s="63" t="str">
        <f>IF(Inicial!L99="SI",Inicial!E99,"N/A")</f>
        <v>N/A</v>
      </c>
      <c r="F137" s="64" t="str">
        <f>IF(Inicial!L99="SI",Inicial!F99,"N/A")</f>
        <v>N/A</v>
      </c>
      <c r="G137" s="64" t="str">
        <f>IF(Inicial!L99="SI",Inicial!G99,"N/A")</f>
        <v>N/A</v>
      </c>
      <c r="H137" s="64" t="str">
        <f>IF(Inicial!L99="SI",Inicial!H99,"N/A")</f>
        <v>N/A</v>
      </c>
      <c r="I137" s="66" t="str">
        <f>IF(Inicial!L99="SI",Inicial!I99,"N/A")</f>
        <v>N/A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2" t="str" cm="1">
        <f t="array" ref="AG137">IF(OR(M137:AE137="NO"),"No aceptable","Aceptable")</f>
        <v>Aceptable</v>
      </c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3" t="str" cm="1">
        <f t="array" ref="BD137">IF(OR(AK137:BC137="SI"),"Critico","No Critico")</f>
        <v>No Critico</v>
      </c>
    </row>
    <row r="138" spans="1:56" ht="16.5">
      <c r="A138" s="63">
        <f>Inicial!A100</f>
        <v>0</v>
      </c>
      <c r="B138" s="64">
        <f>Inicial!B100</f>
        <v>0</v>
      </c>
      <c r="C138" s="64">
        <f>Inicial!C100</f>
        <v>0</v>
      </c>
      <c r="D138" s="65">
        <f>Inicial!D100</f>
        <v>0</v>
      </c>
      <c r="E138" s="63" t="str">
        <f>IF(Inicial!L100="SI",Inicial!E100,"N/A")</f>
        <v>N/A</v>
      </c>
      <c r="F138" s="64" t="str">
        <f>IF(Inicial!L100="SI",Inicial!F100,"N/A")</f>
        <v>N/A</v>
      </c>
      <c r="G138" s="64" t="str">
        <f>IF(Inicial!L100="SI",Inicial!G100,"N/A")</f>
        <v>N/A</v>
      </c>
      <c r="H138" s="64" t="str">
        <f>IF(Inicial!L100="SI",Inicial!H100,"N/A")</f>
        <v>N/A</v>
      </c>
      <c r="I138" s="66" t="str">
        <f>IF(Inicial!L100="SI",Inicial!I100,"N/A")</f>
        <v>N/A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2" t="str" cm="1">
        <f t="array" ref="AG138">IF(OR(M138:AE138="NO"),"No aceptable","Aceptable")</f>
        <v>Aceptable</v>
      </c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3" t="str" cm="1">
        <f t="array" ref="BD138">IF(OR(AK138:BC138="SI"),"Critico","No Critico")</f>
        <v>No Critico</v>
      </c>
    </row>
    <row r="139" spans="1:56" ht="16.5">
      <c r="A139" s="63">
        <f>Inicial!A101</f>
        <v>0</v>
      </c>
      <c r="B139" s="64">
        <f>Inicial!B101</f>
        <v>0</v>
      </c>
      <c r="C139" s="64">
        <f>Inicial!C101</f>
        <v>0</v>
      </c>
      <c r="D139" s="65">
        <f>Inicial!D101</f>
        <v>0</v>
      </c>
      <c r="E139" s="63" t="str">
        <f>IF(Inicial!L101="SI",Inicial!E101,"N/A")</f>
        <v>N/A</v>
      </c>
      <c r="F139" s="64" t="str">
        <f>IF(Inicial!L101="SI",Inicial!F101,"N/A")</f>
        <v>N/A</v>
      </c>
      <c r="G139" s="64" t="str">
        <f>IF(Inicial!L101="SI",Inicial!G101,"N/A")</f>
        <v>N/A</v>
      </c>
      <c r="H139" s="64" t="str">
        <f>IF(Inicial!L101="SI",Inicial!H101,"N/A")</f>
        <v>N/A</v>
      </c>
      <c r="I139" s="66" t="str">
        <f>IF(Inicial!L101="SI",Inicial!I101,"N/A")</f>
        <v>N/A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2" t="str" cm="1">
        <f t="array" ref="AG139">IF(OR(M139:AE139="NO"),"No aceptable","Aceptable")</f>
        <v>Aceptable</v>
      </c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3" t="str" cm="1">
        <f t="array" ref="BD139">IF(OR(AK139:BC139="SI"),"Critico","No Critico")</f>
        <v>No Critico</v>
      </c>
    </row>
    <row r="140" spans="1:56" ht="16.5">
      <c r="A140" s="63">
        <f>Inicial!A102</f>
        <v>0</v>
      </c>
      <c r="B140" s="64">
        <f>Inicial!B102</f>
        <v>0</v>
      </c>
      <c r="C140" s="64">
        <f>Inicial!C102</f>
        <v>0</v>
      </c>
      <c r="D140" s="65">
        <f>Inicial!D102</f>
        <v>0</v>
      </c>
      <c r="E140" s="63" t="str">
        <f>IF(Inicial!L102="SI",Inicial!E102,"N/A")</f>
        <v>N/A</v>
      </c>
      <c r="F140" s="64" t="str">
        <f>IF(Inicial!L102="SI",Inicial!F102,"N/A")</f>
        <v>N/A</v>
      </c>
      <c r="G140" s="64" t="str">
        <f>IF(Inicial!L102="SI",Inicial!G102,"N/A")</f>
        <v>N/A</v>
      </c>
      <c r="H140" s="64" t="str">
        <f>IF(Inicial!L102="SI",Inicial!H102,"N/A")</f>
        <v>N/A</v>
      </c>
      <c r="I140" s="66" t="str">
        <f>IF(Inicial!L102="SI",Inicial!I102,"N/A")</f>
        <v>N/A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2" t="str" cm="1">
        <f t="array" ref="AG140">IF(OR(M140:AE140="NO"),"No aceptable","Aceptable")</f>
        <v>Aceptable</v>
      </c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3" t="str" cm="1">
        <f t="array" ref="BD140">IF(OR(AK140:BC140="SI"),"Critico","No Critico")</f>
        <v>No Critico</v>
      </c>
    </row>
    <row r="141" spans="1:56" ht="16.5">
      <c r="A141" s="63">
        <f>Inicial!A103</f>
        <v>0</v>
      </c>
      <c r="B141" s="64">
        <f>Inicial!B103</f>
        <v>0</v>
      </c>
      <c r="C141" s="64">
        <f>Inicial!C103</f>
        <v>0</v>
      </c>
      <c r="D141" s="65">
        <f>Inicial!D103</f>
        <v>0</v>
      </c>
      <c r="E141" s="63" t="str">
        <f>IF(Inicial!L103="SI",Inicial!E103,"N/A")</f>
        <v>N/A</v>
      </c>
      <c r="F141" s="64" t="str">
        <f>IF(Inicial!L103="SI",Inicial!F103,"N/A")</f>
        <v>N/A</v>
      </c>
      <c r="G141" s="64" t="str">
        <f>IF(Inicial!L103="SI",Inicial!G103,"N/A")</f>
        <v>N/A</v>
      </c>
      <c r="H141" s="64" t="str">
        <f>IF(Inicial!L103="SI",Inicial!H103,"N/A")</f>
        <v>N/A</v>
      </c>
      <c r="I141" s="66" t="str">
        <f>IF(Inicial!L103="SI",Inicial!I103,"N/A")</f>
        <v>N/A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2" t="str" cm="1">
        <f t="array" ref="AG141">IF(OR(M141:AE141="NO"),"No aceptable","Aceptable")</f>
        <v>Aceptable</v>
      </c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3" t="str" cm="1">
        <f t="array" ref="BD141">IF(OR(AK141:BC141="SI"),"Critico","No Critico")</f>
        <v>No Critico</v>
      </c>
    </row>
    <row r="142" spans="1:56" ht="16.5">
      <c r="A142" s="63">
        <f>Inicial!A104</f>
        <v>0</v>
      </c>
      <c r="B142" s="64">
        <f>Inicial!B104</f>
        <v>0</v>
      </c>
      <c r="C142" s="64">
        <f>Inicial!C104</f>
        <v>0</v>
      </c>
      <c r="D142" s="65">
        <f>Inicial!D104</f>
        <v>0</v>
      </c>
      <c r="E142" s="63" t="str">
        <f>IF(Inicial!L104="SI",Inicial!E104,"N/A")</f>
        <v>N/A</v>
      </c>
      <c r="F142" s="64" t="str">
        <f>IF(Inicial!L104="SI",Inicial!F104,"N/A")</f>
        <v>N/A</v>
      </c>
      <c r="G142" s="64" t="str">
        <f>IF(Inicial!L104="SI",Inicial!G104,"N/A")</f>
        <v>N/A</v>
      </c>
      <c r="H142" s="64" t="str">
        <f>IF(Inicial!L104="SI",Inicial!H104,"N/A")</f>
        <v>N/A</v>
      </c>
      <c r="I142" s="66" t="str">
        <f>IF(Inicial!L104="SI",Inicial!I104,"N/A")</f>
        <v>N/A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2" t="str" cm="1">
        <f t="array" ref="AG142">IF(OR(M142:AE142="NO"),"No aceptable","Aceptable")</f>
        <v>Aceptable</v>
      </c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3" t="str" cm="1">
        <f t="array" ref="BD142">IF(OR(AK142:BC142="SI"),"Critico","No Critico")</f>
        <v>No Critico</v>
      </c>
    </row>
    <row r="143" spans="1:56" ht="16.5">
      <c r="A143" s="63">
        <f>Inicial!A105</f>
        <v>0</v>
      </c>
      <c r="B143" s="64">
        <f>Inicial!B105</f>
        <v>0</v>
      </c>
      <c r="C143" s="64">
        <f>Inicial!C105</f>
        <v>0</v>
      </c>
      <c r="D143" s="65">
        <f>Inicial!D105</f>
        <v>0</v>
      </c>
      <c r="E143" s="63" t="str">
        <f>IF(Inicial!L105="SI",Inicial!E105,"N/A")</f>
        <v>N/A</v>
      </c>
      <c r="F143" s="64" t="str">
        <f>IF(Inicial!L105="SI",Inicial!F105,"N/A")</f>
        <v>N/A</v>
      </c>
      <c r="G143" s="64" t="str">
        <f>IF(Inicial!L105="SI",Inicial!G105,"N/A")</f>
        <v>N/A</v>
      </c>
      <c r="H143" s="64" t="str">
        <f>IF(Inicial!L105="SI",Inicial!H105,"N/A")</f>
        <v>N/A</v>
      </c>
      <c r="I143" s="66" t="str">
        <f>IF(Inicial!L105="SI",Inicial!I105,"N/A")</f>
        <v>N/A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2" t="str" cm="1">
        <f t="array" ref="AG143">IF(OR(M143:AE143="NO"),"No aceptable","Aceptable")</f>
        <v>Aceptable</v>
      </c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3" t="str" cm="1">
        <f t="array" ref="BD143">IF(OR(AK143:BC143="SI"),"Critico","No Critico")</f>
        <v>No Critico</v>
      </c>
    </row>
    <row r="144" spans="1:56" ht="16.5">
      <c r="A144" s="63">
        <f>Inicial!A106</f>
        <v>0</v>
      </c>
      <c r="B144" s="64">
        <f>Inicial!B106</f>
        <v>0</v>
      </c>
      <c r="C144" s="64">
        <f>Inicial!C106</f>
        <v>0</v>
      </c>
      <c r="D144" s="65">
        <f>Inicial!D106</f>
        <v>0</v>
      </c>
      <c r="E144" s="63" t="str">
        <f>IF(Inicial!L106="SI",Inicial!E106,"N/A")</f>
        <v>N/A</v>
      </c>
      <c r="F144" s="64" t="str">
        <f>IF(Inicial!L106="SI",Inicial!F106,"N/A")</f>
        <v>N/A</v>
      </c>
      <c r="G144" s="64" t="str">
        <f>IF(Inicial!L106="SI",Inicial!G106,"N/A")</f>
        <v>N/A</v>
      </c>
      <c r="H144" s="64" t="str">
        <f>IF(Inicial!L106="SI",Inicial!H106,"N/A")</f>
        <v>N/A</v>
      </c>
      <c r="I144" s="66" t="str">
        <f>IF(Inicial!L106="SI",Inicial!I106,"N/A")</f>
        <v>N/A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2" t="str" cm="1">
        <f t="array" ref="AG144">IF(OR(M144:AE144="NO"),"No aceptable","Aceptable")</f>
        <v>Aceptable</v>
      </c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3" t="str" cm="1">
        <f t="array" ref="BD144">IF(OR(AK144:BC144="SI"),"Critico","No Critico")</f>
        <v>No Critico</v>
      </c>
    </row>
    <row r="145" spans="1:56" ht="16.5">
      <c r="A145" s="63">
        <f>Inicial!A107</f>
        <v>0</v>
      </c>
      <c r="B145" s="64">
        <f>Inicial!B107</f>
        <v>0</v>
      </c>
      <c r="C145" s="64">
        <f>Inicial!C107</f>
        <v>0</v>
      </c>
      <c r="D145" s="65">
        <f>Inicial!D107</f>
        <v>0</v>
      </c>
      <c r="E145" s="63" t="str">
        <f>IF(Inicial!L107="SI",Inicial!E107,"N/A")</f>
        <v>N/A</v>
      </c>
      <c r="F145" s="64" t="str">
        <f>IF(Inicial!L107="SI",Inicial!F107,"N/A")</f>
        <v>N/A</v>
      </c>
      <c r="G145" s="64" t="str">
        <f>IF(Inicial!L107="SI",Inicial!G107,"N/A")</f>
        <v>N/A</v>
      </c>
      <c r="H145" s="64" t="str">
        <f>IF(Inicial!L107="SI",Inicial!H107,"N/A")</f>
        <v>N/A</v>
      </c>
      <c r="I145" s="66" t="str">
        <f>IF(Inicial!L107="SI",Inicial!I107,"N/A")</f>
        <v>N/A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2" t="str" cm="1">
        <f t="array" ref="AG145">IF(OR(M145:AE145="NO"),"No aceptable","Aceptable")</f>
        <v>Aceptable</v>
      </c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3" t="str" cm="1">
        <f t="array" ref="BD145">IF(OR(AK145:BC145="SI"),"Critico","No Critico")</f>
        <v>No Critico</v>
      </c>
    </row>
    <row r="146" spans="1:56" ht="16.5">
      <c r="A146" s="63">
        <f>Inicial!A108</f>
        <v>0</v>
      </c>
      <c r="B146" s="64">
        <f>Inicial!B108</f>
        <v>0</v>
      </c>
      <c r="C146" s="64">
        <f>Inicial!C108</f>
        <v>0</v>
      </c>
      <c r="D146" s="65">
        <f>Inicial!D108</f>
        <v>0</v>
      </c>
      <c r="E146" s="63" t="str">
        <f>IF(Inicial!L108="SI",Inicial!E108,"N/A")</f>
        <v>N/A</v>
      </c>
      <c r="F146" s="64" t="str">
        <f>IF(Inicial!L108="SI",Inicial!F108,"N/A")</f>
        <v>N/A</v>
      </c>
      <c r="G146" s="64" t="str">
        <f>IF(Inicial!L108="SI",Inicial!G108,"N/A")</f>
        <v>N/A</v>
      </c>
      <c r="H146" s="64" t="str">
        <f>IF(Inicial!L108="SI",Inicial!H108,"N/A")</f>
        <v>N/A</v>
      </c>
      <c r="I146" s="66" t="str">
        <f>IF(Inicial!L108="SI",Inicial!I108,"N/A")</f>
        <v>N/A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2" t="str" cm="1">
        <f t="array" ref="AG146">IF(OR(M146:AE146="NO"),"No aceptable","Aceptable")</f>
        <v>Aceptable</v>
      </c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3" t="str" cm="1">
        <f t="array" ref="BD146">IF(OR(AK146:BC146="SI"),"Critico","No Critico")</f>
        <v>No Critico</v>
      </c>
    </row>
    <row r="147" spans="1:56" ht="16.5">
      <c r="A147" s="63">
        <f>Inicial!A109</f>
        <v>0</v>
      </c>
      <c r="B147" s="64">
        <f>Inicial!B109</f>
        <v>0</v>
      </c>
      <c r="C147" s="64">
        <f>Inicial!C109</f>
        <v>0</v>
      </c>
      <c r="D147" s="65">
        <f>Inicial!D109</f>
        <v>0</v>
      </c>
      <c r="E147" s="63" t="str">
        <f>IF(Inicial!L109="SI",Inicial!E109,"N/A")</f>
        <v>N/A</v>
      </c>
      <c r="F147" s="64" t="str">
        <f>IF(Inicial!L109="SI",Inicial!F109,"N/A")</f>
        <v>N/A</v>
      </c>
      <c r="G147" s="64" t="str">
        <f>IF(Inicial!L109="SI",Inicial!G109,"N/A")</f>
        <v>N/A</v>
      </c>
      <c r="H147" s="64" t="str">
        <f>IF(Inicial!L109="SI",Inicial!H109,"N/A")</f>
        <v>N/A</v>
      </c>
      <c r="I147" s="66" t="str">
        <f>IF(Inicial!L109="SI",Inicial!I109,"N/A")</f>
        <v>N/A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2" t="str" cm="1">
        <f t="array" ref="AG147">IF(OR(M147:AE147="NO"),"No aceptable","Aceptable")</f>
        <v>Aceptable</v>
      </c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3" t="str" cm="1">
        <f t="array" ref="BD147">IF(OR(AK147:BC147="SI"),"Critico","No Critico")</f>
        <v>No Critico</v>
      </c>
    </row>
    <row r="148" spans="1:56" ht="16.5">
      <c r="A148" s="63">
        <f>Inicial!A110</f>
        <v>0</v>
      </c>
      <c r="B148" s="64">
        <f>Inicial!B110</f>
        <v>0</v>
      </c>
      <c r="C148" s="64">
        <f>Inicial!C110</f>
        <v>0</v>
      </c>
      <c r="D148" s="65">
        <f>Inicial!D110</f>
        <v>0</v>
      </c>
      <c r="E148" s="63" t="str">
        <f>IF(Inicial!L110="SI",Inicial!E110,"N/A")</f>
        <v>N/A</v>
      </c>
      <c r="F148" s="64" t="str">
        <f>IF(Inicial!L110="SI",Inicial!F110,"N/A")</f>
        <v>N/A</v>
      </c>
      <c r="G148" s="64" t="str">
        <f>IF(Inicial!L110="SI",Inicial!G110,"N/A")</f>
        <v>N/A</v>
      </c>
      <c r="H148" s="64" t="str">
        <f>IF(Inicial!L110="SI",Inicial!H110,"N/A")</f>
        <v>N/A</v>
      </c>
      <c r="I148" s="66" t="str">
        <f>IF(Inicial!L110="SI",Inicial!I110,"N/A")</f>
        <v>N/A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2" t="str" cm="1">
        <f t="array" ref="AG148">IF(OR(M148:AE148="NO"),"No aceptable","Aceptable")</f>
        <v>Aceptable</v>
      </c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3" t="str" cm="1">
        <f t="array" ref="BD148">IF(OR(AK148:BC148="SI"),"Critico","No Critico")</f>
        <v>No Critico</v>
      </c>
    </row>
    <row r="149" spans="1:56" ht="16.5">
      <c r="A149" s="63">
        <f>Inicial!A111</f>
        <v>0</v>
      </c>
      <c r="B149" s="64">
        <f>Inicial!B111</f>
        <v>0</v>
      </c>
      <c r="C149" s="64">
        <f>Inicial!C111</f>
        <v>0</v>
      </c>
      <c r="D149" s="65">
        <f>Inicial!D111</f>
        <v>0</v>
      </c>
      <c r="E149" s="63" t="str">
        <f>IF(Inicial!L111="SI",Inicial!E111,"N/A")</f>
        <v>N/A</v>
      </c>
      <c r="F149" s="64" t="str">
        <f>IF(Inicial!L111="SI",Inicial!F111,"N/A")</f>
        <v>N/A</v>
      </c>
      <c r="G149" s="64" t="str">
        <f>IF(Inicial!L111="SI",Inicial!G111,"N/A")</f>
        <v>N/A</v>
      </c>
      <c r="H149" s="64" t="str">
        <f>IF(Inicial!L111="SI",Inicial!H111,"N/A")</f>
        <v>N/A</v>
      </c>
      <c r="I149" s="66" t="str">
        <f>IF(Inicial!L111="SI",Inicial!I111,"N/A")</f>
        <v>N/A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2" t="str" cm="1">
        <f t="array" ref="AG149">IF(OR(M149:AE149="NO"),"No aceptable","Aceptable")</f>
        <v>Aceptable</v>
      </c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3" t="str" cm="1">
        <f t="array" ref="BD149">IF(OR(AK149:BC149="SI"),"Critico","No Critico")</f>
        <v>No Critico</v>
      </c>
    </row>
    <row r="150" spans="1:56" ht="16.5">
      <c r="A150" s="63">
        <f>Inicial!A112</f>
        <v>0</v>
      </c>
      <c r="B150" s="64">
        <f>Inicial!B112</f>
        <v>0</v>
      </c>
      <c r="C150" s="64">
        <f>Inicial!C112</f>
        <v>0</v>
      </c>
      <c r="D150" s="65">
        <f>Inicial!D112</f>
        <v>0</v>
      </c>
      <c r="E150" s="63" t="str">
        <f>IF(Inicial!L112="SI",Inicial!E112,"N/A")</f>
        <v>N/A</v>
      </c>
      <c r="F150" s="64" t="str">
        <f>IF(Inicial!L112="SI",Inicial!F112,"N/A")</f>
        <v>N/A</v>
      </c>
      <c r="G150" s="64" t="str">
        <f>IF(Inicial!L112="SI",Inicial!G112,"N/A")</f>
        <v>N/A</v>
      </c>
      <c r="H150" s="64" t="str">
        <f>IF(Inicial!L112="SI",Inicial!H112,"N/A")</f>
        <v>N/A</v>
      </c>
      <c r="I150" s="66" t="str">
        <f>IF(Inicial!L112="SI",Inicial!I112,"N/A")</f>
        <v>N/A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2" t="str" cm="1">
        <f t="array" ref="AG150">IF(OR(M150:AE150="NO"),"No aceptable","Aceptable")</f>
        <v>Aceptable</v>
      </c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3" t="str" cm="1">
        <f t="array" ref="BD150">IF(OR(AK150:BC150="SI"),"Critico","No Critico")</f>
        <v>No Critico</v>
      </c>
    </row>
    <row r="151" spans="1:56" ht="16.5">
      <c r="A151" s="63">
        <f>Inicial!A113</f>
        <v>0</v>
      </c>
      <c r="B151" s="64">
        <f>Inicial!B113</f>
        <v>0</v>
      </c>
      <c r="C151" s="64">
        <f>Inicial!C113</f>
        <v>0</v>
      </c>
      <c r="D151" s="65">
        <f>Inicial!D113</f>
        <v>0</v>
      </c>
      <c r="E151" s="63" t="str">
        <f>IF(Inicial!L113="SI",Inicial!E113,"N/A")</f>
        <v>N/A</v>
      </c>
      <c r="F151" s="64" t="str">
        <f>IF(Inicial!L113="SI",Inicial!F113,"N/A")</f>
        <v>N/A</v>
      </c>
      <c r="G151" s="64" t="str">
        <f>IF(Inicial!L113="SI",Inicial!G113,"N/A")</f>
        <v>N/A</v>
      </c>
      <c r="H151" s="64" t="str">
        <f>IF(Inicial!L113="SI",Inicial!H113,"N/A")</f>
        <v>N/A</v>
      </c>
      <c r="I151" s="66" t="str">
        <f>IF(Inicial!L113="SI",Inicial!I113,"N/A")</f>
        <v>N/A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2" t="str" cm="1">
        <f t="array" ref="AG151">IF(OR(M151:AE151="NO"),"No aceptable","Aceptable")</f>
        <v>Aceptable</v>
      </c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3" t="str" cm="1">
        <f t="array" ref="BD151">IF(OR(AK151:BC151="SI"),"Critico","No Critico")</f>
        <v>No Critico</v>
      </c>
    </row>
    <row r="152" spans="1:56" ht="16.5">
      <c r="A152" s="63">
        <f>Inicial!A114</f>
        <v>0</v>
      </c>
      <c r="B152" s="64">
        <f>Inicial!B114</f>
        <v>0</v>
      </c>
      <c r="C152" s="64">
        <f>Inicial!C114</f>
        <v>0</v>
      </c>
      <c r="D152" s="65">
        <f>Inicial!D114</f>
        <v>0</v>
      </c>
      <c r="E152" s="63" t="str">
        <f>IF(Inicial!L114="SI",Inicial!E114,"N/A")</f>
        <v>N/A</v>
      </c>
      <c r="F152" s="64" t="str">
        <f>IF(Inicial!L114="SI",Inicial!F114,"N/A")</f>
        <v>N/A</v>
      </c>
      <c r="G152" s="64" t="str">
        <f>IF(Inicial!L114="SI",Inicial!G114,"N/A")</f>
        <v>N/A</v>
      </c>
      <c r="H152" s="64" t="str">
        <f>IF(Inicial!L114="SI",Inicial!H114,"N/A")</f>
        <v>N/A</v>
      </c>
      <c r="I152" s="66" t="str">
        <f>IF(Inicial!L114="SI",Inicial!I114,"N/A")</f>
        <v>N/A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2" t="str" cm="1">
        <f t="array" ref="AG152">IF(OR(M152:AE152="NO"),"No aceptable","Aceptable")</f>
        <v>Aceptable</v>
      </c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3" t="str" cm="1">
        <f t="array" ref="BD152">IF(OR(AK152:BC152="SI"),"Critico","No Critico")</f>
        <v>No Critico</v>
      </c>
    </row>
    <row r="153" spans="1:56" ht="16.5">
      <c r="A153" s="63">
        <f>Inicial!A115</f>
        <v>0</v>
      </c>
      <c r="B153" s="64">
        <f>Inicial!B115</f>
        <v>0</v>
      </c>
      <c r="C153" s="64">
        <f>Inicial!C115</f>
        <v>0</v>
      </c>
      <c r="D153" s="65">
        <f>Inicial!D115</f>
        <v>0</v>
      </c>
      <c r="E153" s="63" t="str">
        <f>IF(Inicial!L115="SI",Inicial!E115,"N/A")</f>
        <v>N/A</v>
      </c>
      <c r="F153" s="64" t="str">
        <f>IF(Inicial!L115="SI",Inicial!F115,"N/A")</f>
        <v>N/A</v>
      </c>
      <c r="G153" s="64" t="str">
        <f>IF(Inicial!L115="SI",Inicial!G115,"N/A")</f>
        <v>N/A</v>
      </c>
      <c r="H153" s="64" t="str">
        <f>IF(Inicial!L115="SI",Inicial!H115,"N/A")</f>
        <v>N/A</v>
      </c>
      <c r="I153" s="66" t="str">
        <f>IF(Inicial!L115="SI",Inicial!I115,"N/A")</f>
        <v>N/A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2" t="str" cm="1">
        <f t="array" ref="AG153">IF(OR(M153:AE153="NO"),"No aceptable","Aceptable")</f>
        <v>Aceptable</v>
      </c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3" t="str" cm="1">
        <f t="array" ref="BD153">IF(OR(AK153:BC153="SI"),"Critico","No Critico")</f>
        <v>No Critico</v>
      </c>
    </row>
    <row r="154" spans="1:56" ht="16.5">
      <c r="A154" s="63">
        <f>Inicial!A116</f>
        <v>0</v>
      </c>
      <c r="B154" s="64">
        <f>Inicial!B116</f>
        <v>0</v>
      </c>
      <c r="C154" s="64">
        <f>Inicial!C116</f>
        <v>0</v>
      </c>
      <c r="D154" s="65">
        <f>Inicial!D116</f>
        <v>0</v>
      </c>
      <c r="E154" s="63" t="str">
        <f>IF(Inicial!L116="SI",Inicial!E116,"N/A")</f>
        <v>N/A</v>
      </c>
      <c r="F154" s="64" t="str">
        <f>IF(Inicial!L116="SI",Inicial!F116,"N/A")</f>
        <v>N/A</v>
      </c>
      <c r="G154" s="64" t="str">
        <f>IF(Inicial!L116="SI",Inicial!G116,"N/A")</f>
        <v>N/A</v>
      </c>
      <c r="H154" s="64" t="str">
        <f>IF(Inicial!L116="SI",Inicial!H116,"N/A")</f>
        <v>N/A</v>
      </c>
      <c r="I154" s="66" t="str">
        <f>IF(Inicial!L116="SI",Inicial!I116,"N/A")</f>
        <v>N/A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2" t="str" cm="1">
        <f t="array" ref="AG154">IF(OR(M154:AE154="NO"),"No aceptable","Aceptable")</f>
        <v>Aceptable</v>
      </c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3" t="str" cm="1">
        <f t="array" ref="BD154">IF(OR(AK154:BC154="SI"),"Critico","No Critico")</f>
        <v>No Critico</v>
      </c>
    </row>
    <row r="155" spans="1:56" ht="16.5">
      <c r="A155" s="63">
        <f>Inicial!A117</f>
        <v>0</v>
      </c>
      <c r="B155" s="64">
        <f>Inicial!B117</f>
        <v>0</v>
      </c>
      <c r="C155" s="64">
        <f>Inicial!C117</f>
        <v>0</v>
      </c>
      <c r="D155" s="65">
        <f>Inicial!D117</f>
        <v>0</v>
      </c>
      <c r="E155" s="63" t="str">
        <f>IF(Inicial!L117="SI",Inicial!E117,"N/A")</f>
        <v>N/A</v>
      </c>
      <c r="F155" s="64" t="str">
        <f>IF(Inicial!L117="SI",Inicial!F117,"N/A")</f>
        <v>N/A</v>
      </c>
      <c r="G155" s="64" t="str">
        <f>IF(Inicial!L117="SI",Inicial!G117,"N/A")</f>
        <v>N/A</v>
      </c>
      <c r="H155" s="64" t="str">
        <f>IF(Inicial!L117="SI",Inicial!H117,"N/A")</f>
        <v>N/A</v>
      </c>
      <c r="I155" s="66" t="str">
        <f>IF(Inicial!L117="SI",Inicial!I117,"N/A")</f>
        <v>N/A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2" t="str" cm="1">
        <f t="array" ref="AG155">IF(OR(M155:AE155="NO"),"No aceptable","Aceptable")</f>
        <v>Aceptable</v>
      </c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3" t="str" cm="1">
        <f t="array" ref="BD155">IF(OR(AK155:BC155="SI"),"Critico","No Critico")</f>
        <v>No Critico</v>
      </c>
    </row>
    <row r="156" spans="1:56" ht="16.5">
      <c r="A156" s="63">
        <f>Inicial!A118</f>
        <v>0</v>
      </c>
      <c r="B156" s="64">
        <f>Inicial!B118</f>
        <v>0</v>
      </c>
      <c r="C156" s="64">
        <f>Inicial!C118</f>
        <v>0</v>
      </c>
      <c r="D156" s="65">
        <f>Inicial!D118</f>
        <v>0</v>
      </c>
      <c r="E156" s="63" t="str">
        <f>IF(Inicial!L118="SI",Inicial!E118,"N/A")</f>
        <v>N/A</v>
      </c>
      <c r="F156" s="64" t="str">
        <f>IF(Inicial!L118="SI",Inicial!F118,"N/A")</f>
        <v>N/A</v>
      </c>
      <c r="G156" s="64" t="str">
        <f>IF(Inicial!L118="SI",Inicial!G118,"N/A")</f>
        <v>N/A</v>
      </c>
      <c r="H156" s="64" t="str">
        <f>IF(Inicial!L118="SI",Inicial!H118,"N/A")</f>
        <v>N/A</v>
      </c>
      <c r="I156" s="66" t="str">
        <f>IF(Inicial!L118="SI",Inicial!I118,"N/A")</f>
        <v>N/A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2" t="str" cm="1">
        <f t="array" ref="AG156">IF(OR(M156:AE156="NO"),"No aceptable","Aceptable")</f>
        <v>Aceptable</v>
      </c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3" t="str" cm="1">
        <f t="array" ref="BD156">IF(OR(AK156:BC156="SI"),"Critico","No Critico")</f>
        <v>No Critico</v>
      </c>
    </row>
    <row r="157" spans="1:56" ht="16.5">
      <c r="A157" s="63">
        <f>Inicial!A119</f>
        <v>0</v>
      </c>
      <c r="B157" s="64">
        <f>Inicial!B119</f>
        <v>0</v>
      </c>
      <c r="C157" s="64">
        <f>Inicial!C119</f>
        <v>0</v>
      </c>
      <c r="D157" s="65">
        <f>Inicial!D119</f>
        <v>0</v>
      </c>
      <c r="E157" s="63" t="str">
        <f>IF(Inicial!L119="SI",Inicial!E119,"N/A")</f>
        <v>N/A</v>
      </c>
      <c r="F157" s="64" t="str">
        <f>IF(Inicial!L119="SI",Inicial!F119,"N/A")</f>
        <v>N/A</v>
      </c>
      <c r="G157" s="64" t="str">
        <f>IF(Inicial!L119="SI",Inicial!G119,"N/A")</f>
        <v>N/A</v>
      </c>
      <c r="H157" s="64" t="str">
        <f>IF(Inicial!L119="SI",Inicial!H119,"N/A")</f>
        <v>N/A</v>
      </c>
      <c r="I157" s="66" t="str">
        <f>IF(Inicial!L119="SI",Inicial!I119,"N/A")</f>
        <v>N/A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2" t="str" cm="1">
        <f t="array" ref="AG157">IF(OR(M157:AE157="NO"),"No aceptable","Aceptable")</f>
        <v>Aceptable</v>
      </c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3" t="str" cm="1">
        <f t="array" ref="BD157">IF(OR(AK157:BC157="SI"),"Critico","No Critico")</f>
        <v>No Critico</v>
      </c>
    </row>
    <row r="158" spans="1:56" ht="16.5">
      <c r="A158" s="63">
        <f>Inicial!A120</f>
        <v>0</v>
      </c>
      <c r="B158" s="64">
        <f>Inicial!B120</f>
        <v>0</v>
      </c>
      <c r="C158" s="64">
        <f>Inicial!C120</f>
        <v>0</v>
      </c>
      <c r="D158" s="65">
        <f>Inicial!D120</f>
        <v>0</v>
      </c>
      <c r="E158" s="63" t="str">
        <f>IF(Inicial!L120="SI",Inicial!E120,"N/A")</f>
        <v>N/A</v>
      </c>
      <c r="F158" s="64" t="str">
        <f>IF(Inicial!L120="SI",Inicial!F120,"N/A")</f>
        <v>N/A</v>
      </c>
      <c r="G158" s="64" t="str">
        <f>IF(Inicial!L120="SI",Inicial!G120,"N/A")</f>
        <v>N/A</v>
      </c>
      <c r="H158" s="64" t="str">
        <f>IF(Inicial!L120="SI",Inicial!H120,"N/A")</f>
        <v>N/A</v>
      </c>
      <c r="I158" s="66" t="str">
        <f>IF(Inicial!L120="SI",Inicial!I120,"N/A")</f>
        <v>N/A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2" t="str" cm="1">
        <f t="array" ref="AG158">IF(OR(M158:AE158="NO"),"No aceptable","Aceptable")</f>
        <v>Aceptable</v>
      </c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3" t="str" cm="1">
        <f t="array" ref="BD158">IF(OR(AK158:BC158="SI"),"Critico","No Critico")</f>
        <v>No Critico</v>
      </c>
    </row>
    <row r="159" spans="1:56" ht="16.5">
      <c r="A159" s="63">
        <f>Inicial!A121</f>
        <v>0</v>
      </c>
      <c r="B159" s="64">
        <f>Inicial!B121</f>
        <v>0</v>
      </c>
      <c r="C159" s="64">
        <f>Inicial!C121</f>
        <v>0</v>
      </c>
      <c r="D159" s="65">
        <f>Inicial!D121</f>
        <v>0</v>
      </c>
      <c r="E159" s="63" t="str">
        <f>IF(Inicial!L121="SI",Inicial!E121,"N/A")</f>
        <v>N/A</v>
      </c>
      <c r="F159" s="64" t="str">
        <f>IF(Inicial!L121="SI",Inicial!F121,"N/A")</f>
        <v>N/A</v>
      </c>
      <c r="G159" s="64" t="str">
        <f>IF(Inicial!L121="SI",Inicial!G121,"N/A")</f>
        <v>N/A</v>
      </c>
      <c r="H159" s="64" t="str">
        <f>IF(Inicial!L121="SI",Inicial!H121,"N/A")</f>
        <v>N/A</v>
      </c>
      <c r="I159" s="66" t="str">
        <f>IF(Inicial!L121="SI",Inicial!I121,"N/A")</f>
        <v>N/A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2" t="str" cm="1">
        <f t="array" ref="AG159">IF(OR(M159:AE159="NO"),"No aceptable","Aceptable")</f>
        <v>Aceptable</v>
      </c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3" t="str" cm="1">
        <f t="array" ref="BD159">IF(OR(AK159:BC159="SI"),"Critico","No Critico")</f>
        <v>No Critico</v>
      </c>
    </row>
    <row r="160" spans="1:56" ht="16.5">
      <c r="A160" s="63">
        <f>Inicial!A122</f>
        <v>0</v>
      </c>
      <c r="B160" s="64">
        <f>Inicial!B122</f>
        <v>0</v>
      </c>
      <c r="C160" s="64">
        <f>Inicial!C122</f>
        <v>0</v>
      </c>
      <c r="D160" s="65">
        <f>Inicial!D122</f>
        <v>0</v>
      </c>
      <c r="E160" s="63" t="str">
        <f>IF(Inicial!L122="SI",Inicial!E122,"N/A")</f>
        <v>N/A</v>
      </c>
      <c r="F160" s="64" t="str">
        <f>IF(Inicial!L122="SI",Inicial!F122,"N/A")</f>
        <v>N/A</v>
      </c>
      <c r="G160" s="64" t="str">
        <f>IF(Inicial!L122="SI",Inicial!G122,"N/A")</f>
        <v>N/A</v>
      </c>
      <c r="H160" s="64" t="str">
        <f>IF(Inicial!L122="SI",Inicial!H122,"N/A")</f>
        <v>N/A</v>
      </c>
      <c r="I160" s="66" t="str">
        <f>IF(Inicial!L122="SI",Inicial!I122,"N/A")</f>
        <v>N/A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2" t="str" cm="1">
        <f t="array" ref="AG160">IF(OR(M160:AE160="NO"),"No aceptable","Aceptable")</f>
        <v>Aceptable</v>
      </c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3" t="str" cm="1">
        <f t="array" ref="BD160">IF(OR(AK160:BC160="SI"),"Critico","No Critico")</f>
        <v>No Critico</v>
      </c>
    </row>
    <row r="161" spans="1:56" ht="16.5">
      <c r="A161" s="63">
        <f>Inicial!A123</f>
        <v>0</v>
      </c>
      <c r="B161" s="64">
        <f>Inicial!B123</f>
        <v>0</v>
      </c>
      <c r="C161" s="64">
        <f>Inicial!C123</f>
        <v>0</v>
      </c>
      <c r="D161" s="65">
        <f>Inicial!D123</f>
        <v>0</v>
      </c>
      <c r="E161" s="63" t="str">
        <f>IF(Inicial!L123="SI",Inicial!E123,"N/A")</f>
        <v>N/A</v>
      </c>
      <c r="F161" s="64" t="str">
        <f>IF(Inicial!L123="SI",Inicial!F123,"N/A")</f>
        <v>N/A</v>
      </c>
      <c r="G161" s="64" t="str">
        <f>IF(Inicial!L123="SI",Inicial!G123,"N/A")</f>
        <v>N/A</v>
      </c>
      <c r="H161" s="64" t="str">
        <f>IF(Inicial!L123="SI",Inicial!H123,"N/A")</f>
        <v>N/A</v>
      </c>
      <c r="I161" s="66" t="str">
        <f>IF(Inicial!L123="SI",Inicial!I123,"N/A")</f>
        <v>N/A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2" t="str" cm="1">
        <f t="array" ref="AG161">IF(OR(M161:AE161="NO"),"No aceptable","Aceptable")</f>
        <v>Aceptable</v>
      </c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3" t="str" cm="1">
        <f t="array" ref="BD161">IF(OR(AK161:BC161="SI"),"Critico","No Critico")</f>
        <v>No Critico</v>
      </c>
    </row>
    <row r="162" spans="1:56" ht="16.5">
      <c r="A162" s="63">
        <f>Inicial!A124</f>
        <v>0</v>
      </c>
      <c r="B162" s="64">
        <f>Inicial!B124</f>
        <v>0</v>
      </c>
      <c r="C162" s="64">
        <f>Inicial!C124</f>
        <v>0</v>
      </c>
      <c r="D162" s="65">
        <f>Inicial!D124</f>
        <v>0</v>
      </c>
      <c r="E162" s="63" t="str">
        <f>IF(Inicial!L124="SI",Inicial!E124,"N/A")</f>
        <v>N/A</v>
      </c>
      <c r="F162" s="64" t="str">
        <f>IF(Inicial!L124="SI",Inicial!F124,"N/A")</f>
        <v>N/A</v>
      </c>
      <c r="G162" s="64" t="str">
        <f>IF(Inicial!L124="SI",Inicial!G124,"N/A")</f>
        <v>N/A</v>
      </c>
      <c r="H162" s="64" t="str">
        <f>IF(Inicial!L124="SI",Inicial!H124,"N/A")</f>
        <v>N/A</v>
      </c>
      <c r="I162" s="66" t="str">
        <f>IF(Inicial!L124="SI",Inicial!I124,"N/A")</f>
        <v>N/A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2" t="str" cm="1">
        <f t="array" ref="AG162">IF(OR(M162:AE162="NO"),"No aceptable","Aceptable")</f>
        <v>Aceptable</v>
      </c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3" t="str" cm="1">
        <f t="array" ref="BD162">IF(OR(AK162:BC162="SI"),"Critico","No Critico")</f>
        <v>No Critico</v>
      </c>
    </row>
    <row r="163" spans="1:56" ht="16.5">
      <c r="A163" s="63">
        <f>Inicial!A125</f>
        <v>0</v>
      </c>
      <c r="B163" s="64">
        <f>Inicial!B125</f>
        <v>0</v>
      </c>
      <c r="C163" s="64">
        <f>Inicial!C125</f>
        <v>0</v>
      </c>
      <c r="D163" s="65">
        <f>Inicial!D125</f>
        <v>0</v>
      </c>
      <c r="E163" s="63" t="str">
        <f>IF(Inicial!L125="SI",Inicial!E125,"N/A")</f>
        <v>N/A</v>
      </c>
      <c r="F163" s="64" t="str">
        <f>IF(Inicial!L125="SI",Inicial!F125,"N/A")</f>
        <v>N/A</v>
      </c>
      <c r="G163" s="64" t="str">
        <f>IF(Inicial!L125="SI",Inicial!G125,"N/A")</f>
        <v>N/A</v>
      </c>
      <c r="H163" s="64" t="str">
        <f>IF(Inicial!L125="SI",Inicial!H125,"N/A")</f>
        <v>N/A</v>
      </c>
      <c r="I163" s="66" t="str">
        <f>IF(Inicial!L125="SI",Inicial!I125,"N/A")</f>
        <v>N/A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2" t="str" cm="1">
        <f t="array" ref="AG163">IF(OR(M163:AE163="NO"),"No aceptable","Aceptable")</f>
        <v>Aceptable</v>
      </c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3" t="str" cm="1">
        <f t="array" ref="BD163">IF(OR(AK163:BC163="SI"),"Critico","No Critico")</f>
        <v>No Critico</v>
      </c>
    </row>
    <row r="164" spans="1:56" ht="16.5">
      <c r="A164" s="63">
        <f>Inicial!A126</f>
        <v>0</v>
      </c>
      <c r="B164" s="64">
        <f>Inicial!B126</f>
        <v>0</v>
      </c>
      <c r="C164" s="64">
        <f>Inicial!C126</f>
        <v>0</v>
      </c>
      <c r="D164" s="65">
        <f>Inicial!D126</f>
        <v>0</v>
      </c>
      <c r="E164" s="63" t="str">
        <f>IF(Inicial!L126="SI",Inicial!E126,"N/A")</f>
        <v>N/A</v>
      </c>
      <c r="F164" s="64" t="str">
        <f>IF(Inicial!L126="SI",Inicial!F126,"N/A")</f>
        <v>N/A</v>
      </c>
      <c r="G164" s="64" t="str">
        <f>IF(Inicial!L126="SI",Inicial!G126,"N/A")</f>
        <v>N/A</v>
      </c>
      <c r="H164" s="64" t="str">
        <f>IF(Inicial!L126="SI",Inicial!H126,"N/A")</f>
        <v>N/A</v>
      </c>
      <c r="I164" s="66" t="str">
        <f>IF(Inicial!L126="SI",Inicial!I126,"N/A")</f>
        <v>N/A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2" t="str" cm="1">
        <f t="array" ref="AG164">IF(OR(M164:AE164="NO"),"No aceptable","Aceptable")</f>
        <v>Aceptable</v>
      </c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3" t="str" cm="1">
        <f t="array" ref="BD164">IF(OR(AK164:BC164="SI"),"Critico","No Critico")</f>
        <v>No Critico</v>
      </c>
    </row>
    <row r="165" spans="1:56" ht="16.5">
      <c r="A165" s="63">
        <f>Inicial!A127</f>
        <v>0</v>
      </c>
      <c r="B165" s="64">
        <f>Inicial!B127</f>
        <v>0</v>
      </c>
      <c r="C165" s="64">
        <f>Inicial!C127</f>
        <v>0</v>
      </c>
      <c r="D165" s="65">
        <f>Inicial!D127</f>
        <v>0</v>
      </c>
      <c r="E165" s="63" t="str">
        <f>IF(Inicial!L127="SI",Inicial!E127,"N/A")</f>
        <v>N/A</v>
      </c>
      <c r="F165" s="64" t="str">
        <f>IF(Inicial!L127="SI",Inicial!F127,"N/A")</f>
        <v>N/A</v>
      </c>
      <c r="G165" s="64" t="str">
        <f>IF(Inicial!L127="SI",Inicial!G127,"N/A")</f>
        <v>N/A</v>
      </c>
      <c r="H165" s="64" t="str">
        <f>IF(Inicial!L127="SI",Inicial!H127,"N/A")</f>
        <v>N/A</v>
      </c>
      <c r="I165" s="66" t="str">
        <f>IF(Inicial!L127="SI",Inicial!I127,"N/A")</f>
        <v>N/A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2" t="str" cm="1">
        <f t="array" ref="AG165">IF(OR(M165:AE165="NO"),"No aceptable","Aceptable")</f>
        <v>Aceptable</v>
      </c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3" t="str" cm="1">
        <f t="array" ref="BD165">IF(OR(AK165:BC165="SI"),"Critico","No Critico")</f>
        <v>No Critico</v>
      </c>
    </row>
    <row r="166" spans="1:56" ht="16.5">
      <c r="A166" s="63">
        <f>Inicial!A128</f>
        <v>0</v>
      </c>
      <c r="B166" s="64">
        <f>Inicial!B128</f>
        <v>0</v>
      </c>
      <c r="C166" s="64">
        <f>Inicial!C128</f>
        <v>0</v>
      </c>
      <c r="D166" s="65">
        <f>Inicial!D128</f>
        <v>0</v>
      </c>
      <c r="E166" s="63" t="str">
        <f>IF(Inicial!L128="SI",Inicial!E128,"N/A")</f>
        <v>N/A</v>
      </c>
      <c r="F166" s="64" t="str">
        <f>IF(Inicial!L128="SI",Inicial!F128,"N/A")</f>
        <v>N/A</v>
      </c>
      <c r="G166" s="64" t="str">
        <f>IF(Inicial!L128="SI",Inicial!G128,"N/A")</f>
        <v>N/A</v>
      </c>
      <c r="H166" s="64" t="str">
        <f>IF(Inicial!L128="SI",Inicial!H128,"N/A")</f>
        <v>N/A</v>
      </c>
      <c r="I166" s="66" t="str">
        <f>IF(Inicial!L128="SI",Inicial!I128,"N/A")</f>
        <v>N/A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2" t="str" cm="1">
        <f t="array" ref="AG166">IF(OR(M166:AE166="NO"),"No aceptable","Aceptable")</f>
        <v>Aceptable</v>
      </c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3" t="str" cm="1">
        <f t="array" ref="BD166">IF(OR(AK166:BC166="SI"),"Critico","No Critico")</f>
        <v>No Critico</v>
      </c>
    </row>
    <row r="167" spans="1:56" ht="16.5">
      <c r="A167" s="63">
        <f>Inicial!A129</f>
        <v>0</v>
      </c>
      <c r="B167" s="64">
        <f>Inicial!B129</f>
        <v>0</v>
      </c>
      <c r="C167" s="64">
        <f>Inicial!C129</f>
        <v>0</v>
      </c>
      <c r="D167" s="65">
        <f>Inicial!D129</f>
        <v>0</v>
      </c>
      <c r="E167" s="63" t="str">
        <f>IF(Inicial!L129="SI",Inicial!E129,"N/A")</f>
        <v>N/A</v>
      </c>
      <c r="F167" s="64" t="str">
        <f>IF(Inicial!L129="SI",Inicial!F129,"N/A")</f>
        <v>N/A</v>
      </c>
      <c r="G167" s="64" t="str">
        <f>IF(Inicial!L129="SI",Inicial!G129,"N/A")</f>
        <v>N/A</v>
      </c>
      <c r="H167" s="64" t="str">
        <f>IF(Inicial!L129="SI",Inicial!H129,"N/A")</f>
        <v>N/A</v>
      </c>
      <c r="I167" s="66" t="str">
        <f>IF(Inicial!L129="SI",Inicial!I129,"N/A")</f>
        <v>N/A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2" t="str" cm="1">
        <f t="array" ref="AG167">IF(OR(M167:AE167="NO"),"No aceptable","Aceptable")</f>
        <v>Aceptable</v>
      </c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3" t="str" cm="1">
        <f t="array" ref="BD167">IF(OR(AK167:BC167="SI"),"Critico","No Critico")</f>
        <v>No Critico</v>
      </c>
    </row>
    <row r="168" spans="1:56" ht="16.5">
      <c r="A168" s="63">
        <f>Inicial!A130</f>
        <v>0</v>
      </c>
      <c r="B168" s="64">
        <f>Inicial!B130</f>
        <v>0</v>
      </c>
      <c r="C168" s="64">
        <f>Inicial!C130</f>
        <v>0</v>
      </c>
      <c r="D168" s="65">
        <f>Inicial!D130</f>
        <v>0</v>
      </c>
      <c r="E168" s="63" t="str">
        <f>IF(Inicial!L130="SI",Inicial!E130,"N/A")</f>
        <v>N/A</v>
      </c>
      <c r="F168" s="64" t="str">
        <f>IF(Inicial!L130="SI",Inicial!F130,"N/A")</f>
        <v>N/A</v>
      </c>
      <c r="G168" s="64" t="str">
        <f>IF(Inicial!L130="SI",Inicial!G130,"N/A")</f>
        <v>N/A</v>
      </c>
      <c r="H168" s="64" t="str">
        <f>IF(Inicial!L130="SI",Inicial!H130,"N/A")</f>
        <v>N/A</v>
      </c>
      <c r="I168" s="66" t="str">
        <f>IF(Inicial!L130="SI",Inicial!I130,"N/A")</f>
        <v>N/A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2" t="str" cm="1">
        <f t="array" ref="AG168">IF(OR(M168:AE168="NO"),"No aceptable","Aceptable")</f>
        <v>Aceptable</v>
      </c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3" t="str" cm="1">
        <f t="array" ref="BD168">IF(OR(AK168:BC168="SI"),"Critico","No Critico")</f>
        <v>No Critico</v>
      </c>
    </row>
    <row r="169" spans="1:56" ht="16.5">
      <c r="A169" s="63">
        <f>Inicial!A131</f>
        <v>0</v>
      </c>
      <c r="B169" s="64">
        <f>Inicial!B131</f>
        <v>0</v>
      </c>
      <c r="C169" s="64">
        <f>Inicial!C131</f>
        <v>0</v>
      </c>
      <c r="D169" s="65">
        <f>Inicial!D131</f>
        <v>0</v>
      </c>
      <c r="E169" s="63" t="str">
        <f>IF(Inicial!L131="SI",Inicial!E131,"N/A")</f>
        <v>N/A</v>
      </c>
      <c r="F169" s="64" t="str">
        <f>IF(Inicial!L131="SI",Inicial!F131,"N/A")</f>
        <v>N/A</v>
      </c>
      <c r="G169" s="64" t="str">
        <f>IF(Inicial!L131="SI",Inicial!G131,"N/A")</f>
        <v>N/A</v>
      </c>
      <c r="H169" s="64" t="str">
        <f>IF(Inicial!L131="SI",Inicial!H131,"N/A")</f>
        <v>N/A</v>
      </c>
      <c r="I169" s="66" t="str">
        <f>IF(Inicial!L131="SI",Inicial!I131,"N/A")</f>
        <v>N/A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2" t="str" cm="1">
        <f t="array" ref="AG169">IF(OR(M169:AE169="NO"),"No aceptable","Aceptable")</f>
        <v>Aceptable</v>
      </c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3" t="str" cm="1">
        <f t="array" ref="BD169">IF(OR(AK169:BC169="SI"),"Critico","No Critico")</f>
        <v>No Critico</v>
      </c>
    </row>
    <row r="170" spans="1:56" ht="16.5">
      <c r="A170" s="63">
        <f>Inicial!A132</f>
        <v>0</v>
      </c>
      <c r="B170" s="64">
        <f>Inicial!B132</f>
        <v>0</v>
      </c>
      <c r="C170" s="64">
        <f>Inicial!C132</f>
        <v>0</v>
      </c>
      <c r="D170" s="65">
        <f>Inicial!D132</f>
        <v>0</v>
      </c>
      <c r="E170" s="63" t="str">
        <f>IF(Inicial!L132="SI",Inicial!E132,"N/A")</f>
        <v>N/A</v>
      </c>
      <c r="F170" s="64" t="str">
        <f>IF(Inicial!L132="SI",Inicial!F132,"N/A")</f>
        <v>N/A</v>
      </c>
      <c r="G170" s="64" t="str">
        <f>IF(Inicial!L132="SI",Inicial!G132,"N/A")</f>
        <v>N/A</v>
      </c>
      <c r="H170" s="64" t="str">
        <f>IF(Inicial!L132="SI",Inicial!H132,"N/A")</f>
        <v>N/A</v>
      </c>
      <c r="I170" s="66" t="str">
        <f>IF(Inicial!L132="SI",Inicial!I132,"N/A")</f>
        <v>N/A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2" t="str" cm="1">
        <f t="array" ref="AG170">IF(OR(M170:AE170="NO"),"No aceptable","Aceptable")</f>
        <v>Aceptable</v>
      </c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3" t="str" cm="1">
        <f t="array" ref="BD170">IF(OR(AK170:BC170="SI"),"Critico","No Critico")</f>
        <v>No Critico</v>
      </c>
    </row>
    <row r="171" spans="1:56" ht="16.5">
      <c r="A171" s="63">
        <f>Inicial!A133</f>
        <v>0</v>
      </c>
      <c r="B171" s="64">
        <f>Inicial!B133</f>
        <v>0</v>
      </c>
      <c r="C171" s="64">
        <f>Inicial!C133</f>
        <v>0</v>
      </c>
      <c r="D171" s="65">
        <f>Inicial!D133</f>
        <v>0</v>
      </c>
      <c r="E171" s="63" t="str">
        <f>IF(Inicial!L133="SI",Inicial!E133,"N/A")</f>
        <v>N/A</v>
      </c>
      <c r="F171" s="64" t="str">
        <f>IF(Inicial!L133="SI",Inicial!F133,"N/A")</f>
        <v>N/A</v>
      </c>
      <c r="G171" s="64" t="str">
        <f>IF(Inicial!L133="SI",Inicial!G133,"N/A")</f>
        <v>N/A</v>
      </c>
      <c r="H171" s="64" t="str">
        <f>IF(Inicial!L133="SI",Inicial!H133,"N/A")</f>
        <v>N/A</v>
      </c>
      <c r="I171" s="66" t="str">
        <f>IF(Inicial!L133="SI",Inicial!I133,"N/A")</f>
        <v>N/A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2" t="str" cm="1">
        <f t="array" ref="AG171">IF(OR(M171:AE171="NO"),"No aceptable","Aceptable")</f>
        <v>Aceptable</v>
      </c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3" t="str" cm="1">
        <f t="array" ref="BD171">IF(OR(AK171:BC171="SI"),"Critico","No Critico")</f>
        <v>No Critico</v>
      </c>
    </row>
    <row r="172" spans="1:56" ht="16.5">
      <c r="A172" s="63">
        <f>Inicial!A134</f>
        <v>0</v>
      </c>
      <c r="B172" s="64">
        <f>Inicial!B134</f>
        <v>0</v>
      </c>
      <c r="C172" s="64">
        <f>Inicial!C134</f>
        <v>0</v>
      </c>
      <c r="D172" s="65">
        <f>Inicial!D134</f>
        <v>0</v>
      </c>
      <c r="E172" s="63" t="str">
        <f>IF(Inicial!L134="SI",Inicial!E134,"N/A")</f>
        <v>N/A</v>
      </c>
      <c r="F172" s="64" t="str">
        <f>IF(Inicial!L134="SI",Inicial!F134,"N/A")</f>
        <v>N/A</v>
      </c>
      <c r="G172" s="64" t="str">
        <f>IF(Inicial!L134="SI",Inicial!G134,"N/A")</f>
        <v>N/A</v>
      </c>
      <c r="H172" s="64" t="str">
        <f>IF(Inicial!L134="SI",Inicial!H134,"N/A")</f>
        <v>N/A</v>
      </c>
      <c r="I172" s="66" t="str">
        <f>IF(Inicial!L134="SI",Inicial!I134,"N/A")</f>
        <v>N/A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2" t="str" cm="1">
        <f t="array" ref="AG172">IF(OR(M172:AE172="NO"),"No aceptable","Aceptable")</f>
        <v>Aceptable</v>
      </c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3" t="str" cm="1">
        <f t="array" ref="BD172">IF(OR(AK172:BC172="SI"),"Critico","No Critico")</f>
        <v>No Critico</v>
      </c>
    </row>
    <row r="173" spans="1:56" ht="16.5">
      <c r="A173" s="63">
        <f>Inicial!A135</f>
        <v>0</v>
      </c>
      <c r="B173" s="64"/>
      <c r="C173" s="64"/>
      <c r="D173" s="65"/>
      <c r="E173" s="63"/>
      <c r="F173" s="64"/>
      <c r="G173" s="64"/>
      <c r="H173" s="64"/>
      <c r="I173" s="66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2" t="str" cm="1">
        <f t="array" ref="AG173">IF(OR(M173:AE173="NO"),"No aceptable","Aceptable")</f>
        <v>Aceptable</v>
      </c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3" t="str" cm="1">
        <f t="array" ref="BD173">IF(OR(AK173:BC173="SI"),"Critico","No Critico")</f>
        <v>No Critico</v>
      </c>
    </row>
    <row r="174" spans="1:56" ht="16.5">
      <c r="A174" s="63">
        <f>Inicial!A136</f>
        <v>0</v>
      </c>
      <c r="B174" s="64"/>
      <c r="C174" s="64"/>
      <c r="D174" s="65"/>
      <c r="E174" s="63"/>
      <c r="F174" s="64"/>
      <c r="G174" s="64"/>
      <c r="H174" s="64"/>
      <c r="I174" s="66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2" t="str" cm="1">
        <f t="array" ref="AG174">IF(OR(M174:AE174="NO"),"No aceptable","Aceptable")</f>
        <v>Aceptable</v>
      </c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3" t="str" cm="1">
        <f t="array" ref="BD174">IF(OR(AK174:BC174="SI"),"Critico","No Critico")</f>
        <v>No Critico</v>
      </c>
    </row>
    <row r="175" spans="1:56">
      <c r="A175" s="63">
        <f>Inicial!A137</f>
        <v>0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4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3" t="str" cm="1">
        <f t="array" ref="BD175">IF(OR(AK175:BC175="SI"),"Critico","No Critico")</f>
        <v>No Critico</v>
      </c>
    </row>
    <row r="176" spans="1:56">
      <c r="A176" s="63">
        <f>Inicial!A138</f>
        <v>0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4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3" t="str" cm="1">
        <f t="array" ref="BD176">IF(OR(AK176:BC176="SI"),"Critico","No Critico")</f>
        <v>No Critico</v>
      </c>
    </row>
    <row r="177" spans="1:56">
      <c r="A177" s="63">
        <f>Inicial!A139</f>
        <v>0</v>
      </c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3" t="str" cm="1">
        <f t="array" ref="BD177">IF(OR(AK177:BC177="SI"),"Critico","No Critico")</f>
        <v>No Critico</v>
      </c>
    </row>
    <row r="178" spans="1:56">
      <c r="A178" s="63">
        <f>Inicial!A140</f>
        <v>0</v>
      </c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3" t="str" cm="1">
        <f t="array" ref="BD178">IF(OR(AK178:BC178="SI"),"Critico","No Critico")</f>
        <v>No Critico</v>
      </c>
    </row>
    <row r="179" spans="1:56"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</row>
    <row r="180" spans="1:56"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</row>
    <row r="181" spans="1:56"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</row>
    <row r="182" spans="1:56"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</row>
    <row r="183" spans="1:56"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</row>
    <row r="184" spans="1:56"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</row>
    <row r="185" spans="1:56"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</row>
    <row r="186" spans="1:56"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</row>
    <row r="187" spans="1:56"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</row>
    <row r="188" spans="1:56"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</row>
    <row r="189" spans="1:56"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</row>
    <row r="190" spans="1:56"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</row>
    <row r="191" spans="1:56"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</row>
    <row r="192" spans="1:56"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</row>
    <row r="193" spans="34:55"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</row>
    <row r="194" spans="34:55"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</row>
    <row r="195" spans="34:55"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</row>
    <row r="196" spans="34:55"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</row>
    <row r="197" spans="34:55"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</row>
    <row r="198" spans="34:55"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</row>
    <row r="199" spans="34:55"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</row>
    <row r="200" spans="34:55"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</row>
    <row r="201" spans="34:55"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</row>
    <row r="202" spans="34:55"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</row>
    <row r="203" spans="34:55"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</row>
    <row r="204" spans="34:55"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</row>
    <row r="205" spans="34:55"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</row>
    <row r="206" spans="34:55"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</row>
    <row r="207" spans="34:55"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</row>
    <row r="208" spans="34:55"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</row>
    <row r="209" spans="34:55"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</row>
    <row r="210" spans="34:55"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</row>
    <row r="211" spans="34:55"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</row>
    <row r="212" spans="34:55"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</row>
    <row r="213" spans="34:55"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</row>
    <row r="214" spans="34:55"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</row>
    <row r="215" spans="34:55"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</row>
    <row r="216" spans="34:55"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</row>
    <row r="217" spans="34:55"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</row>
    <row r="218" spans="34:55"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</row>
    <row r="219" spans="34:55"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</row>
    <row r="220" spans="34:55"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</row>
    <row r="221" spans="34:55"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</row>
    <row r="222" spans="34:55"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</row>
    <row r="223" spans="34:55"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</row>
    <row r="224" spans="34:55"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</row>
    <row r="225" spans="34:55"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</row>
    <row r="226" spans="34:55"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</row>
    <row r="227" spans="34:55"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</row>
    <row r="228" spans="34:55"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</row>
    <row r="229" spans="34:55"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</row>
    <row r="230" spans="34:55"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</row>
    <row r="231" spans="34:55"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</row>
    <row r="232" spans="34:55"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</row>
    <row r="233" spans="34:55"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</row>
    <row r="234" spans="34:55"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</row>
    <row r="235" spans="34:55"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</row>
    <row r="236" spans="34:55"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</row>
    <row r="237" spans="34:55"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</row>
    <row r="238" spans="34:55"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</row>
    <row r="239" spans="34:55"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</row>
    <row r="240" spans="34:55"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</row>
    <row r="241" spans="34:55"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</row>
    <row r="242" spans="34:55"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</row>
    <row r="243" spans="34:55"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</row>
    <row r="244" spans="34:55"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</row>
    <row r="245" spans="34:55"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</row>
    <row r="246" spans="34:55"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</row>
    <row r="247" spans="34:55"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</row>
    <row r="248" spans="34:55"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</row>
    <row r="249" spans="34:55"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</row>
    <row r="250" spans="34:55"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</row>
    <row r="251" spans="34:55"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</row>
    <row r="252" spans="34:55"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</row>
    <row r="253" spans="34:55"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</row>
    <row r="254" spans="34:55"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</row>
    <row r="255" spans="34:55"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</row>
    <row r="256" spans="34:55"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</row>
    <row r="257" spans="34:55"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</row>
    <row r="258" spans="34:55"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</row>
    <row r="259" spans="34:55"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</row>
    <row r="260" spans="34:55"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</row>
    <row r="261" spans="34:55"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</row>
    <row r="262" spans="34:55"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</row>
    <row r="263" spans="34:55"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</row>
    <row r="264" spans="34:55"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</row>
    <row r="265" spans="34:55"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</row>
    <row r="266" spans="34:55"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</row>
    <row r="267" spans="34:55"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</row>
    <row r="268" spans="34:55"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</row>
    <row r="269" spans="34:55"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</row>
    <row r="270" spans="34:55"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</row>
    <row r="271" spans="34:55"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</row>
    <row r="272" spans="34:55"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</row>
    <row r="273" spans="34:55"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</row>
    <row r="274" spans="34:55"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</row>
    <row r="275" spans="34:55"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</row>
    <row r="276" spans="34:55"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</row>
    <row r="277" spans="34:55"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</row>
    <row r="278" spans="34:55"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</row>
    <row r="279" spans="34:55"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</row>
    <row r="280" spans="34:55"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</row>
    <row r="281" spans="34:55"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</row>
    <row r="282" spans="34:55"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</row>
    <row r="283" spans="34:55"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</row>
    <row r="284" spans="34:55"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</row>
    <row r="285" spans="34:55"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</row>
    <row r="286" spans="34:55"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</row>
    <row r="287" spans="34:55"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</row>
    <row r="288" spans="34:55"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</row>
    <row r="289" spans="34:55"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</row>
    <row r="290" spans="34:55"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</row>
    <row r="291" spans="34:55"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</row>
    <row r="292" spans="34:55"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</row>
    <row r="293" spans="34:55"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</row>
    <row r="294" spans="34:55"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</row>
    <row r="295" spans="34:55"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</row>
    <row r="296" spans="34:55"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</row>
    <row r="297" spans="34:55"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</row>
    <row r="298" spans="34:55"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</row>
  </sheetData>
  <mergeCells count="15">
    <mergeCell ref="A1:E1"/>
    <mergeCell ref="BE1:BJ1"/>
    <mergeCell ref="AP1:AV1"/>
    <mergeCell ref="AW1:BA1"/>
    <mergeCell ref="BB1:BC1"/>
    <mergeCell ref="AH1:AJ1"/>
    <mergeCell ref="AK1:AN1"/>
    <mergeCell ref="U1:X1"/>
    <mergeCell ref="Z1:AB1"/>
    <mergeCell ref="AC1:AE1"/>
    <mergeCell ref="F1:G1"/>
    <mergeCell ref="H1:I1"/>
    <mergeCell ref="J1:L1"/>
    <mergeCell ref="M1:P1"/>
    <mergeCell ref="Q1:T1"/>
  </mergeCells>
  <conditionalFormatting sqref="J3:AF1048576">
    <cfRule type="cellIs" dxfId="55" priority="2" operator="equal">
      <formula>"N/A"</formula>
    </cfRule>
    <cfRule type="cellIs" dxfId="54" priority="9" operator="equal">
      <formula>"NO"</formula>
    </cfRule>
    <cfRule type="cellIs" dxfId="53" priority="10" operator="equal">
      <formula>"SI"</formula>
    </cfRule>
  </conditionalFormatting>
  <conditionalFormatting sqref="AG3:AG174">
    <cfRule type="cellIs" dxfId="52" priority="13" operator="equal">
      <formula>"No Aceptable"</formula>
    </cfRule>
    <cfRule type="cellIs" dxfId="51" priority="14" operator="equal">
      <formula>"Aceptable"</formula>
    </cfRule>
  </conditionalFormatting>
  <conditionalFormatting sqref="AH3:BC298">
    <cfRule type="cellIs" dxfId="50" priority="1" operator="equal">
      <formula>"N/A"</formula>
    </cfRule>
    <cfRule type="cellIs" dxfId="49" priority="7" operator="equal">
      <formula>"SI"</formula>
    </cfRule>
    <cfRule type="cellIs" dxfId="48" priority="8" operator="equal">
      <formula>"NO"</formula>
    </cfRule>
  </conditionalFormatting>
  <conditionalFormatting sqref="BD3:BD178">
    <cfRule type="cellIs" dxfId="47" priority="3" operator="equal">
      <formula>"Critico"</formula>
    </cfRule>
    <cfRule type="cellIs" dxfId="46" priority="4" operator="equal">
      <formula>"No critico"</formula>
    </cfRule>
  </conditionalFormatting>
  <dataValidations count="6">
    <dataValidation type="list" allowBlank="1" showInputMessage="1" showErrorMessage="1" sqref="AH3:BC298 J3:AF176" xr:uid="{97D30316-9369-4F76-BA67-ABAAFD1B7974}">
      <formula1>"SI,NO,N/A"</formula1>
    </dataValidation>
    <dataValidation allowBlank="1" showInputMessage="1" showErrorMessage="1" prompt="Se debe declarar si es fija o variable, si existe pago de bonos individuales o colectivos por producción, por no ausentarse al trabajo, etc." sqref="AH2" xr:uid="{C60AE449-DCB6-4021-BE21-2BC3D2EC628E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K2" xr:uid="{E640961B-01C1-4EDE-A90E-66787BAFF527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L2:AN2" xr:uid="{0F98D61E-8928-4F87-B69C-EA491729C28C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BD2 AG1:AG2" xr:uid="{AFC4326F-B4D2-49BD-9F24-FCA42335BF7B}"/>
    <dataValidation allowBlank="1" showInputMessage="1" showErrorMessage="1" prompt="Conjunto de acciones técnicas utilizadas para cumplir un objetivo dentro de un proceso productivo o la obtención de un producto determinado dentro del mismo." sqref="AI2:AJ2" xr:uid="{2290AC20-A7AC-4BD8-97E8-44453C94F657}"/>
  </dataValidations>
  <pageMargins left="0.7" right="0.7" top="0.75" bottom="0.75" header="0.3" footer="0.3"/>
  <pageSetup paperSize="0" orientation="portrait" horizontalDpi="0" verticalDpi="0" copie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CCB6-AD06-40AF-BFCF-330308BEC65D}">
  <dimension ref="A1:BB295"/>
  <sheetViews>
    <sheetView workbookViewId="0">
      <pane xSplit="4" ySplit="2" topLeftCell="AI3" activePane="bottomRight" state="frozen"/>
      <selection pane="bottomRight" activeCell="AU2" sqref="AU2"/>
      <selection pane="bottomLeft" activeCell="A3" sqref="A3"/>
      <selection pane="topRight" activeCell="E1" sqref="E1"/>
    </sheetView>
  </sheetViews>
  <sheetFormatPr defaultColWidth="11.42578125" defaultRowHeight="14.45"/>
  <cols>
    <col min="1" max="1" width="3.140625" style="62" customWidth="1"/>
    <col min="2" max="3" width="11.5703125" style="3" customWidth="1"/>
    <col min="4" max="4" width="14.28515625" style="61" customWidth="1"/>
    <col min="5" max="5" width="13.5703125" style="3" customWidth="1"/>
    <col min="6" max="6" width="11.5703125" style="3"/>
    <col min="7" max="8" width="11.5703125" style="7"/>
    <col min="9" max="9" width="11.5703125" style="7" customWidth="1"/>
    <col min="10" max="10" width="11.5703125" style="96"/>
    <col min="11" max="11" width="20.42578125" style="47" customWidth="1"/>
    <col min="12" max="12" width="12.42578125" style="47" customWidth="1"/>
    <col min="13" max="14" width="11.5703125" style="47"/>
    <col min="15" max="15" width="18.7109375" style="47" customWidth="1"/>
    <col min="16" max="16" width="11.5703125" style="101"/>
    <col min="17" max="17" width="11.5703125" style="107"/>
    <col min="18" max="22" width="11.5703125" style="47"/>
    <col min="23" max="23" width="11.5703125" style="98"/>
    <col min="24" max="24" width="11.5703125" style="107"/>
    <col min="25" max="28" width="11.5703125" style="47"/>
    <col min="29" max="29" width="11.5703125" style="98"/>
    <col min="30" max="30" width="11.5703125" style="105"/>
    <col min="31" max="37" width="11.5703125" style="47"/>
    <col min="38" max="38" width="14.28515625" style="47" customWidth="1"/>
    <col min="39" max="39" width="11.5703125" style="47"/>
    <col min="40" max="40" width="13.42578125" style="47" customWidth="1"/>
    <col min="41" max="54" width="11.5703125" style="47"/>
  </cols>
  <sheetData>
    <row r="1" spans="1:54" ht="22.15" customHeight="1">
      <c r="A1" s="138" t="s">
        <v>201</v>
      </c>
      <c r="B1" s="128"/>
      <c r="C1" s="128"/>
      <c r="D1" s="128"/>
      <c r="E1" s="128"/>
      <c r="F1" s="128" t="s">
        <v>112</v>
      </c>
      <c r="G1" s="128"/>
      <c r="H1" s="128" t="s">
        <v>113</v>
      </c>
      <c r="I1" s="129"/>
      <c r="J1" s="141" t="s">
        <v>202</v>
      </c>
      <c r="K1" s="142"/>
      <c r="L1" s="142"/>
      <c r="M1" s="142"/>
      <c r="N1" s="142"/>
      <c r="O1" s="142"/>
      <c r="P1" s="143"/>
      <c r="Q1" s="141" t="s">
        <v>203</v>
      </c>
      <c r="R1" s="142"/>
      <c r="S1" s="142"/>
      <c r="T1" s="142"/>
      <c r="U1" s="142"/>
      <c r="V1" s="142"/>
      <c r="W1" s="143"/>
      <c r="X1" s="139" t="s">
        <v>204</v>
      </c>
      <c r="Y1" s="139"/>
      <c r="Z1" s="139"/>
      <c r="AA1" s="139"/>
      <c r="AB1" s="139"/>
      <c r="AC1" s="139"/>
      <c r="AD1" s="139"/>
      <c r="AE1" s="139" t="s">
        <v>205</v>
      </c>
      <c r="AF1" s="139"/>
      <c r="AG1" s="139"/>
      <c r="AH1" s="139"/>
      <c r="AI1" s="139"/>
      <c r="AJ1" s="139"/>
      <c r="AK1" s="139"/>
      <c r="AL1" s="139" t="s">
        <v>206</v>
      </c>
      <c r="AM1" s="139"/>
      <c r="AN1" s="139"/>
      <c r="AO1" s="139"/>
      <c r="AP1" s="139"/>
      <c r="AQ1" s="139" t="s">
        <v>207</v>
      </c>
      <c r="AR1" s="139"/>
      <c r="AS1" s="139"/>
      <c r="AT1" s="139"/>
      <c r="AU1" s="139"/>
      <c r="AV1" s="139"/>
      <c r="AW1" s="140" t="s">
        <v>208</v>
      </c>
      <c r="AX1" s="140"/>
      <c r="AY1" s="140"/>
      <c r="AZ1" s="140"/>
      <c r="BA1" s="140"/>
      <c r="BB1" s="140"/>
    </row>
    <row r="2" spans="1:54" ht="88.15" customHeight="1">
      <c r="A2" s="59" t="s">
        <v>93</v>
      </c>
      <c r="B2" s="9" t="s">
        <v>35</v>
      </c>
      <c r="C2" s="9" t="s">
        <v>36</v>
      </c>
      <c r="D2" s="60" t="s">
        <v>37</v>
      </c>
      <c r="E2" s="9" t="s">
        <v>39</v>
      </c>
      <c r="F2" s="9" t="s">
        <v>117</v>
      </c>
      <c r="G2" s="9" t="s">
        <v>118</v>
      </c>
      <c r="H2" s="9" t="s">
        <v>119</v>
      </c>
      <c r="I2" s="9" t="s">
        <v>120</v>
      </c>
      <c r="J2" s="94" t="s">
        <v>209</v>
      </c>
      <c r="K2" s="93" t="s">
        <v>210</v>
      </c>
      <c r="L2" s="93" t="s">
        <v>211</v>
      </c>
      <c r="M2" s="93" t="s">
        <v>212</v>
      </c>
      <c r="N2" s="93" t="s">
        <v>213</v>
      </c>
      <c r="O2" s="93" t="s">
        <v>214</v>
      </c>
      <c r="P2" s="99" t="s">
        <v>215</v>
      </c>
      <c r="Q2" s="94" t="s">
        <v>216</v>
      </c>
      <c r="R2" s="102" t="s">
        <v>217</v>
      </c>
      <c r="S2" s="102" t="s">
        <v>218</v>
      </c>
      <c r="T2" s="102" t="s">
        <v>219</v>
      </c>
      <c r="U2" s="102" t="s">
        <v>220</v>
      </c>
      <c r="V2" s="102" t="s">
        <v>221</v>
      </c>
      <c r="W2" s="106" t="s">
        <v>222</v>
      </c>
      <c r="X2" s="94" t="s">
        <v>216</v>
      </c>
      <c r="Y2" s="93" t="s">
        <v>223</v>
      </c>
      <c r="Z2" s="93" t="s">
        <v>224</v>
      </c>
      <c r="AA2" s="93" t="s">
        <v>225</v>
      </c>
      <c r="AB2" s="93" t="s">
        <v>226</v>
      </c>
      <c r="AC2" s="95" t="s">
        <v>227</v>
      </c>
      <c r="AD2" s="104" t="s">
        <v>127</v>
      </c>
      <c r="AE2" s="93" t="s">
        <v>228</v>
      </c>
      <c r="AF2" s="93" t="s">
        <v>229</v>
      </c>
      <c r="AG2" s="93" t="s">
        <v>230</v>
      </c>
      <c r="AH2" s="93" t="s">
        <v>231</v>
      </c>
      <c r="AI2" s="93" t="s">
        <v>232</v>
      </c>
      <c r="AJ2" s="93" t="s">
        <v>233</v>
      </c>
      <c r="AK2" s="93" t="s">
        <v>234</v>
      </c>
      <c r="AL2" s="93" t="s">
        <v>235</v>
      </c>
      <c r="AM2" s="93" t="s">
        <v>236</v>
      </c>
      <c r="AN2" s="93" t="s">
        <v>237</v>
      </c>
      <c r="AO2" s="93" t="s">
        <v>238</v>
      </c>
      <c r="AP2" s="93" t="s">
        <v>239</v>
      </c>
      <c r="AQ2" s="93" t="s">
        <v>240</v>
      </c>
      <c r="AR2" s="93" t="s">
        <v>241</v>
      </c>
      <c r="AS2" s="93" t="s">
        <v>242</v>
      </c>
      <c r="AT2" s="93" t="s">
        <v>243</v>
      </c>
      <c r="AU2" s="93" t="s">
        <v>244</v>
      </c>
      <c r="AV2" s="93" t="s">
        <v>134</v>
      </c>
      <c r="AW2" s="93" t="s">
        <v>135</v>
      </c>
      <c r="AX2" s="93" t="s">
        <v>136</v>
      </c>
      <c r="AY2" s="93" t="s">
        <v>137</v>
      </c>
      <c r="AZ2" s="93" t="s">
        <v>138</v>
      </c>
      <c r="BA2" s="93" t="s">
        <v>139</v>
      </c>
      <c r="BB2" s="93" t="s">
        <v>140</v>
      </c>
    </row>
    <row r="3" spans="1:54" s="5" customFormat="1" ht="90.6" customHeight="1">
      <c r="A3" s="63">
        <f>Inicial!A3</f>
        <v>1</v>
      </c>
      <c r="B3" s="64" t="str">
        <f>Inicial!B3</f>
        <v>Despacho</v>
      </c>
      <c r="C3" s="64" t="str">
        <f>Inicial!C3</f>
        <v xml:space="preserve"> Carton Frezzer</v>
      </c>
      <c r="D3" s="65" t="str">
        <f>Inicial!D3</f>
        <v xml:space="preserve">Pinchador </v>
      </c>
      <c r="E3" s="63" t="str">
        <f>IF(Inicial!K3="SI",Inicial!E3,"N/A")</f>
        <v>N/A</v>
      </c>
      <c r="F3" s="64" t="str">
        <f>IF(Inicial!K3="SI",Inicial!F3,"N/A")</f>
        <v>N/A</v>
      </c>
      <c r="G3" s="64" t="str">
        <f>IF(Inicial!K3="SI",Inicial!G3,"N/A")</f>
        <v>N/A</v>
      </c>
      <c r="H3" s="64" t="str">
        <f>IF(Inicial!K3="SI",Inicial!H3,"N/A")</f>
        <v>N/A</v>
      </c>
      <c r="I3" s="75" t="str">
        <f>IF(Inicial!K3="SI",Inicial!I3,"N/A")</f>
        <v>N/A</v>
      </c>
      <c r="J3" s="96"/>
      <c r="K3" s="6"/>
      <c r="L3" s="6"/>
      <c r="M3" s="6"/>
      <c r="N3" s="6"/>
      <c r="O3" s="6"/>
      <c r="P3" s="100"/>
      <c r="Q3" s="96"/>
      <c r="R3" s="6"/>
      <c r="S3" s="6"/>
      <c r="T3" s="6"/>
      <c r="U3" s="6"/>
      <c r="V3" s="6"/>
      <c r="W3" s="97"/>
      <c r="X3" s="96"/>
      <c r="Y3" s="6"/>
      <c r="Z3" s="6"/>
      <c r="AA3" s="6"/>
      <c r="AB3" s="6"/>
      <c r="AC3" s="97"/>
      <c r="AD3" s="105" t="str">
        <f>IF(OR(J3="NO",K3="NO",L3="NO",M3="NO",N3="NO",O3="NO",P3="NO",R3="NO",S3="NO",T3="NO",U3="NO", V3="NO",W3="NO",Y3="NO",Z3="NO",AA3="NO",AB3="NO",AC3="NO"),"No aceptable","Aceptable")</f>
        <v>Aceptable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47" t="str" cm="1">
        <f t="array" ref="AV3">IF(OR(AE3:AU3="SI"),"Critico","No critico")</f>
        <v>No critico</v>
      </c>
      <c r="AW3" s="103"/>
      <c r="AX3" s="103"/>
      <c r="AY3" s="103"/>
      <c r="AZ3" s="103"/>
      <c r="BA3" s="103"/>
      <c r="BB3" s="103"/>
    </row>
    <row r="4" spans="1:54" ht="33.6" customHeight="1">
      <c r="A4" s="63">
        <f>Inicial!A4</f>
        <v>2</v>
      </c>
      <c r="B4" s="64" t="str">
        <f>Inicial!B4</f>
        <v>Despacho</v>
      </c>
      <c r="C4" s="64" t="str">
        <f>Inicial!C4</f>
        <v xml:space="preserve"> Carton Frezzer</v>
      </c>
      <c r="D4" s="65" t="str">
        <f>Inicial!D4</f>
        <v>Depaletizador</v>
      </c>
      <c r="E4" s="63" t="str">
        <f>IF(Inicial!K4="SI",Inicial!E4,"N/A")</f>
        <v>N/A</v>
      </c>
      <c r="F4" s="64" t="str">
        <f>IF(Inicial!K4="SI",Inicial!F4,"N/A")</f>
        <v>N/A</v>
      </c>
      <c r="G4" s="64" t="str">
        <f>IF(Inicial!K4="SI",Inicial!G4,"N/A")</f>
        <v>N/A</v>
      </c>
      <c r="H4" s="64" t="str">
        <f>IF(Inicial!K4="SI",Inicial!H4,"N/A")</f>
        <v>N/A</v>
      </c>
      <c r="I4" s="75" t="str">
        <f>IF(Inicial!K4="SI",Inicial!I4,"N/A")</f>
        <v>N/A</v>
      </c>
      <c r="K4" s="6"/>
      <c r="L4" s="6"/>
      <c r="M4" s="6"/>
      <c r="N4" s="6"/>
      <c r="O4" s="6"/>
      <c r="P4" s="100"/>
      <c r="Q4" s="96"/>
      <c r="R4" s="6"/>
      <c r="S4" s="6"/>
      <c r="T4" s="6"/>
      <c r="U4" s="6"/>
      <c r="V4" s="6"/>
      <c r="W4" s="97"/>
      <c r="X4" s="96"/>
      <c r="Y4" s="6"/>
      <c r="Z4" s="6"/>
      <c r="AA4" s="6"/>
      <c r="AB4" s="6"/>
      <c r="AC4" s="97"/>
      <c r="AD4" s="105" t="str">
        <f t="shared" ref="AD4:AD67" si="0">IF(OR(J4="NO",K4="NO",L4="NO",M4="NO",N4="NO",O4="NO",P4="NO",R4="NO",S4="NO",T4="NO",U4="NO", V4="NO",W4="NO",Y4="NO",Z4="NO",AA4="NO",AB4="NO",AC4="NO"),"No aceptable","Aceptable")</f>
        <v>Aceptable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47" t="str" cm="1">
        <f t="array" ref="AV4">IF(OR(AE4:AU4="SI"),"Critico","No critico")</f>
        <v>No critico</v>
      </c>
      <c r="AW4" s="103"/>
      <c r="AX4" s="103"/>
      <c r="AY4" s="103"/>
      <c r="AZ4" s="103"/>
      <c r="BA4" s="103"/>
      <c r="BB4" s="103"/>
    </row>
    <row r="5" spans="1:54" ht="26.1">
      <c r="A5" s="63">
        <f>Inicial!A5</f>
        <v>3</v>
      </c>
      <c r="B5" s="64" t="str">
        <f>Inicial!B5</f>
        <v>Despacho</v>
      </c>
      <c r="C5" s="64" t="str">
        <f>Inicial!C5</f>
        <v xml:space="preserve"> Carton Frezzer</v>
      </c>
      <c r="D5" s="65" t="str">
        <f>Inicial!D5</f>
        <v xml:space="preserve">Pinchador </v>
      </c>
      <c r="E5" s="63" t="str">
        <f>IF(Inicial!K5="SI",Inicial!E5,"N/A")</f>
        <v>N/A</v>
      </c>
      <c r="F5" s="64" t="str">
        <f>IF(Inicial!K5="SI",Inicial!F5,"N/A")</f>
        <v>N/A</v>
      </c>
      <c r="G5" s="64" t="str">
        <f>IF(Inicial!K5="SI",Inicial!G5,"N/A")</f>
        <v>N/A</v>
      </c>
      <c r="H5" s="64" t="str">
        <f>IF(Inicial!K5="SI",Inicial!H5,"N/A")</f>
        <v>N/A</v>
      </c>
      <c r="I5" s="75" t="str">
        <f>IF(Inicial!K5="SI",Inicial!I5,"N/A")</f>
        <v>N/A</v>
      </c>
      <c r="K5" s="6"/>
      <c r="L5" s="6"/>
      <c r="M5" s="6"/>
      <c r="N5" s="6"/>
      <c r="O5" s="6"/>
      <c r="P5" s="100"/>
      <c r="Q5" s="96"/>
      <c r="R5" s="6"/>
      <c r="S5" s="6"/>
      <c r="T5" s="6"/>
      <c r="U5" s="6"/>
      <c r="V5" s="6"/>
      <c r="W5" s="97"/>
      <c r="X5" s="96"/>
      <c r="Y5" s="6"/>
      <c r="Z5" s="6"/>
      <c r="AA5" s="6"/>
      <c r="AB5" s="6"/>
      <c r="AC5" s="97"/>
      <c r="AD5" s="105" t="str">
        <f t="shared" si="0"/>
        <v>Aceptable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47" t="str" cm="1">
        <f t="array" ref="AV5">IF(OR(AE5:AU5="SI"),"Critico","No critico")</f>
        <v>No critico</v>
      </c>
    </row>
    <row r="6" spans="1:54" ht="26.1">
      <c r="A6" s="63">
        <f>Inicial!A6</f>
        <v>4</v>
      </c>
      <c r="B6" s="64" t="str">
        <f>Inicial!B6</f>
        <v>Despacho</v>
      </c>
      <c r="C6" s="64" t="str">
        <f>Inicial!C6</f>
        <v>Despacho congelado</v>
      </c>
      <c r="D6" s="65" t="str">
        <f>Inicial!D6</f>
        <v>Gruero</v>
      </c>
      <c r="E6" s="63" t="str">
        <f>IF(Inicial!K6="SI",Inicial!E6,"N/A")</f>
        <v>N/A</v>
      </c>
      <c r="F6" s="64" t="str">
        <f>IF(Inicial!K6="SI",Inicial!F6,"N/A")</f>
        <v>N/A</v>
      </c>
      <c r="G6" s="64" t="str">
        <f>IF(Inicial!K6="SI",Inicial!G6,"N/A")</f>
        <v>N/A</v>
      </c>
      <c r="H6" s="64" t="str">
        <f>IF(Inicial!K6="SI",Inicial!H6,"N/A")</f>
        <v>N/A</v>
      </c>
      <c r="I6" s="75" t="str">
        <f>IF(Inicial!K6="SI",Inicial!I6,"N/A")</f>
        <v>N/A</v>
      </c>
      <c r="K6" s="6"/>
      <c r="L6" s="6"/>
      <c r="M6" s="6"/>
      <c r="N6" s="6"/>
      <c r="O6" s="6"/>
      <c r="P6" s="100"/>
      <c r="Q6" s="96"/>
      <c r="R6" s="6"/>
      <c r="S6" s="6"/>
      <c r="T6" s="6"/>
      <c r="U6" s="6"/>
      <c r="V6" s="6"/>
      <c r="W6" s="97"/>
      <c r="X6" s="96"/>
      <c r="Y6" s="6"/>
      <c r="Z6" s="6"/>
      <c r="AA6" s="6"/>
      <c r="AB6" s="6"/>
      <c r="AC6" s="97"/>
      <c r="AD6" s="105" t="str">
        <f t="shared" si="0"/>
        <v>Aceptable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47" t="str" cm="1">
        <f t="array" ref="AV6">IF(OR(AE6:AU6="SI"),"Critico","No critico")</f>
        <v>No critico</v>
      </c>
    </row>
    <row r="7" spans="1:54" ht="26.1">
      <c r="A7" s="63">
        <f>Inicial!A7</f>
        <v>5</v>
      </c>
      <c r="B7" s="64" t="str">
        <f>Inicial!B7</f>
        <v>Despacho</v>
      </c>
      <c r="C7" s="64" t="str">
        <f>Inicial!C7</f>
        <v>Despacho congelado</v>
      </c>
      <c r="D7" s="65" t="str">
        <f>Inicial!D7</f>
        <v>Transpaletero</v>
      </c>
      <c r="E7" s="63" t="str">
        <f>IF(Inicial!K7="SI",Inicial!E7,"N/A")</f>
        <v>N/A</v>
      </c>
      <c r="F7" s="64" t="str">
        <f>IF(Inicial!K7="SI",Inicial!F7,"N/A")</f>
        <v>N/A</v>
      </c>
      <c r="G7" s="64" t="str">
        <f>IF(Inicial!K7="SI",Inicial!G7,"N/A")</f>
        <v>N/A</v>
      </c>
      <c r="H7" s="64" t="str">
        <f>IF(Inicial!K7="SI",Inicial!H7,"N/A")</f>
        <v>N/A</v>
      </c>
      <c r="I7" s="75" t="str">
        <f>IF(Inicial!K7="SI",Inicial!I7,"N/A")</f>
        <v>N/A</v>
      </c>
      <c r="K7" s="6"/>
      <c r="L7" s="6"/>
      <c r="M7" s="6"/>
      <c r="N7" s="6"/>
      <c r="O7" s="6"/>
      <c r="P7" s="100"/>
      <c r="Q7" s="96"/>
      <c r="R7" s="6"/>
      <c r="S7" s="6"/>
      <c r="T7" s="6"/>
      <c r="U7" s="6"/>
      <c r="V7" s="6"/>
      <c r="W7" s="97"/>
      <c r="X7" s="96"/>
      <c r="Y7" s="6"/>
      <c r="Z7" s="6"/>
      <c r="AA7" s="6"/>
      <c r="AB7" s="6"/>
      <c r="AC7" s="97"/>
      <c r="AD7" s="105" t="str">
        <f t="shared" si="0"/>
        <v>Aceptable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47" t="str" cm="1">
        <f t="array" ref="AV7">IF(OR(AE7:AU7="SI"),"Critico","No critico")</f>
        <v>No critico</v>
      </c>
    </row>
    <row r="8" spans="1:54" ht="26.1">
      <c r="A8" s="63">
        <f>Inicial!A8</f>
        <v>6</v>
      </c>
      <c r="B8" s="64" t="str">
        <f>Inicial!B8</f>
        <v>Despacho</v>
      </c>
      <c r="C8" s="64" t="str">
        <f>Inicial!C8</f>
        <v>Despacho congelado</v>
      </c>
      <c r="D8" s="65" t="str">
        <f>Inicial!D8</f>
        <v>Postura de films</v>
      </c>
      <c r="E8" s="63" t="str">
        <f>IF(Inicial!K8="SI",Inicial!E8,"N/A")</f>
        <v>N/A</v>
      </c>
      <c r="F8" s="64" t="str">
        <f>IF(Inicial!K8="SI",Inicial!F8,"N/A")</f>
        <v>N/A</v>
      </c>
      <c r="G8" s="64" t="str">
        <f>IF(Inicial!K8="SI",Inicial!G8,"N/A")</f>
        <v>N/A</v>
      </c>
      <c r="H8" s="64" t="str">
        <f>IF(Inicial!K8="SI",Inicial!H8,"N/A")</f>
        <v>N/A</v>
      </c>
      <c r="I8" s="75" t="str">
        <f>IF(Inicial!K8="SI",Inicial!I8,"N/A")</f>
        <v>N/A</v>
      </c>
      <c r="K8" s="6"/>
      <c r="L8" s="6"/>
      <c r="M8" s="6"/>
      <c r="N8" s="6"/>
      <c r="O8" s="6"/>
      <c r="P8" s="100"/>
      <c r="Q8" s="96"/>
      <c r="R8" s="6"/>
      <c r="S8" s="6"/>
      <c r="T8" s="6"/>
      <c r="U8" s="6"/>
      <c r="V8" s="6"/>
      <c r="W8" s="97"/>
      <c r="X8" s="96"/>
      <c r="Y8" s="6"/>
      <c r="Z8" s="6"/>
      <c r="AA8" s="6"/>
      <c r="AB8" s="6"/>
      <c r="AC8" s="97"/>
      <c r="AD8" s="105" t="str">
        <f t="shared" si="0"/>
        <v>Aceptable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47" t="str" cm="1">
        <f t="array" ref="AV8">IF(OR(AE8:AU8="SI"),"Critico","No critico")</f>
        <v>No critico</v>
      </c>
    </row>
    <row r="9" spans="1:54">
      <c r="A9" s="63">
        <f>Inicial!A9</f>
        <v>7</v>
      </c>
      <c r="B9" s="64" t="str">
        <f>Inicial!B9</f>
        <v>Despacho</v>
      </c>
      <c r="C9" s="64" t="str">
        <f>Inicial!C9</f>
        <v>Despacho Congelado</v>
      </c>
      <c r="D9" s="65" t="str">
        <f>Inicial!D9</f>
        <v>Reprocesos de producto</v>
      </c>
      <c r="E9" s="63" t="str">
        <f>IF(Inicial!K9="SI",Inicial!E9,"N/A")</f>
        <v>N/A</v>
      </c>
      <c r="F9" s="64" t="str">
        <f>IF(Inicial!K9="SI",Inicial!F9,"N/A")</f>
        <v>N/A</v>
      </c>
      <c r="G9" s="64" t="str">
        <f>IF(Inicial!K9="SI",Inicial!G9,"N/A")</f>
        <v>N/A</v>
      </c>
      <c r="H9" s="64" t="str">
        <f>IF(Inicial!K9="SI",Inicial!H9,"N/A")</f>
        <v>N/A</v>
      </c>
      <c r="I9" s="75" t="str">
        <f>IF(Inicial!K9="SI",Inicial!I9,"N/A")</f>
        <v>N/A</v>
      </c>
      <c r="K9" s="6"/>
      <c r="L9" s="6"/>
      <c r="M9" s="6"/>
      <c r="N9" s="6"/>
      <c r="O9" s="6"/>
      <c r="P9" s="100"/>
      <c r="Q9" s="96"/>
      <c r="R9" s="6"/>
      <c r="S9" s="6"/>
      <c r="T9" s="6"/>
      <c r="U9" s="6"/>
      <c r="V9" s="6"/>
      <c r="W9" s="97"/>
      <c r="X9" s="96"/>
      <c r="Y9" s="6"/>
      <c r="Z9" s="6"/>
      <c r="AA9" s="6"/>
      <c r="AB9" s="6"/>
      <c r="AC9" s="97"/>
      <c r="AD9" s="105" t="str">
        <f t="shared" si="0"/>
        <v>Aceptable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47" t="str" cm="1">
        <f t="array" ref="AV9">IF(OR(AE9:AU9="SI"),"Critico","No critico")</f>
        <v>No critico</v>
      </c>
    </row>
    <row r="10" spans="1:54">
      <c r="A10" s="63" t="e">
        <f>Inicial!#REF!</f>
        <v>#REF!</v>
      </c>
      <c r="B10" s="64" t="e">
        <f>Inicial!#REF!</f>
        <v>#REF!</v>
      </c>
      <c r="C10" s="64" t="e">
        <f>Inicial!#REF!</f>
        <v>#REF!</v>
      </c>
      <c r="D10" s="65" t="e">
        <f>Inicial!#REF!</f>
        <v>#REF!</v>
      </c>
      <c r="E10" s="63" t="e">
        <f>IF(Inicial!#REF!="SI",Inicial!#REF!,"N/A")</f>
        <v>#REF!</v>
      </c>
      <c r="F10" s="64" t="e">
        <f>IF(Inicial!#REF!="SI",Inicial!#REF!,"N/A")</f>
        <v>#REF!</v>
      </c>
      <c r="G10" s="64" t="e">
        <f>IF(Inicial!#REF!="SI",Inicial!#REF!,"N/A")</f>
        <v>#REF!</v>
      </c>
      <c r="H10" s="64" t="e">
        <f>IF(Inicial!#REF!="SI",Inicial!#REF!,"N/A")</f>
        <v>#REF!</v>
      </c>
      <c r="I10" s="75" t="e">
        <f>IF(Inicial!#REF!="SI",Inicial!#REF!,"N/A")</f>
        <v>#REF!</v>
      </c>
      <c r="K10" s="6"/>
      <c r="L10" s="6"/>
      <c r="M10" s="6"/>
      <c r="N10" s="6"/>
      <c r="O10" s="6"/>
      <c r="P10" s="100"/>
      <c r="Q10" s="96"/>
      <c r="R10" s="6"/>
      <c r="S10" s="6"/>
      <c r="T10" s="6"/>
      <c r="U10" s="6"/>
      <c r="V10" s="6"/>
      <c r="W10" s="97"/>
      <c r="X10" s="96"/>
      <c r="Y10" s="6"/>
      <c r="Z10" s="6"/>
      <c r="AA10" s="6"/>
      <c r="AB10" s="6"/>
      <c r="AC10" s="97"/>
      <c r="AD10" s="105" t="str">
        <f t="shared" si="0"/>
        <v>Aceptable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47" t="str" cm="1">
        <f t="array" ref="AV10">IF(OR(AE10:AU10="SI"),"Critico","No critico")</f>
        <v>No critico</v>
      </c>
    </row>
    <row r="11" spans="1:54">
      <c r="A11" s="63" t="e">
        <f>Inicial!#REF!</f>
        <v>#REF!</v>
      </c>
      <c r="B11" s="64" t="e">
        <f>Inicial!#REF!</f>
        <v>#REF!</v>
      </c>
      <c r="C11" s="64" t="e">
        <f>Inicial!#REF!</f>
        <v>#REF!</v>
      </c>
      <c r="D11" s="65" t="e">
        <f>Inicial!#REF!</f>
        <v>#REF!</v>
      </c>
      <c r="E11" s="63" t="e">
        <f>IF(Inicial!#REF!="SI",Inicial!#REF!,"N/A")</f>
        <v>#REF!</v>
      </c>
      <c r="F11" s="64" t="e">
        <f>IF(Inicial!#REF!="SI",Inicial!#REF!,"N/A")</f>
        <v>#REF!</v>
      </c>
      <c r="G11" s="64" t="e">
        <f>IF(Inicial!#REF!="SI",Inicial!#REF!,"N/A")</f>
        <v>#REF!</v>
      </c>
      <c r="H11" s="64" t="e">
        <f>IF(Inicial!#REF!="SI",Inicial!#REF!,"N/A")</f>
        <v>#REF!</v>
      </c>
      <c r="I11" s="75" t="e">
        <f>IF(Inicial!#REF!="SI",Inicial!#REF!,"N/A")</f>
        <v>#REF!</v>
      </c>
      <c r="K11" s="6"/>
      <c r="L11" s="6"/>
      <c r="M11" s="6"/>
      <c r="N11" s="6"/>
      <c r="O11" s="6"/>
      <c r="P11" s="100"/>
      <c r="Q11" s="96"/>
      <c r="R11" s="6"/>
      <c r="S11" s="6"/>
      <c r="T11" s="6"/>
      <c r="U11" s="6"/>
      <c r="V11" s="6"/>
      <c r="W11" s="97"/>
      <c r="X11" s="96"/>
      <c r="Y11" s="6"/>
      <c r="Z11" s="6"/>
      <c r="AA11" s="6"/>
      <c r="AB11" s="6"/>
      <c r="AC11" s="97"/>
      <c r="AD11" s="105" t="str">
        <f t="shared" si="0"/>
        <v>Aceptable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47" t="str" cm="1">
        <f t="array" ref="AV11">IF(OR(AE11:AU11="SI"),"Critico","No critico")</f>
        <v>No critico</v>
      </c>
    </row>
    <row r="12" spans="1:54">
      <c r="A12" s="63" t="e">
        <f>Inicial!#REF!</f>
        <v>#REF!</v>
      </c>
      <c r="B12" s="64" t="e">
        <f>Inicial!#REF!</f>
        <v>#REF!</v>
      </c>
      <c r="C12" s="64" t="e">
        <f>Inicial!#REF!</f>
        <v>#REF!</v>
      </c>
      <c r="D12" s="65" t="e">
        <f>Inicial!#REF!</f>
        <v>#REF!</v>
      </c>
      <c r="E12" s="63" t="e">
        <f>IF(Inicial!#REF!="SI",Inicial!#REF!,"N/A")</f>
        <v>#REF!</v>
      </c>
      <c r="F12" s="64" t="e">
        <f>IF(Inicial!#REF!="SI",Inicial!#REF!,"N/A")</f>
        <v>#REF!</v>
      </c>
      <c r="G12" s="64" t="e">
        <f>IF(Inicial!#REF!="SI",Inicial!#REF!,"N/A")</f>
        <v>#REF!</v>
      </c>
      <c r="H12" s="64" t="e">
        <f>IF(Inicial!#REF!="SI",Inicial!#REF!,"N/A")</f>
        <v>#REF!</v>
      </c>
      <c r="I12" s="75" t="e">
        <f>IF(Inicial!#REF!="SI",Inicial!#REF!,"N/A")</f>
        <v>#REF!</v>
      </c>
      <c r="K12" s="6"/>
      <c r="L12" s="6"/>
      <c r="M12" s="6"/>
      <c r="N12" s="6"/>
      <c r="O12" s="6"/>
      <c r="P12" s="100"/>
      <c r="Q12" s="96"/>
      <c r="R12" s="6"/>
      <c r="S12" s="6"/>
      <c r="T12" s="6"/>
      <c r="U12" s="6"/>
      <c r="V12" s="6"/>
      <c r="W12" s="97"/>
      <c r="X12" s="96"/>
      <c r="Y12" s="6"/>
      <c r="Z12" s="6"/>
      <c r="AA12" s="6"/>
      <c r="AB12" s="6"/>
      <c r="AC12" s="97"/>
      <c r="AD12" s="105" t="str">
        <f t="shared" si="0"/>
        <v>Aceptable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47" t="str" cm="1">
        <f t="array" ref="AV12">IF(OR(AE12:AU12="SI"),"Critico","No critico")</f>
        <v>No critico</v>
      </c>
    </row>
    <row r="13" spans="1:54">
      <c r="A13" s="63" t="e">
        <f>Inicial!#REF!</f>
        <v>#REF!</v>
      </c>
      <c r="B13" s="64" t="e">
        <f>Inicial!#REF!</f>
        <v>#REF!</v>
      </c>
      <c r="C13" s="64" t="e">
        <f>Inicial!#REF!</f>
        <v>#REF!</v>
      </c>
      <c r="D13" s="65" t="e">
        <f>Inicial!#REF!</f>
        <v>#REF!</v>
      </c>
      <c r="E13" s="63" t="e">
        <f>IF(Inicial!#REF!="SI",Inicial!#REF!,"N/A")</f>
        <v>#REF!</v>
      </c>
      <c r="F13" s="64" t="e">
        <f>IF(Inicial!#REF!="SI",Inicial!#REF!,"N/A")</f>
        <v>#REF!</v>
      </c>
      <c r="G13" s="64" t="e">
        <f>IF(Inicial!#REF!="SI",Inicial!#REF!,"N/A")</f>
        <v>#REF!</v>
      </c>
      <c r="H13" s="64" t="e">
        <f>IF(Inicial!#REF!="SI",Inicial!#REF!,"N/A")</f>
        <v>#REF!</v>
      </c>
      <c r="I13" s="75" t="e">
        <f>IF(Inicial!#REF!="SI",Inicial!#REF!,"N/A")</f>
        <v>#REF!</v>
      </c>
      <c r="K13" s="6"/>
      <c r="L13" s="6"/>
      <c r="M13" s="6"/>
      <c r="N13" s="6"/>
      <c r="O13" s="6"/>
      <c r="P13" s="100"/>
      <c r="Q13" s="96"/>
      <c r="R13" s="6"/>
      <c r="S13" s="6"/>
      <c r="T13" s="6"/>
      <c r="U13" s="6"/>
      <c r="V13" s="6"/>
      <c r="W13" s="97"/>
      <c r="X13" s="96"/>
      <c r="Y13" s="6"/>
      <c r="Z13" s="6"/>
      <c r="AA13" s="6"/>
      <c r="AB13" s="6"/>
      <c r="AC13" s="97"/>
      <c r="AD13" s="105" t="str">
        <f t="shared" si="0"/>
        <v>Aceptable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47" t="str" cm="1">
        <f t="array" ref="AV13">IF(OR(AE13:AU13="SI"),"Critico","No critico")</f>
        <v>No critico</v>
      </c>
    </row>
    <row r="14" spans="1:54">
      <c r="A14" s="63" t="e">
        <f>Inicial!#REF!</f>
        <v>#REF!</v>
      </c>
      <c r="B14" s="64" t="e">
        <f>Inicial!#REF!</f>
        <v>#REF!</v>
      </c>
      <c r="C14" s="64" t="e">
        <f>Inicial!#REF!</f>
        <v>#REF!</v>
      </c>
      <c r="D14" s="65" t="e">
        <f>Inicial!#REF!</f>
        <v>#REF!</v>
      </c>
      <c r="E14" s="63" t="e">
        <f>IF(Inicial!#REF!="SI",Inicial!#REF!,"N/A")</f>
        <v>#REF!</v>
      </c>
      <c r="F14" s="64" t="e">
        <f>IF(Inicial!#REF!="SI",Inicial!#REF!,"N/A")</f>
        <v>#REF!</v>
      </c>
      <c r="G14" s="64" t="e">
        <f>IF(Inicial!#REF!="SI",Inicial!#REF!,"N/A")</f>
        <v>#REF!</v>
      </c>
      <c r="H14" s="64" t="e">
        <f>IF(Inicial!#REF!="SI",Inicial!#REF!,"N/A")</f>
        <v>#REF!</v>
      </c>
      <c r="I14" s="75" t="e">
        <f>IF(Inicial!#REF!="SI",Inicial!#REF!,"N/A")</f>
        <v>#REF!</v>
      </c>
      <c r="K14" s="6"/>
      <c r="L14" s="6"/>
      <c r="M14" s="6"/>
      <c r="N14" s="6"/>
      <c r="O14" s="6"/>
      <c r="P14" s="100"/>
      <c r="Q14" s="96"/>
      <c r="R14" s="6"/>
      <c r="S14" s="6"/>
      <c r="T14" s="6"/>
      <c r="U14" s="6"/>
      <c r="V14" s="6"/>
      <c r="W14" s="97"/>
      <c r="X14" s="96"/>
      <c r="Y14" s="6"/>
      <c r="Z14" s="6"/>
      <c r="AA14" s="6"/>
      <c r="AB14" s="6"/>
      <c r="AC14" s="97"/>
      <c r="AD14" s="105" t="str">
        <f t="shared" si="0"/>
        <v>Aceptable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47" t="str" cm="1">
        <f t="array" ref="AV14">IF(OR(AE14:AU14="SI"),"Critico","No critico")</f>
        <v>No critico</v>
      </c>
    </row>
    <row r="15" spans="1:54">
      <c r="A15" s="63" t="e">
        <f>Inicial!#REF!</f>
        <v>#REF!</v>
      </c>
      <c r="B15" s="64" t="e">
        <f>Inicial!#REF!</f>
        <v>#REF!</v>
      </c>
      <c r="C15" s="64" t="e">
        <f>Inicial!#REF!</f>
        <v>#REF!</v>
      </c>
      <c r="D15" s="65" t="e">
        <f>Inicial!#REF!</f>
        <v>#REF!</v>
      </c>
      <c r="E15" s="63" t="e">
        <f>IF(Inicial!#REF!="SI",Inicial!#REF!,"N/A")</f>
        <v>#REF!</v>
      </c>
      <c r="F15" s="64" t="e">
        <f>IF(Inicial!#REF!="SI",Inicial!#REF!,"N/A")</f>
        <v>#REF!</v>
      </c>
      <c r="G15" s="64" t="e">
        <f>IF(Inicial!#REF!="SI",Inicial!#REF!,"N/A")</f>
        <v>#REF!</v>
      </c>
      <c r="H15" s="64" t="e">
        <f>IF(Inicial!#REF!="SI",Inicial!#REF!,"N/A")</f>
        <v>#REF!</v>
      </c>
      <c r="I15" s="75" t="e">
        <f>IF(Inicial!#REF!="SI",Inicial!#REF!,"N/A")</f>
        <v>#REF!</v>
      </c>
      <c r="K15" s="6"/>
      <c r="L15" s="6"/>
      <c r="M15" s="6"/>
      <c r="N15" s="6"/>
      <c r="O15" s="6"/>
      <c r="P15" s="100"/>
      <c r="Q15" s="96"/>
      <c r="R15" s="6"/>
      <c r="S15" s="6"/>
      <c r="T15" s="6"/>
      <c r="U15" s="6"/>
      <c r="V15" s="6"/>
      <c r="W15" s="97"/>
      <c r="X15" s="96"/>
      <c r="Y15" s="6"/>
      <c r="Z15" s="6"/>
      <c r="AA15" s="6"/>
      <c r="AB15" s="6"/>
      <c r="AC15" s="97"/>
      <c r="AD15" s="105" t="str">
        <f t="shared" si="0"/>
        <v>Aceptable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47" t="str" cm="1">
        <f t="array" ref="AV15">IF(OR(AE15:AU15="SI"),"Critico","No critico")</f>
        <v>No critico</v>
      </c>
    </row>
    <row r="16" spans="1:54">
      <c r="A16" s="63" t="e">
        <f>Inicial!#REF!</f>
        <v>#REF!</v>
      </c>
      <c r="B16" s="64" t="e">
        <f>Inicial!#REF!</f>
        <v>#REF!</v>
      </c>
      <c r="C16" s="64" t="e">
        <f>Inicial!#REF!</f>
        <v>#REF!</v>
      </c>
      <c r="D16" s="65" t="e">
        <f>Inicial!#REF!</f>
        <v>#REF!</v>
      </c>
      <c r="E16" s="63" t="e">
        <f>IF(Inicial!#REF!="SI",Inicial!#REF!,"N/A")</f>
        <v>#REF!</v>
      </c>
      <c r="F16" s="64" t="e">
        <f>IF(Inicial!#REF!="SI",Inicial!#REF!,"N/A")</f>
        <v>#REF!</v>
      </c>
      <c r="G16" s="64" t="e">
        <f>IF(Inicial!#REF!="SI",Inicial!#REF!,"N/A")</f>
        <v>#REF!</v>
      </c>
      <c r="H16" s="64" t="e">
        <f>IF(Inicial!#REF!="SI",Inicial!#REF!,"N/A")</f>
        <v>#REF!</v>
      </c>
      <c r="I16" s="75" t="e">
        <f>IF(Inicial!#REF!="SI",Inicial!#REF!,"N/A")</f>
        <v>#REF!</v>
      </c>
      <c r="K16" s="6"/>
      <c r="L16" s="6"/>
      <c r="M16" s="6"/>
      <c r="N16" s="6"/>
      <c r="O16" s="6"/>
      <c r="P16" s="100"/>
      <c r="Q16" s="96"/>
      <c r="R16" s="6"/>
      <c r="S16" s="6"/>
      <c r="T16" s="6"/>
      <c r="U16" s="6"/>
      <c r="V16" s="6"/>
      <c r="W16" s="97"/>
      <c r="X16" s="96"/>
      <c r="Y16" s="6"/>
      <c r="Z16" s="6"/>
      <c r="AA16" s="6"/>
      <c r="AB16" s="6"/>
      <c r="AC16" s="97"/>
      <c r="AD16" s="105" t="str">
        <f t="shared" si="0"/>
        <v>Aceptable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47" t="str" cm="1">
        <f t="array" ref="AV16">IF(OR(AE16:AU16="SI"),"Critico","No critico")</f>
        <v>No critico</v>
      </c>
    </row>
    <row r="17" spans="1:48">
      <c r="A17" s="63" t="e">
        <f>Inicial!#REF!</f>
        <v>#REF!</v>
      </c>
      <c r="B17" s="64" t="e">
        <f>Inicial!#REF!</f>
        <v>#REF!</v>
      </c>
      <c r="C17" s="64" t="e">
        <f>Inicial!#REF!</f>
        <v>#REF!</v>
      </c>
      <c r="D17" s="65" t="e">
        <f>Inicial!#REF!</f>
        <v>#REF!</v>
      </c>
      <c r="E17" s="63" t="e">
        <f>IF(Inicial!#REF!="SI",Inicial!#REF!,"N/A")</f>
        <v>#REF!</v>
      </c>
      <c r="F17" s="64" t="e">
        <f>IF(Inicial!#REF!="SI",Inicial!#REF!,"N/A")</f>
        <v>#REF!</v>
      </c>
      <c r="G17" s="64" t="e">
        <f>IF(Inicial!#REF!="SI",Inicial!#REF!,"N/A")</f>
        <v>#REF!</v>
      </c>
      <c r="H17" s="64" t="e">
        <f>IF(Inicial!#REF!="SI",Inicial!#REF!,"N/A")</f>
        <v>#REF!</v>
      </c>
      <c r="I17" s="75" t="e">
        <f>IF(Inicial!#REF!="SI",Inicial!#REF!,"N/A")</f>
        <v>#REF!</v>
      </c>
      <c r="K17" s="6"/>
      <c r="L17" s="6"/>
      <c r="M17" s="6"/>
      <c r="N17" s="6"/>
      <c r="O17" s="6"/>
      <c r="P17" s="100"/>
      <c r="Q17" s="96"/>
      <c r="R17" s="6"/>
      <c r="S17" s="6"/>
      <c r="T17" s="6"/>
      <c r="U17" s="6"/>
      <c r="V17" s="6"/>
      <c r="W17" s="97"/>
      <c r="X17" s="96"/>
      <c r="Y17" s="6"/>
      <c r="Z17" s="6"/>
      <c r="AA17" s="6"/>
      <c r="AB17" s="6"/>
      <c r="AC17" s="97"/>
      <c r="AD17" s="105" t="str">
        <f t="shared" si="0"/>
        <v>Aceptable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47" t="str" cm="1">
        <f t="array" ref="AV17">IF(OR(AE17:AU17="SI"),"Critico","No critico")</f>
        <v>No critico</v>
      </c>
    </row>
    <row r="18" spans="1:48">
      <c r="A18" s="63" t="e">
        <f>Inicial!#REF!</f>
        <v>#REF!</v>
      </c>
      <c r="B18" s="64" t="e">
        <f>Inicial!#REF!</f>
        <v>#REF!</v>
      </c>
      <c r="C18" s="64" t="e">
        <f>Inicial!#REF!</f>
        <v>#REF!</v>
      </c>
      <c r="D18" s="65" t="e">
        <f>Inicial!#REF!</f>
        <v>#REF!</v>
      </c>
      <c r="E18" s="63" t="e">
        <f>IF(Inicial!#REF!="SI",Inicial!#REF!,"N/A")</f>
        <v>#REF!</v>
      </c>
      <c r="F18" s="64" t="e">
        <f>IF(Inicial!#REF!="SI",Inicial!#REF!,"N/A")</f>
        <v>#REF!</v>
      </c>
      <c r="G18" s="64" t="e">
        <f>IF(Inicial!#REF!="SI",Inicial!#REF!,"N/A")</f>
        <v>#REF!</v>
      </c>
      <c r="H18" s="64" t="e">
        <f>IF(Inicial!#REF!="SI",Inicial!#REF!,"N/A")</f>
        <v>#REF!</v>
      </c>
      <c r="I18" s="75" t="e">
        <f>IF(Inicial!#REF!="SI",Inicial!#REF!,"N/A")</f>
        <v>#REF!</v>
      </c>
      <c r="K18" s="6"/>
      <c r="L18" s="6"/>
      <c r="M18" s="6"/>
      <c r="N18" s="6"/>
      <c r="O18" s="6"/>
      <c r="P18" s="100"/>
      <c r="Q18" s="96"/>
      <c r="R18" s="6"/>
      <c r="S18" s="6"/>
      <c r="T18" s="6"/>
      <c r="U18" s="6"/>
      <c r="V18" s="6"/>
      <c r="W18" s="97"/>
      <c r="X18" s="96"/>
      <c r="Y18" s="6"/>
      <c r="Z18" s="6"/>
      <c r="AA18" s="6"/>
      <c r="AB18" s="6"/>
      <c r="AC18" s="97"/>
      <c r="AD18" s="105" t="str">
        <f t="shared" si="0"/>
        <v>Aceptable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47" t="str" cm="1">
        <f t="array" ref="AV18">IF(OR(AE18:AU18="SI"),"Critico","No critico")</f>
        <v>No critico</v>
      </c>
    </row>
    <row r="19" spans="1:48">
      <c r="A19" s="63" t="e">
        <f>Inicial!#REF!</f>
        <v>#REF!</v>
      </c>
      <c r="B19" s="64" t="e">
        <f>Inicial!#REF!</f>
        <v>#REF!</v>
      </c>
      <c r="C19" s="64" t="e">
        <f>Inicial!#REF!</f>
        <v>#REF!</v>
      </c>
      <c r="D19" s="65" t="e">
        <f>Inicial!#REF!</f>
        <v>#REF!</v>
      </c>
      <c r="E19" s="63" t="e">
        <f>IF(Inicial!#REF!="SI",Inicial!#REF!,"N/A")</f>
        <v>#REF!</v>
      </c>
      <c r="F19" s="64" t="e">
        <f>IF(Inicial!#REF!="SI",Inicial!#REF!,"N/A")</f>
        <v>#REF!</v>
      </c>
      <c r="G19" s="64" t="e">
        <f>IF(Inicial!#REF!="SI",Inicial!#REF!,"N/A")</f>
        <v>#REF!</v>
      </c>
      <c r="H19" s="64" t="e">
        <f>IF(Inicial!#REF!="SI",Inicial!#REF!,"N/A")</f>
        <v>#REF!</v>
      </c>
      <c r="I19" s="75" t="e">
        <f>IF(Inicial!#REF!="SI",Inicial!#REF!,"N/A")</f>
        <v>#REF!</v>
      </c>
      <c r="K19" s="6"/>
      <c r="L19" s="6"/>
      <c r="M19" s="6"/>
      <c r="N19" s="6"/>
      <c r="O19" s="6"/>
      <c r="P19" s="100"/>
      <c r="Q19" s="96"/>
      <c r="R19" s="6"/>
      <c r="S19" s="6"/>
      <c r="T19" s="6"/>
      <c r="U19" s="6"/>
      <c r="V19" s="6"/>
      <c r="W19" s="97"/>
      <c r="X19" s="96"/>
      <c r="Y19" s="6"/>
      <c r="Z19" s="6"/>
      <c r="AA19" s="6"/>
      <c r="AB19" s="6"/>
      <c r="AC19" s="97"/>
      <c r="AD19" s="105" t="str">
        <f t="shared" si="0"/>
        <v>Aceptable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47" t="str" cm="1">
        <f t="array" ref="AV19">IF(OR(AE19:AU19="SI"),"Critico","No critico")</f>
        <v>No critico</v>
      </c>
    </row>
    <row r="20" spans="1:48">
      <c r="A20" s="63" t="e">
        <f>Inicial!#REF!</f>
        <v>#REF!</v>
      </c>
      <c r="B20" s="64" t="e">
        <f>Inicial!#REF!</f>
        <v>#REF!</v>
      </c>
      <c r="C20" s="64" t="e">
        <f>Inicial!#REF!</f>
        <v>#REF!</v>
      </c>
      <c r="D20" s="65" t="e">
        <f>Inicial!#REF!</f>
        <v>#REF!</v>
      </c>
      <c r="E20" s="63" t="e">
        <f>IF(Inicial!#REF!="SI",Inicial!#REF!,"N/A")</f>
        <v>#REF!</v>
      </c>
      <c r="F20" s="64" t="e">
        <f>IF(Inicial!#REF!="SI",Inicial!#REF!,"N/A")</f>
        <v>#REF!</v>
      </c>
      <c r="G20" s="64" t="e">
        <f>IF(Inicial!#REF!="SI",Inicial!#REF!,"N/A")</f>
        <v>#REF!</v>
      </c>
      <c r="H20" s="64" t="e">
        <f>IF(Inicial!#REF!="SI",Inicial!#REF!,"N/A")</f>
        <v>#REF!</v>
      </c>
      <c r="I20" s="75" t="e">
        <f>IF(Inicial!#REF!="SI",Inicial!#REF!,"N/A")</f>
        <v>#REF!</v>
      </c>
      <c r="K20" s="6"/>
      <c r="L20" s="6"/>
      <c r="M20" s="6"/>
      <c r="N20" s="6"/>
      <c r="O20" s="6"/>
      <c r="P20" s="100"/>
      <c r="Q20" s="96"/>
      <c r="R20" s="6"/>
      <c r="S20" s="6"/>
      <c r="T20" s="6"/>
      <c r="U20" s="6"/>
      <c r="V20" s="6"/>
      <c r="W20" s="97"/>
      <c r="X20" s="96"/>
      <c r="Y20" s="6"/>
      <c r="Z20" s="6"/>
      <c r="AA20" s="6"/>
      <c r="AB20" s="6"/>
      <c r="AC20" s="97"/>
      <c r="AD20" s="105" t="str">
        <f t="shared" si="0"/>
        <v>Aceptable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47" t="str" cm="1">
        <f t="array" ref="AV20">IF(OR(AE20:AU20="SI"),"Critico","No critico")</f>
        <v>No critico</v>
      </c>
    </row>
    <row r="21" spans="1:48">
      <c r="A21" s="63" t="e">
        <f>Inicial!#REF!</f>
        <v>#REF!</v>
      </c>
      <c r="B21" s="64" t="e">
        <f>Inicial!#REF!</f>
        <v>#REF!</v>
      </c>
      <c r="C21" s="64" t="e">
        <f>Inicial!#REF!</f>
        <v>#REF!</v>
      </c>
      <c r="D21" s="65" t="e">
        <f>Inicial!#REF!</f>
        <v>#REF!</v>
      </c>
      <c r="E21" s="63" t="e">
        <f>IF(Inicial!#REF!="SI",Inicial!#REF!,"N/A")</f>
        <v>#REF!</v>
      </c>
      <c r="F21" s="64" t="e">
        <f>IF(Inicial!#REF!="SI",Inicial!#REF!,"N/A")</f>
        <v>#REF!</v>
      </c>
      <c r="G21" s="64" t="e">
        <f>IF(Inicial!#REF!="SI",Inicial!#REF!,"N/A")</f>
        <v>#REF!</v>
      </c>
      <c r="H21" s="64" t="e">
        <f>IF(Inicial!#REF!="SI",Inicial!#REF!,"N/A")</f>
        <v>#REF!</v>
      </c>
      <c r="I21" s="75" t="e">
        <f>IF(Inicial!#REF!="SI",Inicial!#REF!,"N/A")</f>
        <v>#REF!</v>
      </c>
      <c r="K21" s="6"/>
      <c r="L21" s="6"/>
      <c r="M21" s="6"/>
      <c r="N21" s="6"/>
      <c r="O21" s="6"/>
      <c r="P21" s="100"/>
      <c r="Q21" s="96"/>
      <c r="R21" s="6"/>
      <c r="S21" s="6"/>
      <c r="T21" s="6"/>
      <c r="U21" s="6"/>
      <c r="V21" s="6"/>
      <c r="W21" s="97"/>
      <c r="X21" s="96"/>
      <c r="Y21" s="6"/>
      <c r="Z21" s="6"/>
      <c r="AA21" s="6"/>
      <c r="AB21" s="6"/>
      <c r="AC21" s="97"/>
      <c r="AD21" s="105" t="str">
        <f t="shared" si="0"/>
        <v>Aceptable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47" t="str" cm="1">
        <f t="array" ref="AV21">IF(OR(AE21:AU21="SI"),"Critico","No critico")</f>
        <v>No critico</v>
      </c>
    </row>
    <row r="22" spans="1:48">
      <c r="A22" s="63" t="e">
        <f>Inicial!#REF!</f>
        <v>#REF!</v>
      </c>
      <c r="B22" s="64" t="e">
        <f>Inicial!#REF!</f>
        <v>#REF!</v>
      </c>
      <c r="C22" s="64" t="e">
        <f>Inicial!#REF!</f>
        <v>#REF!</v>
      </c>
      <c r="D22" s="65" t="e">
        <f>Inicial!#REF!</f>
        <v>#REF!</v>
      </c>
      <c r="E22" s="63" t="e">
        <f>IF(Inicial!#REF!="SI",Inicial!#REF!,"N/A")</f>
        <v>#REF!</v>
      </c>
      <c r="F22" s="64" t="e">
        <f>IF(Inicial!#REF!="SI",Inicial!#REF!,"N/A")</f>
        <v>#REF!</v>
      </c>
      <c r="G22" s="64" t="e">
        <f>IF(Inicial!#REF!="SI",Inicial!#REF!,"N/A")</f>
        <v>#REF!</v>
      </c>
      <c r="H22" s="64" t="e">
        <f>IF(Inicial!#REF!="SI",Inicial!#REF!,"N/A")</f>
        <v>#REF!</v>
      </c>
      <c r="I22" s="75" t="e">
        <f>IF(Inicial!#REF!="SI",Inicial!#REF!,"N/A")</f>
        <v>#REF!</v>
      </c>
      <c r="K22" s="6"/>
      <c r="L22" s="6"/>
      <c r="M22" s="6"/>
      <c r="N22" s="6"/>
      <c r="O22" s="6"/>
      <c r="P22" s="100"/>
      <c r="Q22" s="96"/>
      <c r="R22" s="6"/>
      <c r="S22" s="6"/>
      <c r="T22" s="6"/>
      <c r="U22" s="6"/>
      <c r="V22" s="6"/>
      <c r="W22" s="97"/>
      <c r="X22" s="96"/>
      <c r="Y22" s="6"/>
      <c r="Z22" s="6"/>
      <c r="AA22" s="6"/>
      <c r="AB22" s="6"/>
      <c r="AC22" s="97"/>
      <c r="AD22" s="105" t="str">
        <f t="shared" si="0"/>
        <v>Aceptable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47" t="str" cm="1">
        <f t="array" ref="AV22">IF(OR(AE22:AU22="SI"),"Critico","No critico")</f>
        <v>No critico</v>
      </c>
    </row>
    <row r="23" spans="1:48">
      <c r="A23" s="63" t="e">
        <f>Inicial!#REF!</f>
        <v>#REF!</v>
      </c>
      <c r="B23" s="64" t="e">
        <f>Inicial!#REF!</f>
        <v>#REF!</v>
      </c>
      <c r="C23" s="64" t="e">
        <f>Inicial!#REF!</f>
        <v>#REF!</v>
      </c>
      <c r="D23" s="65" t="e">
        <f>Inicial!#REF!</f>
        <v>#REF!</v>
      </c>
      <c r="E23" s="63" t="e">
        <f>IF(Inicial!#REF!="SI",Inicial!#REF!,"N/A")</f>
        <v>#REF!</v>
      </c>
      <c r="F23" s="64" t="e">
        <f>IF(Inicial!#REF!="SI",Inicial!#REF!,"N/A")</f>
        <v>#REF!</v>
      </c>
      <c r="G23" s="64" t="e">
        <f>IF(Inicial!#REF!="SI",Inicial!#REF!,"N/A")</f>
        <v>#REF!</v>
      </c>
      <c r="H23" s="64" t="e">
        <f>IF(Inicial!#REF!="SI",Inicial!#REF!,"N/A")</f>
        <v>#REF!</v>
      </c>
      <c r="I23" s="75" t="e">
        <f>IF(Inicial!#REF!="SI",Inicial!#REF!,"N/A")</f>
        <v>#REF!</v>
      </c>
      <c r="K23" s="6"/>
      <c r="L23" s="6"/>
      <c r="M23" s="6"/>
      <c r="N23" s="6"/>
      <c r="O23" s="6"/>
      <c r="P23" s="100"/>
      <c r="Q23" s="96"/>
      <c r="R23" s="6"/>
      <c r="S23" s="6"/>
      <c r="T23" s="6"/>
      <c r="U23" s="6"/>
      <c r="V23" s="6"/>
      <c r="W23" s="97"/>
      <c r="X23" s="96"/>
      <c r="Y23" s="6"/>
      <c r="Z23" s="6"/>
      <c r="AA23" s="6"/>
      <c r="AB23" s="6"/>
      <c r="AC23" s="97"/>
      <c r="AD23" s="105" t="str">
        <f t="shared" si="0"/>
        <v>Aceptable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47" t="str" cm="1">
        <f t="array" ref="AV23">IF(OR(AE23:AU23="SI"),"Critico","No critico")</f>
        <v>No critico</v>
      </c>
    </row>
    <row r="24" spans="1:48">
      <c r="A24" s="63" t="e">
        <f>Inicial!#REF!</f>
        <v>#REF!</v>
      </c>
      <c r="B24" s="64" t="e">
        <f>Inicial!#REF!</f>
        <v>#REF!</v>
      </c>
      <c r="C24" s="64" t="e">
        <f>Inicial!#REF!</f>
        <v>#REF!</v>
      </c>
      <c r="D24" s="65" t="e">
        <f>Inicial!#REF!</f>
        <v>#REF!</v>
      </c>
      <c r="E24" s="63" t="e">
        <f>IF(Inicial!#REF!="SI",Inicial!#REF!,"N/A")</f>
        <v>#REF!</v>
      </c>
      <c r="F24" s="64" t="e">
        <f>IF(Inicial!#REF!="SI",Inicial!#REF!,"N/A")</f>
        <v>#REF!</v>
      </c>
      <c r="G24" s="64" t="e">
        <f>IF(Inicial!#REF!="SI",Inicial!#REF!,"N/A")</f>
        <v>#REF!</v>
      </c>
      <c r="H24" s="64" t="e">
        <f>IF(Inicial!#REF!="SI",Inicial!#REF!,"N/A")</f>
        <v>#REF!</v>
      </c>
      <c r="I24" s="75" t="e">
        <f>IF(Inicial!#REF!="SI",Inicial!#REF!,"N/A")</f>
        <v>#REF!</v>
      </c>
      <c r="K24" s="6"/>
      <c r="L24" s="6"/>
      <c r="M24" s="6"/>
      <c r="N24" s="6"/>
      <c r="O24" s="6"/>
      <c r="P24" s="100"/>
      <c r="Q24" s="96"/>
      <c r="R24" s="6"/>
      <c r="S24" s="6"/>
      <c r="T24" s="6"/>
      <c r="U24" s="6"/>
      <c r="V24" s="6"/>
      <c r="W24" s="97"/>
      <c r="X24" s="96"/>
      <c r="Y24" s="6"/>
      <c r="Z24" s="6"/>
      <c r="AA24" s="6"/>
      <c r="AB24" s="6"/>
      <c r="AC24" s="97"/>
      <c r="AD24" s="105" t="str">
        <f t="shared" si="0"/>
        <v>Aceptable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47" t="str" cm="1">
        <f t="array" ref="AV24">IF(OR(AE24:AU24="SI"),"Critico","No critico")</f>
        <v>No critico</v>
      </c>
    </row>
    <row r="25" spans="1:48">
      <c r="A25" s="63" t="e">
        <f>Inicial!#REF!</f>
        <v>#REF!</v>
      </c>
      <c r="B25" s="64" t="e">
        <f>Inicial!#REF!</f>
        <v>#REF!</v>
      </c>
      <c r="C25" s="64" t="e">
        <f>Inicial!#REF!</f>
        <v>#REF!</v>
      </c>
      <c r="D25" s="65" t="e">
        <f>Inicial!#REF!</f>
        <v>#REF!</v>
      </c>
      <c r="E25" s="63" t="e">
        <f>IF(Inicial!#REF!="SI",Inicial!#REF!,"N/A")</f>
        <v>#REF!</v>
      </c>
      <c r="F25" s="64" t="e">
        <f>IF(Inicial!#REF!="SI",Inicial!#REF!,"N/A")</f>
        <v>#REF!</v>
      </c>
      <c r="G25" s="64" t="e">
        <f>IF(Inicial!#REF!="SI",Inicial!#REF!,"N/A")</f>
        <v>#REF!</v>
      </c>
      <c r="H25" s="64" t="e">
        <f>IF(Inicial!#REF!="SI",Inicial!#REF!,"N/A")</f>
        <v>#REF!</v>
      </c>
      <c r="I25" s="75" t="e">
        <f>IF(Inicial!#REF!="SI",Inicial!#REF!,"N/A")</f>
        <v>#REF!</v>
      </c>
      <c r="K25" s="6"/>
      <c r="L25" s="6"/>
      <c r="M25" s="6"/>
      <c r="N25" s="6"/>
      <c r="O25" s="6"/>
      <c r="P25" s="100"/>
      <c r="Q25" s="96"/>
      <c r="R25" s="6"/>
      <c r="S25" s="6"/>
      <c r="T25" s="6"/>
      <c r="U25" s="6"/>
      <c r="V25" s="6"/>
      <c r="W25" s="97"/>
      <c r="X25" s="96"/>
      <c r="Y25" s="6"/>
      <c r="Z25" s="6"/>
      <c r="AA25" s="6"/>
      <c r="AB25" s="6"/>
      <c r="AC25" s="97"/>
      <c r="AD25" s="105" t="str">
        <f t="shared" si="0"/>
        <v>Aceptable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47" t="str" cm="1">
        <f t="array" ref="AV25">IF(OR(AE25:AU25="SI"),"Critico","No critico")</f>
        <v>No critico</v>
      </c>
    </row>
    <row r="26" spans="1:48">
      <c r="A26" s="63" t="e">
        <f>Inicial!#REF!</f>
        <v>#REF!</v>
      </c>
      <c r="B26" s="64" t="e">
        <f>Inicial!#REF!</f>
        <v>#REF!</v>
      </c>
      <c r="C26" s="64" t="e">
        <f>Inicial!#REF!</f>
        <v>#REF!</v>
      </c>
      <c r="D26" s="65" t="e">
        <f>Inicial!#REF!</f>
        <v>#REF!</v>
      </c>
      <c r="E26" s="63" t="e">
        <f>IF(Inicial!#REF!="SI",Inicial!#REF!,"N/A")</f>
        <v>#REF!</v>
      </c>
      <c r="F26" s="64" t="e">
        <f>IF(Inicial!#REF!="SI",Inicial!#REF!,"N/A")</f>
        <v>#REF!</v>
      </c>
      <c r="G26" s="64" t="e">
        <f>IF(Inicial!#REF!="SI",Inicial!#REF!,"N/A")</f>
        <v>#REF!</v>
      </c>
      <c r="H26" s="64" t="e">
        <f>IF(Inicial!#REF!="SI",Inicial!#REF!,"N/A")</f>
        <v>#REF!</v>
      </c>
      <c r="I26" s="75" t="e">
        <f>IF(Inicial!#REF!="SI",Inicial!#REF!,"N/A")</f>
        <v>#REF!</v>
      </c>
      <c r="K26" s="6"/>
      <c r="L26" s="6"/>
      <c r="M26" s="6"/>
      <c r="N26" s="6"/>
      <c r="O26" s="6"/>
      <c r="P26" s="100"/>
      <c r="Q26" s="96"/>
      <c r="R26" s="6"/>
      <c r="S26" s="6"/>
      <c r="T26" s="6"/>
      <c r="U26" s="6"/>
      <c r="V26" s="6"/>
      <c r="W26" s="97"/>
      <c r="X26" s="96"/>
      <c r="Y26" s="6"/>
      <c r="Z26" s="6"/>
      <c r="AA26" s="6"/>
      <c r="AB26" s="6"/>
      <c r="AC26" s="97"/>
      <c r="AD26" s="105" t="str">
        <f t="shared" si="0"/>
        <v>Aceptable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47" t="str" cm="1">
        <f t="array" ref="AV26">IF(OR(AE26:AU26="SI"),"Critico","No critico")</f>
        <v>No critico</v>
      </c>
    </row>
    <row r="27" spans="1:48">
      <c r="A27" s="63" t="e">
        <f>Inicial!#REF!</f>
        <v>#REF!</v>
      </c>
      <c r="B27" s="64" t="e">
        <f>Inicial!#REF!</f>
        <v>#REF!</v>
      </c>
      <c r="C27" s="64" t="e">
        <f>Inicial!#REF!</f>
        <v>#REF!</v>
      </c>
      <c r="D27" s="65" t="e">
        <f>Inicial!#REF!</f>
        <v>#REF!</v>
      </c>
      <c r="E27" s="63" t="e">
        <f>IF(Inicial!#REF!="SI",Inicial!#REF!,"N/A")</f>
        <v>#REF!</v>
      </c>
      <c r="F27" s="64" t="e">
        <f>IF(Inicial!#REF!="SI",Inicial!#REF!,"N/A")</f>
        <v>#REF!</v>
      </c>
      <c r="G27" s="64" t="e">
        <f>IF(Inicial!#REF!="SI",Inicial!#REF!,"N/A")</f>
        <v>#REF!</v>
      </c>
      <c r="H27" s="64" t="e">
        <f>IF(Inicial!#REF!="SI",Inicial!#REF!,"N/A")</f>
        <v>#REF!</v>
      </c>
      <c r="I27" s="75" t="e">
        <f>IF(Inicial!#REF!="SI",Inicial!#REF!,"N/A")</f>
        <v>#REF!</v>
      </c>
      <c r="K27" s="6"/>
      <c r="L27" s="6"/>
      <c r="M27" s="6"/>
      <c r="N27" s="6"/>
      <c r="O27" s="6"/>
      <c r="P27" s="100"/>
      <c r="Q27" s="96"/>
      <c r="R27" s="6"/>
      <c r="S27" s="6"/>
      <c r="T27" s="6"/>
      <c r="U27" s="6"/>
      <c r="V27" s="6"/>
      <c r="W27" s="97"/>
      <c r="X27" s="96"/>
      <c r="Y27" s="6"/>
      <c r="Z27" s="6"/>
      <c r="AA27" s="6"/>
      <c r="AB27" s="6"/>
      <c r="AC27" s="97"/>
      <c r="AD27" s="105" t="str">
        <f t="shared" si="0"/>
        <v>Aceptable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47" t="str" cm="1">
        <f t="array" ref="AV27">IF(OR(AE27:AU27="SI"),"Critico","No critico")</f>
        <v>No critico</v>
      </c>
    </row>
    <row r="28" spans="1:48">
      <c r="A28" s="63" t="e">
        <f>Inicial!#REF!</f>
        <v>#REF!</v>
      </c>
      <c r="B28" s="64" t="e">
        <f>Inicial!#REF!</f>
        <v>#REF!</v>
      </c>
      <c r="C28" s="64" t="e">
        <f>Inicial!#REF!</f>
        <v>#REF!</v>
      </c>
      <c r="D28" s="65" t="e">
        <f>Inicial!#REF!</f>
        <v>#REF!</v>
      </c>
      <c r="E28" s="63" t="e">
        <f>IF(Inicial!#REF!="SI",Inicial!#REF!,"N/A")</f>
        <v>#REF!</v>
      </c>
      <c r="F28" s="64" t="e">
        <f>IF(Inicial!#REF!="SI",Inicial!#REF!,"N/A")</f>
        <v>#REF!</v>
      </c>
      <c r="G28" s="64" t="e">
        <f>IF(Inicial!#REF!="SI",Inicial!#REF!,"N/A")</f>
        <v>#REF!</v>
      </c>
      <c r="H28" s="64" t="e">
        <f>IF(Inicial!#REF!="SI",Inicial!#REF!,"N/A")</f>
        <v>#REF!</v>
      </c>
      <c r="I28" s="75" t="e">
        <f>IF(Inicial!#REF!="SI",Inicial!#REF!,"N/A")</f>
        <v>#REF!</v>
      </c>
      <c r="K28" s="6"/>
      <c r="L28" s="6"/>
      <c r="M28" s="6"/>
      <c r="N28" s="6"/>
      <c r="O28" s="6"/>
      <c r="P28" s="100"/>
      <c r="Q28" s="96"/>
      <c r="R28" s="6"/>
      <c r="S28" s="6"/>
      <c r="T28" s="6"/>
      <c r="U28" s="6"/>
      <c r="V28" s="6"/>
      <c r="W28" s="97"/>
      <c r="X28" s="96"/>
      <c r="Y28" s="6"/>
      <c r="Z28" s="6"/>
      <c r="AA28" s="6"/>
      <c r="AB28" s="6"/>
      <c r="AC28" s="97"/>
      <c r="AD28" s="105" t="str">
        <f t="shared" si="0"/>
        <v>Aceptable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47" t="str" cm="1">
        <f t="array" ref="AV28">IF(OR(AE28:AU28="SI"),"Critico","No critico")</f>
        <v>No critico</v>
      </c>
    </row>
    <row r="29" spans="1:48">
      <c r="A29" s="63" t="e">
        <f>Inicial!#REF!</f>
        <v>#REF!</v>
      </c>
      <c r="B29" s="64" t="e">
        <f>Inicial!#REF!</f>
        <v>#REF!</v>
      </c>
      <c r="C29" s="64" t="e">
        <f>Inicial!#REF!</f>
        <v>#REF!</v>
      </c>
      <c r="D29" s="65" t="e">
        <f>Inicial!#REF!</f>
        <v>#REF!</v>
      </c>
      <c r="E29" s="63" t="e">
        <f>IF(Inicial!#REF!="SI",Inicial!#REF!,"N/A")</f>
        <v>#REF!</v>
      </c>
      <c r="F29" s="64" t="e">
        <f>IF(Inicial!#REF!="SI",Inicial!#REF!,"N/A")</f>
        <v>#REF!</v>
      </c>
      <c r="G29" s="64" t="e">
        <f>IF(Inicial!#REF!="SI",Inicial!#REF!,"N/A")</f>
        <v>#REF!</v>
      </c>
      <c r="H29" s="64" t="e">
        <f>IF(Inicial!#REF!="SI",Inicial!#REF!,"N/A")</f>
        <v>#REF!</v>
      </c>
      <c r="I29" s="75" t="e">
        <f>IF(Inicial!#REF!="SI",Inicial!#REF!,"N/A")</f>
        <v>#REF!</v>
      </c>
      <c r="K29" s="6"/>
      <c r="L29" s="6"/>
      <c r="M29" s="6"/>
      <c r="N29" s="6"/>
      <c r="O29" s="6"/>
      <c r="P29" s="100"/>
      <c r="Q29" s="96"/>
      <c r="R29" s="6"/>
      <c r="S29" s="6"/>
      <c r="T29" s="6"/>
      <c r="U29" s="6"/>
      <c r="V29" s="6"/>
      <c r="W29" s="97"/>
      <c r="X29" s="96"/>
      <c r="Y29" s="6"/>
      <c r="Z29" s="6"/>
      <c r="AA29" s="6"/>
      <c r="AB29" s="6"/>
      <c r="AC29" s="97"/>
      <c r="AD29" s="105" t="str">
        <f t="shared" si="0"/>
        <v>Aceptable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47" t="str" cm="1">
        <f t="array" ref="AV29">IF(OR(AE29:AU29="SI"),"Critico","No critico")</f>
        <v>No critico</v>
      </c>
    </row>
    <row r="30" spans="1:48">
      <c r="A30" s="63" t="e">
        <f>Inicial!#REF!</f>
        <v>#REF!</v>
      </c>
      <c r="B30" s="64" t="e">
        <f>Inicial!#REF!</f>
        <v>#REF!</v>
      </c>
      <c r="C30" s="64" t="e">
        <f>Inicial!#REF!</f>
        <v>#REF!</v>
      </c>
      <c r="D30" s="65" t="e">
        <f>Inicial!#REF!</f>
        <v>#REF!</v>
      </c>
      <c r="E30" s="63" t="e">
        <f>IF(Inicial!#REF!="SI",Inicial!#REF!,"N/A")</f>
        <v>#REF!</v>
      </c>
      <c r="F30" s="64" t="e">
        <f>IF(Inicial!#REF!="SI",Inicial!#REF!,"N/A")</f>
        <v>#REF!</v>
      </c>
      <c r="G30" s="64" t="e">
        <f>IF(Inicial!#REF!="SI",Inicial!#REF!,"N/A")</f>
        <v>#REF!</v>
      </c>
      <c r="H30" s="64" t="e">
        <f>IF(Inicial!#REF!="SI",Inicial!#REF!,"N/A")</f>
        <v>#REF!</v>
      </c>
      <c r="I30" s="75" t="e">
        <f>IF(Inicial!#REF!="SI",Inicial!#REF!,"N/A")</f>
        <v>#REF!</v>
      </c>
      <c r="K30" s="6"/>
      <c r="L30" s="6"/>
      <c r="M30" s="6"/>
      <c r="N30" s="6"/>
      <c r="O30" s="6"/>
      <c r="P30" s="100"/>
      <c r="Q30" s="96"/>
      <c r="R30" s="6"/>
      <c r="S30" s="6"/>
      <c r="T30" s="6"/>
      <c r="U30" s="6"/>
      <c r="V30" s="6"/>
      <c r="W30" s="97"/>
      <c r="X30" s="96"/>
      <c r="Y30" s="6"/>
      <c r="Z30" s="6"/>
      <c r="AA30" s="6"/>
      <c r="AB30" s="6"/>
      <c r="AC30" s="97"/>
      <c r="AD30" s="105" t="str">
        <f t="shared" si="0"/>
        <v>Aceptable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47" t="str" cm="1">
        <f t="array" ref="AV30">IF(OR(AE30:AU30="SI"),"Critico","No critico")</f>
        <v>No critico</v>
      </c>
    </row>
    <row r="31" spans="1:48">
      <c r="A31" s="63" t="e">
        <f>Inicial!#REF!</f>
        <v>#REF!</v>
      </c>
      <c r="B31" s="64" t="e">
        <f>Inicial!#REF!</f>
        <v>#REF!</v>
      </c>
      <c r="C31" s="64" t="e">
        <f>Inicial!#REF!</f>
        <v>#REF!</v>
      </c>
      <c r="D31" s="65" t="e">
        <f>Inicial!#REF!</f>
        <v>#REF!</v>
      </c>
      <c r="E31" s="63" t="e">
        <f>IF(Inicial!#REF!="SI",Inicial!#REF!,"N/A")</f>
        <v>#REF!</v>
      </c>
      <c r="F31" s="64" t="e">
        <f>IF(Inicial!#REF!="SI",Inicial!#REF!,"N/A")</f>
        <v>#REF!</v>
      </c>
      <c r="G31" s="64" t="e">
        <f>IF(Inicial!#REF!="SI",Inicial!#REF!,"N/A")</f>
        <v>#REF!</v>
      </c>
      <c r="H31" s="64" t="e">
        <f>IF(Inicial!#REF!="SI",Inicial!#REF!,"N/A")</f>
        <v>#REF!</v>
      </c>
      <c r="I31" s="75" t="e">
        <f>IF(Inicial!#REF!="SI",Inicial!#REF!,"N/A")</f>
        <v>#REF!</v>
      </c>
      <c r="K31" s="6"/>
      <c r="L31" s="6"/>
      <c r="M31" s="6"/>
      <c r="N31" s="6"/>
      <c r="O31" s="6"/>
      <c r="P31" s="100"/>
      <c r="Q31" s="96"/>
      <c r="R31" s="6"/>
      <c r="S31" s="6"/>
      <c r="T31" s="6"/>
      <c r="U31" s="6"/>
      <c r="V31" s="6"/>
      <c r="W31" s="97"/>
      <c r="X31" s="96"/>
      <c r="Y31" s="6"/>
      <c r="Z31" s="6"/>
      <c r="AA31" s="6"/>
      <c r="AB31" s="6"/>
      <c r="AC31" s="97"/>
      <c r="AD31" s="105" t="str">
        <f t="shared" si="0"/>
        <v>Aceptable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47" t="str" cm="1">
        <f t="array" ref="AV31">IF(OR(AE31:AU31="SI"),"Critico","No critico")</f>
        <v>No critico</v>
      </c>
    </row>
    <row r="32" spans="1:48">
      <c r="A32" s="63" t="e">
        <f>Inicial!#REF!</f>
        <v>#REF!</v>
      </c>
      <c r="B32" s="64" t="e">
        <f>Inicial!#REF!</f>
        <v>#REF!</v>
      </c>
      <c r="C32" s="64" t="e">
        <f>Inicial!#REF!</f>
        <v>#REF!</v>
      </c>
      <c r="D32" s="65" t="e">
        <f>Inicial!#REF!</f>
        <v>#REF!</v>
      </c>
      <c r="E32" s="63" t="e">
        <f>IF(Inicial!#REF!="SI",Inicial!#REF!,"N/A")</f>
        <v>#REF!</v>
      </c>
      <c r="F32" s="64" t="e">
        <f>IF(Inicial!#REF!="SI",Inicial!#REF!,"N/A")</f>
        <v>#REF!</v>
      </c>
      <c r="G32" s="64" t="e">
        <f>IF(Inicial!#REF!="SI",Inicial!#REF!,"N/A")</f>
        <v>#REF!</v>
      </c>
      <c r="H32" s="64" t="e">
        <f>IF(Inicial!#REF!="SI",Inicial!#REF!,"N/A")</f>
        <v>#REF!</v>
      </c>
      <c r="I32" s="75" t="e">
        <f>IF(Inicial!#REF!="SI",Inicial!#REF!,"N/A")</f>
        <v>#REF!</v>
      </c>
      <c r="K32" s="6"/>
      <c r="L32" s="6"/>
      <c r="M32" s="6"/>
      <c r="N32" s="6"/>
      <c r="O32" s="6"/>
      <c r="P32" s="100"/>
      <c r="Q32" s="96"/>
      <c r="R32" s="6"/>
      <c r="S32" s="6"/>
      <c r="T32" s="6"/>
      <c r="U32" s="6"/>
      <c r="V32" s="6"/>
      <c r="W32" s="97"/>
      <c r="X32" s="96"/>
      <c r="Y32" s="6"/>
      <c r="Z32" s="6"/>
      <c r="AA32" s="6"/>
      <c r="AB32" s="6"/>
      <c r="AC32" s="97"/>
      <c r="AD32" s="105" t="str">
        <f t="shared" si="0"/>
        <v>Aceptable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47" t="str" cm="1">
        <f t="array" ref="AV32">IF(OR(AE32:AU32="SI"),"Critico","No critico")</f>
        <v>No critico</v>
      </c>
    </row>
    <row r="33" spans="1:48">
      <c r="A33" s="63" t="e">
        <f>Inicial!#REF!</f>
        <v>#REF!</v>
      </c>
      <c r="B33" s="64" t="e">
        <f>Inicial!#REF!</f>
        <v>#REF!</v>
      </c>
      <c r="C33" s="64" t="e">
        <f>Inicial!#REF!</f>
        <v>#REF!</v>
      </c>
      <c r="D33" s="65" t="e">
        <f>Inicial!#REF!</f>
        <v>#REF!</v>
      </c>
      <c r="E33" s="63" t="e">
        <f>IF(Inicial!#REF!="SI",Inicial!#REF!,"N/A")</f>
        <v>#REF!</v>
      </c>
      <c r="F33" s="64" t="e">
        <f>IF(Inicial!#REF!="SI",Inicial!#REF!,"N/A")</f>
        <v>#REF!</v>
      </c>
      <c r="G33" s="64" t="e">
        <f>IF(Inicial!#REF!="SI",Inicial!#REF!,"N/A")</f>
        <v>#REF!</v>
      </c>
      <c r="H33" s="64" t="e">
        <f>IF(Inicial!#REF!="SI",Inicial!#REF!,"N/A")</f>
        <v>#REF!</v>
      </c>
      <c r="I33" s="75" t="e">
        <f>IF(Inicial!#REF!="SI",Inicial!#REF!,"N/A")</f>
        <v>#REF!</v>
      </c>
      <c r="K33" s="6"/>
      <c r="L33" s="6"/>
      <c r="M33" s="6"/>
      <c r="N33" s="6"/>
      <c r="O33" s="6"/>
      <c r="P33" s="100"/>
      <c r="Q33" s="96"/>
      <c r="R33" s="6"/>
      <c r="S33" s="6"/>
      <c r="T33" s="6"/>
      <c r="U33" s="6"/>
      <c r="V33" s="6"/>
      <c r="W33" s="97"/>
      <c r="X33" s="96"/>
      <c r="Y33" s="6"/>
      <c r="Z33" s="6"/>
      <c r="AA33" s="6"/>
      <c r="AB33" s="6"/>
      <c r="AC33" s="97"/>
      <c r="AD33" s="105" t="str">
        <f t="shared" si="0"/>
        <v>Aceptable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47" t="str" cm="1">
        <f t="array" ref="AV33">IF(OR(AE33:AU33="SI"),"Critico","No critico")</f>
        <v>No critico</v>
      </c>
    </row>
    <row r="34" spans="1:48">
      <c r="A34" s="63" t="e">
        <f>Inicial!#REF!</f>
        <v>#REF!</v>
      </c>
      <c r="B34" s="64" t="e">
        <f>Inicial!#REF!</f>
        <v>#REF!</v>
      </c>
      <c r="C34" s="64" t="e">
        <f>Inicial!#REF!</f>
        <v>#REF!</v>
      </c>
      <c r="D34" s="65" t="e">
        <f>Inicial!#REF!</f>
        <v>#REF!</v>
      </c>
      <c r="E34" s="63" t="e">
        <f>IF(Inicial!#REF!="SI",Inicial!#REF!,"N/A")</f>
        <v>#REF!</v>
      </c>
      <c r="F34" s="64" t="e">
        <f>IF(Inicial!#REF!="SI",Inicial!#REF!,"N/A")</f>
        <v>#REF!</v>
      </c>
      <c r="G34" s="64" t="e">
        <f>IF(Inicial!#REF!="SI",Inicial!#REF!,"N/A")</f>
        <v>#REF!</v>
      </c>
      <c r="H34" s="64" t="e">
        <f>IF(Inicial!#REF!="SI",Inicial!#REF!,"N/A")</f>
        <v>#REF!</v>
      </c>
      <c r="I34" s="75" t="e">
        <f>IF(Inicial!#REF!="SI",Inicial!#REF!,"N/A")</f>
        <v>#REF!</v>
      </c>
      <c r="K34" s="6"/>
      <c r="L34" s="6"/>
      <c r="M34" s="6"/>
      <c r="N34" s="6"/>
      <c r="O34" s="6"/>
      <c r="P34" s="100"/>
      <c r="Q34" s="96"/>
      <c r="R34" s="6"/>
      <c r="S34" s="6"/>
      <c r="T34" s="6"/>
      <c r="U34" s="6"/>
      <c r="V34" s="6"/>
      <c r="W34" s="97"/>
      <c r="X34" s="96"/>
      <c r="Y34" s="6"/>
      <c r="Z34" s="6"/>
      <c r="AA34" s="6"/>
      <c r="AB34" s="6"/>
      <c r="AC34" s="97"/>
      <c r="AD34" s="105" t="str">
        <f t="shared" si="0"/>
        <v>Aceptable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47" t="str" cm="1">
        <f t="array" ref="AV34">IF(OR(AE34:AU34="SI"),"Critico","No critico")</f>
        <v>No critico</v>
      </c>
    </row>
    <row r="35" spans="1:48">
      <c r="A35" s="63" t="e">
        <f>Inicial!#REF!</f>
        <v>#REF!</v>
      </c>
      <c r="B35" s="64" t="e">
        <f>Inicial!#REF!</f>
        <v>#REF!</v>
      </c>
      <c r="C35" s="64" t="e">
        <f>Inicial!#REF!</f>
        <v>#REF!</v>
      </c>
      <c r="D35" s="65" t="e">
        <f>Inicial!#REF!</f>
        <v>#REF!</v>
      </c>
      <c r="E35" s="63" t="e">
        <f>IF(Inicial!#REF!="SI",Inicial!#REF!,"N/A")</f>
        <v>#REF!</v>
      </c>
      <c r="F35" s="64" t="e">
        <f>IF(Inicial!#REF!="SI",Inicial!#REF!,"N/A")</f>
        <v>#REF!</v>
      </c>
      <c r="G35" s="64" t="e">
        <f>IF(Inicial!#REF!="SI",Inicial!#REF!,"N/A")</f>
        <v>#REF!</v>
      </c>
      <c r="H35" s="64" t="e">
        <f>IF(Inicial!#REF!="SI",Inicial!#REF!,"N/A")</f>
        <v>#REF!</v>
      </c>
      <c r="I35" s="75" t="e">
        <f>IF(Inicial!#REF!="SI",Inicial!#REF!,"N/A")</f>
        <v>#REF!</v>
      </c>
      <c r="K35" s="6"/>
      <c r="L35" s="6"/>
      <c r="M35" s="6"/>
      <c r="N35" s="6"/>
      <c r="O35" s="6"/>
      <c r="P35" s="100"/>
      <c r="Q35" s="96"/>
      <c r="R35" s="6"/>
      <c r="S35" s="6"/>
      <c r="T35" s="6"/>
      <c r="U35" s="6"/>
      <c r="V35" s="6"/>
      <c r="W35" s="97"/>
      <c r="X35" s="96"/>
      <c r="Y35" s="6"/>
      <c r="Z35" s="6"/>
      <c r="AA35" s="6"/>
      <c r="AB35" s="6"/>
      <c r="AC35" s="97"/>
      <c r="AD35" s="105" t="str">
        <f t="shared" si="0"/>
        <v>Aceptable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47" t="str" cm="1">
        <f t="array" ref="AV35">IF(OR(AE35:AU35="SI"),"Critico","No critico")</f>
        <v>No critico</v>
      </c>
    </row>
    <row r="36" spans="1:48">
      <c r="A36" s="63" t="e">
        <f>Inicial!#REF!</f>
        <v>#REF!</v>
      </c>
      <c r="B36" s="64" t="e">
        <f>Inicial!#REF!</f>
        <v>#REF!</v>
      </c>
      <c r="C36" s="64" t="e">
        <f>Inicial!#REF!</f>
        <v>#REF!</v>
      </c>
      <c r="D36" s="65" t="e">
        <f>Inicial!#REF!</f>
        <v>#REF!</v>
      </c>
      <c r="E36" s="63" t="e">
        <f>IF(Inicial!#REF!="SI",Inicial!#REF!,"N/A")</f>
        <v>#REF!</v>
      </c>
      <c r="F36" s="64" t="e">
        <f>IF(Inicial!#REF!="SI",Inicial!#REF!,"N/A")</f>
        <v>#REF!</v>
      </c>
      <c r="G36" s="64" t="e">
        <f>IF(Inicial!#REF!="SI",Inicial!#REF!,"N/A")</f>
        <v>#REF!</v>
      </c>
      <c r="H36" s="64" t="e">
        <f>IF(Inicial!#REF!="SI",Inicial!#REF!,"N/A")</f>
        <v>#REF!</v>
      </c>
      <c r="I36" s="75" t="e">
        <f>IF(Inicial!#REF!="SI",Inicial!#REF!,"N/A")</f>
        <v>#REF!</v>
      </c>
      <c r="K36" s="6"/>
      <c r="L36" s="6"/>
      <c r="M36" s="6"/>
      <c r="N36" s="6"/>
      <c r="O36" s="6"/>
      <c r="P36" s="100"/>
      <c r="Q36" s="96"/>
      <c r="R36" s="6"/>
      <c r="S36" s="6"/>
      <c r="T36" s="6"/>
      <c r="U36" s="6"/>
      <c r="V36" s="6"/>
      <c r="W36" s="97"/>
      <c r="X36" s="96"/>
      <c r="Y36" s="6"/>
      <c r="Z36" s="6"/>
      <c r="AA36" s="6"/>
      <c r="AB36" s="6"/>
      <c r="AC36" s="97"/>
      <c r="AD36" s="105" t="str">
        <f t="shared" si="0"/>
        <v>Aceptable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47" t="str" cm="1">
        <f t="array" ref="AV36">IF(OR(AE36:AU36="SI"),"Critico","No critico")</f>
        <v>No critico</v>
      </c>
    </row>
    <row r="37" spans="1:48">
      <c r="A37" s="63" t="e">
        <f>Inicial!#REF!</f>
        <v>#REF!</v>
      </c>
      <c r="B37" s="64" t="e">
        <f>Inicial!#REF!</f>
        <v>#REF!</v>
      </c>
      <c r="C37" s="64" t="e">
        <f>Inicial!#REF!</f>
        <v>#REF!</v>
      </c>
      <c r="D37" s="65" t="e">
        <f>Inicial!#REF!</f>
        <v>#REF!</v>
      </c>
      <c r="E37" s="63" t="e">
        <f>IF(Inicial!#REF!="SI",Inicial!#REF!,"N/A")</f>
        <v>#REF!</v>
      </c>
      <c r="F37" s="64" t="e">
        <f>IF(Inicial!#REF!="SI",Inicial!#REF!,"N/A")</f>
        <v>#REF!</v>
      </c>
      <c r="G37" s="64" t="e">
        <f>IF(Inicial!#REF!="SI",Inicial!#REF!,"N/A")</f>
        <v>#REF!</v>
      </c>
      <c r="H37" s="64" t="e">
        <f>IF(Inicial!#REF!="SI",Inicial!#REF!,"N/A")</f>
        <v>#REF!</v>
      </c>
      <c r="I37" s="75" t="e">
        <f>IF(Inicial!#REF!="SI",Inicial!#REF!,"N/A")</f>
        <v>#REF!</v>
      </c>
      <c r="K37" s="6"/>
      <c r="L37" s="6"/>
      <c r="M37" s="6"/>
      <c r="N37" s="6"/>
      <c r="O37" s="6"/>
      <c r="P37" s="100"/>
      <c r="Q37" s="96"/>
      <c r="R37" s="6"/>
      <c r="S37" s="6"/>
      <c r="T37" s="6"/>
      <c r="U37" s="6"/>
      <c r="V37" s="6"/>
      <c r="W37" s="97"/>
      <c r="X37" s="96"/>
      <c r="Y37" s="6"/>
      <c r="Z37" s="6"/>
      <c r="AA37" s="6"/>
      <c r="AB37" s="6"/>
      <c r="AC37" s="97"/>
      <c r="AD37" s="105" t="str">
        <f t="shared" si="0"/>
        <v>Aceptable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47" t="str" cm="1">
        <f t="array" ref="AV37">IF(OR(AE37:AU37="SI"),"Critico","No critico")</f>
        <v>No critico</v>
      </c>
    </row>
    <row r="38" spans="1:48">
      <c r="A38" s="63" t="e">
        <f>Inicial!#REF!</f>
        <v>#REF!</v>
      </c>
      <c r="B38" s="64" t="e">
        <f>Inicial!#REF!</f>
        <v>#REF!</v>
      </c>
      <c r="C38" s="64" t="e">
        <f>Inicial!#REF!</f>
        <v>#REF!</v>
      </c>
      <c r="D38" s="65" t="e">
        <f>Inicial!#REF!</f>
        <v>#REF!</v>
      </c>
      <c r="E38" s="63" t="e">
        <f>IF(Inicial!#REF!="SI",Inicial!#REF!,"N/A")</f>
        <v>#REF!</v>
      </c>
      <c r="F38" s="64" t="e">
        <f>IF(Inicial!#REF!="SI",Inicial!#REF!,"N/A")</f>
        <v>#REF!</v>
      </c>
      <c r="G38" s="64" t="e">
        <f>IF(Inicial!#REF!="SI",Inicial!#REF!,"N/A")</f>
        <v>#REF!</v>
      </c>
      <c r="H38" s="64" t="e">
        <f>IF(Inicial!#REF!="SI",Inicial!#REF!,"N/A")</f>
        <v>#REF!</v>
      </c>
      <c r="I38" s="75" t="e">
        <f>IF(Inicial!#REF!="SI",Inicial!#REF!,"N/A")</f>
        <v>#REF!</v>
      </c>
      <c r="K38" s="6"/>
      <c r="L38" s="6"/>
      <c r="M38" s="6"/>
      <c r="N38" s="6"/>
      <c r="O38" s="6"/>
      <c r="P38" s="100"/>
      <c r="Q38" s="96"/>
      <c r="R38" s="6"/>
      <c r="S38" s="6"/>
      <c r="T38" s="6"/>
      <c r="U38" s="6"/>
      <c r="V38" s="6"/>
      <c r="W38" s="97"/>
      <c r="X38" s="96"/>
      <c r="Y38" s="6"/>
      <c r="Z38" s="6"/>
      <c r="AA38" s="6"/>
      <c r="AB38" s="6"/>
      <c r="AC38" s="97"/>
      <c r="AD38" s="105" t="str">
        <f t="shared" si="0"/>
        <v>Aceptable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47" t="str" cm="1">
        <f t="array" ref="AV38">IF(OR(AE38:AU38="SI"),"Critico","No critico")</f>
        <v>No critico</v>
      </c>
    </row>
    <row r="39" spans="1:48">
      <c r="A39" s="63" t="e">
        <f>Inicial!#REF!</f>
        <v>#REF!</v>
      </c>
      <c r="B39" s="64" t="e">
        <f>Inicial!#REF!</f>
        <v>#REF!</v>
      </c>
      <c r="C39" s="64" t="e">
        <f>Inicial!#REF!</f>
        <v>#REF!</v>
      </c>
      <c r="D39" s="65" t="e">
        <f>Inicial!#REF!</f>
        <v>#REF!</v>
      </c>
      <c r="E39" s="63" t="e">
        <f>IF(Inicial!#REF!="SI",Inicial!#REF!,"N/A")</f>
        <v>#REF!</v>
      </c>
      <c r="F39" s="64" t="e">
        <f>IF(Inicial!#REF!="SI",Inicial!#REF!,"N/A")</f>
        <v>#REF!</v>
      </c>
      <c r="G39" s="64" t="e">
        <f>IF(Inicial!#REF!="SI",Inicial!#REF!,"N/A")</f>
        <v>#REF!</v>
      </c>
      <c r="H39" s="64" t="e">
        <f>IF(Inicial!#REF!="SI",Inicial!#REF!,"N/A")</f>
        <v>#REF!</v>
      </c>
      <c r="I39" s="75" t="e">
        <f>IF(Inicial!#REF!="SI",Inicial!#REF!,"N/A")</f>
        <v>#REF!</v>
      </c>
      <c r="K39" s="6"/>
      <c r="L39" s="6"/>
      <c r="M39" s="6"/>
      <c r="N39" s="6"/>
      <c r="O39" s="6"/>
      <c r="P39" s="100"/>
      <c r="Q39" s="96"/>
      <c r="R39" s="6"/>
      <c r="S39" s="6"/>
      <c r="T39" s="6"/>
      <c r="U39" s="6"/>
      <c r="V39" s="6"/>
      <c r="W39" s="97"/>
      <c r="X39" s="96"/>
      <c r="Y39" s="6"/>
      <c r="Z39" s="6"/>
      <c r="AA39" s="6"/>
      <c r="AB39" s="6"/>
      <c r="AC39" s="97"/>
      <c r="AD39" s="105" t="str">
        <f t="shared" si="0"/>
        <v>Aceptable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47" t="str" cm="1">
        <f t="array" ref="AV39">IF(OR(AE39:AU39="SI"),"Critico","No critico")</f>
        <v>No critico</v>
      </c>
    </row>
    <row r="40" spans="1:48">
      <c r="A40" s="63" t="e">
        <f>Inicial!#REF!</f>
        <v>#REF!</v>
      </c>
      <c r="B40" s="64" t="e">
        <f>Inicial!#REF!</f>
        <v>#REF!</v>
      </c>
      <c r="C40" s="64" t="e">
        <f>Inicial!#REF!</f>
        <v>#REF!</v>
      </c>
      <c r="D40" s="65" t="e">
        <f>Inicial!#REF!</f>
        <v>#REF!</v>
      </c>
      <c r="E40" s="63" t="e">
        <f>IF(Inicial!#REF!="SI",Inicial!#REF!,"N/A")</f>
        <v>#REF!</v>
      </c>
      <c r="F40" s="64" t="e">
        <f>IF(Inicial!#REF!="SI",Inicial!#REF!,"N/A")</f>
        <v>#REF!</v>
      </c>
      <c r="G40" s="64" t="e">
        <f>IF(Inicial!#REF!="SI",Inicial!#REF!,"N/A")</f>
        <v>#REF!</v>
      </c>
      <c r="H40" s="64" t="e">
        <f>IF(Inicial!#REF!="SI",Inicial!#REF!,"N/A")</f>
        <v>#REF!</v>
      </c>
      <c r="I40" s="75" t="e">
        <f>IF(Inicial!#REF!="SI",Inicial!#REF!,"N/A")</f>
        <v>#REF!</v>
      </c>
      <c r="K40" s="6"/>
      <c r="L40" s="6"/>
      <c r="M40" s="6"/>
      <c r="N40" s="6"/>
      <c r="O40" s="6"/>
      <c r="P40" s="100"/>
      <c r="Q40" s="96"/>
      <c r="R40" s="6"/>
      <c r="S40" s="6"/>
      <c r="T40" s="6"/>
      <c r="U40" s="6"/>
      <c r="V40" s="6"/>
      <c r="W40" s="97"/>
      <c r="X40" s="96"/>
      <c r="Y40" s="6"/>
      <c r="Z40" s="6"/>
      <c r="AA40" s="6"/>
      <c r="AB40" s="6"/>
      <c r="AC40" s="97"/>
      <c r="AD40" s="105" t="str">
        <f t="shared" si="0"/>
        <v>Aceptable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47" t="str" cm="1">
        <f t="array" ref="AV40">IF(OR(AE40:AU40="SI"),"Critico","No critico")</f>
        <v>No critico</v>
      </c>
    </row>
    <row r="41" spans="1:48">
      <c r="A41" s="63" t="e">
        <f>Inicial!#REF!</f>
        <v>#REF!</v>
      </c>
      <c r="B41" s="64" t="e">
        <f>Inicial!#REF!</f>
        <v>#REF!</v>
      </c>
      <c r="C41" s="64" t="e">
        <f>Inicial!#REF!</f>
        <v>#REF!</v>
      </c>
      <c r="D41" s="65" t="e">
        <f>Inicial!#REF!</f>
        <v>#REF!</v>
      </c>
      <c r="E41" s="63" t="e">
        <f>IF(Inicial!#REF!="SI",Inicial!#REF!,"N/A")</f>
        <v>#REF!</v>
      </c>
      <c r="F41" s="64" t="e">
        <f>IF(Inicial!#REF!="SI",Inicial!#REF!,"N/A")</f>
        <v>#REF!</v>
      </c>
      <c r="G41" s="64" t="e">
        <f>IF(Inicial!#REF!="SI",Inicial!#REF!,"N/A")</f>
        <v>#REF!</v>
      </c>
      <c r="H41" s="64" t="e">
        <f>IF(Inicial!#REF!="SI",Inicial!#REF!,"N/A")</f>
        <v>#REF!</v>
      </c>
      <c r="I41" s="75" t="e">
        <f>IF(Inicial!#REF!="SI",Inicial!#REF!,"N/A")</f>
        <v>#REF!</v>
      </c>
      <c r="K41" s="6"/>
      <c r="L41" s="6"/>
      <c r="M41" s="6"/>
      <c r="N41" s="6"/>
      <c r="O41" s="6"/>
      <c r="P41" s="100"/>
      <c r="Q41" s="96"/>
      <c r="R41" s="6"/>
      <c r="S41" s="6"/>
      <c r="T41" s="6"/>
      <c r="U41" s="6"/>
      <c r="V41" s="6"/>
      <c r="W41" s="97"/>
      <c r="X41" s="96"/>
      <c r="Y41" s="6"/>
      <c r="Z41" s="6"/>
      <c r="AA41" s="6"/>
      <c r="AB41" s="6"/>
      <c r="AC41" s="97"/>
      <c r="AD41" s="105" t="str">
        <f t="shared" si="0"/>
        <v>Aceptable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47" t="str" cm="1">
        <f t="array" ref="AV41">IF(OR(AE41:AU41="SI"),"Critico","No critico")</f>
        <v>No critico</v>
      </c>
    </row>
    <row r="42" spans="1:48">
      <c r="A42" s="63" t="e">
        <f>Inicial!#REF!</f>
        <v>#REF!</v>
      </c>
      <c r="B42" s="64" t="e">
        <f>Inicial!#REF!</f>
        <v>#REF!</v>
      </c>
      <c r="C42" s="64" t="e">
        <f>Inicial!#REF!</f>
        <v>#REF!</v>
      </c>
      <c r="D42" s="65" t="e">
        <f>Inicial!#REF!</f>
        <v>#REF!</v>
      </c>
      <c r="E42" s="63" t="e">
        <f>IF(Inicial!#REF!="SI",Inicial!#REF!,"N/A")</f>
        <v>#REF!</v>
      </c>
      <c r="F42" s="64" t="e">
        <f>IF(Inicial!#REF!="SI",Inicial!#REF!,"N/A")</f>
        <v>#REF!</v>
      </c>
      <c r="G42" s="64" t="e">
        <f>IF(Inicial!#REF!="SI",Inicial!#REF!,"N/A")</f>
        <v>#REF!</v>
      </c>
      <c r="H42" s="64" t="e">
        <f>IF(Inicial!#REF!="SI",Inicial!#REF!,"N/A")</f>
        <v>#REF!</v>
      </c>
      <c r="I42" s="75" t="e">
        <f>IF(Inicial!#REF!="SI",Inicial!#REF!,"N/A")</f>
        <v>#REF!</v>
      </c>
      <c r="K42" s="6"/>
      <c r="L42" s="6"/>
      <c r="M42" s="6"/>
      <c r="N42" s="6"/>
      <c r="O42" s="6"/>
      <c r="P42" s="100"/>
      <c r="Q42" s="96"/>
      <c r="R42" s="6"/>
      <c r="S42" s="6"/>
      <c r="T42" s="6"/>
      <c r="U42" s="6"/>
      <c r="V42" s="6"/>
      <c r="W42" s="97"/>
      <c r="X42" s="96"/>
      <c r="Y42" s="6"/>
      <c r="Z42" s="6"/>
      <c r="AA42" s="6"/>
      <c r="AB42" s="6"/>
      <c r="AC42" s="97"/>
      <c r="AD42" s="105" t="str">
        <f t="shared" si="0"/>
        <v>Aceptable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47" t="str" cm="1">
        <f t="array" ref="AV42">IF(OR(AE42:AU42="SI"),"Critico","No critico")</f>
        <v>No critico</v>
      </c>
    </row>
    <row r="43" spans="1:48">
      <c r="A43" s="63" t="e">
        <f>Inicial!#REF!</f>
        <v>#REF!</v>
      </c>
      <c r="B43" s="64" t="e">
        <f>Inicial!#REF!</f>
        <v>#REF!</v>
      </c>
      <c r="C43" s="64" t="e">
        <f>Inicial!#REF!</f>
        <v>#REF!</v>
      </c>
      <c r="D43" s="65" t="e">
        <f>Inicial!#REF!</f>
        <v>#REF!</v>
      </c>
      <c r="E43" s="63" t="e">
        <f>IF(Inicial!#REF!="SI",Inicial!#REF!,"N/A")</f>
        <v>#REF!</v>
      </c>
      <c r="F43" s="64" t="e">
        <f>IF(Inicial!#REF!="SI",Inicial!#REF!,"N/A")</f>
        <v>#REF!</v>
      </c>
      <c r="G43" s="64" t="e">
        <f>IF(Inicial!#REF!="SI",Inicial!#REF!,"N/A")</f>
        <v>#REF!</v>
      </c>
      <c r="H43" s="64" t="e">
        <f>IF(Inicial!#REF!="SI",Inicial!#REF!,"N/A")</f>
        <v>#REF!</v>
      </c>
      <c r="I43" s="75" t="e">
        <f>IF(Inicial!#REF!="SI",Inicial!#REF!,"N/A")</f>
        <v>#REF!</v>
      </c>
      <c r="K43" s="6"/>
      <c r="L43" s="6"/>
      <c r="M43" s="6"/>
      <c r="N43" s="6"/>
      <c r="O43" s="6"/>
      <c r="P43" s="100"/>
      <c r="Q43" s="96"/>
      <c r="R43" s="6"/>
      <c r="S43" s="6"/>
      <c r="T43" s="6"/>
      <c r="U43" s="6"/>
      <c r="V43" s="6"/>
      <c r="W43" s="97"/>
      <c r="X43" s="96"/>
      <c r="Y43" s="6"/>
      <c r="Z43" s="6"/>
      <c r="AA43" s="6"/>
      <c r="AB43" s="6"/>
      <c r="AC43" s="97"/>
      <c r="AD43" s="105" t="str">
        <f t="shared" si="0"/>
        <v>Aceptable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47" t="str" cm="1">
        <f t="array" ref="AV43">IF(OR(AE43:AU43="SI"),"Critico","No critico")</f>
        <v>No critico</v>
      </c>
    </row>
    <row r="44" spans="1:48">
      <c r="A44" s="63" t="e">
        <f>Inicial!#REF!</f>
        <v>#REF!</v>
      </c>
      <c r="B44" s="64" t="e">
        <f>Inicial!#REF!</f>
        <v>#REF!</v>
      </c>
      <c r="C44" s="64" t="e">
        <f>Inicial!#REF!</f>
        <v>#REF!</v>
      </c>
      <c r="D44" s="65" t="e">
        <f>Inicial!#REF!</f>
        <v>#REF!</v>
      </c>
      <c r="E44" s="63" t="e">
        <f>IF(Inicial!#REF!="SI",Inicial!#REF!,"N/A")</f>
        <v>#REF!</v>
      </c>
      <c r="F44" s="64" t="e">
        <f>IF(Inicial!#REF!="SI",Inicial!#REF!,"N/A")</f>
        <v>#REF!</v>
      </c>
      <c r="G44" s="64" t="e">
        <f>IF(Inicial!#REF!="SI",Inicial!#REF!,"N/A")</f>
        <v>#REF!</v>
      </c>
      <c r="H44" s="64" t="e">
        <f>IF(Inicial!#REF!="SI",Inicial!#REF!,"N/A")</f>
        <v>#REF!</v>
      </c>
      <c r="I44" s="75" t="e">
        <f>IF(Inicial!#REF!="SI",Inicial!#REF!,"N/A")</f>
        <v>#REF!</v>
      </c>
      <c r="K44" s="6"/>
      <c r="L44" s="6"/>
      <c r="M44" s="6"/>
      <c r="N44" s="6"/>
      <c r="O44" s="6"/>
      <c r="P44" s="100"/>
      <c r="Q44" s="96"/>
      <c r="R44" s="6"/>
      <c r="S44" s="6"/>
      <c r="T44" s="6"/>
      <c r="U44" s="6"/>
      <c r="V44" s="6"/>
      <c r="W44" s="97"/>
      <c r="X44" s="96"/>
      <c r="Y44" s="6"/>
      <c r="Z44" s="6"/>
      <c r="AA44" s="6"/>
      <c r="AB44" s="6"/>
      <c r="AC44" s="97"/>
      <c r="AD44" s="105" t="str">
        <f t="shared" si="0"/>
        <v>Aceptable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47" t="str" cm="1">
        <f t="array" ref="AV44">IF(OR(AE44:AU44="SI"),"Critico","No critico")</f>
        <v>No critico</v>
      </c>
    </row>
    <row r="45" spans="1:48">
      <c r="A45" s="63" t="e">
        <f>Inicial!#REF!</f>
        <v>#REF!</v>
      </c>
      <c r="B45" s="64" t="e">
        <f>Inicial!#REF!</f>
        <v>#REF!</v>
      </c>
      <c r="C45" s="64" t="e">
        <f>Inicial!#REF!</f>
        <v>#REF!</v>
      </c>
      <c r="D45" s="65" t="e">
        <f>Inicial!#REF!</f>
        <v>#REF!</v>
      </c>
      <c r="E45" s="63" t="e">
        <f>IF(Inicial!#REF!="SI",Inicial!#REF!,"N/A")</f>
        <v>#REF!</v>
      </c>
      <c r="F45" s="64" t="e">
        <f>IF(Inicial!#REF!="SI",Inicial!#REF!,"N/A")</f>
        <v>#REF!</v>
      </c>
      <c r="G45" s="64" t="e">
        <f>IF(Inicial!#REF!="SI",Inicial!#REF!,"N/A")</f>
        <v>#REF!</v>
      </c>
      <c r="H45" s="64" t="e">
        <f>IF(Inicial!#REF!="SI",Inicial!#REF!,"N/A")</f>
        <v>#REF!</v>
      </c>
      <c r="I45" s="75" t="e">
        <f>IF(Inicial!#REF!="SI",Inicial!#REF!,"N/A")</f>
        <v>#REF!</v>
      </c>
      <c r="K45" s="6"/>
      <c r="L45" s="6"/>
      <c r="M45" s="6"/>
      <c r="N45" s="6"/>
      <c r="O45" s="6"/>
      <c r="P45" s="100"/>
      <c r="Q45" s="96"/>
      <c r="R45" s="6"/>
      <c r="S45" s="6"/>
      <c r="T45" s="6"/>
      <c r="U45" s="6"/>
      <c r="V45" s="6"/>
      <c r="W45" s="97"/>
      <c r="X45" s="96"/>
      <c r="Y45" s="6"/>
      <c r="Z45" s="6"/>
      <c r="AA45" s="6"/>
      <c r="AB45" s="6"/>
      <c r="AC45" s="97"/>
      <c r="AD45" s="105" t="str">
        <f t="shared" si="0"/>
        <v>Aceptable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47" t="str" cm="1">
        <f t="array" ref="AV45">IF(OR(AE45:AU45="SI"),"Critico","No critico")</f>
        <v>No critico</v>
      </c>
    </row>
    <row r="46" spans="1:48">
      <c r="A46" s="63" t="e">
        <f>Inicial!#REF!</f>
        <v>#REF!</v>
      </c>
      <c r="B46" s="64" t="e">
        <f>Inicial!#REF!</f>
        <v>#REF!</v>
      </c>
      <c r="C46" s="64" t="e">
        <f>Inicial!#REF!</f>
        <v>#REF!</v>
      </c>
      <c r="D46" s="65" t="e">
        <f>Inicial!#REF!</f>
        <v>#REF!</v>
      </c>
      <c r="E46" s="63" t="e">
        <f>IF(Inicial!#REF!="SI",Inicial!#REF!,"N/A")</f>
        <v>#REF!</v>
      </c>
      <c r="F46" s="64" t="e">
        <f>IF(Inicial!#REF!="SI",Inicial!#REF!,"N/A")</f>
        <v>#REF!</v>
      </c>
      <c r="G46" s="64" t="e">
        <f>IF(Inicial!#REF!="SI",Inicial!#REF!,"N/A")</f>
        <v>#REF!</v>
      </c>
      <c r="H46" s="64" t="e">
        <f>IF(Inicial!#REF!="SI",Inicial!#REF!,"N/A")</f>
        <v>#REF!</v>
      </c>
      <c r="I46" s="75" t="e">
        <f>IF(Inicial!#REF!="SI",Inicial!#REF!,"N/A")</f>
        <v>#REF!</v>
      </c>
      <c r="K46" s="6"/>
      <c r="L46" s="6"/>
      <c r="M46" s="6"/>
      <c r="N46" s="6"/>
      <c r="O46" s="6"/>
      <c r="P46" s="100"/>
      <c r="Q46" s="96"/>
      <c r="R46" s="6"/>
      <c r="S46" s="6"/>
      <c r="T46" s="6"/>
      <c r="U46" s="6"/>
      <c r="V46" s="6"/>
      <c r="W46" s="97"/>
      <c r="X46" s="96"/>
      <c r="Y46" s="6"/>
      <c r="Z46" s="6"/>
      <c r="AA46" s="6"/>
      <c r="AB46" s="6"/>
      <c r="AC46" s="97"/>
      <c r="AD46" s="105" t="str">
        <f t="shared" si="0"/>
        <v>Aceptable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47" t="str" cm="1">
        <f t="array" ref="AV46">IF(OR(AE46:AU46="SI"),"Critico","No critico")</f>
        <v>No critico</v>
      </c>
    </row>
    <row r="47" spans="1:48">
      <c r="A47" s="63" t="e">
        <f>Inicial!#REF!</f>
        <v>#REF!</v>
      </c>
      <c r="B47" s="64" t="e">
        <f>Inicial!#REF!</f>
        <v>#REF!</v>
      </c>
      <c r="C47" s="64" t="e">
        <f>Inicial!#REF!</f>
        <v>#REF!</v>
      </c>
      <c r="D47" s="65" t="e">
        <f>Inicial!#REF!</f>
        <v>#REF!</v>
      </c>
      <c r="E47" s="63" t="e">
        <f>IF(Inicial!#REF!="SI",Inicial!#REF!,"N/A")</f>
        <v>#REF!</v>
      </c>
      <c r="F47" s="64" t="e">
        <f>IF(Inicial!#REF!="SI",Inicial!#REF!,"N/A")</f>
        <v>#REF!</v>
      </c>
      <c r="G47" s="64" t="e">
        <f>IF(Inicial!#REF!="SI",Inicial!#REF!,"N/A")</f>
        <v>#REF!</v>
      </c>
      <c r="H47" s="64" t="e">
        <f>IF(Inicial!#REF!="SI",Inicial!#REF!,"N/A")</f>
        <v>#REF!</v>
      </c>
      <c r="I47" s="75" t="e">
        <f>IF(Inicial!#REF!="SI",Inicial!#REF!,"N/A")</f>
        <v>#REF!</v>
      </c>
      <c r="K47" s="6"/>
      <c r="L47" s="6"/>
      <c r="M47" s="6"/>
      <c r="N47" s="6"/>
      <c r="O47" s="6"/>
      <c r="P47" s="100"/>
      <c r="Q47" s="96"/>
      <c r="R47" s="6"/>
      <c r="S47" s="6"/>
      <c r="T47" s="6"/>
      <c r="U47" s="6"/>
      <c r="V47" s="6"/>
      <c r="W47" s="97"/>
      <c r="X47" s="96"/>
      <c r="Y47" s="6"/>
      <c r="Z47" s="6"/>
      <c r="AA47" s="6"/>
      <c r="AB47" s="6"/>
      <c r="AC47" s="97"/>
      <c r="AD47" s="105" t="str">
        <f t="shared" si="0"/>
        <v>Aceptable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47" t="str" cm="1">
        <f t="array" ref="AV47">IF(OR(AE47:AU47="SI"),"Critico","No critico")</f>
        <v>No critico</v>
      </c>
    </row>
    <row r="48" spans="1:48">
      <c r="A48" s="63">
        <f>Inicial!A10</f>
        <v>0</v>
      </c>
      <c r="B48" s="64">
        <f>Inicial!B10</f>
        <v>0</v>
      </c>
      <c r="C48" s="64">
        <f>Inicial!C10</f>
        <v>0</v>
      </c>
      <c r="D48" s="65">
        <f>Inicial!D10</f>
        <v>0</v>
      </c>
      <c r="E48" s="63" t="str">
        <f>IF(Inicial!K10="SI",Inicial!E10,"N/A")</f>
        <v>N/A</v>
      </c>
      <c r="F48" s="64" t="str">
        <f>IF(Inicial!K10="SI",Inicial!F10,"N/A")</f>
        <v>N/A</v>
      </c>
      <c r="G48" s="64" t="str">
        <f>IF(Inicial!K10="SI",Inicial!G10,"N/A")</f>
        <v>N/A</v>
      </c>
      <c r="H48" s="64" t="str">
        <f>IF(Inicial!K10="SI",Inicial!H10,"N/A")</f>
        <v>N/A</v>
      </c>
      <c r="I48" s="75" t="str">
        <f>IF(Inicial!K10="SI",Inicial!I10,"N/A")</f>
        <v>N/A</v>
      </c>
      <c r="K48" s="6"/>
      <c r="L48" s="6"/>
      <c r="M48" s="6"/>
      <c r="N48" s="6"/>
      <c r="O48" s="6"/>
      <c r="P48" s="100"/>
      <c r="Q48" s="96"/>
      <c r="R48" s="6"/>
      <c r="S48" s="6"/>
      <c r="T48" s="6"/>
      <c r="U48" s="6"/>
      <c r="V48" s="6"/>
      <c r="W48" s="97"/>
      <c r="X48" s="96"/>
      <c r="Y48" s="6"/>
      <c r="Z48" s="6"/>
      <c r="AA48" s="6"/>
      <c r="AB48" s="6"/>
      <c r="AC48" s="97"/>
      <c r="AD48" s="105" t="str">
        <f t="shared" si="0"/>
        <v>Aceptable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47" t="str" cm="1">
        <f t="array" ref="AV48">IF(OR(AE48:AU48="SI"),"Critico","No critico")</f>
        <v>No critico</v>
      </c>
    </row>
    <row r="49" spans="1:48">
      <c r="A49" s="63">
        <f>Inicial!A11</f>
        <v>0</v>
      </c>
      <c r="B49" s="64">
        <f>Inicial!B11</f>
        <v>0</v>
      </c>
      <c r="C49" s="64">
        <f>Inicial!C11</f>
        <v>0</v>
      </c>
      <c r="D49" s="65">
        <f>Inicial!D11</f>
        <v>0</v>
      </c>
      <c r="E49" s="63" t="str">
        <f>IF(Inicial!K11="SI",Inicial!E11,"N/A")</f>
        <v>N/A</v>
      </c>
      <c r="F49" s="64" t="str">
        <f>IF(Inicial!K11="SI",Inicial!F11,"N/A")</f>
        <v>N/A</v>
      </c>
      <c r="G49" s="64" t="str">
        <f>IF(Inicial!K11="SI",Inicial!G11,"N/A")</f>
        <v>N/A</v>
      </c>
      <c r="H49" s="64" t="str">
        <f>IF(Inicial!K11="SI",Inicial!H11,"N/A")</f>
        <v>N/A</v>
      </c>
      <c r="I49" s="75" t="str">
        <f>IF(Inicial!K11="SI",Inicial!I11,"N/A")</f>
        <v>N/A</v>
      </c>
      <c r="K49" s="6"/>
      <c r="L49" s="6"/>
      <c r="M49" s="6"/>
      <c r="N49" s="6"/>
      <c r="O49" s="6"/>
      <c r="P49" s="100"/>
      <c r="Q49" s="96"/>
      <c r="R49" s="6"/>
      <c r="S49" s="6"/>
      <c r="T49" s="6"/>
      <c r="U49" s="6"/>
      <c r="V49" s="6"/>
      <c r="W49" s="97"/>
      <c r="X49" s="96"/>
      <c r="Y49" s="6"/>
      <c r="Z49" s="6"/>
      <c r="AA49" s="6"/>
      <c r="AB49" s="6"/>
      <c r="AC49" s="97"/>
      <c r="AD49" s="105" t="str">
        <f t="shared" si="0"/>
        <v>Aceptable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47" t="str" cm="1">
        <f t="array" ref="AV49">IF(OR(AE49:AU49="SI"),"Critico","No critico")</f>
        <v>No critico</v>
      </c>
    </row>
    <row r="50" spans="1:48">
      <c r="A50" s="63">
        <f>Inicial!A12</f>
        <v>0</v>
      </c>
      <c r="B50" s="64">
        <f>Inicial!B12</f>
        <v>0</v>
      </c>
      <c r="C50" s="64">
        <f>Inicial!C12</f>
        <v>0</v>
      </c>
      <c r="D50" s="65">
        <f>Inicial!D12</f>
        <v>0</v>
      </c>
      <c r="E50" s="63" t="str">
        <f>IF(Inicial!K12="SI",Inicial!E12,"N/A")</f>
        <v>N/A</v>
      </c>
      <c r="F50" s="64" t="str">
        <f>IF(Inicial!K12="SI",Inicial!F12,"N/A")</f>
        <v>N/A</v>
      </c>
      <c r="G50" s="64" t="str">
        <f>IF(Inicial!K12="SI",Inicial!G12,"N/A")</f>
        <v>N/A</v>
      </c>
      <c r="H50" s="64" t="str">
        <f>IF(Inicial!K12="SI",Inicial!H12,"N/A")</f>
        <v>N/A</v>
      </c>
      <c r="I50" s="75" t="str">
        <f>IF(Inicial!K12="SI",Inicial!I12,"N/A")</f>
        <v>N/A</v>
      </c>
      <c r="K50" s="6"/>
      <c r="L50" s="6"/>
      <c r="M50" s="6"/>
      <c r="N50" s="6"/>
      <c r="O50" s="6"/>
      <c r="P50" s="100"/>
      <c r="Q50" s="96"/>
      <c r="R50" s="6"/>
      <c r="S50" s="6"/>
      <c r="T50" s="6"/>
      <c r="U50" s="6"/>
      <c r="V50" s="6"/>
      <c r="W50" s="97"/>
      <c r="X50" s="96"/>
      <c r="Y50" s="6"/>
      <c r="Z50" s="6"/>
      <c r="AA50" s="6"/>
      <c r="AB50" s="6"/>
      <c r="AC50" s="97"/>
      <c r="AD50" s="105" t="str">
        <f t="shared" si="0"/>
        <v>Aceptable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47" t="str" cm="1">
        <f t="array" ref="AV50">IF(OR(AE50:AU50="SI"),"Critico","No critico")</f>
        <v>No critico</v>
      </c>
    </row>
    <row r="51" spans="1:48">
      <c r="A51" s="63">
        <f>Inicial!A13</f>
        <v>0</v>
      </c>
      <c r="B51" s="64">
        <f>Inicial!B13</f>
        <v>0</v>
      </c>
      <c r="C51" s="64">
        <f>Inicial!C13</f>
        <v>0</v>
      </c>
      <c r="D51" s="65">
        <f>Inicial!D13</f>
        <v>0</v>
      </c>
      <c r="E51" s="63" t="str">
        <f>IF(Inicial!K13="SI",Inicial!E13,"N/A")</f>
        <v>N/A</v>
      </c>
      <c r="F51" s="64" t="str">
        <f>IF(Inicial!K13="SI",Inicial!F13,"N/A")</f>
        <v>N/A</v>
      </c>
      <c r="G51" s="64" t="str">
        <f>IF(Inicial!K13="SI",Inicial!G13,"N/A")</f>
        <v>N/A</v>
      </c>
      <c r="H51" s="64" t="str">
        <f>IF(Inicial!K13="SI",Inicial!H13,"N/A")</f>
        <v>N/A</v>
      </c>
      <c r="I51" s="75" t="str">
        <f>IF(Inicial!K13="SI",Inicial!I13,"N/A")</f>
        <v>N/A</v>
      </c>
      <c r="K51" s="6"/>
      <c r="L51" s="6"/>
      <c r="M51" s="6"/>
      <c r="N51" s="6"/>
      <c r="O51" s="6"/>
      <c r="P51" s="100"/>
      <c r="Q51" s="96"/>
      <c r="R51" s="6"/>
      <c r="S51" s="6"/>
      <c r="T51" s="6"/>
      <c r="U51" s="6"/>
      <c r="V51" s="6"/>
      <c r="W51" s="97"/>
      <c r="X51" s="96"/>
      <c r="Y51" s="6"/>
      <c r="Z51" s="6"/>
      <c r="AA51" s="6"/>
      <c r="AB51" s="6"/>
      <c r="AC51" s="97"/>
      <c r="AD51" s="105" t="str">
        <f t="shared" si="0"/>
        <v>Aceptable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47" t="str" cm="1">
        <f t="array" ref="AV51">IF(OR(AE51:AU51="SI"),"Critico","No critico")</f>
        <v>No critico</v>
      </c>
    </row>
    <row r="52" spans="1:48">
      <c r="A52" s="63">
        <f>Inicial!A14</f>
        <v>0</v>
      </c>
      <c r="B52" s="64">
        <f>Inicial!B14</f>
        <v>0</v>
      </c>
      <c r="C52" s="64">
        <f>Inicial!C14</f>
        <v>0</v>
      </c>
      <c r="D52" s="65">
        <f>Inicial!D14</f>
        <v>0</v>
      </c>
      <c r="E52" s="63" t="str">
        <f>IF(Inicial!K14="SI",Inicial!E14,"N/A")</f>
        <v>N/A</v>
      </c>
      <c r="F52" s="64" t="str">
        <f>IF(Inicial!K14="SI",Inicial!F14,"N/A")</f>
        <v>N/A</v>
      </c>
      <c r="G52" s="64" t="str">
        <f>IF(Inicial!K14="SI",Inicial!G14,"N/A")</f>
        <v>N/A</v>
      </c>
      <c r="H52" s="64" t="str">
        <f>IF(Inicial!K14="SI",Inicial!H14,"N/A")</f>
        <v>N/A</v>
      </c>
      <c r="I52" s="75" t="str">
        <f>IF(Inicial!K14="SI",Inicial!I14,"N/A")</f>
        <v>N/A</v>
      </c>
      <c r="K52" s="6"/>
      <c r="L52" s="6"/>
      <c r="M52" s="6"/>
      <c r="N52" s="6"/>
      <c r="O52" s="6"/>
      <c r="P52" s="100"/>
      <c r="Q52" s="96"/>
      <c r="R52" s="6"/>
      <c r="S52" s="6"/>
      <c r="T52" s="6"/>
      <c r="U52" s="6"/>
      <c r="V52" s="6"/>
      <c r="W52" s="97"/>
      <c r="X52" s="96"/>
      <c r="Y52" s="6"/>
      <c r="Z52" s="6"/>
      <c r="AA52" s="6"/>
      <c r="AB52" s="6"/>
      <c r="AC52" s="97"/>
      <c r="AD52" s="105" t="str">
        <f t="shared" si="0"/>
        <v>Aceptable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47" t="str" cm="1">
        <f t="array" ref="AV52">IF(OR(AE52:AU52="SI"),"Critico","No critico")</f>
        <v>No critico</v>
      </c>
    </row>
    <row r="53" spans="1:48">
      <c r="A53" s="63">
        <f>Inicial!A15</f>
        <v>0</v>
      </c>
      <c r="B53" s="64">
        <f>Inicial!B15</f>
        <v>0</v>
      </c>
      <c r="C53" s="64">
        <f>Inicial!C15</f>
        <v>0</v>
      </c>
      <c r="D53" s="65">
        <f>Inicial!D15</f>
        <v>0</v>
      </c>
      <c r="E53" s="63" t="str">
        <f>IF(Inicial!K15="SI",Inicial!E15,"N/A")</f>
        <v>N/A</v>
      </c>
      <c r="F53" s="64" t="str">
        <f>IF(Inicial!K15="SI",Inicial!F15,"N/A")</f>
        <v>N/A</v>
      </c>
      <c r="G53" s="64" t="str">
        <f>IF(Inicial!K15="SI",Inicial!G15,"N/A")</f>
        <v>N/A</v>
      </c>
      <c r="H53" s="64" t="str">
        <f>IF(Inicial!K15="SI",Inicial!H15,"N/A")</f>
        <v>N/A</v>
      </c>
      <c r="I53" s="75" t="str">
        <f>IF(Inicial!K15="SI",Inicial!I15,"N/A")</f>
        <v>N/A</v>
      </c>
      <c r="K53" s="6"/>
      <c r="L53" s="6"/>
      <c r="M53" s="6"/>
      <c r="N53" s="6"/>
      <c r="O53" s="6"/>
      <c r="P53" s="100"/>
      <c r="Q53" s="96"/>
      <c r="R53" s="6"/>
      <c r="S53" s="6"/>
      <c r="T53" s="6"/>
      <c r="U53" s="6"/>
      <c r="V53" s="6"/>
      <c r="W53" s="97"/>
      <c r="X53" s="96"/>
      <c r="Y53" s="6"/>
      <c r="Z53" s="6"/>
      <c r="AA53" s="6"/>
      <c r="AB53" s="6"/>
      <c r="AC53" s="97"/>
      <c r="AD53" s="105" t="str">
        <f t="shared" si="0"/>
        <v>Aceptable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47" t="str" cm="1">
        <f t="array" ref="AV53">IF(OR(AE53:AU53="SI"),"Critico","No critico")</f>
        <v>No critico</v>
      </c>
    </row>
    <row r="54" spans="1:48">
      <c r="A54" s="63">
        <f>Inicial!A16</f>
        <v>0</v>
      </c>
      <c r="B54" s="64">
        <f>Inicial!B16</f>
        <v>0</v>
      </c>
      <c r="C54" s="64">
        <f>Inicial!C16</f>
        <v>0</v>
      </c>
      <c r="D54" s="65">
        <f>Inicial!D16</f>
        <v>0</v>
      </c>
      <c r="E54" s="63" t="str">
        <f>IF(Inicial!K16="SI",Inicial!E16,"N/A")</f>
        <v>N/A</v>
      </c>
      <c r="F54" s="64" t="str">
        <f>IF(Inicial!K16="SI",Inicial!F16,"N/A")</f>
        <v>N/A</v>
      </c>
      <c r="G54" s="64" t="str">
        <f>IF(Inicial!K16="SI",Inicial!G16,"N/A")</f>
        <v>N/A</v>
      </c>
      <c r="H54" s="64" t="str">
        <f>IF(Inicial!K16="SI",Inicial!H16,"N/A")</f>
        <v>N/A</v>
      </c>
      <c r="I54" s="75" t="str">
        <f>IF(Inicial!K16="SI",Inicial!I16,"N/A")</f>
        <v>N/A</v>
      </c>
      <c r="K54" s="6"/>
      <c r="L54" s="6"/>
      <c r="M54" s="6"/>
      <c r="N54" s="6"/>
      <c r="O54" s="6"/>
      <c r="P54" s="100"/>
      <c r="Q54" s="96"/>
      <c r="R54" s="6"/>
      <c r="S54" s="6"/>
      <c r="T54" s="6"/>
      <c r="U54" s="6"/>
      <c r="V54" s="6"/>
      <c r="W54" s="97"/>
      <c r="X54" s="96"/>
      <c r="Y54" s="6"/>
      <c r="Z54" s="6"/>
      <c r="AA54" s="6"/>
      <c r="AB54" s="6"/>
      <c r="AC54" s="97"/>
      <c r="AD54" s="105" t="str">
        <f t="shared" si="0"/>
        <v>Aceptable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47" t="str" cm="1">
        <f t="array" ref="AV54">IF(OR(AE54:AU54="SI"),"Critico","No critico")</f>
        <v>No critico</v>
      </c>
    </row>
    <row r="55" spans="1:48">
      <c r="A55" s="63">
        <f>Inicial!A17</f>
        <v>0</v>
      </c>
      <c r="B55" s="64">
        <f>Inicial!B17</f>
        <v>0</v>
      </c>
      <c r="C55" s="64">
        <f>Inicial!C17</f>
        <v>0</v>
      </c>
      <c r="D55" s="65">
        <f>Inicial!D17</f>
        <v>0</v>
      </c>
      <c r="E55" s="63" t="str">
        <f>IF(Inicial!K17="SI",Inicial!E17,"N/A")</f>
        <v>N/A</v>
      </c>
      <c r="F55" s="64" t="str">
        <f>IF(Inicial!K17="SI",Inicial!F17,"N/A")</f>
        <v>N/A</v>
      </c>
      <c r="G55" s="64" t="str">
        <f>IF(Inicial!K17="SI",Inicial!G17,"N/A")</f>
        <v>N/A</v>
      </c>
      <c r="H55" s="64" t="str">
        <f>IF(Inicial!K17="SI",Inicial!H17,"N/A")</f>
        <v>N/A</v>
      </c>
      <c r="I55" s="75" t="str">
        <f>IF(Inicial!K17="SI",Inicial!I17,"N/A")</f>
        <v>N/A</v>
      </c>
      <c r="K55" s="6"/>
      <c r="L55" s="6"/>
      <c r="M55" s="6"/>
      <c r="N55" s="6"/>
      <c r="O55" s="6"/>
      <c r="P55" s="100"/>
      <c r="Q55" s="96"/>
      <c r="R55" s="6"/>
      <c r="S55" s="6"/>
      <c r="T55" s="6"/>
      <c r="U55" s="6"/>
      <c r="V55" s="6"/>
      <c r="W55" s="97"/>
      <c r="X55" s="96"/>
      <c r="Y55" s="6"/>
      <c r="Z55" s="6"/>
      <c r="AA55" s="6"/>
      <c r="AB55" s="6"/>
      <c r="AC55" s="97"/>
      <c r="AD55" s="105" t="str">
        <f t="shared" si="0"/>
        <v>Aceptable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47" t="str" cm="1">
        <f t="array" ref="AV55">IF(OR(AE55:AU55="SI"),"Critico","No critico")</f>
        <v>No critico</v>
      </c>
    </row>
    <row r="56" spans="1:48">
      <c r="A56" s="63">
        <f>Inicial!A18</f>
        <v>0</v>
      </c>
      <c r="B56" s="64">
        <f>Inicial!B18</f>
        <v>0</v>
      </c>
      <c r="C56" s="64">
        <f>Inicial!C18</f>
        <v>0</v>
      </c>
      <c r="D56" s="65">
        <f>Inicial!D18</f>
        <v>0</v>
      </c>
      <c r="E56" s="63" t="str">
        <f>IF(Inicial!K18="SI",Inicial!E18,"N/A")</f>
        <v>N/A</v>
      </c>
      <c r="F56" s="64" t="str">
        <f>IF(Inicial!K18="SI",Inicial!F18,"N/A")</f>
        <v>N/A</v>
      </c>
      <c r="G56" s="64" t="str">
        <f>IF(Inicial!K18="SI",Inicial!G18,"N/A")</f>
        <v>N/A</v>
      </c>
      <c r="H56" s="64" t="str">
        <f>IF(Inicial!K18="SI",Inicial!H18,"N/A")</f>
        <v>N/A</v>
      </c>
      <c r="I56" s="75" t="str">
        <f>IF(Inicial!K18="SI",Inicial!I18,"N/A")</f>
        <v>N/A</v>
      </c>
      <c r="K56" s="6"/>
      <c r="L56" s="6"/>
      <c r="M56" s="6"/>
      <c r="N56" s="6"/>
      <c r="O56" s="6"/>
      <c r="P56" s="100"/>
      <c r="Q56" s="96"/>
      <c r="R56" s="6"/>
      <c r="S56" s="6"/>
      <c r="T56" s="6"/>
      <c r="U56" s="6"/>
      <c r="V56" s="6"/>
      <c r="W56" s="97"/>
      <c r="X56" s="96"/>
      <c r="Y56" s="6"/>
      <c r="Z56" s="6"/>
      <c r="AA56" s="6"/>
      <c r="AB56" s="6"/>
      <c r="AC56" s="97"/>
      <c r="AD56" s="105" t="str">
        <f t="shared" si="0"/>
        <v>Aceptable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47" t="str" cm="1">
        <f t="array" ref="AV56">IF(OR(AE56:AU56="SI"),"Critico","No critico")</f>
        <v>No critico</v>
      </c>
    </row>
    <row r="57" spans="1:48">
      <c r="A57" s="63">
        <f>Inicial!A19</f>
        <v>0</v>
      </c>
      <c r="B57" s="64">
        <f>Inicial!B19</f>
        <v>0</v>
      </c>
      <c r="C57" s="64">
        <f>Inicial!C19</f>
        <v>0</v>
      </c>
      <c r="D57" s="65">
        <f>Inicial!D19</f>
        <v>0</v>
      </c>
      <c r="E57" s="63" t="str">
        <f>IF(Inicial!K19="SI",Inicial!E19,"N/A")</f>
        <v>N/A</v>
      </c>
      <c r="F57" s="64" t="str">
        <f>IF(Inicial!K19="SI",Inicial!F19,"N/A")</f>
        <v>N/A</v>
      </c>
      <c r="G57" s="64" t="str">
        <f>IF(Inicial!K19="SI",Inicial!G19,"N/A")</f>
        <v>N/A</v>
      </c>
      <c r="H57" s="64" t="str">
        <f>IF(Inicial!K19="SI",Inicial!H19,"N/A")</f>
        <v>N/A</v>
      </c>
      <c r="I57" s="75" t="str">
        <f>IF(Inicial!K19="SI",Inicial!I19,"N/A")</f>
        <v>N/A</v>
      </c>
      <c r="K57" s="6"/>
      <c r="L57" s="6"/>
      <c r="M57" s="6"/>
      <c r="N57" s="6"/>
      <c r="O57" s="6"/>
      <c r="P57" s="100"/>
      <c r="Q57" s="96"/>
      <c r="R57" s="6"/>
      <c r="S57" s="6"/>
      <c r="T57" s="6"/>
      <c r="U57" s="6"/>
      <c r="V57" s="6"/>
      <c r="W57" s="97"/>
      <c r="X57" s="96"/>
      <c r="Y57" s="6"/>
      <c r="Z57" s="6"/>
      <c r="AA57" s="6"/>
      <c r="AB57" s="6"/>
      <c r="AC57" s="97"/>
      <c r="AD57" s="105" t="str">
        <f t="shared" si="0"/>
        <v>Aceptable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47" t="str" cm="1">
        <f t="array" ref="AV57">IF(OR(AE57:AU57="SI"),"Critico","No critico")</f>
        <v>No critico</v>
      </c>
    </row>
    <row r="58" spans="1:48">
      <c r="A58" s="63">
        <f>Inicial!A20</f>
        <v>0</v>
      </c>
      <c r="B58" s="64">
        <f>Inicial!B20</f>
        <v>0</v>
      </c>
      <c r="C58" s="64">
        <f>Inicial!C20</f>
        <v>0</v>
      </c>
      <c r="D58" s="65">
        <f>Inicial!D20</f>
        <v>0</v>
      </c>
      <c r="E58" s="63" t="str">
        <f>IF(Inicial!K20="SI",Inicial!E20,"N/A")</f>
        <v>N/A</v>
      </c>
      <c r="F58" s="64" t="str">
        <f>IF(Inicial!K20="SI",Inicial!F20,"N/A")</f>
        <v>N/A</v>
      </c>
      <c r="G58" s="64" t="str">
        <f>IF(Inicial!K20="SI",Inicial!G20,"N/A")</f>
        <v>N/A</v>
      </c>
      <c r="H58" s="64" t="str">
        <f>IF(Inicial!K20="SI",Inicial!H20,"N/A")</f>
        <v>N/A</v>
      </c>
      <c r="I58" s="75" t="str">
        <f>IF(Inicial!K20="SI",Inicial!I20,"N/A")</f>
        <v>N/A</v>
      </c>
      <c r="K58" s="6"/>
      <c r="L58" s="6"/>
      <c r="M58" s="6"/>
      <c r="N58" s="6"/>
      <c r="O58" s="6"/>
      <c r="P58" s="100"/>
      <c r="Q58" s="96"/>
      <c r="R58" s="6"/>
      <c r="S58" s="6"/>
      <c r="T58" s="6"/>
      <c r="U58" s="6"/>
      <c r="V58" s="6"/>
      <c r="W58" s="97"/>
      <c r="X58" s="96"/>
      <c r="Y58" s="6"/>
      <c r="Z58" s="6"/>
      <c r="AA58" s="6"/>
      <c r="AB58" s="6"/>
      <c r="AC58" s="97"/>
      <c r="AD58" s="105" t="str">
        <f t="shared" si="0"/>
        <v>Aceptable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47" t="str" cm="1">
        <f t="array" ref="AV58">IF(OR(AE58:AU58="SI"),"Critico","No critico")</f>
        <v>No critico</v>
      </c>
    </row>
    <row r="59" spans="1:48">
      <c r="A59" s="63">
        <f>Inicial!A21</f>
        <v>0</v>
      </c>
      <c r="B59" s="64">
        <f>Inicial!B21</f>
        <v>0</v>
      </c>
      <c r="C59" s="64">
        <f>Inicial!C21</f>
        <v>0</v>
      </c>
      <c r="D59" s="65">
        <f>Inicial!D21</f>
        <v>0</v>
      </c>
      <c r="E59" s="63" t="str">
        <f>IF(Inicial!K21="SI",Inicial!E21,"N/A")</f>
        <v>N/A</v>
      </c>
      <c r="F59" s="64" t="str">
        <f>IF(Inicial!K21="SI",Inicial!F21,"N/A")</f>
        <v>N/A</v>
      </c>
      <c r="G59" s="64" t="str">
        <f>IF(Inicial!K21="SI",Inicial!G21,"N/A")</f>
        <v>N/A</v>
      </c>
      <c r="H59" s="64" t="str">
        <f>IF(Inicial!K21="SI",Inicial!H21,"N/A")</f>
        <v>N/A</v>
      </c>
      <c r="I59" s="75" t="str">
        <f>IF(Inicial!K21="SI",Inicial!I21,"N/A")</f>
        <v>N/A</v>
      </c>
      <c r="K59" s="6"/>
      <c r="L59" s="6"/>
      <c r="M59" s="6"/>
      <c r="N59" s="6"/>
      <c r="O59" s="6"/>
      <c r="P59" s="100"/>
      <c r="Q59" s="96"/>
      <c r="R59" s="6"/>
      <c r="S59" s="6"/>
      <c r="T59" s="6"/>
      <c r="U59" s="6"/>
      <c r="V59" s="6"/>
      <c r="W59" s="97"/>
      <c r="X59" s="96"/>
      <c r="Y59" s="6"/>
      <c r="Z59" s="6"/>
      <c r="AA59" s="6"/>
      <c r="AB59" s="6"/>
      <c r="AC59" s="97"/>
      <c r="AD59" s="105" t="str">
        <f t="shared" si="0"/>
        <v>Aceptable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47" t="str" cm="1">
        <f t="array" ref="AV59">IF(OR(AE59:AU59="SI"),"Critico","No critico")</f>
        <v>No critico</v>
      </c>
    </row>
    <row r="60" spans="1:48">
      <c r="A60" s="63">
        <f>Inicial!A22</f>
        <v>0</v>
      </c>
      <c r="B60" s="64">
        <f>Inicial!B22</f>
        <v>0</v>
      </c>
      <c r="C60" s="64">
        <f>Inicial!C22</f>
        <v>0</v>
      </c>
      <c r="D60" s="65">
        <f>Inicial!D22</f>
        <v>0</v>
      </c>
      <c r="E60" s="63" t="str">
        <f>IF(Inicial!K22="SI",Inicial!E22,"N/A")</f>
        <v>N/A</v>
      </c>
      <c r="F60" s="64" t="str">
        <f>IF(Inicial!K22="SI",Inicial!F22,"N/A")</f>
        <v>N/A</v>
      </c>
      <c r="G60" s="64" t="str">
        <f>IF(Inicial!K22="SI",Inicial!G22,"N/A")</f>
        <v>N/A</v>
      </c>
      <c r="H60" s="64" t="str">
        <f>IF(Inicial!K22="SI",Inicial!H22,"N/A")</f>
        <v>N/A</v>
      </c>
      <c r="I60" s="75" t="str">
        <f>IF(Inicial!K22="SI",Inicial!I22,"N/A")</f>
        <v>N/A</v>
      </c>
      <c r="K60" s="6"/>
      <c r="L60" s="6"/>
      <c r="M60" s="6"/>
      <c r="N60" s="6"/>
      <c r="O60" s="6"/>
      <c r="P60" s="100"/>
      <c r="Q60" s="96"/>
      <c r="R60" s="6"/>
      <c r="S60" s="6"/>
      <c r="T60" s="6"/>
      <c r="U60" s="6"/>
      <c r="V60" s="6"/>
      <c r="W60" s="97"/>
      <c r="X60" s="96"/>
      <c r="Y60" s="6"/>
      <c r="Z60" s="6"/>
      <c r="AA60" s="6"/>
      <c r="AB60" s="6"/>
      <c r="AC60" s="97"/>
      <c r="AD60" s="105" t="str">
        <f t="shared" si="0"/>
        <v>Aceptable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47" t="str" cm="1">
        <f t="array" ref="AV60">IF(OR(AE60:AU60="SI"),"Critico","No critico")</f>
        <v>No critico</v>
      </c>
    </row>
    <row r="61" spans="1:48">
      <c r="A61" s="63">
        <f>Inicial!A23</f>
        <v>0</v>
      </c>
      <c r="B61" s="64">
        <f>Inicial!B23</f>
        <v>0</v>
      </c>
      <c r="C61" s="64">
        <f>Inicial!C23</f>
        <v>0</v>
      </c>
      <c r="D61" s="65">
        <f>Inicial!D23</f>
        <v>0</v>
      </c>
      <c r="E61" s="63" t="str">
        <f>IF(Inicial!K23="SI",Inicial!E23,"N/A")</f>
        <v>N/A</v>
      </c>
      <c r="F61" s="64" t="str">
        <f>IF(Inicial!K23="SI",Inicial!F23,"N/A")</f>
        <v>N/A</v>
      </c>
      <c r="G61" s="64" t="str">
        <f>IF(Inicial!K23="SI",Inicial!G23,"N/A")</f>
        <v>N/A</v>
      </c>
      <c r="H61" s="64" t="str">
        <f>IF(Inicial!K23="SI",Inicial!H23,"N/A")</f>
        <v>N/A</v>
      </c>
      <c r="I61" s="75" t="str">
        <f>IF(Inicial!K23="SI",Inicial!I23,"N/A")</f>
        <v>N/A</v>
      </c>
      <c r="K61" s="6"/>
      <c r="L61" s="6"/>
      <c r="M61" s="6"/>
      <c r="N61" s="6"/>
      <c r="O61" s="6"/>
      <c r="P61" s="100"/>
      <c r="Q61" s="96"/>
      <c r="R61" s="6"/>
      <c r="S61" s="6"/>
      <c r="T61" s="6"/>
      <c r="U61" s="6"/>
      <c r="V61" s="6"/>
      <c r="W61" s="97"/>
      <c r="X61" s="96"/>
      <c r="Y61" s="6"/>
      <c r="Z61" s="6"/>
      <c r="AA61" s="6"/>
      <c r="AB61" s="6"/>
      <c r="AC61" s="97"/>
      <c r="AD61" s="105" t="str">
        <f t="shared" si="0"/>
        <v>Aceptable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47" t="str" cm="1">
        <f t="array" ref="AV61">IF(OR(AE61:AU61="SI"),"Critico","No critico")</f>
        <v>No critico</v>
      </c>
    </row>
    <row r="62" spans="1:48">
      <c r="A62" s="63">
        <f>Inicial!A24</f>
        <v>0</v>
      </c>
      <c r="B62" s="64">
        <f>Inicial!B24</f>
        <v>0</v>
      </c>
      <c r="C62" s="64">
        <f>Inicial!C24</f>
        <v>0</v>
      </c>
      <c r="D62" s="65">
        <f>Inicial!D24</f>
        <v>0</v>
      </c>
      <c r="E62" s="63" t="str">
        <f>IF(Inicial!K24="SI",Inicial!E24,"N/A")</f>
        <v>N/A</v>
      </c>
      <c r="F62" s="64" t="str">
        <f>IF(Inicial!K24="SI",Inicial!F24,"N/A")</f>
        <v>N/A</v>
      </c>
      <c r="G62" s="64" t="str">
        <f>IF(Inicial!K24="SI",Inicial!G24,"N/A")</f>
        <v>N/A</v>
      </c>
      <c r="H62" s="64" t="str">
        <f>IF(Inicial!K24="SI",Inicial!H24,"N/A")</f>
        <v>N/A</v>
      </c>
      <c r="I62" s="75" t="str">
        <f>IF(Inicial!K24="SI",Inicial!I24,"N/A")</f>
        <v>N/A</v>
      </c>
      <c r="K62" s="6"/>
      <c r="L62" s="6"/>
      <c r="M62" s="6"/>
      <c r="N62" s="6"/>
      <c r="O62" s="6"/>
      <c r="P62" s="100"/>
      <c r="Q62" s="96"/>
      <c r="R62" s="6"/>
      <c r="S62" s="6"/>
      <c r="T62" s="6"/>
      <c r="U62" s="6"/>
      <c r="V62" s="6"/>
      <c r="W62" s="97"/>
      <c r="X62" s="96"/>
      <c r="Y62" s="6"/>
      <c r="Z62" s="6"/>
      <c r="AA62" s="6"/>
      <c r="AB62" s="6"/>
      <c r="AC62" s="97"/>
      <c r="AD62" s="105" t="str">
        <f t="shared" si="0"/>
        <v>Aceptable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47" t="str" cm="1">
        <f t="array" ref="AV62">IF(OR(AE62:AU62="SI"),"Critico","No critico")</f>
        <v>No critico</v>
      </c>
    </row>
    <row r="63" spans="1:48">
      <c r="A63" s="63">
        <f>Inicial!A25</f>
        <v>0</v>
      </c>
      <c r="B63" s="64">
        <f>Inicial!B25</f>
        <v>0</v>
      </c>
      <c r="C63" s="64">
        <f>Inicial!C25</f>
        <v>0</v>
      </c>
      <c r="D63" s="65">
        <f>Inicial!D25</f>
        <v>0</v>
      </c>
      <c r="E63" s="63" t="str">
        <f>IF(Inicial!K25="SI",Inicial!E25,"N/A")</f>
        <v>N/A</v>
      </c>
      <c r="F63" s="64" t="str">
        <f>IF(Inicial!K25="SI",Inicial!F25,"N/A")</f>
        <v>N/A</v>
      </c>
      <c r="G63" s="64" t="str">
        <f>IF(Inicial!K25="SI",Inicial!G25,"N/A")</f>
        <v>N/A</v>
      </c>
      <c r="H63" s="64" t="str">
        <f>IF(Inicial!K25="SI",Inicial!H25,"N/A")</f>
        <v>N/A</v>
      </c>
      <c r="I63" s="75" t="str">
        <f>IF(Inicial!K25="SI",Inicial!I25,"N/A")</f>
        <v>N/A</v>
      </c>
      <c r="K63" s="6"/>
      <c r="L63" s="6"/>
      <c r="M63" s="6"/>
      <c r="N63" s="6"/>
      <c r="O63" s="6"/>
      <c r="P63" s="100"/>
      <c r="Q63" s="96"/>
      <c r="R63" s="6"/>
      <c r="S63" s="6"/>
      <c r="T63" s="6"/>
      <c r="U63" s="6"/>
      <c r="V63" s="6"/>
      <c r="W63" s="97"/>
      <c r="X63" s="96"/>
      <c r="Y63" s="6"/>
      <c r="Z63" s="6"/>
      <c r="AA63" s="6"/>
      <c r="AB63" s="6"/>
      <c r="AC63" s="97"/>
      <c r="AD63" s="105" t="str">
        <f t="shared" si="0"/>
        <v>Aceptable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47" t="str" cm="1">
        <f t="array" ref="AV63">IF(OR(AE63:AU63="SI"),"Critico","No critico")</f>
        <v>No critico</v>
      </c>
    </row>
    <row r="64" spans="1:48">
      <c r="A64" s="63">
        <f>Inicial!A26</f>
        <v>0</v>
      </c>
      <c r="B64" s="64">
        <f>Inicial!B26</f>
        <v>0</v>
      </c>
      <c r="C64" s="64">
        <f>Inicial!C26</f>
        <v>0</v>
      </c>
      <c r="D64" s="65">
        <f>Inicial!D26</f>
        <v>0</v>
      </c>
      <c r="E64" s="63" t="str">
        <f>IF(Inicial!K26="SI",Inicial!E26,"N/A")</f>
        <v>N/A</v>
      </c>
      <c r="F64" s="64" t="str">
        <f>IF(Inicial!K26="SI",Inicial!F26,"N/A")</f>
        <v>N/A</v>
      </c>
      <c r="G64" s="64" t="str">
        <f>IF(Inicial!K26="SI",Inicial!G26,"N/A")</f>
        <v>N/A</v>
      </c>
      <c r="H64" s="64" t="str">
        <f>IF(Inicial!K26="SI",Inicial!H26,"N/A")</f>
        <v>N/A</v>
      </c>
      <c r="I64" s="75" t="str">
        <f>IF(Inicial!K26="SI",Inicial!I26,"N/A")</f>
        <v>N/A</v>
      </c>
      <c r="K64" s="6"/>
      <c r="L64" s="6"/>
      <c r="M64" s="6"/>
      <c r="N64" s="6"/>
      <c r="O64" s="6"/>
      <c r="P64" s="100"/>
      <c r="Q64" s="96"/>
      <c r="R64" s="6"/>
      <c r="S64" s="6"/>
      <c r="T64" s="6"/>
      <c r="U64" s="6"/>
      <c r="V64" s="6"/>
      <c r="W64" s="97"/>
      <c r="X64" s="96"/>
      <c r="Y64" s="6"/>
      <c r="Z64" s="6"/>
      <c r="AA64" s="6"/>
      <c r="AB64" s="6"/>
      <c r="AC64" s="97"/>
      <c r="AD64" s="105" t="str">
        <f t="shared" si="0"/>
        <v>Aceptable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47" t="str" cm="1">
        <f t="array" ref="AV64">IF(OR(AE64:AU64="SI"),"Critico","No critico")</f>
        <v>No critico</v>
      </c>
    </row>
    <row r="65" spans="1:48">
      <c r="A65" s="63">
        <f>Inicial!A27</f>
        <v>0</v>
      </c>
      <c r="B65" s="64">
        <f>Inicial!B27</f>
        <v>0</v>
      </c>
      <c r="C65" s="64">
        <f>Inicial!C27</f>
        <v>0</v>
      </c>
      <c r="D65" s="65">
        <f>Inicial!D27</f>
        <v>0</v>
      </c>
      <c r="E65" s="63" t="str">
        <f>IF(Inicial!K27="SI",Inicial!E27,"N/A")</f>
        <v>N/A</v>
      </c>
      <c r="F65" s="64" t="str">
        <f>IF(Inicial!K27="SI",Inicial!F27,"N/A")</f>
        <v>N/A</v>
      </c>
      <c r="G65" s="64" t="str">
        <f>IF(Inicial!K27="SI",Inicial!G27,"N/A")</f>
        <v>N/A</v>
      </c>
      <c r="H65" s="64" t="str">
        <f>IF(Inicial!K27="SI",Inicial!H27,"N/A")</f>
        <v>N/A</v>
      </c>
      <c r="I65" s="75" t="str">
        <f>IF(Inicial!K27="SI",Inicial!I27,"N/A")</f>
        <v>N/A</v>
      </c>
      <c r="K65" s="6"/>
      <c r="L65" s="6"/>
      <c r="M65" s="6"/>
      <c r="N65" s="6"/>
      <c r="O65" s="6"/>
      <c r="P65" s="100"/>
      <c r="Q65" s="96"/>
      <c r="R65" s="6"/>
      <c r="S65" s="6"/>
      <c r="T65" s="6"/>
      <c r="U65" s="6"/>
      <c r="V65" s="6"/>
      <c r="W65" s="97"/>
      <c r="X65" s="96"/>
      <c r="Y65" s="6"/>
      <c r="Z65" s="6"/>
      <c r="AA65" s="6"/>
      <c r="AB65" s="6"/>
      <c r="AC65" s="97"/>
      <c r="AD65" s="105" t="str">
        <f t="shared" si="0"/>
        <v>Aceptable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47" t="str" cm="1">
        <f t="array" ref="AV65">IF(OR(AE65:AU65="SI"),"Critico","No critico")</f>
        <v>No critico</v>
      </c>
    </row>
    <row r="66" spans="1:48">
      <c r="A66" s="63">
        <f>Inicial!A28</f>
        <v>0</v>
      </c>
      <c r="B66" s="64">
        <f>Inicial!B28</f>
        <v>0</v>
      </c>
      <c r="C66" s="64">
        <f>Inicial!C28</f>
        <v>0</v>
      </c>
      <c r="D66" s="65">
        <f>Inicial!D28</f>
        <v>0</v>
      </c>
      <c r="E66" s="63" t="str">
        <f>IF(Inicial!K28="SI",Inicial!E28,"N/A")</f>
        <v>N/A</v>
      </c>
      <c r="F66" s="64" t="str">
        <f>IF(Inicial!K28="SI",Inicial!F28,"N/A")</f>
        <v>N/A</v>
      </c>
      <c r="G66" s="64" t="str">
        <f>IF(Inicial!K28="SI",Inicial!G28,"N/A")</f>
        <v>N/A</v>
      </c>
      <c r="H66" s="64" t="str">
        <f>IF(Inicial!K28="SI",Inicial!H28,"N/A")</f>
        <v>N/A</v>
      </c>
      <c r="I66" s="75" t="str">
        <f>IF(Inicial!K28="SI",Inicial!I28,"N/A")</f>
        <v>N/A</v>
      </c>
      <c r="K66" s="6"/>
      <c r="L66" s="6"/>
      <c r="M66" s="6"/>
      <c r="N66" s="6"/>
      <c r="O66" s="6"/>
      <c r="P66" s="100"/>
      <c r="Q66" s="96"/>
      <c r="R66" s="6"/>
      <c r="S66" s="6"/>
      <c r="T66" s="6"/>
      <c r="U66" s="6"/>
      <c r="V66" s="6"/>
      <c r="W66" s="97"/>
      <c r="X66" s="96"/>
      <c r="Y66" s="6"/>
      <c r="Z66" s="6"/>
      <c r="AA66" s="6"/>
      <c r="AB66" s="6"/>
      <c r="AC66" s="97"/>
      <c r="AD66" s="105" t="str">
        <f t="shared" si="0"/>
        <v>Aceptable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47" t="str" cm="1">
        <f t="array" ref="AV66">IF(OR(AE66:AU66="SI"),"Critico","No critico")</f>
        <v>No critico</v>
      </c>
    </row>
    <row r="67" spans="1:48">
      <c r="A67" s="63">
        <f>Inicial!A29</f>
        <v>0</v>
      </c>
      <c r="B67" s="64">
        <f>Inicial!B29</f>
        <v>0</v>
      </c>
      <c r="C67" s="64">
        <f>Inicial!C29</f>
        <v>0</v>
      </c>
      <c r="D67" s="65">
        <f>Inicial!D29</f>
        <v>0</v>
      </c>
      <c r="E67" s="63" t="str">
        <f>IF(Inicial!K29="SI",Inicial!E29,"N/A")</f>
        <v>N/A</v>
      </c>
      <c r="F67" s="64" t="str">
        <f>IF(Inicial!K29="SI",Inicial!F29,"N/A")</f>
        <v>N/A</v>
      </c>
      <c r="G67" s="64" t="str">
        <f>IF(Inicial!K29="SI",Inicial!G29,"N/A")</f>
        <v>N/A</v>
      </c>
      <c r="H67" s="64" t="str">
        <f>IF(Inicial!K29="SI",Inicial!H29,"N/A")</f>
        <v>N/A</v>
      </c>
      <c r="I67" s="75" t="str">
        <f>IF(Inicial!K29="SI",Inicial!I29,"N/A")</f>
        <v>N/A</v>
      </c>
      <c r="K67" s="6"/>
      <c r="L67" s="6"/>
      <c r="M67" s="6"/>
      <c r="N67" s="6"/>
      <c r="O67" s="6"/>
      <c r="P67" s="100"/>
      <c r="Q67" s="96"/>
      <c r="R67" s="6"/>
      <c r="S67" s="6"/>
      <c r="T67" s="6"/>
      <c r="U67" s="6"/>
      <c r="V67" s="6"/>
      <c r="W67" s="97"/>
      <c r="X67" s="96"/>
      <c r="Y67" s="6"/>
      <c r="Z67" s="6"/>
      <c r="AA67" s="6"/>
      <c r="AB67" s="6"/>
      <c r="AC67" s="97"/>
      <c r="AD67" s="105" t="str">
        <f t="shared" si="0"/>
        <v>Aceptable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47" t="str" cm="1">
        <f t="array" ref="AV67">IF(OR(AE67:AU67="SI"),"Critico","No critico")</f>
        <v>No critico</v>
      </c>
    </row>
    <row r="68" spans="1:48">
      <c r="A68" s="63">
        <f>Inicial!A30</f>
        <v>0</v>
      </c>
      <c r="B68" s="64">
        <f>Inicial!B30</f>
        <v>0</v>
      </c>
      <c r="C68" s="64">
        <f>Inicial!C30</f>
        <v>0</v>
      </c>
      <c r="D68" s="65">
        <f>Inicial!D30</f>
        <v>0</v>
      </c>
      <c r="E68" s="63" t="str">
        <f>IF(Inicial!K30="SI",Inicial!E30,"N/A")</f>
        <v>N/A</v>
      </c>
      <c r="F68" s="64" t="str">
        <f>IF(Inicial!K30="SI",Inicial!F30,"N/A")</f>
        <v>N/A</v>
      </c>
      <c r="G68" s="64" t="str">
        <f>IF(Inicial!K30="SI",Inicial!G30,"N/A")</f>
        <v>N/A</v>
      </c>
      <c r="H68" s="64" t="str">
        <f>IF(Inicial!K30="SI",Inicial!H30,"N/A")</f>
        <v>N/A</v>
      </c>
      <c r="I68" s="75" t="str">
        <f>IF(Inicial!K30="SI",Inicial!I30,"N/A")</f>
        <v>N/A</v>
      </c>
      <c r="K68" s="6"/>
      <c r="L68" s="6"/>
      <c r="M68" s="6"/>
      <c r="N68" s="6"/>
      <c r="O68" s="6"/>
      <c r="P68" s="100"/>
      <c r="Q68" s="96"/>
      <c r="R68" s="6"/>
      <c r="S68" s="6"/>
      <c r="T68" s="6"/>
      <c r="U68" s="6"/>
      <c r="V68" s="6"/>
      <c r="W68" s="97"/>
      <c r="X68" s="96"/>
      <c r="Y68" s="6"/>
      <c r="Z68" s="6"/>
      <c r="AA68" s="6"/>
      <c r="AB68" s="6"/>
      <c r="AC68" s="97"/>
      <c r="AD68" s="105" t="str">
        <f t="shared" ref="AD68:AD127" si="1">IF(OR(J68="NO",K68="NO",L68="NO",M68="NO",N68="NO",O68="NO",P68="NO",R68="NO",S68="NO",T68="NO",U68="NO", V68="NO",W68="NO",Y68="NO",Z68="NO",AA68="NO",AB68="NO",AC68="NO"),"No aceptable","Aceptable")</f>
        <v>Aceptable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47" t="str" cm="1">
        <f t="array" ref="AV68">IF(OR(AE68:AU68="SI"),"Critico","No critico")</f>
        <v>No critico</v>
      </c>
    </row>
    <row r="69" spans="1:48">
      <c r="A69" s="63">
        <f>Inicial!A31</f>
        <v>0</v>
      </c>
      <c r="B69" s="64">
        <f>Inicial!B31</f>
        <v>0</v>
      </c>
      <c r="C69" s="64">
        <f>Inicial!C31</f>
        <v>0</v>
      </c>
      <c r="D69" s="65">
        <f>Inicial!D31</f>
        <v>0</v>
      </c>
      <c r="E69" s="63" t="str">
        <f>IF(Inicial!K31="SI",Inicial!E31,"N/A")</f>
        <v>N/A</v>
      </c>
      <c r="F69" s="64" t="str">
        <f>IF(Inicial!K31="SI",Inicial!F31,"N/A")</f>
        <v>N/A</v>
      </c>
      <c r="G69" s="64" t="str">
        <f>IF(Inicial!K31="SI",Inicial!G31,"N/A")</f>
        <v>N/A</v>
      </c>
      <c r="H69" s="64" t="str">
        <f>IF(Inicial!K31="SI",Inicial!H31,"N/A")</f>
        <v>N/A</v>
      </c>
      <c r="I69" s="75" t="str">
        <f>IF(Inicial!K31="SI",Inicial!I31,"N/A")</f>
        <v>N/A</v>
      </c>
      <c r="K69" s="6"/>
      <c r="L69" s="6"/>
      <c r="M69" s="6"/>
      <c r="N69" s="6"/>
      <c r="O69" s="6"/>
      <c r="P69" s="100"/>
      <c r="Q69" s="96"/>
      <c r="R69" s="6"/>
      <c r="S69" s="6"/>
      <c r="T69" s="6"/>
      <c r="U69" s="6"/>
      <c r="V69" s="6"/>
      <c r="W69" s="97"/>
      <c r="X69" s="96"/>
      <c r="Y69" s="6"/>
      <c r="Z69" s="6"/>
      <c r="AA69" s="6"/>
      <c r="AB69" s="6"/>
      <c r="AC69" s="97"/>
      <c r="AD69" s="105" t="str">
        <f t="shared" si="1"/>
        <v>Aceptable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47" t="str" cm="1">
        <f t="array" ref="AV69">IF(OR(AE69:AU69="SI"),"Critico","No critico")</f>
        <v>No critico</v>
      </c>
    </row>
    <row r="70" spans="1:48">
      <c r="A70" s="63">
        <f>Inicial!A32</f>
        <v>0</v>
      </c>
      <c r="B70" s="64">
        <f>Inicial!B32</f>
        <v>0</v>
      </c>
      <c r="C70" s="64">
        <f>Inicial!C32</f>
        <v>0</v>
      </c>
      <c r="D70" s="65">
        <f>Inicial!D32</f>
        <v>0</v>
      </c>
      <c r="E70" s="63" t="str">
        <f>IF(Inicial!K32="SI",Inicial!E32,"N/A")</f>
        <v>N/A</v>
      </c>
      <c r="F70" s="64" t="str">
        <f>IF(Inicial!K32="SI",Inicial!F32,"N/A")</f>
        <v>N/A</v>
      </c>
      <c r="G70" s="64" t="str">
        <f>IF(Inicial!K32="SI",Inicial!G32,"N/A")</f>
        <v>N/A</v>
      </c>
      <c r="H70" s="64" t="str">
        <f>IF(Inicial!K32="SI",Inicial!H32,"N/A")</f>
        <v>N/A</v>
      </c>
      <c r="I70" s="75" t="str">
        <f>IF(Inicial!K32="SI",Inicial!I32,"N/A")</f>
        <v>N/A</v>
      </c>
      <c r="K70" s="6"/>
      <c r="L70" s="6"/>
      <c r="M70" s="6"/>
      <c r="N70" s="6"/>
      <c r="O70" s="6"/>
      <c r="P70" s="100"/>
      <c r="Q70" s="96"/>
      <c r="R70" s="6"/>
      <c r="S70" s="6"/>
      <c r="T70" s="6"/>
      <c r="U70" s="6"/>
      <c r="V70" s="6"/>
      <c r="W70" s="97"/>
      <c r="X70" s="96"/>
      <c r="Y70" s="6"/>
      <c r="Z70" s="6"/>
      <c r="AA70" s="6"/>
      <c r="AB70" s="6"/>
      <c r="AC70" s="97"/>
      <c r="AD70" s="105" t="str">
        <f t="shared" si="1"/>
        <v>Aceptable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47" t="str" cm="1">
        <f t="array" ref="AV70">IF(OR(AE70:AU70="SI"),"Critico","No critico")</f>
        <v>No critico</v>
      </c>
    </row>
    <row r="71" spans="1:48">
      <c r="A71" s="63">
        <f>Inicial!A33</f>
        <v>0</v>
      </c>
      <c r="B71" s="64">
        <f>Inicial!B33</f>
        <v>0</v>
      </c>
      <c r="C71" s="64">
        <f>Inicial!C33</f>
        <v>0</v>
      </c>
      <c r="D71" s="65">
        <f>Inicial!D33</f>
        <v>0</v>
      </c>
      <c r="E71" s="63" t="str">
        <f>IF(Inicial!K33="SI",Inicial!E33,"N/A")</f>
        <v>N/A</v>
      </c>
      <c r="F71" s="64" t="str">
        <f>IF(Inicial!K33="SI",Inicial!F33,"N/A")</f>
        <v>N/A</v>
      </c>
      <c r="G71" s="64" t="str">
        <f>IF(Inicial!K33="SI",Inicial!G33,"N/A")</f>
        <v>N/A</v>
      </c>
      <c r="H71" s="64" t="str">
        <f>IF(Inicial!K33="SI",Inicial!H33,"N/A")</f>
        <v>N/A</v>
      </c>
      <c r="I71" s="75" t="str">
        <f>IF(Inicial!K33="SI",Inicial!I33,"N/A")</f>
        <v>N/A</v>
      </c>
      <c r="K71" s="6"/>
      <c r="L71" s="6"/>
      <c r="M71" s="6"/>
      <c r="N71" s="6"/>
      <c r="O71" s="6"/>
      <c r="P71" s="100"/>
      <c r="Q71" s="96"/>
      <c r="R71" s="6"/>
      <c r="S71" s="6"/>
      <c r="T71" s="6"/>
      <c r="U71" s="6"/>
      <c r="V71" s="6"/>
      <c r="W71" s="97"/>
      <c r="X71" s="96"/>
      <c r="Y71" s="6"/>
      <c r="Z71" s="6"/>
      <c r="AA71" s="6"/>
      <c r="AB71" s="6"/>
      <c r="AC71" s="97"/>
      <c r="AD71" s="105" t="str">
        <f t="shared" si="1"/>
        <v>Aceptable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47" t="str" cm="1">
        <f t="array" ref="AV71">IF(OR(AE71:AU71="SI"),"Critico","No critico")</f>
        <v>No critico</v>
      </c>
    </row>
    <row r="72" spans="1:48">
      <c r="A72" s="63">
        <f>Inicial!A34</f>
        <v>0</v>
      </c>
      <c r="B72" s="64">
        <f>Inicial!B34</f>
        <v>0</v>
      </c>
      <c r="C72" s="64">
        <f>Inicial!C34</f>
        <v>0</v>
      </c>
      <c r="D72" s="65">
        <f>Inicial!D34</f>
        <v>0</v>
      </c>
      <c r="E72" s="63" t="str">
        <f>IF(Inicial!K34="SI",Inicial!E34,"N/A")</f>
        <v>N/A</v>
      </c>
      <c r="F72" s="64" t="str">
        <f>IF(Inicial!K34="SI",Inicial!F34,"N/A")</f>
        <v>N/A</v>
      </c>
      <c r="G72" s="64" t="str">
        <f>IF(Inicial!K34="SI",Inicial!G34,"N/A")</f>
        <v>N/A</v>
      </c>
      <c r="H72" s="64" t="str">
        <f>IF(Inicial!K34="SI",Inicial!H34,"N/A")</f>
        <v>N/A</v>
      </c>
      <c r="I72" s="75" t="str">
        <f>IF(Inicial!K34="SI",Inicial!I34,"N/A")</f>
        <v>N/A</v>
      </c>
      <c r="K72" s="6"/>
      <c r="L72" s="6"/>
      <c r="M72" s="6"/>
      <c r="N72" s="6"/>
      <c r="O72" s="6"/>
      <c r="P72" s="100"/>
      <c r="Q72" s="96"/>
      <c r="R72" s="6"/>
      <c r="S72" s="6"/>
      <c r="T72" s="6"/>
      <c r="U72" s="6"/>
      <c r="V72" s="6"/>
      <c r="W72" s="97"/>
      <c r="X72" s="96"/>
      <c r="Y72" s="6"/>
      <c r="Z72" s="6"/>
      <c r="AA72" s="6"/>
      <c r="AB72" s="6"/>
      <c r="AC72" s="97"/>
      <c r="AD72" s="105" t="str">
        <f t="shared" si="1"/>
        <v>Aceptable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spans="1:48">
      <c r="A73" s="63">
        <f>Inicial!A35</f>
        <v>0</v>
      </c>
      <c r="B73" s="64">
        <f>Inicial!B35</f>
        <v>0</v>
      </c>
      <c r="C73" s="64">
        <f>Inicial!C35</f>
        <v>0</v>
      </c>
      <c r="D73" s="65">
        <f>Inicial!D35</f>
        <v>0</v>
      </c>
      <c r="E73" s="63" t="str">
        <f>IF(Inicial!K35="SI",Inicial!E35,"N/A")</f>
        <v>N/A</v>
      </c>
      <c r="F73" s="64" t="str">
        <f>IF(Inicial!K35="SI",Inicial!F35,"N/A")</f>
        <v>N/A</v>
      </c>
      <c r="G73" s="64" t="str">
        <f>IF(Inicial!K35="SI",Inicial!G35,"N/A")</f>
        <v>N/A</v>
      </c>
      <c r="H73" s="64" t="str">
        <f>IF(Inicial!K35="SI",Inicial!H35,"N/A")</f>
        <v>N/A</v>
      </c>
      <c r="I73" s="75" t="str">
        <f>IF(Inicial!K35="SI",Inicial!I35,"N/A")</f>
        <v>N/A</v>
      </c>
      <c r="K73" s="6"/>
      <c r="L73" s="6"/>
      <c r="M73" s="6"/>
      <c r="N73" s="6"/>
      <c r="O73" s="6"/>
      <c r="P73" s="100"/>
      <c r="Q73" s="96"/>
      <c r="R73" s="6"/>
      <c r="S73" s="6"/>
      <c r="T73" s="6"/>
      <c r="U73" s="6"/>
      <c r="V73" s="6"/>
      <c r="W73" s="97"/>
      <c r="X73" s="96"/>
      <c r="Y73" s="6"/>
      <c r="Z73" s="6"/>
      <c r="AA73" s="6"/>
      <c r="AB73" s="6"/>
      <c r="AC73" s="97"/>
      <c r="AD73" s="105" t="str">
        <f t="shared" si="1"/>
        <v>Aceptable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8">
      <c r="A74" s="63">
        <f>Inicial!A36</f>
        <v>0</v>
      </c>
      <c r="B74" s="64">
        <f>Inicial!B36</f>
        <v>0</v>
      </c>
      <c r="C74" s="64">
        <f>Inicial!C36</f>
        <v>0</v>
      </c>
      <c r="D74" s="65">
        <f>Inicial!D36</f>
        <v>0</v>
      </c>
      <c r="E74" s="63" t="str">
        <f>IF(Inicial!K36="SI",Inicial!E36,"N/A")</f>
        <v>N/A</v>
      </c>
      <c r="F74" s="64" t="str">
        <f>IF(Inicial!K36="SI",Inicial!F36,"N/A")</f>
        <v>N/A</v>
      </c>
      <c r="G74" s="64" t="str">
        <f>IF(Inicial!K36="SI",Inicial!G36,"N/A")</f>
        <v>N/A</v>
      </c>
      <c r="H74" s="64" t="str">
        <f>IF(Inicial!K36="SI",Inicial!H36,"N/A")</f>
        <v>N/A</v>
      </c>
      <c r="I74" s="75" t="str">
        <f>IF(Inicial!K36="SI",Inicial!I36,"N/A")</f>
        <v>N/A</v>
      </c>
      <c r="K74" s="6"/>
      <c r="L74" s="6"/>
      <c r="M74" s="6"/>
      <c r="N74" s="6"/>
      <c r="O74" s="6"/>
      <c r="P74" s="100"/>
      <c r="Q74" s="96"/>
      <c r="R74" s="6"/>
      <c r="S74" s="6"/>
      <c r="T74" s="6"/>
      <c r="U74" s="6"/>
      <c r="V74" s="6"/>
      <c r="W74" s="97"/>
      <c r="X74" s="96"/>
      <c r="Y74" s="6"/>
      <c r="Z74" s="6"/>
      <c r="AA74" s="6"/>
      <c r="AB74" s="6"/>
      <c r="AC74" s="97"/>
      <c r="AD74" s="105" t="str">
        <f t="shared" si="1"/>
        <v>Aceptable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8">
      <c r="A75" s="63">
        <f>Inicial!A37</f>
        <v>0</v>
      </c>
      <c r="B75" s="64">
        <f>Inicial!B37</f>
        <v>0</v>
      </c>
      <c r="C75" s="64">
        <f>Inicial!C37</f>
        <v>0</v>
      </c>
      <c r="D75" s="65">
        <f>Inicial!D37</f>
        <v>0</v>
      </c>
      <c r="E75" s="63" t="str">
        <f>IF(Inicial!K37="SI",Inicial!E37,"N/A")</f>
        <v>N/A</v>
      </c>
      <c r="F75" s="64" t="str">
        <f>IF(Inicial!K37="SI",Inicial!F37,"N/A")</f>
        <v>N/A</v>
      </c>
      <c r="G75" s="64" t="str">
        <f>IF(Inicial!K37="SI",Inicial!G37,"N/A")</f>
        <v>N/A</v>
      </c>
      <c r="H75" s="64" t="str">
        <f>IF(Inicial!K37="SI",Inicial!H37,"N/A")</f>
        <v>N/A</v>
      </c>
      <c r="I75" s="75" t="str">
        <f>IF(Inicial!K37="SI",Inicial!I37,"N/A")</f>
        <v>N/A</v>
      </c>
      <c r="K75" s="6"/>
      <c r="L75" s="6"/>
      <c r="M75" s="6"/>
      <c r="N75" s="6"/>
      <c r="O75" s="6"/>
      <c r="P75" s="100"/>
      <c r="Q75" s="96"/>
      <c r="R75" s="6"/>
      <c r="S75" s="6"/>
      <c r="T75" s="6"/>
      <c r="U75" s="6"/>
      <c r="V75" s="6"/>
      <c r="W75" s="97"/>
      <c r="X75" s="96"/>
      <c r="Y75" s="6"/>
      <c r="Z75" s="6"/>
      <c r="AA75" s="6"/>
      <c r="AB75" s="6"/>
      <c r="AC75" s="97"/>
      <c r="AD75" s="105" t="str">
        <f t="shared" si="1"/>
        <v>Aceptable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8">
      <c r="A76" s="63">
        <f>Inicial!A38</f>
        <v>0</v>
      </c>
      <c r="B76" s="64">
        <f>Inicial!B38</f>
        <v>0</v>
      </c>
      <c r="C76" s="64">
        <f>Inicial!C38</f>
        <v>0</v>
      </c>
      <c r="D76" s="65">
        <f>Inicial!D38</f>
        <v>0</v>
      </c>
      <c r="E76" s="63" t="str">
        <f>IF(Inicial!K38="SI",Inicial!E38,"N/A")</f>
        <v>N/A</v>
      </c>
      <c r="F76" s="64" t="str">
        <f>IF(Inicial!K38="SI",Inicial!F38,"N/A")</f>
        <v>N/A</v>
      </c>
      <c r="G76" s="64" t="str">
        <f>IF(Inicial!K38="SI",Inicial!G38,"N/A")</f>
        <v>N/A</v>
      </c>
      <c r="H76" s="64" t="str">
        <f>IF(Inicial!K38="SI",Inicial!H38,"N/A")</f>
        <v>N/A</v>
      </c>
      <c r="I76" s="75" t="str">
        <f>IF(Inicial!K38="SI",Inicial!I38,"N/A")</f>
        <v>N/A</v>
      </c>
      <c r="K76" s="6"/>
      <c r="L76" s="6"/>
      <c r="M76" s="6"/>
      <c r="N76" s="6"/>
      <c r="O76" s="6"/>
      <c r="P76" s="100"/>
      <c r="Q76" s="96"/>
      <c r="R76" s="6"/>
      <c r="S76" s="6"/>
      <c r="T76" s="6"/>
      <c r="U76" s="6"/>
      <c r="V76" s="6"/>
      <c r="W76" s="97"/>
      <c r="X76" s="96"/>
      <c r="Y76" s="6"/>
      <c r="Z76" s="6"/>
      <c r="AA76" s="6"/>
      <c r="AB76" s="6"/>
      <c r="AC76" s="97"/>
      <c r="AD76" s="105" t="str">
        <f t="shared" si="1"/>
        <v>Aceptable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8">
      <c r="A77" s="63">
        <f>Inicial!A39</f>
        <v>0</v>
      </c>
      <c r="B77" s="64">
        <f>Inicial!B39</f>
        <v>0</v>
      </c>
      <c r="C77" s="64">
        <f>Inicial!C39</f>
        <v>0</v>
      </c>
      <c r="D77" s="65">
        <f>Inicial!D39</f>
        <v>0</v>
      </c>
      <c r="E77" s="63" t="str">
        <f>IF(Inicial!K39="SI",Inicial!E39,"N/A")</f>
        <v>N/A</v>
      </c>
      <c r="F77" s="64" t="str">
        <f>IF(Inicial!K39="SI",Inicial!F39,"N/A")</f>
        <v>N/A</v>
      </c>
      <c r="G77" s="64" t="str">
        <f>IF(Inicial!K39="SI",Inicial!G39,"N/A")</f>
        <v>N/A</v>
      </c>
      <c r="H77" s="64" t="str">
        <f>IF(Inicial!K39="SI",Inicial!H39,"N/A")</f>
        <v>N/A</v>
      </c>
      <c r="I77" s="75" t="str">
        <f>IF(Inicial!K39="SI",Inicial!I39,"N/A")</f>
        <v>N/A</v>
      </c>
      <c r="K77" s="6"/>
      <c r="L77" s="6"/>
      <c r="M77" s="6"/>
      <c r="N77" s="6"/>
      <c r="O77" s="6"/>
      <c r="P77" s="100"/>
      <c r="Q77" s="96"/>
      <c r="R77" s="6"/>
      <c r="S77" s="6"/>
      <c r="T77" s="6"/>
      <c r="U77" s="6"/>
      <c r="V77" s="6"/>
      <c r="W77" s="97"/>
      <c r="X77" s="96"/>
      <c r="Y77" s="6"/>
      <c r="Z77" s="6"/>
      <c r="AA77" s="6"/>
      <c r="AB77" s="6"/>
      <c r="AC77" s="97"/>
      <c r="AD77" s="105" t="str">
        <f t="shared" si="1"/>
        <v>Aceptable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8">
      <c r="A78" s="63">
        <f>Inicial!A40</f>
        <v>0</v>
      </c>
      <c r="B78" s="64">
        <f>Inicial!B40</f>
        <v>0</v>
      </c>
      <c r="C78" s="64">
        <f>Inicial!C40</f>
        <v>0</v>
      </c>
      <c r="D78" s="65">
        <f>Inicial!D40</f>
        <v>0</v>
      </c>
      <c r="E78" s="63" t="str">
        <f>IF(Inicial!K40="SI",Inicial!E40,"N/A")</f>
        <v>N/A</v>
      </c>
      <c r="F78" s="64" t="str">
        <f>IF(Inicial!K40="SI",Inicial!F40,"N/A")</f>
        <v>N/A</v>
      </c>
      <c r="G78" s="64" t="str">
        <f>IF(Inicial!K40="SI",Inicial!G40,"N/A")</f>
        <v>N/A</v>
      </c>
      <c r="H78" s="64" t="str">
        <f>IF(Inicial!K40="SI",Inicial!H40,"N/A")</f>
        <v>N/A</v>
      </c>
      <c r="I78" s="75" t="str">
        <f>IF(Inicial!K40="SI",Inicial!I40,"N/A")</f>
        <v>N/A</v>
      </c>
      <c r="K78" s="6"/>
      <c r="L78" s="6"/>
      <c r="M78" s="6"/>
      <c r="N78" s="6"/>
      <c r="O78" s="6"/>
      <c r="P78" s="100"/>
      <c r="Q78" s="96"/>
      <c r="R78" s="6"/>
      <c r="S78" s="6"/>
      <c r="T78" s="6"/>
      <c r="U78" s="6"/>
      <c r="V78" s="6"/>
      <c r="W78" s="97"/>
      <c r="X78" s="96"/>
      <c r="Y78" s="6"/>
      <c r="Z78" s="6"/>
      <c r="AA78" s="6"/>
      <c r="AB78" s="6"/>
      <c r="AC78" s="97"/>
      <c r="AD78" s="105" t="str">
        <f t="shared" si="1"/>
        <v>Aceptable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8">
      <c r="A79" s="63">
        <f>Inicial!A41</f>
        <v>0</v>
      </c>
      <c r="B79" s="64">
        <f>Inicial!B41</f>
        <v>0</v>
      </c>
      <c r="C79" s="64">
        <f>Inicial!C41</f>
        <v>0</v>
      </c>
      <c r="D79" s="65">
        <f>Inicial!D41</f>
        <v>0</v>
      </c>
      <c r="E79" s="63" t="str">
        <f>IF(Inicial!K41="SI",Inicial!E41,"N/A")</f>
        <v>N/A</v>
      </c>
      <c r="F79" s="64" t="str">
        <f>IF(Inicial!K41="SI",Inicial!F41,"N/A")</f>
        <v>N/A</v>
      </c>
      <c r="G79" s="64" t="str">
        <f>IF(Inicial!K41="SI",Inicial!G41,"N/A")</f>
        <v>N/A</v>
      </c>
      <c r="H79" s="64" t="str">
        <f>IF(Inicial!K41="SI",Inicial!H41,"N/A")</f>
        <v>N/A</v>
      </c>
      <c r="I79" s="75" t="str">
        <f>IF(Inicial!K41="SI",Inicial!I41,"N/A")</f>
        <v>N/A</v>
      </c>
      <c r="K79" s="6"/>
      <c r="L79" s="6"/>
      <c r="M79" s="6"/>
      <c r="N79" s="6"/>
      <c r="O79" s="6"/>
      <c r="P79" s="100"/>
      <c r="Q79" s="96"/>
      <c r="R79" s="6"/>
      <c r="S79" s="6"/>
      <c r="T79" s="6"/>
      <c r="U79" s="6"/>
      <c r="V79" s="6"/>
      <c r="W79" s="97"/>
      <c r="X79" s="96"/>
      <c r="Y79" s="6"/>
      <c r="Z79" s="6"/>
      <c r="AA79" s="6"/>
      <c r="AB79" s="6"/>
      <c r="AC79" s="97"/>
      <c r="AD79" s="105" t="str">
        <f t="shared" si="1"/>
        <v>Aceptable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8">
      <c r="A80" s="63">
        <f>Inicial!A42</f>
        <v>0</v>
      </c>
      <c r="B80" s="64">
        <f>Inicial!B42</f>
        <v>0</v>
      </c>
      <c r="C80" s="64">
        <f>Inicial!C42</f>
        <v>0</v>
      </c>
      <c r="D80" s="65">
        <f>Inicial!D42</f>
        <v>0</v>
      </c>
      <c r="E80" s="63" t="str">
        <f>IF(Inicial!K42="SI",Inicial!E42,"N/A")</f>
        <v>N/A</v>
      </c>
      <c r="F80" s="64" t="str">
        <f>IF(Inicial!K42="SI",Inicial!F42,"N/A")</f>
        <v>N/A</v>
      </c>
      <c r="G80" s="64" t="str">
        <f>IF(Inicial!K42="SI",Inicial!G42,"N/A")</f>
        <v>N/A</v>
      </c>
      <c r="H80" s="64" t="str">
        <f>IF(Inicial!K42="SI",Inicial!H42,"N/A")</f>
        <v>N/A</v>
      </c>
      <c r="I80" s="75" t="str">
        <f>IF(Inicial!K42="SI",Inicial!I42,"N/A")</f>
        <v>N/A</v>
      </c>
      <c r="K80" s="6"/>
      <c r="L80" s="6"/>
      <c r="M80" s="6"/>
      <c r="N80" s="6"/>
      <c r="O80" s="6"/>
      <c r="P80" s="100"/>
      <c r="Q80" s="96"/>
      <c r="R80" s="6"/>
      <c r="S80" s="6"/>
      <c r="T80" s="6"/>
      <c r="U80" s="6"/>
      <c r="V80" s="6"/>
      <c r="W80" s="97"/>
      <c r="X80" s="96"/>
      <c r="Y80" s="6"/>
      <c r="Z80" s="6"/>
      <c r="AA80" s="6"/>
      <c r="AB80" s="6"/>
      <c r="AC80" s="97"/>
      <c r="AD80" s="105" t="str">
        <f t="shared" si="1"/>
        <v>Aceptable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>
      <c r="A81" s="63">
        <f>Inicial!A43</f>
        <v>0</v>
      </c>
      <c r="B81" s="64">
        <f>Inicial!B43</f>
        <v>0</v>
      </c>
      <c r="C81" s="64">
        <f>Inicial!C43</f>
        <v>0</v>
      </c>
      <c r="D81" s="65">
        <f>Inicial!D43</f>
        <v>0</v>
      </c>
      <c r="E81" s="63" t="str">
        <f>IF(Inicial!K43="SI",Inicial!E43,"N/A")</f>
        <v>N/A</v>
      </c>
      <c r="F81" s="64" t="str">
        <f>IF(Inicial!K43="SI",Inicial!F43,"N/A")</f>
        <v>N/A</v>
      </c>
      <c r="G81" s="64" t="str">
        <f>IF(Inicial!K43="SI",Inicial!G43,"N/A")</f>
        <v>N/A</v>
      </c>
      <c r="H81" s="64" t="str">
        <f>IF(Inicial!K43="SI",Inicial!H43,"N/A")</f>
        <v>N/A</v>
      </c>
      <c r="I81" s="75" t="str">
        <f>IF(Inicial!K43="SI",Inicial!I43,"N/A")</f>
        <v>N/A</v>
      </c>
      <c r="K81" s="6"/>
      <c r="L81" s="6"/>
      <c r="M81" s="6"/>
      <c r="N81" s="6"/>
      <c r="O81" s="6"/>
      <c r="P81" s="100"/>
      <c r="Q81" s="96"/>
      <c r="R81" s="6"/>
      <c r="S81" s="6"/>
      <c r="T81" s="6"/>
      <c r="U81" s="6"/>
      <c r="V81" s="6"/>
      <c r="W81" s="97"/>
      <c r="X81" s="96"/>
      <c r="Y81" s="6"/>
      <c r="Z81" s="6"/>
      <c r="AA81" s="6"/>
      <c r="AB81" s="6"/>
      <c r="AC81" s="97"/>
      <c r="AD81" s="105" t="str">
        <f t="shared" si="1"/>
        <v>Aceptable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>
      <c r="A82" s="63">
        <f>Inicial!A44</f>
        <v>0</v>
      </c>
      <c r="B82" s="64">
        <f>Inicial!B44</f>
        <v>0</v>
      </c>
      <c r="C82" s="64">
        <f>Inicial!C44</f>
        <v>0</v>
      </c>
      <c r="D82" s="65">
        <f>Inicial!D44</f>
        <v>0</v>
      </c>
      <c r="E82" s="63" t="str">
        <f>IF(Inicial!K44="SI",Inicial!E44,"N/A")</f>
        <v>N/A</v>
      </c>
      <c r="F82" s="64" t="str">
        <f>IF(Inicial!K44="SI",Inicial!F44,"N/A")</f>
        <v>N/A</v>
      </c>
      <c r="G82" s="64" t="str">
        <f>IF(Inicial!K44="SI",Inicial!G44,"N/A")</f>
        <v>N/A</v>
      </c>
      <c r="H82" s="64" t="str">
        <f>IF(Inicial!K44="SI",Inicial!H44,"N/A")</f>
        <v>N/A</v>
      </c>
      <c r="I82" s="75" t="str">
        <f>IF(Inicial!K44="SI",Inicial!I44,"N/A")</f>
        <v>N/A</v>
      </c>
      <c r="K82" s="6"/>
      <c r="L82" s="6"/>
      <c r="M82" s="6"/>
      <c r="N82" s="6"/>
      <c r="O82" s="6"/>
      <c r="P82" s="100"/>
      <c r="Q82" s="96"/>
      <c r="R82" s="6"/>
      <c r="S82" s="6"/>
      <c r="T82" s="6"/>
      <c r="U82" s="6"/>
      <c r="V82" s="6"/>
      <c r="W82" s="97"/>
      <c r="X82" s="96"/>
      <c r="Y82" s="6"/>
      <c r="Z82" s="6"/>
      <c r="AA82" s="6"/>
      <c r="AB82" s="6"/>
      <c r="AC82" s="97"/>
      <c r="AD82" s="105" t="str">
        <f t="shared" si="1"/>
        <v>Aceptable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>
      <c r="A83" s="63">
        <f>Inicial!A45</f>
        <v>0</v>
      </c>
      <c r="B83" s="64">
        <f>Inicial!B45</f>
        <v>0</v>
      </c>
      <c r="C83" s="64">
        <f>Inicial!C45</f>
        <v>0</v>
      </c>
      <c r="D83" s="65">
        <f>Inicial!D45</f>
        <v>0</v>
      </c>
      <c r="E83" s="63" t="str">
        <f>IF(Inicial!K45="SI",Inicial!E45,"N/A")</f>
        <v>N/A</v>
      </c>
      <c r="F83" s="64" t="str">
        <f>IF(Inicial!K45="SI",Inicial!F45,"N/A")</f>
        <v>N/A</v>
      </c>
      <c r="G83" s="64" t="str">
        <f>IF(Inicial!K45="SI",Inicial!G45,"N/A")</f>
        <v>N/A</v>
      </c>
      <c r="H83" s="64" t="str">
        <f>IF(Inicial!K45="SI",Inicial!H45,"N/A")</f>
        <v>N/A</v>
      </c>
      <c r="I83" s="75" t="str">
        <f>IF(Inicial!K45="SI",Inicial!I45,"N/A")</f>
        <v>N/A</v>
      </c>
      <c r="K83" s="6"/>
      <c r="L83" s="6"/>
      <c r="M83" s="6"/>
      <c r="N83" s="6"/>
      <c r="O83" s="6"/>
      <c r="P83" s="100"/>
      <c r="Q83" s="96"/>
      <c r="R83" s="6"/>
      <c r="S83" s="6"/>
      <c r="T83" s="6"/>
      <c r="U83" s="6"/>
      <c r="V83" s="6"/>
      <c r="W83" s="97"/>
      <c r="X83" s="96"/>
      <c r="Y83" s="6"/>
      <c r="Z83" s="6"/>
      <c r="AA83" s="6"/>
      <c r="AB83" s="6"/>
      <c r="AC83" s="97"/>
      <c r="AD83" s="105" t="str">
        <f t="shared" si="1"/>
        <v>Aceptable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>
      <c r="A84" s="63">
        <f>Inicial!A46</f>
        <v>0</v>
      </c>
      <c r="B84" s="64">
        <f>Inicial!B46</f>
        <v>0</v>
      </c>
      <c r="C84" s="64">
        <f>Inicial!C46</f>
        <v>0</v>
      </c>
      <c r="D84" s="65">
        <f>Inicial!D46</f>
        <v>0</v>
      </c>
      <c r="E84" s="63" t="str">
        <f>IF(Inicial!K46="SI",Inicial!E46,"N/A")</f>
        <v>N/A</v>
      </c>
      <c r="F84" s="64" t="str">
        <f>IF(Inicial!K46="SI",Inicial!F46,"N/A")</f>
        <v>N/A</v>
      </c>
      <c r="G84" s="64" t="str">
        <f>IF(Inicial!K46="SI",Inicial!G46,"N/A")</f>
        <v>N/A</v>
      </c>
      <c r="H84" s="64" t="str">
        <f>IF(Inicial!K46="SI",Inicial!H46,"N/A")</f>
        <v>N/A</v>
      </c>
      <c r="I84" s="75" t="str">
        <f>IF(Inicial!K46="SI",Inicial!I46,"N/A")</f>
        <v>N/A</v>
      </c>
      <c r="K84" s="6"/>
      <c r="L84" s="6"/>
      <c r="M84" s="6"/>
      <c r="N84" s="6"/>
      <c r="O84" s="6"/>
      <c r="P84" s="100"/>
      <c r="Q84" s="96"/>
      <c r="R84" s="6"/>
      <c r="S84" s="6"/>
      <c r="T84" s="6"/>
      <c r="U84" s="6"/>
      <c r="V84" s="6"/>
      <c r="W84" s="97"/>
      <c r="X84" s="96"/>
      <c r="Y84" s="6"/>
      <c r="Z84" s="6"/>
      <c r="AA84" s="6"/>
      <c r="AB84" s="6"/>
      <c r="AC84" s="97"/>
      <c r="AD84" s="105" t="str">
        <f t="shared" si="1"/>
        <v>Aceptable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>
      <c r="A85" s="63">
        <f>Inicial!A47</f>
        <v>0</v>
      </c>
      <c r="B85" s="64">
        <f>Inicial!B47</f>
        <v>0</v>
      </c>
      <c r="C85" s="64">
        <f>Inicial!C47</f>
        <v>0</v>
      </c>
      <c r="D85" s="65">
        <f>Inicial!D47</f>
        <v>0</v>
      </c>
      <c r="E85" s="63" t="str">
        <f>IF(Inicial!K47="SI",Inicial!E47,"N/A")</f>
        <v>N/A</v>
      </c>
      <c r="F85" s="64" t="str">
        <f>IF(Inicial!K47="SI",Inicial!F47,"N/A")</f>
        <v>N/A</v>
      </c>
      <c r="G85" s="64" t="str">
        <f>IF(Inicial!K47="SI",Inicial!G47,"N/A")</f>
        <v>N/A</v>
      </c>
      <c r="H85" s="64" t="str">
        <f>IF(Inicial!K47="SI",Inicial!H47,"N/A")</f>
        <v>N/A</v>
      </c>
      <c r="I85" s="75" t="str">
        <f>IF(Inicial!K47="SI",Inicial!I47,"N/A")</f>
        <v>N/A</v>
      </c>
      <c r="K85" s="6"/>
      <c r="L85" s="6"/>
      <c r="M85" s="6"/>
      <c r="N85" s="6"/>
      <c r="O85" s="6"/>
      <c r="P85" s="100"/>
      <c r="Q85" s="96"/>
      <c r="R85" s="6"/>
      <c r="S85" s="6"/>
      <c r="T85" s="6"/>
      <c r="U85" s="6"/>
      <c r="V85" s="6"/>
      <c r="W85" s="97"/>
      <c r="X85" s="96"/>
      <c r="Y85" s="6"/>
      <c r="Z85" s="6"/>
      <c r="AA85" s="6"/>
      <c r="AB85" s="6"/>
      <c r="AC85" s="97"/>
      <c r="AD85" s="105" t="str">
        <f t="shared" si="1"/>
        <v>Aceptable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>
      <c r="A86" s="63">
        <f>Inicial!A48</f>
        <v>0</v>
      </c>
      <c r="B86" s="64">
        <f>Inicial!B48</f>
        <v>0</v>
      </c>
      <c r="C86" s="64">
        <f>Inicial!C48</f>
        <v>0</v>
      </c>
      <c r="D86" s="65">
        <f>Inicial!D48</f>
        <v>0</v>
      </c>
      <c r="E86" s="63" t="str">
        <f>IF(Inicial!K48="SI",Inicial!E48,"N/A")</f>
        <v>N/A</v>
      </c>
      <c r="F86" s="64" t="str">
        <f>IF(Inicial!K48="SI",Inicial!F48,"N/A")</f>
        <v>N/A</v>
      </c>
      <c r="G86" s="64" t="str">
        <f>IF(Inicial!K48="SI",Inicial!G48,"N/A")</f>
        <v>N/A</v>
      </c>
      <c r="H86" s="64" t="str">
        <f>IF(Inicial!K48="SI",Inicial!H48,"N/A")</f>
        <v>N/A</v>
      </c>
      <c r="I86" s="75" t="str">
        <f>IF(Inicial!K48="SI",Inicial!I48,"N/A")</f>
        <v>N/A</v>
      </c>
      <c r="K86" s="6"/>
      <c r="L86" s="6"/>
      <c r="M86" s="6"/>
      <c r="N86" s="6"/>
      <c r="O86" s="6"/>
      <c r="P86" s="100"/>
      <c r="Q86" s="96"/>
      <c r="R86" s="6"/>
      <c r="S86" s="6"/>
      <c r="T86" s="6"/>
      <c r="U86" s="6"/>
      <c r="V86" s="6"/>
      <c r="W86" s="97"/>
      <c r="X86" s="96"/>
      <c r="Y86" s="6"/>
      <c r="Z86" s="6"/>
      <c r="AA86" s="6"/>
      <c r="AB86" s="6"/>
      <c r="AC86" s="97"/>
      <c r="AD86" s="105" t="str">
        <f t="shared" si="1"/>
        <v>Aceptable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>
      <c r="A87" s="63">
        <f>Inicial!A49</f>
        <v>0</v>
      </c>
      <c r="B87" s="64">
        <f>Inicial!B49</f>
        <v>0</v>
      </c>
      <c r="C87" s="64">
        <f>Inicial!C49</f>
        <v>0</v>
      </c>
      <c r="D87" s="65">
        <f>Inicial!D49</f>
        <v>0</v>
      </c>
      <c r="E87" s="63" t="str">
        <f>IF(Inicial!K49="SI",Inicial!E49,"N/A")</f>
        <v>N/A</v>
      </c>
      <c r="F87" s="64" t="str">
        <f>IF(Inicial!K49="SI",Inicial!F49,"N/A")</f>
        <v>N/A</v>
      </c>
      <c r="G87" s="64" t="str">
        <f>IF(Inicial!K49="SI",Inicial!G49,"N/A")</f>
        <v>N/A</v>
      </c>
      <c r="H87" s="64" t="str">
        <f>IF(Inicial!K49="SI",Inicial!H49,"N/A")</f>
        <v>N/A</v>
      </c>
      <c r="I87" s="75" t="str">
        <f>IF(Inicial!K49="SI",Inicial!I49,"N/A")</f>
        <v>N/A</v>
      </c>
      <c r="K87" s="6"/>
      <c r="L87" s="6"/>
      <c r="M87" s="6"/>
      <c r="N87" s="6"/>
      <c r="O87" s="6"/>
      <c r="P87" s="100"/>
      <c r="Q87" s="96"/>
      <c r="R87" s="6"/>
      <c r="S87" s="6"/>
      <c r="T87" s="6"/>
      <c r="U87" s="6"/>
      <c r="V87" s="6"/>
      <c r="W87" s="97"/>
      <c r="X87" s="96"/>
      <c r="Y87" s="6"/>
      <c r="Z87" s="6"/>
      <c r="AA87" s="6"/>
      <c r="AB87" s="6"/>
      <c r="AC87" s="97"/>
      <c r="AD87" s="105" t="str">
        <f t="shared" si="1"/>
        <v>Aceptable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>
      <c r="A88" s="63">
        <f>Inicial!A50</f>
        <v>0</v>
      </c>
      <c r="B88" s="64">
        <f>Inicial!B50</f>
        <v>0</v>
      </c>
      <c r="C88" s="64">
        <f>Inicial!C50</f>
        <v>0</v>
      </c>
      <c r="D88" s="65">
        <f>Inicial!D50</f>
        <v>0</v>
      </c>
      <c r="E88" s="63" t="str">
        <f>IF(Inicial!K50="SI",Inicial!E50,"N/A")</f>
        <v>N/A</v>
      </c>
      <c r="F88" s="64" t="str">
        <f>IF(Inicial!K50="SI",Inicial!F50,"N/A")</f>
        <v>N/A</v>
      </c>
      <c r="G88" s="64" t="str">
        <f>IF(Inicial!K50="SI",Inicial!G50,"N/A")</f>
        <v>N/A</v>
      </c>
      <c r="H88" s="64" t="str">
        <f>IF(Inicial!K50="SI",Inicial!H50,"N/A")</f>
        <v>N/A</v>
      </c>
      <c r="I88" s="75" t="str">
        <f>IF(Inicial!K50="SI",Inicial!I50,"N/A")</f>
        <v>N/A</v>
      </c>
      <c r="K88" s="6"/>
      <c r="L88" s="6"/>
      <c r="M88" s="6"/>
      <c r="N88" s="6"/>
      <c r="O88" s="6"/>
      <c r="P88" s="100"/>
      <c r="Q88" s="96"/>
      <c r="R88" s="6"/>
      <c r="S88" s="6"/>
      <c r="T88" s="6"/>
      <c r="U88" s="6"/>
      <c r="V88" s="6"/>
      <c r="W88" s="97"/>
      <c r="X88" s="96"/>
      <c r="Y88" s="6"/>
      <c r="Z88" s="6"/>
      <c r="AA88" s="6"/>
      <c r="AB88" s="6"/>
      <c r="AC88" s="97"/>
      <c r="AD88" s="105" t="str">
        <f t="shared" si="1"/>
        <v>Aceptable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>
      <c r="A89" s="63">
        <f>Inicial!A51</f>
        <v>0</v>
      </c>
      <c r="B89" s="64">
        <f>Inicial!B51</f>
        <v>0</v>
      </c>
      <c r="C89" s="64">
        <f>Inicial!C51</f>
        <v>0</v>
      </c>
      <c r="D89" s="65">
        <f>Inicial!D51</f>
        <v>0</v>
      </c>
      <c r="E89" s="63" t="str">
        <f>IF(Inicial!K51="SI",Inicial!E51,"N/A")</f>
        <v>N/A</v>
      </c>
      <c r="F89" s="64" t="str">
        <f>IF(Inicial!K51="SI",Inicial!F51,"N/A")</f>
        <v>N/A</v>
      </c>
      <c r="G89" s="64" t="str">
        <f>IF(Inicial!K51="SI",Inicial!G51,"N/A")</f>
        <v>N/A</v>
      </c>
      <c r="H89" s="64" t="str">
        <f>IF(Inicial!K51="SI",Inicial!H51,"N/A")</f>
        <v>N/A</v>
      </c>
      <c r="I89" s="75" t="str">
        <f>IF(Inicial!K51="SI",Inicial!I51,"N/A")</f>
        <v>N/A</v>
      </c>
      <c r="K89" s="6"/>
      <c r="L89" s="6"/>
      <c r="M89" s="6"/>
      <c r="N89" s="6"/>
      <c r="O89" s="6"/>
      <c r="P89" s="100"/>
      <c r="Q89" s="96"/>
      <c r="R89" s="6"/>
      <c r="S89" s="6"/>
      <c r="T89" s="6"/>
      <c r="U89" s="6"/>
      <c r="V89" s="6"/>
      <c r="W89" s="97"/>
      <c r="X89" s="96"/>
      <c r="Y89" s="6"/>
      <c r="Z89" s="6"/>
      <c r="AA89" s="6"/>
      <c r="AB89" s="6"/>
      <c r="AC89" s="97"/>
      <c r="AD89" s="105" t="str">
        <f t="shared" si="1"/>
        <v>Aceptable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>
      <c r="A90" s="63">
        <f>Inicial!A52</f>
        <v>0</v>
      </c>
      <c r="B90" s="64">
        <f>Inicial!B52</f>
        <v>0</v>
      </c>
      <c r="C90" s="64">
        <f>Inicial!C52</f>
        <v>0</v>
      </c>
      <c r="D90" s="65">
        <f>Inicial!D52</f>
        <v>0</v>
      </c>
      <c r="E90" s="63" t="str">
        <f>IF(Inicial!K52="SI",Inicial!E52,"N/A")</f>
        <v>N/A</v>
      </c>
      <c r="F90" s="64" t="str">
        <f>IF(Inicial!K52="SI",Inicial!F52,"N/A")</f>
        <v>N/A</v>
      </c>
      <c r="G90" s="64" t="str">
        <f>IF(Inicial!K52="SI",Inicial!G52,"N/A")</f>
        <v>N/A</v>
      </c>
      <c r="H90" s="64" t="str">
        <f>IF(Inicial!K52="SI",Inicial!H52,"N/A")</f>
        <v>N/A</v>
      </c>
      <c r="I90" s="75" t="str">
        <f>IF(Inicial!K52="SI",Inicial!I52,"N/A")</f>
        <v>N/A</v>
      </c>
      <c r="K90" s="6"/>
      <c r="L90" s="6"/>
      <c r="M90" s="6"/>
      <c r="N90" s="6"/>
      <c r="O90" s="6"/>
      <c r="P90" s="100"/>
      <c r="Q90" s="96"/>
      <c r="R90" s="6"/>
      <c r="S90" s="6"/>
      <c r="T90" s="6"/>
      <c r="U90" s="6"/>
      <c r="V90" s="6"/>
      <c r="W90" s="97"/>
      <c r="X90" s="96"/>
      <c r="Y90" s="6"/>
      <c r="Z90" s="6"/>
      <c r="AA90" s="6"/>
      <c r="AB90" s="6"/>
      <c r="AC90" s="97"/>
      <c r="AD90" s="105" t="str">
        <f t="shared" si="1"/>
        <v>Aceptable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>
      <c r="A91" s="63">
        <f>Inicial!A53</f>
        <v>0</v>
      </c>
      <c r="B91" s="64">
        <f>Inicial!B53</f>
        <v>0</v>
      </c>
      <c r="C91" s="64">
        <f>Inicial!C53</f>
        <v>0</v>
      </c>
      <c r="D91" s="65">
        <f>Inicial!D53</f>
        <v>0</v>
      </c>
      <c r="E91" s="63" t="str">
        <f>IF(Inicial!K53="SI",Inicial!E53,"N/A")</f>
        <v>N/A</v>
      </c>
      <c r="F91" s="64" t="str">
        <f>IF(Inicial!K53="SI",Inicial!F53,"N/A")</f>
        <v>N/A</v>
      </c>
      <c r="G91" s="64" t="str">
        <f>IF(Inicial!K53="SI",Inicial!G53,"N/A")</f>
        <v>N/A</v>
      </c>
      <c r="H91" s="64" t="str">
        <f>IF(Inicial!K53="SI",Inicial!H53,"N/A")</f>
        <v>N/A</v>
      </c>
      <c r="I91" s="75" t="str">
        <f>IF(Inicial!K53="SI",Inicial!I53,"N/A")</f>
        <v>N/A</v>
      </c>
      <c r="K91" s="6"/>
      <c r="L91" s="6"/>
      <c r="M91" s="6"/>
      <c r="N91" s="6"/>
      <c r="O91" s="6"/>
      <c r="P91" s="100"/>
      <c r="Q91" s="96"/>
      <c r="R91" s="6"/>
      <c r="S91" s="6"/>
      <c r="T91" s="6"/>
      <c r="U91" s="6"/>
      <c r="V91" s="6"/>
      <c r="W91" s="97"/>
      <c r="X91" s="96"/>
      <c r="Y91" s="6"/>
      <c r="Z91" s="6"/>
      <c r="AA91" s="6"/>
      <c r="AB91" s="6"/>
      <c r="AC91" s="97"/>
      <c r="AD91" s="105" t="str">
        <f t="shared" si="1"/>
        <v>Aceptable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>
      <c r="A92" s="63">
        <f>Inicial!A54</f>
        <v>0</v>
      </c>
      <c r="B92" s="64">
        <f>Inicial!B54</f>
        <v>0</v>
      </c>
      <c r="C92" s="64">
        <f>Inicial!C54</f>
        <v>0</v>
      </c>
      <c r="D92" s="65">
        <f>Inicial!D54</f>
        <v>0</v>
      </c>
      <c r="E92" s="63" t="str">
        <f>IF(Inicial!K54="SI",Inicial!E54,"N/A")</f>
        <v>N/A</v>
      </c>
      <c r="F92" s="64" t="str">
        <f>IF(Inicial!K54="SI",Inicial!F54,"N/A")</f>
        <v>N/A</v>
      </c>
      <c r="G92" s="64" t="str">
        <f>IF(Inicial!K54="SI",Inicial!G54,"N/A")</f>
        <v>N/A</v>
      </c>
      <c r="H92" s="64" t="str">
        <f>IF(Inicial!K54="SI",Inicial!H54,"N/A")</f>
        <v>N/A</v>
      </c>
      <c r="I92" s="75" t="str">
        <f>IF(Inicial!K54="SI",Inicial!I54,"N/A")</f>
        <v>N/A</v>
      </c>
      <c r="K92" s="6"/>
      <c r="L92" s="6"/>
      <c r="M92" s="6"/>
      <c r="N92" s="6"/>
      <c r="O92" s="6"/>
      <c r="P92" s="100"/>
      <c r="Q92" s="96"/>
      <c r="R92" s="6"/>
      <c r="S92" s="6"/>
      <c r="T92" s="6"/>
      <c r="U92" s="6"/>
      <c r="V92" s="6"/>
      <c r="W92" s="97"/>
      <c r="X92" s="96"/>
      <c r="Y92" s="6"/>
      <c r="Z92" s="6"/>
      <c r="AA92" s="6"/>
      <c r="AB92" s="6"/>
      <c r="AC92" s="97"/>
      <c r="AD92" s="105" t="str">
        <f t="shared" si="1"/>
        <v>Aceptable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>
      <c r="A93" s="63">
        <f>Inicial!A55</f>
        <v>0</v>
      </c>
      <c r="B93" s="64">
        <f>Inicial!B55</f>
        <v>0</v>
      </c>
      <c r="C93" s="64">
        <f>Inicial!C55</f>
        <v>0</v>
      </c>
      <c r="D93" s="65">
        <f>Inicial!D55</f>
        <v>0</v>
      </c>
      <c r="E93" s="63" t="str">
        <f>IF(Inicial!K55="SI",Inicial!E55,"N/A")</f>
        <v>N/A</v>
      </c>
      <c r="F93" s="64" t="str">
        <f>IF(Inicial!K55="SI",Inicial!F55,"N/A")</f>
        <v>N/A</v>
      </c>
      <c r="G93" s="64" t="str">
        <f>IF(Inicial!K55="SI",Inicial!G55,"N/A")</f>
        <v>N/A</v>
      </c>
      <c r="H93" s="64" t="str">
        <f>IF(Inicial!K55="SI",Inicial!H55,"N/A")</f>
        <v>N/A</v>
      </c>
      <c r="I93" s="75" t="str">
        <f>IF(Inicial!K55="SI",Inicial!I55,"N/A")</f>
        <v>N/A</v>
      </c>
      <c r="K93" s="6"/>
      <c r="L93" s="6"/>
      <c r="M93" s="6"/>
      <c r="N93" s="6"/>
      <c r="O93" s="6"/>
      <c r="P93" s="100"/>
      <c r="Q93" s="96"/>
      <c r="R93" s="6"/>
      <c r="S93" s="6"/>
      <c r="T93" s="6"/>
      <c r="U93" s="6"/>
      <c r="V93" s="6"/>
      <c r="W93" s="97"/>
      <c r="X93" s="96"/>
      <c r="Y93" s="6"/>
      <c r="Z93" s="6"/>
      <c r="AA93" s="6"/>
      <c r="AB93" s="6"/>
      <c r="AC93" s="97"/>
      <c r="AD93" s="105" t="str">
        <f t="shared" si="1"/>
        <v>Aceptable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>
      <c r="A94" s="63">
        <f>Inicial!A56</f>
        <v>0</v>
      </c>
      <c r="B94" s="64">
        <f>Inicial!B56</f>
        <v>0</v>
      </c>
      <c r="C94" s="64">
        <f>Inicial!C56</f>
        <v>0</v>
      </c>
      <c r="D94" s="65">
        <f>Inicial!D56</f>
        <v>0</v>
      </c>
      <c r="E94" s="63" t="str">
        <f>IF(Inicial!K56="SI",Inicial!E56,"N/A")</f>
        <v>N/A</v>
      </c>
      <c r="F94" s="64" t="str">
        <f>IF(Inicial!K56="SI",Inicial!F56,"N/A")</f>
        <v>N/A</v>
      </c>
      <c r="G94" s="64" t="str">
        <f>IF(Inicial!K56="SI",Inicial!G56,"N/A")</f>
        <v>N/A</v>
      </c>
      <c r="H94" s="64" t="str">
        <f>IF(Inicial!K56="SI",Inicial!H56,"N/A")</f>
        <v>N/A</v>
      </c>
      <c r="I94" s="75" t="str">
        <f>IF(Inicial!K56="SI",Inicial!I56,"N/A")</f>
        <v>N/A</v>
      </c>
      <c r="K94" s="6"/>
      <c r="L94" s="6"/>
      <c r="M94" s="6"/>
      <c r="N94" s="6"/>
      <c r="O94" s="6"/>
      <c r="P94" s="100"/>
      <c r="Q94" s="96"/>
      <c r="R94" s="6"/>
      <c r="S94" s="6"/>
      <c r="T94" s="6"/>
      <c r="U94" s="6"/>
      <c r="V94" s="6"/>
      <c r="W94" s="97"/>
      <c r="X94" s="96"/>
      <c r="Y94" s="6"/>
      <c r="Z94" s="6"/>
      <c r="AA94" s="6"/>
      <c r="AB94" s="6"/>
      <c r="AC94" s="97"/>
      <c r="AD94" s="105" t="str">
        <f t="shared" si="1"/>
        <v>Aceptable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>
      <c r="A95" s="63">
        <f>Inicial!A57</f>
        <v>0</v>
      </c>
      <c r="B95" s="64">
        <f>Inicial!B57</f>
        <v>0</v>
      </c>
      <c r="C95" s="64">
        <f>Inicial!C57</f>
        <v>0</v>
      </c>
      <c r="D95" s="65">
        <f>Inicial!D57</f>
        <v>0</v>
      </c>
      <c r="E95" s="63" t="str">
        <f>IF(Inicial!K57="SI",Inicial!E57,"N/A")</f>
        <v>N/A</v>
      </c>
      <c r="F95" s="64" t="str">
        <f>IF(Inicial!K57="SI",Inicial!F57,"N/A")</f>
        <v>N/A</v>
      </c>
      <c r="G95" s="64" t="str">
        <f>IF(Inicial!K57="SI",Inicial!G57,"N/A")</f>
        <v>N/A</v>
      </c>
      <c r="H95" s="64" t="str">
        <f>IF(Inicial!K57="SI",Inicial!H57,"N/A")</f>
        <v>N/A</v>
      </c>
      <c r="I95" s="75" t="str">
        <f>IF(Inicial!K57="SI",Inicial!I57,"N/A")</f>
        <v>N/A</v>
      </c>
      <c r="K95" s="6"/>
      <c r="L95" s="6"/>
      <c r="M95" s="6"/>
      <c r="N95" s="6"/>
      <c r="O95" s="6"/>
      <c r="P95" s="100"/>
      <c r="Q95" s="96"/>
      <c r="R95" s="6"/>
      <c r="S95" s="6"/>
      <c r="T95" s="6"/>
      <c r="U95" s="6"/>
      <c r="V95" s="6"/>
      <c r="W95" s="97"/>
      <c r="X95" s="96"/>
      <c r="Y95" s="6"/>
      <c r="Z95" s="6"/>
      <c r="AA95" s="6"/>
      <c r="AB95" s="6"/>
      <c r="AC95" s="97"/>
      <c r="AD95" s="105" t="str">
        <f t="shared" si="1"/>
        <v>Aceptable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>
      <c r="A96" s="63">
        <f>Inicial!A58</f>
        <v>0</v>
      </c>
      <c r="B96" s="64">
        <f>Inicial!B58</f>
        <v>0</v>
      </c>
      <c r="C96" s="64">
        <f>Inicial!C58</f>
        <v>0</v>
      </c>
      <c r="D96" s="65">
        <f>Inicial!D58</f>
        <v>0</v>
      </c>
      <c r="E96" s="63" t="str">
        <f>IF(Inicial!K58="SI",Inicial!E58,"N/A")</f>
        <v>N/A</v>
      </c>
      <c r="F96" s="64" t="str">
        <f>IF(Inicial!K58="SI",Inicial!F58,"N/A")</f>
        <v>N/A</v>
      </c>
      <c r="G96" s="64" t="str">
        <f>IF(Inicial!K58="SI",Inicial!G58,"N/A")</f>
        <v>N/A</v>
      </c>
      <c r="H96" s="64" t="str">
        <f>IF(Inicial!K58="SI",Inicial!H58,"N/A")</f>
        <v>N/A</v>
      </c>
      <c r="I96" s="75" t="str">
        <f>IF(Inicial!K58="SI",Inicial!I58,"N/A")</f>
        <v>N/A</v>
      </c>
      <c r="K96" s="6"/>
      <c r="L96" s="6"/>
      <c r="M96" s="6"/>
      <c r="N96" s="6"/>
      <c r="O96" s="6"/>
      <c r="P96" s="100"/>
      <c r="Q96" s="96"/>
      <c r="R96" s="6"/>
      <c r="S96" s="6"/>
      <c r="T96" s="6"/>
      <c r="U96" s="6"/>
      <c r="V96" s="6"/>
      <c r="W96" s="97"/>
      <c r="X96" s="96"/>
      <c r="Y96" s="6"/>
      <c r="Z96" s="6"/>
      <c r="AA96" s="6"/>
      <c r="AB96" s="6"/>
      <c r="AC96" s="97"/>
      <c r="AD96" s="105" t="str">
        <f t="shared" si="1"/>
        <v>Aceptable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>
      <c r="A97" s="63">
        <f>Inicial!A59</f>
        <v>0</v>
      </c>
      <c r="B97" s="64">
        <f>Inicial!B59</f>
        <v>0</v>
      </c>
      <c r="C97" s="64">
        <f>Inicial!C59</f>
        <v>0</v>
      </c>
      <c r="D97" s="65">
        <f>Inicial!D59</f>
        <v>0</v>
      </c>
      <c r="E97" s="63" t="str">
        <f>IF(Inicial!K59="SI",Inicial!E59,"N/A")</f>
        <v>N/A</v>
      </c>
      <c r="F97" s="64" t="str">
        <f>IF(Inicial!K59="SI",Inicial!F59,"N/A")</f>
        <v>N/A</v>
      </c>
      <c r="G97" s="64" t="str">
        <f>IF(Inicial!K59="SI",Inicial!G59,"N/A")</f>
        <v>N/A</v>
      </c>
      <c r="H97" s="64" t="str">
        <f>IF(Inicial!K59="SI",Inicial!H59,"N/A")</f>
        <v>N/A</v>
      </c>
      <c r="I97" s="75" t="str">
        <f>IF(Inicial!K59="SI",Inicial!I59,"N/A")</f>
        <v>N/A</v>
      </c>
      <c r="K97" s="6"/>
      <c r="L97" s="6"/>
      <c r="M97" s="6"/>
      <c r="N97" s="6"/>
      <c r="O97" s="6"/>
      <c r="P97" s="100"/>
      <c r="Q97" s="96"/>
      <c r="R97" s="6"/>
      <c r="S97" s="6"/>
      <c r="T97" s="6"/>
      <c r="U97" s="6"/>
      <c r="V97" s="6"/>
      <c r="W97" s="97"/>
      <c r="X97" s="96"/>
      <c r="Y97" s="6"/>
      <c r="Z97" s="6"/>
      <c r="AA97" s="6"/>
      <c r="AB97" s="6"/>
      <c r="AC97" s="97"/>
      <c r="AD97" s="105" t="str">
        <f t="shared" si="1"/>
        <v>Aceptable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>
      <c r="A98" s="63">
        <f>Inicial!A60</f>
        <v>0</v>
      </c>
      <c r="B98" s="64">
        <f>Inicial!B60</f>
        <v>0</v>
      </c>
      <c r="C98" s="64">
        <f>Inicial!C60</f>
        <v>0</v>
      </c>
      <c r="D98" s="65">
        <f>Inicial!D60</f>
        <v>0</v>
      </c>
      <c r="E98" s="63" t="str">
        <f>IF(Inicial!K60="SI",Inicial!E60,"N/A")</f>
        <v>N/A</v>
      </c>
      <c r="F98" s="64" t="str">
        <f>IF(Inicial!K60="SI",Inicial!F60,"N/A")</f>
        <v>N/A</v>
      </c>
      <c r="G98" s="64" t="str">
        <f>IF(Inicial!K60="SI",Inicial!G60,"N/A")</f>
        <v>N/A</v>
      </c>
      <c r="H98" s="64" t="str">
        <f>IF(Inicial!K60="SI",Inicial!H60,"N/A")</f>
        <v>N/A</v>
      </c>
      <c r="I98" s="75" t="str">
        <f>IF(Inicial!K60="SI",Inicial!I60,"N/A")</f>
        <v>N/A</v>
      </c>
      <c r="K98" s="6"/>
      <c r="L98" s="6"/>
      <c r="M98" s="6"/>
      <c r="N98" s="6"/>
      <c r="O98" s="6"/>
      <c r="P98" s="100"/>
      <c r="Q98" s="96"/>
      <c r="R98" s="6"/>
      <c r="S98" s="6"/>
      <c r="T98" s="6"/>
      <c r="U98" s="6"/>
      <c r="V98" s="6"/>
      <c r="W98" s="97"/>
      <c r="X98" s="96"/>
      <c r="Y98" s="6"/>
      <c r="Z98" s="6"/>
      <c r="AA98" s="6"/>
      <c r="AB98" s="6"/>
      <c r="AC98" s="97"/>
      <c r="AD98" s="105" t="str">
        <f t="shared" si="1"/>
        <v>Aceptable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>
      <c r="A99" s="63">
        <f>Inicial!A61</f>
        <v>0</v>
      </c>
      <c r="B99" s="64">
        <f>Inicial!B61</f>
        <v>0</v>
      </c>
      <c r="C99" s="64">
        <f>Inicial!C61</f>
        <v>0</v>
      </c>
      <c r="D99" s="65">
        <f>Inicial!D61</f>
        <v>0</v>
      </c>
      <c r="E99" s="63" t="str">
        <f>IF(Inicial!K61="SI",Inicial!E61,"N/A")</f>
        <v>N/A</v>
      </c>
      <c r="F99" s="64" t="str">
        <f>IF(Inicial!K61="SI",Inicial!F61,"N/A")</f>
        <v>N/A</v>
      </c>
      <c r="G99" s="64" t="str">
        <f>IF(Inicial!K61="SI",Inicial!G61,"N/A")</f>
        <v>N/A</v>
      </c>
      <c r="H99" s="64" t="str">
        <f>IF(Inicial!K61="SI",Inicial!H61,"N/A")</f>
        <v>N/A</v>
      </c>
      <c r="I99" s="75" t="str">
        <f>IF(Inicial!K61="SI",Inicial!I61,"N/A")</f>
        <v>N/A</v>
      </c>
      <c r="K99" s="6"/>
      <c r="L99" s="6"/>
      <c r="M99" s="6"/>
      <c r="N99" s="6"/>
      <c r="O99" s="6"/>
      <c r="P99" s="100"/>
      <c r="Q99" s="96"/>
      <c r="R99" s="6"/>
      <c r="S99" s="6"/>
      <c r="T99" s="6"/>
      <c r="U99" s="6"/>
      <c r="V99" s="6"/>
      <c r="W99" s="97"/>
      <c r="X99" s="96"/>
      <c r="Y99" s="6"/>
      <c r="Z99" s="6"/>
      <c r="AA99" s="6"/>
      <c r="AB99" s="6"/>
      <c r="AC99" s="97"/>
      <c r="AD99" s="105" t="str">
        <f t="shared" si="1"/>
        <v>Aceptable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>
      <c r="A100" s="63">
        <f>Inicial!A62</f>
        <v>0</v>
      </c>
      <c r="B100" s="64">
        <f>Inicial!B62</f>
        <v>0</v>
      </c>
      <c r="C100" s="64">
        <f>Inicial!C62</f>
        <v>0</v>
      </c>
      <c r="D100" s="65">
        <f>Inicial!D62</f>
        <v>0</v>
      </c>
      <c r="E100" s="63" t="str">
        <f>IF(Inicial!K62="SI",Inicial!E62,"N/A")</f>
        <v>N/A</v>
      </c>
      <c r="F100" s="64" t="str">
        <f>IF(Inicial!K62="SI",Inicial!F62,"N/A")</f>
        <v>N/A</v>
      </c>
      <c r="G100" s="64" t="str">
        <f>IF(Inicial!K62="SI",Inicial!G62,"N/A")</f>
        <v>N/A</v>
      </c>
      <c r="H100" s="64" t="str">
        <f>IF(Inicial!K62="SI",Inicial!H62,"N/A")</f>
        <v>N/A</v>
      </c>
      <c r="I100" s="75" t="str">
        <f>IF(Inicial!K62="SI",Inicial!I62,"N/A")</f>
        <v>N/A</v>
      </c>
      <c r="K100" s="6"/>
      <c r="L100" s="6"/>
      <c r="M100" s="6"/>
      <c r="N100" s="6"/>
      <c r="O100" s="6"/>
      <c r="P100" s="100"/>
      <c r="Q100" s="96"/>
      <c r="R100" s="6"/>
      <c r="S100" s="6"/>
      <c r="T100" s="6"/>
      <c r="U100" s="6"/>
      <c r="V100" s="6"/>
      <c r="W100" s="97"/>
      <c r="X100" s="96"/>
      <c r="Y100" s="6"/>
      <c r="Z100" s="6"/>
      <c r="AA100" s="6"/>
      <c r="AB100" s="6"/>
      <c r="AC100" s="97"/>
      <c r="AD100" s="105" t="str">
        <f t="shared" si="1"/>
        <v>Aceptable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>
      <c r="A101" s="63">
        <f>Inicial!A63</f>
        <v>0</v>
      </c>
      <c r="B101" s="64">
        <f>Inicial!B63</f>
        <v>0</v>
      </c>
      <c r="C101" s="64">
        <f>Inicial!C63</f>
        <v>0</v>
      </c>
      <c r="D101" s="65">
        <f>Inicial!D63</f>
        <v>0</v>
      </c>
      <c r="E101" s="63" t="str">
        <f>IF(Inicial!K63="SI",Inicial!E63,"N/A")</f>
        <v>N/A</v>
      </c>
      <c r="F101" s="64" t="str">
        <f>IF(Inicial!K63="SI",Inicial!F63,"N/A")</f>
        <v>N/A</v>
      </c>
      <c r="G101" s="64" t="str">
        <f>IF(Inicial!K63="SI",Inicial!G63,"N/A")</f>
        <v>N/A</v>
      </c>
      <c r="H101" s="64" t="str">
        <f>IF(Inicial!K63="SI",Inicial!H63,"N/A")</f>
        <v>N/A</v>
      </c>
      <c r="I101" s="75" t="str">
        <f>IF(Inicial!K63="SI",Inicial!I63,"N/A")</f>
        <v>N/A</v>
      </c>
      <c r="K101" s="6"/>
      <c r="L101" s="6"/>
      <c r="M101" s="6"/>
      <c r="N101" s="6"/>
      <c r="O101" s="6"/>
      <c r="P101" s="100"/>
      <c r="Q101" s="96"/>
      <c r="R101" s="6"/>
      <c r="S101" s="6"/>
      <c r="T101" s="6"/>
      <c r="U101" s="6"/>
      <c r="V101" s="6"/>
      <c r="W101" s="97"/>
      <c r="X101" s="96"/>
      <c r="Y101" s="6"/>
      <c r="Z101" s="6"/>
      <c r="AA101" s="6"/>
      <c r="AB101" s="6"/>
      <c r="AC101" s="97"/>
      <c r="AD101" s="105" t="str">
        <f t="shared" si="1"/>
        <v>Aceptable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>
      <c r="A102" s="63">
        <f>Inicial!A64</f>
        <v>0</v>
      </c>
      <c r="B102" s="64">
        <f>Inicial!B64</f>
        <v>0</v>
      </c>
      <c r="C102" s="64">
        <f>Inicial!C64</f>
        <v>0</v>
      </c>
      <c r="D102" s="65">
        <f>Inicial!D64</f>
        <v>0</v>
      </c>
      <c r="E102" s="63" t="str">
        <f>IF(Inicial!K64="SI",Inicial!E64,"N/A")</f>
        <v>N/A</v>
      </c>
      <c r="F102" s="64" t="str">
        <f>IF(Inicial!K64="SI",Inicial!F64,"N/A")</f>
        <v>N/A</v>
      </c>
      <c r="G102" s="64" t="str">
        <f>IF(Inicial!K64="SI",Inicial!G64,"N/A")</f>
        <v>N/A</v>
      </c>
      <c r="H102" s="64" t="str">
        <f>IF(Inicial!K64="SI",Inicial!H64,"N/A")</f>
        <v>N/A</v>
      </c>
      <c r="I102" s="75" t="str">
        <f>IF(Inicial!K64="SI",Inicial!I64,"N/A")</f>
        <v>N/A</v>
      </c>
      <c r="K102" s="6"/>
      <c r="L102" s="6"/>
      <c r="M102" s="6"/>
      <c r="N102" s="6"/>
      <c r="O102" s="6"/>
      <c r="P102" s="100"/>
      <c r="Q102" s="96"/>
      <c r="R102" s="6"/>
      <c r="S102" s="6"/>
      <c r="T102" s="6"/>
      <c r="U102" s="6"/>
      <c r="V102" s="6"/>
      <c r="W102" s="97"/>
      <c r="X102" s="96"/>
      <c r="Y102" s="6"/>
      <c r="Z102" s="6"/>
      <c r="AA102" s="6"/>
      <c r="AB102" s="6"/>
      <c r="AC102" s="97"/>
      <c r="AD102" s="105" t="str">
        <f t="shared" si="1"/>
        <v>Aceptable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>
      <c r="A103" s="63">
        <f>Inicial!A65</f>
        <v>0</v>
      </c>
      <c r="B103" s="64">
        <f>Inicial!B65</f>
        <v>0</v>
      </c>
      <c r="C103" s="64">
        <f>Inicial!C65</f>
        <v>0</v>
      </c>
      <c r="D103" s="65">
        <f>Inicial!D65</f>
        <v>0</v>
      </c>
      <c r="E103" s="63" t="str">
        <f>IF(Inicial!K65="SI",Inicial!E65,"N/A")</f>
        <v>N/A</v>
      </c>
      <c r="F103" s="64" t="str">
        <f>IF(Inicial!K65="SI",Inicial!F65,"N/A")</f>
        <v>N/A</v>
      </c>
      <c r="G103" s="64" t="str">
        <f>IF(Inicial!K65="SI",Inicial!G65,"N/A")</f>
        <v>N/A</v>
      </c>
      <c r="H103" s="64" t="str">
        <f>IF(Inicial!K65="SI",Inicial!H65,"N/A")</f>
        <v>N/A</v>
      </c>
      <c r="I103" s="75" t="str">
        <f>IF(Inicial!K65="SI",Inicial!I65,"N/A")</f>
        <v>N/A</v>
      </c>
      <c r="K103" s="6"/>
      <c r="L103" s="6"/>
      <c r="M103" s="6"/>
      <c r="N103" s="6"/>
      <c r="O103" s="6"/>
      <c r="P103" s="100"/>
      <c r="Q103" s="96"/>
      <c r="R103" s="6"/>
      <c r="S103" s="6"/>
      <c r="T103" s="6"/>
      <c r="U103" s="6"/>
      <c r="V103" s="6"/>
      <c r="W103" s="97"/>
      <c r="X103" s="96"/>
      <c r="Y103" s="6"/>
      <c r="Z103" s="6"/>
      <c r="AA103" s="6"/>
      <c r="AB103" s="6"/>
      <c r="AC103" s="97"/>
      <c r="AD103" s="105" t="str">
        <f t="shared" si="1"/>
        <v>Aceptable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>
      <c r="A104" s="63">
        <f>Inicial!A66</f>
        <v>0</v>
      </c>
      <c r="B104" s="64">
        <f>Inicial!B66</f>
        <v>0</v>
      </c>
      <c r="C104" s="64">
        <f>Inicial!C66</f>
        <v>0</v>
      </c>
      <c r="D104" s="65">
        <f>Inicial!D66</f>
        <v>0</v>
      </c>
      <c r="E104" s="63" t="str">
        <f>IF(Inicial!K66="SI",Inicial!E66,"N/A")</f>
        <v>N/A</v>
      </c>
      <c r="F104" s="64" t="str">
        <f>IF(Inicial!K66="SI",Inicial!F66,"N/A")</f>
        <v>N/A</v>
      </c>
      <c r="G104" s="64" t="str">
        <f>IF(Inicial!K66="SI",Inicial!G66,"N/A")</f>
        <v>N/A</v>
      </c>
      <c r="H104" s="64" t="str">
        <f>IF(Inicial!K66="SI",Inicial!H66,"N/A")</f>
        <v>N/A</v>
      </c>
      <c r="I104" s="75" t="str">
        <f>IF(Inicial!K66="SI",Inicial!I66,"N/A")</f>
        <v>N/A</v>
      </c>
      <c r="K104" s="6"/>
      <c r="L104" s="6"/>
      <c r="M104" s="6"/>
      <c r="N104" s="6"/>
      <c r="O104" s="6"/>
      <c r="P104" s="100"/>
      <c r="Q104" s="96"/>
      <c r="R104" s="6"/>
      <c r="S104" s="6"/>
      <c r="T104" s="6"/>
      <c r="U104" s="6"/>
      <c r="V104" s="6"/>
      <c r="W104" s="97"/>
      <c r="X104" s="96"/>
      <c r="Y104" s="6"/>
      <c r="Z104" s="6"/>
      <c r="AA104" s="6"/>
      <c r="AB104" s="6"/>
      <c r="AC104" s="97"/>
      <c r="AD104" s="105" t="str">
        <f t="shared" si="1"/>
        <v>Aceptable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>
      <c r="A105" s="63">
        <f>Inicial!A67</f>
        <v>0</v>
      </c>
      <c r="B105" s="64">
        <f>Inicial!B67</f>
        <v>0</v>
      </c>
      <c r="C105" s="64">
        <f>Inicial!C67</f>
        <v>0</v>
      </c>
      <c r="D105" s="65">
        <f>Inicial!D67</f>
        <v>0</v>
      </c>
      <c r="E105" s="63" t="str">
        <f>IF(Inicial!K67="SI",Inicial!E67,"N/A")</f>
        <v>N/A</v>
      </c>
      <c r="F105" s="64" t="str">
        <f>IF(Inicial!K67="SI",Inicial!F67,"N/A")</f>
        <v>N/A</v>
      </c>
      <c r="G105" s="64" t="str">
        <f>IF(Inicial!K67="SI",Inicial!G67,"N/A")</f>
        <v>N/A</v>
      </c>
      <c r="H105" s="64" t="str">
        <f>IF(Inicial!K67="SI",Inicial!H67,"N/A")</f>
        <v>N/A</v>
      </c>
      <c r="I105" s="75" t="str">
        <f>IF(Inicial!K67="SI",Inicial!I67,"N/A")</f>
        <v>N/A</v>
      </c>
      <c r="K105" s="6"/>
      <c r="L105" s="6"/>
      <c r="M105" s="6"/>
      <c r="N105" s="6"/>
      <c r="O105" s="6"/>
      <c r="P105" s="100"/>
      <c r="Q105" s="96"/>
      <c r="R105" s="6"/>
      <c r="S105" s="6"/>
      <c r="T105" s="6"/>
      <c r="U105" s="6"/>
      <c r="V105" s="6"/>
      <c r="W105" s="97"/>
      <c r="X105" s="96"/>
      <c r="Y105" s="6"/>
      <c r="Z105" s="6"/>
      <c r="AA105" s="6"/>
      <c r="AB105" s="6"/>
      <c r="AC105" s="97"/>
      <c r="AD105" s="105" t="str">
        <f t="shared" si="1"/>
        <v>Aceptable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>
      <c r="A106" s="63">
        <f>Inicial!A68</f>
        <v>0</v>
      </c>
      <c r="B106" s="64">
        <f>Inicial!B68</f>
        <v>0</v>
      </c>
      <c r="C106" s="64">
        <f>Inicial!C68</f>
        <v>0</v>
      </c>
      <c r="D106" s="65">
        <f>Inicial!D68</f>
        <v>0</v>
      </c>
      <c r="E106" s="63" t="str">
        <f>IF(Inicial!K68="SI",Inicial!E68,"N/A")</f>
        <v>N/A</v>
      </c>
      <c r="F106" s="64" t="str">
        <f>IF(Inicial!K68="SI",Inicial!F68,"N/A")</f>
        <v>N/A</v>
      </c>
      <c r="G106" s="64" t="str">
        <f>IF(Inicial!K68="SI",Inicial!G68,"N/A")</f>
        <v>N/A</v>
      </c>
      <c r="H106" s="64" t="str">
        <f>IF(Inicial!K68="SI",Inicial!H68,"N/A")</f>
        <v>N/A</v>
      </c>
      <c r="I106" s="75" t="str">
        <f>IF(Inicial!K68="SI",Inicial!I68,"N/A")</f>
        <v>N/A</v>
      </c>
      <c r="K106" s="6"/>
      <c r="L106" s="6"/>
      <c r="M106" s="6"/>
      <c r="N106" s="6"/>
      <c r="O106" s="6"/>
      <c r="P106" s="100"/>
      <c r="Q106" s="96"/>
      <c r="R106" s="6"/>
      <c r="S106" s="6"/>
      <c r="T106" s="6"/>
      <c r="U106" s="6"/>
      <c r="V106" s="6"/>
      <c r="W106" s="97"/>
      <c r="X106" s="96"/>
      <c r="Y106" s="6"/>
      <c r="Z106" s="6"/>
      <c r="AA106" s="6"/>
      <c r="AB106" s="6"/>
      <c r="AC106" s="97"/>
      <c r="AD106" s="105" t="str">
        <f t="shared" si="1"/>
        <v>Aceptable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>
      <c r="A107" s="63">
        <f>Inicial!A69</f>
        <v>0</v>
      </c>
      <c r="B107" s="64">
        <f>Inicial!B69</f>
        <v>0</v>
      </c>
      <c r="C107" s="64">
        <f>Inicial!C69</f>
        <v>0</v>
      </c>
      <c r="D107" s="65">
        <f>Inicial!D69</f>
        <v>0</v>
      </c>
      <c r="E107" s="63" t="str">
        <f>IF(Inicial!K69="SI",Inicial!E69,"N/A")</f>
        <v>N/A</v>
      </c>
      <c r="F107" s="64" t="str">
        <f>IF(Inicial!K69="SI",Inicial!F69,"N/A")</f>
        <v>N/A</v>
      </c>
      <c r="G107" s="64" t="str">
        <f>IF(Inicial!K69="SI",Inicial!G69,"N/A")</f>
        <v>N/A</v>
      </c>
      <c r="H107" s="64" t="str">
        <f>IF(Inicial!K69="SI",Inicial!H69,"N/A")</f>
        <v>N/A</v>
      </c>
      <c r="I107" s="75" t="str">
        <f>IF(Inicial!K69="SI",Inicial!I69,"N/A")</f>
        <v>N/A</v>
      </c>
      <c r="K107" s="6"/>
      <c r="L107" s="6"/>
      <c r="M107" s="6"/>
      <c r="N107" s="6"/>
      <c r="O107" s="6"/>
      <c r="P107" s="100"/>
      <c r="Q107" s="96"/>
      <c r="R107" s="6"/>
      <c r="S107" s="6"/>
      <c r="T107" s="6"/>
      <c r="U107" s="6"/>
      <c r="V107" s="6"/>
      <c r="W107" s="97"/>
      <c r="X107" s="96"/>
      <c r="Y107" s="6"/>
      <c r="Z107" s="6"/>
      <c r="AA107" s="6"/>
      <c r="AB107" s="6"/>
      <c r="AC107" s="97"/>
      <c r="AD107" s="105" t="str">
        <f t="shared" si="1"/>
        <v>Aceptable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>
      <c r="A108" s="63">
        <f>Inicial!A70</f>
        <v>0</v>
      </c>
      <c r="B108" s="64">
        <f>Inicial!B70</f>
        <v>0</v>
      </c>
      <c r="C108" s="64">
        <f>Inicial!C70</f>
        <v>0</v>
      </c>
      <c r="D108" s="65">
        <f>Inicial!D70</f>
        <v>0</v>
      </c>
      <c r="E108" s="63" t="str">
        <f>IF(Inicial!K70="SI",Inicial!E70,"N/A")</f>
        <v>N/A</v>
      </c>
      <c r="F108" s="64" t="str">
        <f>IF(Inicial!K70="SI",Inicial!F70,"N/A")</f>
        <v>N/A</v>
      </c>
      <c r="G108" s="64" t="str">
        <f>IF(Inicial!K70="SI",Inicial!G70,"N/A")</f>
        <v>N/A</v>
      </c>
      <c r="H108" s="64" t="str">
        <f>IF(Inicial!K70="SI",Inicial!H70,"N/A")</f>
        <v>N/A</v>
      </c>
      <c r="I108" s="75" t="str">
        <f>IF(Inicial!K70="SI",Inicial!I70,"N/A")</f>
        <v>N/A</v>
      </c>
      <c r="K108" s="6"/>
      <c r="L108" s="6"/>
      <c r="M108" s="6"/>
      <c r="N108" s="6"/>
      <c r="O108" s="6"/>
      <c r="P108" s="100"/>
      <c r="Q108" s="96"/>
      <c r="R108" s="6"/>
      <c r="S108" s="6"/>
      <c r="T108" s="6"/>
      <c r="U108" s="6"/>
      <c r="V108" s="6"/>
      <c r="W108" s="97"/>
      <c r="X108" s="96"/>
      <c r="Y108" s="6"/>
      <c r="Z108" s="6"/>
      <c r="AA108" s="6"/>
      <c r="AB108" s="6"/>
      <c r="AC108" s="97"/>
      <c r="AD108" s="105" t="str">
        <f t="shared" si="1"/>
        <v>Aceptable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>
      <c r="A109" s="63">
        <f>Inicial!A71</f>
        <v>0</v>
      </c>
      <c r="B109" s="64">
        <f>Inicial!B71</f>
        <v>0</v>
      </c>
      <c r="C109" s="64">
        <f>Inicial!C71</f>
        <v>0</v>
      </c>
      <c r="D109" s="65">
        <f>Inicial!D71</f>
        <v>0</v>
      </c>
      <c r="E109" s="63" t="str">
        <f>IF(Inicial!K71="SI",Inicial!E71,"N/A")</f>
        <v>N/A</v>
      </c>
      <c r="F109" s="64" t="str">
        <f>IF(Inicial!K71="SI",Inicial!F71,"N/A")</f>
        <v>N/A</v>
      </c>
      <c r="G109" s="64" t="str">
        <f>IF(Inicial!K71="SI",Inicial!G71,"N/A")</f>
        <v>N/A</v>
      </c>
      <c r="H109" s="64" t="str">
        <f>IF(Inicial!K71="SI",Inicial!H71,"N/A")</f>
        <v>N/A</v>
      </c>
      <c r="I109" s="75" t="str">
        <f>IF(Inicial!K71="SI",Inicial!I71,"N/A")</f>
        <v>N/A</v>
      </c>
      <c r="K109" s="6"/>
      <c r="L109" s="6"/>
      <c r="M109" s="6"/>
      <c r="N109" s="6"/>
      <c r="O109" s="6"/>
      <c r="P109" s="100"/>
      <c r="Q109" s="96"/>
      <c r="R109" s="6"/>
      <c r="S109" s="6"/>
      <c r="T109" s="6"/>
      <c r="U109" s="6"/>
      <c r="V109" s="6"/>
      <c r="W109" s="97"/>
      <c r="X109" s="96"/>
      <c r="Y109" s="6"/>
      <c r="Z109" s="6"/>
      <c r="AA109" s="6"/>
      <c r="AB109" s="6"/>
      <c r="AC109" s="97"/>
      <c r="AD109" s="105" t="str">
        <f t="shared" si="1"/>
        <v>Aceptable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>
      <c r="A110" s="63">
        <f>Inicial!A72</f>
        <v>0</v>
      </c>
      <c r="B110" s="64">
        <f>Inicial!B72</f>
        <v>0</v>
      </c>
      <c r="C110" s="64">
        <f>Inicial!C72</f>
        <v>0</v>
      </c>
      <c r="D110" s="65">
        <f>Inicial!D72</f>
        <v>0</v>
      </c>
      <c r="E110" s="63" t="str">
        <f>IF(Inicial!K72="SI",Inicial!E72,"N/A")</f>
        <v>N/A</v>
      </c>
      <c r="F110" s="64" t="str">
        <f>IF(Inicial!K72="SI",Inicial!F72,"N/A")</f>
        <v>N/A</v>
      </c>
      <c r="G110" s="64" t="str">
        <f>IF(Inicial!K72="SI",Inicial!G72,"N/A")</f>
        <v>N/A</v>
      </c>
      <c r="H110" s="64" t="str">
        <f>IF(Inicial!K72="SI",Inicial!H72,"N/A")</f>
        <v>N/A</v>
      </c>
      <c r="I110" s="75" t="str">
        <f>IF(Inicial!K72="SI",Inicial!I72,"N/A")</f>
        <v>N/A</v>
      </c>
      <c r="K110" s="6"/>
      <c r="L110" s="6"/>
      <c r="M110" s="6"/>
      <c r="N110" s="6"/>
      <c r="O110" s="6"/>
      <c r="P110" s="100"/>
      <c r="Q110" s="96"/>
      <c r="R110" s="6"/>
      <c r="S110" s="6"/>
      <c r="T110" s="6"/>
      <c r="U110" s="6"/>
      <c r="V110" s="6"/>
      <c r="W110" s="97"/>
      <c r="X110" s="96"/>
      <c r="Y110" s="6"/>
      <c r="Z110" s="6"/>
      <c r="AA110" s="6"/>
      <c r="AB110" s="6"/>
      <c r="AC110" s="97"/>
      <c r="AD110" s="105" t="str">
        <f t="shared" si="1"/>
        <v>Aceptable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>
      <c r="A111" s="63">
        <f>Inicial!A73</f>
        <v>0</v>
      </c>
      <c r="B111" s="64">
        <f>Inicial!B73</f>
        <v>0</v>
      </c>
      <c r="C111" s="64">
        <f>Inicial!C73</f>
        <v>0</v>
      </c>
      <c r="D111" s="65">
        <f>Inicial!D73</f>
        <v>0</v>
      </c>
      <c r="E111" s="63" t="str">
        <f>IF(Inicial!K73="SI",Inicial!E73,"N/A")</f>
        <v>N/A</v>
      </c>
      <c r="F111" s="64" t="str">
        <f>IF(Inicial!K73="SI",Inicial!F73,"N/A")</f>
        <v>N/A</v>
      </c>
      <c r="G111" s="64" t="str">
        <f>IF(Inicial!K73="SI",Inicial!G73,"N/A")</f>
        <v>N/A</v>
      </c>
      <c r="H111" s="64" t="str">
        <f>IF(Inicial!K73="SI",Inicial!H73,"N/A")</f>
        <v>N/A</v>
      </c>
      <c r="I111" s="75" t="str">
        <f>IF(Inicial!K73="SI",Inicial!I73,"N/A")</f>
        <v>N/A</v>
      </c>
      <c r="K111" s="6"/>
      <c r="L111" s="6"/>
      <c r="M111" s="6"/>
      <c r="N111" s="6"/>
      <c r="O111" s="6"/>
      <c r="P111" s="100"/>
      <c r="Q111" s="96"/>
      <c r="R111" s="6"/>
      <c r="S111" s="6"/>
      <c r="T111" s="6"/>
      <c r="U111" s="6"/>
      <c r="V111" s="6"/>
      <c r="W111" s="97"/>
      <c r="X111" s="96"/>
      <c r="Y111" s="6"/>
      <c r="Z111" s="6"/>
      <c r="AA111" s="6"/>
      <c r="AB111" s="6"/>
      <c r="AC111" s="97"/>
      <c r="AD111" s="105" t="str">
        <f t="shared" si="1"/>
        <v>Aceptable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>
      <c r="A112" s="63">
        <f>Inicial!A74</f>
        <v>0</v>
      </c>
      <c r="B112" s="64">
        <f>Inicial!B74</f>
        <v>0</v>
      </c>
      <c r="C112" s="64">
        <f>Inicial!C74</f>
        <v>0</v>
      </c>
      <c r="D112" s="65">
        <f>Inicial!D74</f>
        <v>0</v>
      </c>
      <c r="E112" s="63" t="str">
        <f>IF(Inicial!K74="SI",Inicial!E74,"N/A")</f>
        <v>N/A</v>
      </c>
      <c r="F112" s="64" t="str">
        <f>IF(Inicial!K74="SI",Inicial!F74,"N/A")</f>
        <v>N/A</v>
      </c>
      <c r="G112" s="64" t="str">
        <f>IF(Inicial!K74="SI",Inicial!G74,"N/A")</f>
        <v>N/A</v>
      </c>
      <c r="H112" s="64" t="str">
        <f>IF(Inicial!K74="SI",Inicial!H74,"N/A")</f>
        <v>N/A</v>
      </c>
      <c r="I112" s="75" t="str">
        <f>IF(Inicial!K74="SI",Inicial!I74,"N/A")</f>
        <v>N/A</v>
      </c>
      <c r="K112" s="6"/>
      <c r="L112" s="6"/>
      <c r="M112" s="6"/>
      <c r="N112" s="6"/>
      <c r="O112" s="6"/>
      <c r="P112" s="100"/>
      <c r="Q112" s="96"/>
      <c r="R112" s="6"/>
      <c r="S112" s="6"/>
      <c r="T112" s="6"/>
      <c r="U112" s="6"/>
      <c r="V112" s="6"/>
      <c r="W112" s="97"/>
      <c r="X112" s="96"/>
      <c r="Y112" s="6"/>
      <c r="Z112" s="6"/>
      <c r="AA112" s="6"/>
      <c r="AB112" s="6"/>
      <c r="AC112" s="97"/>
      <c r="AD112" s="105" t="str">
        <f t="shared" si="1"/>
        <v>Aceptable</v>
      </c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>
      <c r="A113" s="63">
        <f>Inicial!A75</f>
        <v>0</v>
      </c>
      <c r="B113" s="64">
        <f>Inicial!B75</f>
        <v>0</v>
      </c>
      <c r="C113" s="64">
        <f>Inicial!C75</f>
        <v>0</v>
      </c>
      <c r="D113" s="65">
        <f>Inicial!D75</f>
        <v>0</v>
      </c>
      <c r="E113" s="63" t="str">
        <f>IF(Inicial!K75="SI",Inicial!E75,"N/A")</f>
        <v>N/A</v>
      </c>
      <c r="F113" s="64" t="str">
        <f>IF(Inicial!K75="SI",Inicial!F75,"N/A")</f>
        <v>N/A</v>
      </c>
      <c r="G113" s="64" t="str">
        <f>IF(Inicial!K75="SI",Inicial!G75,"N/A")</f>
        <v>N/A</v>
      </c>
      <c r="H113" s="64" t="str">
        <f>IF(Inicial!K75="SI",Inicial!H75,"N/A")</f>
        <v>N/A</v>
      </c>
      <c r="I113" s="75" t="str">
        <f>IF(Inicial!K75="SI",Inicial!I75,"N/A")</f>
        <v>N/A</v>
      </c>
      <c r="K113" s="6"/>
      <c r="L113" s="6"/>
      <c r="M113" s="6"/>
      <c r="N113" s="6"/>
      <c r="O113" s="6"/>
      <c r="P113" s="100"/>
      <c r="Q113" s="96"/>
      <c r="R113" s="6"/>
      <c r="S113" s="6"/>
      <c r="T113" s="6"/>
      <c r="U113" s="6"/>
      <c r="V113" s="6"/>
      <c r="W113" s="97"/>
      <c r="X113" s="96"/>
      <c r="Y113" s="6"/>
      <c r="Z113" s="6"/>
      <c r="AA113" s="6"/>
      <c r="AB113" s="6"/>
      <c r="AC113" s="97"/>
      <c r="AD113" s="105" t="str">
        <f t="shared" si="1"/>
        <v>Aceptable</v>
      </c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>
      <c r="A114" s="63">
        <f>Inicial!A76</f>
        <v>0</v>
      </c>
      <c r="B114" s="64">
        <f>Inicial!B76</f>
        <v>0</v>
      </c>
      <c r="C114" s="64">
        <f>Inicial!C76</f>
        <v>0</v>
      </c>
      <c r="D114" s="65">
        <f>Inicial!D76</f>
        <v>0</v>
      </c>
      <c r="E114" s="63" t="str">
        <f>IF(Inicial!K76="SI",Inicial!E76,"N/A")</f>
        <v>N/A</v>
      </c>
      <c r="F114" s="64" t="str">
        <f>IF(Inicial!K76="SI",Inicial!F76,"N/A")</f>
        <v>N/A</v>
      </c>
      <c r="G114" s="64" t="str">
        <f>IF(Inicial!K76="SI",Inicial!G76,"N/A")</f>
        <v>N/A</v>
      </c>
      <c r="H114" s="64" t="str">
        <f>IF(Inicial!K76="SI",Inicial!H76,"N/A")</f>
        <v>N/A</v>
      </c>
      <c r="I114" s="75" t="str">
        <f>IF(Inicial!K76="SI",Inicial!I76,"N/A")</f>
        <v>N/A</v>
      </c>
      <c r="K114" s="6"/>
      <c r="L114" s="6"/>
      <c r="M114" s="6"/>
      <c r="N114" s="6"/>
      <c r="O114" s="6"/>
      <c r="P114" s="100"/>
      <c r="Q114" s="96"/>
      <c r="R114" s="6"/>
      <c r="S114" s="6"/>
      <c r="T114" s="6"/>
      <c r="U114" s="6"/>
      <c r="V114" s="6"/>
      <c r="W114" s="97"/>
      <c r="X114" s="96"/>
      <c r="Y114" s="6"/>
      <c r="Z114" s="6"/>
      <c r="AA114" s="6"/>
      <c r="AB114" s="6"/>
      <c r="AC114" s="97"/>
      <c r="AD114" s="105" t="str">
        <f t="shared" si="1"/>
        <v>Aceptable</v>
      </c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>
      <c r="A115" s="63">
        <f>Inicial!A77</f>
        <v>0</v>
      </c>
      <c r="B115" s="64">
        <f>Inicial!B77</f>
        <v>0</v>
      </c>
      <c r="C115" s="64">
        <f>Inicial!C77</f>
        <v>0</v>
      </c>
      <c r="D115" s="65">
        <f>Inicial!D77</f>
        <v>0</v>
      </c>
      <c r="E115" s="63" t="str">
        <f>IF(Inicial!K77="SI",Inicial!E77,"N/A")</f>
        <v>N/A</v>
      </c>
      <c r="F115" s="64" t="str">
        <f>IF(Inicial!K77="SI",Inicial!F77,"N/A")</f>
        <v>N/A</v>
      </c>
      <c r="G115" s="64" t="str">
        <f>IF(Inicial!K77="SI",Inicial!G77,"N/A")</f>
        <v>N/A</v>
      </c>
      <c r="H115" s="64" t="str">
        <f>IF(Inicial!K77="SI",Inicial!H77,"N/A")</f>
        <v>N/A</v>
      </c>
      <c r="I115" s="75" t="str">
        <f>IF(Inicial!K77="SI",Inicial!I77,"N/A")</f>
        <v>N/A</v>
      </c>
      <c r="K115" s="6"/>
      <c r="L115" s="6"/>
      <c r="M115" s="6"/>
      <c r="N115" s="6"/>
      <c r="O115" s="6"/>
      <c r="P115" s="100"/>
      <c r="Q115" s="96"/>
      <c r="R115" s="6"/>
      <c r="S115" s="6"/>
      <c r="T115" s="6"/>
      <c r="U115" s="6"/>
      <c r="V115" s="6"/>
      <c r="W115" s="97"/>
      <c r="X115" s="96"/>
      <c r="Y115" s="6"/>
      <c r="Z115" s="6"/>
      <c r="AA115" s="6"/>
      <c r="AB115" s="6"/>
      <c r="AC115" s="97"/>
      <c r="AD115" s="105" t="str">
        <f t="shared" si="1"/>
        <v>Aceptable</v>
      </c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>
      <c r="A116" s="63">
        <f>Inicial!A78</f>
        <v>0</v>
      </c>
      <c r="B116" s="64">
        <f>Inicial!B78</f>
        <v>0</v>
      </c>
      <c r="C116" s="64">
        <f>Inicial!C78</f>
        <v>0</v>
      </c>
      <c r="D116" s="65">
        <f>Inicial!D78</f>
        <v>0</v>
      </c>
      <c r="E116" s="63" t="str">
        <f>IF(Inicial!K78="SI",Inicial!E78,"N/A")</f>
        <v>N/A</v>
      </c>
      <c r="F116" s="64" t="str">
        <f>IF(Inicial!K78="SI",Inicial!F78,"N/A")</f>
        <v>N/A</v>
      </c>
      <c r="G116" s="64" t="str">
        <f>IF(Inicial!K78="SI",Inicial!G78,"N/A")</f>
        <v>N/A</v>
      </c>
      <c r="H116" s="64" t="str">
        <f>IF(Inicial!K78="SI",Inicial!H78,"N/A")</f>
        <v>N/A</v>
      </c>
      <c r="I116" s="75" t="str">
        <f>IF(Inicial!K78="SI",Inicial!I78,"N/A")</f>
        <v>N/A</v>
      </c>
      <c r="K116" s="6"/>
      <c r="L116" s="6"/>
      <c r="M116" s="6"/>
      <c r="N116" s="6"/>
      <c r="O116" s="6"/>
      <c r="P116" s="100"/>
      <c r="Q116" s="96"/>
      <c r="R116" s="6"/>
      <c r="S116" s="6"/>
      <c r="T116" s="6"/>
      <c r="U116" s="6"/>
      <c r="V116" s="6"/>
      <c r="W116" s="97"/>
      <c r="X116" s="96"/>
      <c r="Y116" s="6"/>
      <c r="Z116" s="6"/>
      <c r="AA116" s="6"/>
      <c r="AB116" s="6"/>
      <c r="AC116" s="97"/>
      <c r="AD116" s="105" t="str">
        <f t="shared" si="1"/>
        <v>Aceptable</v>
      </c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>
      <c r="A117" s="63">
        <f>Inicial!A79</f>
        <v>0</v>
      </c>
      <c r="B117" s="64">
        <f>Inicial!B79</f>
        <v>0</v>
      </c>
      <c r="C117" s="64">
        <f>Inicial!C79</f>
        <v>0</v>
      </c>
      <c r="D117" s="65">
        <f>Inicial!D79</f>
        <v>0</v>
      </c>
      <c r="E117" s="63" t="str">
        <f>IF(Inicial!K79="SI",Inicial!E79,"N/A")</f>
        <v>N/A</v>
      </c>
      <c r="F117" s="64" t="str">
        <f>IF(Inicial!K79="SI",Inicial!F79,"N/A")</f>
        <v>N/A</v>
      </c>
      <c r="G117" s="64" t="str">
        <f>IF(Inicial!K79="SI",Inicial!G79,"N/A")</f>
        <v>N/A</v>
      </c>
      <c r="H117" s="64" t="str">
        <f>IF(Inicial!K79="SI",Inicial!H79,"N/A")</f>
        <v>N/A</v>
      </c>
      <c r="I117" s="75" t="str">
        <f>IF(Inicial!K79="SI",Inicial!I79,"N/A")</f>
        <v>N/A</v>
      </c>
      <c r="K117" s="6"/>
      <c r="L117" s="6"/>
      <c r="M117" s="6"/>
      <c r="N117" s="6"/>
      <c r="O117" s="6"/>
      <c r="P117" s="100"/>
      <c r="Q117" s="96"/>
      <c r="R117" s="6"/>
      <c r="S117" s="6"/>
      <c r="T117" s="6"/>
      <c r="U117" s="6"/>
      <c r="V117" s="6"/>
      <c r="W117" s="97"/>
      <c r="X117" s="96"/>
      <c r="Y117" s="6"/>
      <c r="Z117" s="6"/>
      <c r="AA117" s="6"/>
      <c r="AB117" s="6"/>
      <c r="AC117" s="97"/>
      <c r="AD117" s="105" t="str">
        <f t="shared" si="1"/>
        <v>Aceptable</v>
      </c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>
      <c r="A118" s="63">
        <f>Inicial!A80</f>
        <v>0</v>
      </c>
      <c r="B118" s="64">
        <f>Inicial!B80</f>
        <v>0</v>
      </c>
      <c r="C118" s="64">
        <f>Inicial!C80</f>
        <v>0</v>
      </c>
      <c r="D118" s="65">
        <f>Inicial!D80</f>
        <v>0</v>
      </c>
      <c r="E118" s="63" t="str">
        <f>IF(Inicial!K80="SI",Inicial!E80,"N/A")</f>
        <v>N/A</v>
      </c>
      <c r="F118" s="64" t="str">
        <f>IF(Inicial!K80="SI",Inicial!F80,"N/A")</f>
        <v>N/A</v>
      </c>
      <c r="G118" s="64" t="str">
        <f>IF(Inicial!K80="SI",Inicial!G80,"N/A")</f>
        <v>N/A</v>
      </c>
      <c r="H118" s="64" t="str">
        <f>IF(Inicial!K80="SI",Inicial!H80,"N/A")</f>
        <v>N/A</v>
      </c>
      <c r="I118" s="75" t="str">
        <f>IF(Inicial!K80="SI",Inicial!I80,"N/A")</f>
        <v>N/A</v>
      </c>
      <c r="K118" s="6"/>
      <c r="L118" s="6"/>
      <c r="M118" s="6"/>
      <c r="N118" s="6"/>
      <c r="O118" s="6"/>
      <c r="P118" s="100"/>
      <c r="Q118" s="96"/>
      <c r="R118" s="6"/>
      <c r="S118" s="6"/>
      <c r="T118" s="6"/>
      <c r="U118" s="6"/>
      <c r="V118" s="6"/>
      <c r="W118" s="97"/>
      <c r="X118" s="96"/>
      <c r="Y118" s="6"/>
      <c r="Z118" s="6"/>
      <c r="AA118" s="6"/>
      <c r="AB118" s="6"/>
      <c r="AC118" s="97"/>
      <c r="AD118" s="105" t="str">
        <f t="shared" si="1"/>
        <v>Aceptable</v>
      </c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>
      <c r="A119" s="63">
        <f>Inicial!A81</f>
        <v>0</v>
      </c>
      <c r="B119" s="64">
        <f>Inicial!B81</f>
        <v>0</v>
      </c>
      <c r="C119" s="64">
        <f>Inicial!C81</f>
        <v>0</v>
      </c>
      <c r="D119" s="65">
        <f>Inicial!D81</f>
        <v>0</v>
      </c>
      <c r="E119" s="63" t="str">
        <f>IF(Inicial!K81="SI",Inicial!E81,"N/A")</f>
        <v>N/A</v>
      </c>
      <c r="F119" s="64" t="str">
        <f>IF(Inicial!K81="SI",Inicial!F81,"N/A")</f>
        <v>N/A</v>
      </c>
      <c r="G119" s="64" t="str">
        <f>IF(Inicial!K81="SI",Inicial!G81,"N/A")</f>
        <v>N/A</v>
      </c>
      <c r="H119" s="64" t="str">
        <f>IF(Inicial!K81="SI",Inicial!H81,"N/A")</f>
        <v>N/A</v>
      </c>
      <c r="I119" s="75" t="str">
        <f>IF(Inicial!K81="SI",Inicial!I81,"N/A")</f>
        <v>N/A</v>
      </c>
      <c r="K119" s="6"/>
      <c r="L119" s="6"/>
      <c r="M119" s="6"/>
      <c r="N119" s="6"/>
      <c r="O119" s="6"/>
      <c r="P119" s="100"/>
      <c r="Q119" s="96"/>
      <c r="R119" s="6"/>
      <c r="S119" s="6"/>
      <c r="T119" s="6"/>
      <c r="U119" s="6"/>
      <c r="V119" s="6"/>
      <c r="W119" s="97"/>
      <c r="X119" s="96"/>
      <c r="Y119" s="6"/>
      <c r="Z119" s="6"/>
      <c r="AA119" s="6"/>
      <c r="AB119" s="6"/>
      <c r="AC119" s="97"/>
      <c r="AD119" s="105" t="str">
        <f t="shared" si="1"/>
        <v>Aceptable</v>
      </c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>
      <c r="A120" s="63">
        <f>Inicial!A82</f>
        <v>0</v>
      </c>
      <c r="B120" s="64">
        <f>Inicial!B82</f>
        <v>0</v>
      </c>
      <c r="C120" s="64">
        <f>Inicial!C82</f>
        <v>0</v>
      </c>
      <c r="D120" s="65">
        <f>Inicial!D82</f>
        <v>0</v>
      </c>
      <c r="E120" s="63" t="str">
        <f>IF(Inicial!K82="SI",Inicial!E82,"N/A")</f>
        <v>N/A</v>
      </c>
      <c r="F120" s="64" t="str">
        <f>IF(Inicial!K82="SI",Inicial!F82,"N/A")</f>
        <v>N/A</v>
      </c>
      <c r="G120" s="64" t="str">
        <f>IF(Inicial!K82="SI",Inicial!G82,"N/A")</f>
        <v>N/A</v>
      </c>
      <c r="H120" s="64" t="str">
        <f>IF(Inicial!K82="SI",Inicial!H82,"N/A")</f>
        <v>N/A</v>
      </c>
      <c r="I120" s="75" t="str">
        <f>IF(Inicial!K82="SI",Inicial!I82,"N/A")</f>
        <v>N/A</v>
      </c>
      <c r="K120" s="6"/>
      <c r="L120" s="6"/>
      <c r="M120" s="6"/>
      <c r="N120" s="6"/>
      <c r="O120" s="6"/>
      <c r="P120" s="100"/>
      <c r="Q120" s="96"/>
      <c r="R120" s="6"/>
      <c r="S120" s="6"/>
      <c r="T120" s="6"/>
      <c r="U120" s="6"/>
      <c r="V120" s="6"/>
      <c r="W120" s="97"/>
      <c r="X120" s="96"/>
      <c r="Y120" s="6"/>
      <c r="Z120" s="6"/>
      <c r="AA120" s="6"/>
      <c r="AB120" s="6"/>
      <c r="AC120" s="97"/>
      <c r="AD120" s="105" t="str">
        <f t="shared" si="1"/>
        <v>Aceptable</v>
      </c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>
      <c r="A121" s="63">
        <f>Inicial!A83</f>
        <v>0</v>
      </c>
      <c r="B121" s="64">
        <f>Inicial!B83</f>
        <v>0</v>
      </c>
      <c r="C121" s="64">
        <f>Inicial!C83</f>
        <v>0</v>
      </c>
      <c r="D121" s="65">
        <f>Inicial!D83</f>
        <v>0</v>
      </c>
      <c r="E121" s="63" t="str">
        <f>IF(Inicial!K83="SI",Inicial!E83,"N/A")</f>
        <v>N/A</v>
      </c>
      <c r="F121" s="64" t="str">
        <f>IF(Inicial!K83="SI",Inicial!F83,"N/A")</f>
        <v>N/A</v>
      </c>
      <c r="G121" s="64" t="str">
        <f>IF(Inicial!K83="SI",Inicial!G83,"N/A")</f>
        <v>N/A</v>
      </c>
      <c r="H121" s="64" t="str">
        <f>IF(Inicial!K83="SI",Inicial!H83,"N/A")</f>
        <v>N/A</v>
      </c>
      <c r="I121" s="75" t="str">
        <f>IF(Inicial!K83="SI",Inicial!I83,"N/A")</f>
        <v>N/A</v>
      </c>
      <c r="K121" s="6"/>
      <c r="L121" s="6"/>
      <c r="M121" s="6"/>
      <c r="N121" s="6"/>
      <c r="O121" s="6"/>
      <c r="P121" s="100"/>
      <c r="Q121" s="96"/>
      <c r="R121" s="6"/>
      <c r="S121" s="6"/>
      <c r="T121" s="6"/>
      <c r="U121" s="6"/>
      <c r="V121" s="6"/>
      <c r="W121" s="97"/>
      <c r="X121" s="96"/>
      <c r="Y121" s="6"/>
      <c r="Z121" s="6"/>
      <c r="AA121" s="6"/>
      <c r="AB121" s="6"/>
      <c r="AC121" s="97"/>
      <c r="AD121" s="105" t="str">
        <f t="shared" si="1"/>
        <v>Aceptable</v>
      </c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>
      <c r="A122" s="63">
        <f>Inicial!A84</f>
        <v>0</v>
      </c>
      <c r="B122" s="64">
        <f>Inicial!B84</f>
        <v>0</v>
      </c>
      <c r="C122" s="64">
        <f>Inicial!C84</f>
        <v>0</v>
      </c>
      <c r="D122" s="65">
        <f>Inicial!D84</f>
        <v>0</v>
      </c>
      <c r="E122" s="63" t="str">
        <f>IF(Inicial!K84="SI",Inicial!E84,"N/A")</f>
        <v>N/A</v>
      </c>
      <c r="F122" s="64" t="str">
        <f>IF(Inicial!K84="SI",Inicial!F84,"N/A")</f>
        <v>N/A</v>
      </c>
      <c r="G122" s="64" t="str">
        <f>IF(Inicial!K84="SI",Inicial!G84,"N/A")</f>
        <v>N/A</v>
      </c>
      <c r="H122" s="64" t="str">
        <f>IF(Inicial!K84="SI",Inicial!H84,"N/A")</f>
        <v>N/A</v>
      </c>
      <c r="I122" s="75" t="str">
        <f>IF(Inicial!K84="SI",Inicial!I84,"N/A")</f>
        <v>N/A</v>
      </c>
      <c r="K122" s="6"/>
      <c r="L122" s="6"/>
      <c r="M122" s="6"/>
      <c r="N122" s="6"/>
      <c r="O122" s="6"/>
      <c r="P122" s="100"/>
      <c r="Q122" s="96"/>
      <c r="R122" s="6"/>
      <c r="S122" s="6"/>
      <c r="T122" s="6"/>
      <c r="U122" s="6"/>
      <c r="V122" s="6"/>
      <c r="W122" s="97"/>
      <c r="X122" s="96"/>
      <c r="Y122" s="6"/>
      <c r="Z122" s="6"/>
      <c r="AA122" s="6"/>
      <c r="AB122" s="6"/>
      <c r="AC122" s="97"/>
      <c r="AD122" s="105" t="str">
        <f t="shared" si="1"/>
        <v>Aceptable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>
      <c r="A123" s="63">
        <f>Inicial!A85</f>
        <v>0</v>
      </c>
      <c r="B123" s="64">
        <f>Inicial!B85</f>
        <v>0</v>
      </c>
      <c r="C123" s="64">
        <f>Inicial!C85</f>
        <v>0</v>
      </c>
      <c r="D123" s="65">
        <f>Inicial!D85</f>
        <v>0</v>
      </c>
      <c r="E123" s="63" t="str">
        <f>IF(Inicial!K85="SI",Inicial!E85,"N/A")</f>
        <v>N/A</v>
      </c>
      <c r="F123" s="64" t="str">
        <f>IF(Inicial!K85="SI",Inicial!F85,"N/A")</f>
        <v>N/A</v>
      </c>
      <c r="G123" s="64" t="str">
        <f>IF(Inicial!K85="SI",Inicial!G85,"N/A")</f>
        <v>N/A</v>
      </c>
      <c r="H123" s="64" t="str">
        <f>IF(Inicial!K85="SI",Inicial!H85,"N/A")</f>
        <v>N/A</v>
      </c>
      <c r="I123" s="75" t="str">
        <f>IF(Inicial!K85="SI",Inicial!I85,"N/A")</f>
        <v>N/A</v>
      </c>
      <c r="K123" s="6"/>
      <c r="L123" s="6"/>
      <c r="M123" s="6"/>
      <c r="N123" s="6"/>
      <c r="O123" s="6"/>
      <c r="P123" s="100"/>
      <c r="Q123" s="96"/>
      <c r="R123" s="6"/>
      <c r="S123" s="6"/>
      <c r="T123" s="6"/>
      <c r="U123" s="6"/>
      <c r="V123" s="6"/>
      <c r="W123" s="97"/>
      <c r="X123" s="96"/>
      <c r="Y123" s="6"/>
      <c r="Z123" s="6"/>
      <c r="AA123" s="6"/>
      <c r="AB123" s="6"/>
      <c r="AC123" s="97"/>
      <c r="AD123" s="105" t="str">
        <f t="shared" si="1"/>
        <v>Aceptable</v>
      </c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>
      <c r="A124" s="63">
        <f>Inicial!A86</f>
        <v>0</v>
      </c>
      <c r="B124" s="64">
        <f>Inicial!B86</f>
        <v>0</v>
      </c>
      <c r="C124" s="64">
        <f>Inicial!C86</f>
        <v>0</v>
      </c>
      <c r="D124" s="65">
        <f>Inicial!D86</f>
        <v>0</v>
      </c>
      <c r="E124" s="63" t="str">
        <f>IF(Inicial!K86="SI",Inicial!E86,"N/A")</f>
        <v>N/A</v>
      </c>
      <c r="F124" s="64" t="str">
        <f>IF(Inicial!K86="SI",Inicial!F86,"N/A")</f>
        <v>N/A</v>
      </c>
      <c r="G124" s="64" t="str">
        <f>IF(Inicial!K86="SI",Inicial!G86,"N/A")</f>
        <v>N/A</v>
      </c>
      <c r="H124" s="64" t="str">
        <f>IF(Inicial!K86="SI",Inicial!H86,"N/A")</f>
        <v>N/A</v>
      </c>
      <c r="I124" s="75" t="str">
        <f>IF(Inicial!K86="SI",Inicial!I86,"N/A")</f>
        <v>N/A</v>
      </c>
      <c r="K124" s="6"/>
      <c r="L124" s="6"/>
      <c r="M124" s="6"/>
      <c r="N124" s="6"/>
      <c r="O124" s="6"/>
      <c r="P124" s="100"/>
      <c r="Q124" s="96"/>
      <c r="R124" s="6"/>
      <c r="S124" s="6"/>
      <c r="T124" s="6"/>
      <c r="U124" s="6"/>
      <c r="V124" s="6"/>
      <c r="W124" s="97"/>
      <c r="X124" s="96"/>
      <c r="Y124" s="6"/>
      <c r="Z124" s="6"/>
      <c r="AA124" s="6"/>
      <c r="AB124" s="6"/>
      <c r="AC124" s="97"/>
      <c r="AD124" s="105" t="str">
        <f t="shared" si="1"/>
        <v>Aceptable</v>
      </c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>
      <c r="A125" s="63">
        <f>Inicial!A87</f>
        <v>0</v>
      </c>
      <c r="B125" s="64">
        <f>Inicial!B87</f>
        <v>0</v>
      </c>
      <c r="C125" s="64">
        <f>Inicial!C87</f>
        <v>0</v>
      </c>
      <c r="D125" s="65">
        <f>Inicial!D87</f>
        <v>0</v>
      </c>
      <c r="E125" s="63" t="str">
        <f>IF(Inicial!K87="SI",Inicial!E87,"N/A")</f>
        <v>N/A</v>
      </c>
      <c r="F125" s="64" t="str">
        <f>IF(Inicial!K87="SI",Inicial!F87,"N/A")</f>
        <v>N/A</v>
      </c>
      <c r="G125" s="64" t="str">
        <f>IF(Inicial!K87="SI",Inicial!G87,"N/A")</f>
        <v>N/A</v>
      </c>
      <c r="H125" s="64" t="str">
        <f>IF(Inicial!K87="SI",Inicial!H87,"N/A")</f>
        <v>N/A</v>
      </c>
      <c r="I125" s="75" t="str">
        <f>IF(Inicial!K87="SI",Inicial!I87,"N/A")</f>
        <v>N/A</v>
      </c>
      <c r="K125" s="6"/>
      <c r="L125" s="6"/>
      <c r="M125" s="6"/>
      <c r="N125" s="6"/>
      <c r="O125" s="6"/>
      <c r="P125" s="100"/>
      <c r="Q125" s="96"/>
      <c r="R125" s="6"/>
      <c r="S125" s="6"/>
      <c r="T125" s="6"/>
      <c r="U125" s="6"/>
      <c r="V125" s="6"/>
      <c r="W125" s="97"/>
      <c r="X125" s="96"/>
      <c r="Y125" s="6"/>
      <c r="Z125" s="6"/>
      <c r="AA125" s="6"/>
      <c r="AB125" s="6"/>
      <c r="AC125" s="97"/>
      <c r="AD125" s="105" t="str">
        <f t="shared" si="1"/>
        <v>Aceptable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>
      <c r="A126" s="63">
        <f>Inicial!A88</f>
        <v>0</v>
      </c>
      <c r="B126" s="64">
        <f>Inicial!B88</f>
        <v>0</v>
      </c>
      <c r="C126" s="64">
        <f>Inicial!C88</f>
        <v>0</v>
      </c>
      <c r="D126" s="65">
        <f>Inicial!D88</f>
        <v>0</v>
      </c>
      <c r="E126" s="63" t="str">
        <f>IF(Inicial!K88="SI",Inicial!E88,"N/A")</f>
        <v>N/A</v>
      </c>
      <c r="F126" s="64" t="str">
        <f>IF(Inicial!K88="SI",Inicial!F88,"N/A")</f>
        <v>N/A</v>
      </c>
      <c r="G126" s="64" t="str">
        <f>IF(Inicial!K88="SI",Inicial!G88,"N/A")</f>
        <v>N/A</v>
      </c>
      <c r="H126" s="64" t="str">
        <f>IF(Inicial!K88="SI",Inicial!H88,"N/A")</f>
        <v>N/A</v>
      </c>
      <c r="I126" s="75" t="str">
        <f>IF(Inicial!K88="SI",Inicial!I88,"N/A")</f>
        <v>N/A</v>
      </c>
      <c r="K126" s="6"/>
      <c r="L126" s="6"/>
      <c r="M126" s="6"/>
      <c r="N126" s="6"/>
      <c r="O126" s="6"/>
      <c r="P126" s="100"/>
      <c r="Q126" s="96"/>
      <c r="R126" s="6"/>
      <c r="S126" s="6"/>
      <c r="T126" s="6"/>
      <c r="U126" s="6"/>
      <c r="V126" s="6"/>
      <c r="W126" s="97"/>
      <c r="X126" s="96"/>
      <c r="Y126" s="6"/>
      <c r="Z126" s="6"/>
      <c r="AA126" s="6"/>
      <c r="AB126" s="6"/>
      <c r="AC126" s="97"/>
      <c r="AD126" s="105" t="str">
        <f t="shared" si="1"/>
        <v>Aceptable</v>
      </c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>
      <c r="A127" s="63">
        <f>Inicial!A89</f>
        <v>0</v>
      </c>
      <c r="B127" s="64">
        <f>Inicial!B89</f>
        <v>0</v>
      </c>
      <c r="C127" s="64">
        <f>Inicial!C89</f>
        <v>0</v>
      </c>
      <c r="D127" s="65">
        <f>Inicial!D89</f>
        <v>0</v>
      </c>
      <c r="E127" s="63" t="str">
        <f>IF(Inicial!K89="SI",Inicial!E89,"N/A")</f>
        <v>N/A</v>
      </c>
      <c r="F127" s="64" t="str">
        <f>IF(Inicial!K89="SI",Inicial!F89,"N/A")</f>
        <v>N/A</v>
      </c>
      <c r="G127" s="64" t="str">
        <f>IF(Inicial!K89="SI",Inicial!G89,"N/A")</f>
        <v>N/A</v>
      </c>
      <c r="H127" s="64" t="str">
        <f>IF(Inicial!K89="SI",Inicial!H89,"N/A")</f>
        <v>N/A</v>
      </c>
      <c r="I127" s="75" t="str">
        <f>IF(Inicial!K89="SI",Inicial!I89,"N/A")</f>
        <v>N/A</v>
      </c>
      <c r="K127" s="6"/>
      <c r="L127" s="6"/>
      <c r="M127" s="6"/>
      <c r="N127" s="6"/>
      <c r="O127" s="6"/>
      <c r="P127" s="100"/>
      <c r="Q127" s="96"/>
      <c r="R127" s="6"/>
      <c r="S127" s="6"/>
      <c r="T127" s="6"/>
      <c r="U127" s="6"/>
      <c r="V127" s="6"/>
      <c r="W127" s="97"/>
      <c r="X127" s="96"/>
      <c r="Y127" s="6"/>
      <c r="Z127" s="6"/>
      <c r="AA127" s="6"/>
      <c r="AB127" s="6"/>
      <c r="AC127" s="97"/>
      <c r="AD127" s="105" t="str">
        <f t="shared" si="1"/>
        <v>Aceptable</v>
      </c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>
      <c r="A128" s="63"/>
      <c r="B128" s="64"/>
      <c r="C128" s="64"/>
      <c r="D128" s="65"/>
      <c r="E128" s="63"/>
      <c r="F128" s="64"/>
      <c r="G128" s="64"/>
      <c r="H128" s="64"/>
      <c r="I128" s="75"/>
      <c r="K128" s="6"/>
      <c r="L128" s="6"/>
      <c r="M128" s="6"/>
      <c r="N128" s="6"/>
      <c r="O128" s="6"/>
      <c r="P128" s="100"/>
      <c r="Q128" s="96"/>
      <c r="R128" s="6"/>
      <c r="S128" s="6"/>
      <c r="T128" s="6"/>
      <c r="U128" s="6"/>
      <c r="V128" s="6"/>
      <c r="W128" s="97"/>
      <c r="X128" s="96"/>
      <c r="Y128" s="6"/>
      <c r="Z128" s="6"/>
      <c r="AA128" s="6"/>
      <c r="AB128" s="6"/>
      <c r="AC128" s="97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>
      <c r="A129" s="63"/>
      <c r="B129" s="64"/>
      <c r="C129" s="64"/>
      <c r="D129" s="65"/>
      <c r="E129" s="63"/>
      <c r="F129" s="64"/>
      <c r="G129" s="64"/>
      <c r="H129" s="64"/>
      <c r="I129" s="75"/>
      <c r="K129" s="6"/>
      <c r="L129" s="6"/>
      <c r="M129" s="6"/>
      <c r="N129" s="6"/>
      <c r="O129" s="6"/>
      <c r="P129" s="100"/>
      <c r="Q129" s="96"/>
      <c r="R129" s="6"/>
      <c r="S129" s="6"/>
      <c r="T129" s="6"/>
      <c r="U129" s="6"/>
      <c r="V129" s="6"/>
      <c r="W129" s="97"/>
      <c r="X129" s="96"/>
      <c r="Y129" s="6"/>
      <c r="Z129" s="6"/>
      <c r="AA129" s="6"/>
      <c r="AB129" s="6"/>
      <c r="AC129" s="97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>
      <c r="A130" s="63"/>
      <c r="B130" s="64"/>
      <c r="C130" s="64"/>
      <c r="D130" s="65"/>
      <c r="E130" s="63"/>
      <c r="F130" s="64"/>
      <c r="G130" s="64"/>
      <c r="H130" s="64"/>
      <c r="I130" s="75"/>
      <c r="K130" s="6"/>
      <c r="L130" s="6"/>
      <c r="M130" s="6"/>
      <c r="N130" s="6"/>
      <c r="O130" s="6"/>
      <c r="P130" s="100"/>
      <c r="Q130" s="96"/>
      <c r="R130" s="6"/>
      <c r="S130" s="6"/>
      <c r="T130" s="6"/>
      <c r="U130" s="6"/>
      <c r="V130" s="6"/>
      <c r="W130" s="97"/>
      <c r="X130" s="96"/>
      <c r="Y130" s="6"/>
      <c r="Z130" s="6"/>
      <c r="AA130" s="6"/>
      <c r="AB130" s="6"/>
      <c r="AC130" s="97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>
      <c r="A131" s="63"/>
      <c r="B131" s="64"/>
      <c r="C131" s="64"/>
      <c r="D131" s="65"/>
      <c r="E131" s="63"/>
      <c r="F131" s="64"/>
      <c r="G131" s="64"/>
      <c r="H131" s="64"/>
      <c r="I131" s="75"/>
      <c r="K131" s="6"/>
      <c r="L131" s="6"/>
      <c r="M131" s="6"/>
      <c r="N131" s="6"/>
      <c r="O131" s="6"/>
      <c r="P131" s="100"/>
      <c r="Q131" s="96"/>
      <c r="R131" s="6"/>
      <c r="S131" s="6"/>
      <c r="T131" s="6"/>
      <c r="U131" s="6"/>
      <c r="V131" s="6"/>
      <c r="W131" s="97"/>
      <c r="X131" s="96"/>
      <c r="Y131" s="6"/>
      <c r="Z131" s="6"/>
      <c r="AA131" s="6"/>
      <c r="AB131" s="6"/>
      <c r="AC131" s="97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>
      <c r="A132" s="63"/>
      <c r="B132" s="64"/>
      <c r="C132" s="64"/>
      <c r="D132" s="65"/>
      <c r="E132" s="63"/>
      <c r="F132" s="64"/>
      <c r="G132" s="64"/>
      <c r="H132" s="64"/>
      <c r="I132" s="75"/>
      <c r="K132" s="6"/>
      <c r="L132" s="6"/>
      <c r="M132" s="6"/>
      <c r="N132" s="6"/>
      <c r="O132" s="6"/>
      <c r="P132" s="100"/>
      <c r="Q132" s="96"/>
      <c r="R132" s="6"/>
      <c r="S132" s="6"/>
      <c r="T132" s="6"/>
      <c r="U132" s="6"/>
      <c r="V132" s="6"/>
      <c r="W132" s="97"/>
      <c r="X132" s="96"/>
      <c r="Y132" s="6"/>
      <c r="Z132" s="6"/>
      <c r="AA132" s="6"/>
      <c r="AB132" s="6"/>
      <c r="AC132" s="97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>
      <c r="A133" s="63"/>
      <c r="B133" s="64"/>
      <c r="C133" s="64"/>
      <c r="D133" s="65"/>
      <c r="E133" s="63"/>
      <c r="F133" s="64"/>
      <c r="G133" s="64"/>
      <c r="H133" s="64"/>
      <c r="I133" s="75"/>
      <c r="K133" s="6"/>
      <c r="L133" s="6"/>
      <c r="M133" s="6"/>
      <c r="N133" s="6"/>
      <c r="O133" s="6"/>
      <c r="P133" s="100"/>
      <c r="Q133" s="96"/>
      <c r="R133" s="6"/>
      <c r="S133" s="6"/>
      <c r="T133" s="6"/>
      <c r="U133" s="6"/>
      <c r="V133" s="6"/>
      <c r="W133" s="97"/>
      <c r="X133" s="96"/>
      <c r="Y133" s="6"/>
      <c r="Z133" s="6"/>
      <c r="AA133" s="6"/>
      <c r="AB133" s="6"/>
      <c r="AC133" s="97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>
      <c r="A134" s="63"/>
      <c r="B134" s="64"/>
      <c r="C134" s="64"/>
      <c r="D134" s="65"/>
      <c r="E134" s="63"/>
      <c r="F134" s="64"/>
      <c r="G134" s="64"/>
      <c r="H134" s="64"/>
      <c r="I134" s="75"/>
      <c r="K134" s="6"/>
      <c r="L134" s="6"/>
      <c r="M134" s="6"/>
      <c r="N134" s="6"/>
      <c r="O134" s="6"/>
      <c r="P134" s="100"/>
      <c r="Q134" s="96"/>
      <c r="R134" s="6"/>
      <c r="S134" s="6"/>
      <c r="T134" s="6"/>
      <c r="U134" s="6"/>
      <c r="V134" s="6"/>
      <c r="W134" s="97"/>
      <c r="X134" s="96"/>
      <c r="Y134" s="6"/>
      <c r="Z134" s="6"/>
      <c r="AA134" s="6"/>
      <c r="AB134" s="6"/>
      <c r="AC134" s="97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>
      <c r="A135" s="63"/>
      <c r="B135" s="64"/>
      <c r="C135" s="64"/>
      <c r="D135" s="65"/>
      <c r="E135" s="63"/>
      <c r="F135" s="64"/>
      <c r="G135" s="64"/>
      <c r="H135" s="64"/>
      <c r="I135" s="75"/>
      <c r="K135" s="6"/>
      <c r="L135" s="6"/>
      <c r="M135" s="6"/>
      <c r="N135" s="6"/>
      <c r="O135" s="6"/>
      <c r="P135" s="100"/>
      <c r="Q135" s="96"/>
      <c r="R135" s="6"/>
      <c r="S135" s="6"/>
      <c r="T135" s="6"/>
      <c r="U135" s="6"/>
      <c r="V135" s="6"/>
      <c r="W135" s="97"/>
      <c r="X135" s="96"/>
      <c r="Y135" s="6"/>
      <c r="Z135" s="6"/>
      <c r="AA135" s="6"/>
      <c r="AB135" s="6"/>
      <c r="AC135" s="97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>
      <c r="A136" s="63"/>
      <c r="B136" s="64"/>
      <c r="C136" s="64"/>
      <c r="D136" s="65"/>
      <c r="E136" s="63"/>
      <c r="F136" s="64"/>
      <c r="G136" s="64"/>
      <c r="H136" s="64"/>
      <c r="I136" s="75"/>
      <c r="K136" s="6"/>
      <c r="L136" s="6"/>
      <c r="M136" s="6"/>
      <c r="N136" s="6"/>
      <c r="O136" s="6"/>
      <c r="P136" s="100"/>
      <c r="Q136" s="96"/>
      <c r="R136" s="6"/>
      <c r="S136" s="6"/>
      <c r="T136" s="6"/>
      <c r="U136" s="6"/>
      <c r="V136" s="6"/>
      <c r="W136" s="97"/>
      <c r="X136" s="96"/>
      <c r="Y136" s="6"/>
      <c r="Z136" s="6"/>
      <c r="AA136" s="6"/>
      <c r="AB136" s="6"/>
      <c r="AC136" s="97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>
      <c r="A137" s="63"/>
      <c r="B137" s="64"/>
      <c r="C137" s="64"/>
      <c r="D137" s="65"/>
      <c r="E137" s="63"/>
      <c r="F137" s="64"/>
      <c r="G137" s="64"/>
      <c r="H137" s="64"/>
      <c r="I137" s="75"/>
      <c r="K137" s="6"/>
      <c r="L137" s="6"/>
      <c r="M137" s="6"/>
      <c r="N137" s="6"/>
      <c r="O137" s="6"/>
      <c r="P137" s="100"/>
      <c r="Q137" s="96"/>
      <c r="R137" s="6"/>
      <c r="S137" s="6"/>
      <c r="T137" s="6"/>
      <c r="U137" s="6"/>
      <c r="V137" s="6"/>
      <c r="W137" s="97"/>
      <c r="X137" s="96"/>
      <c r="Y137" s="6"/>
      <c r="Z137" s="6"/>
      <c r="AA137" s="6"/>
      <c r="AB137" s="6"/>
      <c r="AC137" s="97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>
      <c r="A138" s="63"/>
      <c r="B138" s="64"/>
      <c r="C138" s="64"/>
      <c r="D138" s="65"/>
      <c r="E138" s="63"/>
      <c r="F138" s="64"/>
      <c r="G138" s="64"/>
      <c r="H138" s="64"/>
      <c r="I138" s="75"/>
      <c r="K138" s="6"/>
      <c r="L138" s="6"/>
      <c r="M138" s="6"/>
      <c r="N138" s="6"/>
      <c r="O138" s="6"/>
      <c r="P138" s="100"/>
      <c r="Q138" s="96"/>
      <c r="R138" s="6"/>
      <c r="S138" s="6"/>
      <c r="T138" s="6"/>
      <c r="U138" s="6"/>
      <c r="V138" s="6"/>
      <c r="W138" s="97"/>
      <c r="X138" s="96"/>
      <c r="Y138" s="6"/>
      <c r="Z138" s="6"/>
      <c r="AA138" s="6"/>
      <c r="AB138" s="6"/>
      <c r="AC138" s="97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>
      <c r="A139" s="63"/>
      <c r="B139" s="64"/>
      <c r="C139" s="64"/>
      <c r="D139" s="65"/>
      <c r="E139" s="63"/>
      <c r="F139" s="64"/>
      <c r="G139" s="64"/>
      <c r="H139" s="64"/>
      <c r="I139" s="75"/>
      <c r="K139" s="6"/>
      <c r="L139" s="6"/>
      <c r="M139" s="6"/>
      <c r="N139" s="6"/>
      <c r="O139" s="6"/>
      <c r="P139" s="100"/>
      <c r="Q139" s="96"/>
      <c r="R139" s="6"/>
      <c r="S139" s="6"/>
      <c r="T139" s="6"/>
      <c r="U139" s="6"/>
      <c r="V139" s="6"/>
      <c r="W139" s="97"/>
      <c r="X139" s="96"/>
      <c r="Y139" s="6"/>
      <c r="Z139" s="6"/>
      <c r="AA139" s="6"/>
      <c r="AB139" s="6"/>
      <c r="AC139" s="97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>
      <c r="A140" s="63"/>
      <c r="B140" s="64"/>
      <c r="C140" s="64"/>
      <c r="D140" s="65"/>
      <c r="E140" s="63"/>
      <c r="F140" s="64"/>
      <c r="G140" s="64"/>
      <c r="H140" s="64"/>
      <c r="I140" s="75"/>
      <c r="K140" s="6"/>
      <c r="L140" s="6"/>
      <c r="M140" s="6"/>
      <c r="N140" s="6"/>
      <c r="O140" s="6"/>
      <c r="P140" s="100"/>
      <c r="Q140" s="96"/>
      <c r="R140" s="6"/>
      <c r="S140" s="6"/>
      <c r="T140" s="6"/>
      <c r="U140" s="6"/>
      <c r="V140" s="6"/>
      <c r="W140" s="97"/>
      <c r="X140" s="96"/>
      <c r="Y140" s="6"/>
      <c r="Z140" s="6"/>
      <c r="AA140" s="6"/>
      <c r="AB140" s="6"/>
      <c r="AC140" s="97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>
      <c r="A141" s="63"/>
      <c r="B141" s="64"/>
      <c r="C141" s="64"/>
      <c r="D141" s="65"/>
      <c r="E141" s="63"/>
      <c r="F141" s="64"/>
      <c r="G141" s="64"/>
      <c r="H141" s="64"/>
      <c r="I141" s="75"/>
      <c r="K141" s="6"/>
      <c r="L141" s="6"/>
      <c r="M141" s="6"/>
      <c r="N141" s="6"/>
      <c r="O141" s="6"/>
      <c r="P141" s="100"/>
      <c r="Q141" s="96"/>
      <c r="R141" s="6"/>
      <c r="S141" s="6"/>
      <c r="T141" s="6"/>
      <c r="U141" s="6"/>
      <c r="V141" s="6"/>
      <c r="W141" s="97"/>
      <c r="X141" s="96"/>
      <c r="Y141" s="6"/>
      <c r="Z141" s="6"/>
      <c r="AA141" s="6"/>
      <c r="AB141" s="6"/>
      <c r="AC141" s="97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>
      <c r="A142" s="63"/>
      <c r="B142" s="64"/>
      <c r="C142" s="64"/>
      <c r="D142" s="65"/>
      <c r="E142" s="63"/>
      <c r="F142" s="64"/>
      <c r="G142" s="64"/>
      <c r="H142" s="64"/>
      <c r="I142" s="75"/>
      <c r="K142" s="6"/>
      <c r="L142" s="6"/>
      <c r="M142" s="6"/>
      <c r="N142" s="6"/>
      <c r="O142" s="6"/>
      <c r="P142" s="100"/>
      <c r="Q142" s="96"/>
      <c r="R142" s="6"/>
      <c r="S142" s="6"/>
      <c r="T142" s="6"/>
      <c r="U142" s="6"/>
      <c r="V142" s="6"/>
      <c r="W142" s="97"/>
      <c r="X142" s="96"/>
      <c r="Y142" s="6"/>
      <c r="Z142" s="6"/>
      <c r="AA142" s="6"/>
      <c r="AB142" s="6"/>
      <c r="AC142" s="97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>
      <c r="A143" s="63"/>
      <c r="B143" s="64"/>
      <c r="C143" s="64"/>
      <c r="D143" s="65"/>
      <c r="E143" s="63"/>
      <c r="F143" s="64"/>
      <c r="G143" s="64"/>
      <c r="H143" s="64"/>
      <c r="I143" s="75"/>
      <c r="K143" s="6"/>
      <c r="L143" s="6"/>
      <c r="M143" s="6"/>
      <c r="N143" s="6"/>
      <c r="O143" s="6"/>
      <c r="P143" s="100"/>
      <c r="Q143" s="96"/>
      <c r="R143" s="6"/>
      <c r="S143" s="6"/>
      <c r="T143" s="6"/>
      <c r="U143" s="6"/>
      <c r="V143" s="6"/>
      <c r="W143" s="97"/>
      <c r="X143" s="96"/>
      <c r="Y143" s="6"/>
      <c r="Z143" s="6"/>
      <c r="AA143" s="6"/>
      <c r="AB143" s="6"/>
      <c r="AC143" s="97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>
      <c r="A144" s="63"/>
      <c r="B144" s="64"/>
      <c r="C144" s="64"/>
      <c r="D144" s="65"/>
      <c r="E144" s="63"/>
      <c r="F144" s="64"/>
      <c r="G144" s="64"/>
      <c r="H144" s="64"/>
      <c r="I144" s="75"/>
      <c r="K144" s="6"/>
      <c r="L144" s="6"/>
      <c r="M144" s="6"/>
      <c r="N144" s="6"/>
      <c r="O144" s="6"/>
      <c r="P144" s="100"/>
      <c r="Q144" s="96"/>
      <c r="R144" s="6"/>
      <c r="S144" s="6"/>
      <c r="T144" s="6"/>
      <c r="U144" s="6"/>
      <c r="V144" s="6"/>
      <c r="W144" s="97"/>
      <c r="X144" s="96"/>
      <c r="Y144" s="6"/>
      <c r="Z144" s="6"/>
      <c r="AA144" s="6"/>
      <c r="AB144" s="6"/>
      <c r="AC144" s="97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>
      <c r="A145" s="63"/>
      <c r="B145" s="64"/>
      <c r="C145" s="64"/>
      <c r="D145" s="65"/>
      <c r="E145" s="63"/>
      <c r="F145" s="64"/>
      <c r="G145" s="64"/>
      <c r="H145" s="64"/>
      <c r="I145" s="75"/>
      <c r="K145" s="6"/>
      <c r="L145" s="6"/>
      <c r="M145" s="6"/>
      <c r="N145" s="6"/>
      <c r="O145" s="6"/>
      <c r="P145" s="100"/>
      <c r="Q145" s="96"/>
      <c r="R145" s="6"/>
      <c r="S145" s="6"/>
      <c r="T145" s="6"/>
      <c r="U145" s="6"/>
      <c r="V145" s="6"/>
      <c r="W145" s="97"/>
      <c r="X145" s="96"/>
      <c r="Y145" s="6"/>
      <c r="Z145" s="6"/>
      <c r="AA145" s="6"/>
      <c r="AB145" s="6"/>
      <c r="AC145" s="97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>
      <c r="A146" s="63"/>
      <c r="B146" s="64"/>
      <c r="C146" s="64"/>
      <c r="D146" s="65"/>
      <c r="E146" s="63"/>
      <c r="F146" s="64"/>
      <c r="G146" s="64"/>
      <c r="H146" s="64"/>
      <c r="I146" s="75"/>
      <c r="K146" s="6"/>
      <c r="L146" s="6"/>
      <c r="M146" s="6"/>
      <c r="N146" s="6"/>
      <c r="O146" s="6"/>
      <c r="P146" s="100"/>
      <c r="Q146" s="96"/>
      <c r="R146" s="6"/>
      <c r="S146" s="6"/>
      <c r="T146" s="6"/>
      <c r="U146" s="6"/>
      <c r="V146" s="6"/>
      <c r="W146" s="97"/>
      <c r="X146" s="96"/>
      <c r="Y146" s="6"/>
      <c r="Z146" s="6"/>
      <c r="AA146" s="6"/>
      <c r="AB146" s="6"/>
      <c r="AC146" s="97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>
      <c r="A147" s="63"/>
      <c r="B147" s="64"/>
      <c r="C147" s="64"/>
      <c r="D147" s="65"/>
      <c r="E147" s="63"/>
      <c r="F147" s="64"/>
      <c r="G147" s="64"/>
      <c r="H147" s="64"/>
      <c r="I147" s="75"/>
      <c r="K147" s="6"/>
      <c r="L147" s="6"/>
      <c r="M147" s="6"/>
      <c r="N147" s="6"/>
      <c r="O147" s="6"/>
      <c r="P147" s="100"/>
      <c r="Q147" s="96"/>
      <c r="R147" s="6"/>
      <c r="S147" s="6"/>
      <c r="T147" s="6"/>
      <c r="U147" s="6"/>
      <c r="V147" s="6"/>
      <c r="W147" s="97"/>
      <c r="X147" s="96"/>
      <c r="Y147" s="6"/>
      <c r="Z147" s="6"/>
      <c r="AA147" s="6"/>
      <c r="AB147" s="6"/>
      <c r="AC147" s="97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>
      <c r="A148" s="63"/>
      <c r="B148" s="64"/>
      <c r="C148" s="64"/>
      <c r="D148" s="65"/>
      <c r="E148" s="63"/>
      <c r="F148" s="64"/>
      <c r="G148" s="64"/>
      <c r="H148" s="64"/>
      <c r="I148" s="75"/>
      <c r="K148" s="6"/>
      <c r="L148" s="6"/>
      <c r="M148" s="6"/>
      <c r="N148" s="6"/>
      <c r="O148" s="6"/>
      <c r="P148" s="100"/>
      <c r="Q148" s="96"/>
      <c r="R148" s="6"/>
      <c r="S148" s="6"/>
      <c r="T148" s="6"/>
      <c r="U148" s="6"/>
      <c r="V148" s="6"/>
      <c r="W148" s="97"/>
      <c r="X148" s="96"/>
      <c r="Y148" s="6"/>
      <c r="Z148" s="6"/>
      <c r="AA148" s="6"/>
      <c r="AB148" s="6"/>
      <c r="AC148" s="97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>
      <c r="A149" s="63"/>
      <c r="B149" s="64"/>
      <c r="C149" s="64"/>
      <c r="D149" s="65"/>
      <c r="E149" s="63"/>
      <c r="F149" s="64"/>
      <c r="G149" s="64"/>
      <c r="H149" s="64"/>
      <c r="I149" s="75"/>
      <c r="K149" s="6"/>
      <c r="L149" s="6"/>
      <c r="M149" s="6"/>
      <c r="N149" s="6"/>
      <c r="O149" s="6"/>
      <c r="P149" s="100"/>
      <c r="Q149" s="96"/>
      <c r="R149" s="6"/>
      <c r="S149" s="6"/>
      <c r="T149" s="6"/>
      <c r="U149" s="6"/>
      <c r="V149" s="6"/>
      <c r="W149" s="97"/>
      <c r="X149" s="96"/>
      <c r="Y149" s="6"/>
      <c r="Z149" s="6"/>
      <c r="AA149" s="6"/>
      <c r="AB149" s="6"/>
      <c r="AC149" s="97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>
      <c r="A150" s="63"/>
      <c r="B150" s="64"/>
      <c r="C150" s="64"/>
      <c r="D150" s="65"/>
      <c r="E150" s="63"/>
      <c r="F150" s="64"/>
      <c r="G150" s="64"/>
      <c r="H150" s="64"/>
      <c r="I150" s="75"/>
      <c r="K150" s="6"/>
      <c r="L150" s="6"/>
      <c r="M150" s="6"/>
      <c r="N150" s="6"/>
      <c r="O150" s="6"/>
      <c r="P150" s="100"/>
      <c r="Q150" s="96"/>
      <c r="R150" s="6"/>
      <c r="S150" s="6"/>
      <c r="T150" s="6"/>
      <c r="U150" s="6"/>
      <c r="V150" s="6"/>
      <c r="W150" s="97"/>
      <c r="X150" s="96"/>
      <c r="Y150" s="6"/>
      <c r="Z150" s="6"/>
      <c r="AA150" s="6"/>
      <c r="AB150" s="6"/>
      <c r="AC150" s="97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>
      <c r="A151" s="63"/>
      <c r="B151" s="64"/>
      <c r="C151" s="64"/>
      <c r="D151" s="65"/>
      <c r="E151" s="63"/>
      <c r="F151" s="64"/>
      <c r="G151" s="64"/>
      <c r="H151" s="64"/>
      <c r="I151" s="75"/>
      <c r="K151" s="6"/>
      <c r="L151" s="6"/>
      <c r="M151" s="6"/>
      <c r="N151" s="6"/>
      <c r="O151" s="6"/>
      <c r="P151" s="100"/>
      <c r="Q151" s="96"/>
      <c r="R151" s="6"/>
      <c r="S151" s="6"/>
      <c r="T151" s="6"/>
      <c r="U151" s="6"/>
      <c r="V151" s="6"/>
      <c r="W151" s="97"/>
      <c r="X151" s="96"/>
      <c r="Y151" s="6"/>
      <c r="Z151" s="6"/>
      <c r="AA151" s="6"/>
      <c r="AB151" s="6"/>
      <c r="AC151" s="97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>
      <c r="A152" s="63"/>
      <c r="B152" s="64"/>
      <c r="C152" s="64"/>
      <c r="D152" s="65"/>
      <c r="E152" s="63"/>
      <c r="F152" s="64"/>
      <c r="G152" s="64"/>
      <c r="H152" s="64"/>
      <c r="I152" s="75"/>
      <c r="K152" s="6"/>
      <c r="L152" s="6"/>
      <c r="M152" s="6"/>
      <c r="N152" s="6"/>
      <c r="O152" s="6"/>
      <c r="P152" s="100"/>
      <c r="Q152" s="96"/>
      <c r="R152" s="6"/>
      <c r="S152" s="6"/>
      <c r="T152" s="6"/>
      <c r="U152" s="6"/>
      <c r="V152" s="6"/>
      <c r="W152" s="97"/>
      <c r="X152" s="96"/>
      <c r="Y152" s="6"/>
      <c r="Z152" s="6"/>
      <c r="AA152" s="6"/>
      <c r="AB152" s="6"/>
      <c r="AC152" s="97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>
      <c r="A153" s="63"/>
      <c r="B153" s="64"/>
      <c r="C153" s="64"/>
      <c r="D153" s="65"/>
      <c r="E153" s="63"/>
      <c r="F153" s="64"/>
      <c r="G153" s="64"/>
      <c r="H153" s="64"/>
      <c r="I153" s="75"/>
      <c r="K153" s="6"/>
      <c r="L153" s="6"/>
      <c r="M153" s="6"/>
      <c r="N153" s="6"/>
      <c r="O153" s="6"/>
      <c r="P153" s="100"/>
      <c r="Q153" s="96"/>
      <c r="R153" s="6"/>
      <c r="S153" s="6"/>
      <c r="T153" s="6"/>
      <c r="U153" s="6"/>
      <c r="V153" s="6"/>
      <c r="W153" s="97"/>
      <c r="X153" s="96"/>
      <c r="Y153" s="6"/>
      <c r="Z153" s="6"/>
      <c r="AA153" s="6"/>
      <c r="AB153" s="6"/>
      <c r="AC153" s="97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>
      <c r="A154" s="63"/>
      <c r="B154" s="64"/>
      <c r="C154" s="64"/>
      <c r="D154" s="65"/>
      <c r="E154" s="63"/>
      <c r="F154" s="64"/>
      <c r="G154" s="64"/>
      <c r="H154" s="64"/>
      <c r="I154" s="75"/>
      <c r="K154" s="6"/>
      <c r="L154" s="6"/>
      <c r="M154" s="6"/>
      <c r="N154" s="6"/>
      <c r="O154" s="6"/>
      <c r="P154" s="100"/>
      <c r="Q154" s="96"/>
      <c r="R154" s="6"/>
      <c r="S154" s="6"/>
      <c r="T154" s="6"/>
      <c r="U154" s="6"/>
      <c r="V154" s="6"/>
      <c r="W154" s="97"/>
      <c r="X154" s="96"/>
      <c r="Y154" s="6"/>
      <c r="Z154" s="6"/>
      <c r="AA154" s="6"/>
      <c r="AB154" s="6"/>
      <c r="AC154" s="97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>
      <c r="A155" s="63"/>
      <c r="B155" s="64"/>
      <c r="C155" s="64"/>
      <c r="D155" s="65"/>
      <c r="E155" s="63"/>
      <c r="F155" s="64"/>
      <c r="G155" s="64"/>
      <c r="H155" s="64"/>
      <c r="I155" s="75"/>
      <c r="K155" s="6"/>
      <c r="L155" s="6"/>
      <c r="M155" s="6"/>
      <c r="N155" s="6"/>
      <c r="O155" s="6"/>
      <c r="P155" s="100"/>
      <c r="Q155" s="96"/>
      <c r="R155" s="6"/>
      <c r="S155" s="6"/>
      <c r="T155" s="6"/>
      <c r="U155" s="6"/>
      <c r="V155" s="6"/>
      <c r="W155" s="97"/>
      <c r="X155" s="96"/>
      <c r="Y155" s="6"/>
      <c r="Z155" s="6"/>
      <c r="AA155" s="6"/>
      <c r="AB155" s="6"/>
      <c r="AC155" s="97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>
      <c r="A156" s="63"/>
      <c r="B156" s="64"/>
      <c r="C156" s="64"/>
      <c r="D156" s="65"/>
      <c r="E156" s="63"/>
      <c r="F156" s="64"/>
      <c r="G156" s="64"/>
      <c r="H156" s="64"/>
      <c r="I156" s="75"/>
      <c r="K156" s="6"/>
      <c r="L156" s="6"/>
      <c r="M156" s="6"/>
      <c r="N156" s="6"/>
      <c r="O156" s="6"/>
      <c r="P156" s="100"/>
      <c r="Q156" s="96"/>
      <c r="R156" s="6"/>
      <c r="S156" s="6"/>
      <c r="T156" s="6"/>
      <c r="U156" s="6"/>
      <c r="V156" s="6"/>
      <c r="W156" s="97"/>
      <c r="X156" s="96"/>
      <c r="Y156" s="6"/>
      <c r="Z156" s="6"/>
      <c r="AA156" s="6"/>
      <c r="AB156" s="6"/>
      <c r="AC156" s="97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>
      <c r="A157" s="63"/>
      <c r="B157" s="64"/>
      <c r="C157" s="64"/>
      <c r="D157" s="65"/>
      <c r="E157" s="63"/>
      <c r="F157" s="64"/>
      <c r="G157" s="64"/>
      <c r="H157" s="64"/>
      <c r="I157" s="75"/>
      <c r="K157" s="6"/>
      <c r="L157" s="6"/>
      <c r="M157" s="6"/>
      <c r="N157" s="6"/>
      <c r="O157" s="6"/>
      <c r="P157" s="100"/>
      <c r="Q157" s="96"/>
      <c r="R157" s="6"/>
      <c r="S157" s="6"/>
      <c r="T157" s="6"/>
      <c r="U157" s="6"/>
      <c r="V157" s="6"/>
      <c r="W157" s="97"/>
      <c r="X157" s="96"/>
      <c r="Y157" s="6"/>
      <c r="Z157" s="6"/>
      <c r="AA157" s="6"/>
      <c r="AB157" s="6"/>
      <c r="AC157" s="97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>
      <c r="A158" s="63"/>
      <c r="B158" s="64"/>
      <c r="C158" s="64"/>
      <c r="D158" s="65"/>
      <c r="E158" s="63"/>
      <c r="F158" s="64"/>
      <c r="G158" s="64"/>
      <c r="H158" s="64"/>
      <c r="I158" s="75"/>
      <c r="K158" s="6"/>
      <c r="L158" s="6"/>
      <c r="M158" s="6"/>
      <c r="N158" s="6"/>
      <c r="O158" s="6"/>
      <c r="P158" s="100"/>
      <c r="Q158" s="96"/>
      <c r="R158" s="6"/>
      <c r="S158" s="6"/>
      <c r="T158" s="6"/>
      <c r="U158" s="6"/>
      <c r="V158" s="6"/>
      <c r="W158" s="97"/>
      <c r="X158" s="96"/>
      <c r="Y158" s="6"/>
      <c r="Z158" s="6"/>
      <c r="AA158" s="6"/>
      <c r="AB158" s="6"/>
      <c r="AC158" s="97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>
      <c r="A159" s="63"/>
      <c r="B159" s="64"/>
      <c r="C159" s="64"/>
      <c r="D159" s="65"/>
      <c r="E159" s="63"/>
      <c r="F159" s="64"/>
      <c r="G159" s="64"/>
      <c r="H159" s="64"/>
      <c r="I159" s="75"/>
      <c r="K159" s="6"/>
      <c r="L159" s="6"/>
      <c r="M159" s="6"/>
      <c r="N159" s="6"/>
      <c r="O159" s="6"/>
      <c r="P159" s="100"/>
      <c r="Q159" s="96"/>
      <c r="R159" s="6"/>
      <c r="S159" s="6"/>
      <c r="T159" s="6"/>
      <c r="U159" s="6"/>
      <c r="V159" s="6"/>
      <c r="W159" s="97"/>
      <c r="X159" s="96"/>
      <c r="Y159" s="6"/>
      <c r="Z159" s="6"/>
      <c r="AA159" s="6"/>
      <c r="AB159" s="6"/>
      <c r="AC159" s="97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>
      <c r="A160" s="63"/>
      <c r="B160" s="64"/>
      <c r="C160" s="64"/>
      <c r="D160" s="65"/>
      <c r="E160" s="63"/>
      <c r="F160" s="64"/>
      <c r="G160" s="64"/>
      <c r="H160" s="64"/>
      <c r="I160" s="75"/>
      <c r="K160" s="6"/>
      <c r="L160" s="6"/>
      <c r="M160" s="6"/>
      <c r="N160" s="6"/>
      <c r="O160" s="6"/>
      <c r="P160" s="100"/>
      <c r="Q160" s="96"/>
      <c r="R160" s="6"/>
      <c r="S160" s="6"/>
      <c r="T160" s="6"/>
      <c r="U160" s="6"/>
      <c r="V160" s="6"/>
      <c r="W160" s="97"/>
      <c r="X160" s="96"/>
      <c r="Y160" s="6"/>
      <c r="Z160" s="6"/>
      <c r="AA160" s="6"/>
      <c r="AB160" s="6"/>
      <c r="AC160" s="97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>
      <c r="A161" s="63"/>
      <c r="B161" s="64"/>
      <c r="C161" s="64"/>
      <c r="D161" s="65"/>
      <c r="E161" s="63"/>
      <c r="F161" s="64"/>
      <c r="G161" s="64"/>
      <c r="H161" s="64"/>
      <c r="I161" s="75"/>
      <c r="K161" s="6"/>
      <c r="L161" s="6"/>
      <c r="M161" s="6"/>
      <c r="N161" s="6"/>
      <c r="O161" s="6"/>
      <c r="P161" s="100"/>
      <c r="Q161" s="96"/>
      <c r="R161" s="6"/>
      <c r="S161" s="6"/>
      <c r="T161" s="6"/>
      <c r="U161" s="6"/>
      <c r="V161" s="6"/>
      <c r="W161" s="97"/>
      <c r="X161" s="96"/>
      <c r="Y161" s="6"/>
      <c r="Z161" s="6"/>
      <c r="AA161" s="6"/>
      <c r="AB161" s="6"/>
      <c r="AC161" s="97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>
      <c r="A162" s="63"/>
      <c r="B162" s="64"/>
      <c r="C162" s="64"/>
      <c r="D162" s="65"/>
      <c r="E162" s="63"/>
      <c r="F162" s="64"/>
      <c r="G162" s="64"/>
      <c r="H162" s="64"/>
      <c r="I162" s="75"/>
      <c r="K162" s="6"/>
      <c r="L162" s="6"/>
      <c r="M162" s="6"/>
      <c r="N162" s="6"/>
      <c r="O162" s="6"/>
      <c r="P162" s="100"/>
      <c r="Q162" s="96"/>
      <c r="R162" s="6"/>
      <c r="S162" s="6"/>
      <c r="T162" s="6"/>
      <c r="U162" s="6"/>
      <c r="V162" s="6"/>
      <c r="W162" s="97"/>
      <c r="X162" s="96"/>
      <c r="Y162" s="6"/>
      <c r="Z162" s="6"/>
      <c r="AA162" s="6"/>
      <c r="AB162" s="6"/>
      <c r="AC162" s="97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>
      <c r="A163" s="63"/>
      <c r="B163" s="64"/>
      <c r="C163" s="64"/>
      <c r="D163" s="65"/>
      <c r="E163" s="63"/>
      <c r="F163" s="64"/>
      <c r="G163" s="64"/>
      <c r="H163" s="64"/>
      <c r="I163" s="75"/>
      <c r="K163" s="6"/>
      <c r="L163" s="6"/>
      <c r="M163" s="6"/>
      <c r="N163" s="6"/>
      <c r="O163" s="6"/>
      <c r="P163" s="100"/>
      <c r="Q163" s="96"/>
      <c r="R163" s="6"/>
      <c r="S163" s="6"/>
      <c r="T163" s="6"/>
      <c r="U163" s="6"/>
      <c r="V163" s="6"/>
      <c r="W163" s="97"/>
      <c r="X163" s="96"/>
      <c r="Y163" s="6"/>
      <c r="Z163" s="6"/>
      <c r="AA163" s="6"/>
      <c r="AB163" s="6"/>
      <c r="AC163" s="97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>
      <c r="A164" s="63"/>
      <c r="B164" s="64"/>
      <c r="C164" s="64"/>
      <c r="D164" s="65"/>
      <c r="E164" s="63"/>
      <c r="F164" s="64"/>
      <c r="G164" s="64"/>
      <c r="H164" s="64"/>
      <c r="I164" s="75"/>
      <c r="K164" s="6"/>
      <c r="L164" s="6"/>
      <c r="M164" s="6"/>
      <c r="N164" s="6"/>
      <c r="O164" s="6"/>
      <c r="P164" s="100"/>
      <c r="Q164" s="96"/>
      <c r="R164" s="6"/>
      <c r="S164" s="6"/>
      <c r="T164" s="6"/>
      <c r="U164" s="6"/>
      <c r="V164" s="6"/>
      <c r="W164" s="97"/>
      <c r="X164" s="96"/>
      <c r="Y164" s="6"/>
      <c r="Z164" s="6"/>
      <c r="AA164" s="6"/>
      <c r="AB164" s="6"/>
      <c r="AC164" s="97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>
      <c r="A165" s="63"/>
      <c r="B165" s="64"/>
      <c r="C165" s="64"/>
      <c r="D165" s="65"/>
      <c r="E165" s="63"/>
      <c r="F165" s="64"/>
      <c r="G165" s="64"/>
      <c r="H165" s="64"/>
      <c r="I165" s="75"/>
      <c r="K165" s="6"/>
      <c r="L165" s="6"/>
      <c r="M165" s="6"/>
      <c r="N165" s="6"/>
      <c r="O165" s="6"/>
      <c r="P165" s="100"/>
      <c r="Q165" s="96"/>
      <c r="R165" s="6"/>
      <c r="S165" s="6"/>
      <c r="T165" s="6"/>
      <c r="U165" s="6"/>
      <c r="V165" s="6"/>
      <c r="W165" s="97"/>
      <c r="X165" s="96"/>
      <c r="Y165" s="6"/>
      <c r="Z165" s="6"/>
      <c r="AA165" s="6"/>
      <c r="AB165" s="6"/>
      <c r="AC165" s="97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>
      <c r="A166" s="63"/>
      <c r="B166" s="64"/>
      <c r="C166" s="64"/>
      <c r="D166" s="65"/>
      <c r="E166" s="63"/>
      <c r="F166" s="64"/>
      <c r="G166" s="64"/>
      <c r="H166" s="64"/>
      <c r="I166" s="75"/>
      <c r="K166" s="6"/>
      <c r="L166" s="6"/>
      <c r="M166" s="6"/>
      <c r="N166" s="6"/>
      <c r="O166" s="6"/>
      <c r="P166" s="100"/>
      <c r="Q166" s="96"/>
      <c r="R166" s="6"/>
      <c r="S166" s="6"/>
      <c r="T166" s="6"/>
      <c r="U166" s="6"/>
      <c r="V166" s="6"/>
      <c r="W166" s="97"/>
      <c r="X166" s="96"/>
      <c r="Y166" s="6"/>
      <c r="Z166" s="6"/>
      <c r="AA166" s="6"/>
      <c r="AB166" s="6"/>
      <c r="AC166" s="97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>
      <c r="A167" s="63"/>
      <c r="B167" s="64"/>
      <c r="C167" s="64"/>
      <c r="D167" s="65"/>
      <c r="E167" s="63"/>
      <c r="F167" s="64"/>
      <c r="G167" s="64"/>
      <c r="H167" s="64"/>
      <c r="I167" s="75"/>
      <c r="K167" s="6"/>
      <c r="L167" s="6"/>
      <c r="M167" s="6"/>
      <c r="N167" s="6"/>
      <c r="O167" s="6"/>
      <c r="P167" s="100"/>
      <c r="Q167" s="96"/>
      <c r="R167" s="6"/>
      <c r="S167" s="6"/>
      <c r="T167" s="6"/>
      <c r="U167" s="6"/>
      <c r="V167" s="6"/>
      <c r="W167" s="97"/>
      <c r="X167" s="96"/>
      <c r="Y167" s="6"/>
      <c r="Z167" s="6"/>
      <c r="AA167" s="6"/>
      <c r="AB167" s="6"/>
      <c r="AC167" s="97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>
      <c r="A168" s="63"/>
      <c r="B168" s="64"/>
      <c r="C168" s="64"/>
      <c r="D168" s="65"/>
      <c r="E168" s="63"/>
      <c r="F168" s="64"/>
      <c r="G168" s="64"/>
      <c r="H168" s="64"/>
      <c r="I168" s="75"/>
      <c r="K168" s="6"/>
      <c r="L168" s="6"/>
      <c r="M168" s="6"/>
      <c r="N168" s="6"/>
      <c r="O168" s="6"/>
      <c r="P168" s="100"/>
      <c r="Q168" s="96"/>
      <c r="R168" s="6"/>
      <c r="S168" s="6"/>
      <c r="T168" s="6"/>
      <c r="U168" s="6"/>
      <c r="V168" s="6"/>
      <c r="W168" s="97"/>
      <c r="X168" s="96"/>
      <c r="Y168" s="6"/>
      <c r="Z168" s="6"/>
      <c r="AA168" s="6"/>
      <c r="AB168" s="6"/>
      <c r="AC168" s="97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>
      <c r="A169" s="63"/>
      <c r="B169" s="64"/>
      <c r="C169" s="64"/>
      <c r="D169" s="65"/>
      <c r="E169" s="63"/>
      <c r="F169" s="64"/>
      <c r="G169" s="64"/>
      <c r="H169" s="64"/>
      <c r="I169" s="75"/>
      <c r="K169" s="6"/>
      <c r="L169" s="6"/>
      <c r="M169" s="6"/>
      <c r="N169" s="6"/>
      <c r="O169" s="6"/>
      <c r="P169" s="100"/>
      <c r="Q169" s="96"/>
      <c r="R169" s="6"/>
      <c r="S169" s="6"/>
      <c r="T169" s="6"/>
      <c r="U169" s="6"/>
      <c r="V169" s="6"/>
      <c r="W169" s="97"/>
      <c r="X169" s="96"/>
      <c r="Y169" s="6"/>
      <c r="Z169" s="6"/>
      <c r="AA169" s="6"/>
      <c r="AB169" s="6"/>
      <c r="AC169" s="97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>
      <c r="A170" s="63"/>
      <c r="B170" s="64"/>
      <c r="C170" s="64"/>
      <c r="D170" s="65"/>
      <c r="E170" s="63"/>
      <c r="F170" s="64"/>
      <c r="G170" s="64"/>
      <c r="H170" s="64"/>
      <c r="I170" s="75"/>
      <c r="K170" s="6"/>
      <c r="L170" s="6"/>
      <c r="M170" s="6"/>
      <c r="N170" s="6"/>
      <c r="O170" s="6"/>
      <c r="P170" s="100"/>
      <c r="Q170" s="96"/>
      <c r="R170" s="6"/>
      <c r="S170" s="6"/>
      <c r="T170" s="6"/>
      <c r="U170" s="6"/>
      <c r="V170" s="6"/>
      <c r="W170" s="97"/>
      <c r="X170" s="96"/>
      <c r="Y170" s="6"/>
      <c r="Z170" s="6"/>
      <c r="AA170" s="6"/>
      <c r="AB170" s="6"/>
      <c r="AC170" s="97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>
      <c r="A171" s="63"/>
      <c r="B171" s="64"/>
      <c r="C171" s="64"/>
      <c r="D171" s="65"/>
      <c r="E171" s="63"/>
      <c r="F171" s="64"/>
      <c r="G171" s="64"/>
      <c r="H171" s="64"/>
      <c r="I171" s="75"/>
      <c r="K171" s="6"/>
      <c r="L171" s="6"/>
      <c r="M171" s="6"/>
      <c r="N171" s="6"/>
      <c r="O171" s="6"/>
      <c r="P171" s="100"/>
      <c r="Q171" s="96"/>
      <c r="R171" s="6"/>
      <c r="S171" s="6"/>
      <c r="T171" s="6"/>
      <c r="U171" s="6"/>
      <c r="V171" s="6"/>
      <c r="W171" s="97"/>
      <c r="X171" s="96"/>
      <c r="Y171" s="6"/>
      <c r="Z171" s="6"/>
      <c r="AA171" s="6"/>
      <c r="AB171" s="6"/>
      <c r="AC171" s="97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spans="1:47">
      <c r="A172" s="63"/>
      <c r="B172" s="64"/>
      <c r="C172" s="64"/>
      <c r="D172" s="65"/>
      <c r="E172" s="63"/>
      <c r="F172" s="64"/>
      <c r="G172" s="64"/>
      <c r="H172" s="64"/>
      <c r="I172" s="75"/>
      <c r="K172" s="6"/>
      <c r="L172" s="6"/>
      <c r="M172" s="6"/>
      <c r="N172" s="6"/>
      <c r="O172" s="6"/>
      <c r="P172" s="100"/>
      <c r="Q172" s="96"/>
      <c r="R172" s="6"/>
      <c r="S172" s="6"/>
      <c r="T172" s="6"/>
      <c r="U172" s="6"/>
      <c r="V172" s="6"/>
      <c r="W172" s="97"/>
      <c r="X172" s="96"/>
      <c r="Y172" s="6"/>
      <c r="Z172" s="6"/>
      <c r="AA172" s="6"/>
      <c r="AB172" s="6"/>
      <c r="AC172" s="97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spans="1:47">
      <c r="A173" s="63"/>
      <c r="B173" s="64"/>
      <c r="C173" s="64"/>
      <c r="D173" s="65"/>
      <c r="E173" s="63"/>
      <c r="F173" s="64"/>
      <c r="G173" s="64"/>
      <c r="H173" s="64"/>
      <c r="I173" s="75"/>
      <c r="K173" s="6"/>
      <c r="L173" s="6"/>
      <c r="M173" s="6"/>
      <c r="N173" s="6"/>
      <c r="O173" s="6"/>
      <c r="P173" s="100"/>
      <c r="Q173" s="96"/>
      <c r="R173" s="6"/>
      <c r="S173" s="6"/>
      <c r="T173" s="6"/>
      <c r="U173" s="6"/>
      <c r="V173" s="6"/>
      <c r="W173" s="97"/>
      <c r="X173" s="96"/>
      <c r="Y173" s="6"/>
      <c r="Z173" s="6"/>
      <c r="AA173" s="6"/>
      <c r="AB173" s="6"/>
      <c r="AC173" s="97"/>
    </row>
    <row r="174" spans="1:47">
      <c r="A174" s="63"/>
      <c r="B174" s="64"/>
      <c r="C174" s="64"/>
      <c r="D174" s="65"/>
      <c r="E174" s="63"/>
      <c r="F174" s="64"/>
      <c r="G174" s="64"/>
      <c r="H174" s="64"/>
      <c r="I174" s="75"/>
      <c r="K174" s="6"/>
      <c r="L174" s="6"/>
      <c r="M174" s="6"/>
      <c r="N174" s="6"/>
      <c r="O174" s="6"/>
      <c r="P174" s="100"/>
      <c r="Q174" s="96"/>
      <c r="R174" s="6"/>
      <c r="S174" s="6"/>
      <c r="T174" s="6"/>
      <c r="U174" s="6"/>
      <c r="V174" s="6"/>
      <c r="W174" s="97"/>
      <c r="X174" s="96"/>
      <c r="Y174" s="6"/>
      <c r="Z174" s="6"/>
      <c r="AA174" s="6"/>
      <c r="AB174" s="6"/>
      <c r="AC174" s="97"/>
    </row>
    <row r="175" spans="1:47">
      <c r="A175" s="63"/>
      <c r="B175" s="64"/>
      <c r="C175" s="64"/>
      <c r="D175" s="65"/>
      <c r="E175" s="63"/>
      <c r="F175" s="64"/>
      <c r="G175" s="64"/>
      <c r="H175" s="64"/>
      <c r="I175" s="75"/>
      <c r="K175" s="6"/>
      <c r="L175" s="6"/>
      <c r="M175" s="6"/>
      <c r="N175" s="6"/>
      <c r="O175" s="6"/>
      <c r="P175" s="100"/>
      <c r="Q175" s="96"/>
      <c r="R175" s="6"/>
      <c r="S175" s="6"/>
      <c r="T175" s="6"/>
      <c r="U175" s="6"/>
      <c r="V175" s="6"/>
      <c r="W175" s="97"/>
      <c r="X175" s="96"/>
      <c r="Y175" s="6"/>
      <c r="Z175" s="6"/>
      <c r="AA175" s="6"/>
      <c r="AB175" s="6"/>
      <c r="AC175" s="97"/>
    </row>
    <row r="176" spans="1:47">
      <c r="A176" s="63"/>
      <c r="B176" s="64"/>
      <c r="C176" s="64"/>
      <c r="D176" s="65"/>
      <c r="E176" s="63"/>
      <c r="F176" s="64"/>
      <c r="G176" s="64"/>
      <c r="H176" s="64"/>
      <c r="I176" s="75"/>
      <c r="K176" s="6"/>
      <c r="L176" s="6"/>
      <c r="M176" s="6"/>
      <c r="N176" s="6"/>
      <c r="O176" s="6"/>
      <c r="P176" s="100"/>
      <c r="Q176" s="96"/>
      <c r="R176" s="6"/>
      <c r="S176" s="6"/>
      <c r="T176" s="6"/>
      <c r="U176" s="6"/>
      <c r="V176" s="6"/>
      <c r="W176" s="97"/>
      <c r="X176" s="96"/>
      <c r="Y176" s="6"/>
      <c r="Z176" s="6"/>
      <c r="AA176" s="6"/>
      <c r="AB176" s="6"/>
      <c r="AC176" s="97"/>
    </row>
    <row r="177" spans="1:29">
      <c r="A177" s="63"/>
      <c r="B177" s="64"/>
      <c r="C177" s="64"/>
      <c r="D177" s="65"/>
      <c r="E177" s="63"/>
      <c r="F177" s="64"/>
      <c r="G177" s="64"/>
      <c r="H177" s="64"/>
      <c r="I177" s="75"/>
      <c r="K177" s="6"/>
      <c r="L177" s="6"/>
      <c r="M177" s="6"/>
      <c r="N177" s="6"/>
      <c r="O177" s="6"/>
      <c r="P177" s="100"/>
      <c r="Q177" s="96"/>
      <c r="R177" s="6"/>
      <c r="S177" s="6"/>
      <c r="T177" s="6"/>
      <c r="U177" s="6"/>
      <c r="V177" s="6"/>
      <c r="W177" s="97"/>
      <c r="X177" s="96"/>
      <c r="Y177" s="6"/>
      <c r="Z177" s="6"/>
      <c r="AA177" s="6"/>
      <c r="AB177" s="6"/>
      <c r="AC177" s="97"/>
    </row>
    <row r="178" spans="1:29">
      <c r="A178" s="63"/>
      <c r="B178" s="64"/>
      <c r="C178" s="64"/>
      <c r="D178" s="65"/>
      <c r="E178" s="63"/>
      <c r="F178" s="64"/>
      <c r="G178" s="64"/>
      <c r="H178" s="64"/>
      <c r="I178" s="75"/>
      <c r="K178" s="6"/>
      <c r="L178" s="6"/>
      <c r="M178" s="6"/>
      <c r="N178" s="6"/>
      <c r="O178" s="6"/>
      <c r="P178" s="100"/>
      <c r="Q178" s="96"/>
      <c r="R178" s="6"/>
      <c r="S178" s="6"/>
      <c r="T178" s="6"/>
      <c r="U178" s="6"/>
      <c r="V178" s="6"/>
      <c r="W178" s="97"/>
      <c r="X178" s="96"/>
      <c r="Y178" s="6"/>
      <c r="Z178" s="6"/>
      <c r="AA178" s="6"/>
      <c r="AB178" s="6"/>
      <c r="AC178" s="97"/>
    </row>
    <row r="179" spans="1:29">
      <c r="A179" s="63"/>
      <c r="B179" s="64"/>
      <c r="C179" s="64"/>
      <c r="D179" s="65"/>
      <c r="E179" s="63"/>
      <c r="F179" s="64"/>
      <c r="G179" s="64"/>
      <c r="H179" s="64"/>
      <c r="I179" s="75"/>
      <c r="K179" s="6"/>
      <c r="L179" s="6"/>
      <c r="M179" s="6"/>
      <c r="N179" s="6"/>
      <c r="O179" s="6"/>
      <c r="P179" s="100"/>
      <c r="Q179" s="96"/>
      <c r="R179" s="6"/>
      <c r="S179" s="6"/>
      <c r="T179" s="6"/>
      <c r="U179" s="6"/>
      <c r="V179" s="6"/>
      <c r="W179" s="97"/>
      <c r="X179" s="96"/>
      <c r="Y179" s="6"/>
      <c r="Z179" s="6"/>
      <c r="AA179" s="6"/>
      <c r="AB179" s="6"/>
      <c r="AC179" s="97"/>
    </row>
    <row r="180" spans="1:29">
      <c r="A180" s="63"/>
      <c r="B180" s="64"/>
      <c r="C180" s="64"/>
      <c r="D180" s="65"/>
      <c r="E180" s="63"/>
      <c r="F180" s="64"/>
      <c r="G180" s="64"/>
      <c r="H180" s="64"/>
      <c r="I180" s="75"/>
      <c r="K180" s="6"/>
      <c r="L180" s="6"/>
      <c r="M180" s="6"/>
      <c r="N180" s="6"/>
      <c r="O180" s="6"/>
      <c r="P180" s="100"/>
      <c r="Q180" s="96"/>
      <c r="R180" s="6"/>
      <c r="S180" s="6"/>
      <c r="T180" s="6"/>
      <c r="U180" s="6"/>
      <c r="V180" s="6"/>
      <c r="W180" s="97"/>
      <c r="X180" s="96"/>
      <c r="Y180" s="6"/>
      <c r="Z180" s="6"/>
      <c r="AA180" s="6"/>
      <c r="AB180" s="6"/>
      <c r="AC180" s="97"/>
    </row>
    <row r="181" spans="1:29">
      <c r="A181" s="63"/>
      <c r="B181" s="64"/>
      <c r="C181" s="64"/>
      <c r="D181" s="65"/>
      <c r="E181" s="63"/>
      <c r="F181" s="64"/>
      <c r="G181" s="64"/>
      <c r="H181" s="64"/>
      <c r="I181" s="75"/>
      <c r="K181" s="6"/>
      <c r="L181" s="6"/>
      <c r="M181" s="6"/>
      <c r="N181" s="6"/>
      <c r="O181" s="6"/>
      <c r="P181" s="100"/>
      <c r="Q181" s="96"/>
      <c r="R181" s="6"/>
      <c r="S181" s="6"/>
      <c r="T181" s="6"/>
      <c r="U181" s="6"/>
      <c r="V181" s="6"/>
      <c r="W181" s="97"/>
      <c r="X181" s="96"/>
      <c r="Y181" s="6"/>
      <c r="Z181" s="6"/>
      <c r="AA181" s="6"/>
      <c r="AB181" s="6"/>
      <c r="AC181" s="97"/>
    </row>
    <row r="182" spans="1:29">
      <c r="A182" s="63"/>
      <c r="B182" s="64"/>
      <c r="C182" s="64"/>
      <c r="D182" s="65"/>
      <c r="E182" s="63"/>
      <c r="F182" s="64"/>
      <c r="G182" s="64"/>
      <c r="H182" s="64"/>
      <c r="I182" s="75"/>
      <c r="K182" s="6"/>
      <c r="L182" s="6"/>
      <c r="M182" s="6"/>
      <c r="N182" s="6"/>
      <c r="O182" s="6"/>
      <c r="P182" s="100"/>
      <c r="Q182" s="96"/>
      <c r="R182" s="6"/>
      <c r="S182" s="6"/>
      <c r="T182" s="6"/>
      <c r="U182" s="6"/>
      <c r="V182" s="6"/>
      <c r="W182" s="97"/>
      <c r="X182" s="96"/>
      <c r="Y182" s="6"/>
      <c r="Z182" s="6"/>
      <c r="AA182" s="6"/>
      <c r="AB182" s="6"/>
      <c r="AC182" s="97"/>
    </row>
    <row r="183" spans="1:29">
      <c r="A183" s="63"/>
      <c r="B183" s="64"/>
      <c r="C183" s="64"/>
      <c r="D183" s="65"/>
      <c r="E183" s="63"/>
      <c r="F183" s="64"/>
      <c r="G183" s="64"/>
      <c r="H183" s="64"/>
      <c r="I183" s="75"/>
      <c r="K183" s="6"/>
      <c r="L183" s="6"/>
      <c r="M183" s="6"/>
      <c r="N183" s="6"/>
      <c r="O183" s="6"/>
      <c r="P183" s="100"/>
      <c r="Q183" s="96"/>
      <c r="R183" s="6"/>
      <c r="S183" s="6"/>
      <c r="T183" s="6"/>
      <c r="U183" s="6"/>
      <c r="V183" s="6"/>
      <c r="W183" s="97"/>
      <c r="X183" s="96"/>
      <c r="Y183" s="6"/>
      <c r="Z183" s="6"/>
      <c r="AA183" s="6"/>
      <c r="AB183" s="6"/>
      <c r="AC183" s="97"/>
    </row>
    <row r="184" spans="1:29">
      <c r="A184" s="63"/>
      <c r="B184" s="64"/>
      <c r="C184" s="64"/>
      <c r="D184" s="65"/>
      <c r="E184" s="63"/>
      <c r="F184" s="64"/>
      <c r="G184" s="64"/>
      <c r="H184" s="64"/>
      <c r="I184" s="75"/>
      <c r="K184" s="6"/>
      <c r="L184" s="6"/>
      <c r="M184" s="6"/>
      <c r="N184" s="6"/>
      <c r="O184" s="6"/>
      <c r="P184" s="100"/>
      <c r="Q184" s="96"/>
      <c r="R184" s="6"/>
      <c r="S184" s="6"/>
      <c r="T184" s="6"/>
      <c r="U184" s="6"/>
      <c r="V184" s="6"/>
      <c r="W184" s="97"/>
      <c r="X184" s="96"/>
      <c r="Y184" s="6"/>
      <c r="Z184" s="6"/>
      <c r="AA184" s="6"/>
      <c r="AB184" s="6"/>
      <c r="AC184" s="97"/>
    </row>
    <row r="185" spans="1:29">
      <c r="A185" s="63"/>
      <c r="B185" s="64"/>
      <c r="C185" s="64"/>
      <c r="D185" s="65"/>
      <c r="E185" s="63"/>
      <c r="F185" s="64"/>
      <c r="G185" s="64"/>
      <c r="H185" s="64"/>
      <c r="I185" s="75"/>
      <c r="K185" s="6"/>
      <c r="L185" s="6"/>
      <c r="M185" s="6"/>
      <c r="N185" s="6"/>
      <c r="O185" s="6"/>
      <c r="P185" s="100"/>
      <c r="Q185" s="96"/>
      <c r="R185" s="6"/>
      <c r="S185" s="6"/>
      <c r="T185" s="6"/>
      <c r="U185" s="6"/>
      <c r="V185" s="6"/>
      <c r="W185" s="97"/>
      <c r="X185" s="96"/>
      <c r="Y185" s="6"/>
      <c r="Z185" s="6"/>
      <c r="AA185" s="6"/>
      <c r="AB185" s="6"/>
      <c r="AC185" s="97"/>
    </row>
    <row r="186" spans="1:29">
      <c r="A186" s="63"/>
      <c r="B186" s="64"/>
      <c r="C186" s="64"/>
      <c r="D186" s="65"/>
      <c r="E186" s="63"/>
      <c r="F186" s="64"/>
      <c r="G186" s="64"/>
      <c r="H186" s="64"/>
      <c r="I186" s="75"/>
      <c r="K186" s="6"/>
      <c r="L186" s="6"/>
      <c r="M186" s="6"/>
      <c r="N186" s="6"/>
      <c r="O186" s="6"/>
      <c r="P186" s="100"/>
      <c r="Q186" s="96"/>
      <c r="R186" s="6"/>
      <c r="S186" s="6"/>
      <c r="T186" s="6"/>
      <c r="U186" s="6"/>
      <c r="V186" s="6"/>
      <c r="W186" s="97"/>
      <c r="X186" s="96"/>
      <c r="Y186" s="6"/>
      <c r="Z186" s="6"/>
      <c r="AA186" s="6"/>
      <c r="AB186" s="6"/>
      <c r="AC186" s="97"/>
    </row>
    <row r="187" spans="1:29">
      <c r="A187" s="63"/>
      <c r="B187" s="64"/>
      <c r="C187" s="64"/>
      <c r="D187" s="65"/>
      <c r="E187" s="63"/>
      <c r="F187" s="64"/>
      <c r="G187" s="64"/>
      <c r="H187" s="64"/>
      <c r="I187" s="75"/>
      <c r="K187" s="6"/>
      <c r="L187" s="6"/>
      <c r="M187" s="6"/>
      <c r="N187" s="6"/>
      <c r="O187" s="6"/>
      <c r="P187" s="100"/>
      <c r="Q187" s="96"/>
      <c r="R187" s="6"/>
      <c r="S187" s="6"/>
      <c r="T187" s="6"/>
      <c r="U187" s="6"/>
      <c r="V187" s="6"/>
      <c r="W187" s="97"/>
      <c r="X187" s="96"/>
      <c r="Y187" s="6"/>
      <c r="Z187" s="6"/>
      <c r="AA187" s="6"/>
      <c r="AB187" s="6"/>
      <c r="AC187" s="97"/>
    </row>
    <row r="188" spans="1:29">
      <c r="A188" s="63"/>
      <c r="B188" s="64"/>
      <c r="C188" s="64"/>
      <c r="D188" s="65"/>
      <c r="E188" s="63"/>
      <c r="F188" s="64"/>
      <c r="G188" s="64"/>
      <c r="H188" s="64"/>
      <c r="I188" s="75"/>
      <c r="K188" s="6"/>
      <c r="L188" s="6"/>
      <c r="M188" s="6"/>
      <c r="N188" s="6"/>
      <c r="O188" s="6"/>
      <c r="P188" s="100"/>
      <c r="Q188" s="96"/>
      <c r="R188" s="6"/>
      <c r="S188" s="6"/>
      <c r="T188" s="6"/>
      <c r="U188" s="6"/>
      <c r="V188" s="6"/>
      <c r="W188" s="97"/>
      <c r="X188" s="96"/>
      <c r="Y188" s="6"/>
      <c r="Z188" s="6"/>
      <c r="AA188" s="6"/>
      <c r="AB188" s="6"/>
      <c r="AC188" s="97"/>
    </row>
    <row r="189" spans="1:29">
      <c r="A189" s="63"/>
      <c r="B189" s="64"/>
      <c r="C189" s="64"/>
      <c r="D189" s="65"/>
      <c r="E189" s="63"/>
      <c r="F189" s="64"/>
      <c r="G189" s="64"/>
      <c r="H189" s="64"/>
      <c r="I189" s="75"/>
      <c r="K189" s="6"/>
      <c r="L189" s="6"/>
      <c r="M189" s="6"/>
      <c r="N189" s="6"/>
      <c r="O189" s="6"/>
      <c r="P189" s="100"/>
      <c r="Q189" s="96"/>
      <c r="R189" s="6"/>
      <c r="S189" s="6"/>
      <c r="T189" s="6"/>
      <c r="U189" s="6"/>
      <c r="V189" s="6"/>
      <c r="W189" s="97"/>
      <c r="X189" s="96"/>
      <c r="Y189" s="6"/>
      <c r="Z189" s="6"/>
      <c r="AA189" s="6"/>
      <c r="AB189" s="6"/>
      <c r="AC189" s="97"/>
    </row>
    <row r="190" spans="1:29">
      <c r="A190" s="63"/>
      <c r="B190" s="64"/>
      <c r="C190" s="64"/>
      <c r="D190" s="65"/>
      <c r="E190" s="63"/>
      <c r="F190" s="64"/>
      <c r="G190" s="64"/>
      <c r="H190" s="64"/>
      <c r="I190" s="75"/>
      <c r="K190" s="6"/>
      <c r="L190" s="6"/>
      <c r="M190" s="6"/>
      <c r="N190" s="6"/>
      <c r="O190" s="6"/>
      <c r="P190" s="100"/>
      <c r="Q190" s="96"/>
      <c r="R190" s="6"/>
      <c r="S190" s="6"/>
      <c r="T190" s="6"/>
      <c r="U190" s="6"/>
      <c r="V190" s="6"/>
      <c r="W190" s="97"/>
      <c r="X190" s="96"/>
      <c r="Y190" s="6"/>
      <c r="Z190" s="6"/>
      <c r="AA190" s="6"/>
      <c r="AB190" s="6"/>
      <c r="AC190" s="97"/>
    </row>
    <row r="191" spans="1:29">
      <c r="A191" s="63"/>
      <c r="B191" s="64"/>
      <c r="C191" s="64"/>
      <c r="D191" s="65"/>
      <c r="E191" s="63"/>
      <c r="F191" s="64"/>
      <c r="G191" s="64"/>
      <c r="H191" s="64"/>
      <c r="I191" s="75"/>
      <c r="K191" s="6"/>
      <c r="L191" s="6"/>
      <c r="M191" s="6"/>
      <c r="N191" s="6"/>
      <c r="O191" s="6"/>
      <c r="P191" s="100"/>
      <c r="Q191" s="96"/>
      <c r="R191" s="6"/>
      <c r="S191" s="6"/>
      <c r="T191" s="6"/>
      <c r="U191" s="6"/>
      <c r="V191" s="6"/>
      <c r="W191" s="97"/>
      <c r="X191" s="96"/>
      <c r="Y191" s="6"/>
      <c r="Z191" s="6"/>
      <c r="AA191" s="6"/>
      <c r="AB191" s="6"/>
      <c r="AC191" s="97"/>
    </row>
    <row r="192" spans="1:29">
      <c r="A192" s="63"/>
      <c r="B192" s="64"/>
      <c r="C192" s="64"/>
      <c r="D192" s="65"/>
      <c r="E192" s="63"/>
      <c r="F192" s="64"/>
      <c r="G192" s="64"/>
      <c r="H192" s="64"/>
      <c r="I192" s="75"/>
      <c r="K192" s="6"/>
      <c r="L192" s="6"/>
      <c r="M192" s="6"/>
      <c r="N192" s="6"/>
      <c r="O192" s="6"/>
      <c r="P192" s="100"/>
      <c r="Q192" s="96"/>
      <c r="R192" s="6"/>
      <c r="S192" s="6"/>
      <c r="T192" s="6"/>
      <c r="U192" s="6"/>
      <c r="V192" s="6"/>
      <c r="W192" s="97"/>
      <c r="X192" s="96"/>
      <c r="Y192" s="6"/>
      <c r="Z192" s="6"/>
      <c r="AA192" s="6"/>
      <c r="AB192" s="6"/>
      <c r="AC192" s="97"/>
    </row>
    <row r="193" spans="1:29">
      <c r="A193" s="63"/>
      <c r="B193" s="64"/>
      <c r="C193" s="64"/>
      <c r="D193" s="65"/>
      <c r="E193" s="63"/>
      <c r="F193" s="64"/>
      <c r="G193" s="64"/>
      <c r="H193" s="64"/>
      <c r="I193" s="75"/>
      <c r="K193" s="6"/>
      <c r="L193" s="6"/>
      <c r="M193" s="6"/>
      <c r="N193" s="6"/>
      <c r="O193" s="6"/>
      <c r="P193" s="100"/>
      <c r="Q193" s="96"/>
      <c r="R193" s="6"/>
      <c r="S193" s="6"/>
      <c r="T193" s="6"/>
      <c r="U193" s="6"/>
      <c r="V193" s="6"/>
      <c r="W193" s="97"/>
      <c r="X193" s="96"/>
      <c r="Y193" s="6"/>
      <c r="Z193" s="6"/>
      <c r="AA193" s="6"/>
      <c r="AB193" s="6"/>
      <c r="AC193" s="97"/>
    </row>
    <row r="194" spans="1:29">
      <c r="A194" s="63"/>
      <c r="B194" s="64"/>
      <c r="C194" s="64"/>
      <c r="D194" s="65"/>
      <c r="E194" s="63"/>
      <c r="F194" s="64"/>
      <c r="G194" s="64"/>
      <c r="H194" s="64"/>
      <c r="I194" s="75"/>
      <c r="K194" s="6"/>
      <c r="L194" s="6"/>
      <c r="M194" s="6"/>
      <c r="N194" s="6"/>
      <c r="O194" s="6"/>
      <c r="P194" s="100"/>
      <c r="Q194" s="96"/>
      <c r="R194" s="6"/>
      <c r="S194" s="6"/>
      <c r="T194" s="6"/>
      <c r="U194" s="6"/>
      <c r="V194" s="6"/>
      <c r="W194" s="97"/>
      <c r="X194" s="96"/>
      <c r="Y194" s="6"/>
      <c r="Z194" s="6"/>
      <c r="AA194" s="6"/>
      <c r="AB194" s="6"/>
      <c r="AC194" s="97"/>
    </row>
    <row r="195" spans="1:29">
      <c r="A195" s="63"/>
      <c r="B195" s="64"/>
      <c r="C195" s="64"/>
      <c r="D195" s="65"/>
      <c r="E195" s="63"/>
      <c r="F195" s="64"/>
      <c r="G195" s="64"/>
      <c r="H195" s="64"/>
      <c r="I195" s="75"/>
      <c r="K195" s="6"/>
      <c r="L195" s="6"/>
      <c r="M195" s="6"/>
      <c r="N195" s="6"/>
      <c r="O195" s="6"/>
      <c r="P195" s="100"/>
      <c r="Q195" s="96"/>
      <c r="R195" s="6"/>
      <c r="S195" s="6"/>
      <c r="T195" s="6"/>
      <c r="U195" s="6"/>
      <c r="V195" s="6"/>
      <c r="W195" s="97"/>
      <c r="X195" s="96"/>
      <c r="Y195" s="6"/>
      <c r="Z195" s="6"/>
      <c r="AA195" s="6"/>
      <c r="AB195" s="6"/>
      <c r="AC195" s="97"/>
    </row>
    <row r="196" spans="1:29">
      <c r="A196" s="63"/>
      <c r="B196" s="64"/>
      <c r="C196" s="64"/>
      <c r="D196" s="65"/>
      <c r="E196" s="63"/>
      <c r="F196" s="64"/>
      <c r="G196" s="64"/>
      <c r="H196" s="64"/>
      <c r="I196" s="75"/>
      <c r="K196" s="6"/>
      <c r="L196" s="6"/>
      <c r="M196" s="6"/>
      <c r="N196" s="6"/>
      <c r="O196" s="6"/>
      <c r="P196" s="100"/>
      <c r="Q196" s="96"/>
      <c r="R196" s="6"/>
      <c r="S196" s="6"/>
      <c r="T196" s="6"/>
      <c r="U196" s="6"/>
      <c r="V196" s="6"/>
      <c r="W196" s="97"/>
      <c r="X196" s="96"/>
      <c r="Y196" s="6"/>
      <c r="Z196" s="6"/>
      <c r="AA196" s="6"/>
      <c r="AB196" s="6"/>
      <c r="AC196" s="97"/>
    </row>
    <row r="197" spans="1:29">
      <c r="A197" s="63"/>
      <c r="B197" s="64"/>
      <c r="C197" s="64"/>
      <c r="D197" s="65"/>
      <c r="E197" s="63"/>
      <c r="F197" s="64"/>
      <c r="G197" s="64"/>
      <c r="H197" s="64"/>
      <c r="I197" s="75"/>
      <c r="K197" s="6"/>
      <c r="L197" s="6"/>
      <c r="M197" s="6"/>
      <c r="N197" s="6"/>
      <c r="O197" s="6"/>
      <c r="P197" s="100"/>
      <c r="Q197" s="96"/>
      <c r="R197" s="6"/>
      <c r="S197" s="6"/>
      <c r="T197" s="6"/>
      <c r="U197" s="6"/>
      <c r="V197" s="6"/>
      <c r="W197" s="97"/>
      <c r="X197" s="96"/>
      <c r="Y197" s="6"/>
      <c r="Z197" s="6"/>
      <c r="AA197" s="6"/>
      <c r="AB197" s="6"/>
      <c r="AC197" s="97"/>
    </row>
    <row r="198" spans="1:29">
      <c r="A198" s="63"/>
      <c r="B198" s="64"/>
      <c r="C198" s="64"/>
      <c r="D198" s="65"/>
      <c r="E198" s="63"/>
      <c r="F198" s="64"/>
      <c r="G198" s="64"/>
      <c r="H198" s="64"/>
      <c r="I198" s="75"/>
      <c r="K198" s="6"/>
      <c r="L198" s="6"/>
      <c r="M198" s="6"/>
      <c r="N198" s="6"/>
      <c r="O198" s="6"/>
      <c r="P198" s="100"/>
      <c r="Q198" s="96"/>
      <c r="R198" s="6"/>
      <c r="S198" s="6"/>
      <c r="T198" s="6"/>
      <c r="U198" s="6"/>
      <c r="V198" s="6"/>
      <c r="W198" s="97"/>
      <c r="X198" s="96"/>
      <c r="Y198" s="6"/>
      <c r="Z198" s="6"/>
      <c r="AA198" s="6"/>
      <c r="AB198" s="6"/>
      <c r="AC198" s="97"/>
    </row>
    <row r="199" spans="1:29">
      <c r="A199" s="63"/>
      <c r="B199" s="64"/>
      <c r="C199" s="64"/>
      <c r="D199" s="65"/>
      <c r="E199" s="63"/>
      <c r="F199" s="64"/>
      <c r="G199" s="64"/>
      <c r="H199" s="64"/>
      <c r="I199" s="75"/>
      <c r="K199" s="6"/>
      <c r="L199" s="6"/>
      <c r="M199" s="6"/>
      <c r="N199" s="6"/>
      <c r="O199" s="6"/>
      <c r="P199" s="100"/>
      <c r="Q199" s="96"/>
      <c r="R199" s="6"/>
      <c r="S199" s="6"/>
      <c r="T199" s="6"/>
      <c r="U199" s="6"/>
      <c r="V199" s="6"/>
      <c r="W199" s="97"/>
      <c r="X199" s="96"/>
      <c r="Y199" s="6"/>
      <c r="Z199" s="6"/>
      <c r="AA199" s="6"/>
      <c r="AB199" s="6"/>
      <c r="AC199" s="97"/>
    </row>
    <row r="200" spans="1:29">
      <c r="A200" s="63"/>
      <c r="B200" s="64"/>
      <c r="C200" s="64"/>
      <c r="D200" s="65"/>
      <c r="E200" s="63"/>
      <c r="F200" s="64"/>
      <c r="G200" s="64"/>
      <c r="H200" s="64"/>
      <c r="I200" s="75"/>
      <c r="K200" s="6"/>
      <c r="L200" s="6"/>
      <c r="M200" s="6"/>
      <c r="N200" s="6"/>
      <c r="O200" s="6"/>
      <c r="P200" s="100"/>
      <c r="Q200" s="96"/>
      <c r="R200" s="6"/>
      <c r="S200" s="6"/>
      <c r="T200" s="6"/>
      <c r="U200" s="6"/>
      <c r="V200" s="6"/>
      <c r="W200" s="97"/>
      <c r="X200" s="96"/>
      <c r="Y200" s="6"/>
      <c r="Z200" s="6"/>
      <c r="AA200" s="6"/>
      <c r="AB200" s="6"/>
      <c r="AC200" s="97"/>
    </row>
    <row r="201" spans="1:29">
      <c r="A201" s="63"/>
      <c r="B201" s="64"/>
      <c r="C201" s="64"/>
      <c r="D201" s="65"/>
      <c r="E201" s="63"/>
      <c r="F201" s="64"/>
      <c r="G201" s="64"/>
      <c r="H201" s="64"/>
      <c r="I201" s="75"/>
      <c r="K201" s="6"/>
      <c r="L201" s="6"/>
      <c r="M201" s="6"/>
      <c r="N201" s="6"/>
      <c r="O201" s="6"/>
      <c r="P201" s="100"/>
      <c r="Q201" s="96"/>
      <c r="R201" s="6"/>
      <c r="S201" s="6"/>
      <c r="T201" s="6"/>
      <c r="U201" s="6"/>
      <c r="V201" s="6"/>
      <c r="W201" s="97"/>
      <c r="X201" s="96"/>
      <c r="Y201" s="6"/>
      <c r="Z201" s="6"/>
      <c r="AA201" s="6"/>
      <c r="AB201" s="6"/>
      <c r="AC201" s="97"/>
    </row>
    <row r="202" spans="1:29">
      <c r="A202" s="63"/>
      <c r="B202" s="64"/>
      <c r="C202" s="64"/>
      <c r="D202" s="65"/>
      <c r="E202" s="63"/>
      <c r="F202" s="64"/>
      <c r="G202" s="64"/>
      <c r="H202" s="64"/>
      <c r="I202" s="75"/>
      <c r="K202" s="6"/>
      <c r="L202" s="6"/>
      <c r="M202" s="6"/>
      <c r="N202" s="6"/>
      <c r="O202" s="6"/>
      <c r="P202" s="100"/>
      <c r="Q202" s="96"/>
      <c r="R202" s="6"/>
      <c r="S202" s="6"/>
      <c r="T202" s="6"/>
      <c r="U202" s="6"/>
      <c r="V202" s="6"/>
      <c r="W202" s="97"/>
      <c r="X202" s="96"/>
      <c r="Y202" s="6"/>
      <c r="Z202" s="6"/>
      <c r="AA202" s="6"/>
      <c r="AB202" s="6"/>
      <c r="AC202" s="97"/>
    </row>
    <row r="203" spans="1:29">
      <c r="A203" s="63"/>
      <c r="B203" s="64"/>
      <c r="C203" s="64"/>
      <c r="D203" s="65"/>
      <c r="E203" s="63"/>
      <c r="F203" s="64"/>
      <c r="G203" s="64"/>
      <c r="H203" s="64"/>
      <c r="I203" s="75"/>
      <c r="K203" s="6"/>
      <c r="L203" s="6"/>
      <c r="M203" s="6"/>
      <c r="N203" s="6"/>
      <c r="O203" s="6"/>
      <c r="P203" s="100"/>
      <c r="Q203" s="96"/>
      <c r="R203" s="6"/>
      <c r="S203" s="6"/>
      <c r="T203" s="6"/>
      <c r="U203" s="6"/>
      <c r="V203" s="6"/>
      <c r="W203" s="97"/>
      <c r="X203" s="96"/>
      <c r="Y203" s="6"/>
      <c r="Z203" s="6"/>
      <c r="AA203" s="6"/>
      <c r="AB203" s="6"/>
      <c r="AC203" s="97"/>
    </row>
    <row r="204" spans="1:29">
      <c r="A204" s="63"/>
      <c r="B204" s="64"/>
      <c r="C204" s="64"/>
      <c r="D204" s="65"/>
      <c r="E204" s="63"/>
      <c r="F204" s="64"/>
      <c r="G204" s="64"/>
      <c r="H204" s="64"/>
      <c r="I204" s="75"/>
      <c r="K204" s="6"/>
      <c r="L204" s="6"/>
      <c r="M204" s="6"/>
      <c r="N204" s="6"/>
      <c r="O204" s="6"/>
      <c r="P204" s="100"/>
      <c r="Q204" s="96"/>
      <c r="R204" s="6"/>
      <c r="S204" s="6"/>
      <c r="T204" s="6"/>
      <c r="U204" s="6"/>
      <c r="V204" s="6"/>
      <c r="W204" s="97"/>
      <c r="X204" s="96"/>
      <c r="Y204" s="6"/>
      <c r="Z204" s="6"/>
      <c r="AA204" s="6"/>
      <c r="AB204" s="6"/>
      <c r="AC204" s="97"/>
    </row>
    <row r="205" spans="1:29">
      <c r="A205" s="63"/>
      <c r="B205" s="64"/>
      <c r="C205" s="64"/>
      <c r="D205" s="65"/>
      <c r="E205" s="63"/>
      <c r="F205" s="64"/>
      <c r="G205" s="64"/>
      <c r="H205" s="64"/>
      <c r="I205" s="75"/>
      <c r="K205" s="6"/>
      <c r="L205" s="6"/>
      <c r="M205" s="6"/>
      <c r="N205" s="6"/>
      <c r="O205" s="6"/>
      <c r="P205" s="100"/>
      <c r="Q205" s="96"/>
      <c r="R205" s="6"/>
      <c r="S205" s="6"/>
      <c r="T205" s="6"/>
      <c r="U205" s="6"/>
      <c r="V205" s="6"/>
      <c r="W205" s="97"/>
      <c r="X205" s="96"/>
      <c r="Y205" s="6"/>
      <c r="Z205" s="6"/>
      <c r="AA205" s="6"/>
      <c r="AB205" s="6"/>
      <c r="AC205" s="97"/>
    </row>
    <row r="206" spans="1:29">
      <c r="A206" s="63"/>
      <c r="B206" s="64"/>
      <c r="C206" s="64"/>
      <c r="D206" s="65"/>
      <c r="E206" s="63"/>
      <c r="F206" s="64"/>
      <c r="G206" s="64"/>
      <c r="H206" s="64"/>
      <c r="I206" s="75"/>
      <c r="K206" s="6"/>
      <c r="L206" s="6"/>
      <c r="M206" s="6"/>
      <c r="N206" s="6"/>
      <c r="O206" s="6"/>
      <c r="P206" s="100"/>
      <c r="Q206" s="96"/>
      <c r="R206" s="6"/>
      <c r="S206" s="6"/>
      <c r="T206" s="6"/>
      <c r="U206" s="6"/>
      <c r="V206" s="6"/>
      <c r="W206" s="97"/>
      <c r="X206" s="96"/>
      <c r="Y206" s="6"/>
      <c r="Z206" s="6"/>
      <c r="AA206" s="6"/>
      <c r="AB206" s="6"/>
      <c r="AC206" s="97"/>
    </row>
    <row r="207" spans="1:29">
      <c r="A207" s="63"/>
      <c r="B207" s="64"/>
      <c r="C207" s="64"/>
      <c r="D207" s="65"/>
      <c r="E207" s="63"/>
      <c r="F207" s="64"/>
      <c r="G207" s="64"/>
      <c r="H207" s="64"/>
      <c r="I207" s="75"/>
      <c r="K207" s="6"/>
      <c r="L207" s="6"/>
      <c r="M207" s="6"/>
      <c r="N207" s="6"/>
      <c r="O207" s="6"/>
      <c r="P207" s="100"/>
      <c r="Q207" s="96"/>
      <c r="R207" s="6"/>
      <c r="S207" s="6"/>
      <c r="T207" s="6"/>
      <c r="U207" s="6"/>
      <c r="V207" s="6"/>
      <c r="W207" s="97"/>
      <c r="X207" s="96"/>
      <c r="Y207" s="6"/>
      <c r="Z207" s="6"/>
      <c r="AA207" s="6"/>
      <c r="AB207" s="6"/>
      <c r="AC207" s="97"/>
    </row>
    <row r="208" spans="1:29">
      <c r="A208" s="63"/>
      <c r="B208" s="64"/>
      <c r="C208" s="64"/>
      <c r="D208" s="65"/>
      <c r="E208" s="63"/>
      <c r="F208" s="64"/>
      <c r="G208" s="64"/>
      <c r="H208" s="64"/>
      <c r="I208" s="75"/>
      <c r="K208" s="6"/>
      <c r="L208" s="6"/>
      <c r="M208" s="6"/>
      <c r="N208" s="6"/>
      <c r="O208" s="6"/>
      <c r="P208" s="100"/>
      <c r="Q208" s="96"/>
      <c r="R208" s="6"/>
      <c r="S208" s="6"/>
      <c r="T208" s="6"/>
      <c r="U208" s="6"/>
      <c r="V208" s="6"/>
      <c r="W208" s="97"/>
      <c r="X208" s="96"/>
      <c r="Y208" s="6"/>
      <c r="Z208" s="6"/>
      <c r="AA208" s="6"/>
      <c r="AB208" s="6"/>
      <c r="AC208" s="97"/>
    </row>
    <row r="209" spans="1:29">
      <c r="A209" s="63"/>
      <c r="B209" s="64"/>
      <c r="C209" s="64"/>
      <c r="D209" s="65"/>
      <c r="E209" s="63"/>
      <c r="F209" s="64"/>
      <c r="G209" s="64"/>
      <c r="H209" s="64"/>
      <c r="I209" s="75"/>
      <c r="K209" s="6"/>
      <c r="L209" s="6"/>
      <c r="M209" s="6"/>
      <c r="N209" s="6"/>
      <c r="O209" s="6"/>
      <c r="P209" s="100"/>
      <c r="Q209" s="96"/>
      <c r="R209" s="6"/>
      <c r="S209" s="6"/>
      <c r="T209" s="6"/>
      <c r="U209" s="6"/>
      <c r="V209" s="6"/>
      <c r="W209" s="97"/>
      <c r="X209" s="96"/>
      <c r="Y209" s="6"/>
      <c r="Z209" s="6"/>
      <c r="AA209" s="6"/>
      <c r="AB209" s="6"/>
      <c r="AC209" s="97"/>
    </row>
    <row r="210" spans="1:29">
      <c r="A210" s="63"/>
      <c r="B210" s="64"/>
      <c r="C210" s="64"/>
      <c r="D210" s="65"/>
      <c r="E210" s="63"/>
      <c r="F210" s="64"/>
      <c r="G210" s="64"/>
      <c r="H210" s="64"/>
      <c r="I210" s="75"/>
      <c r="K210" s="6"/>
      <c r="L210" s="6"/>
      <c r="M210" s="6"/>
      <c r="N210" s="6"/>
      <c r="O210" s="6"/>
      <c r="P210" s="100"/>
      <c r="Q210" s="96"/>
      <c r="R210" s="6"/>
      <c r="S210" s="6"/>
      <c r="T210" s="6"/>
      <c r="U210" s="6"/>
      <c r="V210" s="6"/>
      <c r="W210" s="97"/>
      <c r="X210" s="96"/>
      <c r="Y210" s="6"/>
      <c r="Z210" s="6"/>
      <c r="AA210" s="6"/>
      <c r="AB210" s="6"/>
      <c r="AC210" s="97"/>
    </row>
    <row r="211" spans="1:29">
      <c r="A211" s="63"/>
      <c r="B211" s="64"/>
      <c r="C211" s="64"/>
      <c r="D211" s="65"/>
      <c r="E211" s="63"/>
      <c r="F211" s="64"/>
      <c r="G211" s="64"/>
      <c r="H211" s="64"/>
      <c r="I211" s="75"/>
      <c r="K211" s="6"/>
      <c r="L211" s="6"/>
      <c r="M211" s="6"/>
      <c r="N211" s="6"/>
      <c r="O211" s="6"/>
      <c r="P211" s="100"/>
      <c r="Q211" s="96"/>
      <c r="R211" s="6"/>
      <c r="S211" s="6"/>
      <c r="T211" s="6"/>
      <c r="U211" s="6"/>
      <c r="V211" s="6"/>
      <c r="W211" s="97"/>
      <c r="X211" s="96"/>
      <c r="Y211" s="6"/>
      <c r="Z211" s="6"/>
      <c r="AA211" s="6"/>
      <c r="AB211" s="6"/>
      <c r="AC211" s="97"/>
    </row>
    <row r="212" spans="1:29">
      <c r="A212" s="63"/>
      <c r="B212" s="64"/>
      <c r="C212" s="64"/>
      <c r="D212" s="65"/>
      <c r="E212" s="63"/>
      <c r="F212" s="64"/>
      <c r="G212" s="64"/>
      <c r="H212" s="64"/>
      <c r="I212" s="75"/>
      <c r="K212" s="6"/>
      <c r="L212" s="6"/>
      <c r="M212" s="6"/>
      <c r="N212" s="6"/>
      <c r="O212" s="6"/>
      <c r="P212" s="100"/>
      <c r="Q212" s="96"/>
      <c r="R212" s="6"/>
      <c r="S212" s="6"/>
      <c r="T212" s="6"/>
      <c r="U212" s="6"/>
      <c r="V212" s="6"/>
      <c r="W212" s="97"/>
      <c r="X212" s="96"/>
      <c r="Y212" s="6"/>
      <c r="Z212" s="6"/>
      <c r="AA212" s="6"/>
      <c r="AB212" s="6"/>
      <c r="AC212" s="97"/>
    </row>
    <row r="213" spans="1:29">
      <c r="A213" s="63"/>
      <c r="B213" s="64"/>
      <c r="C213" s="64"/>
      <c r="D213" s="65"/>
      <c r="E213" s="63"/>
      <c r="F213" s="64"/>
      <c r="G213" s="64"/>
      <c r="H213" s="64"/>
      <c r="I213" s="75"/>
      <c r="K213" s="6"/>
      <c r="L213" s="6"/>
      <c r="M213" s="6"/>
      <c r="N213" s="6"/>
      <c r="O213" s="6"/>
      <c r="P213" s="100"/>
      <c r="Q213" s="96"/>
      <c r="R213" s="6"/>
      <c r="S213" s="6"/>
      <c r="T213" s="6"/>
      <c r="U213" s="6"/>
      <c r="V213" s="6"/>
      <c r="W213" s="97"/>
      <c r="X213" s="96"/>
      <c r="Y213" s="6"/>
      <c r="Z213" s="6"/>
      <c r="AA213" s="6"/>
      <c r="AB213" s="6"/>
      <c r="AC213" s="97"/>
    </row>
    <row r="214" spans="1:29">
      <c r="A214" s="63"/>
      <c r="B214" s="64"/>
      <c r="C214" s="64"/>
      <c r="D214" s="65"/>
      <c r="E214" s="63"/>
      <c r="F214" s="64"/>
      <c r="G214" s="64"/>
      <c r="H214" s="64"/>
      <c r="I214" s="75"/>
      <c r="K214" s="6"/>
      <c r="L214" s="6"/>
      <c r="M214" s="6"/>
      <c r="N214" s="6"/>
      <c r="O214" s="6"/>
      <c r="P214" s="100"/>
      <c r="Q214" s="96"/>
      <c r="R214" s="6"/>
      <c r="S214" s="6"/>
      <c r="T214" s="6"/>
      <c r="U214" s="6"/>
      <c r="V214" s="6"/>
      <c r="W214" s="97"/>
      <c r="X214" s="96"/>
      <c r="Y214" s="6"/>
      <c r="Z214" s="6"/>
      <c r="AA214" s="6"/>
      <c r="AB214" s="6"/>
      <c r="AC214" s="97"/>
    </row>
    <row r="215" spans="1:29">
      <c r="A215" s="63"/>
      <c r="B215" s="64"/>
      <c r="C215" s="64"/>
      <c r="D215" s="65"/>
      <c r="E215" s="63"/>
      <c r="F215" s="64"/>
      <c r="G215" s="64"/>
      <c r="H215" s="64"/>
      <c r="I215" s="75"/>
      <c r="K215" s="6"/>
      <c r="L215" s="6"/>
      <c r="M215" s="6"/>
      <c r="N215" s="6"/>
      <c r="O215" s="6"/>
      <c r="P215" s="100"/>
      <c r="Q215" s="96"/>
      <c r="R215" s="6"/>
      <c r="S215" s="6"/>
      <c r="T215" s="6"/>
      <c r="U215" s="6"/>
      <c r="V215" s="6"/>
      <c r="W215" s="97"/>
      <c r="X215" s="96"/>
      <c r="Y215" s="6"/>
      <c r="Z215" s="6"/>
      <c r="AA215" s="6"/>
      <c r="AB215" s="6"/>
      <c r="AC215" s="97"/>
    </row>
    <row r="216" spans="1:29">
      <c r="A216" s="63"/>
      <c r="B216" s="64"/>
      <c r="C216" s="64"/>
      <c r="D216" s="65"/>
      <c r="E216" s="63"/>
      <c r="F216" s="64"/>
      <c r="G216" s="64"/>
      <c r="H216" s="64"/>
      <c r="I216" s="75"/>
      <c r="K216" s="6"/>
      <c r="L216" s="6"/>
      <c r="M216" s="6"/>
      <c r="N216" s="6"/>
      <c r="O216" s="6"/>
      <c r="P216" s="100"/>
      <c r="Q216" s="96"/>
      <c r="R216" s="6"/>
      <c r="S216" s="6"/>
      <c r="T216" s="6"/>
      <c r="U216" s="6"/>
      <c r="V216" s="6"/>
      <c r="W216" s="97"/>
      <c r="X216" s="96"/>
      <c r="Y216" s="6"/>
      <c r="Z216" s="6"/>
      <c r="AA216" s="6"/>
      <c r="AB216" s="6"/>
      <c r="AC216" s="97"/>
    </row>
    <row r="217" spans="1:29">
      <c r="A217" s="63"/>
      <c r="B217" s="64"/>
      <c r="C217" s="64"/>
      <c r="D217" s="65"/>
      <c r="E217" s="63"/>
      <c r="F217" s="64"/>
      <c r="G217" s="64"/>
      <c r="H217" s="64"/>
      <c r="I217" s="75"/>
      <c r="K217" s="6"/>
      <c r="L217" s="6"/>
      <c r="M217" s="6"/>
      <c r="N217" s="6"/>
      <c r="O217" s="6"/>
      <c r="P217" s="100"/>
      <c r="Q217" s="96"/>
      <c r="R217" s="6"/>
      <c r="S217" s="6"/>
      <c r="T217" s="6"/>
      <c r="U217" s="6"/>
      <c r="V217" s="6"/>
      <c r="W217" s="97"/>
      <c r="X217" s="96"/>
      <c r="Y217" s="6"/>
      <c r="Z217" s="6"/>
      <c r="AA217" s="6"/>
      <c r="AB217" s="6"/>
      <c r="AC217" s="97"/>
    </row>
    <row r="218" spans="1:29">
      <c r="A218" s="63"/>
      <c r="B218" s="64"/>
      <c r="C218" s="64"/>
      <c r="D218" s="65"/>
      <c r="E218" s="63"/>
      <c r="F218" s="64"/>
      <c r="G218" s="64"/>
      <c r="H218" s="64"/>
      <c r="I218" s="75"/>
      <c r="K218" s="6"/>
      <c r="L218" s="6"/>
      <c r="M218" s="6"/>
      <c r="N218" s="6"/>
      <c r="O218" s="6"/>
      <c r="P218" s="100"/>
      <c r="Q218" s="96"/>
      <c r="R218" s="6"/>
      <c r="S218" s="6"/>
      <c r="T218" s="6"/>
      <c r="U218" s="6"/>
      <c r="V218" s="6"/>
      <c r="W218" s="97"/>
      <c r="X218" s="96"/>
      <c r="Y218" s="6"/>
      <c r="Z218" s="6"/>
      <c r="AA218" s="6"/>
      <c r="AB218" s="6"/>
      <c r="AC218" s="97"/>
    </row>
    <row r="219" spans="1:29">
      <c r="A219" s="63"/>
      <c r="B219" s="64"/>
      <c r="C219" s="64"/>
      <c r="D219" s="65"/>
      <c r="E219" s="63"/>
      <c r="F219" s="64"/>
      <c r="G219" s="64"/>
      <c r="H219" s="64"/>
      <c r="I219" s="75"/>
      <c r="K219" s="6"/>
      <c r="L219" s="6"/>
      <c r="M219" s="6"/>
      <c r="N219" s="6"/>
      <c r="O219" s="6"/>
      <c r="P219" s="100"/>
      <c r="Q219" s="96"/>
      <c r="R219" s="6"/>
      <c r="S219" s="6"/>
      <c r="T219" s="6"/>
      <c r="U219" s="6"/>
      <c r="V219" s="6"/>
      <c r="W219" s="97"/>
      <c r="X219" s="96"/>
      <c r="Y219" s="6"/>
      <c r="Z219" s="6"/>
      <c r="AA219" s="6"/>
      <c r="AB219" s="6"/>
      <c r="AC219" s="97"/>
    </row>
    <row r="220" spans="1:29">
      <c r="A220" s="63"/>
      <c r="B220" s="64"/>
      <c r="C220" s="64"/>
      <c r="D220" s="65"/>
      <c r="E220" s="63"/>
      <c r="F220" s="64"/>
      <c r="G220" s="64"/>
      <c r="H220" s="64"/>
      <c r="I220" s="75"/>
      <c r="K220" s="6"/>
      <c r="L220" s="6"/>
      <c r="M220" s="6"/>
      <c r="N220" s="6"/>
      <c r="O220" s="6"/>
      <c r="P220" s="100"/>
      <c r="Q220" s="96"/>
      <c r="R220" s="6"/>
      <c r="S220" s="6"/>
      <c r="T220" s="6"/>
      <c r="U220" s="6"/>
      <c r="V220" s="6"/>
      <c r="W220" s="97"/>
      <c r="X220" s="96"/>
      <c r="Y220" s="6"/>
      <c r="Z220" s="6"/>
      <c r="AA220" s="6"/>
      <c r="AB220" s="6"/>
      <c r="AC220" s="97"/>
    </row>
    <row r="221" spans="1:29">
      <c r="A221" s="63"/>
      <c r="B221" s="64"/>
      <c r="C221" s="64"/>
      <c r="D221" s="65"/>
      <c r="E221" s="63"/>
      <c r="F221" s="64"/>
      <c r="G221" s="64"/>
      <c r="H221" s="64"/>
      <c r="I221" s="75"/>
      <c r="K221" s="6"/>
      <c r="L221" s="6"/>
      <c r="M221" s="6"/>
      <c r="N221" s="6"/>
      <c r="O221" s="6"/>
      <c r="P221" s="100"/>
      <c r="Q221" s="96"/>
      <c r="R221" s="6"/>
      <c r="S221" s="6"/>
      <c r="T221" s="6"/>
      <c r="U221" s="6"/>
      <c r="V221" s="6"/>
      <c r="W221" s="97"/>
      <c r="X221" s="96"/>
      <c r="Y221" s="6"/>
      <c r="Z221" s="6"/>
      <c r="AA221" s="6"/>
      <c r="AB221" s="6"/>
      <c r="AC221" s="97"/>
    </row>
    <row r="222" spans="1:29">
      <c r="A222" s="63"/>
      <c r="B222" s="64"/>
      <c r="C222" s="64"/>
      <c r="D222" s="65"/>
      <c r="E222" s="63"/>
      <c r="F222" s="64"/>
      <c r="G222" s="64"/>
      <c r="H222" s="64"/>
      <c r="I222" s="75"/>
      <c r="K222" s="6"/>
      <c r="L222" s="6"/>
      <c r="M222" s="6"/>
      <c r="N222" s="6"/>
      <c r="O222" s="6"/>
      <c r="P222" s="100"/>
      <c r="Q222" s="96"/>
      <c r="R222" s="6"/>
      <c r="S222" s="6"/>
      <c r="T222" s="6"/>
      <c r="U222" s="6"/>
      <c r="V222" s="6"/>
      <c r="W222" s="97"/>
      <c r="X222" s="96"/>
      <c r="Y222" s="6"/>
      <c r="Z222" s="6"/>
      <c r="AA222" s="6"/>
      <c r="AB222" s="6"/>
      <c r="AC222" s="97"/>
    </row>
    <row r="223" spans="1:29">
      <c r="A223" s="63"/>
      <c r="B223" s="64"/>
      <c r="C223" s="64"/>
      <c r="D223" s="65"/>
      <c r="E223" s="63"/>
      <c r="F223" s="64"/>
      <c r="G223" s="64"/>
      <c r="H223" s="64"/>
      <c r="I223" s="75"/>
      <c r="K223" s="6"/>
      <c r="L223" s="6"/>
      <c r="M223" s="6"/>
      <c r="N223" s="6"/>
      <c r="O223" s="6"/>
      <c r="P223" s="100"/>
      <c r="Q223" s="96"/>
      <c r="R223" s="6"/>
      <c r="S223" s="6"/>
      <c r="T223" s="6"/>
      <c r="U223" s="6"/>
      <c r="V223" s="6"/>
      <c r="W223" s="97"/>
      <c r="X223" s="96"/>
      <c r="Y223" s="6"/>
      <c r="Z223" s="6"/>
      <c r="AA223" s="6"/>
      <c r="AB223" s="6"/>
      <c r="AC223" s="97"/>
    </row>
    <row r="224" spans="1:29">
      <c r="A224" s="63"/>
      <c r="B224" s="64"/>
      <c r="C224" s="64"/>
      <c r="D224" s="65"/>
      <c r="E224" s="63"/>
      <c r="F224" s="64"/>
      <c r="G224" s="64"/>
      <c r="H224" s="64"/>
      <c r="I224" s="75"/>
      <c r="K224" s="6"/>
      <c r="L224" s="6"/>
      <c r="M224" s="6"/>
      <c r="N224" s="6"/>
      <c r="O224" s="6"/>
      <c r="P224" s="100"/>
      <c r="Q224" s="96"/>
      <c r="R224" s="6"/>
      <c r="S224" s="6"/>
      <c r="T224" s="6"/>
      <c r="U224" s="6"/>
      <c r="V224" s="6"/>
      <c r="W224" s="97"/>
      <c r="X224" s="96"/>
      <c r="Y224" s="6"/>
      <c r="Z224" s="6"/>
      <c r="AA224" s="6"/>
      <c r="AB224" s="6"/>
      <c r="AC224" s="97"/>
    </row>
    <row r="225" spans="1:29">
      <c r="A225" s="63"/>
      <c r="B225" s="64"/>
      <c r="C225" s="64"/>
      <c r="D225" s="65"/>
      <c r="E225" s="63"/>
      <c r="F225" s="64"/>
      <c r="G225" s="64"/>
      <c r="H225" s="64"/>
      <c r="I225" s="75"/>
      <c r="K225" s="6"/>
      <c r="L225" s="6"/>
      <c r="M225" s="6"/>
      <c r="N225" s="6"/>
      <c r="O225" s="6"/>
      <c r="P225" s="100"/>
      <c r="Q225" s="96"/>
      <c r="R225" s="6"/>
      <c r="S225" s="6"/>
      <c r="T225" s="6"/>
      <c r="U225" s="6"/>
      <c r="V225" s="6"/>
      <c r="W225" s="97"/>
      <c r="X225" s="96"/>
      <c r="Y225" s="6"/>
      <c r="Z225" s="6"/>
      <c r="AA225" s="6"/>
      <c r="AB225" s="6"/>
      <c r="AC225" s="97"/>
    </row>
    <row r="226" spans="1:29">
      <c r="A226" s="63"/>
      <c r="B226" s="64"/>
      <c r="C226" s="64"/>
      <c r="D226" s="65"/>
      <c r="E226" s="63"/>
      <c r="F226" s="64"/>
      <c r="G226" s="64"/>
      <c r="H226" s="64"/>
      <c r="I226" s="75"/>
      <c r="K226" s="6"/>
      <c r="L226" s="6"/>
      <c r="M226" s="6"/>
      <c r="N226" s="6"/>
      <c r="O226" s="6"/>
      <c r="P226" s="100"/>
      <c r="Q226" s="96"/>
      <c r="R226" s="6"/>
      <c r="S226" s="6"/>
      <c r="T226" s="6"/>
      <c r="U226" s="6"/>
      <c r="V226" s="6"/>
      <c r="W226" s="97"/>
      <c r="X226" s="96"/>
      <c r="Y226" s="6"/>
      <c r="Z226" s="6"/>
      <c r="AA226" s="6"/>
      <c r="AB226" s="6"/>
      <c r="AC226" s="97"/>
    </row>
    <row r="227" spans="1:29">
      <c r="A227" s="63"/>
      <c r="B227" s="64"/>
      <c r="C227" s="64"/>
      <c r="D227" s="65"/>
      <c r="E227" s="63"/>
      <c r="F227" s="64"/>
      <c r="G227" s="64"/>
      <c r="H227" s="64"/>
      <c r="I227" s="75"/>
      <c r="K227" s="6"/>
      <c r="L227" s="6"/>
      <c r="M227" s="6"/>
      <c r="N227" s="6"/>
      <c r="O227" s="6"/>
      <c r="P227" s="100"/>
      <c r="Q227" s="96"/>
      <c r="R227" s="6"/>
      <c r="S227" s="6"/>
      <c r="T227" s="6"/>
      <c r="U227" s="6"/>
      <c r="V227" s="6"/>
      <c r="W227" s="97"/>
      <c r="X227" s="96"/>
      <c r="Y227" s="6"/>
      <c r="Z227" s="6"/>
      <c r="AA227" s="6"/>
      <c r="AB227" s="6"/>
      <c r="AC227" s="97"/>
    </row>
    <row r="228" spans="1:29">
      <c r="A228" s="63"/>
      <c r="B228" s="64"/>
      <c r="C228" s="64"/>
      <c r="D228" s="65"/>
      <c r="E228" s="63"/>
      <c r="F228" s="64"/>
      <c r="G228" s="64"/>
      <c r="H228" s="64"/>
      <c r="I228" s="75"/>
      <c r="Q228" s="96"/>
      <c r="X228" s="96"/>
    </row>
    <row r="229" spans="1:29">
      <c r="A229" s="63"/>
      <c r="B229" s="64"/>
      <c r="C229" s="64"/>
      <c r="D229" s="65"/>
      <c r="E229" s="63"/>
      <c r="F229" s="64"/>
      <c r="G229" s="64"/>
      <c r="H229" s="64"/>
      <c r="I229" s="75"/>
      <c r="Q229" s="96"/>
      <c r="X229" s="96"/>
    </row>
    <row r="230" spans="1:29">
      <c r="A230" s="63"/>
      <c r="B230" s="64"/>
      <c r="C230" s="64"/>
      <c r="D230" s="65"/>
      <c r="E230" s="63"/>
      <c r="F230" s="64"/>
      <c r="G230" s="64"/>
      <c r="H230" s="64"/>
      <c r="I230" s="75"/>
      <c r="Q230" s="96"/>
      <c r="X230" s="96"/>
    </row>
    <row r="231" spans="1:29">
      <c r="A231" s="63"/>
      <c r="B231" s="64"/>
      <c r="C231" s="64"/>
      <c r="D231" s="65"/>
      <c r="E231" s="63"/>
      <c r="F231" s="64"/>
      <c r="G231" s="64"/>
      <c r="H231" s="64"/>
      <c r="I231" s="75"/>
      <c r="Q231" s="96"/>
      <c r="X231" s="96"/>
    </row>
    <row r="232" spans="1:29">
      <c r="A232" s="63"/>
      <c r="B232" s="64"/>
      <c r="C232" s="64"/>
      <c r="D232" s="65"/>
      <c r="E232" s="63"/>
      <c r="F232" s="64"/>
      <c r="G232" s="64"/>
      <c r="H232" s="64"/>
      <c r="I232" s="75"/>
      <c r="Q232" s="96"/>
      <c r="X232" s="96"/>
    </row>
    <row r="233" spans="1:29">
      <c r="A233" s="63"/>
      <c r="B233" s="64"/>
      <c r="C233" s="64"/>
      <c r="D233" s="65"/>
      <c r="E233" s="63"/>
      <c r="F233" s="64"/>
      <c r="G233" s="64"/>
      <c r="H233" s="64"/>
      <c r="I233" s="75"/>
      <c r="Q233" s="96"/>
      <c r="X233" s="96"/>
    </row>
    <row r="234" spans="1:29">
      <c r="A234" s="63"/>
      <c r="B234" s="64"/>
      <c r="C234" s="64"/>
      <c r="D234" s="65"/>
      <c r="E234" s="63"/>
      <c r="F234" s="64"/>
      <c r="G234" s="64"/>
      <c r="H234" s="64"/>
      <c r="I234" s="75"/>
      <c r="Q234" s="96"/>
      <c r="X234" s="96"/>
    </row>
    <row r="235" spans="1:29">
      <c r="A235" s="63"/>
      <c r="B235" s="64"/>
      <c r="C235" s="64"/>
      <c r="D235" s="65"/>
      <c r="E235" s="63"/>
      <c r="F235" s="64"/>
      <c r="G235" s="64"/>
      <c r="H235" s="64"/>
      <c r="I235" s="75"/>
      <c r="Q235" s="96"/>
      <c r="X235" s="96"/>
    </row>
    <row r="236" spans="1:29">
      <c r="A236" s="63"/>
      <c r="B236" s="64"/>
      <c r="C236" s="64"/>
      <c r="D236" s="65"/>
      <c r="E236" s="63"/>
      <c r="F236" s="64"/>
      <c r="G236" s="64"/>
      <c r="H236" s="64"/>
      <c r="I236" s="75"/>
      <c r="Q236" s="96"/>
      <c r="X236" s="96"/>
    </row>
    <row r="237" spans="1:29">
      <c r="A237" s="63"/>
      <c r="B237" s="64"/>
      <c r="C237" s="64"/>
      <c r="D237" s="65"/>
      <c r="E237" s="63"/>
      <c r="F237" s="64"/>
      <c r="G237" s="64"/>
      <c r="H237" s="64"/>
      <c r="I237" s="75"/>
      <c r="Q237" s="96"/>
      <c r="X237" s="96"/>
    </row>
    <row r="238" spans="1:29">
      <c r="A238" s="63"/>
      <c r="B238" s="64"/>
      <c r="C238" s="64"/>
      <c r="D238" s="65"/>
      <c r="E238" s="63"/>
      <c r="F238" s="64"/>
      <c r="G238" s="64"/>
      <c r="H238" s="64"/>
      <c r="I238" s="75"/>
      <c r="Q238" s="96"/>
      <c r="X238" s="96"/>
    </row>
    <row r="239" spans="1:29">
      <c r="A239" s="63"/>
      <c r="B239" s="64"/>
      <c r="C239" s="64"/>
      <c r="D239" s="65"/>
      <c r="E239" s="63"/>
      <c r="F239" s="64"/>
      <c r="G239" s="64"/>
      <c r="H239" s="64"/>
      <c r="I239" s="75"/>
      <c r="Q239" s="96"/>
      <c r="X239" s="96"/>
    </row>
    <row r="240" spans="1:29">
      <c r="A240" s="63"/>
      <c r="B240" s="64"/>
      <c r="C240" s="64"/>
      <c r="D240" s="65"/>
      <c r="E240" s="63"/>
      <c r="F240" s="64"/>
      <c r="G240" s="64"/>
      <c r="H240" s="64"/>
      <c r="I240" s="75"/>
      <c r="Q240" s="96"/>
      <c r="X240" s="96"/>
    </row>
    <row r="241" spans="1:24">
      <c r="A241" s="63"/>
      <c r="B241" s="64"/>
      <c r="C241" s="64"/>
      <c r="D241" s="65"/>
      <c r="E241" s="63"/>
      <c r="F241" s="64"/>
      <c r="G241" s="64"/>
      <c r="H241" s="64"/>
      <c r="I241" s="75"/>
      <c r="Q241" s="96"/>
      <c r="X241" s="96"/>
    </row>
    <row r="242" spans="1:24">
      <c r="A242" s="63"/>
      <c r="B242" s="64"/>
      <c r="C242" s="64"/>
      <c r="D242" s="65"/>
      <c r="E242" s="63"/>
      <c r="F242" s="64"/>
      <c r="G242" s="64"/>
      <c r="H242" s="64"/>
      <c r="I242" s="75"/>
      <c r="Q242" s="96"/>
      <c r="X242" s="96"/>
    </row>
    <row r="243" spans="1:24">
      <c r="A243" s="63"/>
      <c r="B243" s="64"/>
      <c r="C243" s="64"/>
      <c r="D243" s="65"/>
      <c r="E243" s="63"/>
      <c r="F243" s="64"/>
      <c r="G243" s="64"/>
      <c r="H243" s="64"/>
      <c r="I243" s="75"/>
      <c r="Q243" s="96"/>
      <c r="X243" s="96"/>
    </row>
    <row r="244" spans="1:24">
      <c r="A244" s="63"/>
      <c r="B244" s="64"/>
      <c r="C244" s="64"/>
      <c r="D244" s="65"/>
      <c r="E244" s="63"/>
      <c r="F244" s="64"/>
      <c r="G244" s="64"/>
      <c r="H244" s="64"/>
      <c r="I244" s="75"/>
      <c r="Q244" s="96"/>
      <c r="X244" s="96"/>
    </row>
    <row r="245" spans="1:24">
      <c r="A245" s="63"/>
      <c r="B245" s="64"/>
      <c r="C245" s="64"/>
      <c r="D245" s="65"/>
      <c r="E245" s="63"/>
      <c r="F245" s="64"/>
      <c r="G245" s="64"/>
      <c r="H245" s="64"/>
      <c r="I245" s="75"/>
      <c r="Q245" s="96"/>
      <c r="X245" s="96"/>
    </row>
    <row r="246" spans="1:24">
      <c r="A246" s="63"/>
      <c r="B246" s="64"/>
      <c r="C246" s="64"/>
      <c r="D246" s="65"/>
      <c r="E246" s="63"/>
      <c r="F246" s="64"/>
      <c r="G246" s="64"/>
      <c r="H246" s="64"/>
      <c r="I246" s="75"/>
      <c r="Q246" s="96"/>
      <c r="X246" s="96"/>
    </row>
    <row r="247" spans="1:24">
      <c r="A247" s="63"/>
      <c r="B247" s="64"/>
      <c r="C247" s="64"/>
      <c r="D247" s="65"/>
      <c r="E247" s="63"/>
      <c r="F247" s="64"/>
      <c r="G247" s="64"/>
      <c r="H247" s="64"/>
      <c r="I247" s="75"/>
      <c r="Q247" s="96"/>
      <c r="X247" s="96"/>
    </row>
    <row r="248" spans="1:24">
      <c r="A248" s="63"/>
      <c r="B248" s="64"/>
      <c r="C248" s="64"/>
      <c r="D248" s="65"/>
      <c r="E248" s="63"/>
      <c r="F248" s="64"/>
      <c r="G248" s="64"/>
      <c r="H248" s="64"/>
      <c r="I248" s="75"/>
      <c r="Q248" s="96"/>
      <c r="X248" s="96"/>
    </row>
    <row r="249" spans="1:24">
      <c r="A249" s="63"/>
      <c r="B249" s="64"/>
      <c r="C249" s="64"/>
      <c r="D249" s="65"/>
      <c r="E249" s="63"/>
      <c r="F249" s="64"/>
      <c r="G249" s="64"/>
      <c r="H249" s="64"/>
      <c r="I249" s="75"/>
      <c r="Q249" s="96"/>
      <c r="X249" s="96"/>
    </row>
    <row r="250" spans="1:24">
      <c r="A250" s="63"/>
      <c r="B250" s="64"/>
      <c r="C250" s="64"/>
      <c r="D250" s="65"/>
      <c r="E250" s="63"/>
      <c r="F250" s="64"/>
      <c r="G250" s="64"/>
      <c r="H250" s="64"/>
      <c r="I250" s="75"/>
      <c r="Q250" s="96"/>
      <c r="X250" s="96"/>
    </row>
    <row r="251" spans="1:24">
      <c r="A251" s="63"/>
      <c r="B251" s="64"/>
      <c r="C251" s="64"/>
      <c r="D251" s="65"/>
      <c r="E251" s="63"/>
      <c r="F251" s="64"/>
      <c r="G251" s="64"/>
      <c r="H251" s="64"/>
      <c r="I251" s="75"/>
      <c r="Q251" s="96"/>
      <c r="X251" s="96"/>
    </row>
    <row r="252" spans="1:24">
      <c r="A252" s="63"/>
      <c r="B252" s="64"/>
      <c r="C252" s="64"/>
      <c r="D252" s="65"/>
      <c r="E252" s="63"/>
      <c r="F252" s="64"/>
      <c r="G252" s="64"/>
      <c r="H252" s="64"/>
      <c r="I252" s="75"/>
      <c r="Q252" s="96"/>
      <c r="X252" s="96"/>
    </row>
    <row r="253" spans="1:24">
      <c r="A253" s="63"/>
      <c r="B253" s="64"/>
      <c r="C253" s="64"/>
      <c r="D253" s="65"/>
      <c r="E253" s="63"/>
      <c r="F253" s="64"/>
      <c r="G253" s="64"/>
      <c r="H253" s="64"/>
      <c r="I253" s="75"/>
      <c r="Q253" s="96"/>
      <c r="X253" s="96"/>
    </row>
    <row r="254" spans="1:24">
      <c r="A254" s="63"/>
      <c r="B254" s="64"/>
      <c r="C254" s="64"/>
      <c r="D254" s="65"/>
      <c r="E254" s="63"/>
      <c r="F254" s="64"/>
      <c r="G254" s="64"/>
      <c r="H254" s="64"/>
      <c r="I254" s="75"/>
      <c r="Q254" s="96"/>
      <c r="X254" s="96"/>
    </row>
    <row r="255" spans="1:24">
      <c r="A255" s="63"/>
      <c r="B255" s="64"/>
      <c r="C255" s="64"/>
      <c r="D255" s="65"/>
      <c r="E255" s="63"/>
      <c r="F255" s="64"/>
      <c r="G255" s="64"/>
      <c r="H255" s="64"/>
      <c r="I255" s="75"/>
      <c r="Q255" s="96"/>
      <c r="X255" s="96"/>
    </row>
    <row r="256" spans="1:24">
      <c r="A256" s="63"/>
      <c r="B256" s="64"/>
      <c r="C256" s="64"/>
      <c r="D256" s="65"/>
      <c r="E256" s="63"/>
      <c r="F256" s="64"/>
      <c r="G256" s="64"/>
      <c r="H256" s="64"/>
      <c r="I256" s="75"/>
      <c r="Q256" s="96"/>
      <c r="X256" s="96"/>
    </row>
    <row r="257" spans="1:24">
      <c r="A257" s="63"/>
      <c r="B257" s="64"/>
      <c r="C257" s="64"/>
      <c r="D257" s="65"/>
      <c r="E257" s="63"/>
      <c r="F257" s="64"/>
      <c r="G257" s="64"/>
      <c r="H257" s="64"/>
      <c r="I257" s="75"/>
      <c r="Q257" s="96"/>
      <c r="X257" s="96"/>
    </row>
    <row r="258" spans="1:24">
      <c r="A258" s="63"/>
      <c r="B258" s="64"/>
      <c r="C258" s="64"/>
      <c r="D258" s="65"/>
      <c r="E258" s="63"/>
      <c r="F258" s="64"/>
      <c r="G258" s="64"/>
      <c r="H258" s="64"/>
      <c r="I258" s="75"/>
      <c r="Q258" s="96"/>
      <c r="X258" s="96"/>
    </row>
    <row r="259" spans="1:24">
      <c r="A259" s="63"/>
      <c r="B259" s="64"/>
      <c r="C259" s="64"/>
      <c r="D259" s="65"/>
      <c r="E259" s="63"/>
      <c r="F259" s="64"/>
      <c r="G259" s="64"/>
      <c r="H259" s="64"/>
      <c r="I259" s="75"/>
      <c r="Q259" s="96"/>
      <c r="X259" s="96"/>
    </row>
    <row r="260" spans="1:24">
      <c r="A260" s="63"/>
      <c r="B260" s="64"/>
      <c r="C260" s="64"/>
      <c r="D260" s="65"/>
      <c r="E260" s="63"/>
      <c r="F260" s="64"/>
      <c r="G260" s="64"/>
      <c r="H260" s="64"/>
      <c r="I260" s="75"/>
      <c r="Q260" s="96"/>
      <c r="X260" s="96"/>
    </row>
    <row r="261" spans="1:24">
      <c r="A261" s="63"/>
      <c r="B261" s="64"/>
      <c r="C261" s="64"/>
      <c r="D261" s="65"/>
      <c r="E261" s="63"/>
      <c r="F261" s="64"/>
      <c r="G261" s="64"/>
      <c r="H261" s="64"/>
      <c r="I261" s="75"/>
      <c r="Q261" s="96"/>
      <c r="X261" s="96"/>
    </row>
    <row r="262" spans="1:24">
      <c r="A262" s="63"/>
      <c r="B262" s="64"/>
      <c r="C262" s="64"/>
      <c r="D262" s="65"/>
      <c r="E262" s="63"/>
      <c r="F262" s="64"/>
      <c r="G262" s="64"/>
      <c r="H262" s="64"/>
      <c r="I262" s="75"/>
      <c r="Q262" s="96"/>
      <c r="X262" s="96"/>
    </row>
    <row r="263" spans="1:24">
      <c r="A263" s="63"/>
      <c r="B263" s="64"/>
      <c r="C263" s="64"/>
      <c r="D263" s="65"/>
      <c r="E263" s="63"/>
      <c r="F263" s="64"/>
      <c r="G263" s="64"/>
      <c r="H263" s="64"/>
      <c r="I263" s="75"/>
      <c r="Q263" s="96"/>
      <c r="X263" s="96"/>
    </row>
    <row r="264" spans="1:24">
      <c r="A264" s="63"/>
      <c r="B264" s="64"/>
      <c r="C264" s="64"/>
      <c r="D264" s="65"/>
      <c r="E264" s="63"/>
      <c r="F264" s="64"/>
      <c r="G264" s="64"/>
      <c r="H264" s="64"/>
      <c r="I264" s="75"/>
      <c r="Q264" s="96"/>
      <c r="X264" s="96"/>
    </row>
    <row r="265" spans="1:24">
      <c r="A265" s="63"/>
      <c r="B265" s="64"/>
      <c r="C265" s="64"/>
      <c r="D265" s="65"/>
      <c r="E265" s="63"/>
      <c r="F265" s="64"/>
      <c r="G265" s="64"/>
      <c r="H265" s="64"/>
      <c r="I265" s="75"/>
      <c r="Q265" s="96"/>
      <c r="X265" s="96"/>
    </row>
    <row r="266" spans="1:24">
      <c r="A266" s="63"/>
      <c r="B266" s="64"/>
      <c r="C266" s="64"/>
      <c r="D266" s="65"/>
      <c r="E266" s="63"/>
      <c r="F266" s="64"/>
      <c r="G266" s="64"/>
      <c r="H266" s="64"/>
      <c r="I266" s="75"/>
      <c r="Q266" s="96"/>
      <c r="X266" s="96"/>
    </row>
    <row r="267" spans="1:24">
      <c r="A267" s="63"/>
      <c r="B267" s="64"/>
      <c r="C267" s="64"/>
      <c r="D267" s="65"/>
      <c r="E267" s="63"/>
      <c r="F267" s="64"/>
      <c r="G267" s="64"/>
      <c r="H267" s="64"/>
      <c r="I267" s="75"/>
      <c r="Q267" s="96"/>
      <c r="X267" s="96"/>
    </row>
    <row r="268" spans="1:24">
      <c r="A268" s="63"/>
      <c r="B268" s="64"/>
      <c r="C268" s="64"/>
      <c r="D268" s="65"/>
      <c r="E268" s="63"/>
      <c r="F268" s="64"/>
      <c r="G268" s="64"/>
      <c r="H268" s="64"/>
      <c r="I268" s="75"/>
      <c r="Q268" s="96"/>
      <c r="X268" s="96"/>
    </row>
    <row r="269" spans="1:24">
      <c r="A269" s="63"/>
      <c r="B269" s="64"/>
      <c r="C269" s="64"/>
      <c r="D269" s="65"/>
      <c r="E269" s="63"/>
      <c r="F269" s="64"/>
      <c r="G269" s="64"/>
      <c r="H269" s="64"/>
      <c r="I269" s="75"/>
      <c r="Q269" s="96"/>
      <c r="X269" s="96"/>
    </row>
    <row r="270" spans="1:24">
      <c r="A270" s="63"/>
      <c r="B270" s="64"/>
      <c r="C270" s="64"/>
      <c r="D270" s="65"/>
      <c r="E270" s="63"/>
      <c r="F270" s="64"/>
      <c r="G270" s="64"/>
      <c r="H270" s="64"/>
      <c r="I270" s="75"/>
      <c r="Q270" s="96"/>
      <c r="X270" s="96"/>
    </row>
    <row r="271" spans="1:24">
      <c r="A271" s="63"/>
      <c r="B271" s="64"/>
      <c r="C271" s="64"/>
      <c r="D271" s="65"/>
      <c r="E271" s="63"/>
      <c r="F271" s="64"/>
      <c r="G271" s="64"/>
      <c r="H271" s="64"/>
      <c r="I271" s="75"/>
      <c r="Q271" s="96"/>
      <c r="X271" s="96"/>
    </row>
    <row r="272" spans="1:24">
      <c r="A272" s="63"/>
      <c r="B272" s="64"/>
      <c r="C272" s="64"/>
      <c r="D272" s="65"/>
      <c r="E272" s="63"/>
      <c r="F272" s="64"/>
      <c r="G272" s="64"/>
      <c r="H272" s="64"/>
      <c r="I272" s="75"/>
      <c r="Q272" s="96"/>
      <c r="X272" s="96"/>
    </row>
    <row r="273" spans="1:24">
      <c r="A273" s="63"/>
      <c r="B273" s="64"/>
      <c r="C273" s="64"/>
      <c r="D273" s="65"/>
      <c r="E273" s="63"/>
      <c r="F273" s="64"/>
      <c r="G273" s="64"/>
      <c r="H273" s="64"/>
      <c r="I273" s="75"/>
      <c r="Q273" s="96"/>
      <c r="X273" s="96"/>
    </row>
    <row r="274" spans="1:24">
      <c r="A274" s="63"/>
      <c r="B274" s="64"/>
      <c r="C274" s="64"/>
      <c r="D274" s="65"/>
      <c r="E274" s="63"/>
      <c r="F274" s="64"/>
      <c r="G274" s="64"/>
      <c r="H274" s="64"/>
      <c r="I274" s="75"/>
      <c r="Q274" s="96"/>
      <c r="X274" s="96"/>
    </row>
    <row r="275" spans="1:24">
      <c r="A275" s="63"/>
      <c r="B275" s="64"/>
      <c r="C275" s="64"/>
      <c r="D275" s="65"/>
      <c r="E275" s="63"/>
      <c r="F275" s="64"/>
      <c r="G275" s="64"/>
      <c r="H275" s="64"/>
      <c r="I275" s="75"/>
      <c r="Q275" s="96"/>
      <c r="X275" s="96"/>
    </row>
    <row r="276" spans="1:24">
      <c r="A276" s="63"/>
      <c r="B276" s="64"/>
      <c r="C276" s="64"/>
      <c r="D276" s="65"/>
      <c r="E276" s="63"/>
      <c r="F276" s="64"/>
      <c r="G276" s="64"/>
      <c r="H276" s="64"/>
      <c r="I276" s="75"/>
      <c r="Q276" s="96"/>
      <c r="X276" s="96"/>
    </row>
    <row r="277" spans="1:24">
      <c r="A277" s="63"/>
      <c r="B277" s="64"/>
      <c r="C277" s="64"/>
      <c r="D277" s="65"/>
      <c r="E277" s="63"/>
      <c r="F277" s="64"/>
      <c r="G277" s="64"/>
      <c r="H277" s="64"/>
      <c r="I277" s="75"/>
      <c r="Q277" s="96"/>
      <c r="X277" s="96"/>
    </row>
    <row r="278" spans="1:24">
      <c r="A278" s="63"/>
      <c r="B278" s="64"/>
      <c r="C278" s="64"/>
      <c r="D278" s="65"/>
      <c r="E278" s="63"/>
      <c r="F278" s="64"/>
      <c r="G278" s="64"/>
      <c r="H278" s="64"/>
      <c r="I278" s="75"/>
      <c r="Q278" s="96"/>
      <c r="X278" s="96"/>
    </row>
    <row r="279" spans="1:24">
      <c r="A279" s="63"/>
      <c r="B279" s="64"/>
      <c r="C279" s="64"/>
      <c r="D279" s="65"/>
      <c r="E279" s="63"/>
      <c r="F279" s="64"/>
      <c r="G279" s="64"/>
      <c r="H279" s="64"/>
      <c r="I279" s="75"/>
      <c r="Q279" s="96"/>
      <c r="X279" s="96"/>
    </row>
    <row r="280" spans="1:24">
      <c r="A280" s="63"/>
      <c r="B280" s="64"/>
      <c r="C280" s="64"/>
      <c r="D280" s="65"/>
      <c r="E280" s="63"/>
      <c r="F280" s="64"/>
      <c r="G280" s="64"/>
      <c r="H280" s="64"/>
      <c r="I280" s="75"/>
      <c r="Q280" s="96"/>
      <c r="X280" s="96"/>
    </row>
    <row r="281" spans="1:24">
      <c r="A281" s="63"/>
      <c r="B281" s="64"/>
      <c r="C281" s="64"/>
      <c r="D281" s="65"/>
      <c r="E281" s="63"/>
      <c r="F281" s="64"/>
      <c r="G281" s="64"/>
      <c r="H281" s="64"/>
      <c r="I281" s="75"/>
      <c r="Q281" s="96"/>
      <c r="X281" s="96"/>
    </row>
    <row r="282" spans="1:24">
      <c r="A282" s="63"/>
      <c r="B282" s="64"/>
      <c r="C282" s="64"/>
      <c r="D282" s="65"/>
      <c r="E282" s="63"/>
      <c r="F282" s="64"/>
      <c r="G282" s="64"/>
      <c r="H282" s="64"/>
      <c r="I282" s="75"/>
      <c r="Q282" s="96"/>
      <c r="X282" s="96"/>
    </row>
    <row r="283" spans="1:24">
      <c r="A283" s="63"/>
      <c r="B283" s="64"/>
      <c r="C283" s="64"/>
      <c r="D283" s="65"/>
      <c r="E283" s="63"/>
      <c r="F283" s="64"/>
      <c r="G283" s="64"/>
      <c r="H283" s="64"/>
      <c r="I283" s="75"/>
      <c r="Q283" s="96"/>
      <c r="X283" s="96"/>
    </row>
    <row r="284" spans="1:24">
      <c r="A284" s="63"/>
      <c r="B284" s="64"/>
      <c r="C284" s="64"/>
      <c r="D284" s="65"/>
      <c r="E284" s="63"/>
      <c r="F284" s="64"/>
      <c r="G284" s="64"/>
      <c r="H284" s="64"/>
      <c r="I284" s="75"/>
      <c r="Q284" s="96"/>
      <c r="X284" s="96"/>
    </row>
    <row r="285" spans="1:24">
      <c r="A285" s="63"/>
      <c r="B285" s="64"/>
      <c r="C285" s="64"/>
      <c r="D285" s="65"/>
      <c r="E285" s="63"/>
      <c r="F285" s="64"/>
      <c r="G285" s="64"/>
      <c r="H285" s="64"/>
      <c r="I285" s="75"/>
      <c r="Q285" s="96"/>
      <c r="X285" s="96"/>
    </row>
    <row r="286" spans="1:24">
      <c r="A286" s="63"/>
      <c r="B286" s="64"/>
      <c r="C286" s="64"/>
      <c r="D286" s="65"/>
      <c r="E286" s="63"/>
      <c r="F286" s="64"/>
      <c r="G286" s="64"/>
      <c r="H286" s="64"/>
      <c r="I286" s="75"/>
      <c r="Q286" s="96"/>
      <c r="X286" s="96"/>
    </row>
    <row r="287" spans="1:24">
      <c r="A287" s="63"/>
      <c r="B287" s="64"/>
      <c r="C287" s="64"/>
      <c r="D287" s="65"/>
      <c r="E287" s="63"/>
      <c r="F287" s="64"/>
      <c r="G287" s="64"/>
      <c r="H287" s="64"/>
      <c r="I287" s="75"/>
      <c r="Q287" s="96"/>
      <c r="X287" s="96"/>
    </row>
    <row r="288" spans="1:24">
      <c r="A288" s="63"/>
      <c r="B288" s="64"/>
      <c r="C288" s="64"/>
      <c r="D288" s="65"/>
      <c r="E288" s="63"/>
      <c r="F288" s="64"/>
      <c r="G288" s="64"/>
      <c r="H288" s="64"/>
      <c r="I288" s="75"/>
      <c r="Q288" s="96"/>
      <c r="X288" s="96"/>
    </row>
    <row r="289" spans="1:24">
      <c r="A289" s="63"/>
      <c r="B289" s="64"/>
      <c r="C289" s="64"/>
      <c r="D289" s="65"/>
      <c r="E289" s="63"/>
      <c r="F289" s="64"/>
      <c r="G289" s="64"/>
      <c r="H289" s="64"/>
      <c r="I289" s="75"/>
      <c r="Q289" s="96"/>
      <c r="X289" s="96"/>
    </row>
    <row r="290" spans="1:24">
      <c r="A290" s="63"/>
      <c r="B290" s="64"/>
      <c r="C290" s="64"/>
      <c r="D290" s="65"/>
      <c r="E290" s="63"/>
      <c r="F290" s="64"/>
      <c r="G290" s="64"/>
      <c r="H290" s="64"/>
      <c r="I290" s="75"/>
      <c r="Q290" s="96"/>
      <c r="X290" s="96"/>
    </row>
    <row r="291" spans="1:24">
      <c r="A291" s="63"/>
      <c r="B291" s="64"/>
      <c r="C291" s="64"/>
      <c r="D291" s="65"/>
      <c r="E291" s="63"/>
      <c r="F291" s="64"/>
      <c r="G291" s="64"/>
      <c r="H291" s="64"/>
      <c r="I291" s="75"/>
      <c r="Q291" s="96"/>
      <c r="X291" s="96"/>
    </row>
    <row r="292" spans="1:24">
      <c r="A292" s="63"/>
      <c r="B292" s="64"/>
      <c r="C292" s="64"/>
      <c r="D292" s="65"/>
      <c r="E292" s="63"/>
      <c r="F292" s="64"/>
      <c r="G292" s="64"/>
      <c r="H292" s="64"/>
      <c r="I292" s="75"/>
      <c r="Q292" s="96"/>
      <c r="X292" s="96"/>
    </row>
    <row r="293" spans="1:24">
      <c r="A293" s="63"/>
      <c r="B293" s="64"/>
      <c r="C293" s="64"/>
      <c r="D293" s="65"/>
      <c r="E293" s="63"/>
      <c r="F293" s="64"/>
      <c r="G293" s="64"/>
      <c r="H293" s="64"/>
      <c r="I293" s="75"/>
      <c r="Q293" s="96"/>
      <c r="X293" s="96"/>
    </row>
    <row r="294" spans="1:24">
      <c r="A294" s="63"/>
      <c r="B294" s="64"/>
      <c r="C294" s="64"/>
      <c r="D294" s="65"/>
      <c r="E294" s="63"/>
      <c r="F294" s="64"/>
      <c r="G294" s="64"/>
      <c r="H294" s="64"/>
      <c r="I294" s="75"/>
      <c r="Q294" s="96"/>
      <c r="X294" s="96"/>
    </row>
    <row r="295" spans="1:24">
      <c r="A295" s="63"/>
      <c r="B295" s="64"/>
      <c r="C295" s="64"/>
      <c r="D295" s="65"/>
      <c r="E295" s="63"/>
      <c r="F295" s="64"/>
      <c r="G295" s="64"/>
      <c r="H295" s="64"/>
      <c r="I295" s="75"/>
    </row>
  </sheetData>
  <mergeCells count="10">
    <mergeCell ref="AQ1:AV1"/>
    <mergeCell ref="AW1:BB1"/>
    <mergeCell ref="J1:P1"/>
    <mergeCell ref="Q1:W1"/>
    <mergeCell ref="X1:AD1"/>
    <mergeCell ref="F1:G1"/>
    <mergeCell ref="H1:I1"/>
    <mergeCell ref="A1:E1"/>
    <mergeCell ref="AE1:AK1"/>
    <mergeCell ref="AL1:AP1"/>
  </mergeCells>
  <conditionalFormatting sqref="J3:AC1048576">
    <cfRule type="cellIs" dxfId="45" priority="9" operator="equal">
      <formula>"NO"</formula>
    </cfRule>
    <cfRule type="cellIs" dxfId="44" priority="10" operator="equal">
      <formula>"SI"</formula>
    </cfRule>
  </conditionalFormatting>
  <conditionalFormatting sqref="AD3:AD127">
    <cfRule type="cellIs" dxfId="43" priority="7" operator="equal">
      <formula>"No Aceptable"</formula>
    </cfRule>
    <cfRule type="cellIs" dxfId="42" priority="8" operator="equal">
      <formula>"Aceptable"</formula>
    </cfRule>
  </conditionalFormatting>
  <conditionalFormatting sqref="AE3:AU172">
    <cfRule type="cellIs" dxfId="41" priority="4" operator="equal">
      <formula>"SI"</formula>
    </cfRule>
    <cfRule type="cellIs" dxfId="40" priority="5" operator="equal">
      <formula>"NO"</formula>
    </cfRule>
  </conditionalFormatting>
  <conditionalFormatting sqref="AV3:AV71">
    <cfRule type="cellIs" dxfId="39" priority="1" operator="equal">
      <formula>"Critico"</formula>
    </cfRule>
    <cfRule type="cellIs" dxfId="38" priority="2" operator="equal">
      <formula>"No Critico"</formula>
    </cfRule>
  </conditionalFormatting>
  <dataValidations count="3">
    <dataValidation type="list" allowBlank="1" showInputMessage="1" showErrorMessage="1" sqref="AE3:AU172" xr:uid="{0AE6C5F9-7F5C-4C2D-8E42-58A14CBFD23F}">
      <formula1>"SI,NO"</formula1>
    </dataValidation>
    <dataValidation type="list" allowBlank="1" showInputMessage="1" showErrorMessage="1" sqref="J3:P227 R3:W227 Y3:AC227" xr:uid="{8A5CA8CE-11D8-45B4-B8DC-ECF22B7EB625}">
      <formula1>"SI,NO,N/A"</formula1>
    </dataValidation>
    <dataValidation type="list" allowBlank="1" showInputMessage="1" showErrorMessage="1" sqref="Q3:Q294 X3:X294" xr:uid="{E80FE3DC-BCE4-4D89-8965-664949405C9C}">
      <formula1>"Derecha,Izquierda,Ambos"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82D4-F022-4A8A-A70B-E1EDDA566995}">
  <dimension ref="A1:AT298"/>
  <sheetViews>
    <sheetView workbookViewId="0">
      <pane xSplit="9" ySplit="2" topLeftCell="V3" activePane="bottomRight" state="frozen"/>
      <selection pane="bottomRight" activeCell="W10" sqref="W10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15.85546875" style="1" customWidth="1"/>
    <col min="11" max="11" width="18.28515625" customWidth="1"/>
    <col min="12" max="12" width="17.85546875" customWidth="1"/>
    <col min="13" max="13" width="15" customWidth="1"/>
    <col min="14" max="14" width="14.28515625" customWidth="1"/>
    <col min="15" max="16" width="18.28515625" customWidth="1"/>
    <col min="17" max="17" width="19.85546875" customWidth="1"/>
    <col min="18" max="18" width="45.28515625" customWidth="1"/>
    <col min="19" max="20" width="28.7109375" customWidth="1"/>
    <col min="21" max="21" width="19.42578125" customWidth="1"/>
    <col min="22" max="23" width="22" customWidth="1"/>
    <col min="24" max="24" width="30.140625" customWidth="1"/>
    <col min="25" max="25" width="14.7109375" customWidth="1"/>
    <col min="26" max="26" width="27.140625" customWidth="1"/>
    <col min="29" max="30" width="14.28515625" style="4" customWidth="1"/>
    <col min="31" max="31" width="11.5703125" style="4"/>
    <col min="32" max="32" width="20" style="4" customWidth="1"/>
    <col min="33" max="33" width="37.42578125" style="4" customWidth="1"/>
    <col min="34" max="34" width="33.140625" style="4" customWidth="1"/>
    <col min="35" max="35" width="34.7109375" customWidth="1"/>
    <col min="36" max="36" width="31.7109375" customWidth="1"/>
    <col min="37" max="37" width="30.85546875" customWidth="1"/>
    <col min="38" max="38" width="36" customWidth="1"/>
    <col min="39" max="39" width="19.7109375" customWidth="1"/>
    <col min="40" max="40" width="13.7109375" customWidth="1"/>
  </cols>
  <sheetData>
    <row r="1" spans="1:46" ht="60" customHeight="1">
      <c r="A1" s="130" t="s">
        <v>245</v>
      </c>
      <c r="B1" s="127"/>
      <c r="C1" s="127"/>
      <c r="D1" s="127"/>
      <c r="E1" s="127"/>
      <c r="F1" s="127" t="s">
        <v>112</v>
      </c>
      <c r="G1" s="127"/>
      <c r="H1" s="127" t="s">
        <v>113</v>
      </c>
      <c r="I1" s="127"/>
      <c r="J1" s="134" t="s">
        <v>246</v>
      </c>
      <c r="K1" s="135"/>
      <c r="L1" s="136"/>
      <c r="M1" s="134" t="s">
        <v>247</v>
      </c>
      <c r="N1" s="135"/>
      <c r="O1" s="135"/>
      <c r="P1" s="135"/>
      <c r="Q1" s="136"/>
      <c r="R1" s="18" t="s">
        <v>248</v>
      </c>
      <c r="S1" s="18" t="s">
        <v>249</v>
      </c>
      <c r="T1" s="18" t="s">
        <v>250</v>
      </c>
      <c r="U1" s="18" t="s">
        <v>251</v>
      </c>
      <c r="V1" s="18" t="s">
        <v>252</v>
      </c>
      <c r="W1" s="10" t="s">
        <v>150</v>
      </c>
      <c r="X1" s="134" t="s">
        <v>253</v>
      </c>
      <c r="Y1" s="135"/>
      <c r="Z1" s="135"/>
      <c r="AA1" s="135" t="s">
        <v>254</v>
      </c>
      <c r="AB1" s="135"/>
      <c r="AC1" s="135"/>
      <c r="AD1" s="135"/>
      <c r="AE1" s="136"/>
      <c r="AF1" s="16" t="s">
        <v>153</v>
      </c>
      <c r="AG1" s="18" t="s">
        <v>255</v>
      </c>
      <c r="AH1" s="18" t="s">
        <v>256</v>
      </c>
      <c r="AI1" s="18" t="s">
        <v>257</v>
      </c>
      <c r="AJ1" s="18" t="s">
        <v>258</v>
      </c>
      <c r="AK1" s="18" t="s">
        <v>259</v>
      </c>
      <c r="AL1" s="18" t="s">
        <v>260</v>
      </c>
      <c r="AM1" s="18" t="s">
        <v>260</v>
      </c>
      <c r="AN1" s="17" t="s">
        <v>150</v>
      </c>
      <c r="AO1" s="131" t="s">
        <v>116</v>
      </c>
      <c r="AP1" s="132"/>
      <c r="AQ1" s="132"/>
      <c r="AR1" s="132"/>
      <c r="AS1" s="132"/>
      <c r="AT1" s="133"/>
    </row>
    <row r="2" spans="1:46" ht="88.15" customHeight="1">
      <c r="A2" s="8" t="s">
        <v>93</v>
      </c>
      <c r="B2" s="9" t="s">
        <v>35</v>
      </c>
      <c r="C2" s="9" t="s">
        <v>36</v>
      </c>
      <c r="D2" s="9" t="s">
        <v>37</v>
      </c>
      <c r="E2" s="9" t="s">
        <v>39</v>
      </c>
      <c r="F2" s="9" t="s">
        <v>117</v>
      </c>
      <c r="G2" s="9" t="s">
        <v>118</v>
      </c>
      <c r="H2" s="9" t="s">
        <v>119</v>
      </c>
      <c r="I2" s="9" t="s">
        <v>120</v>
      </c>
      <c r="J2" s="13" t="s">
        <v>157</v>
      </c>
      <c r="K2" s="13" t="s">
        <v>261</v>
      </c>
      <c r="L2" s="13" t="s">
        <v>262</v>
      </c>
      <c r="M2" s="13" t="s">
        <v>263</v>
      </c>
      <c r="N2" s="13" t="s">
        <v>264</v>
      </c>
      <c r="O2" s="13" t="s">
        <v>265</v>
      </c>
      <c r="P2" s="13" t="s">
        <v>266</v>
      </c>
      <c r="Q2" s="13" t="s">
        <v>267</v>
      </c>
      <c r="R2" s="13" t="s">
        <v>268</v>
      </c>
      <c r="S2" s="13" t="s">
        <v>269</v>
      </c>
      <c r="T2" s="13" t="s">
        <v>270</v>
      </c>
      <c r="U2" s="13" t="s">
        <v>271</v>
      </c>
      <c r="V2" s="13" t="s">
        <v>272</v>
      </c>
      <c r="W2" s="10" t="s">
        <v>127</v>
      </c>
      <c r="X2" s="13" t="s">
        <v>177</v>
      </c>
      <c r="Y2" s="13" t="s">
        <v>178</v>
      </c>
      <c r="Z2" s="13" t="s">
        <v>179</v>
      </c>
      <c r="AA2" s="13" t="s">
        <v>273</v>
      </c>
      <c r="AB2" s="13" t="s">
        <v>274</v>
      </c>
      <c r="AC2" s="13" t="s">
        <v>275</v>
      </c>
      <c r="AD2" s="13" t="s">
        <v>276</v>
      </c>
      <c r="AE2" s="13" t="s">
        <v>277</v>
      </c>
      <c r="AF2" s="13" t="s">
        <v>184</v>
      </c>
      <c r="AG2" s="13" t="s">
        <v>278</v>
      </c>
      <c r="AH2" s="13" t="s">
        <v>279</v>
      </c>
      <c r="AI2" s="13" t="s">
        <v>280</v>
      </c>
      <c r="AJ2" s="13" t="s">
        <v>281</v>
      </c>
      <c r="AK2" s="13" t="s">
        <v>282</v>
      </c>
      <c r="AL2" s="13" t="s">
        <v>283</v>
      </c>
      <c r="AM2" s="13" t="s">
        <v>284</v>
      </c>
      <c r="AN2" s="13" t="s">
        <v>134</v>
      </c>
      <c r="AO2" s="13" t="s">
        <v>135</v>
      </c>
      <c r="AP2" s="13" t="s">
        <v>136</v>
      </c>
      <c r="AQ2" s="13" t="s">
        <v>137</v>
      </c>
      <c r="AR2" s="13" t="s">
        <v>138</v>
      </c>
      <c r="AS2" s="13" t="s">
        <v>139</v>
      </c>
      <c r="AT2" s="13" t="s">
        <v>140</v>
      </c>
    </row>
    <row r="3" spans="1:46" s="5" customFormat="1" ht="25.9" customHeight="1">
      <c r="A3" s="63">
        <f>Inicial!A3</f>
        <v>1</v>
      </c>
      <c r="B3" s="64" t="str">
        <f>Inicial!B3</f>
        <v>Despacho</v>
      </c>
      <c r="C3" s="64" t="str">
        <f>Inicial!C3</f>
        <v xml:space="preserve"> Carton Frezzer</v>
      </c>
      <c r="D3" s="65" t="str">
        <f>Inicial!D3</f>
        <v xml:space="preserve">Pinchador </v>
      </c>
      <c r="E3" s="63" t="str">
        <f>IF(Inicial!M3="SI",Inicial!E3,"N/A")</f>
        <v>06:00  - 14:00  14:00 - 22:00  22:00 - 06:00</v>
      </c>
      <c r="F3" s="64">
        <f>IF(Inicial!M3="SI",Inicial!F3,"N/A")</f>
        <v>0</v>
      </c>
      <c r="G3" s="64">
        <f>IF(Inicial!M3="SI",Inicial!G3,"N/A")</f>
        <v>2</v>
      </c>
      <c r="H3" s="64">
        <f>IF(Inicial!M3="SI",Inicial!H3,"N/A")</f>
        <v>6</v>
      </c>
      <c r="I3" s="66">
        <f>IF(Inicial!M3="SI",Inicial!I3,"N/A")</f>
        <v>0</v>
      </c>
      <c r="J3" s="11" t="s">
        <v>80</v>
      </c>
      <c r="K3" s="11" t="s">
        <v>62</v>
      </c>
      <c r="L3" s="11" t="s">
        <v>62</v>
      </c>
      <c r="M3" s="11" t="s">
        <v>62</v>
      </c>
      <c r="N3" s="11" t="s">
        <v>62</v>
      </c>
      <c r="O3" s="11" t="s">
        <v>62</v>
      </c>
      <c r="P3" s="11" t="s">
        <v>62</v>
      </c>
      <c r="Q3" s="11" t="s">
        <v>62</v>
      </c>
      <c r="R3" s="11" t="s">
        <v>62</v>
      </c>
      <c r="S3" s="11" t="s">
        <v>62</v>
      </c>
      <c r="T3" s="11" t="s">
        <v>62</v>
      </c>
      <c r="U3" s="11" t="s">
        <v>62</v>
      </c>
      <c r="V3" s="11" t="s">
        <v>62</v>
      </c>
      <c r="W3" s="12" t="str" cm="1">
        <f t="array" ref="W3">IF(OR(M3:V3="NO"),"No aceptable","Aceptable")</f>
        <v>Aceptable</v>
      </c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3" t="str" cm="1">
        <f t="array" ref="AN3">IF(OR(AA3:AM3="SI"),"Critico","No Critico")</f>
        <v>No Critico</v>
      </c>
      <c r="AO3" s="1"/>
      <c r="AP3" s="1"/>
      <c r="AQ3" s="1"/>
      <c r="AR3" s="1"/>
      <c r="AS3" s="1"/>
      <c r="AT3" s="1"/>
    </row>
    <row r="4" spans="1:46" ht="25.9" customHeight="1">
      <c r="A4" s="63">
        <f>Inicial!A4</f>
        <v>2</v>
      </c>
      <c r="B4" s="64" t="str">
        <f>Inicial!B4</f>
        <v>Despacho</v>
      </c>
      <c r="C4" s="64" t="str">
        <f>Inicial!C4</f>
        <v xml:space="preserve"> Carton Frezzer</v>
      </c>
      <c r="D4" s="65" t="str">
        <f>Inicial!D4</f>
        <v>Depaletizador</v>
      </c>
      <c r="E4" s="63" t="str">
        <f>IF(Inicial!M4="SI",Inicial!E4,"N/A")</f>
        <v>06:00  - 14:00  14:00 - 22:00  22:00 - 06:00</v>
      </c>
      <c r="F4" s="64">
        <f>IF(Inicial!M4="SI",Inicial!F4,"N/A")</f>
        <v>0</v>
      </c>
      <c r="G4" s="64">
        <f>IF(Inicial!M4="SI",Inicial!G4,"N/A")</f>
        <v>2</v>
      </c>
      <c r="H4" s="64">
        <f>IF(Inicial!M4="SI",Inicial!H4,"N/A")</f>
        <v>24</v>
      </c>
      <c r="I4" s="66">
        <f>IF(Inicial!M4="SI",Inicial!I4,"N/A")</f>
        <v>0</v>
      </c>
      <c r="J4" s="11" t="s">
        <v>80</v>
      </c>
      <c r="K4" s="11" t="s">
        <v>62</v>
      </c>
      <c r="L4" s="11" t="s">
        <v>62</v>
      </c>
      <c r="M4" s="11" t="s">
        <v>62</v>
      </c>
      <c r="N4" s="11" t="s">
        <v>62</v>
      </c>
      <c r="O4" s="11" t="s">
        <v>62</v>
      </c>
      <c r="P4" s="11" t="s">
        <v>62</v>
      </c>
      <c r="Q4" s="11" t="s">
        <v>62</v>
      </c>
      <c r="R4" s="11" t="s">
        <v>62</v>
      </c>
      <c r="S4" s="11" t="s">
        <v>62</v>
      </c>
      <c r="T4" s="11" t="s">
        <v>62</v>
      </c>
      <c r="U4" s="11" t="s">
        <v>62</v>
      </c>
      <c r="V4" s="11" t="s">
        <v>62</v>
      </c>
      <c r="W4" s="12" t="str" cm="1">
        <f t="array" ref="W4">IF(OR(M4:V4="NO"),"No aceptable","Aceptable")</f>
        <v>Aceptable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3" t="str" cm="1">
        <f t="array" ref="AN4">IF(OR(AA4:AM4="SI"),"Critico","No Critico")</f>
        <v>No Critico</v>
      </c>
      <c r="AO4" s="1"/>
      <c r="AP4" s="1"/>
      <c r="AQ4" s="1"/>
      <c r="AR4" s="1"/>
      <c r="AS4" s="1"/>
      <c r="AT4" s="1"/>
    </row>
    <row r="5" spans="1:46" ht="25.9" customHeight="1">
      <c r="A5" s="63">
        <f>Inicial!A5</f>
        <v>3</v>
      </c>
      <c r="B5" s="64" t="str">
        <f>Inicial!B5</f>
        <v>Despacho</v>
      </c>
      <c r="C5" s="64" t="str">
        <f>Inicial!C5</f>
        <v xml:space="preserve"> Carton Frezzer</v>
      </c>
      <c r="D5" s="65" t="str">
        <f>Inicial!D5</f>
        <v xml:space="preserve">Pinchador </v>
      </c>
      <c r="E5" s="63" t="str">
        <f>IF(Inicial!M5="SI",Inicial!E5,"N/A")</f>
        <v>06:00  - 14:00  14:00 - 22:00  22:00 - 06:00</v>
      </c>
      <c r="F5" s="64">
        <f>IF(Inicial!M5="SI",Inicial!F5,"N/A")</f>
        <v>0</v>
      </c>
      <c r="G5" s="64">
        <f>IF(Inicial!M5="SI",Inicial!G5,"N/A")</f>
        <v>2</v>
      </c>
      <c r="H5" s="64">
        <f>IF(Inicial!M5="SI",Inicial!H5,"N/A")</f>
        <v>24</v>
      </c>
      <c r="I5" s="66">
        <f>IF(Inicial!M5="SI",Inicial!I5,"N/A")</f>
        <v>0</v>
      </c>
      <c r="J5" s="11" t="s">
        <v>80</v>
      </c>
      <c r="K5" s="11" t="s">
        <v>62</v>
      </c>
      <c r="L5" s="11" t="s">
        <v>62</v>
      </c>
      <c r="M5" s="11" t="s">
        <v>62</v>
      </c>
      <c r="N5" s="11" t="s">
        <v>62</v>
      </c>
      <c r="O5" s="11" t="s">
        <v>62</v>
      </c>
      <c r="P5" s="11" t="s">
        <v>62</v>
      </c>
      <c r="Q5" s="11" t="s">
        <v>62</v>
      </c>
      <c r="R5" s="11" t="s">
        <v>62</v>
      </c>
      <c r="S5" s="11" t="s">
        <v>62</v>
      </c>
      <c r="T5" s="11" t="s">
        <v>62</v>
      </c>
      <c r="U5" s="11" t="s">
        <v>62</v>
      </c>
      <c r="V5" s="11" t="s">
        <v>62</v>
      </c>
      <c r="W5" s="12" t="str" cm="1">
        <f t="array" ref="W5">IF(OR(M5:V5="NO"),"No aceptable","Aceptable")</f>
        <v>Aceptable</v>
      </c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3" t="str" cm="1">
        <f t="array" ref="AN5">IF(OR(AA5:AM5="SI"),"Critico","No Critico")</f>
        <v>No Critico</v>
      </c>
      <c r="AO5" s="1"/>
      <c r="AP5" s="1"/>
      <c r="AQ5" s="1"/>
      <c r="AR5" s="1"/>
      <c r="AS5" s="1"/>
      <c r="AT5" s="1"/>
    </row>
    <row r="6" spans="1:46" ht="25.9" customHeight="1">
      <c r="A6" s="63">
        <f>Inicial!A6</f>
        <v>4</v>
      </c>
      <c r="B6" s="64" t="str">
        <f>Inicial!B6</f>
        <v>Despacho</v>
      </c>
      <c r="C6" s="64" t="str">
        <f>Inicial!C6</f>
        <v>Despacho congelado</v>
      </c>
      <c r="D6" s="65" t="str">
        <f>Inicial!D6</f>
        <v>Gruero</v>
      </c>
      <c r="E6" s="63" t="str">
        <f>IF(Inicial!M6="SI",Inicial!E6,"N/A")</f>
        <v>N/A</v>
      </c>
      <c r="F6" s="64" t="str">
        <f>IF(Inicial!M6="SI",Inicial!F6,"N/A")</f>
        <v>N/A</v>
      </c>
      <c r="G6" s="64" t="str">
        <f>IF(Inicial!M6="SI",Inicial!G6,"N/A")</f>
        <v>N/A</v>
      </c>
      <c r="H6" s="64" t="str">
        <f>IF(Inicial!M6="SI",Inicial!H6,"N/A")</f>
        <v>N/A</v>
      </c>
      <c r="I6" s="66" t="str">
        <f>IF(Inicial!M6="SI",Inicial!I6,"N/A")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 t="str" cm="1">
        <f t="array" ref="W6">IF(OR(M6:V6="NO"),"No aceptable","Aceptable")</f>
        <v>Aceptable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3" t="str" cm="1">
        <f t="array" ref="AN6">IF(OR(AA6:AM6="SI"),"Critico","No Critico")</f>
        <v>No Critico</v>
      </c>
    </row>
    <row r="7" spans="1:46" ht="25.9" customHeight="1">
      <c r="A7" s="63">
        <f>Inicial!A7</f>
        <v>5</v>
      </c>
      <c r="B7" s="64" t="str">
        <f>Inicial!B7</f>
        <v>Despacho</v>
      </c>
      <c r="C7" s="64" t="str">
        <f>Inicial!C7</f>
        <v>Despacho congelado</v>
      </c>
      <c r="D7" s="65" t="str">
        <f>Inicial!D7</f>
        <v>Transpaletero</v>
      </c>
      <c r="E7" s="63" t="str">
        <f>IF(Inicial!M7="SI",Inicial!E7,"N/A")</f>
        <v>N/A</v>
      </c>
      <c r="F7" s="64" t="str">
        <f>IF(Inicial!M7="SI",Inicial!F7,"N/A")</f>
        <v>N/A</v>
      </c>
      <c r="G7" s="64" t="str">
        <f>IF(Inicial!M7="SI",Inicial!G7,"N/A")</f>
        <v>N/A</v>
      </c>
      <c r="H7" s="64" t="str">
        <f>IF(Inicial!M7="SI",Inicial!H7,"N/A")</f>
        <v>N/A</v>
      </c>
      <c r="I7" s="66" t="str">
        <f>IF(Inicial!M7="SI",Inicial!I7,"N/A")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2" t="str" cm="1">
        <f t="array" ref="W7">IF(OR(M7:V7="NO"),"No aceptable","Aceptable")</f>
        <v>Aceptable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3" t="str" cm="1">
        <f t="array" ref="AN7">IF(OR(AA7:AM7="SI"),"Critico","No Critico")</f>
        <v>No Critico</v>
      </c>
    </row>
    <row r="8" spans="1:46" ht="25.9" customHeight="1">
      <c r="A8" s="63">
        <f>Inicial!A8</f>
        <v>6</v>
      </c>
      <c r="B8" s="64" t="str">
        <f>Inicial!B8</f>
        <v>Despacho</v>
      </c>
      <c r="C8" s="64" t="str">
        <f>Inicial!C8</f>
        <v>Despacho congelado</v>
      </c>
      <c r="D8" s="65" t="str">
        <f>Inicial!D8</f>
        <v>Postura de films</v>
      </c>
      <c r="E8" s="63" t="str">
        <f>IF(Inicial!M8="SI",Inicial!E8,"N/A")</f>
        <v>N/A</v>
      </c>
      <c r="F8" s="64" t="str">
        <f>IF(Inicial!M8="SI",Inicial!F8,"N/A")</f>
        <v>N/A</v>
      </c>
      <c r="G8" s="64" t="str">
        <f>IF(Inicial!M8="SI",Inicial!G8,"N/A")</f>
        <v>N/A</v>
      </c>
      <c r="H8" s="64" t="str">
        <f>IF(Inicial!M8="SI",Inicial!H8,"N/A")</f>
        <v>N/A</v>
      </c>
      <c r="I8" s="66" t="str">
        <f>IF(Inicial!M8="SI",Inicial!I8,"N/A")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 t="str" cm="1">
        <f t="array" ref="W8">IF(OR(M8:V8="NO"),"No aceptable","Aceptable")</f>
        <v>Aceptable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3" t="str" cm="1">
        <f t="array" ref="AN8">IF(OR(AA8:AM8="SI"),"Critico","No Critico")</f>
        <v>No Critico</v>
      </c>
    </row>
    <row r="9" spans="1:46">
      <c r="A9" s="63">
        <f>Inicial!A9</f>
        <v>7</v>
      </c>
      <c r="B9" s="64" t="str">
        <f>Inicial!B9</f>
        <v>Despacho</v>
      </c>
      <c r="C9" s="64" t="str">
        <f>Inicial!C9</f>
        <v>Despacho Congelado</v>
      </c>
      <c r="D9" s="65" t="str">
        <f>Inicial!D9</f>
        <v>Reprocesos de producto</v>
      </c>
      <c r="E9" s="63" t="str">
        <f>IF(Inicial!M9="SI",Inicial!E9,"N/A")</f>
        <v>N/A</v>
      </c>
      <c r="F9" s="64" t="str">
        <f>IF(Inicial!M9="SI",Inicial!F9,"N/A")</f>
        <v>N/A</v>
      </c>
      <c r="G9" s="64" t="str">
        <f>IF(Inicial!M9="SI",Inicial!G9,"N/A")</f>
        <v>N/A</v>
      </c>
      <c r="H9" s="64" t="str">
        <f>IF(Inicial!M9="SI",Inicial!H9,"N/A")</f>
        <v>N/A</v>
      </c>
      <c r="I9" s="66" t="str">
        <f>IF(Inicial!M9="SI",Inicial!I9,"N/A")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 t="str" cm="1">
        <f t="array" ref="W9">IF(OR(M9:V9="NO"),"No aceptable","Aceptable")</f>
        <v>Aceptable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3" t="str" cm="1">
        <f t="array" ref="AN9">IF(OR(AA9:AM9="SI"),"Critico","No Critico")</f>
        <v>No Critico</v>
      </c>
    </row>
    <row r="10" spans="1:46">
      <c r="A10" s="63" t="e">
        <f>Inicial!#REF!</f>
        <v>#REF!</v>
      </c>
      <c r="B10" s="64" t="e">
        <f>Inicial!#REF!</f>
        <v>#REF!</v>
      </c>
      <c r="C10" s="64" t="e">
        <f>Inicial!#REF!</f>
        <v>#REF!</v>
      </c>
      <c r="D10" s="65" t="e">
        <f>Inicial!#REF!</f>
        <v>#REF!</v>
      </c>
      <c r="E10" s="63" t="e">
        <f>IF(Inicial!#REF!="SI",Inicial!#REF!,"N/A")</f>
        <v>#REF!</v>
      </c>
      <c r="F10" s="64" t="e">
        <f>IF(Inicial!#REF!="SI",Inicial!#REF!,"N/A")</f>
        <v>#REF!</v>
      </c>
      <c r="G10" s="64" t="e">
        <f>IF(Inicial!#REF!="SI",Inicial!#REF!,"N/A")</f>
        <v>#REF!</v>
      </c>
      <c r="H10" s="64" t="e">
        <f>IF(Inicial!#REF!="SI",Inicial!#REF!,"N/A")</f>
        <v>#REF!</v>
      </c>
      <c r="I10" s="66" t="e">
        <f>IF(Inicial!#REF!="SI",Inicial!#REF!,"N/A")</f>
        <v>#REF!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2" t="str" cm="1">
        <f t="array" ref="W10">IF(OR(M10:V10="NO"),"No aceptable","Aceptable")</f>
        <v>Aceptable</v>
      </c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3" t="str" cm="1">
        <f t="array" ref="AN10">IF(OR(AA10:AM10="SI"),"Critico","No Critico")</f>
        <v>No Critico</v>
      </c>
    </row>
    <row r="11" spans="1:46">
      <c r="A11" s="63" t="e">
        <f>Inicial!#REF!</f>
        <v>#REF!</v>
      </c>
      <c r="B11" s="64" t="e">
        <f>Inicial!#REF!</f>
        <v>#REF!</v>
      </c>
      <c r="C11" s="64" t="e">
        <f>Inicial!#REF!</f>
        <v>#REF!</v>
      </c>
      <c r="D11" s="65" t="e">
        <f>Inicial!#REF!</f>
        <v>#REF!</v>
      </c>
      <c r="E11" s="63" t="e">
        <f>IF(Inicial!#REF!="SI",Inicial!#REF!,"N/A")</f>
        <v>#REF!</v>
      </c>
      <c r="F11" s="64" t="e">
        <f>IF(Inicial!#REF!="SI",Inicial!#REF!,"N/A")</f>
        <v>#REF!</v>
      </c>
      <c r="G11" s="64" t="e">
        <f>IF(Inicial!#REF!="SI",Inicial!#REF!,"N/A")</f>
        <v>#REF!</v>
      </c>
      <c r="H11" s="64" t="e">
        <f>IF(Inicial!#REF!="SI",Inicial!#REF!,"N/A")</f>
        <v>#REF!</v>
      </c>
      <c r="I11" s="66" t="e">
        <f>IF(Inicial!#REF!="SI",Inicial!#REF!,"N/A")</f>
        <v>#REF!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 t="str" cm="1">
        <f t="array" ref="W11">IF(OR(M11:V11="NO"),"No aceptable","Aceptable")</f>
        <v>Aceptable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3" t="str" cm="1">
        <f t="array" ref="AN11">IF(OR(AA11:AM11="SI"),"Critico","No Critico")</f>
        <v>No Critico</v>
      </c>
    </row>
    <row r="12" spans="1:46">
      <c r="A12" s="63" t="e">
        <f>Inicial!#REF!</f>
        <v>#REF!</v>
      </c>
      <c r="B12" s="64" t="e">
        <f>Inicial!#REF!</f>
        <v>#REF!</v>
      </c>
      <c r="C12" s="64" t="e">
        <f>Inicial!#REF!</f>
        <v>#REF!</v>
      </c>
      <c r="D12" s="65" t="e">
        <f>Inicial!#REF!</f>
        <v>#REF!</v>
      </c>
      <c r="E12" s="63" t="e">
        <f>IF(Inicial!#REF!="SI",Inicial!#REF!,"N/A")</f>
        <v>#REF!</v>
      </c>
      <c r="F12" s="64" t="e">
        <f>IF(Inicial!#REF!="SI",Inicial!#REF!,"N/A")</f>
        <v>#REF!</v>
      </c>
      <c r="G12" s="64" t="e">
        <f>IF(Inicial!#REF!="SI",Inicial!#REF!,"N/A")</f>
        <v>#REF!</v>
      </c>
      <c r="H12" s="64" t="e">
        <f>IF(Inicial!#REF!="SI",Inicial!#REF!,"N/A")</f>
        <v>#REF!</v>
      </c>
      <c r="I12" s="66" t="e">
        <f>IF(Inicial!#REF!="SI",Inicial!#REF!,"N/A")</f>
        <v>#REF!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 t="str" cm="1">
        <f t="array" ref="W12">IF(OR(M12:V12="NO"),"No aceptable","Aceptable")</f>
        <v>Aceptable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3" t="str" cm="1">
        <f t="array" ref="AN12">IF(OR(AA12:AM12="SI"),"Critico","No Critico")</f>
        <v>No Critico</v>
      </c>
    </row>
    <row r="13" spans="1:46">
      <c r="A13" s="63" t="e">
        <f>Inicial!#REF!</f>
        <v>#REF!</v>
      </c>
      <c r="B13" s="64" t="e">
        <f>Inicial!#REF!</f>
        <v>#REF!</v>
      </c>
      <c r="C13" s="64" t="e">
        <f>Inicial!#REF!</f>
        <v>#REF!</v>
      </c>
      <c r="D13" s="65" t="e">
        <f>Inicial!#REF!</f>
        <v>#REF!</v>
      </c>
      <c r="E13" s="63" t="e">
        <f>IF(Inicial!#REF!="SI",Inicial!#REF!,"N/A")</f>
        <v>#REF!</v>
      </c>
      <c r="F13" s="64" t="e">
        <f>IF(Inicial!#REF!="SI",Inicial!#REF!,"N/A")</f>
        <v>#REF!</v>
      </c>
      <c r="G13" s="64" t="e">
        <f>IF(Inicial!#REF!="SI",Inicial!#REF!,"N/A")</f>
        <v>#REF!</v>
      </c>
      <c r="H13" s="64" t="e">
        <f>IF(Inicial!#REF!="SI",Inicial!#REF!,"N/A")</f>
        <v>#REF!</v>
      </c>
      <c r="I13" s="66" t="e">
        <f>IF(Inicial!#REF!="SI",Inicial!#REF!,"N/A")</f>
        <v>#REF!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2" t="str" cm="1">
        <f t="array" ref="W13">IF(OR(M13:V13="NO"),"No aceptable","Aceptable")</f>
        <v>Aceptable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3" t="str" cm="1">
        <f t="array" ref="AN13">IF(OR(AA13:AM13="SI"),"Critico","No Critico")</f>
        <v>No Critico</v>
      </c>
    </row>
    <row r="14" spans="1:46">
      <c r="A14" s="63" t="e">
        <f>Inicial!#REF!</f>
        <v>#REF!</v>
      </c>
      <c r="B14" s="64" t="e">
        <f>Inicial!#REF!</f>
        <v>#REF!</v>
      </c>
      <c r="C14" s="64" t="e">
        <f>Inicial!#REF!</f>
        <v>#REF!</v>
      </c>
      <c r="D14" s="65" t="e">
        <f>Inicial!#REF!</f>
        <v>#REF!</v>
      </c>
      <c r="E14" s="63" t="e">
        <f>IF(Inicial!#REF!="SI",Inicial!#REF!,"N/A")</f>
        <v>#REF!</v>
      </c>
      <c r="F14" s="64" t="e">
        <f>IF(Inicial!#REF!="SI",Inicial!#REF!,"N/A")</f>
        <v>#REF!</v>
      </c>
      <c r="G14" s="64" t="e">
        <f>IF(Inicial!#REF!="SI",Inicial!#REF!,"N/A")</f>
        <v>#REF!</v>
      </c>
      <c r="H14" s="64" t="e">
        <f>IF(Inicial!#REF!="SI",Inicial!#REF!,"N/A")</f>
        <v>#REF!</v>
      </c>
      <c r="I14" s="66" t="e">
        <f>IF(Inicial!#REF!="SI",Inicial!#REF!,"N/A")</f>
        <v>#REF!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2" t="str" cm="1">
        <f t="array" ref="W14">IF(OR(M14:V14="NO"),"No aceptable","Aceptable")</f>
        <v>Aceptable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3" t="str" cm="1">
        <f t="array" ref="AN14">IF(OR(AA14:AM14="SI"),"Critico","No Critico")</f>
        <v>No Critico</v>
      </c>
    </row>
    <row r="15" spans="1:46">
      <c r="A15" s="63" t="e">
        <f>Inicial!#REF!</f>
        <v>#REF!</v>
      </c>
      <c r="B15" s="64" t="e">
        <f>Inicial!#REF!</f>
        <v>#REF!</v>
      </c>
      <c r="C15" s="64" t="e">
        <f>Inicial!#REF!</f>
        <v>#REF!</v>
      </c>
      <c r="D15" s="65" t="e">
        <f>Inicial!#REF!</f>
        <v>#REF!</v>
      </c>
      <c r="E15" s="63" t="e">
        <f>IF(Inicial!#REF!="SI",Inicial!#REF!,"N/A")</f>
        <v>#REF!</v>
      </c>
      <c r="F15" s="64" t="e">
        <f>IF(Inicial!#REF!="SI",Inicial!#REF!,"N/A")</f>
        <v>#REF!</v>
      </c>
      <c r="G15" s="64" t="e">
        <f>IF(Inicial!#REF!="SI",Inicial!#REF!,"N/A")</f>
        <v>#REF!</v>
      </c>
      <c r="H15" s="64" t="e">
        <f>IF(Inicial!#REF!="SI",Inicial!#REF!,"N/A")</f>
        <v>#REF!</v>
      </c>
      <c r="I15" s="66" t="e">
        <f>IF(Inicial!#REF!="SI",Inicial!#REF!,"N/A")</f>
        <v>#REF!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2" t="str" cm="1">
        <f t="array" ref="W15">IF(OR(M15:V15="NO"),"No aceptable","Aceptable")</f>
        <v>Aceptable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3" t="str" cm="1">
        <f t="array" ref="AN15">IF(OR(AA15:AM15="SI"),"Critico","No Critico")</f>
        <v>No Critico</v>
      </c>
    </row>
    <row r="16" spans="1:46">
      <c r="A16" s="63" t="e">
        <f>Inicial!#REF!</f>
        <v>#REF!</v>
      </c>
      <c r="B16" s="64" t="e">
        <f>Inicial!#REF!</f>
        <v>#REF!</v>
      </c>
      <c r="C16" s="64" t="e">
        <f>Inicial!#REF!</f>
        <v>#REF!</v>
      </c>
      <c r="D16" s="65" t="e">
        <f>Inicial!#REF!</f>
        <v>#REF!</v>
      </c>
      <c r="E16" s="63" t="e">
        <f>IF(Inicial!#REF!="SI",Inicial!#REF!,"N/A")</f>
        <v>#REF!</v>
      </c>
      <c r="F16" s="64" t="e">
        <f>IF(Inicial!#REF!="SI",Inicial!#REF!,"N/A")</f>
        <v>#REF!</v>
      </c>
      <c r="G16" s="64" t="e">
        <f>IF(Inicial!#REF!="SI",Inicial!#REF!,"N/A")</f>
        <v>#REF!</v>
      </c>
      <c r="H16" s="64" t="e">
        <f>IF(Inicial!#REF!="SI",Inicial!#REF!,"N/A")</f>
        <v>#REF!</v>
      </c>
      <c r="I16" s="66" t="e">
        <f>IF(Inicial!#REF!="SI",Inicial!#REF!,"N/A")</f>
        <v>#REF!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 t="str" cm="1">
        <f t="array" ref="W16">IF(OR(M16:V16="NO"),"No aceptable","Aceptable")</f>
        <v>Aceptable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3" t="str" cm="1">
        <f t="array" ref="AN16">IF(OR(AA16:AM16="SI"),"Critico","No Critico")</f>
        <v>No Critico</v>
      </c>
    </row>
    <row r="17" spans="1:40">
      <c r="A17" s="63" t="e">
        <f>Inicial!#REF!</f>
        <v>#REF!</v>
      </c>
      <c r="B17" s="64" t="e">
        <f>Inicial!#REF!</f>
        <v>#REF!</v>
      </c>
      <c r="C17" s="64" t="e">
        <f>Inicial!#REF!</f>
        <v>#REF!</v>
      </c>
      <c r="D17" s="65" t="e">
        <f>Inicial!#REF!</f>
        <v>#REF!</v>
      </c>
      <c r="E17" s="63" t="e">
        <f>IF(Inicial!#REF!="SI",Inicial!#REF!,"N/A")</f>
        <v>#REF!</v>
      </c>
      <c r="F17" s="64" t="e">
        <f>IF(Inicial!#REF!="SI",Inicial!#REF!,"N/A")</f>
        <v>#REF!</v>
      </c>
      <c r="G17" s="64" t="e">
        <f>IF(Inicial!#REF!="SI",Inicial!#REF!,"N/A")</f>
        <v>#REF!</v>
      </c>
      <c r="H17" s="64" t="e">
        <f>IF(Inicial!#REF!="SI",Inicial!#REF!,"N/A")</f>
        <v>#REF!</v>
      </c>
      <c r="I17" s="66" t="e">
        <f>IF(Inicial!#REF!="SI",Inicial!#REF!,"N/A")</f>
        <v>#REF!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2" t="str" cm="1">
        <f t="array" ref="W17">IF(OR(M17:V17="NO"),"No aceptable","Aceptable")</f>
        <v>Aceptable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3" t="str" cm="1">
        <f t="array" ref="AN17">IF(OR(AA17:AM17="SI"),"Critico","No Critico")</f>
        <v>No Critico</v>
      </c>
    </row>
    <row r="18" spans="1:40">
      <c r="A18" s="63" t="e">
        <f>Inicial!#REF!</f>
        <v>#REF!</v>
      </c>
      <c r="B18" s="64" t="e">
        <f>Inicial!#REF!</f>
        <v>#REF!</v>
      </c>
      <c r="C18" s="64" t="e">
        <f>Inicial!#REF!</f>
        <v>#REF!</v>
      </c>
      <c r="D18" s="65" t="e">
        <f>Inicial!#REF!</f>
        <v>#REF!</v>
      </c>
      <c r="E18" s="63" t="e">
        <f>IF(Inicial!#REF!="SI",Inicial!#REF!,"N/A")</f>
        <v>#REF!</v>
      </c>
      <c r="F18" s="64" t="e">
        <f>IF(Inicial!#REF!="SI",Inicial!#REF!,"N/A")</f>
        <v>#REF!</v>
      </c>
      <c r="G18" s="64" t="e">
        <f>IF(Inicial!#REF!="SI",Inicial!#REF!,"N/A")</f>
        <v>#REF!</v>
      </c>
      <c r="H18" s="64" t="e">
        <f>IF(Inicial!#REF!="SI",Inicial!#REF!,"N/A")</f>
        <v>#REF!</v>
      </c>
      <c r="I18" s="66" t="e">
        <f>IF(Inicial!#REF!="SI",Inicial!#REF!,"N/A")</f>
        <v>#REF!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2" t="str" cm="1">
        <f t="array" ref="W18">IF(OR(M18:V18="NO"),"No aceptable","Aceptable")</f>
        <v>Aceptable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3" t="str" cm="1">
        <f t="array" ref="AN18">IF(OR(AA18:AM18="SI"),"Critico","No Critico")</f>
        <v>No Critico</v>
      </c>
    </row>
    <row r="19" spans="1:40">
      <c r="A19" s="63" t="e">
        <f>Inicial!#REF!</f>
        <v>#REF!</v>
      </c>
      <c r="B19" s="64" t="e">
        <f>Inicial!#REF!</f>
        <v>#REF!</v>
      </c>
      <c r="C19" s="64" t="e">
        <f>Inicial!#REF!</f>
        <v>#REF!</v>
      </c>
      <c r="D19" s="65" t="e">
        <f>Inicial!#REF!</f>
        <v>#REF!</v>
      </c>
      <c r="E19" s="63" t="e">
        <f>IF(Inicial!#REF!="SI",Inicial!#REF!,"N/A")</f>
        <v>#REF!</v>
      </c>
      <c r="F19" s="64" t="e">
        <f>IF(Inicial!#REF!="SI",Inicial!#REF!,"N/A")</f>
        <v>#REF!</v>
      </c>
      <c r="G19" s="64" t="e">
        <f>IF(Inicial!#REF!="SI",Inicial!#REF!,"N/A")</f>
        <v>#REF!</v>
      </c>
      <c r="H19" s="64" t="e">
        <f>IF(Inicial!#REF!="SI",Inicial!#REF!,"N/A")</f>
        <v>#REF!</v>
      </c>
      <c r="I19" s="66" t="e">
        <f>IF(Inicial!#REF!="SI",Inicial!#REF!,"N/A")</f>
        <v>#REF!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2" t="str" cm="1">
        <f t="array" ref="W19">IF(OR(M19:V19="NO"),"No aceptable","Aceptable")</f>
        <v>Aceptable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3" t="str" cm="1">
        <f t="array" ref="AN19">IF(OR(AA19:AM19="SI"),"Critico","No Critico")</f>
        <v>No Critico</v>
      </c>
    </row>
    <row r="20" spans="1:40">
      <c r="A20" s="63" t="e">
        <f>Inicial!#REF!</f>
        <v>#REF!</v>
      </c>
      <c r="B20" s="64" t="e">
        <f>Inicial!#REF!</f>
        <v>#REF!</v>
      </c>
      <c r="C20" s="64" t="e">
        <f>Inicial!#REF!</f>
        <v>#REF!</v>
      </c>
      <c r="D20" s="65" t="e">
        <f>Inicial!#REF!</f>
        <v>#REF!</v>
      </c>
      <c r="E20" s="63" t="e">
        <f>IF(Inicial!#REF!="SI",Inicial!#REF!,"N/A")</f>
        <v>#REF!</v>
      </c>
      <c r="F20" s="64" t="e">
        <f>IF(Inicial!#REF!="SI",Inicial!#REF!,"N/A")</f>
        <v>#REF!</v>
      </c>
      <c r="G20" s="64" t="e">
        <f>IF(Inicial!#REF!="SI",Inicial!#REF!,"N/A")</f>
        <v>#REF!</v>
      </c>
      <c r="H20" s="64" t="e">
        <f>IF(Inicial!#REF!="SI",Inicial!#REF!,"N/A")</f>
        <v>#REF!</v>
      </c>
      <c r="I20" s="66" t="e">
        <f>IF(Inicial!#REF!="SI",Inicial!#REF!,"N/A")</f>
        <v>#REF!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 t="str" cm="1">
        <f t="array" ref="W20">IF(OR(M20:V20="NO"),"No aceptable","Aceptable")</f>
        <v>Aceptable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3" t="str" cm="1">
        <f t="array" ref="AN20">IF(OR(AA20:AM20="SI"),"Critico","No Critico")</f>
        <v>No Critico</v>
      </c>
    </row>
    <row r="21" spans="1:40">
      <c r="A21" s="63" t="e">
        <f>Inicial!#REF!</f>
        <v>#REF!</v>
      </c>
      <c r="B21" s="64" t="e">
        <f>Inicial!#REF!</f>
        <v>#REF!</v>
      </c>
      <c r="C21" s="64" t="e">
        <f>Inicial!#REF!</f>
        <v>#REF!</v>
      </c>
      <c r="D21" s="65" t="e">
        <f>Inicial!#REF!</f>
        <v>#REF!</v>
      </c>
      <c r="E21" s="63" t="e">
        <f>IF(Inicial!#REF!="SI",Inicial!#REF!,"N/A")</f>
        <v>#REF!</v>
      </c>
      <c r="F21" s="64" t="e">
        <f>IF(Inicial!#REF!="SI",Inicial!#REF!,"N/A")</f>
        <v>#REF!</v>
      </c>
      <c r="G21" s="64" t="e">
        <f>IF(Inicial!#REF!="SI",Inicial!#REF!,"N/A")</f>
        <v>#REF!</v>
      </c>
      <c r="H21" s="64" t="e">
        <f>IF(Inicial!#REF!="SI",Inicial!#REF!,"N/A")</f>
        <v>#REF!</v>
      </c>
      <c r="I21" s="66" t="e">
        <f>IF(Inicial!#REF!="SI",Inicial!#REF!,"N/A")</f>
        <v>#REF!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2" t="str" cm="1">
        <f t="array" ref="W21">IF(OR(M21:V21="NO"),"No aceptable","Aceptable")</f>
        <v>Aceptable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3" t="str" cm="1">
        <f t="array" ref="AN21">IF(OR(AA21:AM21="SI"),"Critico","No Critico")</f>
        <v>No Critico</v>
      </c>
    </row>
    <row r="22" spans="1:40">
      <c r="A22" s="63" t="e">
        <f>Inicial!#REF!</f>
        <v>#REF!</v>
      </c>
      <c r="B22" s="64" t="e">
        <f>Inicial!#REF!</f>
        <v>#REF!</v>
      </c>
      <c r="C22" s="64" t="e">
        <f>Inicial!#REF!</f>
        <v>#REF!</v>
      </c>
      <c r="D22" s="65" t="e">
        <f>Inicial!#REF!</f>
        <v>#REF!</v>
      </c>
      <c r="E22" s="63" t="e">
        <f>IF(Inicial!#REF!="SI",Inicial!#REF!,"N/A")</f>
        <v>#REF!</v>
      </c>
      <c r="F22" s="64" t="e">
        <f>IF(Inicial!#REF!="SI",Inicial!#REF!,"N/A")</f>
        <v>#REF!</v>
      </c>
      <c r="G22" s="64" t="e">
        <f>IF(Inicial!#REF!="SI",Inicial!#REF!,"N/A")</f>
        <v>#REF!</v>
      </c>
      <c r="H22" s="64" t="e">
        <f>IF(Inicial!#REF!="SI",Inicial!#REF!,"N/A")</f>
        <v>#REF!</v>
      </c>
      <c r="I22" s="66" t="e">
        <f>IF(Inicial!#REF!="SI",Inicial!#REF!,"N/A")</f>
        <v>#REF!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2" t="str" cm="1">
        <f t="array" ref="W22">IF(OR(M22:V22="NO"),"No aceptable","Aceptable")</f>
        <v>Aceptable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3" t="str" cm="1">
        <f t="array" ref="AN22">IF(OR(AA22:AM22="SI"),"Critico","No Critico")</f>
        <v>No Critico</v>
      </c>
    </row>
    <row r="23" spans="1:40">
      <c r="A23" s="63" t="e">
        <f>Inicial!#REF!</f>
        <v>#REF!</v>
      </c>
      <c r="B23" s="64" t="e">
        <f>Inicial!#REF!</f>
        <v>#REF!</v>
      </c>
      <c r="C23" s="64" t="e">
        <f>Inicial!#REF!</f>
        <v>#REF!</v>
      </c>
      <c r="D23" s="65" t="e">
        <f>Inicial!#REF!</f>
        <v>#REF!</v>
      </c>
      <c r="E23" s="63" t="e">
        <f>IF(Inicial!#REF!="SI",Inicial!#REF!,"N/A")</f>
        <v>#REF!</v>
      </c>
      <c r="F23" s="64" t="e">
        <f>IF(Inicial!#REF!="SI",Inicial!#REF!,"N/A")</f>
        <v>#REF!</v>
      </c>
      <c r="G23" s="64" t="e">
        <f>IF(Inicial!#REF!="SI",Inicial!#REF!,"N/A")</f>
        <v>#REF!</v>
      </c>
      <c r="H23" s="64" t="e">
        <f>IF(Inicial!#REF!="SI",Inicial!#REF!,"N/A")</f>
        <v>#REF!</v>
      </c>
      <c r="I23" s="66" t="e">
        <f>IF(Inicial!#REF!="SI",Inicial!#REF!,"N/A")</f>
        <v>#REF!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 t="str" cm="1">
        <f t="array" ref="W23">IF(OR(M23:V23="NO"),"No aceptable","Aceptable")</f>
        <v>Aceptable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3" t="str" cm="1">
        <f t="array" ref="AN23">IF(OR(AA23:AM23="SI"),"Critico","No Critico")</f>
        <v>No Critico</v>
      </c>
    </row>
    <row r="24" spans="1:40">
      <c r="A24" s="63" t="e">
        <f>Inicial!#REF!</f>
        <v>#REF!</v>
      </c>
      <c r="B24" s="64" t="e">
        <f>Inicial!#REF!</f>
        <v>#REF!</v>
      </c>
      <c r="C24" s="64" t="e">
        <f>Inicial!#REF!</f>
        <v>#REF!</v>
      </c>
      <c r="D24" s="65" t="e">
        <f>Inicial!#REF!</f>
        <v>#REF!</v>
      </c>
      <c r="E24" s="63" t="e">
        <f>IF(Inicial!#REF!="SI",Inicial!#REF!,"N/A")</f>
        <v>#REF!</v>
      </c>
      <c r="F24" s="64" t="e">
        <f>IF(Inicial!#REF!="SI",Inicial!#REF!,"N/A")</f>
        <v>#REF!</v>
      </c>
      <c r="G24" s="64" t="e">
        <f>IF(Inicial!#REF!="SI",Inicial!#REF!,"N/A")</f>
        <v>#REF!</v>
      </c>
      <c r="H24" s="64" t="e">
        <f>IF(Inicial!#REF!="SI",Inicial!#REF!,"N/A")</f>
        <v>#REF!</v>
      </c>
      <c r="I24" s="66" t="e">
        <f>IF(Inicial!#REF!="SI",Inicial!#REF!,"N/A")</f>
        <v>#REF!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 t="str" cm="1">
        <f t="array" ref="W24">IF(OR(M24:V24="NO"),"No aceptable","Aceptable")</f>
        <v>Aceptable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3" t="str" cm="1">
        <f t="array" ref="AN24">IF(OR(AA24:AM24="SI"),"Critico","No Critico")</f>
        <v>No Critico</v>
      </c>
    </row>
    <row r="25" spans="1:40">
      <c r="A25" s="63" t="e">
        <f>Inicial!#REF!</f>
        <v>#REF!</v>
      </c>
      <c r="B25" s="64" t="e">
        <f>Inicial!#REF!</f>
        <v>#REF!</v>
      </c>
      <c r="C25" s="64" t="e">
        <f>Inicial!#REF!</f>
        <v>#REF!</v>
      </c>
      <c r="D25" s="65" t="e">
        <f>Inicial!#REF!</f>
        <v>#REF!</v>
      </c>
      <c r="E25" s="63" t="e">
        <f>IF(Inicial!#REF!="SI",Inicial!#REF!,"N/A")</f>
        <v>#REF!</v>
      </c>
      <c r="F25" s="64" t="e">
        <f>IF(Inicial!#REF!="SI",Inicial!#REF!,"N/A")</f>
        <v>#REF!</v>
      </c>
      <c r="G25" s="64" t="e">
        <f>IF(Inicial!#REF!="SI",Inicial!#REF!,"N/A")</f>
        <v>#REF!</v>
      </c>
      <c r="H25" s="64" t="e">
        <f>IF(Inicial!#REF!="SI",Inicial!#REF!,"N/A")</f>
        <v>#REF!</v>
      </c>
      <c r="I25" s="66" t="e">
        <f>IF(Inicial!#REF!="SI",Inicial!#REF!,"N/A")</f>
        <v>#REF!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2" t="str" cm="1">
        <f t="array" ref="W25">IF(OR(M25:V25="NO"),"No aceptable","Aceptable")</f>
        <v>Aceptable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3" t="str" cm="1">
        <f t="array" ref="AN25">IF(OR(AA25:AM25="SI"),"Critico","No Critico")</f>
        <v>No Critico</v>
      </c>
    </row>
    <row r="26" spans="1:40">
      <c r="A26" s="63" t="e">
        <f>Inicial!#REF!</f>
        <v>#REF!</v>
      </c>
      <c r="B26" s="64" t="e">
        <f>Inicial!#REF!</f>
        <v>#REF!</v>
      </c>
      <c r="C26" s="64" t="e">
        <f>Inicial!#REF!</f>
        <v>#REF!</v>
      </c>
      <c r="D26" s="65" t="e">
        <f>Inicial!#REF!</f>
        <v>#REF!</v>
      </c>
      <c r="E26" s="63" t="e">
        <f>IF(Inicial!#REF!="SI",Inicial!#REF!,"N/A")</f>
        <v>#REF!</v>
      </c>
      <c r="F26" s="64" t="e">
        <f>IF(Inicial!#REF!="SI",Inicial!#REF!,"N/A")</f>
        <v>#REF!</v>
      </c>
      <c r="G26" s="64" t="e">
        <f>IF(Inicial!#REF!="SI",Inicial!#REF!,"N/A")</f>
        <v>#REF!</v>
      </c>
      <c r="H26" s="64" t="e">
        <f>IF(Inicial!#REF!="SI",Inicial!#REF!,"N/A")</f>
        <v>#REF!</v>
      </c>
      <c r="I26" s="66" t="e">
        <f>IF(Inicial!#REF!="SI",Inicial!#REF!,"N/A")</f>
        <v>#REF!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 t="str" cm="1">
        <f t="array" ref="W26">IF(OR(M26:V26="NO"),"No aceptable","Aceptable")</f>
        <v>Aceptable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3" t="str" cm="1">
        <f t="array" ref="AN26">IF(OR(AA26:AM26="SI"),"Critico","No Critico")</f>
        <v>No Critico</v>
      </c>
    </row>
    <row r="27" spans="1:40">
      <c r="A27" s="63" t="e">
        <f>Inicial!#REF!</f>
        <v>#REF!</v>
      </c>
      <c r="B27" s="64" t="e">
        <f>Inicial!#REF!</f>
        <v>#REF!</v>
      </c>
      <c r="C27" s="64" t="e">
        <f>Inicial!#REF!</f>
        <v>#REF!</v>
      </c>
      <c r="D27" s="65" t="e">
        <f>Inicial!#REF!</f>
        <v>#REF!</v>
      </c>
      <c r="E27" s="63" t="e">
        <f>IF(Inicial!#REF!="SI",Inicial!#REF!,"N/A")</f>
        <v>#REF!</v>
      </c>
      <c r="F27" s="64" t="e">
        <f>IF(Inicial!#REF!="SI",Inicial!#REF!,"N/A")</f>
        <v>#REF!</v>
      </c>
      <c r="G27" s="64" t="e">
        <f>IF(Inicial!#REF!="SI",Inicial!#REF!,"N/A")</f>
        <v>#REF!</v>
      </c>
      <c r="H27" s="64" t="e">
        <f>IF(Inicial!#REF!="SI",Inicial!#REF!,"N/A")</f>
        <v>#REF!</v>
      </c>
      <c r="I27" s="66" t="e">
        <f>IF(Inicial!#REF!="SI",Inicial!#REF!,"N/A")</f>
        <v>#REF!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 t="str" cm="1">
        <f t="array" ref="W27">IF(OR(M27:V27="NO"),"No aceptable","Aceptable")</f>
        <v>Aceptable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3" t="str" cm="1">
        <f t="array" ref="AN27">IF(OR(AA27:AM27="SI"),"Critico","No Critico")</f>
        <v>No Critico</v>
      </c>
    </row>
    <row r="28" spans="1:40">
      <c r="A28" s="63" t="e">
        <f>Inicial!#REF!</f>
        <v>#REF!</v>
      </c>
      <c r="B28" s="64" t="e">
        <f>Inicial!#REF!</f>
        <v>#REF!</v>
      </c>
      <c r="C28" s="64" t="e">
        <f>Inicial!#REF!</f>
        <v>#REF!</v>
      </c>
      <c r="D28" s="65" t="e">
        <f>Inicial!#REF!</f>
        <v>#REF!</v>
      </c>
      <c r="E28" s="63" t="e">
        <f>IF(Inicial!#REF!="SI",Inicial!#REF!,"N/A")</f>
        <v>#REF!</v>
      </c>
      <c r="F28" s="64" t="e">
        <f>IF(Inicial!#REF!="SI",Inicial!#REF!,"N/A")</f>
        <v>#REF!</v>
      </c>
      <c r="G28" s="64" t="e">
        <f>IF(Inicial!#REF!="SI",Inicial!#REF!,"N/A")</f>
        <v>#REF!</v>
      </c>
      <c r="H28" s="64" t="e">
        <f>IF(Inicial!#REF!="SI",Inicial!#REF!,"N/A")</f>
        <v>#REF!</v>
      </c>
      <c r="I28" s="66" t="e">
        <f>IF(Inicial!#REF!="SI",Inicial!#REF!,"N/A")</f>
        <v>#REF!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2" t="str" cm="1">
        <f t="array" ref="W28">IF(OR(M28:V28="NO"),"No aceptable","Aceptable")</f>
        <v>Aceptable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3" t="str" cm="1">
        <f t="array" ref="AN28">IF(OR(AA28:AM28="SI"),"Critico","No Critico")</f>
        <v>No Critico</v>
      </c>
    </row>
    <row r="29" spans="1:40">
      <c r="A29" s="63" t="e">
        <f>Inicial!#REF!</f>
        <v>#REF!</v>
      </c>
      <c r="B29" s="64" t="e">
        <f>Inicial!#REF!</f>
        <v>#REF!</v>
      </c>
      <c r="C29" s="64" t="e">
        <f>Inicial!#REF!</f>
        <v>#REF!</v>
      </c>
      <c r="D29" s="65" t="e">
        <f>Inicial!#REF!</f>
        <v>#REF!</v>
      </c>
      <c r="E29" s="63" t="e">
        <f>IF(Inicial!#REF!="SI",Inicial!#REF!,"N/A")</f>
        <v>#REF!</v>
      </c>
      <c r="F29" s="64" t="e">
        <f>IF(Inicial!#REF!="SI",Inicial!#REF!,"N/A")</f>
        <v>#REF!</v>
      </c>
      <c r="G29" s="64" t="e">
        <f>IF(Inicial!#REF!="SI",Inicial!#REF!,"N/A")</f>
        <v>#REF!</v>
      </c>
      <c r="H29" s="64" t="e">
        <f>IF(Inicial!#REF!="SI",Inicial!#REF!,"N/A")</f>
        <v>#REF!</v>
      </c>
      <c r="I29" s="66" t="e">
        <f>IF(Inicial!#REF!="SI",Inicial!#REF!,"N/A")</f>
        <v>#REF!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2" t="str" cm="1">
        <f t="array" ref="W29">IF(OR(M29:V29="NO"),"No aceptable","Aceptable")</f>
        <v>Aceptable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3" t="str" cm="1">
        <f t="array" ref="AN29">IF(OR(AA29:AM29="SI"),"Critico","No Critico")</f>
        <v>No Critico</v>
      </c>
    </row>
    <row r="30" spans="1:40">
      <c r="A30" s="63" t="e">
        <f>Inicial!#REF!</f>
        <v>#REF!</v>
      </c>
      <c r="B30" s="64" t="e">
        <f>Inicial!#REF!</f>
        <v>#REF!</v>
      </c>
      <c r="C30" s="64" t="e">
        <f>Inicial!#REF!</f>
        <v>#REF!</v>
      </c>
      <c r="D30" s="65" t="e">
        <f>Inicial!#REF!</f>
        <v>#REF!</v>
      </c>
      <c r="E30" s="63" t="e">
        <f>IF(Inicial!#REF!="SI",Inicial!#REF!,"N/A")</f>
        <v>#REF!</v>
      </c>
      <c r="F30" s="64" t="e">
        <f>IF(Inicial!#REF!="SI",Inicial!#REF!,"N/A")</f>
        <v>#REF!</v>
      </c>
      <c r="G30" s="64" t="e">
        <f>IF(Inicial!#REF!="SI",Inicial!#REF!,"N/A")</f>
        <v>#REF!</v>
      </c>
      <c r="H30" s="64" t="e">
        <f>IF(Inicial!#REF!="SI",Inicial!#REF!,"N/A")</f>
        <v>#REF!</v>
      </c>
      <c r="I30" s="66" t="e">
        <f>IF(Inicial!#REF!="SI",Inicial!#REF!,"N/A")</f>
        <v>#REF!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 t="str" cm="1">
        <f t="array" ref="W30">IF(OR(M30:V30="NO"),"No aceptable","Aceptable")</f>
        <v>Aceptable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3" t="str" cm="1">
        <f t="array" ref="AN30">IF(OR(AA30:AM30="SI"),"Critico","No Critico")</f>
        <v>No Critico</v>
      </c>
    </row>
    <row r="31" spans="1:40">
      <c r="A31" s="63" t="e">
        <f>Inicial!#REF!</f>
        <v>#REF!</v>
      </c>
      <c r="B31" s="64" t="e">
        <f>Inicial!#REF!</f>
        <v>#REF!</v>
      </c>
      <c r="C31" s="64" t="e">
        <f>Inicial!#REF!</f>
        <v>#REF!</v>
      </c>
      <c r="D31" s="65" t="e">
        <f>Inicial!#REF!</f>
        <v>#REF!</v>
      </c>
      <c r="E31" s="63" t="e">
        <f>IF(Inicial!#REF!="SI",Inicial!#REF!,"N/A")</f>
        <v>#REF!</v>
      </c>
      <c r="F31" s="64" t="e">
        <f>IF(Inicial!#REF!="SI",Inicial!#REF!,"N/A")</f>
        <v>#REF!</v>
      </c>
      <c r="G31" s="64" t="e">
        <f>IF(Inicial!#REF!="SI",Inicial!#REF!,"N/A")</f>
        <v>#REF!</v>
      </c>
      <c r="H31" s="64" t="e">
        <f>IF(Inicial!#REF!="SI",Inicial!#REF!,"N/A")</f>
        <v>#REF!</v>
      </c>
      <c r="I31" s="66" t="e">
        <f>IF(Inicial!#REF!="SI",Inicial!#REF!,"N/A")</f>
        <v>#REF!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2" t="str" cm="1">
        <f t="array" ref="W31">IF(OR(M31:V31="NO"),"No aceptable","Aceptable")</f>
        <v>Aceptable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3" t="str" cm="1">
        <f t="array" ref="AN31">IF(OR(AA31:AM31="SI"),"Critico","No Critico")</f>
        <v>No Critico</v>
      </c>
    </row>
    <row r="32" spans="1:40">
      <c r="A32" s="63" t="e">
        <f>Inicial!#REF!</f>
        <v>#REF!</v>
      </c>
      <c r="B32" s="64" t="e">
        <f>Inicial!#REF!</f>
        <v>#REF!</v>
      </c>
      <c r="C32" s="64" t="e">
        <f>Inicial!#REF!</f>
        <v>#REF!</v>
      </c>
      <c r="D32" s="65" t="e">
        <f>Inicial!#REF!</f>
        <v>#REF!</v>
      </c>
      <c r="E32" s="63" t="e">
        <f>IF(Inicial!#REF!="SI",Inicial!#REF!,"N/A")</f>
        <v>#REF!</v>
      </c>
      <c r="F32" s="64" t="e">
        <f>IF(Inicial!#REF!="SI",Inicial!#REF!,"N/A")</f>
        <v>#REF!</v>
      </c>
      <c r="G32" s="64" t="e">
        <f>IF(Inicial!#REF!="SI",Inicial!#REF!,"N/A")</f>
        <v>#REF!</v>
      </c>
      <c r="H32" s="64" t="e">
        <f>IF(Inicial!#REF!="SI",Inicial!#REF!,"N/A")</f>
        <v>#REF!</v>
      </c>
      <c r="I32" s="66" t="e">
        <f>IF(Inicial!#REF!="SI",Inicial!#REF!,"N/A")</f>
        <v>#REF!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 t="str" cm="1">
        <f t="array" ref="W32">IF(OR(M32:V32="NO"),"No aceptable","Aceptable")</f>
        <v>Aceptable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3" t="str" cm="1">
        <f t="array" ref="AN32">IF(OR(AA32:AM32="SI"),"Critico","No Critico")</f>
        <v>No Critico</v>
      </c>
    </row>
    <row r="33" spans="1:40">
      <c r="A33" s="63" t="e">
        <f>Inicial!#REF!</f>
        <v>#REF!</v>
      </c>
      <c r="B33" s="64" t="e">
        <f>Inicial!#REF!</f>
        <v>#REF!</v>
      </c>
      <c r="C33" s="64" t="e">
        <f>Inicial!#REF!</f>
        <v>#REF!</v>
      </c>
      <c r="D33" s="65" t="e">
        <f>Inicial!#REF!</f>
        <v>#REF!</v>
      </c>
      <c r="E33" s="63" t="e">
        <f>IF(Inicial!#REF!="SI",Inicial!#REF!,"N/A")</f>
        <v>#REF!</v>
      </c>
      <c r="F33" s="64" t="e">
        <f>IF(Inicial!#REF!="SI",Inicial!#REF!,"N/A")</f>
        <v>#REF!</v>
      </c>
      <c r="G33" s="64" t="e">
        <f>IF(Inicial!#REF!="SI",Inicial!#REF!,"N/A")</f>
        <v>#REF!</v>
      </c>
      <c r="H33" s="64" t="e">
        <f>IF(Inicial!#REF!="SI",Inicial!#REF!,"N/A")</f>
        <v>#REF!</v>
      </c>
      <c r="I33" s="66" t="e">
        <f>IF(Inicial!#REF!="SI",Inicial!#REF!,"N/A")</f>
        <v>#REF!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2" t="str" cm="1">
        <f t="array" ref="W33">IF(OR(M33:V33="NO"),"No aceptable","Aceptable")</f>
        <v>Aceptable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3" t="str" cm="1">
        <f t="array" ref="AN33">IF(OR(AA33:AM33="SI"),"Critico","No Critico")</f>
        <v>No Critico</v>
      </c>
    </row>
    <row r="34" spans="1:40">
      <c r="A34" s="63" t="e">
        <f>Inicial!#REF!</f>
        <v>#REF!</v>
      </c>
      <c r="B34" s="64" t="e">
        <f>Inicial!#REF!</f>
        <v>#REF!</v>
      </c>
      <c r="C34" s="64" t="e">
        <f>Inicial!#REF!</f>
        <v>#REF!</v>
      </c>
      <c r="D34" s="65" t="e">
        <f>Inicial!#REF!</f>
        <v>#REF!</v>
      </c>
      <c r="E34" s="63" t="e">
        <f>IF(Inicial!#REF!="SI",Inicial!#REF!,"N/A")</f>
        <v>#REF!</v>
      </c>
      <c r="F34" s="64" t="e">
        <f>IF(Inicial!#REF!="SI",Inicial!#REF!,"N/A")</f>
        <v>#REF!</v>
      </c>
      <c r="G34" s="64" t="e">
        <f>IF(Inicial!#REF!="SI",Inicial!#REF!,"N/A")</f>
        <v>#REF!</v>
      </c>
      <c r="H34" s="64" t="e">
        <f>IF(Inicial!#REF!="SI",Inicial!#REF!,"N/A")</f>
        <v>#REF!</v>
      </c>
      <c r="I34" s="66" t="e">
        <f>IF(Inicial!#REF!="SI",Inicial!#REF!,"N/A")</f>
        <v>#REF!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 t="str" cm="1">
        <f t="array" ref="W34">IF(OR(M34:V34="NO"),"No aceptable","Aceptable")</f>
        <v>Aceptable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3" t="str" cm="1">
        <f t="array" ref="AN34">IF(OR(AA34:AM34="SI"),"Critico","No Critico")</f>
        <v>No Critico</v>
      </c>
    </row>
    <row r="35" spans="1:40">
      <c r="A35" s="63" t="e">
        <f>Inicial!#REF!</f>
        <v>#REF!</v>
      </c>
      <c r="B35" s="64" t="e">
        <f>Inicial!#REF!</f>
        <v>#REF!</v>
      </c>
      <c r="C35" s="64" t="e">
        <f>Inicial!#REF!</f>
        <v>#REF!</v>
      </c>
      <c r="D35" s="65" t="e">
        <f>Inicial!#REF!</f>
        <v>#REF!</v>
      </c>
      <c r="E35" s="63" t="e">
        <f>IF(Inicial!#REF!="SI",Inicial!#REF!,"N/A")</f>
        <v>#REF!</v>
      </c>
      <c r="F35" s="64" t="e">
        <f>IF(Inicial!#REF!="SI",Inicial!#REF!,"N/A")</f>
        <v>#REF!</v>
      </c>
      <c r="G35" s="64" t="e">
        <f>IF(Inicial!#REF!="SI",Inicial!#REF!,"N/A")</f>
        <v>#REF!</v>
      </c>
      <c r="H35" s="64" t="e">
        <f>IF(Inicial!#REF!="SI",Inicial!#REF!,"N/A")</f>
        <v>#REF!</v>
      </c>
      <c r="I35" s="66" t="e">
        <f>IF(Inicial!#REF!="SI",Inicial!#REF!,"N/A")</f>
        <v>#REF!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 t="str" cm="1">
        <f t="array" ref="W35">IF(OR(M35:V35="NO"),"No aceptable","Aceptable")</f>
        <v>Aceptable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3" t="str" cm="1">
        <f t="array" ref="AN35">IF(OR(AA35:AM35="SI"),"Critico","No Critico")</f>
        <v>No Critico</v>
      </c>
    </row>
    <row r="36" spans="1:40">
      <c r="A36" s="63" t="e">
        <f>Inicial!#REF!</f>
        <v>#REF!</v>
      </c>
      <c r="B36" s="64" t="e">
        <f>Inicial!#REF!</f>
        <v>#REF!</v>
      </c>
      <c r="C36" s="64" t="e">
        <f>Inicial!#REF!</f>
        <v>#REF!</v>
      </c>
      <c r="D36" s="65" t="e">
        <f>Inicial!#REF!</f>
        <v>#REF!</v>
      </c>
      <c r="E36" s="63" t="e">
        <f>IF(Inicial!#REF!="SI",Inicial!#REF!,"N/A")</f>
        <v>#REF!</v>
      </c>
      <c r="F36" s="64" t="e">
        <f>IF(Inicial!#REF!="SI",Inicial!#REF!,"N/A")</f>
        <v>#REF!</v>
      </c>
      <c r="G36" s="64" t="e">
        <f>IF(Inicial!#REF!="SI",Inicial!#REF!,"N/A")</f>
        <v>#REF!</v>
      </c>
      <c r="H36" s="64" t="e">
        <f>IF(Inicial!#REF!="SI",Inicial!#REF!,"N/A")</f>
        <v>#REF!</v>
      </c>
      <c r="I36" s="66" t="e">
        <f>IF(Inicial!#REF!="SI",Inicial!#REF!,"N/A")</f>
        <v>#REF!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2" t="str" cm="1">
        <f t="array" ref="W36">IF(OR(M36:V36="NO"),"No aceptable","Aceptable")</f>
        <v>Aceptable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3" t="str" cm="1">
        <f t="array" ref="AN36">IF(OR(AA36:AM36="SI"),"Critico","No Critico")</f>
        <v>No Critico</v>
      </c>
    </row>
    <row r="37" spans="1:40">
      <c r="A37" s="63" t="e">
        <f>Inicial!#REF!</f>
        <v>#REF!</v>
      </c>
      <c r="B37" s="64" t="e">
        <f>Inicial!#REF!</f>
        <v>#REF!</v>
      </c>
      <c r="C37" s="64" t="e">
        <f>Inicial!#REF!</f>
        <v>#REF!</v>
      </c>
      <c r="D37" s="65" t="e">
        <f>Inicial!#REF!</f>
        <v>#REF!</v>
      </c>
      <c r="E37" s="63" t="e">
        <f>IF(Inicial!#REF!="SI",Inicial!#REF!,"N/A")</f>
        <v>#REF!</v>
      </c>
      <c r="F37" s="64" t="e">
        <f>IF(Inicial!#REF!="SI",Inicial!#REF!,"N/A")</f>
        <v>#REF!</v>
      </c>
      <c r="G37" s="64" t="e">
        <f>IF(Inicial!#REF!="SI",Inicial!#REF!,"N/A")</f>
        <v>#REF!</v>
      </c>
      <c r="H37" s="64" t="e">
        <f>IF(Inicial!#REF!="SI",Inicial!#REF!,"N/A")</f>
        <v>#REF!</v>
      </c>
      <c r="I37" s="66" t="e">
        <f>IF(Inicial!#REF!="SI",Inicial!#REF!,"N/A")</f>
        <v>#REF!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 t="str" cm="1">
        <f t="array" ref="W37">IF(OR(M37:V37="NO"),"No aceptable","Aceptable")</f>
        <v>Aceptable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3" t="str" cm="1">
        <f t="array" ref="AN37">IF(OR(AA37:AM37="SI"),"Critico","No Critico")</f>
        <v>No Critico</v>
      </c>
    </row>
    <row r="38" spans="1:40">
      <c r="A38" s="63" t="e">
        <f>Inicial!#REF!</f>
        <v>#REF!</v>
      </c>
      <c r="B38" s="64" t="e">
        <f>Inicial!#REF!</f>
        <v>#REF!</v>
      </c>
      <c r="C38" s="64" t="e">
        <f>Inicial!#REF!</f>
        <v>#REF!</v>
      </c>
      <c r="D38" s="65" t="e">
        <f>Inicial!#REF!</f>
        <v>#REF!</v>
      </c>
      <c r="E38" s="63" t="e">
        <f>IF(Inicial!#REF!="SI",Inicial!#REF!,"N/A")</f>
        <v>#REF!</v>
      </c>
      <c r="F38" s="64" t="e">
        <f>IF(Inicial!#REF!="SI",Inicial!#REF!,"N/A")</f>
        <v>#REF!</v>
      </c>
      <c r="G38" s="64" t="e">
        <f>IF(Inicial!#REF!="SI",Inicial!#REF!,"N/A")</f>
        <v>#REF!</v>
      </c>
      <c r="H38" s="64" t="e">
        <f>IF(Inicial!#REF!="SI",Inicial!#REF!,"N/A")</f>
        <v>#REF!</v>
      </c>
      <c r="I38" s="66" t="e">
        <f>IF(Inicial!#REF!="SI",Inicial!#REF!,"N/A")</f>
        <v>#REF!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2" t="str" cm="1">
        <f t="array" ref="W38">IF(OR(M38:V38="NO"),"No aceptable","Aceptable")</f>
        <v>Aceptable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3" t="str" cm="1">
        <f t="array" ref="AN38">IF(OR(AA38:AM38="SI"),"Critico","No Critico")</f>
        <v>No Critico</v>
      </c>
    </row>
    <row r="39" spans="1:40">
      <c r="A39" s="63" t="e">
        <f>Inicial!#REF!</f>
        <v>#REF!</v>
      </c>
      <c r="B39" s="64" t="e">
        <f>Inicial!#REF!</f>
        <v>#REF!</v>
      </c>
      <c r="C39" s="64" t="e">
        <f>Inicial!#REF!</f>
        <v>#REF!</v>
      </c>
      <c r="D39" s="65" t="e">
        <f>Inicial!#REF!</f>
        <v>#REF!</v>
      </c>
      <c r="E39" s="63" t="e">
        <f>IF(Inicial!#REF!="SI",Inicial!#REF!,"N/A")</f>
        <v>#REF!</v>
      </c>
      <c r="F39" s="64" t="e">
        <f>IF(Inicial!#REF!="SI",Inicial!#REF!,"N/A")</f>
        <v>#REF!</v>
      </c>
      <c r="G39" s="64" t="e">
        <f>IF(Inicial!#REF!="SI",Inicial!#REF!,"N/A")</f>
        <v>#REF!</v>
      </c>
      <c r="H39" s="64" t="e">
        <f>IF(Inicial!#REF!="SI",Inicial!#REF!,"N/A")</f>
        <v>#REF!</v>
      </c>
      <c r="I39" s="66" t="e">
        <f>IF(Inicial!#REF!="SI",Inicial!#REF!,"N/A")</f>
        <v>#REF!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2" t="str" cm="1">
        <f t="array" ref="W39">IF(OR(M39:V39="NO"),"No aceptable","Aceptable")</f>
        <v>Aceptable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3" t="str" cm="1">
        <f t="array" ref="AN39">IF(OR(AA39:AM39="SI"),"Critico","No Critico")</f>
        <v>No Critico</v>
      </c>
    </row>
    <row r="40" spans="1:40">
      <c r="A40" s="63" t="e">
        <f>Inicial!#REF!</f>
        <v>#REF!</v>
      </c>
      <c r="B40" s="64" t="e">
        <f>Inicial!#REF!</f>
        <v>#REF!</v>
      </c>
      <c r="C40" s="64" t="e">
        <f>Inicial!#REF!</f>
        <v>#REF!</v>
      </c>
      <c r="D40" s="65" t="e">
        <f>Inicial!#REF!</f>
        <v>#REF!</v>
      </c>
      <c r="E40" s="63" t="e">
        <f>IF(Inicial!#REF!="SI",Inicial!#REF!,"N/A")</f>
        <v>#REF!</v>
      </c>
      <c r="F40" s="64" t="e">
        <f>IF(Inicial!#REF!="SI",Inicial!#REF!,"N/A")</f>
        <v>#REF!</v>
      </c>
      <c r="G40" s="64" t="e">
        <f>IF(Inicial!#REF!="SI",Inicial!#REF!,"N/A")</f>
        <v>#REF!</v>
      </c>
      <c r="H40" s="64" t="e">
        <f>IF(Inicial!#REF!="SI",Inicial!#REF!,"N/A")</f>
        <v>#REF!</v>
      </c>
      <c r="I40" s="66" t="e">
        <f>IF(Inicial!#REF!="SI",Inicial!#REF!,"N/A")</f>
        <v>#REF!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2" t="str" cm="1">
        <f t="array" ref="W40">IF(OR(M40:V40="NO"),"No aceptable","Aceptable")</f>
        <v>Aceptable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3" t="str" cm="1">
        <f t="array" ref="AN40">IF(OR(AA40:AM40="SI"),"Critico","No Critico")</f>
        <v>No Critico</v>
      </c>
    </row>
    <row r="41" spans="1:40">
      <c r="A41" s="63" t="e">
        <f>Inicial!#REF!</f>
        <v>#REF!</v>
      </c>
      <c r="B41" s="64" t="e">
        <f>Inicial!#REF!</f>
        <v>#REF!</v>
      </c>
      <c r="C41" s="64" t="e">
        <f>Inicial!#REF!</f>
        <v>#REF!</v>
      </c>
      <c r="D41" s="65" t="e">
        <f>Inicial!#REF!</f>
        <v>#REF!</v>
      </c>
      <c r="E41" s="63" t="e">
        <f>IF(Inicial!#REF!="SI",Inicial!#REF!,"N/A")</f>
        <v>#REF!</v>
      </c>
      <c r="F41" s="64" t="e">
        <f>IF(Inicial!#REF!="SI",Inicial!#REF!,"N/A")</f>
        <v>#REF!</v>
      </c>
      <c r="G41" s="64" t="e">
        <f>IF(Inicial!#REF!="SI",Inicial!#REF!,"N/A")</f>
        <v>#REF!</v>
      </c>
      <c r="H41" s="64" t="e">
        <f>IF(Inicial!#REF!="SI",Inicial!#REF!,"N/A")</f>
        <v>#REF!</v>
      </c>
      <c r="I41" s="66" t="e">
        <f>IF(Inicial!#REF!="SI",Inicial!#REF!,"N/A")</f>
        <v>#REF!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2" t="str" cm="1">
        <f t="array" ref="W41">IF(OR(M41:V41="NO"),"No aceptable","Aceptable")</f>
        <v>Aceptable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3" t="str" cm="1">
        <f t="array" ref="AN41">IF(OR(AA41:AM41="SI"),"Critico","No Critico")</f>
        <v>No Critico</v>
      </c>
    </row>
    <row r="42" spans="1:40">
      <c r="A42" s="63" t="e">
        <f>Inicial!#REF!</f>
        <v>#REF!</v>
      </c>
      <c r="B42" s="64" t="e">
        <f>Inicial!#REF!</f>
        <v>#REF!</v>
      </c>
      <c r="C42" s="64" t="e">
        <f>Inicial!#REF!</f>
        <v>#REF!</v>
      </c>
      <c r="D42" s="65" t="e">
        <f>Inicial!#REF!</f>
        <v>#REF!</v>
      </c>
      <c r="E42" s="63" t="e">
        <f>IF(Inicial!#REF!="SI",Inicial!#REF!,"N/A")</f>
        <v>#REF!</v>
      </c>
      <c r="F42" s="64" t="e">
        <f>IF(Inicial!#REF!="SI",Inicial!#REF!,"N/A")</f>
        <v>#REF!</v>
      </c>
      <c r="G42" s="64" t="e">
        <f>IF(Inicial!#REF!="SI",Inicial!#REF!,"N/A")</f>
        <v>#REF!</v>
      </c>
      <c r="H42" s="64" t="e">
        <f>IF(Inicial!#REF!="SI",Inicial!#REF!,"N/A")</f>
        <v>#REF!</v>
      </c>
      <c r="I42" s="66" t="e">
        <f>IF(Inicial!#REF!="SI",Inicial!#REF!,"N/A")</f>
        <v>#REF!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2" t="str" cm="1">
        <f t="array" ref="W42">IF(OR(M42:V42="NO"),"No aceptable","Aceptable")</f>
        <v>Aceptable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3" t="str" cm="1">
        <f t="array" ref="AN42">IF(OR(AA42:AM42="SI"),"Critico","No Critico")</f>
        <v>No Critico</v>
      </c>
    </row>
    <row r="43" spans="1:40">
      <c r="A43" s="63" t="e">
        <f>Inicial!#REF!</f>
        <v>#REF!</v>
      </c>
      <c r="B43" s="64" t="e">
        <f>Inicial!#REF!</f>
        <v>#REF!</v>
      </c>
      <c r="C43" s="64" t="e">
        <f>Inicial!#REF!</f>
        <v>#REF!</v>
      </c>
      <c r="D43" s="65" t="e">
        <f>Inicial!#REF!</f>
        <v>#REF!</v>
      </c>
      <c r="E43" s="63" t="e">
        <f>IF(Inicial!#REF!="SI",Inicial!#REF!,"N/A")</f>
        <v>#REF!</v>
      </c>
      <c r="F43" s="64" t="e">
        <f>IF(Inicial!#REF!="SI",Inicial!#REF!,"N/A")</f>
        <v>#REF!</v>
      </c>
      <c r="G43" s="64" t="e">
        <f>IF(Inicial!#REF!="SI",Inicial!#REF!,"N/A")</f>
        <v>#REF!</v>
      </c>
      <c r="H43" s="64" t="e">
        <f>IF(Inicial!#REF!="SI",Inicial!#REF!,"N/A")</f>
        <v>#REF!</v>
      </c>
      <c r="I43" s="66" t="e">
        <f>IF(Inicial!#REF!="SI",Inicial!#REF!,"N/A")</f>
        <v>#REF!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2" t="str" cm="1">
        <f t="array" ref="W43">IF(OR(M43:V43="NO"),"No aceptable","Aceptable")</f>
        <v>Aceptable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3" t="str" cm="1">
        <f t="array" ref="AN43">IF(OR(AA43:AM43="SI"),"Critico","No Critico")</f>
        <v>No Critico</v>
      </c>
    </row>
    <row r="44" spans="1:40">
      <c r="A44" s="63" t="e">
        <f>Inicial!#REF!</f>
        <v>#REF!</v>
      </c>
      <c r="B44" s="64" t="e">
        <f>Inicial!#REF!</f>
        <v>#REF!</v>
      </c>
      <c r="C44" s="64" t="e">
        <f>Inicial!#REF!</f>
        <v>#REF!</v>
      </c>
      <c r="D44" s="65" t="e">
        <f>Inicial!#REF!</f>
        <v>#REF!</v>
      </c>
      <c r="E44" s="63" t="e">
        <f>IF(Inicial!#REF!="SI",Inicial!#REF!,"N/A")</f>
        <v>#REF!</v>
      </c>
      <c r="F44" s="64" t="e">
        <f>IF(Inicial!#REF!="SI",Inicial!#REF!,"N/A")</f>
        <v>#REF!</v>
      </c>
      <c r="G44" s="64" t="e">
        <f>IF(Inicial!#REF!="SI",Inicial!#REF!,"N/A")</f>
        <v>#REF!</v>
      </c>
      <c r="H44" s="64" t="e">
        <f>IF(Inicial!#REF!="SI",Inicial!#REF!,"N/A")</f>
        <v>#REF!</v>
      </c>
      <c r="I44" s="66" t="e">
        <f>IF(Inicial!#REF!="SI",Inicial!#REF!,"N/A")</f>
        <v>#REF!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2" t="str" cm="1">
        <f t="array" ref="W44">IF(OR(M44:V44="NO"),"No aceptable","Aceptable")</f>
        <v>Aceptable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3" t="str" cm="1">
        <f t="array" ref="AN44">IF(OR(AA44:AM44="SI"),"Critico","No Critico")</f>
        <v>No Critico</v>
      </c>
    </row>
    <row r="45" spans="1:40">
      <c r="A45" s="63" t="e">
        <f>Inicial!#REF!</f>
        <v>#REF!</v>
      </c>
      <c r="B45" s="64" t="e">
        <f>Inicial!#REF!</f>
        <v>#REF!</v>
      </c>
      <c r="C45" s="64" t="e">
        <f>Inicial!#REF!</f>
        <v>#REF!</v>
      </c>
      <c r="D45" s="65" t="e">
        <f>Inicial!#REF!</f>
        <v>#REF!</v>
      </c>
      <c r="E45" s="63" t="e">
        <f>IF(Inicial!#REF!="SI",Inicial!#REF!,"N/A")</f>
        <v>#REF!</v>
      </c>
      <c r="F45" s="64" t="e">
        <f>IF(Inicial!#REF!="SI",Inicial!#REF!,"N/A")</f>
        <v>#REF!</v>
      </c>
      <c r="G45" s="64" t="e">
        <f>IF(Inicial!#REF!="SI",Inicial!#REF!,"N/A")</f>
        <v>#REF!</v>
      </c>
      <c r="H45" s="64" t="e">
        <f>IF(Inicial!#REF!="SI",Inicial!#REF!,"N/A")</f>
        <v>#REF!</v>
      </c>
      <c r="I45" s="66" t="e">
        <f>IF(Inicial!#REF!="SI",Inicial!#REF!,"N/A")</f>
        <v>#REF!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2" t="str" cm="1">
        <f t="array" ref="W45">IF(OR(M45:V45="NO"),"No aceptable","Aceptable")</f>
        <v>Aceptable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3" t="str" cm="1">
        <f t="array" ref="AN45">IF(OR(AA45:AM45="SI"),"Critico","No Critico")</f>
        <v>No Critico</v>
      </c>
    </row>
    <row r="46" spans="1:40">
      <c r="A46" s="63" t="e">
        <f>Inicial!#REF!</f>
        <v>#REF!</v>
      </c>
      <c r="B46" s="64" t="e">
        <f>Inicial!#REF!</f>
        <v>#REF!</v>
      </c>
      <c r="C46" s="64" t="e">
        <f>Inicial!#REF!</f>
        <v>#REF!</v>
      </c>
      <c r="D46" s="65" t="e">
        <f>Inicial!#REF!</f>
        <v>#REF!</v>
      </c>
      <c r="E46" s="63" t="e">
        <f>IF(Inicial!#REF!="SI",Inicial!#REF!,"N/A")</f>
        <v>#REF!</v>
      </c>
      <c r="F46" s="64" t="e">
        <f>IF(Inicial!#REF!="SI",Inicial!#REF!,"N/A")</f>
        <v>#REF!</v>
      </c>
      <c r="G46" s="64" t="e">
        <f>IF(Inicial!#REF!="SI",Inicial!#REF!,"N/A")</f>
        <v>#REF!</v>
      </c>
      <c r="H46" s="64" t="e">
        <f>IF(Inicial!#REF!="SI",Inicial!#REF!,"N/A")</f>
        <v>#REF!</v>
      </c>
      <c r="I46" s="66" t="e">
        <f>IF(Inicial!#REF!="SI",Inicial!#REF!,"N/A")</f>
        <v>#REF!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2" t="str" cm="1">
        <f t="array" ref="W46">IF(OR(M46:V46="NO"),"No aceptable","Aceptable")</f>
        <v>Aceptable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3" t="str" cm="1">
        <f t="array" ref="AN46">IF(OR(AA46:AM46="SI"),"Critico","No Critico")</f>
        <v>No Critico</v>
      </c>
    </row>
    <row r="47" spans="1:40">
      <c r="A47" s="63" t="e">
        <f>Inicial!#REF!</f>
        <v>#REF!</v>
      </c>
      <c r="B47" s="64" t="e">
        <f>Inicial!#REF!</f>
        <v>#REF!</v>
      </c>
      <c r="C47" s="64" t="e">
        <f>Inicial!#REF!</f>
        <v>#REF!</v>
      </c>
      <c r="D47" s="65" t="e">
        <f>Inicial!#REF!</f>
        <v>#REF!</v>
      </c>
      <c r="E47" s="63" t="e">
        <f>IF(Inicial!#REF!="SI",Inicial!#REF!,"N/A")</f>
        <v>#REF!</v>
      </c>
      <c r="F47" s="64" t="e">
        <f>IF(Inicial!#REF!="SI",Inicial!#REF!,"N/A")</f>
        <v>#REF!</v>
      </c>
      <c r="G47" s="64" t="e">
        <f>IF(Inicial!#REF!="SI",Inicial!#REF!,"N/A")</f>
        <v>#REF!</v>
      </c>
      <c r="H47" s="64" t="e">
        <f>IF(Inicial!#REF!="SI",Inicial!#REF!,"N/A")</f>
        <v>#REF!</v>
      </c>
      <c r="I47" s="66" t="e">
        <f>IF(Inicial!#REF!="SI",Inicial!#REF!,"N/A")</f>
        <v>#REF!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2" t="str" cm="1">
        <f t="array" ref="W47">IF(OR(M47:V47="NO"),"No aceptable","Aceptable")</f>
        <v>Aceptable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3" t="str" cm="1">
        <f t="array" ref="AN47">IF(OR(AA47:AM47="SI"),"Critico","No Critico")</f>
        <v>No Critico</v>
      </c>
    </row>
    <row r="48" spans="1:40">
      <c r="A48" s="63">
        <f>Inicial!A10</f>
        <v>0</v>
      </c>
      <c r="B48" s="64">
        <f>Inicial!B10</f>
        <v>0</v>
      </c>
      <c r="C48" s="64">
        <f>Inicial!C10</f>
        <v>0</v>
      </c>
      <c r="D48" s="65">
        <f>Inicial!D10</f>
        <v>0</v>
      </c>
      <c r="E48" s="63" t="str">
        <f>IF(Inicial!M10="SI",Inicial!E10,"N/A")</f>
        <v>N/A</v>
      </c>
      <c r="F48" s="64" t="str">
        <f>IF(Inicial!M10="SI",Inicial!F10,"N/A")</f>
        <v>N/A</v>
      </c>
      <c r="G48" s="64" t="str">
        <f>IF(Inicial!M10="SI",Inicial!G10,"N/A")</f>
        <v>N/A</v>
      </c>
      <c r="H48" s="64" t="str">
        <f>IF(Inicial!M10="SI",Inicial!H10,"N/A")</f>
        <v>N/A</v>
      </c>
      <c r="I48" s="66" t="str">
        <f>IF(Inicial!M10="SI",Inicial!I10,"N/A")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2" t="str" cm="1">
        <f t="array" ref="W48">IF(OR(M48:V48="NO"),"No aceptable","Aceptable")</f>
        <v>Aceptable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3" t="str" cm="1">
        <f t="array" ref="AN48">IF(OR(AA48:AM48="SI"),"Critico","No Critico")</f>
        <v>No Critico</v>
      </c>
    </row>
    <row r="49" spans="1:40">
      <c r="A49" s="63">
        <f>Inicial!A11</f>
        <v>0</v>
      </c>
      <c r="B49" s="64">
        <f>Inicial!B11</f>
        <v>0</v>
      </c>
      <c r="C49" s="64">
        <f>Inicial!C11</f>
        <v>0</v>
      </c>
      <c r="D49" s="65">
        <f>Inicial!D11</f>
        <v>0</v>
      </c>
      <c r="E49" s="63" t="str">
        <f>IF(Inicial!M11="SI",Inicial!E11,"N/A")</f>
        <v>N/A</v>
      </c>
      <c r="F49" s="64" t="str">
        <f>IF(Inicial!M11="SI",Inicial!F11,"N/A")</f>
        <v>N/A</v>
      </c>
      <c r="G49" s="64" t="str">
        <f>IF(Inicial!M11="SI",Inicial!G11,"N/A")</f>
        <v>N/A</v>
      </c>
      <c r="H49" s="64" t="str">
        <f>IF(Inicial!M11="SI",Inicial!H11,"N/A")</f>
        <v>N/A</v>
      </c>
      <c r="I49" s="66" t="str">
        <f>IF(Inicial!M11="SI",Inicial!I11,"N/A")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2" t="str" cm="1">
        <f t="array" ref="W49">IF(OR(M49:V49="NO"),"No aceptable","Aceptable")</f>
        <v>Aceptable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3" t="str" cm="1">
        <f t="array" ref="AN49">IF(OR(AA49:AM49="SI"),"Critico","No Critico")</f>
        <v>No Critico</v>
      </c>
    </row>
    <row r="50" spans="1:40">
      <c r="A50" s="63">
        <f>Inicial!A12</f>
        <v>0</v>
      </c>
      <c r="B50" s="64">
        <f>Inicial!B12</f>
        <v>0</v>
      </c>
      <c r="C50" s="64">
        <f>Inicial!C12</f>
        <v>0</v>
      </c>
      <c r="D50" s="65">
        <f>Inicial!D12</f>
        <v>0</v>
      </c>
      <c r="E50" s="63" t="str">
        <f>IF(Inicial!M12="SI",Inicial!E12,"N/A")</f>
        <v>N/A</v>
      </c>
      <c r="F50" s="64" t="str">
        <f>IF(Inicial!M12="SI",Inicial!F12,"N/A")</f>
        <v>N/A</v>
      </c>
      <c r="G50" s="64" t="str">
        <f>IF(Inicial!M12="SI",Inicial!G12,"N/A")</f>
        <v>N/A</v>
      </c>
      <c r="H50" s="64" t="str">
        <f>IF(Inicial!M12="SI",Inicial!H12,"N/A")</f>
        <v>N/A</v>
      </c>
      <c r="I50" s="66" t="str">
        <f>IF(Inicial!M12="SI",Inicial!I12,"N/A")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2" t="str" cm="1">
        <f t="array" ref="W50">IF(OR(M50:V50="NO"),"No aceptable","Aceptable")</f>
        <v>Aceptable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3" t="str" cm="1">
        <f t="array" ref="AN50">IF(OR(AA50:AM50="SI"),"Critico","No Critico")</f>
        <v>No Critico</v>
      </c>
    </row>
    <row r="51" spans="1:40">
      <c r="A51" s="63">
        <f>Inicial!A13</f>
        <v>0</v>
      </c>
      <c r="B51" s="64">
        <f>Inicial!B13</f>
        <v>0</v>
      </c>
      <c r="C51" s="64">
        <f>Inicial!C13</f>
        <v>0</v>
      </c>
      <c r="D51" s="65">
        <f>Inicial!D13</f>
        <v>0</v>
      </c>
      <c r="E51" s="63" t="str">
        <f>IF(Inicial!M13="SI",Inicial!E13,"N/A")</f>
        <v>N/A</v>
      </c>
      <c r="F51" s="64" t="str">
        <f>IF(Inicial!M13="SI",Inicial!F13,"N/A")</f>
        <v>N/A</v>
      </c>
      <c r="G51" s="64" t="str">
        <f>IF(Inicial!M13="SI",Inicial!G13,"N/A")</f>
        <v>N/A</v>
      </c>
      <c r="H51" s="64" t="str">
        <f>IF(Inicial!M13="SI",Inicial!H13,"N/A")</f>
        <v>N/A</v>
      </c>
      <c r="I51" s="66" t="str">
        <f>IF(Inicial!M13="SI",Inicial!I13,"N/A")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2" t="str" cm="1">
        <f t="array" ref="W51">IF(OR(M51:V51="NO"),"No aceptable","Aceptable")</f>
        <v>Aceptable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3" t="str" cm="1">
        <f t="array" ref="AN51">IF(OR(AA51:AM51="SI"),"Critico","No Critico")</f>
        <v>No Critico</v>
      </c>
    </row>
    <row r="52" spans="1:40">
      <c r="A52" s="63">
        <f>Inicial!A14</f>
        <v>0</v>
      </c>
      <c r="B52" s="64">
        <f>Inicial!B14</f>
        <v>0</v>
      </c>
      <c r="C52" s="64">
        <f>Inicial!C14</f>
        <v>0</v>
      </c>
      <c r="D52" s="65">
        <f>Inicial!D14</f>
        <v>0</v>
      </c>
      <c r="E52" s="63" t="str">
        <f>IF(Inicial!M14="SI",Inicial!E14,"N/A")</f>
        <v>N/A</v>
      </c>
      <c r="F52" s="64" t="str">
        <f>IF(Inicial!M14="SI",Inicial!F14,"N/A")</f>
        <v>N/A</v>
      </c>
      <c r="G52" s="64" t="str">
        <f>IF(Inicial!M14="SI",Inicial!G14,"N/A")</f>
        <v>N/A</v>
      </c>
      <c r="H52" s="64" t="str">
        <f>IF(Inicial!M14="SI",Inicial!H14,"N/A")</f>
        <v>N/A</v>
      </c>
      <c r="I52" s="66" t="str">
        <f>IF(Inicial!M14="SI",Inicial!I14,"N/A")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2" t="str" cm="1">
        <f t="array" ref="W52">IF(OR(M52:V52="NO"),"No aceptable","Aceptable")</f>
        <v>Aceptable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3" t="str" cm="1">
        <f t="array" ref="AN52">IF(OR(AA52:AM52="SI"),"Critico","No Critico")</f>
        <v>No Critico</v>
      </c>
    </row>
    <row r="53" spans="1:40">
      <c r="A53" s="63">
        <f>Inicial!A15</f>
        <v>0</v>
      </c>
      <c r="B53" s="64">
        <f>Inicial!B15</f>
        <v>0</v>
      </c>
      <c r="C53" s="64">
        <f>Inicial!C15</f>
        <v>0</v>
      </c>
      <c r="D53" s="65">
        <f>Inicial!D15</f>
        <v>0</v>
      </c>
      <c r="E53" s="63" t="str">
        <f>IF(Inicial!M15="SI",Inicial!E15,"N/A")</f>
        <v>N/A</v>
      </c>
      <c r="F53" s="64" t="str">
        <f>IF(Inicial!M15="SI",Inicial!F15,"N/A")</f>
        <v>N/A</v>
      </c>
      <c r="G53" s="64" t="str">
        <f>IF(Inicial!M15="SI",Inicial!G15,"N/A")</f>
        <v>N/A</v>
      </c>
      <c r="H53" s="64" t="str">
        <f>IF(Inicial!M15="SI",Inicial!H15,"N/A")</f>
        <v>N/A</v>
      </c>
      <c r="I53" s="66" t="str">
        <f>IF(Inicial!M15="SI",Inicial!I15,"N/A")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2" t="str" cm="1">
        <f t="array" ref="W53">IF(OR(M53:V53="NO"),"No aceptable","Aceptable")</f>
        <v>Aceptable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3" t="str" cm="1">
        <f t="array" ref="AN53">IF(OR(AA53:AM53="SI"),"Critico","No Critico")</f>
        <v>No Critico</v>
      </c>
    </row>
    <row r="54" spans="1:40">
      <c r="A54" s="63">
        <f>Inicial!A16</f>
        <v>0</v>
      </c>
      <c r="B54" s="64">
        <f>Inicial!B16</f>
        <v>0</v>
      </c>
      <c r="C54" s="64">
        <f>Inicial!C16</f>
        <v>0</v>
      </c>
      <c r="D54" s="65">
        <f>Inicial!D16</f>
        <v>0</v>
      </c>
      <c r="E54" s="63" t="str">
        <f>IF(Inicial!M16="SI",Inicial!E16,"N/A")</f>
        <v>N/A</v>
      </c>
      <c r="F54" s="64" t="str">
        <f>IF(Inicial!M16="SI",Inicial!F16,"N/A")</f>
        <v>N/A</v>
      </c>
      <c r="G54" s="64" t="str">
        <f>IF(Inicial!M16="SI",Inicial!G16,"N/A")</f>
        <v>N/A</v>
      </c>
      <c r="H54" s="64" t="str">
        <f>IF(Inicial!M16="SI",Inicial!H16,"N/A")</f>
        <v>N/A</v>
      </c>
      <c r="I54" s="66" t="str">
        <f>IF(Inicial!M16="SI",Inicial!I16,"N/A")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2" t="str" cm="1">
        <f t="array" ref="W54">IF(OR(M54:V54="NO"),"No aceptable","Aceptable")</f>
        <v>Aceptable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3" t="str" cm="1">
        <f t="array" ref="AN54">IF(OR(AA54:AM54="SI"),"Critico","No Critico")</f>
        <v>No Critico</v>
      </c>
    </row>
    <row r="55" spans="1:40">
      <c r="A55" s="63">
        <f>Inicial!A17</f>
        <v>0</v>
      </c>
      <c r="B55" s="64">
        <f>Inicial!B17</f>
        <v>0</v>
      </c>
      <c r="C55" s="64">
        <f>Inicial!C17</f>
        <v>0</v>
      </c>
      <c r="D55" s="65">
        <f>Inicial!D17</f>
        <v>0</v>
      </c>
      <c r="E55" s="63" t="str">
        <f>IF(Inicial!M17="SI",Inicial!E17,"N/A")</f>
        <v>N/A</v>
      </c>
      <c r="F55" s="64" t="str">
        <f>IF(Inicial!M17="SI",Inicial!F17,"N/A")</f>
        <v>N/A</v>
      </c>
      <c r="G55" s="64" t="str">
        <f>IF(Inicial!M17="SI",Inicial!G17,"N/A")</f>
        <v>N/A</v>
      </c>
      <c r="H55" s="64" t="str">
        <f>IF(Inicial!M17="SI",Inicial!H17,"N/A")</f>
        <v>N/A</v>
      </c>
      <c r="I55" s="66" t="str">
        <f>IF(Inicial!M17="SI",Inicial!I17,"N/A")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2" t="str" cm="1">
        <f t="array" ref="W55">IF(OR(M55:V55="NO"),"No aceptable","Aceptable")</f>
        <v>Aceptable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3" t="str" cm="1">
        <f t="array" ref="AN55">IF(OR(AA55:AM55="SI"),"Critico","No Critico")</f>
        <v>No Critico</v>
      </c>
    </row>
    <row r="56" spans="1:40">
      <c r="A56" s="63">
        <f>Inicial!A18</f>
        <v>0</v>
      </c>
      <c r="B56" s="64">
        <f>Inicial!B18</f>
        <v>0</v>
      </c>
      <c r="C56" s="64">
        <f>Inicial!C18</f>
        <v>0</v>
      </c>
      <c r="D56" s="65">
        <f>Inicial!D18</f>
        <v>0</v>
      </c>
      <c r="E56" s="63" t="str">
        <f>IF(Inicial!M18="SI",Inicial!E18,"N/A")</f>
        <v>N/A</v>
      </c>
      <c r="F56" s="64" t="str">
        <f>IF(Inicial!M18="SI",Inicial!F18,"N/A")</f>
        <v>N/A</v>
      </c>
      <c r="G56" s="64" t="str">
        <f>IF(Inicial!M18="SI",Inicial!G18,"N/A")</f>
        <v>N/A</v>
      </c>
      <c r="H56" s="64" t="str">
        <f>IF(Inicial!M18="SI",Inicial!H18,"N/A")</f>
        <v>N/A</v>
      </c>
      <c r="I56" s="66" t="str">
        <f>IF(Inicial!M18="SI",Inicial!I18,"N/A")</f>
        <v>N/A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2" t="str" cm="1">
        <f t="array" ref="W56">IF(OR(M56:V56="NO"),"No aceptable","Aceptable")</f>
        <v>Aceptable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3" t="str" cm="1">
        <f t="array" ref="AN56">IF(OR(AA56:AM56="SI"),"Critico","No Critico")</f>
        <v>No Critico</v>
      </c>
    </row>
    <row r="57" spans="1:40">
      <c r="A57" s="63">
        <f>Inicial!A19</f>
        <v>0</v>
      </c>
      <c r="B57" s="64">
        <f>Inicial!B19</f>
        <v>0</v>
      </c>
      <c r="C57" s="64">
        <f>Inicial!C19</f>
        <v>0</v>
      </c>
      <c r="D57" s="65">
        <f>Inicial!D19</f>
        <v>0</v>
      </c>
      <c r="E57" s="63" t="str">
        <f>IF(Inicial!M19="SI",Inicial!E19,"N/A")</f>
        <v>N/A</v>
      </c>
      <c r="F57" s="64" t="str">
        <f>IF(Inicial!M19="SI",Inicial!F19,"N/A")</f>
        <v>N/A</v>
      </c>
      <c r="G57" s="64" t="str">
        <f>IF(Inicial!M19="SI",Inicial!G19,"N/A")</f>
        <v>N/A</v>
      </c>
      <c r="H57" s="64" t="str">
        <f>IF(Inicial!M19="SI",Inicial!H19,"N/A")</f>
        <v>N/A</v>
      </c>
      <c r="I57" s="66" t="str">
        <f>IF(Inicial!M19="SI",Inicial!I19,"N/A")</f>
        <v>N/A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2" t="str" cm="1">
        <f t="array" ref="W57">IF(OR(M57:V57="NO"),"No aceptable","Aceptable")</f>
        <v>Aceptable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3" t="str" cm="1">
        <f t="array" ref="AN57">IF(OR(AA57:AM57="SI"),"Critico","No Critico")</f>
        <v>No Critico</v>
      </c>
    </row>
    <row r="58" spans="1:40">
      <c r="A58" s="63">
        <f>Inicial!A20</f>
        <v>0</v>
      </c>
      <c r="B58" s="64">
        <f>Inicial!B20</f>
        <v>0</v>
      </c>
      <c r="C58" s="64">
        <f>Inicial!C20</f>
        <v>0</v>
      </c>
      <c r="D58" s="65">
        <f>Inicial!D20</f>
        <v>0</v>
      </c>
      <c r="E58" s="63" t="str">
        <f>IF(Inicial!M20="SI",Inicial!E20,"N/A")</f>
        <v>N/A</v>
      </c>
      <c r="F58" s="64" t="str">
        <f>IF(Inicial!M20="SI",Inicial!F20,"N/A")</f>
        <v>N/A</v>
      </c>
      <c r="G58" s="64" t="str">
        <f>IF(Inicial!M20="SI",Inicial!G20,"N/A")</f>
        <v>N/A</v>
      </c>
      <c r="H58" s="64" t="str">
        <f>IF(Inicial!M20="SI",Inicial!H20,"N/A")</f>
        <v>N/A</v>
      </c>
      <c r="I58" s="66" t="str">
        <f>IF(Inicial!M20="SI",Inicial!I20,"N/A")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2" t="str" cm="1">
        <f t="array" ref="W58">IF(OR(M58:V58="NO"),"No aceptable","Aceptable")</f>
        <v>Aceptable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3" t="str" cm="1">
        <f t="array" ref="AN58">IF(OR(AA58:AM58="SI"),"Critico","No Critico")</f>
        <v>No Critico</v>
      </c>
    </row>
    <row r="59" spans="1:40">
      <c r="A59" s="63">
        <f>Inicial!A21</f>
        <v>0</v>
      </c>
      <c r="B59" s="64">
        <f>Inicial!B21</f>
        <v>0</v>
      </c>
      <c r="C59" s="64">
        <f>Inicial!C21</f>
        <v>0</v>
      </c>
      <c r="D59" s="65">
        <f>Inicial!D21</f>
        <v>0</v>
      </c>
      <c r="E59" s="63" t="str">
        <f>IF(Inicial!M21="SI",Inicial!E21,"N/A")</f>
        <v>N/A</v>
      </c>
      <c r="F59" s="64" t="str">
        <f>IF(Inicial!M21="SI",Inicial!F21,"N/A")</f>
        <v>N/A</v>
      </c>
      <c r="G59" s="64" t="str">
        <f>IF(Inicial!M21="SI",Inicial!G21,"N/A")</f>
        <v>N/A</v>
      </c>
      <c r="H59" s="64" t="str">
        <f>IF(Inicial!M21="SI",Inicial!H21,"N/A")</f>
        <v>N/A</v>
      </c>
      <c r="I59" s="66" t="str">
        <f>IF(Inicial!M21="SI",Inicial!I21,"N/A")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2" t="str" cm="1">
        <f t="array" ref="W59">IF(OR(M59:V59="NO"),"No aceptable","Aceptable")</f>
        <v>Aceptable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3" t="str" cm="1">
        <f t="array" ref="AN59">IF(OR(AA59:AM59="SI"),"Critico","No Critico")</f>
        <v>No Critico</v>
      </c>
    </row>
    <row r="60" spans="1:40">
      <c r="A60" s="63">
        <f>Inicial!A22</f>
        <v>0</v>
      </c>
      <c r="B60" s="64">
        <f>Inicial!B22</f>
        <v>0</v>
      </c>
      <c r="C60" s="64">
        <f>Inicial!C22</f>
        <v>0</v>
      </c>
      <c r="D60" s="65">
        <f>Inicial!D22</f>
        <v>0</v>
      </c>
      <c r="E60" s="63" t="str">
        <f>IF(Inicial!M22="SI",Inicial!E22,"N/A")</f>
        <v>N/A</v>
      </c>
      <c r="F60" s="64" t="str">
        <f>IF(Inicial!M22="SI",Inicial!F22,"N/A")</f>
        <v>N/A</v>
      </c>
      <c r="G60" s="64" t="str">
        <f>IF(Inicial!M22="SI",Inicial!G22,"N/A")</f>
        <v>N/A</v>
      </c>
      <c r="H60" s="64" t="str">
        <f>IF(Inicial!M22="SI",Inicial!H22,"N/A")</f>
        <v>N/A</v>
      </c>
      <c r="I60" s="66" t="str">
        <f>IF(Inicial!M22="SI",Inicial!I22,"N/A")</f>
        <v>N/A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2" t="str" cm="1">
        <f t="array" ref="W60">IF(OR(M60:V60="NO"),"No aceptable","Aceptable")</f>
        <v>Aceptable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3" t="str" cm="1">
        <f t="array" ref="AN60">IF(OR(AA60:AM60="SI"),"Critico","No Critico")</f>
        <v>No Critico</v>
      </c>
    </row>
    <row r="61" spans="1:40">
      <c r="A61" s="63">
        <f>Inicial!A23</f>
        <v>0</v>
      </c>
      <c r="B61" s="64">
        <f>Inicial!B23</f>
        <v>0</v>
      </c>
      <c r="C61" s="64">
        <f>Inicial!C23</f>
        <v>0</v>
      </c>
      <c r="D61" s="65">
        <f>Inicial!D23</f>
        <v>0</v>
      </c>
      <c r="E61" s="63" t="str">
        <f>IF(Inicial!M23="SI",Inicial!E23,"N/A")</f>
        <v>N/A</v>
      </c>
      <c r="F61" s="64" t="str">
        <f>IF(Inicial!M23="SI",Inicial!F23,"N/A")</f>
        <v>N/A</v>
      </c>
      <c r="G61" s="64" t="str">
        <f>IF(Inicial!M23="SI",Inicial!G23,"N/A")</f>
        <v>N/A</v>
      </c>
      <c r="H61" s="64" t="str">
        <f>IF(Inicial!M23="SI",Inicial!H23,"N/A")</f>
        <v>N/A</v>
      </c>
      <c r="I61" s="66" t="str">
        <f>IF(Inicial!M23="SI",Inicial!I23,"N/A")</f>
        <v>N/A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 t="str" cm="1">
        <f t="array" ref="W61">IF(OR(M61:V61="NO"),"No aceptable","Aceptable")</f>
        <v>Aceptable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3" t="str" cm="1">
        <f t="array" ref="AN61">IF(OR(AA61:AM61="SI"),"Critico","No Critico")</f>
        <v>No Critico</v>
      </c>
    </row>
    <row r="62" spans="1:40">
      <c r="A62" s="63">
        <f>Inicial!A24</f>
        <v>0</v>
      </c>
      <c r="B62" s="64">
        <f>Inicial!B24</f>
        <v>0</v>
      </c>
      <c r="C62" s="64">
        <f>Inicial!C24</f>
        <v>0</v>
      </c>
      <c r="D62" s="65">
        <f>Inicial!D24</f>
        <v>0</v>
      </c>
      <c r="E62" s="63" t="str">
        <f>IF(Inicial!M24="SI",Inicial!E24,"N/A")</f>
        <v>N/A</v>
      </c>
      <c r="F62" s="64" t="str">
        <f>IF(Inicial!M24="SI",Inicial!F24,"N/A")</f>
        <v>N/A</v>
      </c>
      <c r="G62" s="64" t="str">
        <f>IF(Inicial!M24="SI",Inicial!G24,"N/A")</f>
        <v>N/A</v>
      </c>
      <c r="H62" s="64" t="str">
        <f>IF(Inicial!M24="SI",Inicial!H24,"N/A")</f>
        <v>N/A</v>
      </c>
      <c r="I62" s="66" t="str">
        <f>IF(Inicial!M24="SI",Inicial!I24,"N/A")</f>
        <v>N/A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2" t="str" cm="1">
        <f t="array" ref="W62">IF(OR(M62:V62="NO"),"No aceptable","Aceptable")</f>
        <v>Aceptable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3" t="str" cm="1">
        <f t="array" ref="AN62">IF(OR(AA62:AM62="SI"),"Critico","No Critico")</f>
        <v>No Critico</v>
      </c>
    </row>
    <row r="63" spans="1:40">
      <c r="A63" s="63">
        <f>Inicial!A25</f>
        <v>0</v>
      </c>
      <c r="B63" s="64">
        <f>Inicial!B25</f>
        <v>0</v>
      </c>
      <c r="C63" s="64">
        <f>Inicial!C25</f>
        <v>0</v>
      </c>
      <c r="D63" s="65">
        <f>Inicial!D25</f>
        <v>0</v>
      </c>
      <c r="E63" s="63" t="str">
        <f>IF(Inicial!M25="SI",Inicial!E25,"N/A")</f>
        <v>N/A</v>
      </c>
      <c r="F63" s="64" t="str">
        <f>IF(Inicial!M25="SI",Inicial!F25,"N/A")</f>
        <v>N/A</v>
      </c>
      <c r="G63" s="64" t="str">
        <f>IF(Inicial!M25="SI",Inicial!G25,"N/A")</f>
        <v>N/A</v>
      </c>
      <c r="H63" s="64" t="str">
        <f>IF(Inicial!M25="SI",Inicial!H25,"N/A")</f>
        <v>N/A</v>
      </c>
      <c r="I63" s="66" t="str">
        <f>IF(Inicial!M25="SI",Inicial!I25,"N/A")</f>
        <v>N/A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2" t="str" cm="1">
        <f t="array" ref="W63">IF(OR(M63:V63="NO"),"No aceptable","Aceptable")</f>
        <v>Aceptable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3" t="str" cm="1">
        <f t="array" ref="AN63">IF(OR(AA63:AM63="SI"),"Critico","No Critico")</f>
        <v>No Critico</v>
      </c>
    </row>
    <row r="64" spans="1:40">
      <c r="A64" s="63">
        <f>Inicial!A26</f>
        <v>0</v>
      </c>
      <c r="B64" s="64">
        <f>Inicial!B26</f>
        <v>0</v>
      </c>
      <c r="C64" s="64">
        <f>Inicial!C26</f>
        <v>0</v>
      </c>
      <c r="D64" s="65">
        <f>Inicial!D26</f>
        <v>0</v>
      </c>
      <c r="E64" s="63" t="str">
        <f>IF(Inicial!M26="SI",Inicial!E26,"N/A")</f>
        <v>N/A</v>
      </c>
      <c r="F64" s="64" t="str">
        <f>IF(Inicial!M26="SI",Inicial!F26,"N/A")</f>
        <v>N/A</v>
      </c>
      <c r="G64" s="64" t="str">
        <f>IF(Inicial!M26="SI",Inicial!G26,"N/A")</f>
        <v>N/A</v>
      </c>
      <c r="H64" s="64" t="str">
        <f>IF(Inicial!M26="SI",Inicial!H26,"N/A")</f>
        <v>N/A</v>
      </c>
      <c r="I64" s="66" t="str">
        <f>IF(Inicial!M26="SI",Inicial!I26,"N/A")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2" t="str" cm="1">
        <f t="array" ref="W64">IF(OR(M64:V64="NO"),"No aceptable","Aceptable")</f>
        <v>Aceptable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3" t="str" cm="1">
        <f t="array" ref="AN64">IF(OR(AA64:AM64="SI"),"Critico","No Critico")</f>
        <v>No Critico</v>
      </c>
    </row>
    <row r="65" spans="1:40">
      <c r="A65" s="63">
        <f>Inicial!A27</f>
        <v>0</v>
      </c>
      <c r="B65" s="64">
        <f>Inicial!B27</f>
        <v>0</v>
      </c>
      <c r="C65" s="64">
        <f>Inicial!C27</f>
        <v>0</v>
      </c>
      <c r="D65" s="65">
        <f>Inicial!D27</f>
        <v>0</v>
      </c>
      <c r="E65" s="63" t="str">
        <f>IF(Inicial!M27="SI",Inicial!E27,"N/A")</f>
        <v>N/A</v>
      </c>
      <c r="F65" s="64" t="str">
        <f>IF(Inicial!M27="SI",Inicial!F27,"N/A")</f>
        <v>N/A</v>
      </c>
      <c r="G65" s="64" t="str">
        <f>IF(Inicial!M27="SI",Inicial!G27,"N/A")</f>
        <v>N/A</v>
      </c>
      <c r="H65" s="64" t="str">
        <f>IF(Inicial!M27="SI",Inicial!H27,"N/A")</f>
        <v>N/A</v>
      </c>
      <c r="I65" s="66" t="str">
        <f>IF(Inicial!M27="SI",Inicial!I27,"N/A")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2" t="str" cm="1">
        <f t="array" ref="W65">IF(OR(M65:V65="NO"),"No aceptable","Aceptable")</f>
        <v>Aceptable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3" t="str" cm="1">
        <f t="array" ref="AN65">IF(OR(AA65:AM65="SI"),"Critico","No Critico")</f>
        <v>No Critico</v>
      </c>
    </row>
    <row r="66" spans="1:40">
      <c r="A66" s="63">
        <f>Inicial!A28</f>
        <v>0</v>
      </c>
      <c r="B66" s="64">
        <f>Inicial!B28</f>
        <v>0</v>
      </c>
      <c r="C66" s="64">
        <f>Inicial!C28</f>
        <v>0</v>
      </c>
      <c r="D66" s="65">
        <f>Inicial!D28</f>
        <v>0</v>
      </c>
      <c r="E66" s="63" t="str">
        <f>IF(Inicial!M28="SI",Inicial!E28,"N/A")</f>
        <v>N/A</v>
      </c>
      <c r="F66" s="64" t="str">
        <f>IF(Inicial!M28="SI",Inicial!F28,"N/A")</f>
        <v>N/A</v>
      </c>
      <c r="G66" s="64" t="str">
        <f>IF(Inicial!M28="SI",Inicial!G28,"N/A")</f>
        <v>N/A</v>
      </c>
      <c r="H66" s="64" t="str">
        <f>IF(Inicial!M28="SI",Inicial!H28,"N/A")</f>
        <v>N/A</v>
      </c>
      <c r="I66" s="66" t="str">
        <f>IF(Inicial!M28="SI",Inicial!I28,"N/A")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2" t="str" cm="1">
        <f t="array" ref="W66">IF(OR(M66:V66="NO"),"No aceptable","Aceptable")</f>
        <v>Aceptable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3" t="str" cm="1">
        <f t="array" ref="AN66">IF(OR(AA66:AM66="SI"),"Critico","No Critico")</f>
        <v>No Critico</v>
      </c>
    </row>
    <row r="67" spans="1:40">
      <c r="A67" s="63">
        <f>Inicial!A29</f>
        <v>0</v>
      </c>
      <c r="B67" s="64">
        <f>Inicial!B29</f>
        <v>0</v>
      </c>
      <c r="C67" s="64">
        <f>Inicial!C29</f>
        <v>0</v>
      </c>
      <c r="D67" s="65">
        <f>Inicial!D29</f>
        <v>0</v>
      </c>
      <c r="E67" s="63" t="str">
        <f>IF(Inicial!M29="SI",Inicial!E29,"N/A")</f>
        <v>N/A</v>
      </c>
      <c r="F67" s="64" t="str">
        <f>IF(Inicial!M29="SI",Inicial!F29,"N/A")</f>
        <v>N/A</v>
      </c>
      <c r="G67" s="64" t="str">
        <f>IF(Inicial!M29="SI",Inicial!G29,"N/A")</f>
        <v>N/A</v>
      </c>
      <c r="H67" s="64" t="str">
        <f>IF(Inicial!M29="SI",Inicial!H29,"N/A")</f>
        <v>N/A</v>
      </c>
      <c r="I67" s="66" t="str">
        <f>IF(Inicial!M29="SI",Inicial!I29,"N/A")</f>
        <v>N/A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2" t="str" cm="1">
        <f t="array" ref="W67">IF(OR(M67:V67="NO"),"No aceptable","Aceptable")</f>
        <v>Aceptable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3" t="str" cm="1">
        <f t="array" ref="AN67">IF(OR(AA67:AM67="SI"),"Critico","No Critico")</f>
        <v>No Critico</v>
      </c>
    </row>
    <row r="68" spans="1:40">
      <c r="A68" s="63">
        <f>Inicial!A30</f>
        <v>0</v>
      </c>
      <c r="B68" s="64">
        <f>Inicial!B30</f>
        <v>0</v>
      </c>
      <c r="C68" s="64">
        <f>Inicial!C30</f>
        <v>0</v>
      </c>
      <c r="D68" s="65">
        <f>Inicial!D30</f>
        <v>0</v>
      </c>
      <c r="E68" s="63" t="str">
        <f>IF(Inicial!M30="SI",Inicial!E30,"N/A")</f>
        <v>N/A</v>
      </c>
      <c r="F68" s="64" t="str">
        <f>IF(Inicial!M30="SI",Inicial!F30,"N/A")</f>
        <v>N/A</v>
      </c>
      <c r="G68" s="64" t="str">
        <f>IF(Inicial!M30="SI",Inicial!G30,"N/A")</f>
        <v>N/A</v>
      </c>
      <c r="H68" s="64" t="str">
        <f>IF(Inicial!M30="SI",Inicial!H30,"N/A")</f>
        <v>N/A</v>
      </c>
      <c r="I68" s="66" t="str">
        <f>IF(Inicial!M30="SI",Inicial!I30,"N/A")</f>
        <v>N/A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2" t="str" cm="1">
        <f t="array" ref="W68">IF(OR(M68:V68="NO"),"No aceptable","Aceptable")</f>
        <v>Aceptable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3" t="str" cm="1">
        <f t="array" ref="AN68">IF(OR(AA68:AM68="SI"),"Critico","No Critico")</f>
        <v>No Critico</v>
      </c>
    </row>
    <row r="69" spans="1:40">
      <c r="A69" s="63">
        <f>Inicial!A31</f>
        <v>0</v>
      </c>
      <c r="B69" s="64">
        <f>Inicial!B31</f>
        <v>0</v>
      </c>
      <c r="C69" s="64">
        <f>Inicial!C31</f>
        <v>0</v>
      </c>
      <c r="D69" s="65">
        <f>Inicial!D31</f>
        <v>0</v>
      </c>
      <c r="E69" s="63" t="str">
        <f>IF(Inicial!M31="SI",Inicial!E31,"N/A")</f>
        <v>N/A</v>
      </c>
      <c r="F69" s="64" t="str">
        <f>IF(Inicial!M31="SI",Inicial!F31,"N/A")</f>
        <v>N/A</v>
      </c>
      <c r="G69" s="64" t="str">
        <f>IF(Inicial!M31="SI",Inicial!G31,"N/A")</f>
        <v>N/A</v>
      </c>
      <c r="H69" s="64" t="str">
        <f>IF(Inicial!M31="SI",Inicial!H31,"N/A")</f>
        <v>N/A</v>
      </c>
      <c r="I69" s="66" t="str">
        <f>IF(Inicial!M31="SI",Inicial!I31,"N/A")</f>
        <v>N/A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2" t="str" cm="1">
        <f t="array" ref="W69">IF(OR(M69:V69="NO"),"No aceptable","Aceptable")</f>
        <v>Aceptable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3" t="str" cm="1">
        <f t="array" ref="AN69">IF(OR(AA69:AM69="SI"),"Critico","No Critico")</f>
        <v>No Critico</v>
      </c>
    </row>
    <row r="70" spans="1:40">
      <c r="A70" s="63">
        <f>Inicial!A32</f>
        <v>0</v>
      </c>
      <c r="B70" s="64">
        <f>Inicial!B32</f>
        <v>0</v>
      </c>
      <c r="C70" s="64">
        <f>Inicial!C32</f>
        <v>0</v>
      </c>
      <c r="D70" s="65">
        <f>Inicial!D32</f>
        <v>0</v>
      </c>
      <c r="E70" s="63" t="str">
        <f>IF(Inicial!M32="SI",Inicial!E32,"N/A")</f>
        <v>N/A</v>
      </c>
      <c r="F70" s="64" t="str">
        <f>IF(Inicial!M32="SI",Inicial!F32,"N/A")</f>
        <v>N/A</v>
      </c>
      <c r="G70" s="64" t="str">
        <f>IF(Inicial!M32="SI",Inicial!G32,"N/A")</f>
        <v>N/A</v>
      </c>
      <c r="H70" s="64" t="str">
        <f>IF(Inicial!M32="SI",Inicial!H32,"N/A")</f>
        <v>N/A</v>
      </c>
      <c r="I70" s="66" t="str">
        <f>IF(Inicial!M32="SI",Inicial!I32,"N/A")</f>
        <v>N/A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2" t="str" cm="1">
        <f t="array" ref="W70">IF(OR(M70:V70="NO"),"No aceptable","Aceptable")</f>
        <v>Aceptable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3" t="str" cm="1">
        <f t="array" ref="AN70">IF(OR(AA70:AM70="SI"),"Critico","No Critico")</f>
        <v>No Critico</v>
      </c>
    </row>
    <row r="71" spans="1:40">
      <c r="A71" s="63">
        <f>Inicial!A33</f>
        <v>0</v>
      </c>
      <c r="B71" s="64">
        <f>Inicial!B33</f>
        <v>0</v>
      </c>
      <c r="C71" s="64">
        <f>Inicial!C33</f>
        <v>0</v>
      </c>
      <c r="D71" s="65">
        <f>Inicial!D33</f>
        <v>0</v>
      </c>
      <c r="E71" s="63" t="str">
        <f>IF(Inicial!M33="SI",Inicial!E33,"N/A")</f>
        <v>N/A</v>
      </c>
      <c r="F71" s="64" t="str">
        <f>IF(Inicial!M33="SI",Inicial!F33,"N/A")</f>
        <v>N/A</v>
      </c>
      <c r="G71" s="64" t="str">
        <f>IF(Inicial!M33="SI",Inicial!G33,"N/A")</f>
        <v>N/A</v>
      </c>
      <c r="H71" s="64" t="str">
        <f>IF(Inicial!M33="SI",Inicial!H33,"N/A")</f>
        <v>N/A</v>
      </c>
      <c r="I71" s="66" t="str">
        <f>IF(Inicial!M33="SI",Inicial!I33,"N/A")</f>
        <v>N/A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2" t="str" cm="1">
        <f t="array" ref="W71">IF(OR(M71:V71="NO"),"No aceptable","Aceptable")</f>
        <v>Aceptable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3" t="str" cm="1">
        <f t="array" ref="AN71">IF(OR(AA71:AM71="SI"),"Critico","No Critico")</f>
        <v>No Critico</v>
      </c>
    </row>
    <row r="72" spans="1:40">
      <c r="A72" s="63">
        <f>Inicial!A34</f>
        <v>0</v>
      </c>
      <c r="B72" s="64">
        <f>Inicial!B34</f>
        <v>0</v>
      </c>
      <c r="C72" s="64">
        <f>Inicial!C34</f>
        <v>0</v>
      </c>
      <c r="D72" s="65">
        <f>Inicial!D34</f>
        <v>0</v>
      </c>
      <c r="E72" s="63" t="str">
        <f>IF(Inicial!M34="SI",Inicial!E34,"N/A")</f>
        <v>N/A</v>
      </c>
      <c r="F72" s="64" t="str">
        <f>IF(Inicial!M34="SI",Inicial!F34,"N/A")</f>
        <v>N/A</v>
      </c>
      <c r="G72" s="64" t="str">
        <f>IF(Inicial!M34="SI",Inicial!G34,"N/A")</f>
        <v>N/A</v>
      </c>
      <c r="H72" s="64" t="str">
        <f>IF(Inicial!M34="SI",Inicial!H34,"N/A")</f>
        <v>N/A</v>
      </c>
      <c r="I72" s="66" t="str">
        <f>IF(Inicial!M34="SI",Inicial!I34,"N/A")</f>
        <v>N/A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2" t="str" cm="1">
        <f t="array" ref="W72">IF(OR(M72:V72="NO"),"No aceptable","Aceptable")</f>
        <v>Aceptable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3" t="str" cm="1">
        <f t="array" ref="AN72">IF(OR(AA72:AM72="SI"),"Critico","No Critico")</f>
        <v>No Critico</v>
      </c>
    </row>
    <row r="73" spans="1:40">
      <c r="A73" s="63">
        <f>Inicial!A35</f>
        <v>0</v>
      </c>
      <c r="B73" s="64">
        <f>Inicial!B35</f>
        <v>0</v>
      </c>
      <c r="C73" s="64">
        <f>Inicial!C35</f>
        <v>0</v>
      </c>
      <c r="D73" s="65">
        <f>Inicial!D35</f>
        <v>0</v>
      </c>
      <c r="E73" s="63" t="str">
        <f>IF(Inicial!M35="SI",Inicial!E35,"N/A")</f>
        <v>N/A</v>
      </c>
      <c r="F73" s="64" t="str">
        <f>IF(Inicial!M35="SI",Inicial!F35,"N/A")</f>
        <v>N/A</v>
      </c>
      <c r="G73" s="64" t="str">
        <f>IF(Inicial!M35="SI",Inicial!G35,"N/A")</f>
        <v>N/A</v>
      </c>
      <c r="H73" s="64" t="str">
        <f>IF(Inicial!M35="SI",Inicial!H35,"N/A")</f>
        <v>N/A</v>
      </c>
      <c r="I73" s="66" t="str">
        <f>IF(Inicial!M35="SI",Inicial!I35,"N/A")</f>
        <v>N/A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2" t="str" cm="1">
        <f t="array" ref="W73">IF(OR(M73:V73="NO"),"No aceptable","Aceptable")</f>
        <v>Aceptable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3" t="str" cm="1">
        <f t="array" ref="AN73">IF(OR(AA73:AM73="SI"),"Critico","No Critico")</f>
        <v>No Critico</v>
      </c>
    </row>
    <row r="74" spans="1:40">
      <c r="A74" s="63">
        <f>Inicial!A36</f>
        <v>0</v>
      </c>
      <c r="B74" s="64">
        <f>Inicial!B36</f>
        <v>0</v>
      </c>
      <c r="C74" s="64">
        <f>Inicial!C36</f>
        <v>0</v>
      </c>
      <c r="D74" s="65">
        <f>Inicial!D36</f>
        <v>0</v>
      </c>
      <c r="E74" s="63" t="str">
        <f>IF(Inicial!M36="SI",Inicial!E36,"N/A")</f>
        <v>N/A</v>
      </c>
      <c r="F74" s="64" t="str">
        <f>IF(Inicial!M36="SI",Inicial!F36,"N/A")</f>
        <v>N/A</v>
      </c>
      <c r="G74" s="64" t="str">
        <f>IF(Inicial!M36="SI",Inicial!G36,"N/A")</f>
        <v>N/A</v>
      </c>
      <c r="H74" s="64" t="str">
        <f>IF(Inicial!M36="SI",Inicial!H36,"N/A")</f>
        <v>N/A</v>
      </c>
      <c r="I74" s="66" t="str">
        <f>IF(Inicial!M36="SI",Inicial!I36,"N/A")</f>
        <v>N/A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 t="str" cm="1">
        <f t="array" ref="W74">IF(OR(M74:V74="NO"),"No aceptable","Aceptable")</f>
        <v>Aceptable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3" t="str" cm="1">
        <f t="array" ref="AN74">IF(OR(AA74:AM74="SI"),"Critico","No Critico")</f>
        <v>No Critico</v>
      </c>
    </row>
    <row r="75" spans="1:40">
      <c r="A75" s="63">
        <f>Inicial!A37</f>
        <v>0</v>
      </c>
      <c r="B75" s="64">
        <f>Inicial!B37</f>
        <v>0</v>
      </c>
      <c r="C75" s="64">
        <f>Inicial!C37</f>
        <v>0</v>
      </c>
      <c r="D75" s="65">
        <f>Inicial!D37</f>
        <v>0</v>
      </c>
      <c r="E75" s="63" t="str">
        <f>IF(Inicial!M37="SI",Inicial!E37,"N/A")</f>
        <v>N/A</v>
      </c>
      <c r="F75" s="64" t="str">
        <f>IF(Inicial!M37="SI",Inicial!F37,"N/A")</f>
        <v>N/A</v>
      </c>
      <c r="G75" s="64" t="str">
        <f>IF(Inicial!M37="SI",Inicial!G37,"N/A")</f>
        <v>N/A</v>
      </c>
      <c r="H75" s="64" t="str">
        <f>IF(Inicial!M37="SI",Inicial!H37,"N/A")</f>
        <v>N/A</v>
      </c>
      <c r="I75" s="66" t="str">
        <f>IF(Inicial!M37="SI",Inicial!I37,"N/A")</f>
        <v>N/A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2" t="str" cm="1">
        <f t="array" ref="W75">IF(OR(M75:V75="NO"),"No aceptable","Aceptable")</f>
        <v>Aceptable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3" t="str" cm="1">
        <f t="array" ref="AN75">IF(OR(AA75:AM75="SI"),"Critico","No Critico")</f>
        <v>No Critico</v>
      </c>
    </row>
    <row r="76" spans="1:40">
      <c r="A76" s="63">
        <f>Inicial!A38</f>
        <v>0</v>
      </c>
      <c r="B76" s="64">
        <f>Inicial!B38</f>
        <v>0</v>
      </c>
      <c r="C76" s="64">
        <f>Inicial!C38</f>
        <v>0</v>
      </c>
      <c r="D76" s="65">
        <f>Inicial!D38</f>
        <v>0</v>
      </c>
      <c r="E76" s="63" t="str">
        <f>IF(Inicial!M38="SI",Inicial!E38,"N/A")</f>
        <v>N/A</v>
      </c>
      <c r="F76" s="64" t="str">
        <f>IF(Inicial!M38="SI",Inicial!F38,"N/A")</f>
        <v>N/A</v>
      </c>
      <c r="G76" s="64" t="str">
        <f>IF(Inicial!M38="SI",Inicial!G38,"N/A")</f>
        <v>N/A</v>
      </c>
      <c r="H76" s="64" t="str">
        <f>IF(Inicial!M38="SI",Inicial!H38,"N/A")</f>
        <v>N/A</v>
      </c>
      <c r="I76" s="66" t="str">
        <f>IF(Inicial!M38="SI",Inicial!I38,"N/A")</f>
        <v>N/A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2" t="str" cm="1">
        <f t="array" ref="W76">IF(OR(M76:V76="NO"),"No aceptable","Aceptable")</f>
        <v>Aceptable</v>
      </c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3" t="str" cm="1">
        <f t="array" ref="AN76">IF(OR(AA76:AM76="SI"),"Critico","No Critico")</f>
        <v>No Critico</v>
      </c>
    </row>
    <row r="77" spans="1:40">
      <c r="A77" s="63">
        <f>Inicial!A39</f>
        <v>0</v>
      </c>
      <c r="B77" s="64">
        <f>Inicial!B39</f>
        <v>0</v>
      </c>
      <c r="C77" s="64">
        <f>Inicial!C39</f>
        <v>0</v>
      </c>
      <c r="D77" s="65">
        <f>Inicial!D39</f>
        <v>0</v>
      </c>
      <c r="E77" s="63" t="str">
        <f>IF(Inicial!M39="SI",Inicial!E39,"N/A")</f>
        <v>N/A</v>
      </c>
      <c r="F77" s="64" t="str">
        <f>IF(Inicial!M39="SI",Inicial!F39,"N/A")</f>
        <v>N/A</v>
      </c>
      <c r="G77" s="64" t="str">
        <f>IF(Inicial!M39="SI",Inicial!G39,"N/A")</f>
        <v>N/A</v>
      </c>
      <c r="H77" s="64" t="str">
        <f>IF(Inicial!M39="SI",Inicial!H39,"N/A")</f>
        <v>N/A</v>
      </c>
      <c r="I77" s="66" t="str">
        <f>IF(Inicial!M39="SI",Inicial!I39,"N/A")</f>
        <v>N/A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2" t="str" cm="1">
        <f t="array" ref="W77">IF(OR(M77:V77="NO"),"No aceptable","Aceptable")</f>
        <v>Aceptable</v>
      </c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3" t="str" cm="1">
        <f t="array" ref="AN77">IF(OR(AA77:AM77="SI"),"Critico","No Critico")</f>
        <v>No Critico</v>
      </c>
    </row>
    <row r="78" spans="1:40">
      <c r="A78" s="63">
        <f>Inicial!A40</f>
        <v>0</v>
      </c>
      <c r="B78" s="64">
        <f>Inicial!B40</f>
        <v>0</v>
      </c>
      <c r="C78" s="64">
        <f>Inicial!C40</f>
        <v>0</v>
      </c>
      <c r="D78" s="65">
        <f>Inicial!D40</f>
        <v>0</v>
      </c>
      <c r="E78" s="63" t="str">
        <f>IF(Inicial!M40="SI",Inicial!E40,"N/A")</f>
        <v>N/A</v>
      </c>
      <c r="F78" s="64" t="str">
        <f>IF(Inicial!M40="SI",Inicial!F40,"N/A")</f>
        <v>N/A</v>
      </c>
      <c r="G78" s="64" t="str">
        <f>IF(Inicial!M40="SI",Inicial!G40,"N/A")</f>
        <v>N/A</v>
      </c>
      <c r="H78" s="64" t="str">
        <f>IF(Inicial!M40="SI",Inicial!H40,"N/A")</f>
        <v>N/A</v>
      </c>
      <c r="I78" s="66" t="str">
        <f>IF(Inicial!M40="SI",Inicial!I40,"N/A")</f>
        <v>N/A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2" t="str" cm="1">
        <f t="array" ref="W78">IF(OR(M78:V78="NO"),"No aceptable","Aceptable")</f>
        <v>Aceptable</v>
      </c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3" t="str" cm="1">
        <f t="array" ref="AN78">IF(OR(AA78:AM78="SI"),"Critico","No Critico")</f>
        <v>No Critico</v>
      </c>
    </row>
    <row r="79" spans="1:40">
      <c r="A79" s="63">
        <f>Inicial!A41</f>
        <v>0</v>
      </c>
      <c r="B79" s="64">
        <f>Inicial!B41</f>
        <v>0</v>
      </c>
      <c r="C79" s="64">
        <f>Inicial!C41</f>
        <v>0</v>
      </c>
      <c r="D79" s="65">
        <f>Inicial!D41</f>
        <v>0</v>
      </c>
      <c r="E79" s="63" t="str">
        <f>IF(Inicial!M41="SI",Inicial!E41,"N/A")</f>
        <v>N/A</v>
      </c>
      <c r="F79" s="64" t="str">
        <f>IF(Inicial!M41="SI",Inicial!F41,"N/A")</f>
        <v>N/A</v>
      </c>
      <c r="G79" s="64" t="str">
        <f>IF(Inicial!M41="SI",Inicial!G41,"N/A")</f>
        <v>N/A</v>
      </c>
      <c r="H79" s="64" t="str">
        <f>IF(Inicial!M41="SI",Inicial!H41,"N/A")</f>
        <v>N/A</v>
      </c>
      <c r="I79" s="66" t="str">
        <f>IF(Inicial!M41="SI",Inicial!I41,"N/A")</f>
        <v>N/A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2" t="str" cm="1">
        <f t="array" ref="W79">IF(OR(M79:V79="NO"),"No aceptable","Aceptable")</f>
        <v>Aceptable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3" t="str" cm="1">
        <f t="array" ref="AN79">IF(OR(AA79:AM79="SI"),"Critico","No Critico")</f>
        <v>No Critico</v>
      </c>
    </row>
    <row r="80" spans="1:40">
      <c r="A80" s="63">
        <f>Inicial!A42</f>
        <v>0</v>
      </c>
      <c r="B80" s="64">
        <f>Inicial!B42</f>
        <v>0</v>
      </c>
      <c r="C80" s="64">
        <f>Inicial!C42</f>
        <v>0</v>
      </c>
      <c r="D80" s="65">
        <f>Inicial!D42</f>
        <v>0</v>
      </c>
      <c r="E80" s="63" t="str">
        <f>IF(Inicial!M42="SI",Inicial!E42,"N/A")</f>
        <v>N/A</v>
      </c>
      <c r="F80" s="64" t="str">
        <f>IF(Inicial!M42="SI",Inicial!F42,"N/A")</f>
        <v>N/A</v>
      </c>
      <c r="G80" s="64" t="str">
        <f>IF(Inicial!M42="SI",Inicial!G42,"N/A")</f>
        <v>N/A</v>
      </c>
      <c r="H80" s="64" t="str">
        <f>IF(Inicial!M42="SI",Inicial!H42,"N/A")</f>
        <v>N/A</v>
      </c>
      <c r="I80" s="66" t="str">
        <f>IF(Inicial!M42="SI",Inicial!I42,"N/A")</f>
        <v>N/A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2" t="str" cm="1">
        <f t="array" ref="W80">IF(OR(M80:V80="NO"),"No aceptable","Aceptable")</f>
        <v>Aceptable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3" t="str" cm="1">
        <f t="array" ref="AN80">IF(OR(AA80:AM80="SI"),"Critico","No Critico")</f>
        <v>No Critico</v>
      </c>
    </row>
    <row r="81" spans="1:40">
      <c r="A81" s="63">
        <f>Inicial!A43</f>
        <v>0</v>
      </c>
      <c r="B81" s="64">
        <f>Inicial!B43</f>
        <v>0</v>
      </c>
      <c r="C81" s="64">
        <f>Inicial!C43</f>
        <v>0</v>
      </c>
      <c r="D81" s="65">
        <f>Inicial!D43</f>
        <v>0</v>
      </c>
      <c r="E81" s="63" t="str">
        <f>IF(Inicial!M43="SI",Inicial!E43,"N/A")</f>
        <v>N/A</v>
      </c>
      <c r="F81" s="64" t="str">
        <f>IF(Inicial!M43="SI",Inicial!F43,"N/A")</f>
        <v>N/A</v>
      </c>
      <c r="G81" s="64" t="str">
        <f>IF(Inicial!M43="SI",Inicial!G43,"N/A")</f>
        <v>N/A</v>
      </c>
      <c r="H81" s="64" t="str">
        <f>IF(Inicial!M43="SI",Inicial!H43,"N/A")</f>
        <v>N/A</v>
      </c>
      <c r="I81" s="66" t="str">
        <f>IF(Inicial!M43="SI",Inicial!I43,"N/A")</f>
        <v>N/A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2" t="str" cm="1">
        <f t="array" ref="W81">IF(OR(M81:V81="NO"),"No aceptable","Aceptable")</f>
        <v>Aceptable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3" t="str" cm="1">
        <f t="array" ref="AN81">IF(OR(AA81:AM81="SI"),"Critico","No Critico")</f>
        <v>No Critico</v>
      </c>
    </row>
    <row r="82" spans="1:40">
      <c r="A82" s="63">
        <f>Inicial!A44</f>
        <v>0</v>
      </c>
      <c r="B82" s="64">
        <f>Inicial!B44</f>
        <v>0</v>
      </c>
      <c r="C82" s="64">
        <f>Inicial!C44</f>
        <v>0</v>
      </c>
      <c r="D82" s="65">
        <f>Inicial!D44</f>
        <v>0</v>
      </c>
      <c r="E82" s="63" t="str">
        <f>IF(Inicial!M44="SI",Inicial!E44,"N/A")</f>
        <v>N/A</v>
      </c>
      <c r="F82" s="64" t="str">
        <f>IF(Inicial!M44="SI",Inicial!F44,"N/A")</f>
        <v>N/A</v>
      </c>
      <c r="G82" s="64" t="str">
        <f>IF(Inicial!M44="SI",Inicial!G44,"N/A")</f>
        <v>N/A</v>
      </c>
      <c r="H82" s="64" t="str">
        <f>IF(Inicial!M44="SI",Inicial!H44,"N/A")</f>
        <v>N/A</v>
      </c>
      <c r="I82" s="66" t="str">
        <f>IF(Inicial!M44="SI",Inicial!I44,"N/A")</f>
        <v>N/A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2" t="str" cm="1">
        <f t="array" ref="W82">IF(OR(M82:V82="NO"),"No aceptable","Aceptable")</f>
        <v>Aceptable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3" t="str" cm="1">
        <f t="array" ref="AN82">IF(OR(AA82:AM82="SI"),"Critico","No Critico")</f>
        <v>No Critico</v>
      </c>
    </row>
    <row r="83" spans="1:40">
      <c r="A83" s="63">
        <f>Inicial!A45</f>
        <v>0</v>
      </c>
      <c r="B83" s="64">
        <f>Inicial!B45</f>
        <v>0</v>
      </c>
      <c r="C83" s="64">
        <f>Inicial!C45</f>
        <v>0</v>
      </c>
      <c r="D83" s="65">
        <f>Inicial!D45</f>
        <v>0</v>
      </c>
      <c r="E83" s="63" t="str">
        <f>IF(Inicial!M45="SI",Inicial!E45,"N/A")</f>
        <v>N/A</v>
      </c>
      <c r="F83" s="64" t="str">
        <f>IF(Inicial!M45="SI",Inicial!F45,"N/A")</f>
        <v>N/A</v>
      </c>
      <c r="G83" s="64" t="str">
        <f>IF(Inicial!M45="SI",Inicial!G45,"N/A")</f>
        <v>N/A</v>
      </c>
      <c r="H83" s="64" t="str">
        <f>IF(Inicial!M45="SI",Inicial!H45,"N/A")</f>
        <v>N/A</v>
      </c>
      <c r="I83" s="66" t="str">
        <f>IF(Inicial!M45="SI",Inicial!I45,"N/A")</f>
        <v>N/A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2" t="str" cm="1">
        <f t="array" ref="W83">IF(OR(M83:V83="NO"),"No aceptable","Aceptable")</f>
        <v>Aceptable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3" t="str" cm="1">
        <f t="array" ref="AN83">IF(OR(AA83:AM83="SI"),"Critico","No Critico")</f>
        <v>No Critico</v>
      </c>
    </row>
    <row r="84" spans="1:40">
      <c r="A84" s="63">
        <f>Inicial!A46</f>
        <v>0</v>
      </c>
      <c r="B84" s="64">
        <f>Inicial!B46</f>
        <v>0</v>
      </c>
      <c r="C84" s="64">
        <f>Inicial!C46</f>
        <v>0</v>
      </c>
      <c r="D84" s="65">
        <f>Inicial!D46</f>
        <v>0</v>
      </c>
      <c r="E84" s="63" t="str">
        <f>IF(Inicial!M46="SI",Inicial!E46,"N/A")</f>
        <v>N/A</v>
      </c>
      <c r="F84" s="64" t="str">
        <f>IF(Inicial!M46="SI",Inicial!F46,"N/A")</f>
        <v>N/A</v>
      </c>
      <c r="G84" s="64" t="str">
        <f>IF(Inicial!M46="SI",Inicial!G46,"N/A")</f>
        <v>N/A</v>
      </c>
      <c r="H84" s="64" t="str">
        <f>IF(Inicial!M46="SI",Inicial!H46,"N/A")</f>
        <v>N/A</v>
      </c>
      <c r="I84" s="66" t="str">
        <f>IF(Inicial!M46="SI",Inicial!I46,"N/A")</f>
        <v>N/A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2" t="str" cm="1">
        <f t="array" ref="W84">IF(OR(M84:V84="NO"),"No aceptable","Aceptable")</f>
        <v>Aceptable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3" t="str" cm="1">
        <f t="array" ref="AN84">IF(OR(AA84:AM84="SI"),"Critico","No Critico")</f>
        <v>No Critico</v>
      </c>
    </row>
    <row r="85" spans="1:40">
      <c r="A85" s="63">
        <f>Inicial!A47</f>
        <v>0</v>
      </c>
      <c r="B85" s="64">
        <f>Inicial!B47</f>
        <v>0</v>
      </c>
      <c r="C85" s="64">
        <f>Inicial!C47</f>
        <v>0</v>
      </c>
      <c r="D85" s="65">
        <f>Inicial!D47</f>
        <v>0</v>
      </c>
      <c r="E85" s="63" t="str">
        <f>IF(Inicial!M47="SI",Inicial!E47,"N/A")</f>
        <v>N/A</v>
      </c>
      <c r="F85" s="64" t="str">
        <f>IF(Inicial!M47="SI",Inicial!F47,"N/A")</f>
        <v>N/A</v>
      </c>
      <c r="G85" s="64" t="str">
        <f>IF(Inicial!M47="SI",Inicial!G47,"N/A")</f>
        <v>N/A</v>
      </c>
      <c r="H85" s="64" t="str">
        <f>IF(Inicial!M47="SI",Inicial!H47,"N/A")</f>
        <v>N/A</v>
      </c>
      <c r="I85" s="66" t="str">
        <f>IF(Inicial!M47="SI",Inicial!I47,"N/A")</f>
        <v>N/A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2" t="str" cm="1">
        <f t="array" ref="W85">IF(OR(M85:V85="NO"),"No aceptable","Aceptable")</f>
        <v>Aceptable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3" t="str" cm="1">
        <f t="array" ref="AN85">IF(OR(AA85:AM85="SI"),"Critico","No Critico")</f>
        <v>No Critico</v>
      </c>
    </row>
    <row r="86" spans="1:40">
      <c r="A86" s="63">
        <f>Inicial!A48</f>
        <v>0</v>
      </c>
      <c r="B86" s="64">
        <f>Inicial!B48</f>
        <v>0</v>
      </c>
      <c r="C86" s="64">
        <f>Inicial!C48</f>
        <v>0</v>
      </c>
      <c r="D86" s="65">
        <f>Inicial!D48</f>
        <v>0</v>
      </c>
      <c r="E86" s="63" t="str">
        <f>IF(Inicial!M48="SI",Inicial!E48,"N/A")</f>
        <v>N/A</v>
      </c>
      <c r="F86" s="64" t="str">
        <f>IF(Inicial!M48="SI",Inicial!F48,"N/A")</f>
        <v>N/A</v>
      </c>
      <c r="G86" s="64" t="str">
        <f>IF(Inicial!M48="SI",Inicial!G48,"N/A")</f>
        <v>N/A</v>
      </c>
      <c r="H86" s="64" t="str">
        <f>IF(Inicial!M48="SI",Inicial!H48,"N/A")</f>
        <v>N/A</v>
      </c>
      <c r="I86" s="66" t="str">
        <f>IF(Inicial!M48="SI",Inicial!I48,"N/A")</f>
        <v>N/A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2" t="str" cm="1">
        <f t="array" ref="W86">IF(OR(M86:V86="NO"),"No aceptable","Aceptable")</f>
        <v>Aceptable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3" t="str" cm="1">
        <f t="array" ref="AN86">IF(OR(AA86:AM86="SI"),"Critico","No Critico")</f>
        <v>No Critico</v>
      </c>
    </row>
    <row r="87" spans="1:40">
      <c r="A87" s="63">
        <f>Inicial!A49</f>
        <v>0</v>
      </c>
      <c r="B87" s="64">
        <f>Inicial!B49</f>
        <v>0</v>
      </c>
      <c r="C87" s="64">
        <f>Inicial!C49</f>
        <v>0</v>
      </c>
      <c r="D87" s="65">
        <f>Inicial!D49</f>
        <v>0</v>
      </c>
      <c r="E87" s="63" t="str">
        <f>IF(Inicial!M49="SI",Inicial!E49,"N/A")</f>
        <v>N/A</v>
      </c>
      <c r="F87" s="64" t="str">
        <f>IF(Inicial!M49="SI",Inicial!F49,"N/A")</f>
        <v>N/A</v>
      </c>
      <c r="G87" s="64" t="str">
        <f>IF(Inicial!M49="SI",Inicial!G49,"N/A")</f>
        <v>N/A</v>
      </c>
      <c r="H87" s="64" t="str">
        <f>IF(Inicial!M49="SI",Inicial!H49,"N/A")</f>
        <v>N/A</v>
      </c>
      <c r="I87" s="66" t="str">
        <f>IF(Inicial!M49="SI",Inicial!I49,"N/A")</f>
        <v>N/A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2" t="str" cm="1">
        <f t="array" ref="W87">IF(OR(M87:V87="NO"),"No aceptable","Aceptable")</f>
        <v>Aceptable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3" t="str" cm="1">
        <f t="array" ref="AN87">IF(OR(AA87:AM87="SI"),"Critico","No Critico")</f>
        <v>No Critico</v>
      </c>
    </row>
    <row r="88" spans="1:40">
      <c r="A88" s="63">
        <f>Inicial!A50</f>
        <v>0</v>
      </c>
      <c r="B88" s="64">
        <f>Inicial!B50</f>
        <v>0</v>
      </c>
      <c r="C88" s="64">
        <f>Inicial!C50</f>
        <v>0</v>
      </c>
      <c r="D88" s="65">
        <f>Inicial!D50</f>
        <v>0</v>
      </c>
      <c r="E88" s="63" t="str">
        <f>IF(Inicial!M50="SI",Inicial!E50,"N/A")</f>
        <v>N/A</v>
      </c>
      <c r="F88" s="64" t="str">
        <f>IF(Inicial!M50="SI",Inicial!F50,"N/A")</f>
        <v>N/A</v>
      </c>
      <c r="G88" s="64" t="str">
        <f>IF(Inicial!M50="SI",Inicial!G50,"N/A")</f>
        <v>N/A</v>
      </c>
      <c r="H88" s="64" t="str">
        <f>IF(Inicial!M50="SI",Inicial!H50,"N/A")</f>
        <v>N/A</v>
      </c>
      <c r="I88" s="66" t="str">
        <f>IF(Inicial!M50="SI",Inicial!I50,"N/A")</f>
        <v>N/A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2" t="str" cm="1">
        <f t="array" ref="W88">IF(OR(M88:V88="NO"),"No aceptable","Aceptable")</f>
        <v>Aceptable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3" t="str" cm="1">
        <f t="array" ref="AN88">IF(OR(AA88:AM88="SI"),"Critico","No Critico")</f>
        <v>No Critico</v>
      </c>
    </row>
    <row r="89" spans="1:40">
      <c r="A89" s="63">
        <f>Inicial!A51</f>
        <v>0</v>
      </c>
      <c r="B89" s="64">
        <f>Inicial!B51</f>
        <v>0</v>
      </c>
      <c r="C89" s="64">
        <f>Inicial!C51</f>
        <v>0</v>
      </c>
      <c r="D89" s="65">
        <f>Inicial!D51</f>
        <v>0</v>
      </c>
      <c r="E89" s="63" t="str">
        <f>IF(Inicial!M51="SI",Inicial!E51,"N/A")</f>
        <v>N/A</v>
      </c>
      <c r="F89" s="64" t="str">
        <f>IF(Inicial!M51="SI",Inicial!F51,"N/A")</f>
        <v>N/A</v>
      </c>
      <c r="G89" s="64" t="str">
        <f>IF(Inicial!M51="SI",Inicial!G51,"N/A")</f>
        <v>N/A</v>
      </c>
      <c r="H89" s="64" t="str">
        <f>IF(Inicial!M51="SI",Inicial!H51,"N/A")</f>
        <v>N/A</v>
      </c>
      <c r="I89" s="66" t="str">
        <f>IF(Inicial!M51="SI",Inicial!I51,"N/A")</f>
        <v>N/A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2" t="str" cm="1">
        <f t="array" ref="W89">IF(OR(M89:V89="NO"),"No aceptable","Aceptable")</f>
        <v>Aceptable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3" t="str" cm="1">
        <f t="array" ref="AN89">IF(OR(AA89:AM89="SI"),"Critico","No Critico")</f>
        <v>No Critico</v>
      </c>
    </row>
    <row r="90" spans="1:40">
      <c r="A90" s="63">
        <f>Inicial!A52</f>
        <v>0</v>
      </c>
      <c r="B90" s="64">
        <f>Inicial!B52</f>
        <v>0</v>
      </c>
      <c r="C90" s="64">
        <f>Inicial!C52</f>
        <v>0</v>
      </c>
      <c r="D90" s="65">
        <f>Inicial!D52</f>
        <v>0</v>
      </c>
      <c r="E90" s="63" t="str">
        <f>IF(Inicial!M52="SI",Inicial!E52,"N/A")</f>
        <v>N/A</v>
      </c>
      <c r="F90" s="64" t="str">
        <f>IF(Inicial!M52="SI",Inicial!F52,"N/A")</f>
        <v>N/A</v>
      </c>
      <c r="G90" s="64" t="str">
        <f>IF(Inicial!M52="SI",Inicial!G52,"N/A")</f>
        <v>N/A</v>
      </c>
      <c r="H90" s="64" t="str">
        <f>IF(Inicial!M52="SI",Inicial!H52,"N/A")</f>
        <v>N/A</v>
      </c>
      <c r="I90" s="66" t="str">
        <f>IF(Inicial!M52="SI",Inicial!I52,"N/A")</f>
        <v>N/A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2" t="str" cm="1">
        <f t="array" ref="W90">IF(OR(M90:V90="NO"),"No aceptable","Aceptable")</f>
        <v>Aceptable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3" t="str" cm="1">
        <f t="array" ref="AN90">IF(OR(AA90:AM90="SI"),"Critico","No Critico")</f>
        <v>No Critico</v>
      </c>
    </row>
    <row r="91" spans="1:40">
      <c r="A91" s="63">
        <f>Inicial!A53</f>
        <v>0</v>
      </c>
      <c r="B91" s="64">
        <f>Inicial!B53</f>
        <v>0</v>
      </c>
      <c r="C91" s="64">
        <f>Inicial!C53</f>
        <v>0</v>
      </c>
      <c r="D91" s="65">
        <f>Inicial!D53</f>
        <v>0</v>
      </c>
      <c r="E91" s="63" t="str">
        <f>IF(Inicial!M53="SI",Inicial!E53,"N/A")</f>
        <v>N/A</v>
      </c>
      <c r="F91" s="64" t="str">
        <f>IF(Inicial!M53="SI",Inicial!F53,"N/A")</f>
        <v>N/A</v>
      </c>
      <c r="G91" s="64" t="str">
        <f>IF(Inicial!M53="SI",Inicial!G53,"N/A")</f>
        <v>N/A</v>
      </c>
      <c r="H91" s="64" t="str">
        <f>IF(Inicial!M53="SI",Inicial!H53,"N/A")</f>
        <v>N/A</v>
      </c>
      <c r="I91" s="66" t="str">
        <f>IF(Inicial!M53="SI",Inicial!I53,"N/A")</f>
        <v>N/A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2" t="str" cm="1">
        <f t="array" ref="W91">IF(OR(M91:V91="NO"),"No aceptable","Aceptable")</f>
        <v>Aceptable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3" t="str" cm="1">
        <f t="array" ref="AN91">IF(OR(AA91:AM91="SI"),"Critico","No Critico")</f>
        <v>No Critico</v>
      </c>
    </row>
    <row r="92" spans="1:40">
      <c r="A92" s="63">
        <f>Inicial!A54</f>
        <v>0</v>
      </c>
      <c r="B92" s="64">
        <f>Inicial!B54</f>
        <v>0</v>
      </c>
      <c r="C92" s="64">
        <f>Inicial!C54</f>
        <v>0</v>
      </c>
      <c r="D92" s="65">
        <f>Inicial!D54</f>
        <v>0</v>
      </c>
      <c r="E92" s="63" t="str">
        <f>IF(Inicial!M54="SI",Inicial!E54,"N/A")</f>
        <v>N/A</v>
      </c>
      <c r="F92" s="64" t="str">
        <f>IF(Inicial!M54="SI",Inicial!F54,"N/A")</f>
        <v>N/A</v>
      </c>
      <c r="G92" s="64" t="str">
        <f>IF(Inicial!M54="SI",Inicial!G54,"N/A")</f>
        <v>N/A</v>
      </c>
      <c r="H92" s="64" t="str">
        <f>IF(Inicial!M54="SI",Inicial!H54,"N/A")</f>
        <v>N/A</v>
      </c>
      <c r="I92" s="66" t="str">
        <f>IF(Inicial!M54="SI",Inicial!I54,"N/A")</f>
        <v>N/A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2" t="str" cm="1">
        <f t="array" ref="W92">IF(OR(M92:V92="NO"),"No aceptable","Aceptable")</f>
        <v>Aceptable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3" t="str" cm="1">
        <f t="array" ref="AN92">IF(OR(AA92:AM92="SI"),"Critico","No Critico")</f>
        <v>No Critico</v>
      </c>
    </row>
    <row r="93" spans="1:40">
      <c r="A93" s="63">
        <f>Inicial!A55</f>
        <v>0</v>
      </c>
      <c r="B93" s="64">
        <f>Inicial!B55</f>
        <v>0</v>
      </c>
      <c r="C93" s="64">
        <f>Inicial!C55</f>
        <v>0</v>
      </c>
      <c r="D93" s="65">
        <f>Inicial!D55</f>
        <v>0</v>
      </c>
      <c r="E93" s="63" t="str">
        <f>IF(Inicial!M55="SI",Inicial!E55,"N/A")</f>
        <v>N/A</v>
      </c>
      <c r="F93" s="64" t="str">
        <f>IF(Inicial!M55="SI",Inicial!F55,"N/A")</f>
        <v>N/A</v>
      </c>
      <c r="G93" s="64" t="str">
        <f>IF(Inicial!M55="SI",Inicial!G55,"N/A")</f>
        <v>N/A</v>
      </c>
      <c r="H93" s="64" t="str">
        <f>IF(Inicial!M55="SI",Inicial!H55,"N/A")</f>
        <v>N/A</v>
      </c>
      <c r="I93" s="66" t="str">
        <f>IF(Inicial!M55="SI",Inicial!I55,"N/A")</f>
        <v>N/A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2" t="str" cm="1">
        <f t="array" ref="W93">IF(OR(M93:V93="NO"),"No aceptable","Aceptable")</f>
        <v>Aceptable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3" t="str" cm="1">
        <f t="array" ref="AN93">IF(OR(AA93:AM93="SI"),"Critico","No Critico")</f>
        <v>No Critico</v>
      </c>
    </row>
    <row r="94" spans="1:40">
      <c r="A94" s="63">
        <f>Inicial!A56</f>
        <v>0</v>
      </c>
      <c r="B94" s="64">
        <f>Inicial!B56</f>
        <v>0</v>
      </c>
      <c r="C94" s="64">
        <f>Inicial!C56</f>
        <v>0</v>
      </c>
      <c r="D94" s="65">
        <f>Inicial!D56</f>
        <v>0</v>
      </c>
      <c r="E94" s="63" t="str">
        <f>IF(Inicial!M56="SI",Inicial!E56,"N/A")</f>
        <v>N/A</v>
      </c>
      <c r="F94" s="64" t="str">
        <f>IF(Inicial!M56="SI",Inicial!F56,"N/A")</f>
        <v>N/A</v>
      </c>
      <c r="G94" s="64" t="str">
        <f>IF(Inicial!M56="SI",Inicial!G56,"N/A")</f>
        <v>N/A</v>
      </c>
      <c r="H94" s="64" t="str">
        <f>IF(Inicial!M56="SI",Inicial!H56,"N/A")</f>
        <v>N/A</v>
      </c>
      <c r="I94" s="66" t="str">
        <f>IF(Inicial!M56="SI",Inicial!I56,"N/A")</f>
        <v>N/A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2" t="str" cm="1">
        <f t="array" ref="W94">IF(OR(M94:V94="NO"),"No aceptable","Aceptable")</f>
        <v>Aceptable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3" t="str" cm="1">
        <f t="array" ref="AN94">IF(OR(AA94:AM94="SI"),"Critico","No Critico")</f>
        <v>No Critico</v>
      </c>
    </row>
    <row r="95" spans="1:40">
      <c r="A95" s="63">
        <f>Inicial!A57</f>
        <v>0</v>
      </c>
      <c r="B95" s="64">
        <f>Inicial!B57</f>
        <v>0</v>
      </c>
      <c r="C95" s="64">
        <f>Inicial!C57</f>
        <v>0</v>
      </c>
      <c r="D95" s="65">
        <f>Inicial!D57</f>
        <v>0</v>
      </c>
      <c r="E95" s="63" t="str">
        <f>IF(Inicial!M57="SI",Inicial!E57,"N/A")</f>
        <v>N/A</v>
      </c>
      <c r="F95" s="64" t="str">
        <f>IF(Inicial!M57="SI",Inicial!F57,"N/A")</f>
        <v>N/A</v>
      </c>
      <c r="G95" s="64" t="str">
        <f>IF(Inicial!M57="SI",Inicial!G57,"N/A")</f>
        <v>N/A</v>
      </c>
      <c r="H95" s="64" t="str">
        <f>IF(Inicial!M57="SI",Inicial!H57,"N/A")</f>
        <v>N/A</v>
      </c>
      <c r="I95" s="66" t="str">
        <f>IF(Inicial!M57="SI",Inicial!I57,"N/A")</f>
        <v>N/A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2" t="str" cm="1">
        <f t="array" ref="W95">IF(OR(M95:V95="NO"),"No aceptable","Aceptable")</f>
        <v>Aceptable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3" t="str" cm="1">
        <f t="array" ref="AN95">IF(OR(AA95:AM95="SI"),"Critico","No Critico")</f>
        <v>No Critico</v>
      </c>
    </row>
    <row r="96" spans="1:40">
      <c r="A96" s="63">
        <f>Inicial!A58</f>
        <v>0</v>
      </c>
      <c r="B96" s="64">
        <f>Inicial!B58</f>
        <v>0</v>
      </c>
      <c r="C96" s="64">
        <f>Inicial!C58</f>
        <v>0</v>
      </c>
      <c r="D96" s="65">
        <f>Inicial!D58</f>
        <v>0</v>
      </c>
      <c r="E96" s="63" t="str">
        <f>IF(Inicial!M58="SI",Inicial!E58,"N/A")</f>
        <v>N/A</v>
      </c>
      <c r="F96" s="64" t="str">
        <f>IF(Inicial!M58="SI",Inicial!F58,"N/A")</f>
        <v>N/A</v>
      </c>
      <c r="G96" s="64" t="str">
        <f>IF(Inicial!M58="SI",Inicial!G58,"N/A")</f>
        <v>N/A</v>
      </c>
      <c r="H96" s="64" t="str">
        <f>IF(Inicial!M58="SI",Inicial!H58,"N/A")</f>
        <v>N/A</v>
      </c>
      <c r="I96" s="66" t="str">
        <f>IF(Inicial!M58="SI",Inicial!I58,"N/A")</f>
        <v>N/A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2" t="str" cm="1">
        <f t="array" ref="W96">IF(OR(M96:V96="NO"),"No aceptable","Aceptable")</f>
        <v>Aceptable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3" t="str" cm="1">
        <f t="array" ref="AN96">IF(OR(AA96:AM96="SI"),"Critico","No Critico")</f>
        <v>No Critico</v>
      </c>
    </row>
    <row r="97" spans="1:40">
      <c r="A97" s="63">
        <f>Inicial!A59</f>
        <v>0</v>
      </c>
      <c r="B97" s="64">
        <f>Inicial!B59</f>
        <v>0</v>
      </c>
      <c r="C97" s="64">
        <f>Inicial!C59</f>
        <v>0</v>
      </c>
      <c r="D97" s="65">
        <f>Inicial!D59</f>
        <v>0</v>
      </c>
      <c r="E97" s="63" t="str">
        <f>IF(Inicial!M59="SI",Inicial!E59,"N/A")</f>
        <v>N/A</v>
      </c>
      <c r="F97" s="64" t="str">
        <f>IF(Inicial!M59="SI",Inicial!F59,"N/A")</f>
        <v>N/A</v>
      </c>
      <c r="G97" s="64" t="str">
        <f>IF(Inicial!M59="SI",Inicial!G59,"N/A")</f>
        <v>N/A</v>
      </c>
      <c r="H97" s="64" t="str">
        <f>IF(Inicial!M59="SI",Inicial!H59,"N/A")</f>
        <v>N/A</v>
      </c>
      <c r="I97" s="66" t="str">
        <f>IF(Inicial!M59="SI",Inicial!I59,"N/A")</f>
        <v>N/A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2" t="str" cm="1">
        <f t="array" ref="W97">IF(OR(M97:V97="NO"),"No aceptable","Aceptable")</f>
        <v>Aceptable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3" t="str" cm="1">
        <f t="array" ref="AN97">IF(OR(AA97:AM97="SI"),"Critico","No Critico")</f>
        <v>No Critico</v>
      </c>
    </row>
    <row r="98" spans="1:40">
      <c r="A98" s="63">
        <f>Inicial!A60</f>
        <v>0</v>
      </c>
      <c r="B98" s="64">
        <f>Inicial!B60</f>
        <v>0</v>
      </c>
      <c r="C98" s="64">
        <f>Inicial!C60</f>
        <v>0</v>
      </c>
      <c r="D98" s="65">
        <f>Inicial!D60</f>
        <v>0</v>
      </c>
      <c r="E98" s="63" t="str">
        <f>IF(Inicial!M60="SI",Inicial!E60,"N/A")</f>
        <v>N/A</v>
      </c>
      <c r="F98" s="64" t="str">
        <f>IF(Inicial!M60="SI",Inicial!F60,"N/A")</f>
        <v>N/A</v>
      </c>
      <c r="G98" s="64" t="str">
        <f>IF(Inicial!M60="SI",Inicial!G60,"N/A")</f>
        <v>N/A</v>
      </c>
      <c r="H98" s="64" t="str">
        <f>IF(Inicial!M60="SI",Inicial!H60,"N/A")</f>
        <v>N/A</v>
      </c>
      <c r="I98" s="66" t="str">
        <f>IF(Inicial!M60="SI",Inicial!I60,"N/A")</f>
        <v>N/A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2" t="str" cm="1">
        <f t="array" ref="W98">IF(OR(M98:V98="NO"),"No aceptable","Aceptable")</f>
        <v>Aceptable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3" t="str" cm="1">
        <f t="array" ref="AN98">IF(OR(AA98:AM98="SI"),"Critico","No Critico")</f>
        <v>No Critico</v>
      </c>
    </row>
    <row r="99" spans="1:40">
      <c r="A99" s="63">
        <f>Inicial!A61</f>
        <v>0</v>
      </c>
      <c r="B99" s="64">
        <f>Inicial!B61</f>
        <v>0</v>
      </c>
      <c r="C99" s="64">
        <f>Inicial!C61</f>
        <v>0</v>
      </c>
      <c r="D99" s="65">
        <f>Inicial!D61</f>
        <v>0</v>
      </c>
      <c r="E99" s="63" t="str">
        <f>IF(Inicial!M61="SI",Inicial!E61,"N/A")</f>
        <v>N/A</v>
      </c>
      <c r="F99" s="64" t="str">
        <f>IF(Inicial!M61="SI",Inicial!F61,"N/A")</f>
        <v>N/A</v>
      </c>
      <c r="G99" s="64" t="str">
        <f>IF(Inicial!M61="SI",Inicial!G61,"N/A")</f>
        <v>N/A</v>
      </c>
      <c r="H99" s="64" t="str">
        <f>IF(Inicial!M61="SI",Inicial!H61,"N/A")</f>
        <v>N/A</v>
      </c>
      <c r="I99" s="66" t="str">
        <f>IF(Inicial!M61="SI",Inicial!I61,"N/A")</f>
        <v>N/A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2" t="str" cm="1">
        <f t="array" ref="W99">IF(OR(M99:V99="NO"),"No aceptable","Aceptable")</f>
        <v>Aceptable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3" t="str" cm="1">
        <f t="array" ref="AN99">IF(OR(AA99:AM99="SI"),"Critico","No Critico")</f>
        <v>No Critico</v>
      </c>
    </row>
    <row r="100" spans="1:40">
      <c r="A100" s="63">
        <f>Inicial!A62</f>
        <v>0</v>
      </c>
      <c r="B100" s="64">
        <f>Inicial!B62</f>
        <v>0</v>
      </c>
      <c r="C100" s="64">
        <f>Inicial!C62</f>
        <v>0</v>
      </c>
      <c r="D100" s="65">
        <f>Inicial!D62</f>
        <v>0</v>
      </c>
      <c r="E100" s="63" t="str">
        <f>IF(Inicial!M62="SI",Inicial!E62,"N/A")</f>
        <v>N/A</v>
      </c>
      <c r="F100" s="64" t="str">
        <f>IF(Inicial!M62="SI",Inicial!F62,"N/A")</f>
        <v>N/A</v>
      </c>
      <c r="G100" s="64" t="str">
        <f>IF(Inicial!M62="SI",Inicial!G62,"N/A")</f>
        <v>N/A</v>
      </c>
      <c r="H100" s="64" t="str">
        <f>IF(Inicial!M62="SI",Inicial!H62,"N/A")</f>
        <v>N/A</v>
      </c>
      <c r="I100" s="66" t="str">
        <f>IF(Inicial!M62="SI",Inicial!I62,"N/A")</f>
        <v>N/A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2" t="str" cm="1">
        <f t="array" ref="W100">IF(OR(M100:V100="NO"),"No aceptable","Aceptable")</f>
        <v>Aceptable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3" t="str" cm="1">
        <f t="array" ref="AN100">IF(OR(AA100:AM100="SI"),"Critico","No Critico")</f>
        <v>No Critico</v>
      </c>
    </row>
    <row r="101" spans="1:40">
      <c r="A101" s="63">
        <f>Inicial!A63</f>
        <v>0</v>
      </c>
      <c r="B101" s="64">
        <f>Inicial!B63</f>
        <v>0</v>
      </c>
      <c r="C101" s="64">
        <f>Inicial!C63</f>
        <v>0</v>
      </c>
      <c r="D101" s="65">
        <f>Inicial!D63</f>
        <v>0</v>
      </c>
      <c r="E101" s="63" t="str">
        <f>IF(Inicial!M63="SI",Inicial!E63,"N/A")</f>
        <v>N/A</v>
      </c>
      <c r="F101" s="64" t="str">
        <f>IF(Inicial!M63="SI",Inicial!F63,"N/A")</f>
        <v>N/A</v>
      </c>
      <c r="G101" s="64" t="str">
        <f>IF(Inicial!M63="SI",Inicial!G63,"N/A")</f>
        <v>N/A</v>
      </c>
      <c r="H101" s="64" t="str">
        <f>IF(Inicial!M63="SI",Inicial!H63,"N/A")</f>
        <v>N/A</v>
      </c>
      <c r="I101" s="66" t="str">
        <f>IF(Inicial!M63="SI",Inicial!I63,"N/A")</f>
        <v>N/A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2" t="str" cm="1">
        <f t="array" ref="W101">IF(OR(M101:V101="NO"),"No aceptable","Aceptable")</f>
        <v>Aceptable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3" t="str" cm="1">
        <f t="array" ref="AN101">IF(OR(AA101:AM101="SI"),"Critico","No Critico")</f>
        <v>No Critico</v>
      </c>
    </row>
    <row r="102" spans="1:40">
      <c r="A102" s="63">
        <f>Inicial!A64</f>
        <v>0</v>
      </c>
      <c r="B102" s="64">
        <f>Inicial!B64</f>
        <v>0</v>
      </c>
      <c r="C102" s="64">
        <f>Inicial!C64</f>
        <v>0</v>
      </c>
      <c r="D102" s="65">
        <f>Inicial!D64</f>
        <v>0</v>
      </c>
      <c r="E102" s="63" t="str">
        <f>IF(Inicial!M64="SI",Inicial!E64,"N/A")</f>
        <v>N/A</v>
      </c>
      <c r="F102" s="64" t="str">
        <f>IF(Inicial!M64="SI",Inicial!F64,"N/A")</f>
        <v>N/A</v>
      </c>
      <c r="G102" s="64" t="str">
        <f>IF(Inicial!M64="SI",Inicial!G64,"N/A")</f>
        <v>N/A</v>
      </c>
      <c r="H102" s="64" t="str">
        <f>IF(Inicial!M64="SI",Inicial!H64,"N/A")</f>
        <v>N/A</v>
      </c>
      <c r="I102" s="66" t="str">
        <f>IF(Inicial!M64="SI",Inicial!I64,"N/A")</f>
        <v>N/A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2" t="str" cm="1">
        <f t="array" ref="W102">IF(OR(M102:V102="NO"),"No aceptable","Aceptable")</f>
        <v>Aceptable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3" t="str" cm="1">
        <f t="array" ref="AN102">IF(OR(AA102:AM102="SI"),"Critico","No Critico")</f>
        <v>No Critico</v>
      </c>
    </row>
    <row r="103" spans="1:40">
      <c r="A103" s="63">
        <f>Inicial!A65</f>
        <v>0</v>
      </c>
      <c r="B103" s="64">
        <f>Inicial!B65</f>
        <v>0</v>
      </c>
      <c r="C103" s="64">
        <f>Inicial!C65</f>
        <v>0</v>
      </c>
      <c r="D103" s="65">
        <f>Inicial!D65</f>
        <v>0</v>
      </c>
      <c r="E103" s="63" t="str">
        <f>IF(Inicial!M65="SI",Inicial!E65,"N/A")</f>
        <v>N/A</v>
      </c>
      <c r="F103" s="64" t="str">
        <f>IF(Inicial!M65="SI",Inicial!F65,"N/A")</f>
        <v>N/A</v>
      </c>
      <c r="G103" s="64" t="str">
        <f>IF(Inicial!M65="SI",Inicial!G65,"N/A")</f>
        <v>N/A</v>
      </c>
      <c r="H103" s="64" t="str">
        <f>IF(Inicial!M65="SI",Inicial!H65,"N/A")</f>
        <v>N/A</v>
      </c>
      <c r="I103" s="66" t="str">
        <f>IF(Inicial!M65="SI",Inicial!I65,"N/A")</f>
        <v>N/A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2" t="str" cm="1">
        <f t="array" ref="W103">IF(OR(M103:V103="NO"),"No aceptable","Aceptable")</f>
        <v>Aceptable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3" t="str" cm="1">
        <f t="array" ref="AN103">IF(OR(AA103:AM103="SI"),"Critico","No Critico")</f>
        <v>No Critico</v>
      </c>
    </row>
    <row r="104" spans="1:40">
      <c r="A104" s="63">
        <f>Inicial!A66</f>
        <v>0</v>
      </c>
      <c r="B104" s="64">
        <f>Inicial!B66</f>
        <v>0</v>
      </c>
      <c r="C104" s="64">
        <f>Inicial!C66</f>
        <v>0</v>
      </c>
      <c r="D104" s="65">
        <f>Inicial!D66</f>
        <v>0</v>
      </c>
      <c r="E104" s="63" t="str">
        <f>IF(Inicial!M66="SI",Inicial!E66,"N/A")</f>
        <v>N/A</v>
      </c>
      <c r="F104" s="64" t="str">
        <f>IF(Inicial!M66="SI",Inicial!F66,"N/A")</f>
        <v>N/A</v>
      </c>
      <c r="G104" s="64" t="str">
        <f>IF(Inicial!M66="SI",Inicial!G66,"N/A")</f>
        <v>N/A</v>
      </c>
      <c r="H104" s="64" t="str">
        <f>IF(Inicial!M66="SI",Inicial!H66,"N/A")</f>
        <v>N/A</v>
      </c>
      <c r="I104" s="66" t="str">
        <f>IF(Inicial!M66="SI",Inicial!I66,"N/A")</f>
        <v>N/A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 t="str" cm="1">
        <f t="array" ref="W104">IF(OR(M104:V104="NO"),"No aceptable","Aceptable")</f>
        <v>Aceptable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3" t="str" cm="1">
        <f t="array" ref="AN104">IF(OR(AA104:AM104="SI"),"Critico","No Critico")</f>
        <v>No Critico</v>
      </c>
    </row>
    <row r="105" spans="1:40">
      <c r="A105" s="63">
        <f>Inicial!A67</f>
        <v>0</v>
      </c>
      <c r="B105" s="64">
        <f>Inicial!B67</f>
        <v>0</v>
      </c>
      <c r="C105" s="64">
        <f>Inicial!C67</f>
        <v>0</v>
      </c>
      <c r="D105" s="65">
        <f>Inicial!D67</f>
        <v>0</v>
      </c>
      <c r="E105" s="63" t="str">
        <f>IF(Inicial!M67="SI",Inicial!E67,"N/A")</f>
        <v>N/A</v>
      </c>
      <c r="F105" s="64" t="str">
        <f>IF(Inicial!M67="SI",Inicial!F67,"N/A")</f>
        <v>N/A</v>
      </c>
      <c r="G105" s="64" t="str">
        <f>IF(Inicial!M67="SI",Inicial!G67,"N/A")</f>
        <v>N/A</v>
      </c>
      <c r="H105" s="64" t="str">
        <f>IF(Inicial!M67="SI",Inicial!H67,"N/A")</f>
        <v>N/A</v>
      </c>
      <c r="I105" s="66" t="str">
        <f>IF(Inicial!M67="SI",Inicial!I67,"N/A")</f>
        <v>N/A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2" t="str" cm="1">
        <f t="array" ref="W105">IF(OR(M105:V105="NO"),"No aceptable","Aceptable")</f>
        <v>Aceptable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3" t="str" cm="1">
        <f t="array" ref="AN105">IF(OR(AA105:AM105="SI"),"Critico","No Critico")</f>
        <v>No Critico</v>
      </c>
    </row>
    <row r="106" spans="1:40">
      <c r="A106" s="63">
        <f>Inicial!A68</f>
        <v>0</v>
      </c>
      <c r="B106" s="64">
        <f>Inicial!B68</f>
        <v>0</v>
      </c>
      <c r="C106" s="64">
        <f>Inicial!C68</f>
        <v>0</v>
      </c>
      <c r="D106" s="65">
        <f>Inicial!D68</f>
        <v>0</v>
      </c>
      <c r="E106" s="63" t="str">
        <f>IF(Inicial!M68="SI",Inicial!E68,"N/A")</f>
        <v>N/A</v>
      </c>
      <c r="F106" s="64" t="str">
        <f>IF(Inicial!M68="SI",Inicial!F68,"N/A")</f>
        <v>N/A</v>
      </c>
      <c r="G106" s="64" t="str">
        <f>IF(Inicial!M68="SI",Inicial!G68,"N/A")</f>
        <v>N/A</v>
      </c>
      <c r="H106" s="64" t="str">
        <f>IF(Inicial!M68="SI",Inicial!H68,"N/A")</f>
        <v>N/A</v>
      </c>
      <c r="I106" s="66" t="str">
        <f>IF(Inicial!M68="SI",Inicial!I68,"N/A")</f>
        <v>N/A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2" t="str" cm="1">
        <f t="array" ref="W106">IF(OR(M106:V106="NO"),"No aceptable","Aceptable")</f>
        <v>Aceptable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3" t="str" cm="1">
        <f t="array" ref="AN106">IF(OR(AA106:AM106="SI"),"Critico","No Critico")</f>
        <v>No Critico</v>
      </c>
    </row>
    <row r="107" spans="1:40">
      <c r="A107" s="63">
        <f>Inicial!A69</f>
        <v>0</v>
      </c>
      <c r="B107" s="64">
        <f>Inicial!B69</f>
        <v>0</v>
      </c>
      <c r="C107" s="64">
        <f>Inicial!C69</f>
        <v>0</v>
      </c>
      <c r="D107" s="65">
        <f>Inicial!D69</f>
        <v>0</v>
      </c>
      <c r="E107" s="63" t="str">
        <f>IF(Inicial!M69="SI",Inicial!E69,"N/A")</f>
        <v>N/A</v>
      </c>
      <c r="F107" s="64" t="str">
        <f>IF(Inicial!M69="SI",Inicial!F69,"N/A")</f>
        <v>N/A</v>
      </c>
      <c r="G107" s="64" t="str">
        <f>IF(Inicial!M69="SI",Inicial!G69,"N/A")</f>
        <v>N/A</v>
      </c>
      <c r="H107" s="64" t="str">
        <f>IF(Inicial!M69="SI",Inicial!H69,"N/A")</f>
        <v>N/A</v>
      </c>
      <c r="I107" s="66" t="str">
        <f>IF(Inicial!M69="SI",Inicial!I69,"N/A")</f>
        <v>N/A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2" t="str" cm="1">
        <f t="array" ref="W107">IF(OR(M107:V107="NO"),"No aceptable","Aceptable")</f>
        <v>Aceptable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3" t="str" cm="1">
        <f t="array" ref="AN107">IF(OR(AA107:AM107="SI"),"Critico","No Critico")</f>
        <v>No Critico</v>
      </c>
    </row>
    <row r="108" spans="1:40">
      <c r="A108" s="63">
        <f>Inicial!A70</f>
        <v>0</v>
      </c>
      <c r="B108" s="64">
        <f>Inicial!B70</f>
        <v>0</v>
      </c>
      <c r="C108" s="64">
        <f>Inicial!C70</f>
        <v>0</v>
      </c>
      <c r="D108" s="65">
        <f>Inicial!D70</f>
        <v>0</v>
      </c>
      <c r="E108" s="63" t="str">
        <f>IF(Inicial!M70="SI",Inicial!E70,"N/A")</f>
        <v>N/A</v>
      </c>
      <c r="F108" s="64" t="str">
        <f>IF(Inicial!M70="SI",Inicial!F70,"N/A")</f>
        <v>N/A</v>
      </c>
      <c r="G108" s="64" t="str">
        <f>IF(Inicial!M70="SI",Inicial!G70,"N/A")</f>
        <v>N/A</v>
      </c>
      <c r="H108" s="64" t="str">
        <f>IF(Inicial!M70="SI",Inicial!H70,"N/A")</f>
        <v>N/A</v>
      </c>
      <c r="I108" s="66" t="str">
        <f>IF(Inicial!M70="SI",Inicial!I70,"N/A")</f>
        <v>N/A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2" t="str" cm="1">
        <f t="array" ref="W108">IF(OR(M108:V108="NO"),"No aceptable","Aceptable")</f>
        <v>Aceptable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3" t="str" cm="1">
        <f t="array" ref="AN108">IF(OR(AA108:AM108="SI"),"Critico","No Critico")</f>
        <v>No Critico</v>
      </c>
    </row>
    <row r="109" spans="1:40">
      <c r="A109" s="63">
        <f>Inicial!A71</f>
        <v>0</v>
      </c>
      <c r="B109" s="64">
        <f>Inicial!B71</f>
        <v>0</v>
      </c>
      <c r="C109" s="64">
        <f>Inicial!C71</f>
        <v>0</v>
      </c>
      <c r="D109" s="65">
        <f>Inicial!D71</f>
        <v>0</v>
      </c>
      <c r="E109" s="63" t="str">
        <f>IF(Inicial!M71="SI",Inicial!E71,"N/A")</f>
        <v>N/A</v>
      </c>
      <c r="F109" s="64" t="str">
        <f>IF(Inicial!M71="SI",Inicial!F71,"N/A")</f>
        <v>N/A</v>
      </c>
      <c r="G109" s="64" t="str">
        <f>IF(Inicial!M71="SI",Inicial!G71,"N/A")</f>
        <v>N/A</v>
      </c>
      <c r="H109" s="64" t="str">
        <f>IF(Inicial!M71="SI",Inicial!H71,"N/A")</f>
        <v>N/A</v>
      </c>
      <c r="I109" s="66" t="str">
        <f>IF(Inicial!M71="SI",Inicial!I71,"N/A")</f>
        <v>N/A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2" t="str" cm="1">
        <f t="array" ref="W109">IF(OR(M109:V109="NO"),"No aceptable","Aceptable")</f>
        <v>Aceptable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3" t="str" cm="1">
        <f t="array" ref="AN109">IF(OR(AA109:AM109="SI"),"Critico","No Critico")</f>
        <v>No Critico</v>
      </c>
    </row>
    <row r="110" spans="1:40">
      <c r="A110" s="63">
        <f>Inicial!A72</f>
        <v>0</v>
      </c>
      <c r="B110" s="64">
        <f>Inicial!B72</f>
        <v>0</v>
      </c>
      <c r="C110" s="64">
        <f>Inicial!C72</f>
        <v>0</v>
      </c>
      <c r="D110" s="65">
        <f>Inicial!D72</f>
        <v>0</v>
      </c>
      <c r="E110" s="63" t="str">
        <f>IF(Inicial!M72="SI",Inicial!E72,"N/A")</f>
        <v>N/A</v>
      </c>
      <c r="F110" s="64" t="str">
        <f>IF(Inicial!M72="SI",Inicial!F72,"N/A")</f>
        <v>N/A</v>
      </c>
      <c r="G110" s="64" t="str">
        <f>IF(Inicial!M72="SI",Inicial!G72,"N/A")</f>
        <v>N/A</v>
      </c>
      <c r="H110" s="64" t="str">
        <f>IF(Inicial!M72="SI",Inicial!H72,"N/A")</f>
        <v>N/A</v>
      </c>
      <c r="I110" s="66" t="str">
        <f>IF(Inicial!M72="SI",Inicial!I72,"N/A")</f>
        <v>N/A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2" t="str" cm="1">
        <f t="array" ref="W110">IF(OR(M110:V110="NO"),"No aceptable","Aceptable")</f>
        <v>Aceptable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3" t="str" cm="1">
        <f t="array" ref="AN110">IF(OR(AA110:AM110="SI"),"Critico","No Critico")</f>
        <v>No Critico</v>
      </c>
    </row>
    <row r="111" spans="1:40">
      <c r="A111" s="63">
        <f>Inicial!A73</f>
        <v>0</v>
      </c>
      <c r="B111" s="64">
        <f>Inicial!B73</f>
        <v>0</v>
      </c>
      <c r="C111" s="64">
        <f>Inicial!C73</f>
        <v>0</v>
      </c>
      <c r="D111" s="65">
        <f>Inicial!D73</f>
        <v>0</v>
      </c>
      <c r="E111" s="63" t="str">
        <f>IF(Inicial!M73="SI",Inicial!E73,"N/A")</f>
        <v>N/A</v>
      </c>
      <c r="F111" s="64" t="str">
        <f>IF(Inicial!M73="SI",Inicial!F73,"N/A")</f>
        <v>N/A</v>
      </c>
      <c r="G111" s="64" t="str">
        <f>IF(Inicial!M73="SI",Inicial!G73,"N/A")</f>
        <v>N/A</v>
      </c>
      <c r="H111" s="64" t="str">
        <f>IF(Inicial!M73="SI",Inicial!H73,"N/A")</f>
        <v>N/A</v>
      </c>
      <c r="I111" s="66" t="str">
        <f>IF(Inicial!M73="SI",Inicial!I73,"N/A")</f>
        <v>N/A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2" t="str" cm="1">
        <f t="array" ref="W111">IF(OR(M111:V111="NO"),"No aceptable","Aceptable")</f>
        <v>Aceptable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3" t="str" cm="1">
        <f t="array" ref="AN111">IF(OR(AA111:AM111="SI"),"Critico","No Critico")</f>
        <v>No Critico</v>
      </c>
    </row>
    <row r="112" spans="1:40">
      <c r="A112" s="63">
        <f>Inicial!A74</f>
        <v>0</v>
      </c>
      <c r="B112" s="64">
        <f>Inicial!B74</f>
        <v>0</v>
      </c>
      <c r="C112" s="64">
        <f>Inicial!C74</f>
        <v>0</v>
      </c>
      <c r="D112" s="65">
        <f>Inicial!D74</f>
        <v>0</v>
      </c>
      <c r="E112" s="63" t="str">
        <f>IF(Inicial!M74="SI",Inicial!E74,"N/A")</f>
        <v>N/A</v>
      </c>
      <c r="F112" s="64" t="str">
        <f>IF(Inicial!M74="SI",Inicial!F74,"N/A")</f>
        <v>N/A</v>
      </c>
      <c r="G112" s="64" t="str">
        <f>IF(Inicial!M74="SI",Inicial!G74,"N/A")</f>
        <v>N/A</v>
      </c>
      <c r="H112" s="64" t="str">
        <f>IF(Inicial!M74="SI",Inicial!H74,"N/A")</f>
        <v>N/A</v>
      </c>
      <c r="I112" s="66" t="str">
        <f>IF(Inicial!M74="SI",Inicial!I74,"N/A")</f>
        <v>N/A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2" t="str" cm="1">
        <f t="array" ref="W112">IF(OR(M112:V112="NO"),"No aceptable","Aceptable")</f>
        <v>Aceptable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3" t="str" cm="1">
        <f t="array" ref="AN112">IF(OR(AA112:AM112="SI"),"Critico","No Critico")</f>
        <v>No Critico</v>
      </c>
    </row>
    <row r="113" spans="1:40">
      <c r="A113" s="63">
        <f>Inicial!A75</f>
        <v>0</v>
      </c>
      <c r="B113" s="64">
        <f>Inicial!B75</f>
        <v>0</v>
      </c>
      <c r="C113" s="64">
        <f>Inicial!C75</f>
        <v>0</v>
      </c>
      <c r="D113" s="65">
        <f>Inicial!D75</f>
        <v>0</v>
      </c>
      <c r="E113" s="63" t="str">
        <f>IF(Inicial!M75="SI",Inicial!E75,"N/A")</f>
        <v>N/A</v>
      </c>
      <c r="F113" s="64" t="str">
        <f>IF(Inicial!M75="SI",Inicial!F75,"N/A")</f>
        <v>N/A</v>
      </c>
      <c r="G113" s="64" t="str">
        <f>IF(Inicial!M75="SI",Inicial!G75,"N/A")</f>
        <v>N/A</v>
      </c>
      <c r="H113" s="64" t="str">
        <f>IF(Inicial!M75="SI",Inicial!H75,"N/A")</f>
        <v>N/A</v>
      </c>
      <c r="I113" s="66" t="str">
        <f>IF(Inicial!M75="SI",Inicial!I75,"N/A")</f>
        <v>N/A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2" t="str" cm="1">
        <f t="array" ref="W113">IF(OR(M113:V113="NO"),"No aceptable","Aceptable")</f>
        <v>Aceptable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3" t="str" cm="1">
        <f t="array" ref="AN113">IF(OR(AA113:AM113="SI"),"Critico","No Critico")</f>
        <v>No Critico</v>
      </c>
    </row>
    <row r="114" spans="1:40">
      <c r="A114" s="63">
        <f>Inicial!A76</f>
        <v>0</v>
      </c>
      <c r="B114" s="64">
        <f>Inicial!B76</f>
        <v>0</v>
      </c>
      <c r="C114" s="64">
        <f>Inicial!C76</f>
        <v>0</v>
      </c>
      <c r="D114" s="65">
        <f>Inicial!D76</f>
        <v>0</v>
      </c>
      <c r="E114" s="63" t="str">
        <f>IF(Inicial!M76="SI",Inicial!E76,"N/A")</f>
        <v>N/A</v>
      </c>
      <c r="F114" s="64" t="str">
        <f>IF(Inicial!M76="SI",Inicial!F76,"N/A")</f>
        <v>N/A</v>
      </c>
      <c r="G114" s="64" t="str">
        <f>IF(Inicial!M76="SI",Inicial!G76,"N/A")</f>
        <v>N/A</v>
      </c>
      <c r="H114" s="64" t="str">
        <f>IF(Inicial!M76="SI",Inicial!H76,"N/A")</f>
        <v>N/A</v>
      </c>
      <c r="I114" s="66" t="str">
        <f>IF(Inicial!M76="SI",Inicial!I76,"N/A")</f>
        <v>N/A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2" t="str" cm="1">
        <f t="array" ref="W114">IF(OR(M114:V114="NO"),"No aceptable","Aceptable")</f>
        <v>Aceptable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3" t="str" cm="1">
        <f t="array" ref="AN114">IF(OR(AA114:AM114="SI"),"Critico","No Critico")</f>
        <v>No Critico</v>
      </c>
    </row>
    <row r="115" spans="1:40">
      <c r="A115" s="63">
        <f>Inicial!A77</f>
        <v>0</v>
      </c>
      <c r="B115" s="64">
        <f>Inicial!B77</f>
        <v>0</v>
      </c>
      <c r="C115" s="64">
        <f>Inicial!C77</f>
        <v>0</v>
      </c>
      <c r="D115" s="65">
        <f>Inicial!D77</f>
        <v>0</v>
      </c>
      <c r="E115" s="63" t="str">
        <f>IF(Inicial!M77="SI",Inicial!E77,"N/A")</f>
        <v>N/A</v>
      </c>
      <c r="F115" s="64" t="str">
        <f>IF(Inicial!M77="SI",Inicial!F77,"N/A")</f>
        <v>N/A</v>
      </c>
      <c r="G115" s="64" t="str">
        <f>IF(Inicial!M77="SI",Inicial!G77,"N/A")</f>
        <v>N/A</v>
      </c>
      <c r="H115" s="64" t="str">
        <f>IF(Inicial!M77="SI",Inicial!H77,"N/A")</f>
        <v>N/A</v>
      </c>
      <c r="I115" s="66" t="str">
        <f>IF(Inicial!M77="SI",Inicial!I77,"N/A")</f>
        <v>N/A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2" t="str" cm="1">
        <f t="array" ref="W115">IF(OR(M115:V115="NO"),"No aceptable","Aceptable")</f>
        <v>Aceptable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3" t="str" cm="1">
        <f t="array" ref="AN115">IF(OR(AA115:AM115="SI"),"Critico","No Critico")</f>
        <v>No Critico</v>
      </c>
    </row>
    <row r="116" spans="1:40">
      <c r="A116" s="63">
        <f>Inicial!A78</f>
        <v>0</v>
      </c>
      <c r="B116" s="64">
        <f>Inicial!B78</f>
        <v>0</v>
      </c>
      <c r="C116" s="64">
        <f>Inicial!C78</f>
        <v>0</v>
      </c>
      <c r="D116" s="65">
        <f>Inicial!D78</f>
        <v>0</v>
      </c>
      <c r="E116" s="63" t="str">
        <f>IF(Inicial!M78="SI",Inicial!E78,"N/A")</f>
        <v>N/A</v>
      </c>
      <c r="F116" s="64" t="str">
        <f>IF(Inicial!M78="SI",Inicial!F78,"N/A")</f>
        <v>N/A</v>
      </c>
      <c r="G116" s="64" t="str">
        <f>IF(Inicial!M78="SI",Inicial!G78,"N/A")</f>
        <v>N/A</v>
      </c>
      <c r="H116" s="64" t="str">
        <f>IF(Inicial!M78="SI",Inicial!H78,"N/A")</f>
        <v>N/A</v>
      </c>
      <c r="I116" s="66" t="str">
        <f>IF(Inicial!M78="SI",Inicial!I78,"N/A")</f>
        <v>N/A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 t="str" cm="1">
        <f t="array" ref="W116">IF(OR(M116:V116="NO"),"No aceptable","Aceptable")</f>
        <v>Aceptable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3" t="str" cm="1">
        <f t="array" ref="AN116">IF(OR(AA116:AM116="SI"),"Critico","No Critico")</f>
        <v>No Critico</v>
      </c>
    </row>
    <row r="117" spans="1:40">
      <c r="A117" s="63">
        <f>Inicial!A79</f>
        <v>0</v>
      </c>
      <c r="B117" s="64">
        <f>Inicial!B79</f>
        <v>0</v>
      </c>
      <c r="C117" s="64">
        <f>Inicial!C79</f>
        <v>0</v>
      </c>
      <c r="D117" s="65">
        <f>Inicial!D79</f>
        <v>0</v>
      </c>
      <c r="E117" s="63" t="str">
        <f>IF(Inicial!M79="SI",Inicial!E79,"N/A")</f>
        <v>N/A</v>
      </c>
      <c r="F117" s="64" t="str">
        <f>IF(Inicial!M79="SI",Inicial!F79,"N/A")</f>
        <v>N/A</v>
      </c>
      <c r="G117" s="64" t="str">
        <f>IF(Inicial!M79="SI",Inicial!G79,"N/A")</f>
        <v>N/A</v>
      </c>
      <c r="H117" s="64" t="str">
        <f>IF(Inicial!M79="SI",Inicial!H79,"N/A")</f>
        <v>N/A</v>
      </c>
      <c r="I117" s="66" t="str">
        <f>IF(Inicial!M79="SI",Inicial!I79,"N/A")</f>
        <v>N/A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2" t="str" cm="1">
        <f t="array" ref="W117">IF(OR(M117:V117="NO"),"No aceptable","Aceptable")</f>
        <v>Aceptable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3" t="str" cm="1">
        <f t="array" ref="AN117">IF(OR(AA117:AM117="SI"),"Critico","No Critico")</f>
        <v>No Critico</v>
      </c>
    </row>
    <row r="118" spans="1:40">
      <c r="A118" s="63">
        <f>Inicial!A80</f>
        <v>0</v>
      </c>
      <c r="B118" s="64">
        <f>Inicial!B80</f>
        <v>0</v>
      </c>
      <c r="C118" s="64">
        <f>Inicial!C80</f>
        <v>0</v>
      </c>
      <c r="D118" s="65">
        <f>Inicial!D80</f>
        <v>0</v>
      </c>
      <c r="E118" s="63" t="str">
        <f>IF(Inicial!M80="SI",Inicial!E80,"N/A")</f>
        <v>N/A</v>
      </c>
      <c r="F118" s="64" t="str">
        <f>IF(Inicial!M80="SI",Inicial!F80,"N/A")</f>
        <v>N/A</v>
      </c>
      <c r="G118" s="64" t="str">
        <f>IF(Inicial!M80="SI",Inicial!G80,"N/A")</f>
        <v>N/A</v>
      </c>
      <c r="H118" s="64" t="str">
        <f>IF(Inicial!M80="SI",Inicial!H80,"N/A")</f>
        <v>N/A</v>
      </c>
      <c r="I118" s="66" t="str">
        <f>IF(Inicial!M80="SI",Inicial!I80,"N/A")</f>
        <v>N/A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2" t="str" cm="1">
        <f t="array" ref="W118">IF(OR(M118:V118="NO"),"No aceptable","Aceptable")</f>
        <v>Aceptable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3" t="str" cm="1">
        <f t="array" ref="AN118">IF(OR(AA118:AM118="SI"),"Critico","No Critico")</f>
        <v>No Critico</v>
      </c>
    </row>
    <row r="119" spans="1:40">
      <c r="A119" s="63">
        <f>Inicial!A81</f>
        <v>0</v>
      </c>
      <c r="B119" s="64">
        <f>Inicial!B81</f>
        <v>0</v>
      </c>
      <c r="C119" s="64">
        <f>Inicial!C81</f>
        <v>0</v>
      </c>
      <c r="D119" s="65">
        <f>Inicial!D81</f>
        <v>0</v>
      </c>
      <c r="E119" s="63" t="str">
        <f>IF(Inicial!M81="SI",Inicial!E81,"N/A")</f>
        <v>N/A</v>
      </c>
      <c r="F119" s="64" t="str">
        <f>IF(Inicial!M81="SI",Inicial!F81,"N/A")</f>
        <v>N/A</v>
      </c>
      <c r="G119" s="64" t="str">
        <f>IF(Inicial!M81="SI",Inicial!G81,"N/A")</f>
        <v>N/A</v>
      </c>
      <c r="H119" s="64" t="str">
        <f>IF(Inicial!M81="SI",Inicial!H81,"N/A")</f>
        <v>N/A</v>
      </c>
      <c r="I119" s="66" t="str">
        <f>IF(Inicial!M81="SI",Inicial!I81,"N/A")</f>
        <v>N/A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2" t="str" cm="1">
        <f t="array" ref="W119">IF(OR(M119:V119="NO"),"No aceptable","Aceptable")</f>
        <v>Aceptable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3" t="str" cm="1">
        <f t="array" ref="AN119">IF(OR(AA119:AM119="SI"),"Critico","No Critico")</f>
        <v>No Critico</v>
      </c>
    </row>
    <row r="120" spans="1:40">
      <c r="A120" s="63">
        <f>Inicial!A82</f>
        <v>0</v>
      </c>
      <c r="B120" s="64">
        <f>Inicial!B82</f>
        <v>0</v>
      </c>
      <c r="C120" s="64">
        <f>Inicial!C82</f>
        <v>0</v>
      </c>
      <c r="D120" s="65">
        <f>Inicial!D82</f>
        <v>0</v>
      </c>
      <c r="E120" s="63" t="str">
        <f>IF(Inicial!M82="SI",Inicial!E82,"N/A")</f>
        <v>N/A</v>
      </c>
      <c r="F120" s="64" t="str">
        <f>IF(Inicial!M82="SI",Inicial!F82,"N/A")</f>
        <v>N/A</v>
      </c>
      <c r="G120" s="64" t="str">
        <f>IF(Inicial!M82="SI",Inicial!G82,"N/A")</f>
        <v>N/A</v>
      </c>
      <c r="H120" s="64" t="str">
        <f>IF(Inicial!M82="SI",Inicial!H82,"N/A")</f>
        <v>N/A</v>
      </c>
      <c r="I120" s="66" t="str">
        <f>IF(Inicial!M82="SI",Inicial!I82,"N/A")</f>
        <v>N/A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2" t="str" cm="1">
        <f t="array" ref="W120">IF(OR(M120:V120="NO"),"No aceptable","Aceptable")</f>
        <v>Aceptable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3" t="str" cm="1">
        <f t="array" ref="AN120">IF(OR(AA120:AM120="SI"),"Critico","No Critico")</f>
        <v>No Critico</v>
      </c>
    </row>
    <row r="121" spans="1:40">
      <c r="A121" s="63">
        <f>Inicial!A83</f>
        <v>0</v>
      </c>
      <c r="B121" s="64">
        <f>Inicial!B83</f>
        <v>0</v>
      </c>
      <c r="C121" s="64">
        <f>Inicial!C83</f>
        <v>0</v>
      </c>
      <c r="D121" s="65">
        <f>Inicial!D83</f>
        <v>0</v>
      </c>
      <c r="E121" s="63" t="str">
        <f>IF(Inicial!M83="SI",Inicial!E83,"N/A")</f>
        <v>N/A</v>
      </c>
      <c r="F121" s="64" t="str">
        <f>IF(Inicial!M83="SI",Inicial!F83,"N/A")</f>
        <v>N/A</v>
      </c>
      <c r="G121" s="64" t="str">
        <f>IF(Inicial!M83="SI",Inicial!G83,"N/A")</f>
        <v>N/A</v>
      </c>
      <c r="H121" s="64" t="str">
        <f>IF(Inicial!M83="SI",Inicial!H83,"N/A")</f>
        <v>N/A</v>
      </c>
      <c r="I121" s="66" t="str">
        <f>IF(Inicial!M83="SI",Inicial!I83,"N/A")</f>
        <v>N/A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 t="str" cm="1">
        <f t="array" ref="W121">IF(OR(M121:V121="NO"),"No aceptable","Aceptable")</f>
        <v>Aceptable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3" t="str" cm="1">
        <f t="array" ref="AN121">IF(OR(AA121:AM121="SI"),"Critico","No Critico")</f>
        <v>No Critico</v>
      </c>
    </row>
    <row r="122" spans="1:40">
      <c r="A122" s="63">
        <f>Inicial!A84</f>
        <v>0</v>
      </c>
      <c r="B122" s="64">
        <f>Inicial!B84</f>
        <v>0</v>
      </c>
      <c r="C122" s="64">
        <f>Inicial!C84</f>
        <v>0</v>
      </c>
      <c r="D122" s="65">
        <f>Inicial!D84</f>
        <v>0</v>
      </c>
      <c r="E122" s="63" t="str">
        <f>IF(Inicial!M84="SI",Inicial!E84,"N/A")</f>
        <v>N/A</v>
      </c>
      <c r="F122" s="64" t="str">
        <f>IF(Inicial!M84="SI",Inicial!F84,"N/A")</f>
        <v>N/A</v>
      </c>
      <c r="G122" s="64" t="str">
        <f>IF(Inicial!M84="SI",Inicial!G84,"N/A")</f>
        <v>N/A</v>
      </c>
      <c r="H122" s="64" t="str">
        <f>IF(Inicial!M84="SI",Inicial!H84,"N/A")</f>
        <v>N/A</v>
      </c>
      <c r="I122" s="66" t="str">
        <f>IF(Inicial!M84="SI",Inicial!I84,"N/A")</f>
        <v>N/A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2" t="str" cm="1">
        <f t="array" ref="W122">IF(OR(M122:V122="NO"),"No aceptable","Aceptable")</f>
        <v>Aceptable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3" t="str" cm="1">
        <f t="array" ref="AN122">IF(OR(AA122:AM122="SI"),"Critico","No Critico")</f>
        <v>No Critico</v>
      </c>
    </row>
    <row r="123" spans="1:40">
      <c r="A123" s="63">
        <f>Inicial!A85</f>
        <v>0</v>
      </c>
      <c r="B123" s="64">
        <f>Inicial!B85</f>
        <v>0</v>
      </c>
      <c r="C123" s="64">
        <f>Inicial!C85</f>
        <v>0</v>
      </c>
      <c r="D123" s="65">
        <f>Inicial!D85</f>
        <v>0</v>
      </c>
      <c r="E123" s="63" t="str">
        <f>IF(Inicial!M85="SI",Inicial!E85,"N/A")</f>
        <v>N/A</v>
      </c>
      <c r="F123" s="64" t="str">
        <f>IF(Inicial!M85="SI",Inicial!F85,"N/A")</f>
        <v>N/A</v>
      </c>
      <c r="G123" s="64" t="str">
        <f>IF(Inicial!M85="SI",Inicial!G85,"N/A")</f>
        <v>N/A</v>
      </c>
      <c r="H123" s="64" t="str">
        <f>IF(Inicial!M85="SI",Inicial!H85,"N/A")</f>
        <v>N/A</v>
      </c>
      <c r="I123" s="66" t="str">
        <f>IF(Inicial!M85="SI",Inicial!I85,"N/A")</f>
        <v>N/A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2" t="str" cm="1">
        <f t="array" ref="W123">IF(OR(M123:V123="NO"),"No aceptable","Aceptable")</f>
        <v>Aceptable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3" t="str" cm="1">
        <f t="array" ref="AN123">IF(OR(AA123:AM123="SI"),"Critico","No Critico")</f>
        <v>No Critico</v>
      </c>
    </row>
    <row r="124" spans="1:40">
      <c r="A124" s="63">
        <f>Inicial!A86</f>
        <v>0</v>
      </c>
      <c r="B124" s="64">
        <f>Inicial!B86</f>
        <v>0</v>
      </c>
      <c r="C124" s="64">
        <f>Inicial!C86</f>
        <v>0</v>
      </c>
      <c r="D124" s="65">
        <f>Inicial!D86</f>
        <v>0</v>
      </c>
      <c r="E124" s="63" t="str">
        <f>IF(Inicial!M86="SI",Inicial!E86,"N/A")</f>
        <v>N/A</v>
      </c>
      <c r="F124" s="64" t="str">
        <f>IF(Inicial!M86="SI",Inicial!F86,"N/A")</f>
        <v>N/A</v>
      </c>
      <c r="G124" s="64" t="str">
        <f>IF(Inicial!M86="SI",Inicial!G86,"N/A")</f>
        <v>N/A</v>
      </c>
      <c r="H124" s="64" t="str">
        <f>IF(Inicial!M86="SI",Inicial!H86,"N/A")</f>
        <v>N/A</v>
      </c>
      <c r="I124" s="66" t="str">
        <f>IF(Inicial!M86="SI",Inicial!I86,"N/A")</f>
        <v>N/A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2" t="str" cm="1">
        <f t="array" ref="W124">IF(OR(M124:V124="NO"),"No aceptable","Aceptable")</f>
        <v>Aceptable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3" t="str" cm="1">
        <f t="array" ref="AN124">IF(OR(AA124:AM124="SI"),"Critico","No Critico")</f>
        <v>No Critico</v>
      </c>
    </row>
    <row r="125" spans="1:40">
      <c r="A125" s="63">
        <f>Inicial!A87</f>
        <v>0</v>
      </c>
      <c r="B125" s="64">
        <f>Inicial!B87</f>
        <v>0</v>
      </c>
      <c r="C125" s="64">
        <f>Inicial!C87</f>
        <v>0</v>
      </c>
      <c r="D125" s="65">
        <f>Inicial!D87</f>
        <v>0</v>
      </c>
      <c r="E125" s="63" t="str">
        <f>IF(Inicial!M87="SI",Inicial!E87,"N/A")</f>
        <v>N/A</v>
      </c>
      <c r="F125" s="64" t="str">
        <f>IF(Inicial!M87="SI",Inicial!F87,"N/A")</f>
        <v>N/A</v>
      </c>
      <c r="G125" s="64" t="str">
        <f>IF(Inicial!M87="SI",Inicial!G87,"N/A")</f>
        <v>N/A</v>
      </c>
      <c r="H125" s="64" t="str">
        <f>IF(Inicial!M87="SI",Inicial!H87,"N/A")</f>
        <v>N/A</v>
      </c>
      <c r="I125" s="66" t="str">
        <f>IF(Inicial!M87="SI",Inicial!I87,"N/A")</f>
        <v>N/A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2" t="str" cm="1">
        <f t="array" ref="W125">IF(OR(M125:V125="NO"),"No aceptable","Aceptable")</f>
        <v>Aceptable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3" t="str" cm="1">
        <f t="array" ref="AN125">IF(OR(AA125:AM125="SI"),"Critico","No Critico")</f>
        <v>No Critico</v>
      </c>
    </row>
    <row r="126" spans="1:40">
      <c r="A126" s="63">
        <f>Inicial!A88</f>
        <v>0</v>
      </c>
      <c r="B126" s="64">
        <f>Inicial!B88</f>
        <v>0</v>
      </c>
      <c r="C126" s="64">
        <f>Inicial!C88</f>
        <v>0</v>
      </c>
      <c r="D126" s="65">
        <f>Inicial!D88</f>
        <v>0</v>
      </c>
      <c r="E126" s="63" t="str">
        <f>IF(Inicial!M88="SI",Inicial!E88,"N/A")</f>
        <v>N/A</v>
      </c>
      <c r="F126" s="64" t="str">
        <f>IF(Inicial!M88="SI",Inicial!F88,"N/A")</f>
        <v>N/A</v>
      </c>
      <c r="G126" s="64" t="str">
        <f>IF(Inicial!M88="SI",Inicial!G88,"N/A")</f>
        <v>N/A</v>
      </c>
      <c r="H126" s="64" t="str">
        <f>IF(Inicial!M88="SI",Inicial!H88,"N/A")</f>
        <v>N/A</v>
      </c>
      <c r="I126" s="66" t="str">
        <f>IF(Inicial!M88="SI",Inicial!I88,"N/A")</f>
        <v>N/A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2" t="str" cm="1">
        <f t="array" ref="W126">IF(OR(M126:V126="NO"),"No aceptable","Aceptable")</f>
        <v>Aceptable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3" t="str" cm="1">
        <f t="array" ref="AN126">IF(OR(AA126:AM126="SI"),"Critico","No Critico")</f>
        <v>No Critico</v>
      </c>
    </row>
    <row r="127" spans="1:40">
      <c r="A127" s="63">
        <f>Inicial!A89</f>
        <v>0</v>
      </c>
      <c r="B127" s="64">
        <f>Inicial!B89</f>
        <v>0</v>
      </c>
      <c r="C127" s="64">
        <f>Inicial!C89</f>
        <v>0</v>
      </c>
      <c r="D127" s="65">
        <f>Inicial!D89</f>
        <v>0</v>
      </c>
      <c r="E127" s="63" t="str">
        <f>IF(Inicial!M89="SI",Inicial!E89,"N/A")</f>
        <v>N/A</v>
      </c>
      <c r="F127" s="64" t="str">
        <f>IF(Inicial!M89="SI",Inicial!F89,"N/A")</f>
        <v>N/A</v>
      </c>
      <c r="G127" s="64" t="str">
        <f>IF(Inicial!M89="SI",Inicial!G89,"N/A")</f>
        <v>N/A</v>
      </c>
      <c r="H127" s="64" t="str">
        <f>IF(Inicial!M89="SI",Inicial!H89,"N/A")</f>
        <v>N/A</v>
      </c>
      <c r="I127" s="66" t="str">
        <f>IF(Inicial!M89="SI",Inicial!I89,"N/A")</f>
        <v>N/A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2" t="str" cm="1">
        <f t="array" ref="W127">IF(OR(M127:V127="NO"),"No aceptable","Aceptable")</f>
        <v>Aceptable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3" t="str" cm="1">
        <f t="array" ref="AN127">IF(OR(AA127:AM127="SI"),"Critico","No Critico")</f>
        <v>No Critico</v>
      </c>
    </row>
    <row r="128" spans="1:40">
      <c r="A128" s="63">
        <f>Inicial!A90</f>
        <v>0</v>
      </c>
      <c r="B128" s="64">
        <f>Inicial!B90</f>
        <v>0</v>
      </c>
      <c r="C128" s="64">
        <f>Inicial!C90</f>
        <v>0</v>
      </c>
      <c r="D128" s="65">
        <f>Inicial!D90</f>
        <v>0</v>
      </c>
      <c r="E128" s="63" t="str">
        <f>IF(Inicial!M90="SI",Inicial!E90,"N/A")</f>
        <v>N/A</v>
      </c>
      <c r="F128" s="64" t="str">
        <f>IF(Inicial!M90="SI",Inicial!F90,"N/A")</f>
        <v>N/A</v>
      </c>
      <c r="G128" s="64" t="str">
        <f>IF(Inicial!M90="SI",Inicial!G90,"N/A")</f>
        <v>N/A</v>
      </c>
      <c r="H128" s="64" t="str">
        <f>IF(Inicial!M90="SI",Inicial!H90,"N/A")</f>
        <v>N/A</v>
      </c>
      <c r="I128" s="66" t="str">
        <f>IF(Inicial!M90="SI",Inicial!I90,"N/A")</f>
        <v>N/A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2" t="str" cm="1">
        <f t="array" ref="W128">IF(OR(M128:V128="NO"),"No aceptable","Aceptable")</f>
        <v>Aceptable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3" t="str" cm="1">
        <f t="array" ref="AN128">IF(OR(AA128:AM128="SI"),"Critico","No Critico")</f>
        <v>No Critico</v>
      </c>
    </row>
    <row r="129" spans="1:40">
      <c r="A129" s="63">
        <f>Inicial!A91</f>
        <v>0</v>
      </c>
      <c r="B129" s="64">
        <f>Inicial!B91</f>
        <v>0</v>
      </c>
      <c r="C129" s="64">
        <f>Inicial!C91</f>
        <v>0</v>
      </c>
      <c r="D129" s="65">
        <f>Inicial!D91</f>
        <v>0</v>
      </c>
      <c r="E129" s="63" t="str">
        <f>IF(Inicial!M91="SI",Inicial!E91,"N/A")</f>
        <v>N/A</v>
      </c>
      <c r="F129" s="64" t="str">
        <f>IF(Inicial!M91="SI",Inicial!F91,"N/A")</f>
        <v>N/A</v>
      </c>
      <c r="G129" s="64" t="str">
        <f>IF(Inicial!M91="SI",Inicial!G91,"N/A")</f>
        <v>N/A</v>
      </c>
      <c r="H129" s="64" t="str">
        <f>IF(Inicial!M91="SI",Inicial!H91,"N/A")</f>
        <v>N/A</v>
      </c>
      <c r="I129" s="66" t="str">
        <f>IF(Inicial!M91="SI",Inicial!I91,"N/A")</f>
        <v>N/A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2" t="str" cm="1">
        <f t="array" ref="W129">IF(OR(M129:V129="NO"),"No aceptable","Aceptable")</f>
        <v>Aceptable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3" t="str" cm="1">
        <f t="array" ref="AN129">IF(OR(AA129:AM129="SI"),"Critico","No Critico")</f>
        <v>No Critico</v>
      </c>
    </row>
    <row r="130" spans="1:40">
      <c r="A130" s="63">
        <f>Inicial!A92</f>
        <v>0</v>
      </c>
      <c r="B130" s="64">
        <f>Inicial!B92</f>
        <v>0</v>
      </c>
      <c r="C130" s="64">
        <f>Inicial!C92</f>
        <v>0</v>
      </c>
      <c r="D130" s="65">
        <f>Inicial!D92</f>
        <v>0</v>
      </c>
      <c r="E130" s="63" t="str">
        <f>IF(Inicial!M92="SI",Inicial!E92,"N/A")</f>
        <v>N/A</v>
      </c>
      <c r="F130" s="64" t="str">
        <f>IF(Inicial!M92="SI",Inicial!F92,"N/A")</f>
        <v>N/A</v>
      </c>
      <c r="G130" s="64" t="str">
        <f>IF(Inicial!M92="SI",Inicial!G92,"N/A")</f>
        <v>N/A</v>
      </c>
      <c r="H130" s="64" t="str">
        <f>IF(Inicial!M92="SI",Inicial!H92,"N/A")</f>
        <v>N/A</v>
      </c>
      <c r="I130" s="66" t="str">
        <f>IF(Inicial!M92="SI",Inicial!I92,"N/A")</f>
        <v>N/A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2" t="str" cm="1">
        <f t="array" ref="W130">IF(OR(M130:V130="NO"),"No aceptable","Aceptable")</f>
        <v>Aceptable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3" t="str" cm="1">
        <f t="array" ref="AN130">IF(OR(AA130:AM130="SI"),"Critico","No Critico")</f>
        <v>No Critico</v>
      </c>
    </row>
    <row r="131" spans="1:40">
      <c r="A131" s="63">
        <f>Inicial!A93</f>
        <v>0</v>
      </c>
      <c r="B131" s="64">
        <f>Inicial!B93</f>
        <v>0</v>
      </c>
      <c r="C131" s="64">
        <f>Inicial!C93</f>
        <v>0</v>
      </c>
      <c r="D131" s="65">
        <f>Inicial!D93</f>
        <v>0</v>
      </c>
      <c r="E131" s="63" t="str">
        <f>IF(Inicial!M93="SI",Inicial!E93,"N/A")</f>
        <v>N/A</v>
      </c>
      <c r="F131" s="64" t="str">
        <f>IF(Inicial!M93="SI",Inicial!F93,"N/A")</f>
        <v>N/A</v>
      </c>
      <c r="G131" s="64" t="str">
        <f>IF(Inicial!M93="SI",Inicial!G93,"N/A")</f>
        <v>N/A</v>
      </c>
      <c r="H131" s="64" t="str">
        <f>IF(Inicial!M93="SI",Inicial!H93,"N/A")</f>
        <v>N/A</v>
      </c>
      <c r="I131" s="66" t="str">
        <f>IF(Inicial!M93="SI",Inicial!I93,"N/A")</f>
        <v>N/A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2" t="str" cm="1">
        <f t="array" ref="W131">IF(OR(M131:V131="NO"),"No aceptable","Aceptable")</f>
        <v>Aceptable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3" t="str" cm="1">
        <f t="array" ref="AN131">IF(OR(AA131:AM131="SI"),"Critico","No Critico")</f>
        <v>No Critico</v>
      </c>
    </row>
    <row r="132" spans="1:40">
      <c r="A132" s="63">
        <f>Inicial!A94</f>
        <v>0</v>
      </c>
      <c r="B132" s="64">
        <f>Inicial!B94</f>
        <v>0</v>
      </c>
      <c r="C132" s="64">
        <f>Inicial!C94</f>
        <v>0</v>
      </c>
      <c r="D132" s="65">
        <f>Inicial!D94</f>
        <v>0</v>
      </c>
      <c r="E132" s="63" t="str">
        <f>IF(Inicial!M94="SI",Inicial!E94,"N/A")</f>
        <v>N/A</v>
      </c>
      <c r="F132" s="64" t="str">
        <f>IF(Inicial!M94="SI",Inicial!F94,"N/A")</f>
        <v>N/A</v>
      </c>
      <c r="G132" s="64" t="str">
        <f>IF(Inicial!M94="SI",Inicial!G94,"N/A")</f>
        <v>N/A</v>
      </c>
      <c r="H132" s="64" t="str">
        <f>IF(Inicial!M94="SI",Inicial!H94,"N/A")</f>
        <v>N/A</v>
      </c>
      <c r="I132" s="66" t="str">
        <f>IF(Inicial!M94="SI",Inicial!I94,"N/A")</f>
        <v>N/A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2" t="str" cm="1">
        <f t="array" ref="W132">IF(OR(M132:V132="NO"),"No aceptable","Aceptable")</f>
        <v>Aceptable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3" t="str" cm="1">
        <f t="array" ref="AN132">IF(OR(AA132:AM132="SI"),"Critico","No Critico")</f>
        <v>No Critico</v>
      </c>
    </row>
    <row r="133" spans="1:40">
      <c r="A133" s="63">
        <f>Inicial!A95</f>
        <v>0</v>
      </c>
      <c r="B133" s="64">
        <f>Inicial!B95</f>
        <v>0</v>
      </c>
      <c r="C133" s="64">
        <f>Inicial!C95</f>
        <v>0</v>
      </c>
      <c r="D133" s="65">
        <f>Inicial!D95</f>
        <v>0</v>
      </c>
      <c r="E133" s="63" t="str">
        <f>IF(Inicial!M95="SI",Inicial!E95,"N/A")</f>
        <v>N/A</v>
      </c>
      <c r="F133" s="64" t="str">
        <f>IF(Inicial!M95="SI",Inicial!F95,"N/A")</f>
        <v>N/A</v>
      </c>
      <c r="G133" s="64" t="str">
        <f>IF(Inicial!M95="SI",Inicial!G95,"N/A")</f>
        <v>N/A</v>
      </c>
      <c r="H133" s="64" t="str">
        <f>IF(Inicial!M95="SI",Inicial!H95,"N/A")</f>
        <v>N/A</v>
      </c>
      <c r="I133" s="66" t="str">
        <f>IF(Inicial!M95="SI",Inicial!I95,"N/A")</f>
        <v>N/A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2" t="str" cm="1">
        <f t="array" ref="W133">IF(OR(M133:V133="NO"),"No aceptable","Aceptable")</f>
        <v>Aceptable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3" t="str" cm="1">
        <f t="array" ref="AN133">IF(OR(AA133:AM133="SI"),"Critico","No Critico")</f>
        <v>No Critico</v>
      </c>
    </row>
    <row r="134" spans="1:40">
      <c r="A134" s="63">
        <f>Inicial!A96</f>
        <v>0</v>
      </c>
      <c r="B134" s="64">
        <f>Inicial!B96</f>
        <v>0</v>
      </c>
      <c r="C134" s="64">
        <f>Inicial!C96</f>
        <v>0</v>
      </c>
      <c r="D134" s="65">
        <f>Inicial!D96</f>
        <v>0</v>
      </c>
      <c r="E134" s="63" t="str">
        <f>IF(Inicial!M96="SI",Inicial!E96,"N/A")</f>
        <v>N/A</v>
      </c>
      <c r="F134" s="64" t="str">
        <f>IF(Inicial!M96="SI",Inicial!F96,"N/A")</f>
        <v>N/A</v>
      </c>
      <c r="G134" s="64" t="str">
        <f>IF(Inicial!M96="SI",Inicial!G96,"N/A")</f>
        <v>N/A</v>
      </c>
      <c r="H134" s="64" t="str">
        <f>IF(Inicial!M96="SI",Inicial!H96,"N/A")</f>
        <v>N/A</v>
      </c>
      <c r="I134" s="66" t="str">
        <f>IF(Inicial!M96="SI",Inicial!I96,"N/A")</f>
        <v>N/A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2" t="str" cm="1">
        <f t="array" ref="W134">IF(OR(M134:V134="NO"),"No aceptable","Aceptable")</f>
        <v>Aceptable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3" t="str" cm="1">
        <f t="array" ref="AN134">IF(OR(AA134:AM134="SI"),"Critico","No Critico")</f>
        <v>No Critico</v>
      </c>
    </row>
    <row r="135" spans="1:40">
      <c r="A135" s="63">
        <f>Inicial!A97</f>
        <v>0</v>
      </c>
      <c r="B135" s="64">
        <f>Inicial!B97</f>
        <v>0</v>
      </c>
      <c r="C135" s="64">
        <f>Inicial!C97</f>
        <v>0</v>
      </c>
      <c r="D135" s="65">
        <f>Inicial!D97</f>
        <v>0</v>
      </c>
      <c r="E135" s="63" t="str">
        <f>IF(Inicial!M97="SI",Inicial!E97,"N/A")</f>
        <v>N/A</v>
      </c>
      <c r="F135" s="64" t="str">
        <f>IF(Inicial!M97="SI",Inicial!F97,"N/A")</f>
        <v>N/A</v>
      </c>
      <c r="G135" s="64" t="str">
        <f>IF(Inicial!M97="SI",Inicial!G97,"N/A")</f>
        <v>N/A</v>
      </c>
      <c r="H135" s="64" t="str">
        <f>IF(Inicial!M97="SI",Inicial!H97,"N/A")</f>
        <v>N/A</v>
      </c>
      <c r="I135" s="66" t="str">
        <f>IF(Inicial!M97="SI",Inicial!I97,"N/A")</f>
        <v>N/A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2" t="str" cm="1">
        <f t="array" ref="W135">IF(OR(M135:V135="NO"),"No aceptable","Aceptable")</f>
        <v>Aceptable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3" t="str" cm="1">
        <f t="array" ref="AN135">IF(OR(AA135:AM135="SI"),"Critico","No Critico")</f>
        <v>No Critico</v>
      </c>
    </row>
    <row r="136" spans="1:40">
      <c r="A136" s="63">
        <f>Inicial!A98</f>
        <v>0</v>
      </c>
      <c r="B136" s="64">
        <f>Inicial!B98</f>
        <v>0</v>
      </c>
      <c r="C136" s="64">
        <f>Inicial!C98</f>
        <v>0</v>
      </c>
      <c r="D136" s="65">
        <f>Inicial!D98</f>
        <v>0</v>
      </c>
      <c r="E136" s="63" t="str">
        <f>IF(Inicial!M98="SI",Inicial!E98,"N/A")</f>
        <v>N/A</v>
      </c>
      <c r="F136" s="64" t="str">
        <f>IF(Inicial!M98="SI",Inicial!F98,"N/A")</f>
        <v>N/A</v>
      </c>
      <c r="G136" s="64" t="str">
        <f>IF(Inicial!M98="SI",Inicial!G98,"N/A")</f>
        <v>N/A</v>
      </c>
      <c r="H136" s="64" t="str">
        <f>IF(Inicial!M98="SI",Inicial!H98,"N/A")</f>
        <v>N/A</v>
      </c>
      <c r="I136" s="66" t="str">
        <f>IF(Inicial!M98="SI",Inicial!I98,"N/A")</f>
        <v>N/A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2" t="str" cm="1">
        <f t="array" ref="W136">IF(OR(M136:V136="NO"),"No aceptable","Aceptable")</f>
        <v>Aceptable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3" t="str" cm="1">
        <f t="array" ref="AN136">IF(OR(AA136:AM136="SI"),"Critico","No Critico")</f>
        <v>No Critico</v>
      </c>
    </row>
    <row r="137" spans="1:40">
      <c r="A137" s="63">
        <f>Inicial!A99</f>
        <v>0</v>
      </c>
      <c r="B137" s="64">
        <f>Inicial!B99</f>
        <v>0</v>
      </c>
      <c r="C137" s="64">
        <f>Inicial!C99</f>
        <v>0</v>
      </c>
      <c r="D137" s="65">
        <f>Inicial!D99</f>
        <v>0</v>
      </c>
      <c r="E137" s="63" t="str">
        <f>IF(Inicial!M99="SI",Inicial!E99,"N/A")</f>
        <v>N/A</v>
      </c>
      <c r="F137" s="64" t="str">
        <f>IF(Inicial!M99="SI",Inicial!F99,"N/A")</f>
        <v>N/A</v>
      </c>
      <c r="G137" s="64" t="str">
        <f>IF(Inicial!M99="SI",Inicial!G99,"N/A")</f>
        <v>N/A</v>
      </c>
      <c r="H137" s="64" t="str">
        <f>IF(Inicial!M99="SI",Inicial!H99,"N/A")</f>
        <v>N/A</v>
      </c>
      <c r="I137" s="66" t="str">
        <f>IF(Inicial!M99="SI",Inicial!I99,"N/A")</f>
        <v>N/A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2" t="str" cm="1">
        <f t="array" ref="W137">IF(OR(M137:V137="NO"),"No aceptable","Aceptable")</f>
        <v>Aceptable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3" t="str" cm="1">
        <f t="array" ref="AN137">IF(OR(AA137:AM137="SI"),"Critico","No Critico")</f>
        <v>No Critico</v>
      </c>
    </row>
    <row r="138" spans="1:40">
      <c r="A138" s="63">
        <f>Inicial!A100</f>
        <v>0</v>
      </c>
      <c r="B138" s="64">
        <f>Inicial!B100</f>
        <v>0</v>
      </c>
      <c r="C138" s="64">
        <f>Inicial!C100</f>
        <v>0</v>
      </c>
      <c r="D138" s="65">
        <f>Inicial!D100</f>
        <v>0</v>
      </c>
      <c r="E138" s="63" t="str">
        <f>IF(Inicial!M100="SI",Inicial!E100,"N/A")</f>
        <v>N/A</v>
      </c>
      <c r="F138" s="64" t="str">
        <f>IF(Inicial!M100="SI",Inicial!F100,"N/A")</f>
        <v>N/A</v>
      </c>
      <c r="G138" s="64" t="str">
        <f>IF(Inicial!M100="SI",Inicial!G100,"N/A")</f>
        <v>N/A</v>
      </c>
      <c r="H138" s="64" t="str">
        <f>IF(Inicial!M100="SI",Inicial!H100,"N/A")</f>
        <v>N/A</v>
      </c>
      <c r="I138" s="66" t="str">
        <f>IF(Inicial!M100="SI",Inicial!I100,"N/A")</f>
        <v>N/A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2" t="str" cm="1">
        <f t="array" ref="W138">IF(OR(M138:V138="NO"),"No aceptable","Aceptable")</f>
        <v>Aceptable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3" t="str" cm="1">
        <f t="array" ref="AN138">IF(OR(AA138:AM138="SI"),"Critico","No Critico")</f>
        <v>No Critico</v>
      </c>
    </row>
    <row r="139" spans="1:40">
      <c r="A139" s="63">
        <f>Inicial!A101</f>
        <v>0</v>
      </c>
      <c r="B139" s="64">
        <f>Inicial!B101</f>
        <v>0</v>
      </c>
      <c r="C139" s="64">
        <f>Inicial!C101</f>
        <v>0</v>
      </c>
      <c r="D139" s="65">
        <f>Inicial!D101</f>
        <v>0</v>
      </c>
      <c r="E139" s="63" t="str">
        <f>IF(Inicial!M101="SI",Inicial!E101,"N/A")</f>
        <v>N/A</v>
      </c>
      <c r="F139" s="64" t="str">
        <f>IF(Inicial!M101="SI",Inicial!F101,"N/A")</f>
        <v>N/A</v>
      </c>
      <c r="G139" s="64" t="str">
        <f>IF(Inicial!M101="SI",Inicial!G101,"N/A")</f>
        <v>N/A</v>
      </c>
      <c r="H139" s="64" t="str">
        <f>IF(Inicial!M101="SI",Inicial!H101,"N/A")</f>
        <v>N/A</v>
      </c>
      <c r="I139" s="66" t="str">
        <f>IF(Inicial!M101="SI",Inicial!I101,"N/A")</f>
        <v>N/A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2" t="str" cm="1">
        <f t="array" ref="W139">IF(OR(M139:V139="NO"),"No aceptable","Aceptable")</f>
        <v>Aceptable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3" t="str" cm="1">
        <f t="array" ref="AN139">IF(OR(AA139:AM139="SI"),"Critico","No Critico")</f>
        <v>No Critico</v>
      </c>
    </row>
    <row r="140" spans="1:40">
      <c r="A140" s="63">
        <f>Inicial!A102</f>
        <v>0</v>
      </c>
      <c r="B140" s="64">
        <f>Inicial!B102</f>
        <v>0</v>
      </c>
      <c r="C140" s="64">
        <f>Inicial!C102</f>
        <v>0</v>
      </c>
      <c r="D140" s="65">
        <f>Inicial!D102</f>
        <v>0</v>
      </c>
      <c r="E140" s="63" t="str">
        <f>IF(Inicial!M102="SI",Inicial!E102,"N/A")</f>
        <v>N/A</v>
      </c>
      <c r="F140" s="64" t="str">
        <f>IF(Inicial!M102="SI",Inicial!F102,"N/A")</f>
        <v>N/A</v>
      </c>
      <c r="G140" s="64" t="str">
        <f>IF(Inicial!M102="SI",Inicial!G102,"N/A")</f>
        <v>N/A</v>
      </c>
      <c r="H140" s="64" t="str">
        <f>IF(Inicial!M102="SI",Inicial!H102,"N/A")</f>
        <v>N/A</v>
      </c>
      <c r="I140" s="66" t="str">
        <f>IF(Inicial!M102="SI",Inicial!I102,"N/A")</f>
        <v>N/A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2" t="str" cm="1">
        <f t="array" ref="W140">IF(OR(M140:V140="NO"),"No aceptable","Aceptable")</f>
        <v>Aceptable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3" t="str" cm="1">
        <f t="array" ref="AN140">IF(OR(AA140:AM140="SI"),"Critico","No Critico")</f>
        <v>No Critico</v>
      </c>
    </row>
    <row r="141" spans="1:40">
      <c r="A141" s="63">
        <f>Inicial!A103</f>
        <v>0</v>
      </c>
      <c r="B141" s="64">
        <f>Inicial!B103</f>
        <v>0</v>
      </c>
      <c r="C141" s="64">
        <f>Inicial!C103</f>
        <v>0</v>
      </c>
      <c r="D141" s="65">
        <f>Inicial!D103</f>
        <v>0</v>
      </c>
      <c r="E141" s="63" t="str">
        <f>IF(Inicial!M103="SI",Inicial!E103,"N/A")</f>
        <v>N/A</v>
      </c>
      <c r="F141" s="64" t="str">
        <f>IF(Inicial!M103="SI",Inicial!F103,"N/A")</f>
        <v>N/A</v>
      </c>
      <c r="G141" s="64" t="str">
        <f>IF(Inicial!M103="SI",Inicial!G103,"N/A")</f>
        <v>N/A</v>
      </c>
      <c r="H141" s="64" t="str">
        <f>IF(Inicial!M103="SI",Inicial!H103,"N/A")</f>
        <v>N/A</v>
      </c>
      <c r="I141" s="66" t="str">
        <f>IF(Inicial!M103="SI",Inicial!I103,"N/A")</f>
        <v>N/A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2" t="str" cm="1">
        <f t="array" ref="W141">IF(OR(M141:V141="NO"),"No aceptable","Aceptable")</f>
        <v>Aceptable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3" t="str" cm="1">
        <f t="array" ref="AN141">IF(OR(AA141:AM141="SI"),"Critico","No Critico")</f>
        <v>No Critico</v>
      </c>
    </row>
    <row r="142" spans="1:40">
      <c r="A142" s="63">
        <f>Inicial!A104</f>
        <v>0</v>
      </c>
      <c r="B142" s="64">
        <f>Inicial!B104</f>
        <v>0</v>
      </c>
      <c r="C142" s="64">
        <f>Inicial!C104</f>
        <v>0</v>
      </c>
      <c r="D142" s="65">
        <f>Inicial!D104</f>
        <v>0</v>
      </c>
      <c r="E142" s="63" t="str">
        <f>IF(Inicial!M104="SI",Inicial!E104,"N/A")</f>
        <v>N/A</v>
      </c>
      <c r="F142" s="64" t="str">
        <f>IF(Inicial!M104="SI",Inicial!F104,"N/A")</f>
        <v>N/A</v>
      </c>
      <c r="G142" s="64" t="str">
        <f>IF(Inicial!M104="SI",Inicial!G104,"N/A")</f>
        <v>N/A</v>
      </c>
      <c r="H142" s="64" t="str">
        <f>IF(Inicial!M104="SI",Inicial!H104,"N/A")</f>
        <v>N/A</v>
      </c>
      <c r="I142" s="66" t="str">
        <f>IF(Inicial!M104="SI",Inicial!I104,"N/A")</f>
        <v>N/A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2" t="str" cm="1">
        <f t="array" ref="W142">IF(OR(M142:V142="NO"),"No aceptable","Aceptable")</f>
        <v>Aceptable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3" t="str" cm="1">
        <f t="array" ref="AN142">IF(OR(AA142:AM142="SI"),"Critico","No Critico")</f>
        <v>No Critico</v>
      </c>
    </row>
    <row r="143" spans="1:40">
      <c r="A143" s="63">
        <f>Inicial!A105</f>
        <v>0</v>
      </c>
      <c r="B143" s="64">
        <f>Inicial!B105</f>
        <v>0</v>
      </c>
      <c r="C143" s="64">
        <f>Inicial!C105</f>
        <v>0</v>
      </c>
      <c r="D143" s="65">
        <f>Inicial!D105</f>
        <v>0</v>
      </c>
      <c r="E143" s="63" t="str">
        <f>IF(Inicial!M105="SI",Inicial!E105,"N/A")</f>
        <v>N/A</v>
      </c>
      <c r="F143" s="64" t="str">
        <f>IF(Inicial!M105="SI",Inicial!F105,"N/A")</f>
        <v>N/A</v>
      </c>
      <c r="G143" s="64" t="str">
        <f>IF(Inicial!M105="SI",Inicial!G105,"N/A")</f>
        <v>N/A</v>
      </c>
      <c r="H143" s="64" t="str">
        <f>IF(Inicial!M105="SI",Inicial!H105,"N/A")</f>
        <v>N/A</v>
      </c>
      <c r="I143" s="66" t="str">
        <f>IF(Inicial!M105="SI",Inicial!I105,"N/A")</f>
        <v>N/A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2" t="str" cm="1">
        <f t="array" ref="W143">IF(OR(M143:V143="NO"),"No aceptable","Aceptable")</f>
        <v>Aceptable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3" t="str" cm="1">
        <f t="array" ref="AN143">IF(OR(AA143:AM143="SI"),"Critico","No Critico")</f>
        <v>No Critico</v>
      </c>
    </row>
    <row r="144" spans="1:40">
      <c r="A144" s="63">
        <f>Inicial!A106</f>
        <v>0</v>
      </c>
      <c r="B144" s="64">
        <f>Inicial!B106</f>
        <v>0</v>
      </c>
      <c r="C144" s="64">
        <f>Inicial!C106</f>
        <v>0</v>
      </c>
      <c r="D144" s="65">
        <f>Inicial!D106</f>
        <v>0</v>
      </c>
      <c r="E144" s="63" t="str">
        <f>IF(Inicial!M106="SI",Inicial!E106,"N/A")</f>
        <v>N/A</v>
      </c>
      <c r="F144" s="64" t="str">
        <f>IF(Inicial!M106="SI",Inicial!F106,"N/A")</f>
        <v>N/A</v>
      </c>
      <c r="G144" s="64" t="str">
        <f>IF(Inicial!M106="SI",Inicial!G106,"N/A")</f>
        <v>N/A</v>
      </c>
      <c r="H144" s="64" t="str">
        <f>IF(Inicial!M106="SI",Inicial!H106,"N/A")</f>
        <v>N/A</v>
      </c>
      <c r="I144" s="66" t="str">
        <f>IF(Inicial!M106="SI",Inicial!I106,"N/A")</f>
        <v>N/A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2" t="str" cm="1">
        <f t="array" ref="W144">IF(OR(M144:V144="NO"),"No aceptable","Aceptable")</f>
        <v>Aceptable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3" t="str" cm="1">
        <f t="array" ref="AN144">IF(OR(AA144:AM144="SI"),"Critico","No Critico")</f>
        <v>No Critico</v>
      </c>
    </row>
    <row r="145" spans="1:40">
      <c r="A145" s="63">
        <f>Inicial!A107</f>
        <v>0</v>
      </c>
      <c r="B145" s="64">
        <f>Inicial!B107</f>
        <v>0</v>
      </c>
      <c r="C145" s="64">
        <f>Inicial!C107</f>
        <v>0</v>
      </c>
      <c r="D145" s="65">
        <f>Inicial!D107</f>
        <v>0</v>
      </c>
      <c r="E145" s="63" t="str">
        <f>IF(Inicial!M107="SI",Inicial!E107,"N/A")</f>
        <v>N/A</v>
      </c>
      <c r="F145" s="64" t="str">
        <f>IF(Inicial!M107="SI",Inicial!F107,"N/A")</f>
        <v>N/A</v>
      </c>
      <c r="G145" s="64" t="str">
        <f>IF(Inicial!M107="SI",Inicial!G107,"N/A")</f>
        <v>N/A</v>
      </c>
      <c r="H145" s="64" t="str">
        <f>IF(Inicial!M107="SI",Inicial!H107,"N/A")</f>
        <v>N/A</v>
      </c>
      <c r="I145" s="66" t="str">
        <f>IF(Inicial!M107="SI",Inicial!I107,"N/A")</f>
        <v>N/A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2" t="str" cm="1">
        <f t="array" ref="W145">IF(OR(M145:V145="NO"),"No aceptable","Aceptable")</f>
        <v>Aceptable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3" t="str" cm="1">
        <f t="array" ref="AN145">IF(OR(AA145:AM145="SI"),"Critico","No Critico")</f>
        <v>No Critico</v>
      </c>
    </row>
    <row r="146" spans="1:40">
      <c r="A146" s="63">
        <f>Inicial!A108</f>
        <v>0</v>
      </c>
      <c r="B146" s="64">
        <f>Inicial!B108</f>
        <v>0</v>
      </c>
      <c r="C146" s="64">
        <f>Inicial!C108</f>
        <v>0</v>
      </c>
      <c r="D146" s="65">
        <f>Inicial!D108</f>
        <v>0</v>
      </c>
      <c r="E146" s="63" t="str">
        <f>IF(Inicial!M108="SI",Inicial!E108,"N/A")</f>
        <v>N/A</v>
      </c>
      <c r="F146" s="64" t="str">
        <f>IF(Inicial!M108="SI",Inicial!F108,"N/A")</f>
        <v>N/A</v>
      </c>
      <c r="G146" s="64" t="str">
        <f>IF(Inicial!M108="SI",Inicial!G108,"N/A")</f>
        <v>N/A</v>
      </c>
      <c r="H146" s="64" t="str">
        <f>IF(Inicial!M108="SI",Inicial!H108,"N/A")</f>
        <v>N/A</v>
      </c>
      <c r="I146" s="66" t="str">
        <f>IF(Inicial!M108="SI",Inicial!I108,"N/A")</f>
        <v>N/A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2" t="str" cm="1">
        <f t="array" ref="W146">IF(OR(M146:V146="NO"),"No aceptable","Aceptable")</f>
        <v>Aceptable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3" t="str" cm="1">
        <f t="array" ref="AN146">IF(OR(AA146:AM146="SI"),"Critico","No Critico")</f>
        <v>No Critico</v>
      </c>
    </row>
    <row r="147" spans="1:40">
      <c r="A147" s="63">
        <f>Inicial!A109</f>
        <v>0</v>
      </c>
      <c r="B147" s="64">
        <f>Inicial!B109</f>
        <v>0</v>
      </c>
      <c r="C147" s="64">
        <f>Inicial!C109</f>
        <v>0</v>
      </c>
      <c r="D147" s="65">
        <f>Inicial!D109</f>
        <v>0</v>
      </c>
      <c r="E147" s="63" t="str">
        <f>IF(Inicial!M109="SI",Inicial!E109,"N/A")</f>
        <v>N/A</v>
      </c>
      <c r="F147" s="64" t="str">
        <f>IF(Inicial!M109="SI",Inicial!F109,"N/A")</f>
        <v>N/A</v>
      </c>
      <c r="G147" s="64" t="str">
        <f>IF(Inicial!M109="SI",Inicial!G109,"N/A")</f>
        <v>N/A</v>
      </c>
      <c r="H147" s="64" t="str">
        <f>IF(Inicial!M109="SI",Inicial!H109,"N/A")</f>
        <v>N/A</v>
      </c>
      <c r="I147" s="66" t="str">
        <f>IF(Inicial!M109="SI",Inicial!I109,"N/A")</f>
        <v>N/A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2" t="str" cm="1">
        <f t="array" ref="W147">IF(OR(M147:V147="NO"),"No aceptable","Aceptable")</f>
        <v>Aceptable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3" t="str" cm="1">
        <f t="array" ref="AN147">IF(OR(AA147:AM147="SI"),"Critico","No Critico")</f>
        <v>No Critico</v>
      </c>
    </row>
    <row r="148" spans="1:40">
      <c r="A148" s="63">
        <f>Inicial!A110</f>
        <v>0</v>
      </c>
      <c r="B148" s="64">
        <f>Inicial!B110</f>
        <v>0</v>
      </c>
      <c r="C148" s="64">
        <f>Inicial!C110</f>
        <v>0</v>
      </c>
      <c r="D148" s="65">
        <f>Inicial!D110</f>
        <v>0</v>
      </c>
      <c r="E148" s="63" t="str">
        <f>IF(Inicial!M110="SI",Inicial!E110,"N/A")</f>
        <v>N/A</v>
      </c>
      <c r="F148" s="64" t="str">
        <f>IF(Inicial!M110="SI",Inicial!F110,"N/A")</f>
        <v>N/A</v>
      </c>
      <c r="G148" s="64" t="str">
        <f>IF(Inicial!M110="SI",Inicial!G110,"N/A")</f>
        <v>N/A</v>
      </c>
      <c r="H148" s="64" t="str">
        <f>IF(Inicial!M110="SI",Inicial!H110,"N/A")</f>
        <v>N/A</v>
      </c>
      <c r="I148" s="66" t="str">
        <f>IF(Inicial!M110="SI",Inicial!I110,"N/A")</f>
        <v>N/A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2" t="str" cm="1">
        <f t="array" ref="W148">IF(OR(M148:V148="NO"),"No aceptable","Aceptable")</f>
        <v>Aceptable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3" t="str" cm="1">
        <f t="array" ref="AN148">IF(OR(AA148:AM148="SI"),"Critico","No Critico")</f>
        <v>No Critico</v>
      </c>
    </row>
    <row r="149" spans="1:40">
      <c r="A149" s="63">
        <f>Inicial!A111</f>
        <v>0</v>
      </c>
      <c r="B149" s="64">
        <f>Inicial!B111</f>
        <v>0</v>
      </c>
      <c r="C149" s="64">
        <f>Inicial!C111</f>
        <v>0</v>
      </c>
      <c r="D149" s="65">
        <f>Inicial!D111</f>
        <v>0</v>
      </c>
      <c r="E149" s="63" t="str">
        <f>IF(Inicial!M111="SI",Inicial!E111,"N/A")</f>
        <v>N/A</v>
      </c>
      <c r="F149" s="64" t="str">
        <f>IF(Inicial!M111="SI",Inicial!F111,"N/A")</f>
        <v>N/A</v>
      </c>
      <c r="G149" s="64" t="str">
        <f>IF(Inicial!M111="SI",Inicial!G111,"N/A")</f>
        <v>N/A</v>
      </c>
      <c r="H149" s="64" t="str">
        <f>IF(Inicial!M111="SI",Inicial!H111,"N/A")</f>
        <v>N/A</v>
      </c>
      <c r="I149" s="66" t="str">
        <f>IF(Inicial!M111="SI",Inicial!I111,"N/A")</f>
        <v>N/A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2" t="str" cm="1">
        <f t="array" ref="W149">IF(OR(M149:V149="NO"),"No aceptable","Aceptable")</f>
        <v>Aceptable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3" t="str" cm="1">
        <f t="array" ref="AN149">IF(OR(AA149:AM149="SI"),"Critico","No Critico")</f>
        <v>No Critico</v>
      </c>
    </row>
    <row r="150" spans="1:40">
      <c r="A150" s="63">
        <f>Inicial!A112</f>
        <v>0</v>
      </c>
      <c r="B150" s="64">
        <f>Inicial!B112</f>
        <v>0</v>
      </c>
      <c r="C150" s="64">
        <f>Inicial!C112</f>
        <v>0</v>
      </c>
      <c r="D150" s="65">
        <f>Inicial!D112</f>
        <v>0</v>
      </c>
      <c r="E150" s="63" t="str">
        <f>IF(Inicial!M112="SI",Inicial!E112,"N/A")</f>
        <v>N/A</v>
      </c>
      <c r="F150" s="64" t="str">
        <f>IF(Inicial!M112="SI",Inicial!F112,"N/A")</f>
        <v>N/A</v>
      </c>
      <c r="G150" s="64" t="str">
        <f>IF(Inicial!M112="SI",Inicial!G112,"N/A")</f>
        <v>N/A</v>
      </c>
      <c r="H150" s="64" t="str">
        <f>IF(Inicial!M112="SI",Inicial!H112,"N/A")</f>
        <v>N/A</v>
      </c>
      <c r="I150" s="66" t="str">
        <f>IF(Inicial!M112="SI",Inicial!I112,"N/A")</f>
        <v>N/A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2" t="str" cm="1">
        <f t="array" ref="W150">IF(OR(M150:V150="NO"),"No aceptable","Aceptable")</f>
        <v>Aceptable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3" t="str" cm="1">
        <f t="array" ref="AN150">IF(OR(AA150:AM150="SI"),"Critico","No Critico")</f>
        <v>No Critico</v>
      </c>
    </row>
    <row r="151" spans="1:40">
      <c r="A151" s="63">
        <f>Inicial!A113</f>
        <v>0</v>
      </c>
      <c r="B151" s="64">
        <f>Inicial!B113</f>
        <v>0</v>
      </c>
      <c r="C151" s="64">
        <f>Inicial!C113</f>
        <v>0</v>
      </c>
      <c r="D151" s="65">
        <f>Inicial!D113</f>
        <v>0</v>
      </c>
      <c r="E151" s="63" t="str">
        <f>IF(Inicial!M113="SI",Inicial!E113,"N/A")</f>
        <v>N/A</v>
      </c>
      <c r="F151" s="64" t="str">
        <f>IF(Inicial!M113="SI",Inicial!F113,"N/A")</f>
        <v>N/A</v>
      </c>
      <c r="G151" s="64" t="str">
        <f>IF(Inicial!M113="SI",Inicial!G113,"N/A")</f>
        <v>N/A</v>
      </c>
      <c r="H151" s="64" t="str">
        <f>IF(Inicial!M113="SI",Inicial!H113,"N/A")</f>
        <v>N/A</v>
      </c>
      <c r="I151" s="66" t="str">
        <f>IF(Inicial!M113="SI",Inicial!I113,"N/A")</f>
        <v>N/A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2" t="str" cm="1">
        <f t="array" ref="W151">IF(OR(M151:V151="NO"),"No aceptable","Aceptable")</f>
        <v>Aceptable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3" t="str" cm="1">
        <f t="array" ref="AN151">IF(OR(AA151:AM151="SI"),"Critico","No Critico")</f>
        <v>No Critico</v>
      </c>
    </row>
    <row r="152" spans="1:40">
      <c r="A152" s="63">
        <f>Inicial!A114</f>
        <v>0</v>
      </c>
      <c r="B152" s="64">
        <f>Inicial!B114</f>
        <v>0</v>
      </c>
      <c r="C152" s="64">
        <f>Inicial!C114</f>
        <v>0</v>
      </c>
      <c r="D152" s="65">
        <f>Inicial!D114</f>
        <v>0</v>
      </c>
      <c r="E152" s="63" t="str">
        <f>IF(Inicial!M114="SI",Inicial!E114,"N/A")</f>
        <v>N/A</v>
      </c>
      <c r="F152" s="64" t="str">
        <f>IF(Inicial!M114="SI",Inicial!F114,"N/A")</f>
        <v>N/A</v>
      </c>
      <c r="G152" s="64" t="str">
        <f>IF(Inicial!M114="SI",Inicial!G114,"N/A")</f>
        <v>N/A</v>
      </c>
      <c r="H152" s="64" t="str">
        <f>IF(Inicial!M114="SI",Inicial!H114,"N/A")</f>
        <v>N/A</v>
      </c>
      <c r="I152" s="66" t="str">
        <f>IF(Inicial!M114="SI",Inicial!I114,"N/A")</f>
        <v>N/A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2" t="str" cm="1">
        <f t="array" ref="W152">IF(OR(M152:V152="NO"),"No aceptable","Aceptable")</f>
        <v>Aceptable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3" t="str" cm="1">
        <f t="array" ref="AN152">IF(OR(AA152:AM152="SI"),"Critico","No Critico")</f>
        <v>No Critico</v>
      </c>
    </row>
    <row r="153" spans="1:40">
      <c r="A153" s="63">
        <f>Inicial!A115</f>
        <v>0</v>
      </c>
      <c r="B153" s="64">
        <f>Inicial!B115</f>
        <v>0</v>
      </c>
      <c r="C153" s="64">
        <f>Inicial!C115</f>
        <v>0</v>
      </c>
      <c r="D153" s="65">
        <f>Inicial!D115</f>
        <v>0</v>
      </c>
      <c r="E153" s="63" t="str">
        <f>IF(Inicial!M115="SI",Inicial!E115,"N/A")</f>
        <v>N/A</v>
      </c>
      <c r="F153" s="64" t="str">
        <f>IF(Inicial!M115="SI",Inicial!F115,"N/A")</f>
        <v>N/A</v>
      </c>
      <c r="G153" s="64" t="str">
        <f>IF(Inicial!M115="SI",Inicial!G115,"N/A")</f>
        <v>N/A</v>
      </c>
      <c r="H153" s="64" t="str">
        <f>IF(Inicial!M115="SI",Inicial!H115,"N/A")</f>
        <v>N/A</v>
      </c>
      <c r="I153" s="66" t="str">
        <f>IF(Inicial!M115="SI",Inicial!I115,"N/A")</f>
        <v>N/A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2" t="str" cm="1">
        <f t="array" ref="W153">IF(OR(M153:V153="NO"),"No aceptable","Aceptable")</f>
        <v>Aceptable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3" t="str" cm="1">
        <f t="array" ref="AN153">IF(OR(AA153:AM153="SI"),"Critico","No Critico")</f>
        <v>No Critico</v>
      </c>
    </row>
    <row r="154" spans="1:40">
      <c r="A154" s="63">
        <f>Inicial!A116</f>
        <v>0</v>
      </c>
      <c r="B154" s="64">
        <f>Inicial!B116</f>
        <v>0</v>
      </c>
      <c r="C154" s="64">
        <f>Inicial!C116</f>
        <v>0</v>
      </c>
      <c r="D154" s="65">
        <f>Inicial!D116</f>
        <v>0</v>
      </c>
      <c r="E154" s="63" t="str">
        <f>IF(Inicial!M116="SI",Inicial!E116,"N/A")</f>
        <v>N/A</v>
      </c>
      <c r="F154" s="64" t="str">
        <f>IF(Inicial!M116="SI",Inicial!F116,"N/A")</f>
        <v>N/A</v>
      </c>
      <c r="G154" s="64" t="str">
        <f>IF(Inicial!M116="SI",Inicial!G116,"N/A")</f>
        <v>N/A</v>
      </c>
      <c r="H154" s="64" t="str">
        <f>IF(Inicial!M116="SI",Inicial!H116,"N/A")</f>
        <v>N/A</v>
      </c>
      <c r="I154" s="66" t="str">
        <f>IF(Inicial!M116="SI",Inicial!I116,"N/A")</f>
        <v>N/A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2" t="str" cm="1">
        <f t="array" ref="W154">IF(OR(M154:V154="NO"),"No aceptable","Aceptable")</f>
        <v>Aceptable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3" t="str" cm="1">
        <f t="array" ref="AN154">IF(OR(AA154:AM154="SI"),"Critico","No Critico")</f>
        <v>No Critico</v>
      </c>
    </row>
    <row r="155" spans="1:40">
      <c r="A155" s="63">
        <f>Inicial!A117</f>
        <v>0</v>
      </c>
      <c r="B155" s="64">
        <f>Inicial!B117</f>
        <v>0</v>
      </c>
      <c r="C155" s="64">
        <f>Inicial!C117</f>
        <v>0</v>
      </c>
      <c r="D155" s="65">
        <f>Inicial!D117</f>
        <v>0</v>
      </c>
      <c r="E155" s="63" t="str">
        <f>IF(Inicial!M117="SI",Inicial!E117,"N/A")</f>
        <v>N/A</v>
      </c>
      <c r="F155" s="64" t="str">
        <f>IF(Inicial!M117="SI",Inicial!F117,"N/A")</f>
        <v>N/A</v>
      </c>
      <c r="G155" s="64" t="str">
        <f>IF(Inicial!M117="SI",Inicial!G117,"N/A")</f>
        <v>N/A</v>
      </c>
      <c r="H155" s="64" t="str">
        <f>IF(Inicial!M117="SI",Inicial!H117,"N/A")</f>
        <v>N/A</v>
      </c>
      <c r="I155" s="66" t="str">
        <f>IF(Inicial!M117="SI",Inicial!I117,"N/A")</f>
        <v>N/A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2" t="str" cm="1">
        <f t="array" ref="W155">IF(OR(M155:V155="NO"),"No aceptable","Aceptable")</f>
        <v>Aceptable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3" t="str" cm="1">
        <f t="array" ref="AN155">IF(OR(AA155:AM155="SI"),"Critico","No Critico")</f>
        <v>No Critico</v>
      </c>
    </row>
    <row r="156" spans="1:40">
      <c r="A156" s="63">
        <f>Inicial!A118</f>
        <v>0</v>
      </c>
      <c r="B156" s="64">
        <f>Inicial!B118</f>
        <v>0</v>
      </c>
      <c r="C156" s="64">
        <f>Inicial!C118</f>
        <v>0</v>
      </c>
      <c r="D156" s="65">
        <f>Inicial!D118</f>
        <v>0</v>
      </c>
      <c r="E156" s="63" t="str">
        <f>IF(Inicial!M118="SI",Inicial!E118,"N/A")</f>
        <v>N/A</v>
      </c>
      <c r="F156" s="64" t="str">
        <f>IF(Inicial!M118="SI",Inicial!F118,"N/A")</f>
        <v>N/A</v>
      </c>
      <c r="G156" s="64" t="str">
        <f>IF(Inicial!M118="SI",Inicial!G118,"N/A")</f>
        <v>N/A</v>
      </c>
      <c r="H156" s="64" t="str">
        <f>IF(Inicial!M118="SI",Inicial!H118,"N/A")</f>
        <v>N/A</v>
      </c>
      <c r="I156" s="66" t="str">
        <f>IF(Inicial!M118="SI",Inicial!I118,"N/A")</f>
        <v>N/A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2" t="str" cm="1">
        <f t="array" ref="W156">IF(OR(M156:V156="NO"),"No aceptable","Aceptable")</f>
        <v>Aceptable</v>
      </c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3" t="str" cm="1">
        <f t="array" ref="AN156">IF(OR(AA156:AM156="SI"),"Critico","No Critico")</f>
        <v>No Critico</v>
      </c>
    </row>
    <row r="157" spans="1:40">
      <c r="A157" s="63">
        <f>Inicial!A119</f>
        <v>0</v>
      </c>
      <c r="B157" s="64">
        <f>Inicial!B119</f>
        <v>0</v>
      </c>
      <c r="C157" s="64">
        <f>Inicial!C119</f>
        <v>0</v>
      </c>
      <c r="D157" s="65">
        <f>Inicial!D119</f>
        <v>0</v>
      </c>
      <c r="E157" s="63" t="str">
        <f>IF(Inicial!M119="SI",Inicial!E119,"N/A")</f>
        <v>N/A</v>
      </c>
      <c r="F157" s="64" t="str">
        <f>IF(Inicial!M119="SI",Inicial!F119,"N/A")</f>
        <v>N/A</v>
      </c>
      <c r="G157" s="64" t="str">
        <f>IF(Inicial!M119="SI",Inicial!G119,"N/A")</f>
        <v>N/A</v>
      </c>
      <c r="H157" s="64" t="str">
        <f>IF(Inicial!M119="SI",Inicial!H119,"N/A")</f>
        <v>N/A</v>
      </c>
      <c r="I157" s="66" t="str">
        <f>IF(Inicial!M119="SI",Inicial!I119,"N/A")</f>
        <v>N/A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2" t="str" cm="1">
        <f t="array" ref="W157">IF(OR(M157:V157="NO"),"No aceptable","Aceptable")</f>
        <v>Aceptable</v>
      </c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3" t="str" cm="1">
        <f t="array" ref="AN157">IF(OR(AA157:AM157="SI"),"Critico","No Critico")</f>
        <v>No Critico</v>
      </c>
    </row>
    <row r="158" spans="1:40">
      <c r="A158" s="63">
        <f>Inicial!A120</f>
        <v>0</v>
      </c>
      <c r="B158" s="64">
        <f>Inicial!B120</f>
        <v>0</v>
      </c>
      <c r="C158" s="64">
        <f>Inicial!C120</f>
        <v>0</v>
      </c>
      <c r="D158" s="65">
        <f>Inicial!D120</f>
        <v>0</v>
      </c>
      <c r="E158" s="63" t="str">
        <f>IF(Inicial!M120="SI",Inicial!E120,"N/A")</f>
        <v>N/A</v>
      </c>
      <c r="F158" s="64" t="str">
        <f>IF(Inicial!M120="SI",Inicial!F120,"N/A")</f>
        <v>N/A</v>
      </c>
      <c r="G158" s="64" t="str">
        <f>IF(Inicial!M120="SI",Inicial!G120,"N/A")</f>
        <v>N/A</v>
      </c>
      <c r="H158" s="64" t="str">
        <f>IF(Inicial!M120="SI",Inicial!H120,"N/A")</f>
        <v>N/A</v>
      </c>
      <c r="I158" s="66" t="str">
        <f>IF(Inicial!M120="SI",Inicial!I120,"N/A")</f>
        <v>N/A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2" t="str" cm="1">
        <f t="array" ref="W158">IF(OR(M158:V158="NO"),"No aceptable","Aceptable")</f>
        <v>Aceptable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3" t="str" cm="1">
        <f t="array" ref="AN158">IF(OR(AA158:AM158="SI"),"Critico","No Critico")</f>
        <v>No Critico</v>
      </c>
    </row>
    <row r="159" spans="1:40">
      <c r="A159" s="63">
        <f>Inicial!A121</f>
        <v>0</v>
      </c>
      <c r="B159" s="64">
        <f>Inicial!B121</f>
        <v>0</v>
      </c>
      <c r="C159" s="64">
        <f>Inicial!C121</f>
        <v>0</v>
      </c>
      <c r="D159" s="65">
        <f>Inicial!D121</f>
        <v>0</v>
      </c>
      <c r="E159" s="63" t="str">
        <f>IF(Inicial!M121="SI",Inicial!E121,"N/A")</f>
        <v>N/A</v>
      </c>
      <c r="F159" s="64" t="str">
        <f>IF(Inicial!M121="SI",Inicial!F121,"N/A")</f>
        <v>N/A</v>
      </c>
      <c r="G159" s="64" t="str">
        <f>IF(Inicial!M121="SI",Inicial!G121,"N/A")</f>
        <v>N/A</v>
      </c>
      <c r="H159" s="64" t="str">
        <f>IF(Inicial!M121="SI",Inicial!H121,"N/A")</f>
        <v>N/A</v>
      </c>
      <c r="I159" s="66" t="str">
        <f>IF(Inicial!M121="SI",Inicial!I121,"N/A")</f>
        <v>N/A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2" t="str" cm="1">
        <f t="array" ref="W159">IF(OR(M159:V159="NO"),"No aceptable","Aceptable")</f>
        <v>Aceptable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3" t="str" cm="1">
        <f t="array" ref="AN159">IF(OR(AA159:AM159="SI"),"Critico","No Critico")</f>
        <v>No Critico</v>
      </c>
    </row>
    <row r="160" spans="1:40">
      <c r="A160" s="63">
        <f>Inicial!A122</f>
        <v>0</v>
      </c>
      <c r="B160" s="64">
        <f>Inicial!B122</f>
        <v>0</v>
      </c>
      <c r="C160" s="64">
        <f>Inicial!C122</f>
        <v>0</v>
      </c>
      <c r="D160" s="65">
        <f>Inicial!D122</f>
        <v>0</v>
      </c>
      <c r="E160" s="63" t="str">
        <f>IF(Inicial!M122="SI",Inicial!E122,"N/A")</f>
        <v>N/A</v>
      </c>
      <c r="F160" s="64" t="str">
        <f>IF(Inicial!M122="SI",Inicial!F122,"N/A")</f>
        <v>N/A</v>
      </c>
      <c r="G160" s="64" t="str">
        <f>IF(Inicial!M122="SI",Inicial!G122,"N/A")</f>
        <v>N/A</v>
      </c>
      <c r="H160" s="64" t="str">
        <f>IF(Inicial!M122="SI",Inicial!H122,"N/A")</f>
        <v>N/A</v>
      </c>
      <c r="I160" s="66" t="str">
        <f>IF(Inicial!M122="SI",Inicial!I122,"N/A")</f>
        <v>N/A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2" t="str" cm="1">
        <f t="array" ref="W160">IF(OR(M160:V160="NO"),"No aceptable","Aceptable")</f>
        <v>Aceptable</v>
      </c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3" t="str" cm="1">
        <f t="array" ref="AN160">IF(OR(AA160:AM160="SI"),"Critico","No Critico")</f>
        <v>No Critico</v>
      </c>
    </row>
    <row r="161" spans="1:40">
      <c r="A161" s="63">
        <f>Inicial!A123</f>
        <v>0</v>
      </c>
      <c r="B161" s="64">
        <f>Inicial!B123</f>
        <v>0</v>
      </c>
      <c r="C161" s="64">
        <f>Inicial!C123</f>
        <v>0</v>
      </c>
      <c r="D161" s="65">
        <f>Inicial!D123</f>
        <v>0</v>
      </c>
      <c r="E161" s="63" t="str">
        <f>IF(Inicial!M123="SI",Inicial!E123,"N/A")</f>
        <v>N/A</v>
      </c>
      <c r="F161" s="64" t="str">
        <f>IF(Inicial!M123="SI",Inicial!F123,"N/A")</f>
        <v>N/A</v>
      </c>
      <c r="G161" s="64" t="str">
        <f>IF(Inicial!M123="SI",Inicial!G123,"N/A")</f>
        <v>N/A</v>
      </c>
      <c r="H161" s="64" t="str">
        <f>IF(Inicial!M123="SI",Inicial!H123,"N/A")</f>
        <v>N/A</v>
      </c>
      <c r="I161" s="66" t="str">
        <f>IF(Inicial!M123="SI",Inicial!I123,"N/A")</f>
        <v>N/A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2" t="str" cm="1">
        <f t="array" ref="W161">IF(OR(M161:V161="NO"),"No aceptable","Aceptable")</f>
        <v>Aceptable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3" t="str" cm="1">
        <f t="array" ref="AN161">IF(OR(AA161:AM161="SI"),"Critico","No Critico")</f>
        <v>No Critico</v>
      </c>
    </row>
    <row r="162" spans="1:40">
      <c r="A162" s="63">
        <f>Inicial!A124</f>
        <v>0</v>
      </c>
      <c r="B162" s="64">
        <f>Inicial!B124</f>
        <v>0</v>
      </c>
      <c r="C162" s="64">
        <f>Inicial!C124</f>
        <v>0</v>
      </c>
      <c r="D162" s="65">
        <f>Inicial!D124</f>
        <v>0</v>
      </c>
      <c r="E162" s="63" t="str">
        <f>IF(Inicial!M124="SI",Inicial!E124,"N/A")</f>
        <v>N/A</v>
      </c>
      <c r="F162" s="64" t="str">
        <f>IF(Inicial!M124="SI",Inicial!F124,"N/A")</f>
        <v>N/A</v>
      </c>
      <c r="G162" s="64" t="str">
        <f>IF(Inicial!M124="SI",Inicial!G124,"N/A")</f>
        <v>N/A</v>
      </c>
      <c r="H162" s="64" t="str">
        <f>IF(Inicial!M124="SI",Inicial!H124,"N/A")</f>
        <v>N/A</v>
      </c>
      <c r="I162" s="66" t="str">
        <f>IF(Inicial!M124="SI",Inicial!I124,"N/A")</f>
        <v>N/A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2" t="str" cm="1">
        <f t="array" ref="W162">IF(OR(M162:V162="NO"),"No aceptable","Aceptable")</f>
        <v>Aceptable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3" t="str" cm="1">
        <f t="array" ref="AN162">IF(OR(AA162:AM162="SI"),"Critico","No Critico")</f>
        <v>No Critico</v>
      </c>
    </row>
    <row r="163" spans="1:40">
      <c r="A163" s="63">
        <f>Inicial!A125</f>
        <v>0</v>
      </c>
      <c r="B163" s="64">
        <f>Inicial!B125</f>
        <v>0</v>
      </c>
      <c r="C163" s="64">
        <f>Inicial!C125</f>
        <v>0</v>
      </c>
      <c r="D163" s="65">
        <f>Inicial!D125</f>
        <v>0</v>
      </c>
      <c r="E163" s="63" t="str">
        <f>IF(Inicial!M125="SI",Inicial!E125,"N/A")</f>
        <v>N/A</v>
      </c>
      <c r="F163" s="64" t="str">
        <f>IF(Inicial!M125="SI",Inicial!F125,"N/A")</f>
        <v>N/A</v>
      </c>
      <c r="G163" s="64" t="str">
        <f>IF(Inicial!M125="SI",Inicial!G125,"N/A")</f>
        <v>N/A</v>
      </c>
      <c r="H163" s="64" t="str">
        <f>IF(Inicial!M125="SI",Inicial!H125,"N/A")</f>
        <v>N/A</v>
      </c>
      <c r="I163" s="66" t="str">
        <f>IF(Inicial!M125="SI",Inicial!I125,"N/A")</f>
        <v>N/A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2" t="str" cm="1">
        <f t="array" ref="W163">IF(OR(M163:V163="NO"),"No aceptable","Aceptable")</f>
        <v>Aceptable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3" t="str" cm="1">
        <f t="array" ref="AN163">IF(OR(AA163:AM163="SI"),"Critico","No Critico")</f>
        <v>No Critico</v>
      </c>
    </row>
    <row r="164" spans="1:40">
      <c r="A164" s="63">
        <f>Inicial!A126</f>
        <v>0</v>
      </c>
      <c r="B164" s="64">
        <f>Inicial!B126</f>
        <v>0</v>
      </c>
      <c r="C164" s="64">
        <f>Inicial!C126</f>
        <v>0</v>
      </c>
      <c r="D164" s="65">
        <f>Inicial!D126</f>
        <v>0</v>
      </c>
      <c r="E164" s="63" t="str">
        <f>IF(Inicial!M126="SI",Inicial!E126,"N/A")</f>
        <v>N/A</v>
      </c>
      <c r="F164" s="64" t="str">
        <f>IF(Inicial!M126="SI",Inicial!F126,"N/A")</f>
        <v>N/A</v>
      </c>
      <c r="G164" s="64" t="str">
        <f>IF(Inicial!M126="SI",Inicial!G126,"N/A")</f>
        <v>N/A</v>
      </c>
      <c r="H164" s="64" t="str">
        <f>IF(Inicial!M126="SI",Inicial!H126,"N/A")</f>
        <v>N/A</v>
      </c>
      <c r="I164" s="66" t="str">
        <f>IF(Inicial!M126="SI",Inicial!I126,"N/A")</f>
        <v>N/A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2" t="str" cm="1">
        <f t="array" ref="W164">IF(OR(M164:V164="NO"),"No aceptable","Aceptable")</f>
        <v>Aceptable</v>
      </c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3" t="str" cm="1">
        <f t="array" ref="AN164">IF(OR(AA164:AM164="SI"),"Critico","No Critico")</f>
        <v>No Critico</v>
      </c>
    </row>
    <row r="165" spans="1:40">
      <c r="A165" s="63">
        <f>Inicial!A127</f>
        <v>0</v>
      </c>
      <c r="B165" s="64">
        <f>Inicial!B127</f>
        <v>0</v>
      </c>
      <c r="C165" s="64">
        <f>Inicial!C127</f>
        <v>0</v>
      </c>
      <c r="D165" s="65">
        <f>Inicial!D127</f>
        <v>0</v>
      </c>
      <c r="E165" s="63" t="str">
        <f>IF(Inicial!M127="SI",Inicial!E127,"N/A")</f>
        <v>N/A</v>
      </c>
      <c r="F165" s="64" t="str">
        <f>IF(Inicial!M127="SI",Inicial!F127,"N/A")</f>
        <v>N/A</v>
      </c>
      <c r="G165" s="64" t="str">
        <f>IF(Inicial!M127="SI",Inicial!G127,"N/A")</f>
        <v>N/A</v>
      </c>
      <c r="H165" s="64" t="str">
        <f>IF(Inicial!M127="SI",Inicial!H127,"N/A")</f>
        <v>N/A</v>
      </c>
      <c r="I165" s="66" t="str">
        <f>IF(Inicial!M127="SI",Inicial!I127,"N/A")</f>
        <v>N/A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2" t="str" cm="1">
        <f t="array" ref="W165">IF(OR(M165:V165="NO"),"No aceptable","Aceptable")</f>
        <v>Aceptable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3" t="str" cm="1">
        <f t="array" ref="AN165">IF(OR(AA165:AM165="SI"),"Critico","No Critico")</f>
        <v>No Critico</v>
      </c>
    </row>
    <row r="166" spans="1:40">
      <c r="A166" s="63">
        <f>Inicial!A128</f>
        <v>0</v>
      </c>
      <c r="B166" s="64">
        <f>Inicial!B128</f>
        <v>0</v>
      </c>
      <c r="C166" s="64">
        <f>Inicial!C128</f>
        <v>0</v>
      </c>
      <c r="D166" s="65">
        <f>Inicial!D128</f>
        <v>0</v>
      </c>
      <c r="E166" s="63" t="str">
        <f>IF(Inicial!M128="SI",Inicial!E128,"N/A")</f>
        <v>N/A</v>
      </c>
      <c r="F166" s="64" t="str">
        <f>IF(Inicial!M128="SI",Inicial!F128,"N/A")</f>
        <v>N/A</v>
      </c>
      <c r="G166" s="64" t="str">
        <f>IF(Inicial!M128="SI",Inicial!G128,"N/A")</f>
        <v>N/A</v>
      </c>
      <c r="H166" s="64" t="str">
        <f>IF(Inicial!M128="SI",Inicial!H128,"N/A")</f>
        <v>N/A</v>
      </c>
      <c r="I166" s="66" t="str">
        <f>IF(Inicial!M128="SI",Inicial!I128,"N/A")</f>
        <v>N/A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2" t="str" cm="1">
        <f t="array" ref="W166">IF(OR(M166:V166="NO"),"No aceptable","Aceptable")</f>
        <v>Aceptable</v>
      </c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3" t="str" cm="1">
        <f t="array" ref="AN166">IF(OR(AA166:AM166="SI"),"Critico","No Critico")</f>
        <v>No Critico</v>
      </c>
    </row>
    <row r="167" spans="1:40">
      <c r="A167" s="63">
        <f>Inicial!A129</f>
        <v>0</v>
      </c>
      <c r="B167" s="64">
        <f>Inicial!B129</f>
        <v>0</v>
      </c>
      <c r="C167" s="64">
        <f>Inicial!C129</f>
        <v>0</v>
      </c>
      <c r="D167" s="65">
        <f>Inicial!D129</f>
        <v>0</v>
      </c>
      <c r="E167" s="63" t="str">
        <f>IF(Inicial!M129="SI",Inicial!E129,"N/A")</f>
        <v>N/A</v>
      </c>
      <c r="F167" s="64" t="str">
        <f>IF(Inicial!M129="SI",Inicial!F129,"N/A")</f>
        <v>N/A</v>
      </c>
      <c r="G167" s="64" t="str">
        <f>IF(Inicial!M129="SI",Inicial!G129,"N/A")</f>
        <v>N/A</v>
      </c>
      <c r="H167" s="64" t="str">
        <f>IF(Inicial!M129="SI",Inicial!H129,"N/A")</f>
        <v>N/A</v>
      </c>
      <c r="I167" s="66" t="str">
        <f>IF(Inicial!M129="SI",Inicial!I129,"N/A")</f>
        <v>N/A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2" t="str" cm="1">
        <f t="array" ref="W167">IF(OR(M167:V167="NO"),"No aceptable","Aceptable")</f>
        <v>Aceptable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3" t="str" cm="1">
        <f t="array" ref="AN167">IF(OR(AA167:AM167="SI"),"Critico","No Critico")</f>
        <v>No Critico</v>
      </c>
    </row>
    <row r="168" spans="1:40">
      <c r="A168" s="63">
        <f>Inicial!A130</f>
        <v>0</v>
      </c>
      <c r="B168" s="64">
        <f>Inicial!B130</f>
        <v>0</v>
      </c>
      <c r="C168" s="64">
        <f>Inicial!C130</f>
        <v>0</v>
      </c>
      <c r="D168" s="65">
        <f>Inicial!D130</f>
        <v>0</v>
      </c>
      <c r="E168" s="63" t="str">
        <f>IF(Inicial!M130="SI",Inicial!E130,"N/A")</f>
        <v>N/A</v>
      </c>
      <c r="F168" s="64" t="str">
        <f>IF(Inicial!M130="SI",Inicial!F130,"N/A")</f>
        <v>N/A</v>
      </c>
      <c r="G168" s="64" t="str">
        <f>IF(Inicial!M130="SI",Inicial!G130,"N/A")</f>
        <v>N/A</v>
      </c>
      <c r="H168" s="64" t="str">
        <f>IF(Inicial!M130="SI",Inicial!H130,"N/A")</f>
        <v>N/A</v>
      </c>
      <c r="I168" s="66" t="str">
        <f>IF(Inicial!M130="SI",Inicial!I130,"N/A")</f>
        <v>N/A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2" t="str" cm="1">
        <f t="array" ref="W168">IF(OR(M168:V168="NO"),"No aceptable","Aceptable")</f>
        <v>Aceptable</v>
      </c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3" t="str" cm="1">
        <f t="array" ref="AN168">IF(OR(AA168:AM168="SI"),"Critico","No Critico")</f>
        <v>No Critico</v>
      </c>
    </row>
    <row r="169" spans="1:40">
      <c r="A169" s="63">
        <f>Inicial!A131</f>
        <v>0</v>
      </c>
      <c r="B169" s="64">
        <f>Inicial!B131</f>
        <v>0</v>
      </c>
      <c r="C169" s="64">
        <f>Inicial!C131</f>
        <v>0</v>
      </c>
      <c r="D169" s="65">
        <f>Inicial!D131</f>
        <v>0</v>
      </c>
      <c r="E169" s="63" t="str">
        <f>IF(Inicial!M131="SI",Inicial!E131,"N/A")</f>
        <v>N/A</v>
      </c>
      <c r="F169" s="64" t="str">
        <f>IF(Inicial!M131="SI",Inicial!F131,"N/A")</f>
        <v>N/A</v>
      </c>
      <c r="G169" s="64" t="str">
        <f>IF(Inicial!M131="SI",Inicial!G131,"N/A")</f>
        <v>N/A</v>
      </c>
      <c r="H169" s="64" t="str">
        <f>IF(Inicial!M131="SI",Inicial!H131,"N/A")</f>
        <v>N/A</v>
      </c>
      <c r="I169" s="66" t="str">
        <f>IF(Inicial!M131="SI",Inicial!I131,"N/A")</f>
        <v>N/A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2" t="str" cm="1">
        <f t="array" ref="W169">IF(OR(M169:V169="NO"),"No aceptable","Aceptable")</f>
        <v>Aceptable</v>
      </c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3" t="str" cm="1">
        <f t="array" ref="AN169">IF(OR(AA169:AM169="SI"),"Critico","No Critico")</f>
        <v>No Critico</v>
      </c>
    </row>
    <row r="170" spans="1:40">
      <c r="A170" s="63">
        <f>Inicial!A132</f>
        <v>0</v>
      </c>
      <c r="B170" s="64">
        <f>Inicial!B132</f>
        <v>0</v>
      </c>
      <c r="C170" s="64">
        <f>Inicial!C132</f>
        <v>0</v>
      </c>
      <c r="D170" s="65">
        <f>Inicial!D132</f>
        <v>0</v>
      </c>
      <c r="E170" s="63" t="str">
        <f>IF(Inicial!M132="SI",Inicial!E132,"N/A")</f>
        <v>N/A</v>
      </c>
      <c r="F170" s="64" t="str">
        <f>IF(Inicial!M132="SI",Inicial!F132,"N/A")</f>
        <v>N/A</v>
      </c>
      <c r="G170" s="64" t="str">
        <f>IF(Inicial!M132="SI",Inicial!G132,"N/A")</f>
        <v>N/A</v>
      </c>
      <c r="H170" s="64" t="str">
        <f>IF(Inicial!M132="SI",Inicial!H132,"N/A")</f>
        <v>N/A</v>
      </c>
      <c r="I170" s="66" t="str">
        <f>IF(Inicial!M132="SI",Inicial!I132,"N/A")</f>
        <v>N/A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2" t="str" cm="1">
        <f t="array" ref="W170">IF(OR(M170:V170="NO"),"No aceptable","Aceptable")</f>
        <v>Aceptable</v>
      </c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3" t="str" cm="1">
        <f t="array" ref="AN170">IF(OR(AA170:AM170="SI"),"Critico","No Critico")</f>
        <v>No Critico</v>
      </c>
    </row>
    <row r="171" spans="1:40">
      <c r="A171" s="63">
        <f>Inicial!A133</f>
        <v>0</v>
      </c>
      <c r="B171" s="64">
        <f>Inicial!B133</f>
        <v>0</v>
      </c>
      <c r="C171" s="64">
        <f>Inicial!C133</f>
        <v>0</v>
      </c>
      <c r="D171" s="65">
        <f>Inicial!D133</f>
        <v>0</v>
      </c>
      <c r="E171" s="63" t="str">
        <f>IF(Inicial!M133="SI",Inicial!E133,"N/A")</f>
        <v>N/A</v>
      </c>
      <c r="F171" s="64" t="str">
        <f>IF(Inicial!M133="SI",Inicial!F133,"N/A")</f>
        <v>N/A</v>
      </c>
      <c r="G171" s="64" t="str">
        <f>IF(Inicial!M133="SI",Inicial!G133,"N/A")</f>
        <v>N/A</v>
      </c>
      <c r="H171" s="64" t="str">
        <f>IF(Inicial!M133="SI",Inicial!H133,"N/A")</f>
        <v>N/A</v>
      </c>
      <c r="I171" s="66" t="str">
        <f>IF(Inicial!M133="SI",Inicial!I133,"N/A")</f>
        <v>N/A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2" t="str" cm="1">
        <f t="array" ref="W171">IF(OR(M171:V171="NO"),"No aceptable","Aceptable")</f>
        <v>Aceptable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3" t="str" cm="1">
        <f t="array" ref="AN171">IF(OR(AA171:AM171="SI"),"Critico","No Critico")</f>
        <v>No Critico</v>
      </c>
    </row>
    <row r="172" spans="1:40">
      <c r="A172" s="63">
        <f>Inicial!A134</f>
        <v>0</v>
      </c>
      <c r="B172" s="64">
        <f>Inicial!B134</f>
        <v>0</v>
      </c>
      <c r="C172" s="64">
        <f>Inicial!C134</f>
        <v>0</v>
      </c>
      <c r="D172" s="65">
        <f>Inicial!D134</f>
        <v>0</v>
      </c>
      <c r="E172" s="63" t="str">
        <f>IF(Inicial!M134="SI",Inicial!E134,"N/A")</f>
        <v>N/A</v>
      </c>
      <c r="F172" s="64" t="str">
        <f>IF(Inicial!M134="SI",Inicial!F134,"N/A")</f>
        <v>N/A</v>
      </c>
      <c r="G172" s="64" t="str">
        <f>IF(Inicial!M134="SI",Inicial!G134,"N/A")</f>
        <v>N/A</v>
      </c>
      <c r="H172" s="64" t="str">
        <f>IF(Inicial!M134="SI",Inicial!H134,"N/A")</f>
        <v>N/A</v>
      </c>
      <c r="I172" s="66" t="str">
        <f>IF(Inicial!M134="SI",Inicial!I134,"N/A")</f>
        <v>N/A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2" t="str" cm="1">
        <f t="array" ref="W172">IF(OR(M172:V172="NO"),"No aceptable","Aceptable")</f>
        <v>Aceptable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3" t="str" cm="1">
        <f t="array" ref="AN172">IF(OR(AA172:AM172="SI"),"Critico","No Critico")</f>
        <v>No Critico</v>
      </c>
    </row>
    <row r="173" spans="1:40">
      <c r="A173" s="63">
        <f>Inicial!A135</f>
        <v>0</v>
      </c>
      <c r="B173" s="64"/>
      <c r="C173" s="64"/>
      <c r="D173" s="65"/>
      <c r="E173" s="63"/>
      <c r="F173" s="64"/>
      <c r="G173" s="64"/>
      <c r="H173" s="64"/>
      <c r="I173" s="66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2" t="str" cm="1">
        <f t="array" ref="W173">IF(OR(M173:V173="NO"),"No aceptable","Aceptable")</f>
        <v>Aceptable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3" t="str" cm="1">
        <f t="array" ref="AN173">IF(OR(AA173:AM173="SI"),"Critico","No Critico")</f>
        <v>No Critico</v>
      </c>
    </row>
    <row r="174" spans="1:40">
      <c r="A174" s="63">
        <f>Inicial!A136</f>
        <v>0</v>
      </c>
      <c r="B174" s="64"/>
      <c r="C174" s="64"/>
      <c r="D174" s="65"/>
      <c r="E174" s="63"/>
      <c r="F174" s="64"/>
      <c r="G174" s="64"/>
      <c r="H174" s="64"/>
      <c r="I174" s="66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2" t="str" cm="1">
        <f t="array" ref="W174">IF(OR(M174:V174="NO"),"No aceptable","Aceptable")</f>
        <v>Aceptable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3" t="str" cm="1">
        <f t="array" ref="AN174">IF(OR(AA174:AM174="SI"),"Critico","No Critico")</f>
        <v>No Critico</v>
      </c>
    </row>
    <row r="175" spans="1:40">
      <c r="A175" s="63">
        <f>Inicial!A137</f>
        <v>0</v>
      </c>
      <c r="B175" s="64"/>
      <c r="C175" s="64"/>
      <c r="D175" s="65"/>
      <c r="E175" s="63"/>
      <c r="F175" s="64"/>
      <c r="G175" s="64"/>
      <c r="H175" s="64"/>
      <c r="I175" s="66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2" t="str" cm="1">
        <f t="array" ref="W175">IF(OR(M175:V175="NO"),"No aceptable","Aceptable")</f>
        <v>Aceptable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3" t="str" cm="1">
        <f t="array" ref="AN175">IF(OR(AA175:AM175="SI"),"Critico","No Critico")</f>
        <v>No Critico</v>
      </c>
    </row>
    <row r="176" spans="1:40">
      <c r="A176" s="63">
        <f>Inicial!A138</f>
        <v>0</v>
      </c>
      <c r="B176" s="64"/>
      <c r="C176" s="64"/>
      <c r="D176" s="65"/>
      <c r="E176" s="63"/>
      <c r="F176" s="64"/>
      <c r="G176" s="64"/>
      <c r="H176" s="64"/>
      <c r="I176" s="66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2" t="str" cm="1">
        <f t="array" ref="W176">IF(OR(M176:V176="NO"),"No aceptable","Aceptable")</f>
        <v>Aceptable</v>
      </c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3" t="str" cm="1">
        <f t="array" ref="AN176">IF(OR(AA176:AM176="SI"),"Critico","No Critico")</f>
        <v>No Critico</v>
      </c>
    </row>
    <row r="177" spans="1:40">
      <c r="A177" s="63">
        <f>Inicial!A139</f>
        <v>0</v>
      </c>
      <c r="B177" s="64"/>
      <c r="C177" s="64"/>
      <c r="D177" s="65"/>
      <c r="E177" s="63"/>
      <c r="F177" s="64"/>
      <c r="G177" s="64"/>
      <c r="H177" s="64"/>
      <c r="I177" s="66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2" t="str" cm="1">
        <f t="array" ref="W177">IF(OR(M177:V177="NO"),"No aceptable","Aceptable")</f>
        <v>Aceptable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3" t="str" cm="1">
        <f t="array" ref="AN177">IF(OR(AA177:AM177="SI"),"Critico","No Critico")</f>
        <v>No Critico</v>
      </c>
    </row>
    <row r="178" spans="1:40">
      <c r="A178" s="63">
        <f>Inicial!A140</f>
        <v>0</v>
      </c>
      <c r="B178" s="64"/>
      <c r="C178" s="64"/>
      <c r="D178" s="65"/>
      <c r="E178" s="63"/>
      <c r="F178" s="64"/>
      <c r="G178" s="64"/>
      <c r="H178" s="64"/>
      <c r="I178" s="66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2" t="str" cm="1">
        <f t="array" ref="W178">IF(OR(M178:V178="NO"),"No aceptable","Aceptable")</f>
        <v>Aceptable</v>
      </c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3" t="str" cm="1">
        <f t="array" ref="AN178">IF(OR(AA178:AM178="SI"),"Critico","No Critico")</f>
        <v>No Critico</v>
      </c>
    </row>
    <row r="179" spans="1:40">
      <c r="A179" s="63"/>
      <c r="B179" s="64"/>
      <c r="C179" s="64"/>
      <c r="D179" s="65"/>
      <c r="E179" s="63"/>
      <c r="F179" s="64"/>
      <c r="G179" s="64"/>
      <c r="H179" s="64"/>
      <c r="I179" s="66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1:40"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1:40"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1:40"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1:40"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1:40"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1:40"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1:40"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1:40"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1:40"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1:40"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1:40"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1:40"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1:40"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24:39"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24:39"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24:39"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24:39"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24:39"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24:39"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24:39"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24:39"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24:39"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24:39"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24:39"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24:39"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24:39"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24:39"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24:39"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24:39"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24:39"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24:39"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24:39"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24:39"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24:39"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24:39"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 spans="24:39"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 spans="24:39"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 spans="24:39"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 spans="24:39"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 spans="24:39"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24:39"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 spans="24:39"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24:39"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 spans="24:39"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 spans="24:39"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 spans="24:39"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 spans="24:39"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 spans="24:39"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 spans="24:39"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 spans="24:39"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</row>
    <row r="230" spans="24:39"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 spans="24:39"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 spans="24:39"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 spans="24:39"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</row>
    <row r="234" spans="24:39"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 spans="24:39"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 spans="24:39"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 spans="24:39"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</row>
    <row r="238" spans="24:39"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 spans="24:39"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 spans="24:39"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 spans="24:39"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</row>
    <row r="242" spans="24:39"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</row>
    <row r="243" spans="24:39"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</row>
    <row r="244" spans="24:39"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</row>
    <row r="245" spans="24:39"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</row>
    <row r="246" spans="24:39"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</row>
    <row r="247" spans="24:39"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</row>
    <row r="248" spans="24:39"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</row>
    <row r="249" spans="24:39"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 spans="24:39"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 spans="24:39"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</row>
    <row r="252" spans="24:39"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</row>
    <row r="253" spans="24:39"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</row>
    <row r="254" spans="24:39"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</row>
    <row r="255" spans="24:39"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</row>
    <row r="256" spans="24:39"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</row>
    <row r="257" spans="24:39"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</row>
    <row r="258" spans="24:39"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</row>
    <row r="259" spans="24:39"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</row>
    <row r="260" spans="24:39"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</row>
    <row r="261" spans="24:39"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</row>
    <row r="262" spans="24:39"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</row>
    <row r="263" spans="24:39"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</row>
    <row r="264" spans="24:39"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 spans="24:39"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</row>
    <row r="266" spans="24:39"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</row>
    <row r="267" spans="24:39"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 spans="24:39"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 spans="24:39"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</row>
    <row r="270" spans="24:39"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</row>
    <row r="271" spans="24:39"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</row>
    <row r="272" spans="24:39"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</row>
    <row r="273" spans="24:39"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</row>
    <row r="274" spans="24:39"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</row>
    <row r="275" spans="24:39"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</row>
    <row r="276" spans="24:39"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</row>
    <row r="277" spans="24:39"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</row>
    <row r="278" spans="24:39"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</row>
    <row r="279" spans="24:39"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</row>
    <row r="280" spans="24:39"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</row>
    <row r="281" spans="24:39"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</row>
    <row r="282" spans="24:39"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</row>
    <row r="283" spans="24:39"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</row>
    <row r="284" spans="24:39"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</row>
    <row r="285" spans="24:39"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</row>
    <row r="286" spans="24:39"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</row>
    <row r="287" spans="24:39"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</row>
    <row r="288" spans="24:39"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</row>
    <row r="289" spans="24:39"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</row>
    <row r="290" spans="24:39"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</row>
    <row r="291" spans="24:39"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</row>
    <row r="292" spans="24:39"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</row>
    <row r="293" spans="24:39"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</row>
    <row r="294" spans="24:39"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</row>
    <row r="295" spans="24:39"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</row>
    <row r="296" spans="24:39"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</row>
    <row r="297" spans="24:39"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</row>
    <row r="298" spans="24:39"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</row>
  </sheetData>
  <mergeCells count="8">
    <mergeCell ref="A1:E1"/>
    <mergeCell ref="AO1:AT1"/>
    <mergeCell ref="X1:Z1"/>
    <mergeCell ref="AA1:AE1"/>
    <mergeCell ref="F1:G1"/>
    <mergeCell ref="H1:I1"/>
    <mergeCell ref="J1:L1"/>
    <mergeCell ref="M1:Q1"/>
  </mergeCells>
  <conditionalFormatting sqref="J3:V179">
    <cfRule type="cellIs" dxfId="37" priority="2" operator="equal">
      <formula>"N/A"</formula>
    </cfRule>
    <cfRule type="cellIs" dxfId="36" priority="11" operator="equal">
      <formula>"NO"</formula>
    </cfRule>
    <cfRule type="cellIs" dxfId="35" priority="12" operator="equal">
      <formula>"SI"</formula>
    </cfRule>
  </conditionalFormatting>
  <conditionalFormatting sqref="W3:W178">
    <cfRule type="cellIs" dxfId="34" priority="5" operator="equal">
      <formula>"No Aceptable"</formula>
    </cfRule>
    <cfRule type="cellIs" dxfId="33" priority="6" operator="equal">
      <formula>"Aceptable"</formula>
    </cfRule>
  </conditionalFormatting>
  <conditionalFormatting sqref="W179 J180:W1048576">
    <cfRule type="cellIs" dxfId="32" priority="13" operator="equal">
      <formula>"NO"</formula>
    </cfRule>
    <cfRule type="cellIs" dxfId="31" priority="14" operator="equal">
      <formula>"SI"</formula>
    </cfRule>
  </conditionalFormatting>
  <conditionalFormatting sqref="X3:AM298">
    <cfRule type="cellIs" dxfId="30" priority="1" operator="equal">
      <formula>"N/A"</formula>
    </cfRule>
    <cfRule type="cellIs" dxfId="29" priority="9" operator="equal">
      <formula>"SI"</formula>
    </cfRule>
    <cfRule type="cellIs" dxfId="28" priority="10" operator="equal">
      <formula>"NO"</formula>
    </cfRule>
  </conditionalFormatting>
  <conditionalFormatting sqref="AN3:AN178">
    <cfRule type="cellIs" dxfId="27" priority="3" operator="equal">
      <formula>"No critico"</formula>
    </cfRule>
    <cfRule type="cellIs" dxfId="26" priority="4" operator="equal">
      <formula>"Critico"</formula>
    </cfRule>
  </conditionalFormatting>
  <dataValidations count="6">
    <dataValidation allowBlank="1" showInputMessage="1" showErrorMessage="1" prompt="Conjunto de acciones técnicas utilizadas para cumplir un objetivo dentro de un proceso productivo o la obtención de un producto determinado dentro del mismo." sqref="Y2:Z2" xr:uid="{D054F443-A254-4BF3-8229-08FF1E6DAAB5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W1:W2" xr:uid="{D95E9048-706C-43FB-B5C2-E8B699CE726E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B2:AE2" xr:uid="{56BFD7B0-A759-432D-9C8C-DD9A73A68BE3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A2" xr:uid="{1D07DC73-5386-4A5A-8A70-A74C221D6AA9}"/>
    <dataValidation allowBlank="1" showInputMessage="1" showErrorMessage="1" prompt="Se debe declarar si es fija o variable, si existe pago de bonos individuales o colectivos por producción, por no ausentarse al trabajo, etc." sqref="X2" xr:uid="{3B527678-B9D9-4E8D-BB47-AACB5CFE84BF}"/>
    <dataValidation type="list" allowBlank="1" showInputMessage="1" showErrorMessage="1" sqref="X3:AM298 J3:V179" xr:uid="{2F1E3251-56E8-43CF-BC84-078732A3C2C0}">
      <formula1>"SI,NO,N/A"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7E82-1CEF-460D-A1CD-4130C42E179E}">
  <dimension ref="A1:AT178"/>
  <sheetViews>
    <sheetView zoomScale="69" zoomScaleNormal="69" workbookViewId="0">
      <pane xSplit="9" ySplit="2" topLeftCell="J3" activePane="bottomRight" state="frozen"/>
      <selection pane="bottomRight" activeCell="K6" sqref="K6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3.7109375" style="1" customWidth="1"/>
    <col min="11" max="11" width="20.85546875" style="1" customWidth="1"/>
    <col min="12" max="12" width="18.28515625" customWidth="1"/>
    <col min="13" max="13" width="18.7109375" customWidth="1"/>
    <col min="14" max="14" width="15" customWidth="1"/>
    <col min="15" max="15" width="14.28515625" customWidth="1"/>
    <col min="16" max="18" width="18.28515625" customWidth="1"/>
    <col min="19" max="21" width="19.85546875" customWidth="1"/>
    <col min="22" max="22" width="29" customWidth="1"/>
    <col min="23" max="23" width="28.7109375" customWidth="1"/>
    <col min="24" max="24" width="28.7109375" style="4" customWidth="1"/>
    <col min="25" max="28" width="16.7109375" customWidth="1"/>
    <col min="29" max="39" width="28.7109375" customWidth="1"/>
    <col min="40" max="40" width="13.7109375" customWidth="1"/>
  </cols>
  <sheetData>
    <row r="1" spans="1:46" ht="60" customHeight="1">
      <c r="A1" s="144" t="s">
        <v>285</v>
      </c>
      <c r="B1" s="144"/>
      <c r="C1" s="144"/>
      <c r="D1" s="144"/>
      <c r="E1" s="144"/>
      <c r="F1" s="127" t="s">
        <v>112</v>
      </c>
      <c r="G1" s="127"/>
      <c r="H1" s="127" t="s">
        <v>113</v>
      </c>
      <c r="I1" s="127"/>
      <c r="J1" s="134" t="s">
        <v>286</v>
      </c>
      <c r="K1" s="135"/>
      <c r="L1" s="135"/>
      <c r="M1" s="136"/>
      <c r="N1" s="134" t="s">
        <v>287</v>
      </c>
      <c r="O1" s="135"/>
      <c r="P1" s="135"/>
      <c r="Q1" s="134" t="s">
        <v>288</v>
      </c>
      <c r="R1" s="135"/>
      <c r="S1" s="135"/>
      <c r="T1" s="134" t="s">
        <v>289</v>
      </c>
      <c r="U1" s="135"/>
      <c r="V1" s="135"/>
      <c r="W1" s="18" t="s">
        <v>290</v>
      </c>
      <c r="X1" s="82" t="s">
        <v>150</v>
      </c>
      <c r="Y1" s="134" t="s">
        <v>286</v>
      </c>
      <c r="Z1" s="135"/>
      <c r="AA1" s="135"/>
      <c r="AB1" s="136"/>
      <c r="AC1" s="134" t="s">
        <v>291</v>
      </c>
      <c r="AD1" s="135"/>
      <c r="AE1" s="135"/>
      <c r="AF1" s="136"/>
      <c r="AG1" s="134" t="s">
        <v>292</v>
      </c>
      <c r="AH1" s="135"/>
      <c r="AI1" s="136"/>
      <c r="AJ1" s="134" t="s">
        <v>293</v>
      </c>
      <c r="AK1" s="135"/>
      <c r="AL1" s="136"/>
      <c r="AM1" s="17" t="s">
        <v>294</v>
      </c>
      <c r="AN1" s="17" t="s">
        <v>150</v>
      </c>
      <c r="AO1" s="131" t="s">
        <v>116</v>
      </c>
      <c r="AP1" s="132"/>
      <c r="AQ1" s="132"/>
      <c r="AR1" s="132"/>
      <c r="AS1" s="132"/>
      <c r="AT1" s="133"/>
    </row>
    <row r="2" spans="1:46" ht="88.15" customHeight="1">
      <c r="A2" s="8" t="s">
        <v>93</v>
      </c>
      <c r="B2" s="9" t="s">
        <v>35</v>
      </c>
      <c r="C2" s="9" t="s">
        <v>36</v>
      </c>
      <c r="D2" s="9" t="s">
        <v>37</v>
      </c>
      <c r="E2" s="9" t="s">
        <v>39</v>
      </c>
      <c r="F2" s="9" t="s">
        <v>117</v>
      </c>
      <c r="G2" s="9" t="s">
        <v>118</v>
      </c>
      <c r="H2" s="9" t="s">
        <v>119</v>
      </c>
      <c r="I2" s="9" t="s">
        <v>120</v>
      </c>
      <c r="J2" s="13" t="s">
        <v>295</v>
      </c>
      <c r="K2" s="13" t="s">
        <v>296</v>
      </c>
      <c r="L2" s="13" t="s">
        <v>297</v>
      </c>
      <c r="M2" s="13" t="s">
        <v>298</v>
      </c>
      <c r="N2" s="13" t="s">
        <v>299</v>
      </c>
      <c r="O2" s="13" t="s">
        <v>300</v>
      </c>
      <c r="P2" s="13" t="s">
        <v>301</v>
      </c>
      <c r="Q2" s="13" t="s">
        <v>302</v>
      </c>
      <c r="R2" s="13" t="s">
        <v>303</v>
      </c>
      <c r="S2" s="13" t="s">
        <v>304</v>
      </c>
      <c r="T2" s="19" t="s">
        <v>305</v>
      </c>
      <c r="U2" s="19" t="s">
        <v>306</v>
      </c>
      <c r="V2" s="19" t="s">
        <v>307</v>
      </c>
      <c r="W2" s="13" t="s">
        <v>308</v>
      </c>
      <c r="X2" s="82" t="s">
        <v>127</v>
      </c>
      <c r="Y2" s="20" t="s">
        <v>309</v>
      </c>
      <c r="Z2" s="20" t="s">
        <v>310</v>
      </c>
      <c r="AA2" s="20" t="s">
        <v>311</v>
      </c>
      <c r="AB2" s="20" t="s">
        <v>312</v>
      </c>
      <c r="AC2" s="20" t="s">
        <v>313</v>
      </c>
      <c r="AD2" s="20" t="s">
        <v>314</v>
      </c>
      <c r="AE2" s="20" t="s">
        <v>315</v>
      </c>
      <c r="AF2" s="13" t="s">
        <v>316</v>
      </c>
      <c r="AG2" s="13" t="s">
        <v>317</v>
      </c>
      <c r="AH2" s="13" t="s">
        <v>318</v>
      </c>
      <c r="AI2" s="13" t="s">
        <v>319</v>
      </c>
      <c r="AJ2" s="13" t="s">
        <v>320</v>
      </c>
      <c r="AK2" s="13" t="s">
        <v>321</v>
      </c>
      <c r="AL2" s="13" t="s">
        <v>322</v>
      </c>
      <c r="AM2" s="13" t="s">
        <v>323</v>
      </c>
      <c r="AN2" s="13" t="s">
        <v>134</v>
      </c>
      <c r="AO2" s="13" t="s">
        <v>135</v>
      </c>
      <c r="AP2" s="13" t="s">
        <v>136</v>
      </c>
      <c r="AQ2" s="13" t="s">
        <v>137</v>
      </c>
      <c r="AR2" s="13" t="s">
        <v>138</v>
      </c>
      <c r="AS2" s="13" t="s">
        <v>139</v>
      </c>
      <c r="AT2" s="13" t="s">
        <v>140</v>
      </c>
    </row>
    <row r="3" spans="1:46" s="5" customFormat="1" ht="25.9" customHeight="1">
      <c r="A3" s="63">
        <f>Inicial!A3</f>
        <v>1</v>
      </c>
      <c r="B3" s="64" t="str">
        <f>Inicial!B3</f>
        <v>Despacho</v>
      </c>
      <c r="C3" s="64" t="str">
        <f>Inicial!C3</f>
        <v xml:space="preserve"> Carton Frezzer</v>
      </c>
      <c r="D3" s="65" t="str">
        <f>Inicial!D3</f>
        <v xml:space="preserve">Pinchador </v>
      </c>
      <c r="E3" s="63" t="str">
        <f>IF(Inicial!N3="SI",Inicial!E3,"N/A")</f>
        <v>N/A</v>
      </c>
      <c r="F3" s="64" t="str">
        <f>IF(Inicial!N3="SI",Inicial!F3,"N/A")</f>
        <v>N/A</v>
      </c>
      <c r="G3" s="64" t="str">
        <f>IF(Inicial!N3="SI",Inicial!G3,"N/A")</f>
        <v>N/A</v>
      </c>
      <c r="H3" s="64" t="str">
        <f>IF(Inicial!N3="SI",Inicial!H3,"N/A")</f>
        <v>N/A</v>
      </c>
      <c r="I3" s="66" t="str">
        <f>IF(Inicial!N3="SI",Inicial!I3,"N/A")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1"/>
      <c r="X3" s="83" t="str" cm="1">
        <f t="array" ref="X3">IF(OR(J3:W3="NO"),"No aceptable","Aceptable")</f>
        <v>Aceptable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 t="str" cm="1">
        <f t="array" ref="AN3">IF(OR(Y3:AM3="NO"),"Critico","No Critico")</f>
        <v>No Critico</v>
      </c>
      <c r="AO3" s="1"/>
      <c r="AP3" s="1"/>
      <c r="AQ3" s="1"/>
      <c r="AR3" s="1"/>
      <c r="AS3" s="1"/>
      <c r="AT3" s="1"/>
    </row>
    <row r="4" spans="1:46" ht="25.9" customHeight="1">
      <c r="A4" s="63">
        <f>Inicial!A4</f>
        <v>2</v>
      </c>
      <c r="B4" s="64" t="str">
        <f>Inicial!B4</f>
        <v>Despacho</v>
      </c>
      <c r="C4" s="64" t="str">
        <f>Inicial!C4</f>
        <v xml:space="preserve"> Carton Frezzer</v>
      </c>
      <c r="D4" s="65" t="str">
        <f>Inicial!D4</f>
        <v>Depaletizador</v>
      </c>
      <c r="E4" s="63" t="str">
        <f>IF(Inicial!N4="SI",Inicial!E4,"N/A")</f>
        <v>N/A</v>
      </c>
      <c r="F4" s="64" t="str">
        <f>IF(Inicial!N4="SI",Inicial!F4,"N/A")</f>
        <v>N/A</v>
      </c>
      <c r="G4" s="64" t="str">
        <f>IF(Inicial!N4="SI",Inicial!G4,"N/A")</f>
        <v>N/A</v>
      </c>
      <c r="H4" s="64" t="str">
        <f>IF(Inicial!N4="SI",Inicial!H4,"N/A")</f>
        <v>N/A</v>
      </c>
      <c r="I4" s="66" t="str">
        <f>IF(Inicial!N4="SI",Inicial!I4,"N/A")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83" t="str" cm="1">
        <f t="array" ref="X4">IF(OR(J4:W4="NO"),"No aceptable","Aceptable")</f>
        <v>Aceptable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3" t="str" cm="1">
        <f t="array" ref="AN4">IF(OR(Y4:AM4="NO"),"Critico","No Critico")</f>
        <v>No Critico</v>
      </c>
      <c r="AO4" s="1"/>
      <c r="AP4" s="1"/>
      <c r="AQ4" s="1"/>
      <c r="AR4" s="1"/>
      <c r="AS4" s="1"/>
      <c r="AT4" s="1"/>
    </row>
    <row r="5" spans="1:46" ht="25.9" customHeight="1">
      <c r="A5" s="63">
        <f>Inicial!A5</f>
        <v>3</v>
      </c>
      <c r="B5" s="64" t="str">
        <f>Inicial!B5</f>
        <v>Despacho</v>
      </c>
      <c r="C5" s="64" t="str">
        <f>Inicial!C5</f>
        <v xml:space="preserve"> Carton Frezzer</v>
      </c>
      <c r="D5" s="65" t="str">
        <f>Inicial!D5</f>
        <v xml:space="preserve">Pinchador </v>
      </c>
      <c r="E5" s="63" t="str">
        <f>IF(Inicial!N5="SI",Inicial!E5,"N/A")</f>
        <v>N/A</v>
      </c>
      <c r="F5" s="64" t="str">
        <f>IF(Inicial!N5="SI",Inicial!F5,"N/A")</f>
        <v>N/A</v>
      </c>
      <c r="G5" s="64" t="str">
        <f>IF(Inicial!N5="SI",Inicial!G5,"N/A")</f>
        <v>N/A</v>
      </c>
      <c r="H5" s="64" t="str">
        <f>IF(Inicial!N5="SI",Inicial!H5,"N/A")</f>
        <v>N/A</v>
      </c>
      <c r="I5" s="66" t="str">
        <f>IF(Inicial!N5="SI",Inicial!I5,"N/A")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83" t="str" cm="1">
        <f t="array" ref="X5">IF(OR(J5:W5="NO"),"No aceptable","Aceptable")</f>
        <v>Aceptable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3" t="str" cm="1">
        <f t="array" ref="AN5">IF(OR(Y5:AM5="NO"),"Critico","No Critico")</f>
        <v>No Critico</v>
      </c>
      <c r="AO5" s="1"/>
      <c r="AP5" s="1"/>
      <c r="AQ5" s="1"/>
      <c r="AR5" s="1"/>
      <c r="AS5" s="1"/>
      <c r="AT5" s="1"/>
    </row>
    <row r="6" spans="1:46" ht="25.9" customHeight="1">
      <c r="A6" s="63">
        <f>Inicial!A6</f>
        <v>4</v>
      </c>
      <c r="B6" s="64" t="str">
        <f>Inicial!B6</f>
        <v>Despacho</v>
      </c>
      <c r="C6" s="64" t="str">
        <f>Inicial!C6</f>
        <v>Despacho congelado</v>
      </c>
      <c r="D6" s="65" t="str">
        <f>Inicial!D6</f>
        <v>Gruero</v>
      </c>
      <c r="E6" s="63" t="str">
        <f>IF(Inicial!N6="SI",Inicial!E6,"N/A")</f>
        <v>N/A</v>
      </c>
      <c r="F6" s="64" t="str">
        <f>IF(Inicial!N6="SI",Inicial!F6,"N/A")</f>
        <v>N/A</v>
      </c>
      <c r="G6" s="64" t="str">
        <f>IF(Inicial!N6="SI",Inicial!G6,"N/A")</f>
        <v>N/A</v>
      </c>
      <c r="H6" s="64" t="str">
        <f>IF(Inicial!N6="SI",Inicial!H6,"N/A")</f>
        <v>N/A</v>
      </c>
      <c r="I6" s="66" t="str">
        <f>IF(Inicial!N6="SI",Inicial!I6,"N/A")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83" t="str" cm="1">
        <f t="array" ref="X6">IF(OR(J6:W6="NO"),"No aceptable","Aceptable")</f>
        <v>Aceptable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3" t="str" cm="1">
        <f t="array" ref="AN6">IF(OR(Y6:AM6="NO"),"Critico","No Critico")</f>
        <v>No Critico</v>
      </c>
    </row>
    <row r="7" spans="1:46" ht="25.9" customHeight="1">
      <c r="A7" s="63">
        <f>Inicial!A7</f>
        <v>5</v>
      </c>
      <c r="B7" s="64" t="str">
        <f>Inicial!B7</f>
        <v>Despacho</v>
      </c>
      <c r="C7" s="64" t="str">
        <f>Inicial!C7</f>
        <v>Despacho congelado</v>
      </c>
      <c r="D7" s="65" t="str">
        <f>Inicial!D7</f>
        <v>Transpaletero</v>
      </c>
      <c r="E7" s="63" t="str">
        <f>IF(Inicial!N7="SI",Inicial!E7,"N/A")</f>
        <v>N/A</v>
      </c>
      <c r="F7" s="64" t="str">
        <f>IF(Inicial!N7="SI",Inicial!F7,"N/A")</f>
        <v>N/A</v>
      </c>
      <c r="G7" s="64" t="str">
        <f>IF(Inicial!N7="SI",Inicial!G7,"N/A")</f>
        <v>N/A</v>
      </c>
      <c r="H7" s="64" t="str">
        <f>IF(Inicial!N7="SI",Inicial!H7,"N/A")</f>
        <v>N/A</v>
      </c>
      <c r="I7" s="66" t="str">
        <f>IF(Inicial!N7="SI",Inicial!I7,"N/A")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83" t="str" cm="1">
        <f t="array" ref="X7">IF(OR(J7:W7="NO"),"No aceptable","Aceptable")</f>
        <v>Aceptable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3" t="str" cm="1">
        <f t="array" ref="AN7">IF(OR(Y7:AM7="NO"),"Critico","No Critico")</f>
        <v>No Critico</v>
      </c>
    </row>
    <row r="8" spans="1:46" ht="25.9" customHeight="1">
      <c r="A8" s="63">
        <f>Inicial!A8</f>
        <v>6</v>
      </c>
      <c r="B8" s="64" t="str">
        <f>Inicial!B8</f>
        <v>Despacho</v>
      </c>
      <c r="C8" s="64" t="str">
        <f>Inicial!C8</f>
        <v>Despacho congelado</v>
      </c>
      <c r="D8" s="65" t="str">
        <f>Inicial!D8</f>
        <v>Postura de films</v>
      </c>
      <c r="E8" s="63" t="str">
        <f>IF(Inicial!N8="SI",Inicial!E8,"N/A")</f>
        <v>N/A</v>
      </c>
      <c r="F8" s="64" t="str">
        <f>IF(Inicial!N8="SI",Inicial!F8,"N/A")</f>
        <v>N/A</v>
      </c>
      <c r="G8" s="64" t="str">
        <f>IF(Inicial!N8="SI",Inicial!G8,"N/A")</f>
        <v>N/A</v>
      </c>
      <c r="H8" s="64" t="str">
        <f>IF(Inicial!N8="SI",Inicial!H8,"N/A")</f>
        <v>N/A</v>
      </c>
      <c r="I8" s="66" t="str">
        <f>IF(Inicial!N8="SI",Inicial!I8,"N/A")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83" t="str" cm="1">
        <f t="array" ref="X8">IF(OR(J8:W8="NO"),"No aceptable","Aceptable")</f>
        <v>Aceptable</v>
      </c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3" t="str" cm="1">
        <f t="array" ref="AN8">IF(OR(Y8:AM8="NO"),"Critico","No Critico")</f>
        <v>No Critico</v>
      </c>
    </row>
    <row r="9" spans="1:46">
      <c r="A9" s="63">
        <f>Inicial!A9</f>
        <v>7</v>
      </c>
      <c r="B9" s="64" t="str">
        <f>Inicial!B9</f>
        <v>Despacho</v>
      </c>
      <c r="C9" s="64" t="str">
        <f>Inicial!C9</f>
        <v>Despacho Congelado</v>
      </c>
      <c r="D9" s="65" t="str">
        <f>Inicial!D9</f>
        <v>Reprocesos de producto</v>
      </c>
      <c r="E9" s="63" t="str">
        <f>IF(Inicial!N9="SI",Inicial!E9,"N/A")</f>
        <v>N/A</v>
      </c>
      <c r="F9" s="64" t="str">
        <f>IF(Inicial!N9="SI",Inicial!F9,"N/A")</f>
        <v>N/A</v>
      </c>
      <c r="G9" s="64" t="str">
        <f>IF(Inicial!N9="SI",Inicial!G9,"N/A")</f>
        <v>N/A</v>
      </c>
      <c r="H9" s="64" t="str">
        <f>IF(Inicial!N9="SI",Inicial!H9,"N/A")</f>
        <v>N/A</v>
      </c>
      <c r="I9" s="66" t="str">
        <f>IF(Inicial!N9="SI",Inicial!I9,"N/A")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83" t="str" cm="1">
        <f t="array" ref="X9">IF(OR(J9:W9="NO"),"No aceptable","Aceptable")</f>
        <v>Aceptable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3" t="str" cm="1">
        <f t="array" ref="AN9">IF(OR(Y9:AM9="NO"),"Critico","No Critico")</f>
        <v>No Critico</v>
      </c>
    </row>
    <row r="10" spans="1:46">
      <c r="A10" s="63" t="e">
        <f>Inicial!#REF!</f>
        <v>#REF!</v>
      </c>
      <c r="B10" s="64" t="e">
        <f>Inicial!#REF!</f>
        <v>#REF!</v>
      </c>
      <c r="C10" s="64" t="e">
        <f>Inicial!#REF!</f>
        <v>#REF!</v>
      </c>
      <c r="D10" s="65" t="e">
        <f>Inicial!#REF!</f>
        <v>#REF!</v>
      </c>
      <c r="E10" s="63" t="e">
        <f>IF(Inicial!#REF!="SI",Inicial!#REF!,"N/A")</f>
        <v>#REF!</v>
      </c>
      <c r="F10" s="64" t="e">
        <f>IF(Inicial!#REF!="SI",Inicial!#REF!,"N/A")</f>
        <v>#REF!</v>
      </c>
      <c r="G10" s="64" t="e">
        <f>IF(Inicial!#REF!="SI",Inicial!#REF!,"N/A")</f>
        <v>#REF!</v>
      </c>
      <c r="H10" s="64" t="e">
        <f>IF(Inicial!#REF!="SI",Inicial!#REF!,"N/A")</f>
        <v>#REF!</v>
      </c>
      <c r="I10" s="66" t="e">
        <f>IF(Inicial!#REF!="SI",Inicial!#REF!,"N/A")</f>
        <v>#REF!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83" t="str" cm="1">
        <f t="array" ref="X10">IF(OR(J10:W10="NO"),"No aceptable","Aceptable")</f>
        <v>Aceptable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3" t="str" cm="1">
        <f t="array" ref="AN10">IF(OR(Y10:AM10="NO"),"Critico","No Critico")</f>
        <v>No Critico</v>
      </c>
    </row>
    <row r="11" spans="1:46">
      <c r="A11" s="63" t="e">
        <f>Inicial!#REF!</f>
        <v>#REF!</v>
      </c>
      <c r="B11" s="64" t="e">
        <f>Inicial!#REF!</f>
        <v>#REF!</v>
      </c>
      <c r="C11" s="64" t="e">
        <f>Inicial!#REF!</f>
        <v>#REF!</v>
      </c>
      <c r="D11" s="65" t="e">
        <f>Inicial!#REF!</f>
        <v>#REF!</v>
      </c>
      <c r="E11" s="63" t="e">
        <f>IF(Inicial!#REF!="SI",Inicial!#REF!,"N/A")</f>
        <v>#REF!</v>
      </c>
      <c r="F11" s="64" t="e">
        <f>IF(Inicial!#REF!="SI",Inicial!#REF!,"N/A")</f>
        <v>#REF!</v>
      </c>
      <c r="G11" s="64" t="e">
        <f>IF(Inicial!#REF!="SI",Inicial!#REF!,"N/A")</f>
        <v>#REF!</v>
      </c>
      <c r="H11" s="64" t="e">
        <f>IF(Inicial!#REF!="SI",Inicial!#REF!,"N/A")</f>
        <v>#REF!</v>
      </c>
      <c r="I11" s="66" t="e">
        <f>IF(Inicial!#REF!="SI",Inicial!#REF!,"N/A")</f>
        <v>#REF!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83" t="str" cm="1">
        <f t="array" ref="X11">IF(OR(J11:W11="NO"),"No aceptable","Aceptable")</f>
        <v>Aceptable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3" t="str" cm="1">
        <f t="array" ref="AN11">IF(OR(Y11:AM11="NO"),"Critico","No Critico")</f>
        <v>No Critico</v>
      </c>
    </row>
    <row r="12" spans="1:46">
      <c r="A12" s="63" t="e">
        <f>Inicial!#REF!</f>
        <v>#REF!</v>
      </c>
      <c r="B12" s="64" t="e">
        <f>Inicial!#REF!</f>
        <v>#REF!</v>
      </c>
      <c r="C12" s="64" t="e">
        <f>Inicial!#REF!</f>
        <v>#REF!</v>
      </c>
      <c r="D12" s="65" t="e">
        <f>Inicial!#REF!</f>
        <v>#REF!</v>
      </c>
      <c r="E12" s="63" t="e">
        <f>IF(Inicial!#REF!="SI",Inicial!#REF!,"N/A")</f>
        <v>#REF!</v>
      </c>
      <c r="F12" s="64" t="e">
        <f>IF(Inicial!#REF!="SI",Inicial!#REF!,"N/A")</f>
        <v>#REF!</v>
      </c>
      <c r="G12" s="64" t="e">
        <f>IF(Inicial!#REF!="SI",Inicial!#REF!,"N/A")</f>
        <v>#REF!</v>
      </c>
      <c r="H12" s="64" t="e">
        <f>IF(Inicial!#REF!="SI",Inicial!#REF!,"N/A")</f>
        <v>#REF!</v>
      </c>
      <c r="I12" s="66" t="e">
        <f>IF(Inicial!#REF!="SI",Inicial!#REF!,"N/A")</f>
        <v>#REF!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83" t="str" cm="1">
        <f t="array" ref="X12">IF(OR(J12:W12="NO"),"No aceptable","Aceptable")</f>
        <v>Aceptable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3" t="str" cm="1">
        <f t="array" ref="AN12">IF(OR(Y12:AM12="NO"),"Critico","No Critico")</f>
        <v>No Critico</v>
      </c>
    </row>
    <row r="13" spans="1:46">
      <c r="A13" s="63" t="e">
        <f>Inicial!#REF!</f>
        <v>#REF!</v>
      </c>
      <c r="B13" s="64" t="e">
        <f>Inicial!#REF!</f>
        <v>#REF!</v>
      </c>
      <c r="C13" s="64" t="e">
        <f>Inicial!#REF!</f>
        <v>#REF!</v>
      </c>
      <c r="D13" s="65" t="e">
        <f>Inicial!#REF!</f>
        <v>#REF!</v>
      </c>
      <c r="E13" s="63" t="e">
        <f>IF(Inicial!#REF!="SI",Inicial!#REF!,"N/A")</f>
        <v>#REF!</v>
      </c>
      <c r="F13" s="64" t="e">
        <f>IF(Inicial!#REF!="SI",Inicial!#REF!,"N/A")</f>
        <v>#REF!</v>
      </c>
      <c r="G13" s="64" t="e">
        <f>IF(Inicial!#REF!="SI",Inicial!#REF!,"N/A")</f>
        <v>#REF!</v>
      </c>
      <c r="H13" s="64" t="e">
        <f>IF(Inicial!#REF!="SI",Inicial!#REF!,"N/A")</f>
        <v>#REF!</v>
      </c>
      <c r="I13" s="66" t="e">
        <f>IF(Inicial!#REF!="SI",Inicial!#REF!,"N/A")</f>
        <v>#REF!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83" t="str" cm="1">
        <f t="array" ref="X13">IF(OR(J13:W13="NO"),"No aceptable","Aceptable")</f>
        <v>Aceptable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3" t="str" cm="1">
        <f t="array" ref="AN13">IF(OR(Y13:AM13="NO"),"Critico","No Critico")</f>
        <v>No Critico</v>
      </c>
    </row>
    <row r="14" spans="1:46">
      <c r="A14" s="63" t="e">
        <f>Inicial!#REF!</f>
        <v>#REF!</v>
      </c>
      <c r="B14" s="64" t="e">
        <f>Inicial!#REF!</f>
        <v>#REF!</v>
      </c>
      <c r="C14" s="64" t="e">
        <f>Inicial!#REF!</f>
        <v>#REF!</v>
      </c>
      <c r="D14" s="65" t="e">
        <f>Inicial!#REF!</f>
        <v>#REF!</v>
      </c>
      <c r="E14" s="63" t="e">
        <f>IF(Inicial!#REF!="SI",Inicial!#REF!,"N/A")</f>
        <v>#REF!</v>
      </c>
      <c r="F14" s="64" t="e">
        <f>IF(Inicial!#REF!="SI",Inicial!#REF!,"N/A")</f>
        <v>#REF!</v>
      </c>
      <c r="G14" s="64" t="e">
        <f>IF(Inicial!#REF!="SI",Inicial!#REF!,"N/A")</f>
        <v>#REF!</v>
      </c>
      <c r="H14" s="64" t="e">
        <f>IF(Inicial!#REF!="SI",Inicial!#REF!,"N/A")</f>
        <v>#REF!</v>
      </c>
      <c r="I14" s="66" t="e">
        <f>IF(Inicial!#REF!="SI",Inicial!#REF!,"N/A")</f>
        <v>#REF!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83" t="str" cm="1">
        <f t="array" ref="X14">IF(OR(J14:W14="NO"),"No aceptable","Aceptable")</f>
        <v>Aceptable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3" t="str" cm="1">
        <f t="array" ref="AN14">IF(OR(Y14:AM14="NO"),"Critico","No Critico")</f>
        <v>No Critico</v>
      </c>
    </row>
    <row r="15" spans="1:46">
      <c r="A15" s="63" t="e">
        <f>Inicial!#REF!</f>
        <v>#REF!</v>
      </c>
      <c r="B15" s="64" t="e">
        <f>Inicial!#REF!</f>
        <v>#REF!</v>
      </c>
      <c r="C15" s="64" t="e">
        <f>Inicial!#REF!</f>
        <v>#REF!</v>
      </c>
      <c r="D15" s="65" t="e">
        <f>Inicial!#REF!</f>
        <v>#REF!</v>
      </c>
      <c r="E15" s="63" t="e">
        <f>IF(Inicial!#REF!="SI",Inicial!#REF!,"N/A")</f>
        <v>#REF!</v>
      </c>
      <c r="F15" s="64" t="e">
        <f>IF(Inicial!#REF!="SI",Inicial!#REF!,"N/A")</f>
        <v>#REF!</v>
      </c>
      <c r="G15" s="64" t="e">
        <f>IF(Inicial!#REF!="SI",Inicial!#REF!,"N/A")</f>
        <v>#REF!</v>
      </c>
      <c r="H15" s="64" t="e">
        <f>IF(Inicial!#REF!="SI",Inicial!#REF!,"N/A")</f>
        <v>#REF!</v>
      </c>
      <c r="I15" s="66" t="e">
        <f>IF(Inicial!#REF!="SI",Inicial!#REF!,"N/A")</f>
        <v>#REF!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83" t="str" cm="1">
        <f t="array" ref="X15">IF(OR(J15:W15="NO"),"No aceptable","Aceptable")</f>
        <v>Aceptable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3" t="str" cm="1">
        <f t="array" ref="AN15">IF(OR(Y15:AM15="NO"),"Critico","No Critico")</f>
        <v>No Critico</v>
      </c>
    </row>
    <row r="16" spans="1:46">
      <c r="A16" s="63" t="e">
        <f>Inicial!#REF!</f>
        <v>#REF!</v>
      </c>
      <c r="B16" s="64" t="e">
        <f>Inicial!#REF!</f>
        <v>#REF!</v>
      </c>
      <c r="C16" s="64" t="e">
        <f>Inicial!#REF!</f>
        <v>#REF!</v>
      </c>
      <c r="D16" s="65" t="e">
        <f>Inicial!#REF!</f>
        <v>#REF!</v>
      </c>
      <c r="E16" s="63" t="e">
        <f>IF(Inicial!#REF!="SI",Inicial!#REF!,"N/A")</f>
        <v>#REF!</v>
      </c>
      <c r="F16" s="64" t="e">
        <f>IF(Inicial!#REF!="SI",Inicial!#REF!,"N/A")</f>
        <v>#REF!</v>
      </c>
      <c r="G16" s="64" t="e">
        <f>IF(Inicial!#REF!="SI",Inicial!#REF!,"N/A")</f>
        <v>#REF!</v>
      </c>
      <c r="H16" s="64" t="e">
        <f>IF(Inicial!#REF!="SI",Inicial!#REF!,"N/A")</f>
        <v>#REF!</v>
      </c>
      <c r="I16" s="66" t="e">
        <f>IF(Inicial!#REF!="SI",Inicial!#REF!,"N/A")</f>
        <v>#REF!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83" t="str" cm="1">
        <f t="array" ref="X16">IF(OR(J16:W16="NO"),"No aceptable","Aceptable")</f>
        <v>Aceptable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3" t="str" cm="1">
        <f t="array" ref="AN16">IF(OR(Y16:AM16="NO"),"Critico","No Critico")</f>
        <v>No Critico</v>
      </c>
    </row>
    <row r="17" spans="1:40">
      <c r="A17" s="63" t="e">
        <f>Inicial!#REF!</f>
        <v>#REF!</v>
      </c>
      <c r="B17" s="64" t="e">
        <f>Inicial!#REF!</f>
        <v>#REF!</v>
      </c>
      <c r="C17" s="64" t="e">
        <f>Inicial!#REF!</f>
        <v>#REF!</v>
      </c>
      <c r="D17" s="65" t="e">
        <f>Inicial!#REF!</f>
        <v>#REF!</v>
      </c>
      <c r="E17" s="63" t="e">
        <f>IF(Inicial!#REF!="SI",Inicial!#REF!,"N/A")</f>
        <v>#REF!</v>
      </c>
      <c r="F17" s="64" t="e">
        <f>IF(Inicial!#REF!="SI",Inicial!#REF!,"N/A")</f>
        <v>#REF!</v>
      </c>
      <c r="G17" s="64" t="e">
        <f>IF(Inicial!#REF!="SI",Inicial!#REF!,"N/A")</f>
        <v>#REF!</v>
      </c>
      <c r="H17" s="64" t="e">
        <f>IF(Inicial!#REF!="SI",Inicial!#REF!,"N/A")</f>
        <v>#REF!</v>
      </c>
      <c r="I17" s="66" t="e">
        <f>IF(Inicial!#REF!="SI",Inicial!#REF!,"N/A")</f>
        <v>#REF!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83" t="str" cm="1">
        <f t="array" ref="X17">IF(OR(J17:W17="NO"),"No aceptable","Aceptable")</f>
        <v>Aceptable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3" t="str" cm="1">
        <f t="array" ref="AN17">IF(OR(Y17:AM17="NO"),"Critico","No Critico")</f>
        <v>No Critico</v>
      </c>
    </row>
    <row r="18" spans="1:40">
      <c r="A18" s="63" t="e">
        <f>Inicial!#REF!</f>
        <v>#REF!</v>
      </c>
      <c r="B18" s="64" t="e">
        <f>Inicial!#REF!</f>
        <v>#REF!</v>
      </c>
      <c r="C18" s="64" t="e">
        <f>Inicial!#REF!</f>
        <v>#REF!</v>
      </c>
      <c r="D18" s="65" t="e">
        <f>Inicial!#REF!</f>
        <v>#REF!</v>
      </c>
      <c r="E18" s="63" t="e">
        <f>IF(Inicial!#REF!="SI",Inicial!#REF!,"N/A")</f>
        <v>#REF!</v>
      </c>
      <c r="F18" s="64" t="e">
        <f>IF(Inicial!#REF!="SI",Inicial!#REF!,"N/A")</f>
        <v>#REF!</v>
      </c>
      <c r="G18" s="64" t="e">
        <f>IF(Inicial!#REF!="SI",Inicial!#REF!,"N/A")</f>
        <v>#REF!</v>
      </c>
      <c r="H18" s="64" t="e">
        <f>IF(Inicial!#REF!="SI",Inicial!#REF!,"N/A")</f>
        <v>#REF!</v>
      </c>
      <c r="I18" s="66" t="e">
        <f>IF(Inicial!#REF!="SI",Inicial!#REF!,"N/A")</f>
        <v>#REF!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83" t="str" cm="1">
        <f t="array" ref="X18">IF(OR(J18:W18="NO"),"No aceptable","Aceptable")</f>
        <v>Aceptable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3" t="str" cm="1">
        <f t="array" ref="AN18">IF(OR(Y18:AM18="NO"),"Critico","No Critico")</f>
        <v>No Critico</v>
      </c>
    </row>
    <row r="19" spans="1:40">
      <c r="A19" s="63" t="e">
        <f>Inicial!#REF!</f>
        <v>#REF!</v>
      </c>
      <c r="B19" s="64" t="e">
        <f>Inicial!#REF!</f>
        <v>#REF!</v>
      </c>
      <c r="C19" s="64" t="e">
        <f>Inicial!#REF!</f>
        <v>#REF!</v>
      </c>
      <c r="D19" s="65" t="e">
        <f>Inicial!#REF!</f>
        <v>#REF!</v>
      </c>
      <c r="E19" s="63" t="e">
        <f>IF(Inicial!#REF!="SI",Inicial!#REF!,"N/A")</f>
        <v>#REF!</v>
      </c>
      <c r="F19" s="64" t="e">
        <f>IF(Inicial!#REF!="SI",Inicial!#REF!,"N/A")</f>
        <v>#REF!</v>
      </c>
      <c r="G19" s="64" t="e">
        <f>IF(Inicial!#REF!="SI",Inicial!#REF!,"N/A")</f>
        <v>#REF!</v>
      </c>
      <c r="H19" s="64" t="e">
        <f>IF(Inicial!#REF!="SI",Inicial!#REF!,"N/A")</f>
        <v>#REF!</v>
      </c>
      <c r="I19" s="66" t="e">
        <f>IF(Inicial!#REF!="SI",Inicial!#REF!,"N/A")</f>
        <v>#REF!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83" t="str" cm="1">
        <f t="array" ref="X19">IF(OR(J19:W19="NO"),"No aceptable","Aceptable")</f>
        <v>Aceptable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3" t="str" cm="1">
        <f t="array" ref="AN19">IF(OR(Y19:AM19="NO"),"Critico","No Critico")</f>
        <v>No Critico</v>
      </c>
    </row>
    <row r="20" spans="1:40">
      <c r="A20" s="63" t="e">
        <f>Inicial!#REF!</f>
        <v>#REF!</v>
      </c>
      <c r="B20" s="64" t="e">
        <f>Inicial!#REF!</f>
        <v>#REF!</v>
      </c>
      <c r="C20" s="64" t="e">
        <f>Inicial!#REF!</f>
        <v>#REF!</v>
      </c>
      <c r="D20" s="65" t="e">
        <f>Inicial!#REF!</f>
        <v>#REF!</v>
      </c>
      <c r="E20" s="63" t="e">
        <f>IF(Inicial!#REF!="SI",Inicial!#REF!,"N/A")</f>
        <v>#REF!</v>
      </c>
      <c r="F20" s="64" t="e">
        <f>IF(Inicial!#REF!="SI",Inicial!#REF!,"N/A")</f>
        <v>#REF!</v>
      </c>
      <c r="G20" s="64" t="e">
        <f>IF(Inicial!#REF!="SI",Inicial!#REF!,"N/A")</f>
        <v>#REF!</v>
      </c>
      <c r="H20" s="64" t="e">
        <f>IF(Inicial!#REF!="SI",Inicial!#REF!,"N/A")</f>
        <v>#REF!</v>
      </c>
      <c r="I20" s="66" t="e">
        <f>IF(Inicial!#REF!="SI",Inicial!#REF!,"N/A")</f>
        <v>#REF!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83" t="str" cm="1">
        <f t="array" ref="X20">IF(OR(J20:W20="NO"),"No aceptable","Aceptable")</f>
        <v>Aceptable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3" t="str" cm="1">
        <f t="array" ref="AN20">IF(OR(Y20:AM20="NO"),"Critico","No Critico")</f>
        <v>No Critico</v>
      </c>
    </row>
    <row r="21" spans="1:40">
      <c r="A21" s="63" t="e">
        <f>Inicial!#REF!</f>
        <v>#REF!</v>
      </c>
      <c r="B21" s="64" t="e">
        <f>Inicial!#REF!</f>
        <v>#REF!</v>
      </c>
      <c r="C21" s="64" t="e">
        <f>Inicial!#REF!</f>
        <v>#REF!</v>
      </c>
      <c r="D21" s="65" t="e">
        <f>Inicial!#REF!</f>
        <v>#REF!</v>
      </c>
      <c r="E21" s="63" t="e">
        <f>IF(Inicial!#REF!="SI",Inicial!#REF!,"N/A")</f>
        <v>#REF!</v>
      </c>
      <c r="F21" s="64" t="e">
        <f>IF(Inicial!#REF!="SI",Inicial!#REF!,"N/A")</f>
        <v>#REF!</v>
      </c>
      <c r="G21" s="64" t="e">
        <f>IF(Inicial!#REF!="SI",Inicial!#REF!,"N/A")</f>
        <v>#REF!</v>
      </c>
      <c r="H21" s="64" t="e">
        <f>IF(Inicial!#REF!="SI",Inicial!#REF!,"N/A")</f>
        <v>#REF!</v>
      </c>
      <c r="I21" s="66" t="e">
        <f>IF(Inicial!#REF!="SI",Inicial!#REF!,"N/A")</f>
        <v>#REF!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83" t="str" cm="1">
        <f t="array" ref="X21">IF(OR(J21:W21="NO"),"No aceptable","Aceptable")</f>
        <v>Aceptable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3" t="str" cm="1">
        <f t="array" ref="AN21">IF(OR(Y21:AM21="NO"),"Critico","No Critico")</f>
        <v>No Critico</v>
      </c>
    </row>
    <row r="22" spans="1:40">
      <c r="A22" s="63" t="e">
        <f>Inicial!#REF!</f>
        <v>#REF!</v>
      </c>
      <c r="B22" s="64" t="e">
        <f>Inicial!#REF!</f>
        <v>#REF!</v>
      </c>
      <c r="C22" s="64" t="e">
        <f>Inicial!#REF!</f>
        <v>#REF!</v>
      </c>
      <c r="D22" s="65" t="e">
        <f>Inicial!#REF!</f>
        <v>#REF!</v>
      </c>
      <c r="E22" s="63" t="e">
        <f>IF(Inicial!#REF!="SI",Inicial!#REF!,"N/A")</f>
        <v>#REF!</v>
      </c>
      <c r="F22" s="64" t="e">
        <f>IF(Inicial!#REF!="SI",Inicial!#REF!,"N/A")</f>
        <v>#REF!</v>
      </c>
      <c r="G22" s="64" t="e">
        <f>IF(Inicial!#REF!="SI",Inicial!#REF!,"N/A")</f>
        <v>#REF!</v>
      </c>
      <c r="H22" s="64" t="e">
        <f>IF(Inicial!#REF!="SI",Inicial!#REF!,"N/A")</f>
        <v>#REF!</v>
      </c>
      <c r="I22" s="66" t="e">
        <f>IF(Inicial!#REF!="SI",Inicial!#REF!,"N/A")</f>
        <v>#REF!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83" t="str" cm="1">
        <f t="array" ref="X22">IF(OR(J22:W22="NO"),"No aceptable","Aceptable")</f>
        <v>Aceptable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3" t="str" cm="1">
        <f t="array" ref="AN22">IF(OR(Y22:AM22="NO"),"Critico","No Critico")</f>
        <v>No Critico</v>
      </c>
    </row>
    <row r="23" spans="1:40">
      <c r="A23" s="63" t="e">
        <f>Inicial!#REF!</f>
        <v>#REF!</v>
      </c>
      <c r="B23" s="64" t="e">
        <f>Inicial!#REF!</f>
        <v>#REF!</v>
      </c>
      <c r="C23" s="64" t="e">
        <f>Inicial!#REF!</f>
        <v>#REF!</v>
      </c>
      <c r="D23" s="65" t="e">
        <f>Inicial!#REF!</f>
        <v>#REF!</v>
      </c>
      <c r="E23" s="63" t="e">
        <f>IF(Inicial!#REF!="SI",Inicial!#REF!,"N/A")</f>
        <v>#REF!</v>
      </c>
      <c r="F23" s="64" t="e">
        <f>IF(Inicial!#REF!="SI",Inicial!#REF!,"N/A")</f>
        <v>#REF!</v>
      </c>
      <c r="G23" s="64" t="e">
        <f>IF(Inicial!#REF!="SI",Inicial!#REF!,"N/A")</f>
        <v>#REF!</v>
      </c>
      <c r="H23" s="64" t="e">
        <f>IF(Inicial!#REF!="SI",Inicial!#REF!,"N/A")</f>
        <v>#REF!</v>
      </c>
      <c r="I23" s="66" t="e">
        <f>IF(Inicial!#REF!="SI",Inicial!#REF!,"N/A")</f>
        <v>#REF!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83" t="str" cm="1">
        <f t="array" ref="X23">IF(OR(J23:W23="NO"),"No aceptable","Aceptable")</f>
        <v>Aceptable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3" t="str" cm="1">
        <f t="array" ref="AN23">IF(OR(Y23:AM23="NO"),"Critico","No Critico")</f>
        <v>No Critico</v>
      </c>
    </row>
    <row r="24" spans="1:40">
      <c r="A24" s="63" t="e">
        <f>Inicial!#REF!</f>
        <v>#REF!</v>
      </c>
      <c r="B24" s="64" t="e">
        <f>Inicial!#REF!</f>
        <v>#REF!</v>
      </c>
      <c r="C24" s="64" t="e">
        <f>Inicial!#REF!</f>
        <v>#REF!</v>
      </c>
      <c r="D24" s="65" t="e">
        <f>Inicial!#REF!</f>
        <v>#REF!</v>
      </c>
      <c r="E24" s="63" t="e">
        <f>IF(Inicial!#REF!="SI",Inicial!#REF!,"N/A")</f>
        <v>#REF!</v>
      </c>
      <c r="F24" s="64" t="e">
        <f>IF(Inicial!#REF!="SI",Inicial!#REF!,"N/A")</f>
        <v>#REF!</v>
      </c>
      <c r="G24" s="64" t="e">
        <f>IF(Inicial!#REF!="SI",Inicial!#REF!,"N/A")</f>
        <v>#REF!</v>
      </c>
      <c r="H24" s="64" t="e">
        <f>IF(Inicial!#REF!="SI",Inicial!#REF!,"N/A")</f>
        <v>#REF!</v>
      </c>
      <c r="I24" s="66" t="e">
        <f>IF(Inicial!#REF!="SI",Inicial!#REF!,"N/A")</f>
        <v>#REF!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83" t="str" cm="1">
        <f t="array" ref="X24">IF(OR(J24:W24="NO"),"No aceptable","Aceptable")</f>
        <v>Aceptable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3" t="str" cm="1">
        <f t="array" ref="AN24">IF(OR(Y24:AM24="NO"),"Critico","No Critico")</f>
        <v>No Critico</v>
      </c>
    </row>
    <row r="25" spans="1:40">
      <c r="A25" s="63" t="e">
        <f>Inicial!#REF!</f>
        <v>#REF!</v>
      </c>
      <c r="B25" s="64" t="e">
        <f>Inicial!#REF!</f>
        <v>#REF!</v>
      </c>
      <c r="C25" s="64" t="e">
        <f>Inicial!#REF!</f>
        <v>#REF!</v>
      </c>
      <c r="D25" s="65" t="e">
        <f>Inicial!#REF!</f>
        <v>#REF!</v>
      </c>
      <c r="E25" s="63" t="e">
        <f>IF(Inicial!#REF!="SI",Inicial!#REF!,"N/A")</f>
        <v>#REF!</v>
      </c>
      <c r="F25" s="64" t="e">
        <f>IF(Inicial!#REF!="SI",Inicial!#REF!,"N/A")</f>
        <v>#REF!</v>
      </c>
      <c r="G25" s="64" t="e">
        <f>IF(Inicial!#REF!="SI",Inicial!#REF!,"N/A")</f>
        <v>#REF!</v>
      </c>
      <c r="H25" s="64" t="e">
        <f>IF(Inicial!#REF!="SI",Inicial!#REF!,"N/A")</f>
        <v>#REF!</v>
      </c>
      <c r="I25" s="66" t="e">
        <f>IF(Inicial!#REF!="SI",Inicial!#REF!,"N/A")</f>
        <v>#REF!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83" t="str" cm="1">
        <f t="array" ref="X25">IF(OR(J25:W25="NO"),"No aceptable","Aceptable")</f>
        <v>Aceptable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3" t="str" cm="1">
        <f t="array" ref="AN25">IF(OR(Y25:AM25="NO"),"Critico","No Critico")</f>
        <v>No Critico</v>
      </c>
    </row>
    <row r="26" spans="1:40">
      <c r="A26" s="63" t="e">
        <f>Inicial!#REF!</f>
        <v>#REF!</v>
      </c>
      <c r="B26" s="64" t="e">
        <f>Inicial!#REF!</f>
        <v>#REF!</v>
      </c>
      <c r="C26" s="64" t="e">
        <f>Inicial!#REF!</f>
        <v>#REF!</v>
      </c>
      <c r="D26" s="65" t="e">
        <f>Inicial!#REF!</f>
        <v>#REF!</v>
      </c>
      <c r="E26" s="63" t="e">
        <f>IF(Inicial!#REF!="SI",Inicial!#REF!,"N/A")</f>
        <v>#REF!</v>
      </c>
      <c r="F26" s="64" t="e">
        <f>IF(Inicial!#REF!="SI",Inicial!#REF!,"N/A")</f>
        <v>#REF!</v>
      </c>
      <c r="G26" s="64" t="e">
        <f>IF(Inicial!#REF!="SI",Inicial!#REF!,"N/A")</f>
        <v>#REF!</v>
      </c>
      <c r="H26" s="64" t="e">
        <f>IF(Inicial!#REF!="SI",Inicial!#REF!,"N/A")</f>
        <v>#REF!</v>
      </c>
      <c r="I26" s="66" t="e">
        <f>IF(Inicial!#REF!="SI",Inicial!#REF!,"N/A")</f>
        <v>#REF!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83" t="str" cm="1">
        <f t="array" ref="X26">IF(OR(J26:W26="NO"),"No aceptable","Aceptable")</f>
        <v>Aceptable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3" t="str" cm="1">
        <f t="array" ref="AN26">IF(OR(Y26:AM26="NO"),"Critico","No Critico")</f>
        <v>No Critico</v>
      </c>
    </row>
    <row r="27" spans="1:40">
      <c r="A27" s="63" t="e">
        <f>Inicial!#REF!</f>
        <v>#REF!</v>
      </c>
      <c r="B27" s="64" t="e">
        <f>Inicial!#REF!</f>
        <v>#REF!</v>
      </c>
      <c r="C27" s="64" t="e">
        <f>Inicial!#REF!</f>
        <v>#REF!</v>
      </c>
      <c r="D27" s="65" t="e">
        <f>Inicial!#REF!</f>
        <v>#REF!</v>
      </c>
      <c r="E27" s="63" t="e">
        <f>IF(Inicial!#REF!="SI",Inicial!#REF!,"N/A")</f>
        <v>#REF!</v>
      </c>
      <c r="F27" s="64" t="e">
        <f>IF(Inicial!#REF!="SI",Inicial!#REF!,"N/A")</f>
        <v>#REF!</v>
      </c>
      <c r="G27" s="64" t="e">
        <f>IF(Inicial!#REF!="SI",Inicial!#REF!,"N/A")</f>
        <v>#REF!</v>
      </c>
      <c r="H27" s="64" t="e">
        <f>IF(Inicial!#REF!="SI",Inicial!#REF!,"N/A")</f>
        <v>#REF!</v>
      </c>
      <c r="I27" s="66" t="e">
        <f>IF(Inicial!#REF!="SI",Inicial!#REF!,"N/A")</f>
        <v>#REF!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83" t="str" cm="1">
        <f t="array" ref="X27">IF(OR(J27:W27="NO"),"No aceptable","Aceptable")</f>
        <v>Aceptable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3" t="str" cm="1">
        <f t="array" ref="AN27">IF(OR(Y27:AM27="NO"),"Critico","No Critico")</f>
        <v>No Critico</v>
      </c>
    </row>
    <row r="28" spans="1:40">
      <c r="A28" s="63" t="e">
        <f>Inicial!#REF!</f>
        <v>#REF!</v>
      </c>
      <c r="B28" s="64" t="e">
        <f>Inicial!#REF!</f>
        <v>#REF!</v>
      </c>
      <c r="C28" s="64" t="e">
        <f>Inicial!#REF!</f>
        <v>#REF!</v>
      </c>
      <c r="D28" s="65" t="e">
        <f>Inicial!#REF!</f>
        <v>#REF!</v>
      </c>
      <c r="E28" s="63" t="e">
        <f>IF(Inicial!#REF!="SI",Inicial!#REF!,"N/A")</f>
        <v>#REF!</v>
      </c>
      <c r="F28" s="64" t="e">
        <f>IF(Inicial!#REF!="SI",Inicial!#REF!,"N/A")</f>
        <v>#REF!</v>
      </c>
      <c r="G28" s="64" t="e">
        <f>IF(Inicial!#REF!="SI",Inicial!#REF!,"N/A")</f>
        <v>#REF!</v>
      </c>
      <c r="H28" s="64" t="e">
        <f>IF(Inicial!#REF!="SI",Inicial!#REF!,"N/A")</f>
        <v>#REF!</v>
      </c>
      <c r="I28" s="66" t="e">
        <f>IF(Inicial!#REF!="SI",Inicial!#REF!,"N/A")</f>
        <v>#REF!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83" t="str" cm="1">
        <f t="array" ref="X28">IF(OR(J28:W28="NO"),"No aceptable","Aceptable")</f>
        <v>Aceptable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3" t="str" cm="1">
        <f t="array" ref="AN28">IF(OR(Y28:AM28="NO"),"Critico","No Critico")</f>
        <v>No Critico</v>
      </c>
    </row>
    <row r="29" spans="1:40">
      <c r="A29" s="63" t="e">
        <f>Inicial!#REF!</f>
        <v>#REF!</v>
      </c>
      <c r="B29" s="64" t="e">
        <f>Inicial!#REF!</f>
        <v>#REF!</v>
      </c>
      <c r="C29" s="64" t="e">
        <f>Inicial!#REF!</f>
        <v>#REF!</v>
      </c>
      <c r="D29" s="65" t="e">
        <f>Inicial!#REF!</f>
        <v>#REF!</v>
      </c>
      <c r="E29" s="63" t="e">
        <f>IF(Inicial!#REF!="SI",Inicial!#REF!,"N/A")</f>
        <v>#REF!</v>
      </c>
      <c r="F29" s="64" t="e">
        <f>IF(Inicial!#REF!="SI",Inicial!#REF!,"N/A")</f>
        <v>#REF!</v>
      </c>
      <c r="G29" s="64" t="e">
        <f>IF(Inicial!#REF!="SI",Inicial!#REF!,"N/A")</f>
        <v>#REF!</v>
      </c>
      <c r="H29" s="64" t="e">
        <f>IF(Inicial!#REF!="SI",Inicial!#REF!,"N/A")</f>
        <v>#REF!</v>
      </c>
      <c r="I29" s="66" t="e">
        <f>IF(Inicial!#REF!="SI",Inicial!#REF!,"N/A")</f>
        <v>#REF!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83" t="str" cm="1">
        <f t="array" ref="X29">IF(OR(J29:W29="NO"),"No aceptable","Aceptable")</f>
        <v>Aceptable</v>
      </c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3" t="str" cm="1">
        <f t="array" ref="AN29">IF(OR(Y29:AM29="NO"),"Critico","No Critico")</f>
        <v>No Critico</v>
      </c>
    </row>
    <row r="30" spans="1:40">
      <c r="A30" s="63" t="e">
        <f>Inicial!#REF!</f>
        <v>#REF!</v>
      </c>
      <c r="B30" s="64" t="e">
        <f>Inicial!#REF!</f>
        <v>#REF!</v>
      </c>
      <c r="C30" s="64" t="e">
        <f>Inicial!#REF!</f>
        <v>#REF!</v>
      </c>
      <c r="D30" s="65" t="e">
        <f>Inicial!#REF!</f>
        <v>#REF!</v>
      </c>
      <c r="E30" s="63" t="e">
        <f>IF(Inicial!#REF!="SI",Inicial!#REF!,"N/A")</f>
        <v>#REF!</v>
      </c>
      <c r="F30" s="64" t="e">
        <f>IF(Inicial!#REF!="SI",Inicial!#REF!,"N/A")</f>
        <v>#REF!</v>
      </c>
      <c r="G30" s="64" t="e">
        <f>IF(Inicial!#REF!="SI",Inicial!#REF!,"N/A")</f>
        <v>#REF!</v>
      </c>
      <c r="H30" s="64" t="e">
        <f>IF(Inicial!#REF!="SI",Inicial!#REF!,"N/A")</f>
        <v>#REF!</v>
      </c>
      <c r="I30" s="66" t="e">
        <f>IF(Inicial!#REF!="SI",Inicial!#REF!,"N/A")</f>
        <v>#REF!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83" t="str" cm="1">
        <f t="array" ref="X30">IF(OR(J30:W30="NO"),"No aceptable","Aceptable")</f>
        <v>Aceptable</v>
      </c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3" t="str" cm="1">
        <f t="array" ref="AN30">IF(OR(Y30:AM30="NO"),"Critico","No Critico")</f>
        <v>No Critico</v>
      </c>
    </row>
    <row r="31" spans="1:40">
      <c r="A31" s="63" t="e">
        <f>Inicial!#REF!</f>
        <v>#REF!</v>
      </c>
      <c r="B31" s="64" t="e">
        <f>Inicial!#REF!</f>
        <v>#REF!</v>
      </c>
      <c r="C31" s="64" t="e">
        <f>Inicial!#REF!</f>
        <v>#REF!</v>
      </c>
      <c r="D31" s="65" t="e">
        <f>Inicial!#REF!</f>
        <v>#REF!</v>
      </c>
      <c r="E31" s="63" t="e">
        <f>IF(Inicial!#REF!="SI",Inicial!#REF!,"N/A")</f>
        <v>#REF!</v>
      </c>
      <c r="F31" s="64" t="e">
        <f>IF(Inicial!#REF!="SI",Inicial!#REF!,"N/A")</f>
        <v>#REF!</v>
      </c>
      <c r="G31" s="64" t="e">
        <f>IF(Inicial!#REF!="SI",Inicial!#REF!,"N/A")</f>
        <v>#REF!</v>
      </c>
      <c r="H31" s="64" t="e">
        <f>IF(Inicial!#REF!="SI",Inicial!#REF!,"N/A")</f>
        <v>#REF!</v>
      </c>
      <c r="I31" s="66" t="e">
        <f>IF(Inicial!#REF!="SI",Inicial!#REF!,"N/A")</f>
        <v>#REF!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83" t="str" cm="1">
        <f t="array" ref="X31">IF(OR(J31:W31="NO"),"No aceptable","Aceptable")</f>
        <v>Aceptable</v>
      </c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3" t="str" cm="1">
        <f t="array" ref="AN31">IF(OR(Y31:AM31="NO"),"Critico","No Critico")</f>
        <v>No Critico</v>
      </c>
    </row>
    <row r="32" spans="1:40">
      <c r="A32" s="63" t="e">
        <f>Inicial!#REF!</f>
        <v>#REF!</v>
      </c>
      <c r="B32" s="64" t="e">
        <f>Inicial!#REF!</f>
        <v>#REF!</v>
      </c>
      <c r="C32" s="64" t="e">
        <f>Inicial!#REF!</f>
        <v>#REF!</v>
      </c>
      <c r="D32" s="65" t="e">
        <f>Inicial!#REF!</f>
        <v>#REF!</v>
      </c>
      <c r="E32" s="63" t="e">
        <f>IF(Inicial!#REF!="SI",Inicial!#REF!,"N/A")</f>
        <v>#REF!</v>
      </c>
      <c r="F32" s="64" t="e">
        <f>IF(Inicial!#REF!="SI",Inicial!#REF!,"N/A")</f>
        <v>#REF!</v>
      </c>
      <c r="G32" s="64" t="e">
        <f>IF(Inicial!#REF!="SI",Inicial!#REF!,"N/A")</f>
        <v>#REF!</v>
      </c>
      <c r="H32" s="64" t="e">
        <f>IF(Inicial!#REF!="SI",Inicial!#REF!,"N/A")</f>
        <v>#REF!</v>
      </c>
      <c r="I32" s="66" t="e">
        <f>IF(Inicial!#REF!="SI",Inicial!#REF!,"N/A")</f>
        <v>#REF!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83" t="str" cm="1">
        <f t="array" ref="X32">IF(OR(J32:W32="NO"),"No aceptable","Aceptable")</f>
        <v>Aceptable</v>
      </c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3" t="str" cm="1">
        <f t="array" ref="AN32">IF(OR(Y32:AM32="NO"),"Critico","No Critico")</f>
        <v>No Critico</v>
      </c>
    </row>
    <row r="33" spans="1:40">
      <c r="A33" s="63" t="e">
        <f>Inicial!#REF!</f>
        <v>#REF!</v>
      </c>
      <c r="B33" s="64" t="e">
        <f>Inicial!#REF!</f>
        <v>#REF!</v>
      </c>
      <c r="C33" s="64" t="e">
        <f>Inicial!#REF!</f>
        <v>#REF!</v>
      </c>
      <c r="D33" s="65" t="e">
        <f>Inicial!#REF!</f>
        <v>#REF!</v>
      </c>
      <c r="E33" s="63" t="e">
        <f>IF(Inicial!#REF!="SI",Inicial!#REF!,"N/A")</f>
        <v>#REF!</v>
      </c>
      <c r="F33" s="64" t="e">
        <f>IF(Inicial!#REF!="SI",Inicial!#REF!,"N/A")</f>
        <v>#REF!</v>
      </c>
      <c r="G33" s="64" t="e">
        <f>IF(Inicial!#REF!="SI",Inicial!#REF!,"N/A")</f>
        <v>#REF!</v>
      </c>
      <c r="H33" s="64" t="e">
        <f>IF(Inicial!#REF!="SI",Inicial!#REF!,"N/A")</f>
        <v>#REF!</v>
      </c>
      <c r="I33" s="66" t="e">
        <f>IF(Inicial!#REF!="SI",Inicial!#REF!,"N/A")</f>
        <v>#REF!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83" t="str" cm="1">
        <f t="array" ref="X33">IF(OR(J33:W33="NO"),"No aceptable","Aceptable")</f>
        <v>Aceptable</v>
      </c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3" t="str" cm="1">
        <f t="array" ref="AN33">IF(OR(Y33:AM33="NO"),"Critico","No Critico")</f>
        <v>No Critico</v>
      </c>
    </row>
    <row r="34" spans="1:40">
      <c r="A34" s="63" t="e">
        <f>Inicial!#REF!</f>
        <v>#REF!</v>
      </c>
      <c r="B34" s="64" t="e">
        <f>Inicial!#REF!</f>
        <v>#REF!</v>
      </c>
      <c r="C34" s="64" t="e">
        <f>Inicial!#REF!</f>
        <v>#REF!</v>
      </c>
      <c r="D34" s="65" t="e">
        <f>Inicial!#REF!</f>
        <v>#REF!</v>
      </c>
      <c r="E34" s="63" t="e">
        <f>IF(Inicial!#REF!="SI",Inicial!#REF!,"N/A")</f>
        <v>#REF!</v>
      </c>
      <c r="F34" s="64" t="e">
        <f>IF(Inicial!#REF!="SI",Inicial!#REF!,"N/A")</f>
        <v>#REF!</v>
      </c>
      <c r="G34" s="64" t="e">
        <f>IF(Inicial!#REF!="SI",Inicial!#REF!,"N/A")</f>
        <v>#REF!</v>
      </c>
      <c r="H34" s="64" t="e">
        <f>IF(Inicial!#REF!="SI",Inicial!#REF!,"N/A")</f>
        <v>#REF!</v>
      </c>
      <c r="I34" s="66" t="e">
        <f>IF(Inicial!#REF!="SI",Inicial!#REF!,"N/A")</f>
        <v>#REF!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83" t="str" cm="1">
        <f t="array" ref="X34">IF(OR(J34:W34="NO"),"No aceptable","Aceptable")</f>
        <v>Aceptable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3" t="str" cm="1">
        <f t="array" ref="AN34">IF(OR(Y34:AM34="NO"),"Critico","No Critico")</f>
        <v>No Critico</v>
      </c>
    </row>
    <row r="35" spans="1:40">
      <c r="A35" s="63" t="e">
        <f>Inicial!#REF!</f>
        <v>#REF!</v>
      </c>
      <c r="B35" s="64" t="e">
        <f>Inicial!#REF!</f>
        <v>#REF!</v>
      </c>
      <c r="C35" s="64" t="e">
        <f>Inicial!#REF!</f>
        <v>#REF!</v>
      </c>
      <c r="D35" s="65" t="e">
        <f>Inicial!#REF!</f>
        <v>#REF!</v>
      </c>
      <c r="E35" s="63" t="e">
        <f>IF(Inicial!#REF!="SI",Inicial!#REF!,"N/A")</f>
        <v>#REF!</v>
      </c>
      <c r="F35" s="64" t="e">
        <f>IF(Inicial!#REF!="SI",Inicial!#REF!,"N/A")</f>
        <v>#REF!</v>
      </c>
      <c r="G35" s="64" t="e">
        <f>IF(Inicial!#REF!="SI",Inicial!#REF!,"N/A")</f>
        <v>#REF!</v>
      </c>
      <c r="H35" s="64" t="e">
        <f>IF(Inicial!#REF!="SI",Inicial!#REF!,"N/A")</f>
        <v>#REF!</v>
      </c>
      <c r="I35" s="66" t="e">
        <f>IF(Inicial!#REF!="SI",Inicial!#REF!,"N/A")</f>
        <v>#REF!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83" t="str" cm="1">
        <f t="array" ref="X35">IF(OR(J35:W35="NO"),"No aceptable","Aceptable")</f>
        <v>Aceptable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3" t="str" cm="1">
        <f t="array" ref="AN35">IF(OR(Y35:AM35="NO"),"Critico","No Critico")</f>
        <v>No Critico</v>
      </c>
    </row>
    <row r="36" spans="1:40">
      <c r="A36" s="63" t="e">
        <f>Inicial!#REF!</f>
        <v>#REF!</v>
      </c>
      <c r="B36" s="64" t="e">
        <f>Inicial!#REF!</f>
        <v>#REF!</v>
      </c>
      <c r="C36" s="64" t="e">
        <f>Inicial!#REF!</f>
        <v>#REF!</v>
      </c>
      <c r="D36" s="65" t="e">
        <f>Inicial!#REF!</f>
        <v>#REF!</v>
      </c>
      <c r="E36" s="63" t="e">
        <f>IF(Inicial!#REF!="SI",Inicial!#REF!,"N/A")</f>
        <v>#REF!</v>
      </c>
      <c r="F36" s="64" t="e">
        <f>IF(Inicial!#REF!="SI",Inicial!#REF!,"N/A")</f>
        <v>#REF!</v>
      </c>
      <c r="G36" s="64" t="e">
        <f>IF(Inicial!#REF!="SI",Inicial!#REF!,"N/A")</f>
        <v>#REF!</v>
      </c>
      <c r="H36" s="64" t="e">
        <f>IF(Inicial!#REF!="SI",Inicial!#REF!,"N/A")</f>
        <v>#REF!</v>
      </c>
      <c r="I36" s="66" t="e">
        <f>IF(Inicial!#REF!="SI",Inicial!#REF!,"N/A")</f>
        <v>#REF!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83" t="str" cm="1">
        <f t="array" ref="X36">IF(OR(J36:W36="NO"),"No aceptable","Aceptable")</f>
        <v>Aceptable</v>
      </c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3" t="str" cm="1">
        <f t="array" ref="AN36">IF(OR(Y36:AM36="NO"),"Critico","No Critico")</f>
        <v>No Critico</v>
      </c>
    </row>
    <row r="37" spans="1:40">
      <c r="A37" s="63" t="e">
        <f>Inicial!#REF!</f>
        <v>#REF!</v>
      </c>
      <c r="B37" s="64" t="e">
        <f>Inicial!#REF!</f>
        <v>#REF!</v>
      </c>
      <c r="C37" s="64" t="e">
        <f>Inicial!#REF!</f>
        <v>#REF!</v>
      </c>
      <c r="D37" s="65" t="e">
        <f>Inicial!#REF!</f>
        <v>#REF!</v>
      </c>
      <c r="E37" s="63" t="e">
        <f>IF(Inicial!#REF!="SI",Inicial!#REF!,"N/A")</f>
        <v>#REF!</v>
      </c>
      <c r="F37" s="64" t="e">
        <f>IF(Inicial!#REF!="SI",Inicial!#REF!,"N/A")</f>
        <v>#REF!</v>
      </c>
      <c r="G37" s="64" t="e">
        <f>IF(Inicial!#REF!="SI",Inicial!#REF!,"N/A")</f>
        <v>#REF!</v>
      </c>
      <c r="H37" s="64" t="e">
        <f>IF(Inicial!#REF!="SI",Inicial!#REF!,"N/A")</f>
        <v>#REF!</v>
      </c>
      <c r="I37" s="66" t="e">
        <f>IF(Inicial!#REF!="SI",Inicial!#REF!,"N/A")</f>
        <v>#REF!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83" t="str" cm="1">
        <f t="array" ref="X37">IF(OR(J37:W37="NO"),"No aceptable","Aceptable")</f>
        <v>Aceptable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3" t="str" cm="1">
        <f t="array" ref="AN37">IF(OR(Y37:AM37="NO"),"Critico","No Critico")</f>
        <v>No Critico</v>
      </c>
    </row>
    <row r="38" spans="1:40">
      <c r="A38" s="63" t="e">
        <f>Inicial!#REF!</f>
        <v>#REF!</v>
      </c>
      <c r="B38" s="64" t="e">
        <f>Inicial!#REF!</f>
        <v>#REF!</v>
      </c>
      <c r="C38" s="64" t="e">
        <f>Inicial!#REF!</f>
        <v>#REF!</v>
      </c>
      <c r="D38" s="65" t="e">
        <f>Inicial!#REF!</f>
        <v>#REF!</v>
      </c>
      <c r="E38" s="63" t="e">
        <f>IF(Inicial!#REF!="SI",Inicial!#REF!,"N/A")</f>
        <v>#REF!</v>
      </c>
      <c r="F38" s="64" t="e">
        <f>IF(Inicial!#REF!="SI",Inicial!#REF!,"N/A")</f>
        <v>#REF!</v>
      </c>
      <c r="G38" s="64" t="e">
        <f>IF(Inicial!#REF!="SI",Inicial!#REF!,"N/A")</f>
        <v>#REF!</v>
      </c>
      <c r="H38" s="64" t="e">
        <f>IF(Inicial!#REF!="SI",Inicial!#REF!,"N/A")</f>
        <v>#REF!</v>
      </c>
      <c r="I38" s="66" t="e">
        <f>IF(Inicial!#REF!="SI",Inicial!#REF!,"N/A")</f>
        <v>#REF!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83" t="str" cm="1">
        <f t="array" ref="X38">IF(OR(J38:W38="NO"),"No aceptable","Aceptable")</f>
        <v>Aceptable</v>
      </c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3" t="str" cm="1">
        <f t="array" ref="AN38">IF(OR(Y38:AM38="NO"),"Critico","No Critico")</f>
        <v>No Critico</v>
      </c>
    </row>
    <row r="39" spans="1:40">
      <c r="A39" s="63" t="e">
        <f>Inicial!#REF!</f>
        <v>#REF!</v>
      </c>
      <c r="B39" s="64" t="e">
        <f>Inicial!#REF!</f>
        <v>#REF!</v>
      </c>
      <c r="C39" s="64" t="e">
        <f>Inicial!#REF!</f>
        <v>#REF!</v>
      </c>
      <c r="D39" s="65" t="e">
        <f>Inicial!#REF!</f>
        <v>#REF!</v>
      </c>
      <c r="E39" s="63" t="e">
        <f>IF(Inicial!#REF!="SI",Inicial!#REF!,"N/A")</f>
        <v>#REF!</v>
      </c>
      <c r="F39" s="64" t="e">
        <f>IF(Inicial!#REF!="SI",Inicial!#REF!,"N/A")</f>
        <v>#REF!</v>
      </c>
      <c r="G39" s="64" t="e">
        <f>IF(Inicial!#REF!="SI",Inicial!#REF!,"N/A")</f>
        <v>#REF!</v>
      </c>
      <c r="H39" s="64" t="e">
        <f>IF(Inicial!#REF!="SI",Inicial!#REF!,"N/A")</f>
        <v>#REF!</v>
      </c>
      <c r="I39" s="66" t="e">
        <f>IF(Inicial!#REF!="SI",Inicial!#REF!,"N/A")</f>
        <v>#REF!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83" t="str" cm="1">
        <f t="array" ref="X39">IF(OR(J39:W39="NO"),"No aceptable","Aceptable")</f>
        <v>Aceptable</v>
      </c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" t="str" cm="1">
        <f t="array" ref="AN39">IF(OR(Y39:AM39="NO"),"Critico","No Critico")</f>
        <v>No Critico</v>
      </c>
    </row>
    <row r="40" spans="1:40">
      <c r="A40" s="63" t="e">
        <f>Inicial!#REF!</f>
        <v>#REF!</v>
      </c>
      <c r="B40" s="64" t="e">
        <f>Inicial!#REF!</f>
        <v>#REF!</v>
      </c>
      <c r="C40" s="64" t="e">
        <f>Inicial!#REF!</f>
        <v>#REF!</v>
      </c>
      <c r="D40" s="65" t="e">
        <f>Inicial!#REF!</f>
        <v>#REF!</v>
      </c>
      <c r="E40" s="63" t="e">
        <f>IF(Inicial!#REF!="SI",Inicial!#REF!,"N/A")</f>
        <v>#REF!</v>
      </c>
      <c r="F40" s="64" t="e">
        <f>IF(Inicial!#REF!="SI",Inicial!#REF!,"N/A")</f>
        <v>#REF!</v>
      </c>
      <c r="G40" s="64" t="e">
        <f>IF(Inicial!#REF!="SI",Inicial!#REF!,"N/A")</f>
        <v>#REF!</v>
      </c>
      <c r="H40" s="64" t="e">
        <f>IF(Inicial!#REF!="SI",Inicial!#REF!,"N/A")</f>
        <v>#REF!</v>
      </c>
      <c r="I40" s="66" t="e">
        <f>IF(Inicial!#REF!="SI",Inicial!#REF!,"N/A")</f>
        <v>#REF!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83" t="str" cm="1">
        <f t="array" ref="X40">IF(OR(J40:W40="NO"),"No aceptable","Aceptable")</f>
        <v>Aceptable</v>
      </c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3" t="str" cm="1">
        <f t="array" ref="AN40">IF(OR(Y40:AM40="NO"),"Critico","No Critico")</f>
        <v>No Critico</v>
      </c>
    </row>
    <row r="41" spans="1:40">
      <c r="A41" s="63" t="e">
        <f>Inicial!#REF!</f>
        <v>#REF!</v>
      </c>
      <c r="B41" s="64" t="e">
        <f>Inicial!#REF!</f>
        <v>#REF!</v>
      </c>
      <c r="C41" s="64" t="e">
        <f>Inicial!#REF!</f>
        <v>#REF!</v>
      </c>
      <c r="D41" s="65" t="e">
        <f>Inicial!#REF!</f>
        <v>#REF!</v>
      </c>
      <c r="E41" s="63" t="e">
        <f>IF(Inicial!#REF!="SI",Inicial!#REF!,"N/A")</f>
        <v>#REF!</v>
      </c>
      <c r="F41" s="64" t="e">
        <f>IF(Inicial!#REF!="SI",Inicial!#REF!,"N/A")</f>
        <v>#REF!</v>
      </c>
      <c r="G41" s="64" t="e">
        <f>IF(Inicial!#REF!="SI",Inicial!#REF!,"N/A")</f>
        <v>#REF!</v>
      </c>
      <c r="H41" s="64" t="e">
        <f>IF(Inicial!#REF!="SI",Inicial!#REF!,"N/A")</f>
        <v>#REF!</v>
      </c>
      <c r="I41" s="66" t="e">
        <f>IF(Inicial!#REF!="SI",Inicial!#REF!,"N/A")</f>
        <v>#REF!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83" t="str" cm="1">
        <f t="array" ref="X41">IF(OR(J41:W41="NO"),"No aceptable","Aceptable")</f>
        <v>Aceptable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3" t="str" cm="1">
        <f t="array" ref="AN41">IF(OR(Y41:AM41="NO"),"Critico","No Critico")</f>
        <v>No Critico</v>
      </c>
    </row>
    <row r="42" spans="1:40">
      <c r="A42" s="63" t="e">
        <f>Inicial!#REF!</f>
        <v>#REF!</v>
      </c>
      <c r="B42" s="64" t="e">
        <f>Inicial!#REF!</f>
        <v>#REF!</v>
      </c>
      <c r="C42" s="64" t="e">
        <f>Inicial!#REF!</f>
        <v>#REF!</v>
      </c>
      <c r="D42" s="65" t="e">
        <f>Inicial!#REF!</f>
        <v>#REF!</v>
      </c>
      <c r="E42" s="63" t="e">
        <f>IF(Inicial!#REF!="SI",Inicial!#REF!,"N/A")</f>
        <v>#REF!</v>
      </c>
      <c r="F42" s="64" t="e">
        <f>IF(Inicial!#REF!="SI",Inicial!#REF!,"N/A")</f>
        <v>#REF!</v>
      </c>
      <c r="G42" s="64" t="e">
        <f>IF(Inicial!#REF!="SI",Inicial!#REF!,"N/A")</f>
        <v>#REF!</v>
      </c>
      <c r="H42" s="64" t="e">
        <f>IF(Inicial!#REF!="SI",Inicial!#REF!,"N/A")</f>
        <v>#REF!</v>
      </c>
      <c r="I42" s="66" t="e">
        <f>IF(Inicial!#REF!="SI",Inicial!#REF!,"N/A")</f>
        <v>#REF!</v>
      </c>
      <c r="L42" s="1"/>
      <c r="M42" s="1"/>
      <c r="N42" s="1"/>
      <c r="O42" s="1"/>
      <c r="P42" s="1"/>
      <c r="Q42" s="1"/>
      <c r="R42" s="1"/>
      <c r="S42" s="1"/>
      <c r="T42" s="1"/>
      <c r="U42" s="1"/>
      <c r="X42" s="83" t="str" cm="1">
        <f t="array" ref="X42">IF(OR(J42:W42="NO"),"No aceptable","Aceptable")</f>
        <v>Aceptable</v>
      </c>
      <c r="AN42" s="3" t="str" cm="1">
        <f t="array" ref="AN42">IF(OR(Y42:AM42="NO"),"Critico","No Critico")</f>
        <v>No Critico</v>
      </c>
    </row>
    <row r="43" spans="1:40">
      <c r="A43" s="63" t="e">
        <f>Inicial!#REF!</f>
        <v>#REF!</v>
      </c>
      <c r="B43" s="64" t="e">
        <f>Inicial!#REF!</f>
        <v>#REF!</v>
      </c>
      <c r="C43" s="64" t="e">
        <f>Inicial!#REF!</f>
        <v>#REF!</v>
      </c>
      <c r="D43" s="65" t="e">
        <f>Inicial!#REF!</f>
        <v>#REF!</v>
      </c>
      <c r="E43" s="63" t="e">
        <f>IF(Inicial!#REF!="SI",Inicial!#REF!,"N/A")</f>
        <v>#REF!</v>
      </c>
      <c r="F43" s="64" t="e">
        <f>IF(Inicial!#REF!="SI",Inicial!#REF!,"N/A")</f>
        <v>#REF!</v>
      </c>
      <c r="G43" s="64" t="e">
        <f>IF(Inicial!#REF!="SI",Inicial!#REF!,"N/A")</f>
        <v>#REF!</v>
      </c>
      <c r="H43" s="64" t="e">
        <f>IF(Inicial!#REF!="SI",Inicial!#REF!,"N/A")</f>
        <v>#REF!</v>
      </c>
      <c r="I43" s="66" t="e">
        <f>IF(Inicial!#REF!="SI",Inicial!#REF!,"N/A")</f>
        <v>#REF!</v>
      </c>
      <c r="L43" s="1"/>
      <c r="M43" s="1"/>
      <c r="N43" s="1"/>
      <c r="O43" s="1"/>
      <c r="P43" s="1"/>
      <c r="Q43" s="1"/>
      <c r="R43" s="1"/>
      <c r="S43" s="1"/>
      <c r="T43" s="1"/>
      <c r="U43" s="1"/>
      <c r="X43" s="83" t="str" cm="1">
        <f t="array" ref="X43">IF(OR(J43:W43="NO"),"No aceptable","Aceptable")</f>
        <v>Aceptable</v>
      </c>
      <c r="AN43" s="3" t="str" cm="1">
        <f t="array" ref="AN43">IF(OR(Y43:AM43="NO"),"Critico","No Critico")</f>
        <v>No Critico</v>
      </c>
    </row>
    <row r="44" spans="1:40">
      <c r="A44" s="63" t="e">
        <f>Inicial!#REF!</f>
        <v>#REF!</v>
      </c>
      <c r="B44" s="64" t="e">
        <f>Inicial!#REF!</f>
        <v>#REF!</v>
      </c>
      <c r="C44" s="64" t="e">
        <f>Inicial!#REF!</f>
        <v>#REF!</v>
      </c>
      <c r="D44" s="65" t="e">
        <f>Inicial!#REF!</f>
        <v>#REF!</v>
      </c>
      <c r="E44" s="63" t="e">
        <f>IF(Inicial!#REF!="SI",Inicial!#REF!,"N/A")</f>
        <v>#REF!</v>
      </c>
      <c r="F44" s="64" t="e">
        <f>IF(Inicial!#REF!="SI",Inicial!#REF!,"N/A")</f>
        <v>#REF!</v>
      </c>
      <c r="G44" s="64" t="e">
        <f>IF(Inicial!#REF!="SI",Inicial!#REF!,"N/A")</f>
        <v>#REF!</v>
      </c>
      <c r="H44" s="64" t="e">
        <f>IF(Inicial!#REF!="SI",Inicial!#REF!,"N/A")</f>
        <v>#REF!</v>
      </c>
      <c r="I44" s="66" t="e">
        <f>IF(Inicial!#REF!="SI",Inicial!#REF!,"N/A")</f>
        <v>#REF!</v>
      </c>
      <c r="L44" s="1"/>
      <c r="M44" s="1"/>
      <c r="N44" s="1"/>
      <c r="O44" s="1"/>
      <c r="P44" s="1"/>
      <c r="Q44" s="1"/>
      <c r="R44" s="1"/>
      <c r="S44" s="1"/>
      <c r="T44" s="1"/>
      <c r="U44" s="1"/>
      <c r="X44" s="83" t="str" cm="1">
        <f t="array" ref="X44">IF(OR(J44:W44="NO"),"No aceptable","Aceptable")</f>
        <v>Aceptable</v>
      </c>
      <c r="AN44" s="3" t="str" cm="1">
        <f t="array" ref="AN44">IF(OR(Y44:AM44="NO"),"Critico","No Critico")</f>
        <v>No Critico</v>
      </c>
    </row>
    <row r="45" spans="1:40">
      <c r="A45" s="63" t="e">
        <f>Inicial!#REF!</f>
        <v>#REF!</v>
      </c>
      <c r="B45" s="64" t="e">
        <f>Inicial!#REF!</f>
        <v>#REF!</v>
      </c>
      <c r="C45" s="64" t="e">
        <f>Inicial!#REF!</f>
        <v>#REF!</v>
      </c>
      <c r="D45" s="65" t="e">
        <f>Inicial!#REF!</f>
        <v>#REF!</v>
      </c>
      <c r="E45" s="63" t="e">
        <f>IF(Inicial!#REF!="SI",Inicial!#REF!,"N/A")</f>
        <v>#REF!</v>
      </c>
      <c r="F45" s="64" t="e">
        <f>IF(Inicial!#REF!="SI",Inicial!#REF!,"N/A")</f>
        <v>#REF!</v>
      </c>
      <c r="G45" s="64" t="e">
        <f>IF(Inicial!#REF!="SI",Inicial!#REF!,"N/A")</f>
        <v>#REF!</v>
      </c>
      <c r="H45" s="64" t="e">
        <f>IF(Inicial!#REF!="SI",Inicial!#REF!,"N/A")</f>
        <v>#REF!</v>
      </c>
      <c r="I45" s="66" t="e">
        <f>IF(Inicial!#REF!="SI",Inicial!#REF!,"N/A")</f>
        <v>#REF!</v>
      </c>
      <c r="L45" s="1"/>
      <c r="M45" s="1"/>
      <c r="N45" s="1"/>
      <c r="O45" s="1"/>
      <c r="P45" s="1"/>
      <c r="Q45" s="1"/>
      <c r="R45" s="1"/>
      <c r="S45" s="1"/>
      <c r="T45" s="1"/>
      <c r="U45" s="1"/>
      <c r="X45" s="83" t="str" cm="1">
        <f t="array" ref="X45">IF(OR(J45:W45="NO"),"No aceptable","Aceptable")</f>
        <v>Aceptable</v>
      </c>
      <c r="AN45" s="3" t="str" cm="1">
        <f t="array" ref="AN45">IF(OR(Y45:AM45="NO"),"Critico","No Critico")</f>
        <v>No Critico</v>
      </c>
    </row>
    <row r="46" spans="1:40">
      <c r="A46" s="63" t="e">
        <f>Inicial!#REF!</f>
        <v>#REF!</v>
      </c>
      <c r="B46" s="64" t="e">
        <f>Inicial!#REF!</f>
        <v>#REF!</v>
      </c>
      <c r="C46" s="64" t="e">
        <f>Inicial!#REF!</f>
        <v>#REF!</v>
      </c>
      <c r="D46" s="65" t="e">
        <f>Inicial!#REF!</f>
        <v>#REF!</v>
      </c>
      <c r="E46" s="63" t="e">
        <f>IF(Inicial!#REF!="SI",Inicial!#REF!,"N/A")</f>
        <v>#REF!</v>
      </c>
      <c r="F46" s="64" t="e">
        <f>IF(Inicial!#REF!="SI",Inicial!#REF!,"N/A")</f>
        <v>#REF!</v>
      </c>
      <c r="G46" s="64" t="e">
        <f>IF(Inicial!#REF!="SI",Inicial!#REF!,"N/A")</f>
        <v>#REF!</v>
      </c>
      <c r="H46" s="64" t="e">
        <f>IF(Inicial!#REF!="SI",Inicial!#REF!,"N/A")</f>
        <v>#REF!</v>
      </c>
      <c r="I46" s="66" t="e">
        <f>IF(Inicial!#REF!="SI",Inicial!#REF!,"N/A")</f>
        <v>#REF!</v>
      </c>
      <c r="L46" s="1"/>
      <c r="M46" s="1"/>
      <c r="N46" s="1"/>
      <c r="O46" s="1"/>
      <c r="P46" s="1"/>
      <c r="Q46" s="1"/>
      <c r="R46" s="1"/>
      <c r="S46" s="1"/>
      <c r="T46" s="1"/>
      <c r="U46" s="1"/>
      <c r="X46" s="83" t="str" cm="1">
        <f t="array" ref="X46">IF(OR(J46:W46="NO"),"No aceptable","Aceptable")</f>
        <v>Aceptable</v>
      </c>
      <c r="AN46" s="3" t="str" cm="1">
        <f t="array" ref="AN46">IF(OR(Y46:AM46="NO"),"Critico","No Critico")</f>
        <v>No Critico</v>
      </c>
    </row>
    <row r="47" spans="1:40">
      <c r="A47" s="63" t="e">
        <f>Inicial!#REF!</f>
        <v>#REF!</v>
      </c>
      <c r="B47" s="64" t="e">
        <f>Inicial!#REF!</f>
        <v>#REF!</v>
      </c>
      <c r="C47" s="64" t="e">
        <f>Inicial!#REF!</f>
        <v>#REF!</v>
      </c>
      <c r="D47" s="65" t="e">
        <f>Inicial!#REF!</f>
        <v>#REF!</v>
      </c>
      <c r="E47" s="63" t="e">
        <f>IF(Inicial!#REF!="SI",Inicial!#REF!,"N/A")</f>
        <v>#REF!</v>
      </c>
      <c r="F47" s="64" t="e">
        <f>IF(Inicial!#REF!="SI",Inicial!#REF!,"N/A")</f>
        <v>#REF!</v>
      </c>
      <c r="G47" s="64" t="e">
        <f>IF(Inicial!#REF!="SI",Inicial!#REF!,"N/A")</f>
        <v>#REF!</v>
      </c>
      <c r="H47" s="64" t="e">
        <f>IF(Inicial!#REF!="SI",Inicial!#REF!,"N/A")</f>
        <v>#REF!</v>
      </c>
      <c r="I47" s="66" t="e">
        <f>IF(Inicial!#REF!="SI",Inicial!#REF!,"N/A")</f>
        <v>#REF!</v>
      </c>
      <c r="L47" s="1"/>
      <c r="M47" s="1"/>
      <c r="N47" s="1"/>
      <c r="O47" s="1"/>
      <c r="P47" s="1"/>
      <c r="Q47" s="1"/>
      <c r="R47" s="1"/>
      <c r="S47" s="1"/>
      <c r="T47" s="1"/>
      <c r="U47" s="1"/>
      <c r="X47" s="83" t="str" cm="1">
        <f t="array" ref="X47">IF(OR(J47:W47="NO"),"No aceptable","Aceptable")</f>
        <v>Aceptable</v>
      </c>
      <c r="AN47" s="3" t="str" cm="1">
        <f t="array" ref="AN47">IF(OR(Y47:AM47="NO"),"Critico","No Critico")</f>
        <v>No Critico</v>
      </c>
    </row>
    <row r="48" spans="1:40">
      <c r="A48" s="63">
        <f>Inicial!A10</f>
        <v>0</v>
      </c>
      <c r="B48" s="64">
        <f>Inicial!B10</f>
        <v>0</v>
      </c>
      <c r="C48" s="64">
        <f>Inicial!C10</f>
        <v>0</v>
      </c>
      <c r="D48" s="65">
        <f>Inicial!D10</f>
        <v>0</v>
      </c>
      <c r="E48" s="63" t="str">
        <f>IF(Inicial!N10="SI",Inicial!E10,"N/A")</f>
        <v>N/A</v>
      </c>
      <c r="F48" s="64" t="str">
        <f>IF(Inicial!N10="SI",Inicial!F10,"N/A")</f>
        <v>N/A</v>
      </c>
      <c r="G48" s="64" t="str">
        <f>IF(Inicial!N10="SI",Inicial!G10,"N/A")</f>
        <v>N/A</v>
      </c>
      <c r="H48" s="64" t="str">
        <f>IF(Inicial!N10="SI",Inicial!H10,"N/A")</f>
        <v>N/A</v>
      </c>
      <c r="I48" s="66" t="str">
        <f>IF(Inicial!N10="SI",Inicial!I10,"N/A")</f>
        <v>N/A</v>
      </c>
      <c r="L48" s="1"/>
      <c r="M48" s="1"/>
      <c r="N48" s="1"/>
      <c r="O48" s="1"/>
      <c r="P48" s="1"/>
      <c r="Q48" s="1"/>
      <c r="R48" s="1"/>
      <c r="S48" s="1"/>
      <c r="T48" s="1"/>
      <c r="U48" s="1"/>
      <c r="X48" s="83" t="str" cm="1">
        <f t="array" ref="X48">IF(OR(J48:W48="NO"),"No aceptable","Aceptable")</f>
        <v>Aceptable</v>
      </c>
      <c r="AN48" s="3" t="str" cm="1">
        <f t="array" ref="AN48">IF(OR(Y48:AM48="NO"),"Critico","No Critico")</f>
        <v>No Critico</v>
      </c>
    </row>
    <row r="49" spans="1:40">
      <c r="A49" s="63">
        <f>Inicial!A11</f>
        <v>0</v>
      </c>
      <c r="B49" s="64">
        <f>Inicial!B11</f>
        <v>0</v>
      </c>
      <c r="C49" s="64">
        <f>Inicial!C11</f>
        <v>0</v>
      </c>
      <c r="D49" s="65">
        <f>Inicial!D11</f>
        <v>0</v>
      </c>
      <c r="E49" s="63" t="str">
        <f>IF(Inicial!N11="SI",Inicial!E11,"N/A")</f>
        <v>N/A</v>
      </c>
      <c r="F49" s="64" t="str">
        <f>IF(Inicial!N11="SI",Inicial!F11,"N/A")</f>
        <v>N/A</v>
      </c>
      <c r="G49" s="64" t="str">
        <f>IF(Inicial!N11="SI",Inicial!G11,"N/A")</f>
        <v>N/A</v>
      </c>
      <c r="H49" s="64" t="str">
        <f>IF(Inicial!N11="SI",Inicial!H11,"N/A")</f>
        <v>N/A</v>
      </c>
      <c r="I49" s="66" t="str">
        <f>IF(Inicial!N11="SI",Inicial!I11,"N/A")</f>
        <v>N/A</v>
      </c>
      <c r="L49" s="1"/>
      <c r="M49" s="1"/>
      <c r="N49" s="1"/>
      <c r="O49" s="1"/>
      <c r="P49" s="1"/>
      <c r="Q49" s="1"/>
      <c r="R49" s="1"/>
      <c r="S49" s="1"/>
      <c r="T49" s="1"/>
      <c r="U49" s="1"/>
      <c r="X49" s="83" t="str" cm="1">
        <f t="array" ref="X49">IF(OR(J49:W49="NO"),"No aceptable","Aceptable")</f>
        <v>Aceptable</v>
      </c>
      <c r="AN49" s="3" t="str" cm="1">
        <f t="array" ref="AN49">IF(OR(Y49:AM49="NO"),"Critico","No Critico")</f>
        <v>No Critico</v>
      </c>
    </row>
    <row r="50" spans="1:40">
      <c r="A50" s="63">
        <f>Inicial!A12</f>
        <v>0</v>
      </c>
      <c r="B50" s="64">
        <f>Inicial!B12</f>
        <v>0</v>
      </c>
      <c r="C50" s="64">
        <f>Inicial!C12</f>
        <v>0</v>
      </c>
      <c r="D50" s="65">
        <f>Inicial!D12</f>
        <v>0</v>
      </c>
      <c r="E50" s="63" t="str">
        <f>IF(Inicial!N12="SI",Inicial!E12,"N/A")</f>
        <v>N/A</v>
      </c>
      <c r="F50" s="64" t="str">
        <f>IF(Inicial!N12="SI",Inicial!F12,"N/A")</f>
        <v>N/A</v>
      </c>
      <c r="G50" s="64" t="str">
        <f>IF(Inicial!N12="SI",Inicial!G12,"N/A")</f>
        <v>N/A</v>
      </c>
      <c r="H50" s="64" t="str">
        <f>IF(Inicial!N12="SI",Inicial!H12,"N/A")</f>
        <v>N/A</v>
      </c>
      <c r="I50" s="66" t="str">
        <f>IF(Inicial!N12="SI",Inicial!I12,"N/A")</f>
        <v>N/A</v>
      </c>
      <c r="L50" s="1"/>
      <c r="M50" s="1"/>
      <c r="N50" s="1"/>
      <c r="O50" s="1"/>
      <c r="P50" s="1"/>
      <c r="Q50" s="1"/>
      <c r="R50" s="1"/>
      <c r="S50" s="1"/>
      <c r="T50" s="1"/>
      <c r="U50" s="1"/>
      <c r="X50" s="83" t="str" cm="1">
        <f t="array" ref="X50">IF(OR(J50:W50="NO"),"No aceptable","Aceptable")</f>
        <v>Aceptable</v>
      </c>
      <c r="AN50" s="3" t="str" cm="1">
        <f t="array" ref="AN50">IF(OR(Y50:AM50="NO"),"Critico","No Critico")</f>
        <v>No Critico</v>
      </c>
    </row>
    <row r="51" spans="1:40">
      <c r="A51" s="63">
        <f>Inicial!A13</f>
        <v>0</v>
      </c>
      <c r="B51" s="64">
        <f>Inicial!B13</f>
        <v>0</v>
      </c>
      <c r="C51" s="64">
        <f>Inicial!C13</f>
        <v>0</v>
      </c>
      <c r="D51" s="65">
        <f>Inicial!D13</f>
        <v>0</v>
      </c>
      <c r="E51" s="63" t="str">
        <f>IF(Inicial!N13="SI",Inicial!E13,"N/A")</f>
        <v>N/A</v>
      </c>
      <c r="F51" s="64" t="str">
        <f>IF(Inicial!N13="SI",Inicial!F13,"N/A")</f>
        <v>N/A</v>
      </c>
      <c r="G51" s="64" t="str">
        <f>IF(Inicial!N13="SI",Inicial!G13,"N/A")</f>
        <v>N/A</v>
      </c>
      <c r="H51" s="64" t="str">
        <f>IF(Inicial!N13="SI",Inicial!H13,"N/A")</f>
        <v>N/A</v>
      </c>
      <c r="I51" s="66" t="str">
        <f>IF(Inicial!N13="SI",Inicial!I13,"N/A")</f>
        <v>N/A</v>
      </c>
      <c r="L51" s="1"/>
      <c r="M51" s="1"/>
      <c r="N51" s="1"/>
      <c r="O51" s="1"/>
      <c r="P51" s="1"/>
      <c r="Q51" s="1"/>
      <c r="R51" s="1"/>
      <c r="S51" s="1"/>
      <c r="T51" s="1"/>
      <c r="U51" s="1"/>
      <c r="X51" s="83" t="str" cm="1">
        <f t="array" ref="X51">IF(OR(J51:W51="NO"),"No aceptable","Aceptable")</f>
        <v>Aceptable</v>
      </c>
      <c r="AN51" s="3" t="str" cm="1">
        <f t="array" ref="AN51">IF(OR(Y51:AM51="NO"),"Critico","No Critico")</f>
        <v>No Critico</v>
      </c>
    </row>
    <row r="52" spans="1:40">
      <c r="A52" s="63">
        <f>Inicial!A14</f>
        <v>0</v>
      </c>
      <c r="B52" s="64">
        <f>Inicial!B14</f>
        <v>0</v>
      </c>
      <c r="C52" s="64">
        <f>Inicial!C14</f>
        <v>0</v>
      </c>
      <c r="D52" s="65">
        <f>Inicial!D14</f>
        <v>0</v>
      </c>
      <c r="E52" s="63" t="str">
        <f>IF(Inicial!N14="SI",Inicial!E14,"N/A")</f>
        <v>N/A</v>
      </c>
      <c r="F52" s="64" t="str">
        <f>IF(Inicial!N14="SI",Inicial!F14,"N/A")</f>
        <v>N/A</v>
      </c>
      <c r="G52" s="64" t="str">
        <f>IF(Inicial!N14="SI",Inicial!G14,"N/A")</f>
        <v>N/A</v>
      </c>
      <c r="H52" s="64" t="str">
        <f>IF(Inicial!N14="SI",Inicial!H14,"N/A")</f>
        <v>N/A</v>
      </c>
      <c r="I52" s="66" t="str">
        <f>IF(Inicial!N14="SI",Inicial!I14,"N/A")</f>
        <v>N/A</v>
      </c>
      <c r="L52" s="1"/>
      <c r="M52" s="1"/>
      <c r="N52" s="1"/>
      <c r="O52" s="1"/>
      <c r="P52" s="1"/>
      <c r="Q52" s="1"/>
      <c r="R52" s="1"/>
      <c r="S52" s="1"/>
      <c r="T52" s="1"/>
      <c r="U52" s="1"/>
      <c r="X52" s="83" t="str" cm="1">
        <f t="array" ref="X52">IF(OR(J52:W52="NO"),"No aceptable","Aceptable")</f>
        <v>Aceptable</v>
      </c>
      <c r="AN52" s="3" t="str" cm="1">
        <f t="array" ref="AN52">IF(OR(Y52:AM52="NO"),"Critico","No Critico")</f>
        <v>No Critico</v>
      </c>
    </row>
    <row r="53" spans="1:40">
      <c r="A53" s="63">
        <f>Inicial!A15</f>
        <v>0</v>
      </c>
      <c r="B53" s="64">
        <f>Inicial!B15</f>
        <v>0</v>
      </c>
      <c r="C53" s="64">
        <f>Inicial!C15</f>
        <v>0</v>
      </c>
      <c r="D53" s="65">
        <f>Inicial!D15</f>
        <v>0</v>
      </c>
      <c r="E53" s="63" t="str">
        <f>IF(Inicial!N15="SI",Inicial!E15,"N/A")</f>
        <v>N/A</v>
      </c>
      <c r="F53" s="64" t="str">
        <f>IF(Inicial!N15="SI",Inicial!F15,"N/A")</f>
        <v>N/A</v>
      </c>
      <c r="G53" s="64" t="str">
        <f>IF(Inicial!N15="SI",Inicial!G15,"N/A")</f>
        <v>N/A</v>
      </c>
      <c r="H53" s="64" t="str">
        <f>IF(Inicial!N15="SI",Inicial!H15,"N/A")</f>
        <v>N/A</v>
      </c>
      <c r="I53" s="66" t="str">
        <f>IF(Inicial!N15="SI",Inicial!I15,"N/A")</f>
        <v>N/A</v>
      </c>
      <c r="L53" s="1"/>
      <c r="M53" s="1"/>
      <c r="N53" s="1"/>
      <c r="O53" s="1"/>
      <c r="P53" s="1"/>
      <c r="Q53" s="1"/>
      <c r="R53" s="1"/>
      <c r="S53" s="1"/>
      <c r="T53" s="1"/>
      <c r="U53" s="1"/>
      <c r="X53" s="83" t="str" cm="1">
        <f t="array" ref="X53">IF(OR(J53:W53="NO"),"No aceptable","Aceptable")</f>
        <v>Aceptable</v>
      </c>
      <c r="AN53" s="3" t="str" cm="1">
        <f t="array" ref="AN53">IF(OR(Y53:AM53="NO"),"Critico","No Critico")</f>
        <v>No Critico</v>
      </c>
    </row>
    <row r="54" spans="1:40">
      <c r="A54" s="63">
        <f>Inicial!A16</f>
        <v>0</v>
      </c>
      <c r="B54" s="64">
        <f>Inicial!B16</f>
        <v>0</v>
      </c>
      <c r="C54" s="64">
        <f>Inicial!C16</f>
        <v>0</v>
      </c>
      <c r="D54" s="65">
        <f>Inicial!D16</f>
        <v>0</v>
      </c>
      <c r="E54" s="63" t="str">
        <f>IF(Inicial!N16="SI",Inicial!E16,"N/A")</f>
        <v>N/A</v>
      </c>
      <c r="F54" s="64" t="str">
        <f>IF(Inicial!N16="SI",Inicial!F16,"N/A")</f>
        <v>N/A</v>
      </c>
      <c r="G54" s="64" t="str">
        <f>IF(Inicial!N16="SI",Inicial!G16,"N/A")</f>
        <v>N/A</v>
      </c>
      <c r="H54" s="64" t="str">
        <f>IF(Inicial!N16="SI",Inicial!H16,"N/A")</f>
        <v>N/A</v>
      </c>
      <c r="I54" s="66" t="str">
        <f>IF(Inicial!N16="SI",Inicial!I16,"N/A")</f>
        <v>N/A</v>
      </c>
      <c r="L54" s="1"/>
      <c r="M54" s="1"/>
      <c r="N54" s="1"/>
      <c r="O54" s="1"/>
      <c r="P54" s="1"/>
      <c r="Q54" s="1"/>
      <c r="R54" s="1"/>
      <c r="S54" s="1"/>
      <c r="T54" s="1"/>
      <c r="U54" s="1"/>
      <c r="X54" s="83" t="str" cm="1">
        <f t="array" ref="X54">IF(OR(J54:W54="NO"),"No aceptable","Aceptable")</f>
        <v>Aceptable</v>
      </c>
      <c r="AN54" s="3" t="str" cm="1">
        <f t="array" ref="AN54">IF(OR(Y54:AM54="NO"),"Critico","No Critico")</f>
        <v>No Critico</v>
      </c>
    </row>
    <row r="55" spans="1:40">
      <c r="A55" s="63">
        <f>Inicial!A17</f>
        <v>0</v>
      </c>
      <c r="B55" s="64">
        <f>Inicial!B17</f>
        <v>0</v>
      </c>
      <c r="C55" s="64">
        <f>Inicial!C17</f>
        <v>0</v>
      </c>
      <c r="D55" s="65">
        <f>Inicial!D17</f>
        <v>0</v>
      </c>
      <c r="E55" s="63" t="str">
        <f>IF(Inicial!N17="SI",Inicial!E17,"N/A")</f>
        <v>N/A</v>
      </c>
      <c r="F55" s="64" t="str">
        <f>IF(Inicial!N17="SI",Inicial!F17,"N/A")</f>
        <v>N/A</v>
      </c>
      <c r="G55" s="64" t="str">
        <f>IF(Inicial!N17="SI",Inicial!G17,"N/A")</f>
        <v>N/A</v>
      </c>
      <c r="H55" s="64" t="str">
        <f>IF(Inicial!N17="SI",Inicial!H17,"N/A")</f>
        <v>N/A</v>
      </c>
      <c r="I55" s="66" t="str">
        <f>IF(Inicial!N17="SI",Inicial!I17,"N/A")</f>
        <v>N/A</v>
      </c>
      <c r="L55" s="1"/>
      <c r="M55" s="1"/>
      <c r="N55" s="1"/>
      <c r="O55" s="1"/>
      <c r="P55" s="1"/>
      <c r="Q55" s="1"/>
      <c r="R55" s="1"/>
      <c r="S55" s="1"/>
      <c r="T55" s="1"/>
      <c r="U55" s="1"/>
      <c r="X55" s="83" t="str" cm="1">
        <f t="array" ref="X55">IF(OR(J55:W55="NO"),"No aceptable","Aceptable")</f>
        <v>Aceptable</v>
      </c>
      <c r="AN55" s="3" t="str" cm="1">
        <f t="array" ref="AN55">IF(OR(Y55:AM55="NO"),"Critico","No Critico")</f>
        <v>No Critico</v>
      </c>
    </row>
    <row r="56" spans="1:40">
      <c r="A56" s="63">
        <f>Inicial!A18</f>
        <v>0</v>
      </c>
      <c r="B56" s="64">
        <f>Inicial!B18</f>
        <v>0</v>
      </c>
      <c r="C56" s="64">
        <f>Inicial!C18</f>
        <v>0</v>
      </c>
      <c r="D56" s="65">
        <f>Inicial!D18</f>
        <v>0</v>
      </c>
      <c r="E56" s="63" t="str">
        <f>IF(Inicial!N18="SI",Inicial!E18,"N/A")</f>
        <v>N/A</v>
      </c>
      <c r="F56" s="64" t="str">
        <f>IF(Inicial!N18="SI",Inicial!F18,"N/A")</f>
        <v>N/A</v>
      </c>
      <c r="G56" s="64" t="str">
        <f>IF(Inicial!N18="SI",Inicial!G18,"N/A")</f>
        <v>N/A</v>
      </c>
      <c r="H56" s="64" t="str">
        <f>IF(Inicial!N18="SI",Inicial!H18,"N/A")</f>
        <v>N/A</v>
      </c>
      <c r="I56" s="66" t="str">
        <f>IF(Inicial!N18="SI",Inicial!I18,"N/A")</f>
        <v>N/A</v>
      </c>
      <c r="L56" s="1"/>
      <c r="M56" s="1"/>
      <c r="N56" s="1"/>
      <c r="O56" s="1"/>
      <c r="P56" s="1"/>
      <c r="Q56" s="1"/>
      <c r="R56" s="1"/>
      <c r="S56" s="1"/>
      <c r="T56" s="1"/>
      <c r="U56" s="1"/>
      <c r="X56" s="83" t="str" cm="1">
        <f t="array" ref="X56">IF(OR(J56:W56="NO"),"No aceptable","Aceptable")</f>
        <v>Aceptable</v>
      </c>
      <c r="AN56" s="3" t="str" cm="1">
        <f t="array" ref="AN56">IF(OR(Y56:AM56="NO"),"Critico","No Critico")</f>
        <v>No Critico</v>
      </c>
    </row>
    <row r="57" spans="1:40">
      <c r="A57" s="63">
        <f>Inicial!A19</f>
        <v>0</v>
      </c>
      <c r="B57" s="64">
        <f>Inicial!B19</f>
        <v>0</v>
      </c>
      <c r="C57" s="64">
        <f>Inicial!C19</f>
        <v>0</v>
      </c>
      <c r="D57" s="65">
        <f>Inicial!D19</f>
        <v>0</v>
      </c>
      <c r="E57" s="63" t="str">
        <f>IF(Inicial!N19="SI",Inicial!E19,"N/A")</f>
        <v>N/A</v>
      </c>
      <c r="F57" s="64" t="str">
        <f>IF(Inicial!N19="SI",Inicial!F19,"N/A")</f>
        <v>N/A</v>
      </c>
      <c r="G57" s="64" t="str">
        <f>IF(Inicial!N19="SI",Inicial!G19,"N/A")</f>
        <v>N/A</v>
      </c>
      <c r="H57" s="64" t="str">
        <f>IF(Inicial!N19="SI",Inicial!H19,"N/A")</f>
        <v>N/A</v>
      </c>
      <c r="I57" s="66" t="str">
        <f>IF(Inicial!N19="SI",Inicial!I19,"N/A")</f>
        <v>N/A</v>
      </c>
      <c r="L57" s="1"/>
      <c r="M57" s="1"/>
      <c r="N57" s="1"/>
      <c r="O57" s="1"/>
      <c r="P57" s="1"/>
      <c r="Q57" s="1"/>
      <c r="R57" s="1"/>
      <c r="S57" s="1"/>
      <c r="T57" s="1"/>
      <c r="U57" s="1"/>
      <c r="X57" s="83" t="str" cm="1">
        <f t="array" ref="X57">IF(OR(J57:W57="NO"),"No aceptable","Aceptable")</f>
        <v>Aceptable</v>
      </c>
      <c r="AN57" s="3" t="str" cm="1">
        <f t="array" ref="AN57">IF(OR(Y57:AM57="NO"),"Critico","No Critico")</f>
        <v>No Critico</v>
      </c>
    </row>
    <row r="58" spans="1:40">
      <c r="A58" s="63">
        <f>Inicial!A20</f>
        <v>0</v>
      </c>
      <c r="B58" s="64">
        <f>Inicial!B20</f>
        <v>0</v>
      </c>
      <c r="C58" s="64">
        <f>Inicial!C20</f>
        <v>0</v>
      </c>
      <c r="D58" s="65">
        <f>Inicial!D20</f>
        <v>0</v>
      </c>
      <c r="E58" s="63" t="str">
        <f>IF(Inicial!N20="SI",Inicial!E20,"N/A")</f>
        <v>N/A</v>
      </c>
      <c r="F58" s="64" t="str">
        <f>IF(Inicial!N20="SI",Inicial!F20,"N/A")</f>
        <v>N/A</v>
      </c>
      <c r="G58" s="64" t="str">
        <f>IF(Inicial!N20="SI",Inicial!G20,"N/A")</f>
        <v>N/A</v>
      </c>
      <c r="H58" s="64" t="str">
        <f>IF(Inicial!N20="SI",Inicial!H20,"N/A")</f>
        <v>N/A</v>
      </c>
      <c r="I58" s="66" t="str">
        <f>IF(Inicial!N20="SI",Inicial!I20,"N/A")</f>
        <v>N/A</v>
      </c>
      <c r="L58" s="1"/>
      <c r="M58" s="1"/>
      <c r="N58" s="1"/>
      <c r="O58" s="1"/>
      <c r="P58" s="1"/>
      <c r="Q58" s="1"/>
      <c r="R58" s="1"/>
      <c r="S58" s="1"/>
      <c r="T58" s="1"/>
      <c r="U58" s="1"/>
      <c r="X58" s="83" t="str" cm="1">
        <f t="array" ref="X58">IF(OR(J58:W58="NO"),"No aceptable","Aceptable")</f>
        <v>Aceptable</v>
      </c>
      <c r="AN58" s="3" t="str" cm="1">
        <f t="array" ref="AN58">IF(OR(Y58:AM58="NO"),"Critico","No Critico")</f>
        <v>No Critico</v>
      </c>
    </row>
    <row r="59" spans="1:40">
      <c r="A59" s="63">
        <f>Inicial!A21</f>
        <v>0</v>
      </c>
      <c r="B59" s="64">
        <f>Inicial!B21</f>
        <v>0</v>
      </c>
      <c r="C59" s="64">
        <f>Inicial!C21</f>
        <v>0</v>
      </c>
      <c r="D59" s="65">
        <f>Inicial!D21</f>
        <v>0</v>
      </c>
      <c r="E59" s="63" t="str">
        <f>IF(Inicial!N21="SI",Inicial!E21,"N/A")</f>
        <v>N/A</v>
      </c>
      <c r="F59" s="64" t="str">
        <f>IF(Inicial!N21="SI",Inicial!F21,"N/A")</f>
        <v>N/A</v>
      </c>
      <c r="G59" s="64" t="str">
        <f>IF(Inicial!N21="SI",Inicial!G21,"N/A")</f>
        <v>N/A</v>
      </c>
      <c r="H59" s="64" t="str">
        <f>IF(Inicial!N21="SI",Inicial!H21,"N/A")</f>
        <v>N/A</v>
      </c>
      <c r="I59" s="66" t="str">
        <f>IF(Inicial!N21="SI",Inicial!I21,"N/A")</f>
        <v>N/A</v>
      </c>
      <c r="L59" s="1"/>
      <c r="M59" s="1"/>
      <c r="N59" s="1"/>
      <c r="O59" s="1"/>
      <c r="P59" s="1"/>
      <c r="Q59" s="1"/>
      <c r="R59" s="1"/>
      <c r="S59" s="1"/>
      <c r="T59" s="1"/>
      <c r="U59" s="1"/>
      <c r="X59" s="83" t="str" cm="1">
        <f t="array" ref="X59">IF(OR(J59:W59="NO"),"No aceptable","Aceptable")</f>
        <v>Aceptable</v>
      </c>
      <c r="AN59" s="3" t="str" cm="1">
        <f t="array" ref="AN59">IF(OR(Y59:AM59="NO"),"Critico","No Critico")</f>
        <v>No Critico</v>
      </c>
    </row>
    <row r="60" spans="1:40">
      <c r="A60" s="63">
        <f>Inicial!A22</f>
        <v>0</v>
      </c>
      <c r="B60" s="64">
        <f>Inicial!B22</f>
        <v>0</v>
      </c>
      <c r="C60" s="64">
        <f>Inicial!C22</f>
        <v>0</v>
      </c>
      <c r="D60" s="65">
        <f>Inicial!D22</f>
        <v>0</v>
      </c>
      <c r="E60" s="63" t="str">
        <f>IF(Inicial!N22="SI",Inicial!E22,"N/A")</f>
        <v>N/A</v>
      </c>
      <c r="F60" s="64" t="str">
        <f>IF(Inicial!N22="SI",Inicial!F22,"N/A")</f>
        <v>N/A</v>
      </c>
      <c r="G60" s="64" t="str">
        <f>IF(Inicial!N22="SI",Inicial!G22,"N/A")</f>
        <v>N/A</v>
      </c>
      <c r="H60" s="64" t="str">
        <f>IF(Inicial!N22="SI",Inicial!H22,"N/A")</f>
        <v>N/A</v>
      </c>
      <c r="I60" s="66" t="str">
        <f>IF(Inicial!N22="SI",Inicial!I22,"N/A")</f>
        <v>N/A</v>
      </c>
      <c r="L60" s="1"/>
      <c r="M60" s="1"/>
      <c r="N60" s="1"/>
      <c r="O60" s="1"/>
      <c r="P60" s="1"/>
      <c r="Q60" s="1"/>
      <c r="R60" s="1"/>
      <c r="S60" s="1"/>
      <c r="T60" s="1"/>
      <c r="U60" s="1"/>
      <c r="X60" s="83" t="str" cm="1">
        <f t="array" ref="X60">IF(OR(J60:W60="NO"),"No aceptable","Aceptable")</f>
        <v>Aceptable</v>
      </c>
      <c r="AN60" s="3" t="str" cm="1">
        <f t="array" ref="AN60">IF(OR(Y60:AM60="NO"),"Critico","No Critico")</f>
        <v>No Critico</v>
      </c>
    </row>
    <row r="61" spans="1:40">
      <c r="A61" s="63">
        <f>Inicial!A23</f>
        <v>0</v>
      </c>
      <c r="B61" s="64">
        <f>Inicial!B23</f>
        <v>0</v>
      </c>
      <c r="C61" s="64">
        <f>Inicial!C23</f>
        <v>0</v>
      </c>
      <c r="D61" s="65">
        <f>Inicial!D23</f>
        <v>0</v>
      </c>
      <c r="E61" s="63" t="str">
        <f>IF(Inicial!N23="SI",Inicial!E23,"N/A")</f>
        <v>N/A</v>
      </c>
      <c r="F61" s="64" t="str">
        <f>IF(Inicial!N23="SI",Inicial!F23,"N/A")</f>
        <v>N/A</v>
      </c>
      <c r="G61" s="64" t="str">
        <f>IF(Inicial!N23="SI",Inicial!G23,"N/A")</f>
        <v>N/A</v>
      </c>
      <c r="H61" s="64" t="str">
        <f>IF(Inicial!N23="SI",Inicial!H23,"N/A")</f>
        <v>N/A</v>
      </c>
      <c r="I61" s="66" t="str">
        <f>IF(Inicial!N23="SI",Inicial!I23,"N/A")</f>
        <v>N/A</v>
      </c>
      <c r="L61" s="1"/>
      <c r="M61" s="1"/>
      <c r="N61" s="1"/>
      <c r="O61" s="1"/>
      <c r="P61" s="1"/>
      <c r="Q61" s="1"/>
      <c r="R61" s="1"/>
      <c r="S61" s="1"/>
      <c r="T61" s="1"/>
      <c r="U61" s="1"/>
      <c r="X61" s="83" t="str" cm="1">
        <f t="array" ref="X61">IF(OR(J61:W61="NO"),"No aceptable","Aceptable")</f>
        <v>Aceptable</v>
      </c>
      <c r="AN61" s="3" t="str" cm="1">
        <f t="array" ref="AN61">IF(OR(Y61:AM61="NO"),"Critico","No Critico")</f>
        <v>No Critico</v>
      </c>
    </row>
    <row r="62" spans="1:40">
      <c r="A62" s="63">
        <f>Inicial!A24</f>
        <v>0</v>
      </c>
      <c r="B62" s="64">
        <f>Inicial!B24</f>
        <v>0</v>
      </c>
      <c r="C62" s="64">
        <f>Inicial!C24</f>
        <v>0</v>
      </c>
      <c r="D62" s="65">
        <f>Inicial!D24</f>
        <v>0</v>
      </c>
      <c r="E62" s="63" t="str">
        <f>IF(Inicial!N24="SI",Inicial!E24,"N/A")</f>
        <v>N/A</v>
      </c>
      <c r="F62" s="64" t="str">
        <f>IF(Inicial!N24="SI",Inicial!F24,"N/A")</f>
        <v>N/A</v>
      </c>
      <c r="G62" s="64" t="str">
        <f>IF(Inicial!N24="SI",Inicial!G24,"N/A")</f>
        <v>N/A</v>
      </c>
      <c r="H62" s="64" t="str">
        <f>IF(Inicial!N24="SI",Inicial!H24,"N/A")</f>
        <v>N/A</v>
      </c>
      <c r="I62" s="66" t="str">
        <f>IF(Inicial!N24="SI",Inicial!I24,"N/A")</f>
        <v>N/A</v>
      </c>
      <c r="L62" s="1"/>
      <c r="M62" s="1"/>
      <c r="N62" s="1"/>
      <c r="O62" s="1"/>
      <c r="P62" s="1"/>
      <c r="Q62" s="1"/>
      <c r="R62" s="1"/>
      <c r="S62" s="1"/>
      <c r="T62" s="1"/>
      <c r="U62" s="1"/>
      <c r="X62" s="83" t="str" cm="1">
        <f t="array" ref="X62">IF(OR(J62:W62="NO"),"No aceptable","Aceptable")</f>
        <v>Aceptable</v>
      </c>
      <c r="AN62" s="3" t="str" cm="1">
        <f t="array" ref="AN62">IF(OR(Y62:AM62="NO"),"Critico","No Critico")</f>
        <v>No Critico</v>
      </c>
    </row>
    <row r="63" spans="1:40">
      <c r="A63" s="63">
        <f>Inicial!A25</f>
        <v>0</v>
      </c>
      <c r="B63" s="64">
        <f>Inicial!B25</f>
        <v>0</v>
      </c>
      <c r="C63" s="64">
        <f>Inicial!C25</f>
        <v>0</v>
      </c>
      <c r="D63" s="65">
        <f>Inicial!D25</f>
        <v>0</v>
      </c>
      <c r="E63" s="63" t="str">
        <f>IF(Inicial!N25="SI",Inicial!E25,"N/A")</f>
        <v>N/A</v>
      </c>
      <c r="F63" s="64" t="str">
        <f>IF(Inicial!N25="SI",Inicial!F25,"N/A")</f>
        <v>N/A</v>
      </c>
      <c r="G63" s="64" t="str">
        <f>IF(Inicial!N25="SI",Inicial!G25,"N/A")</f>
        <v>N/A</v>
      </c>
      <c r="H63" s="64" t="str">
        <f>IF(Inicial!N25="SI",Inicial!H25,"N/A")</f>
        <v>N/A</v>
      </c>
      <c r="I63" s="66" t="str">
        <f>IF(Inicial!N25="SI",Inicial!I25,"N/A")</f>
        <v>N/A</v>
      </c>
      <c r="L63" s="1"/>
      <c r="M63" s="1"/>
      <c r="N63" s="1"/>
      <c r="O63" s="1"/>
      <c r="P63" s="1"/>
      <c r="Q63" s="1"/>
      <c r="R63" s="1"/>
      <c r="S63" s="1"/>
      <c r="T63" s="1"/>
      <c r="U63" s="1"/>
      <c r="X63" s="83" t="str" cm="1">
        <f t="array" ref="X63">IF(OR(J63:W63="NO"),"No aceptable","Aceptable")</f>
        <v>Aceptable</v>
      </c>
      <c r="AN63" s="3" t="str" cm="1">
        <f t="array" ref="AN63">IF(OR(Y63:AM63="NO"),"Critico","No Critico")</f>
        <v>No Critico</v>
      </c>
    </row>
    <row r="64" spans="1:40">
      <c r="A64" s="63">
        <f>Inicial!A26</f>
        <v>0</v>
      </c>
      <c r="B64" s="64">
        <f>Inicial!B26</f>
        <v>0</v>
      </c>
      <c r="C64" s="64">
        <f>Inicial!C26</f>
        <v>0</v>
      </c>
      <c r="D64" s="65">
        <f>Inicial!D26</f>
        <v>0</v>
      </c>
      <c r="E64" s="63" t="str">
        <f>IF(Inicial!N26="SI",Inicial!E26,"N/A")</f>
        <v>N/A</v>
      </c>
      <c r="F64" s="64" t="str">
        <f>IF(Inicial!N26="SI",Inicial!F26,"N/A")</f>
        <v>N/A</v>
      </c>
      <c r="G64" s="64" t="str">
        <f>IF(Inicial!N26="SI",Inicial!G26,"N/A")</f>
        <v>N/A</v>
      </c>
      <c r="H64" s="64" t="str">
        <f>IF(Inicial!N26="SI",Inicial!H26,"N/A")</f>
        <v>N/A</v>
      </c>
      <c r="I64" s="66" t="str">
        <f>IF(Inicial!N26="SI",Inicial!I26,"N/A")</f>
        <v>N/A</v>
      </c>
      <c r="L64" s="1"/>
      <c r="M64" s="1"/>
      <c r="N64" s="1"/>
      <c r="O64" s="1"/>
      <c r="P64" s="1"/>
      <c r="Q64" s="1"/>
      <c r="R64" s="1"/>
      <c r="S64" s="1"/>
      <c r="T64" s="1"/>
      <c r="U64" s="1"/>
      <c r="X64" s="83" t="str" cm="1">
        <f t="array" ref="X64">IF(OR(J64:W64="NO"),"No aceptable","Aceptable")</f>
        <v>Aceptable</v>
      </c>
      <c r="AN64" s="3" t="str" cm="1">
        <f t="array" ref="AN64">IF(OR(Y64:AM64="NO"),"Critico","No Critico")</f>
        <v>No Critico</v>
      </c>
    </row>
    <row r="65" spans="1:40">
      <c r="A65" s="63">
        <f>Inicial!A27</f>
        <v>0</v>
      </c>
      <c r="B65" s="64">
        <f>Inicial!B27</f>
        <v>0</v>
      </c>
      <c r="C65" s="64">
        <f>Inicial!C27</f>
        <v>0</v>
      </c>
      <c r="D65" s="65">
        <f>Inicial!D27</f>
        <v>0</v>
      </c>
      <c r="E65" s="63" t="str">
        <f>IF(Inicial!N27="SI",Inicial!E27,"N/A")</f>
        <v>N/A</v>
      </c>
      <c r="F65" s="64" t="str">
        <f>IF(Inicial!N27="SI",Inicial!F27,"N/A")</f>
        <v>N/A</v>
      </c>
      <c r="G65" s="64" t="str">
        <f>IF(Inicial!N27="SI",Inicial!G27,"N/A")</f>
        <v>N/A</v>
      </c>
      <c r="H65" s="64" t="str">
        <f>IF(Inicial!N27="SI",Inicial!H27,"N/A")</f>
        <v>N/A</v>
      </c>
      <c r="I65" s="66" t="str">
        <f>IF(Inicial!N27="SI",Inicial!I27,"N/A")</f>
        <v>N/A</v>
      </c>
      <c r="L65" s="1"/>
      <c r="M65" s="1"/>
      <c r="N65" s="1"/>
      <c r="O65" s="1"/>
      <c r="P65" s="1"/>
      <c r="Q65" s="1"/>
      <c r="R65" s="1"/>
      <c r="S65" s="1"/>
      <c r="T65" s="1"/>
      <c r="U65" s="1"/>
      <c r="X65" s="83" t="str" cm="1">
        <f t="array" ref="X65">IF(OR(J65:W65="NO"),"No aceptable","Aceptable")</f>
        <v>Aceptable</v>
      </c>
      <c r="AN65" s="3" t="str" cm="1">
        <f t="array" ref="AN65">IF(OR(Y65:AM65="NO"),"Critico","No Critico")</f>
        <v>No Critico</v>
      </c>
    </row>
    <row r="66" spans="1:40">
      <c r="A66" s="63">
        <f>Inicial!A28</f>
        <v>0</v>
      </c>
      <c r="B66" s="64">
        <f>Inicial!B28</f>
        <v>0</v>
      </c>
      <c r="C66" s="64">
        <f>Inicial!C28</f>
        <v>0</v>
      </c>
      <c r="D66" s="65">
        <f>Inicial!D28</f>
        <v>0</v>
      </c>
      <c r="E66" s="63" t="str">
        <f>IF(Inicial!N28="SI",Inicial!E28,"N/A")</f>
        <v>N/A</v>
      </c>
      <c r="F66" s="64" t="str">
        <f>IF(Inicial!N28="SI",Inicial!F28,"N/A")</f>
        <v>N/A</v>
      </c>
      <c r="G66" s="64" t="str">
        <f>IF(Inicial!N28="SI",Inicial!G28,"N/A")</f>
        <v>N/A</v>
      </c>
      <c r="H66" s="64" t="str">
        <f>IF(Inicial!N28="SI",Inicial!H28,"N/A")</f>
        <v>N/A</v>
      </c>
      <c r="I66" s="66" t="str">
        <f>IF(Inicial!N28="SI",Inicial!I28,"N/A")</f>
        <v>N/A</v>
      </c>
      <c r="L66" s="1"/>
      <c r="M66" s="1"/>
      <c r="N66" s="1"/>
      <c r="O66" s="1"/>
      <c r="P66" s="1"/>
      <c r="Q66" s="1"/>
      <c r="R66" s="1"/>
      <c r="S66" s="1"/>
      <c r="T66" s="1"/>
      <c r="U66" s="1"/>
      <c r="X66" s="83" t="str" cm="1">
        <f t="array" ref="X66">IF(OR(J66:W66="NO"),"No aceptable","Aceptable")</f>
        <v>Aceptable</v>
      </c>
      <c r="AN66" s="3" t="str" cm="1">
        <f t="array" ref="AN66">IF(OR(Y66:AM66="NO"),"Critico","No Critico")</f>
        <v>No Critico</v>
      </c>
    </row>
    <row r="67" spans="1:40">
      <c r="A67" s="63">
        <f>Inicial!A29</f>
        <v>0</v>
      </c>
      <c r="B67" s="64">
        <f>Inicial!B29</f>
        <v>0</v>
      </c>
      <c r="C67" s="64">
        <f>Inicial!C29</f>
        <v>0</v>
      </c>
      <c r="D67" s="65">
        <f>Inicial!D29</f>
        <v>0</v>
      </c>
      <c r="E67" s="63" t="str">
        <f>IF(Inicial!N29="SI",Inicial!E29,"N/A")</f>
        <v>N/A</v>
      </c>
      <c r="F67" s="64" t="str">
        <f>IF(Inicial!N29="SI",Inicial!F29,"N/A")</f>
        <v>N/A</v>
      </c>
      <c r="G67" s="64" t="str">
        <f>IF(Inicial!N29="SI",Inicial!G29,"N/A")</f>
        <v>N/A</v>
      </c>
      <c r="H67" s="64" t="str">
        <f>IF(Inicial!N29="SI",Inicial!H29,"N/A")</f>
        <v>N/A</v>
      </c>
      <c r="I67" s="66" t="str">
        <f>IF(Inicial!N29="SI",Inicial!I29,"N/A")</f>
        <v>N/A</v>
      </c>
      <c r="L67" s="1"/>
      <c r="M67" s="1"/>
      <c r="N67" s="1"/>
      <c r="O67" s="1"/>
      <c r="P67" s="1"/>
      <c r="Q67" s="1"/>
      <c r="R67" s="1"/>
      <c r="S67" s="1"/>
      <c r="T67" s="1"/>
      <c r="U67" s="1"/>
      <c r="X67" s="83" t="str" cm="1">
        <f t="array" ref="X67">IF(OR(J67:W67="NO"),"No aceptable","Aceptable")</f>
        <v>Aceptable</v>
      </c>
      <c r="AN67" s="3" t="str" cm="1">
        <f t="array" ref="AN67">IF(OR(Y67:AM67="NO"),"Critico","No Critico")</f>
        <v>No Critico</v>
      </c>
    </row>
    <row r="68" spans="1:40">
      <c r="A68" s="63">
        <f>Inicial!A30</f>
        <v>0</v>
      </c>
      <c r="B68" s="64">
        <f>Inicial!B30</f>
        <v>0</v>
      </c>
      <c r="C68" s="64">
        <f>Inicial!C30</f>
        <v>0</v>
      </c>
      <c r="D68" s="65">
        <f>Inicial!D30</f>
        <v>0</v>
      </c>
      <c r="E68" s="63" t="str">
        <f>IF(Inicial!N30="SI",Inicial!E30,"N/A")</f>
        <v>N/A</v>
      </c>
      <c r="F68" s="64" t="str">
        <f>IF(Inicial!N30="SI",Inicial!F30,"N/A")</f>
        <v>N/A</v>
      </c>
      <c r="G68" s="64" t="str">
        <f>IF(Inicial!N30="SI",Inicial!G30,"N/A")</f>
        <v>N/A</v>
      </c>
      <c r="H68" s="64" t="str">
        <f>IF(Inicial!N30="SI",Inicial!H30,"N/A")</f>
        <v>N/A</v>
      </c>
      <c r="I68" s="66" t="str">
        <f>IF(Inicial!N30="SI",Inicial!I30,"N/A")</f>
        <v>N/A</v>
      </c>
      <c r="L68" s="1"/>
      <c r="M68" s="1"/>
      <c r="N68" s="1"/>
      <c r="O68" s="1"/>
      <c r="P68" s="1"/>
      <c r="Q68" s="1"/>
      <c r="R68" s="1"/>
      <c r="S68" s="1"/>
      <c r="T68" s="1"/>
      <c r="U68" s="1"/>
      <c r="X68" s="83" t="str" cm="1">
        <f t="array" ref="X68">IF(OR(J68:W68="NO"),"No aceptable","Aceptable")</f>
        <v>Aceptable</v>
      </c>
      <c r="AN68" s="3" t="str" cm="1">
        <f t="array" ref="AN68">IF(OR(Y68:AM68="NO"),"Critico","No Critico")</f>
        <v>No Critico</v>
      </c>
    </row>
    <row r="69" spans="1:40">
      <c r="A69" s="63">
        <f>Inicial!A31</f>
        <v>0</v>
      </c>
      <c r="B69" s="64">
        <f>Inicial!B31</f>
        <v>0</v>
      </c>
      <c r="C69" s="64">
        <f>Inicial!C31</f>
        <v>0</v>
      </c>
      <c r="D69" s="65">
        <f>Inicial!D31</f>
        <v>0</v>
      </c>
      <c r="E69" s="63" t="str">
        <f>IF(Inicial!N31="SI",Inicial!E31,"N/A")</f>
        <v>N/A</v>
      </c>
      <c r="F69" s="64" t="str">
        <f>IF(Inicial!N31="SI",Inicial!F31,"N/A")</f>
        <v>N/A</v>
      </c>
      <c r="G69" s="64" t="str">
        <f>IF(Inicial!N31="SI",Inicial!G31,"N/A")</f>
        <v>N/A</v>
      </c>
      <c r="H69" s="64" t="str">
        <f>IF(Inicial!N31="SI",Inicial!H31,"N/A")</f>
        <v>N/A</v>
      </c>
      <c r="I69" s="66" t="str">
        <f>IF(Inicial!N31="SI",Inicial!I31,"N/A")</f>
        <v>N/A</v>
      </c>
      <c r="L69" s="1"/>
      <c r="M69" s="1"/>
      <c r="N69" s="1"/>
      <c r="O69" s="1"/>
      <c r="P69" s="1"/>
      <c r="Q69" s="1"/>
      <c r="R69" s="1"/>
      <c r="S69" s="1"/>
      <c r="T69" s="1"/>
      <c r="U69" s="1"/>
      <c r="X69" s="83" t="str" cm="1">
        <f t="array" ref="X69">IF(OR(J69:W69="NO"),"No aceptable","Aceptable")</f>
        <v>Aceptable</v>
      </c>
      <c r="AN69" s="3" t="str" cm="1">
        <f t="array" ref="AN69">IF(OR(Y69:AM69="NO"),"Critico","No Critico")</f>
        <v>No Critico</v>
      </c>
    </row>
    <row r="70" spans="1:40">
      <c r="A70" s="63">
        <f>Inicial!A32</f>
        <v>0</v>
      </c>
      <c r="B70" s="64">
        <f>Inicial!B32</f>
        <v>0</v>
      </c>
      <c r="C70" s="64">
        <f>Inicial!C32</f>
        <v>0</v>
      </c>
      <c r="D70" s="65">
        <f>Inicial!D32</f>
        <v>0</v>
      </c>
      <c r="E70" s="63" t="str">
        <f>IF(Inicial!N32="SI",Inicial!E32,"N/A")</f>
        <v>N/A</v>
      </c>
      <c r="F70" s="64" t="str">
        <f>IF(Inicial!N32="SI",Inicial!F32,"N/A")</f>
        <v>N/A</v>
      </c>
      <c r="G70" s="64" t="str">
        <f>IF(Inicial!N32="SI",Inicial!G32,"N/A")</f>
        <v>N/A</v>
      </c>
      <c r="H70" s="64" t="str">
        <f>IF(Inicial!N32="SI",Inicial!H32,"N/A")</f>
        <v>N/A</v>
      </c>
      <c r="I70" s="66" t="str">
        <f>IF(Inicial!N32="SI",Inicial!I32,"N/A")</f>
        <v>N/A</v>
      </c>
      <c r="L70" s="1"/>
      <c r="M70" s="1"/>
      <c r="N70" s="1"/>
      <c r="O70" s="1"/>
      <c r="P70" s="1"/>
      <c r="Q70" s="1"/>
      <c r="R70" s="1"/>
      <c r="S70" s="1"/>
      <c r="T70" s="1"/>
      <c r="U70" s="1"/>
      <c r="X70" s="83" t="str" cm="1">
        <f t="array" ref="X70">IF(OR(J70:W70="NO"),"No aceptable","Aceptable")</f>
        <v>Aceptable</v>
      </c>
      <c r="AN70" s="3" t="str" cm="1">
        <f t="array" ref="AN70">IF(OR(Y70:AM70="NO"),"Critico","No Critico")</f>
        <v>No Critico</v>
      </c>
    </row>
    <row r="71" spans="1:40">
      <c r="A71" s="63">
        <f>Inicial!A33</f>
        <v>0</v>
      </c>
      <c r="B71" s="64">
        <f>Inicial!B33</f>
        <v>0</v>
      </c>
      <c r="C71" s="64">
        <f>Inicial!C33</f>
        <v>0</v>
      </c>
      <c r="D71" s="65">
        <f>Inicial!D33</f>
        <v>0</v>
      </c>
      <c r="E71" s="63" t="str">
        <f>IF(Inicial!N33="SI",Inicial!E33,"N/A")</f>
        <v>N/A</v>
      </c>
      <c r="F71" s="64" t="str">
        <f>IF(Inicial!N33="SI",Inicial!F33,"N/A")</f>
        <v>N/A</v>
      </c>
      <c r="G71" s="64" t="str">
        <f>IF(Inicial!N33="SI",Inicial!G33,"N/A")</f>
        <v>N/A</v>
      </c>
      <c r="H71" s="64" t="str">
        <f>IF(Inicial!N33="SI",Inicial!H33,"N/A")</f>
        <v>N/A</v>
      </c>
      <c r="I71" s="66" t="str">
        <f>IF(Inicial!N33="SI",Inicial!I33,"N/A")</f>
        <v>N/A</v>
      </c>
      <c r="L71" s="1"/>
      <c r="M71" s="1"/>
      <c r="N71" s="1"/>
      <c r="O71" s="1"/>
      <c r="P71" s="1"/>
      <c r="Q71" s="1"/>
      <c r="R71" s="1"/>
      <c r="S71" s="1"/>
      <c r="T71" s="1"/>
      <c r="U71" s="1"/>
      <c r="X71" s="83" t="str" cm="1">
        <f t="array" ref="X71">IF(OR(J71:W71="NO"),"No aceptable","Aceptable")</f>
        <v>Aceptable</v>
      </c>
      <c r="AN71" s="3" t="str" cm="1">
        <f t="array" ref="AN71">IF(OR(Y71:AM71="NO"),"Critico","No Critico")</f>
        <v>No Critico</v>
      </c>
    </row>
    <row r="72" spans="1:40">
      <c r="A72" s="63">
        <f>Inicial!A34</f>
        <v>0</v>
      </c>
      <c r="B72" s="64">
        <f>Inicial!B34</f>
        <v>0</v>
      </c>
      <c r="C72" s="64">
        <f>Inicial!C34</f>
        <v>0</v>
      </c>
      <c r="D72" s="65">
        <f>Inicial!D34</f>
        <v>0</v>
      </c>
      <c r="E72" s="63" t="str">
        <f>IF(Inicial!N34="SI",Inicial!E34,"N/A")</f>
        <v>N/A</v>
      </c>
      <c r="F72" s="64" t="str">
        <f>IF(Inicial!N34="SI",Inicial!F34,"N/A")</f>
        <v>N/A</v>
      </c>
      <c r="G72" s="64" t="str">
        <f>IF(Inicial!N34="SI",Inicial!G34,"N/A")</f>
        <v>N/A</v>
      </c>
      <c r="H72" s="64" t="str">
        <f>IF(Inicial!N34="SI",Inicial!H34,"N/A")</f>
        <v>N/A</v>
      </c>
      <c r="I72" s="66" t="str">
        <f>IF(Inicial!N34="SI",Inicial!I34,"N/A")</f>
        <v>N/A</v>
      </c>
      <c r="L72" s="1"/>
      <c r="M72" s="1"/>
      <c r="N72" s="1"/>
      <c r="O72" s="1"/>
      <c r="P72" s="1"/>
      <c r="Q72" s="1"/>
      <c r="R72" s="1"/>
      <c r="S72" s="1"/>
      <c r="T72" s="1"/>
      <c r="U72" s="1"/>
      <c r="X72" s="83" t="str" cm="1">
        <f t="array" ref="X72">IF(OR(J72:W72="NO"),"No aceptable","Aceptable")</f>
        <v>Aceptable</v>
      </c>
      <c r="AN72" s="3" t="str" cm="1">
        <f t="array" ref="AN72">IF(OR(Y72:AM72="NO"),"Critico","No Critico")</f>
        <v>No Critico</v>
      </c>
    </row>
    <row r="73" spans="1:40">
      <c r="A73" s="63">
        <f>Inicial!A35</f>
        <v>0</v>
      </c>
      <c r="B73" s="64">
        <f>Inicial!B35</f>
        <v>0</v>
      </c>
      <c r="C73" s="64">
        <f>Inicial!C35</f>
        <v>0</v>
      </c>
      <c r="D73" s="65">
        <f>Inicial!D35</f>
        <v>0</v>
      </c>
      <c r="E73" s="63" t="str">
        <f>IF(Inicial!N35="SI",Inicial!E35,"N/A")</f>
        <v>N/A</v>
      </c>
      <c r="F73" s="64" t="str">
        <f>IF(Inicial!N35="SI",Inicial!F35,"N/A")</f>
        <v>N/A</v>
      </c>
      <c r="G73" s="64" t="str">
        <f>IF(Inicial!N35="SI",Inicial!G35,"N/A")</f>
        <v>N/A</v>
      </c>
      <c r="H73" s="64" t="str">
        <f>IF(Inicial!N35="SI",Inicial!H35,"N/A")</f>
        <v>N/A</v>
      </c>
      <c r="I73" s="66" t="str">
        <f>IF(Inicial!N35="SI",Inicial!I35,"N/A")</f>
        <v>N/A</v>
      </c>
      <c r="L73" s="1"/>
      <c r="M73" s="1"/>
      <c r="N73" s="1"/>
      <c r="O73" s="1"/>
      <c r="P73" s="1"/>
      <c r="Q73" s="1"/>
      <c r="R73" s="1"/>
      <c r="S73" s="1"/>
      <c r="T73" s="1"/>
      <c r="U73" s="1"/>
      <c r="X73" s="83" t="str" cm="1">
        <f t="array" ref="X73">IF(OR(J73:W73="NO"),"No aceptable","Aceptable")</f>
        <v>Aceptable</v>
      </c>
      <c r="AN73" s="3" t="str" cm="1">
        <f t="array" ref="AN73">IF(OR(Y73:AM73="NO"),"Critico","No Critico")</f>
        <v>No Critico</v>
      </c>
    </row>
    <row r="74" spans="1:40">
      <c r="A74" s="63">
        <f>Inicial!A36</f>
        <v>0</v>
      </c>
      <c r="B74" s="64">
        <f>Inicial!B36</f>
        <v>0</v>
      </c>
      <c r="C74" s="64">
        <f>Inicial!C36</f>
        <v>0</v>
      </c>
      <c r="D74" s="65">
        <f>Inicial!D36</f>
        <v>0</v>
      </c>
      <c r="E74" s="63" t="str">
        <f>IF(Inicial!N36="SI",Inicial!E36,"N/A")</f>
        <v>N/A</v>
      </c>
      <c r="F74" s="64" t="str">
        <f>IF(Inicial!N36="SI",Inicial!F36,"N/A")</f>
        <v>N/A</v>
      </c>
      <c r="G74" s="64" t="str">
        <f>IF(Inicial!N36="SI",Inicial!G36,"N/A")</f>
        <v>N/A</v>
      </c>
      <c r="H74" s="64" t="str">
        <f>IF(Inicial!N36="SI",Inicial!H36,"N/A")</f>
        <v>N/A</v>
      </c>
      <c r="I74" s="66" t="str">
        <f>IF(Inicial!N36="SI",Inicial!I36,"N/A")</f>
        <v>N/A</v>
      </c>
      <c r="L74" s="1"/>
      <c r="M74" s="1"/>
      <c r="N74" s="1"/>
      <c r="O74" s="1"/>
      <c r="P74" s="1"/>
      <c r="Q74" s="1"/>
      <c r="R74" s="1"/>
      <c r="S74" s="1"/>
      <c r="T74" s="1"/>
      <c r="U74" s="1"/>
      <c r="X74" s="83" t="str" cm="1">
        <f t="array" ref="X74">IF(OR(J74:W74="NO"),"No aceptable","Aceptable")</f>
        <v>Aceptable</v>
      </c>
      <c r="AN74" s="3" t="str" cm="1">
        <f t="array" ref="AN74">IF(OR(Y74:AM74="NO"),"Critico","No Critico")</f>
        <v>No Critico</v>
      </c>
    </row>
    <row r="75" spans="1:40">
      <c r="A75" s="63">
        <f>Inicial!A37</f>
        <v>0</v>
      </c>
      <c r="B75" s="64">
        <f>Inicial!B37</f>
        <v>0</v>
      </c>
      <c r="C75" s="64">
        <f>Inicial!C37</f>
        <v>0</v>
      </c>
      <c r="D75" s="65">
        <f>Inicial!D37</f>
        <v>0</v>
      </c>
      <c r="E75" s="63" t="str">
        <f>IF(Inicial!N37="SI",Inicial!E37,"N/A")</f>
        <v>N/A</v>
      </c>
      <c r="F75" s="64" t="str">
        <f>IF(Inicial!N37="SI",Inicial!F37,"N/A")</f>
        <v>N/A</v>
      </c>
      <c r="G75" s="64" t="str">
        <f>IF(Inicial!N37="SI",Inicial!G37,"N/A")</f>
        <v>N/A</v>
      </c>
      <c r="H75" s="64" t="str">
        <f>IF(Inicial!N37="SI",Inicial!H37,"N/A")</f>
        <v>N/A</v>
      </c>
      <c r="I75" s="66" t="str">
        <f>IF(Inicial!N37="SI",Inicial!I37,"N/A")</f>
        <v>N/A</v>
      </c>
      <c r="L75" s="1"/>
      <c r="M75" s="1"/>
      <c r="N75" s="1"/>
      <c r="O75" s="1"/>
      <c r="P75" s="1"/>
      <c r="Q75" s="1"/>
      <c r="R75" s="1"/>
      <c r="S75" s="1"/>
      <c r="T75" s="1"/>
      <c r="U75" s="1"/>
      <c r="X75" s="83" t="str" cm="1">
        <f t="array" ref="X75">IF(OR(J75:W75="NO"),"No aceptable","Aceptable")</f>
        <v>Aceptable</v>
      </c>
      <c r="AN75" s="3" t="str" cm="1">
        <f t="array" ref="AN75">IF(OR(Y75:AM75="NO"),"Critico","No Critico")</f>
        <v>No Critico</v>
      </c>
    </row>
    <row r="76" spans="1:40">
      <c r="A76" s="63">
        <f>Inicial!A38</f>
        <v>0</v>
      </c>
      <c r="B76" s="64">
        <f>Inicial!B38</f>
        <v>0</v>
      </c>
      <c r="C76" s="64">
        <f>Inicial!C38</f>
        <v>0</v>
      </c>
      <c r="D76" s="65">
        <f>Inicial!D38</f>
        <v>0</v>
      </c>
      <c r="E76" s="63" t="str">
        <f>IF(Inicial!N38="SI",Inicial!E38,"N/A")</f>
        <v>N/A</v>
      </c>
      <c r="F76" s="64" t="str">
        <f>IF(Inicial!N38="SI",Inicial!F38,"N/A")</f>
        <v>N/A</v>
      </c>
      <c r="G76" s="64" t="str">
        <f>IF(Inicial!N38="SI",Inicial!G38,"N/A")</f>
        <v>N/A</v>
      </c>
      <c r="H76" s="64" t="str">
        <f>IF(Inicial!N38="SI",Inicial!H38,"N/A")</f>
        <v>N/A</v>
      </c>
      <c r="I76" s="66" t="str">
        <f>IF(Inicial!N38="SI",Inicial!I38,"N/A")</f>
        <v>N/A</v>
      </c>
      <c r="L76" s="1"/>
      <c r="M76" s="1"/>
      <c r="N76" s="1"/>
      <c r="O76" s="1"/>
      <c r="P76" s="1"/>
      <c r="Q76" s="1"/>
      <c r="R76" s="1"/>
      <c r="S76" s="1"/>
      <c r="T76" s="1"/>
      <c r="U76" s="1"/>
      <c r="X76" s="83" t="str" cm="1">
        <f t="array" ref="X76">IF(OR(J76:W76="NO"),"No aceptable","Aceptable")</f>
        <v>Aceptable</v>
      </c>
      <c r="AN76" s="3" t="str" cm="1">
        <f t="array" ref="AN76">IF(OR(Y76:AM76="NO"),"Critico","No Critico")</f>
        <v>No Critico</v>
      </c>
    </row>
    <row r="77" spans="1:40">
      <c r="A77" s="63">
        <f>Inicial!A39</f>
        <v>0</v>
      </c>
      <c r="B77" s="64">
        <f>Inicial!B39</f>
        <v>0</v>
      </c>
      <c r="C77" s="64">
        <f>Inicial!C39</f>
        <v>0</v>
      </c>
      <c r="D77" s="65">
        <f>Inicial!D39</f>
        <v>0</v>
      </c>
      <c r="E77" s="63" t="str">
        <f>IF(Inicial!N39="SI",Inicial!E39,"N/A")</f>
        <v>N/A</v>
      </c>
      <c r="F77" s="64" t="str">
        <f>IF(Inicial!N39="SI",Inicial!F39,"N/A")</f>
        <v>N/A</v>
      </c>
      <c r="G77" s="64" t="str">
        <f>IF(Inicial!N39="SI",Inicial!G39,"N/A")</f>
        <v>N/A</v>
      </c>
      <c r="H77" s="64" t="str">
        <f>IF(Inicial!N39="SI",Inicial!H39,"N/A")</f>
        <v>N/A</v>
      </c>
      <c r="I77" s="66" t="str">
        <f>IF(Inicial!N39="SI",Inicial!I39,"N/A")</f>
        <v>N/A</v>
      </c>
      <c r="L77" s="1"/>
      <c r="M77" s="1"/>
      <c r="N77" s="1"/>
      <c r="O77" s="1"/>
      <c r="P77" s="1"/>
      <c r="Q77" s="1"/>
      <c r="R77" s="1"/>
      <c r="S77" s="1"/>
      <c r="T77" s="1"/>
      <c r="U77" s="1"/>
      <c r="X77" s="83" t="str" cm="1">
        <f t="array" ref="X77">IF(OR(J77:W77="NO"),"No aceptable","Aceptable")</f>
        <v>Aceptable</v>
      </c>
      <c r="AN77" s="3" t="str" cm="1">
        <f t="array" ref="AN77">IF(OR(Y77:AM77="NO"),"Critico","No Critico")</f>
        <v>No Critico</v>
      </c>
    </row>
    <row r="78" spans="1:40">
      <c r="A78" s="63">
        <f>Inicial!A40</f>
        <v>0</v>
      </c>
      <c r="B78" s="64">
        <f>Inicial!B40</f>
        <v>0</v>
      </c>
      <c r="C78" s="64">
        <f>Inicial!C40</f>
        <v>0</v>
      </c>
      <c r="D78" s="65">
        <f>Inicial!D40</f>
        <v>0</v>
      </c>
      <c r="E78" s="63" t="str">
        <f>IF(Inicial!N40="SI",Inicial!E40,"N/A")</f>
        <v>N/A</v>
      </c>
      <c r="F78" s="64" t="str">
        <f>IF(Inicial!N40="SI",Inicial!F40,"N/A")</f>
        <v>N/A</v>
      </c>
      <c r="G78" s="64" t="str">
        <f>IF(Inicial!N40="SI",Inicial!G40,"N/A")</f>
        <v>N/A</v>
      </c>
      <c r="H78" s="64" t="str">
        <f>IF(Inicial!N40="SI",Inicial!H40,"N/A")</f>
        <v>N/A</v>
      </c>
      <c r="I78" s="66" t="str">
        <f>IF(Inicial!N40="SI",Inicial!I40,"N/A")</f>
        <v>N/A</v>
      </c>
      <c r="L78" s="1"/>
      <c r="M78" s="1"/>
      <c r="N78" s="1"/>
      <c r="O78" s="1"/>
      <c r="P78" s="1"/>
      <c r="Q78" s="1"/>
      <c r="R78" s="1"/>
      <c r="S78" s="1"/>
      <c r="T78" s="1"/>
      <c r="U78" s="1"/>
      <c r="X78" s="83" t="str" cm="1">
        <f t="array" ref="X78">IF(OR(J78:W78="NO"),"No aceptable","Aceptable")</f>
        <v>Aceptable</v>
      </c>
      <c r="AN78" s="3" t="str" cm="1">
        <f t="array" ref="AN78">IF(OR(Y78:AM78="NO"),"Critico","No Critico")</f>
        <v>No Critico</v>
      </c>
    </row>
    <row r="79" spans="1:40">
      <c r="A79" s="63">
        <f>Inicial!A41</f>
        <v>0</v>
      </c>
      <c r="B79" s="64">
        <f>Inicial!B41</f>
        <v>0</v>
      </c>
      <c r="C79" s="64">
        <f>Inicial!C41</f>
        <v>0</v>
      </c>
      <c r="D79" s="65">
        <f>Inicial!D41</f>
        <v>0</v>
      </c>
      <c r="E79" s="63" t="str">
        <f>IF(Inicial!N41="SI",Inicial!E41,"N/A")</f>
        <v>N/A</v>
      </c>
      <c r="F79" s="64" t="str">
        <f>IF(Inicial!N41="SI",Inicial!F41,"N/A")</f>
        <v>N/A</v>
      </c>
      <c r="G79" s="64" t="str">
        <f>IF(Inicial!N41="SI",Inicial!G41,"N/A")</f>
        <v>N/A</v>
      </c>
      <c r="H79" s="64" t="str">
        <f>IF(Inicial!N41="SI",Inicial!H41,"N/A")</f>
        <v>N/A</v>
      </c>
      <c r="I79" s="66" t="str">
        <f>IF(Inicial!N41="SI",Inicial!I41,"N/A")</f>
        <v>N/A</v>
      </c>
      <c r="L79" s="1"/>
      <c r="M79" s="1"/>
      <c r="N79" s="1"/>
      <c r="O79" s="1"/>
      <c r="P79" s="1"/>
      <c r="Q79" s="1"/>
      <c r="R79" s="1"/>
      <c r="S79" s="1"/>
      <c r="T79" s="1"/>
      <c r="U79" s="1"/>
      <c r="X79" s="83" t="str" cm="1">
        <f t="array" ref="X79">IF(OR(J79:W79="NO"),"No aceptable","Aceptable")</f>
        <v>Aceptable</v>
      </c>
      <c r="AN79" s="3" t="str" cm="1">
        <f t="array" ref="AN79">IF(OR(Y79:AM79="NO"),"Critico","No Critico")</f>
        <v>No Critico</v>
      </c>
    </row>
    <row r="80" spans="1:40">
      <c r="A80" s="63">
        <f>Inicial!A42</f>
        <v>0</v>
      </c>
      <c r="B80" s="64">
        <f>Inicial!B42</f>
        <v>0</v>
      </c>
      <c r="C80" s="64">
        <f>Inicial!C42</f>
        <v>0</v>
      </c>
      <c r="D80" s="65">
        <f>Inicial!D42</f>
        <v>0</v>
      </c>
      <c r="E80" s="63" t="str">
        <f>IF(Inicial!N42="SI",Inicial!E42,"N/A")</f>
        <v>N/A</v>
      </c>
      <c r="F80" s="64" t="str">
        <f>IF(Inicial!N42="SI",Inicial!F42,"N/A")</f>
        <v>N/A</v>
      </c>
      <c r="G80" s="64" t="str">
        <f>IF(Inicial!N42="SI",Inicial!G42,"N/A")</f>
        <v>N/A</v>
      </c>
      <c r="H80" s="64" t="str">
        <f>IF(Inicial!N42="SI",Inicial!H42,"N/A")</f>
        <v>N/A</v>
      </c>
      <c r="I80" s="66" t="str">
        <f>IF(Inicial!N42="SI",Inicial!I42,"N/A")</f>
        <v>N/A</v>
      </c>
      <c r="L80" s="1"/>
      <c r="M80" s="1"/>
      <c r="N80" s="1"/>
      <c r="O80" s="1"/>
      <c r="P80" s="1"/>
      <c r="Q80" s="1"/>
      <c r="R80" s="1"/>
      <c r="S80" s="1"/>
      <c r="T80" s="1"/>
      <c r="U80" s="1"/>
      <c r="X80" s="83" t="str" cm="1">
        <f t="array" ref="X80">IF(OR(J80:W80="NO"),"No aceptable","Aceptable")</f>
        <v>Aceptable</v>
      </c>
      <c r="AN80" s="3" t="str" cm="1">
        <f t="array" ref="AN80">IF(OR(Y80:AM80="NO"),"Critico","No Critico")</f>
        <v>No Critico</v>
      </c>
    </row>
    <row r="81" spans="1:40">
      <c r="A81" s="63">
        <f>Inicial!A43</f>
        <v>0</v>
      </c>
      <c r="B81" s="64">
        <f>Inicial!B43</f>
        <v>0</v>
      </c>
      <c r="C81" s="64">
        <f>Inicial!C43</f>
        <v>0</v>
      </c>
      <c r="D81" s="65">
        <f>Inicial!D43</f>
        <v>0</v>
      </c>
      <c r="E81" s="63" t="str">
        <f>IF(Inicial!N43="SI",Inicial!E43,"N/A")</f>
        <v>N/A</v>
      </c>
      <c r="F81" s="64" t="str">
        <f>IF(Inicial!N43="SI",Inicial!F43,"N/A")</f>
        <v>N/A</v>
      </c>
      <c r="G81" s="64" t="str">
        <f>IF(Inicial!N43="SI",Inicial!G43,"N/A")</f>
        <v>N/A</v>
      </c>
      <c r="H81" s="64" t="str">
        <f>IF(Inicial!N43="SI",Inicial!H43,"N/A")</f>
        <v>N/A</v>
      </c>
      <c r="I81" s="66" t="str">
        <f>IF(Inicial!N43="SI",Inicial!I43,"N/A")</f>
        <v>N/A</v>
      </c>
      <c r="L81" s="1"/>
      <c r="M81" s="1"/>
      <c r="N81" s="1"/>
      <c r="O81" s="1"/>
      <c r="P81" s="1"/>
      <c r="Q81" s="1"/>
      <c r="R81" s="1"/>
      <c r="S81" s="1"/>
      <c r="T81" s="1"/>
      <c r="U81" s="1"/>
      <c r="X81" s="83" t="str" cm="1">
        <f t="array" ref="X81">IF(OR(J81:W81="NO"),"No aceptable","Aceptable")</f>
        <v>Aceptable</v>
      </c>
      <c r="AN81" s="3" t="str" cm="1">
        <f t="array" ref="AN81">IF(OR(Y81:AM81="NO"),"Critico","No Critico")</f>
        <v>No Critico</v>
      </c>
    </row>
    <row r="82" spans="1:40">
      <c r="A82" s="63">
        <f>Inicial!A44</f>
        <v>0</v>
      </c>
      <c r="B82" s="64">
        <f>Inicial!B44</f>
        <v>0</v>
      </c>
      <c r="C82" s="64">
        <f>Inicial!C44</f>
        <v>0</v>
      </c>
      <c r="D82" s="65">
        <f>Inicial!D44</f>
        <v>0</v>
      </c>
      <c r="E82" s="63" t="str">
        <f>IF(Inicial!N44="SI",Inicial!E44,"N/A")</f>
        <v>N/A</v>
      </c>
      <c r="F82" s="64" t="str">
        <f>IF(Inicial!N44="SI",Inicial!F44,"N/A")</f>
        <v>N/A</v>
      </c>
      <c r="G82" s="64" t="str">
        <f>IF(Inicial!N44="SI",Inicial!G44,"N/A")</f>
        <v>N/A</v>
      </c>
      <c r="H82" s="64" t="str">
        <f>IF(Inicial!N44="SI",Inicial!H44,"N/A")</f>
        <v>N/A</v>
      </c>
      <c r="I82" s="66" t="str">
        <f>IF(Inicial!N44="SI",Inicial!I44,"N/A")</f>
        <v>N/A</v>
      </c>
      <c r="L82" s="1"/>
      <c r="M82" s="1"/>
      <c r="N82" s="1"/>
      <c r="O82" s="1"/>
      <c r="P82" s="1"/>
      <c r="Q82" s="1"/>
      <c r="R82" s="1"/>
      <c r="S82" s="1"/>
      <c r="T82" s="1"/>
      <c r="U82" s="1"/>
      <c r="X82" s="83" t="str" cm="1">
        <f t="array" ref="X82">IF(OR(J82:W82="NO"),"No aceptable","Aceptable")</f>
        <v>Aceptable</v>
      </c>
      <c r="AN82" s="3" t="str" cm="1">
        <f t="array" ref="AN82">IF(OR(Y82:AM82="NO"),"Critico","No Critico")</f>
        <v>No Critico</v>
      </c>
    </row>
    <row r="83" spans="1:40">
      <c r="A83" s="63">
        <f>Inicial!A45</f>
        <v>0</v>
      </c>
      <c r="B83" s="64">
        <f>Inicial!B45</f>
        <v>0</v>
      </c>
      <c r="C83" s="64">
        <f>Inicial!C45</f>
        <v>0</v>
      </c>
      <c r="D83" s="65">
        <f>Inicial!D45</f>
        <v>0</v>
      </c>
      <c r="E83" s="63" t="str">
        <f>IF(Inicial!N45="SI",Inicial!E45,"N/A")</f>
        <v>N/A</v>
      </c>
      <c r="F83" s="64" t="str">
        <f>IF(Inicial!N45="SI",Inicial!F45,"N/A")</f>
        <v>N/A</v>
      </c>
      <c r="G83" s="64" t="str">
        <f>IF(Inicial!N45="SI",Inicial!G45,"N/A")</f>
        <v>N/A</v>
      </c>
      <c r="H83" s="64" t="str">
        <f>IF(Inicial!N45="SI",Inicial!H45,"N/A")</f>
        <v>N/A</v>
      </c>
      <c r="I83" s="66" t="str">
        <f>IF(Inicial!N45="SI",Inicial!I45,"N/A")</f>
        <v>N/A</v>
      </c>
      <c r="L83" s="1"/>
      <c r="M83" s="1"/>
      <c r="N83" s="1"/>
      <c r="O83" s="1"/>
      <c r="P83" s="1"/>
      <c r="Q83" s="1"/>
      <c r="R83" s="1"/>
      <c r="S83" s="1"/>
      <c r="T83" s="1"/>
      <c r="U83" s="1"/>
      <c r="X83" s="83" t="str" cm="1">
        <f t="array" ref="X83">IF(OR(J83:W83="NO"),"No aceptable","Aceptable")</f>
        <v>Aceptable</v>
      </c>
      <c r="AN83" s="3" t="str" cm="1">
        <f t="array" ref="AN83">IF(OR(Y83:AM83="NO"),"Critico","No Critico")</f>
        <v>No Critico</v>
      </c>
    </row>
    <row r="84" spans="1:40">
      <c r="A84" s="63">
        <f>Inicial!A46</f>
        <v>0</v>
      </c>
      <c r="B84" s="64">
        <f>Inicial!B46</f>
        <v>0</v>
      </c>
      <c r="C84" s="64">
        <f>Inicial!C46</f>
        <v>0</v>
      </c>
      <c r="D84" s="65">
        <f>Inicial!D46</f>
        <v>0</v>
      </c>
      <c r="E84" s="63" t="str">
        <f>IF(Inicial!N46="SI",Inicial!E46,"N/A")</f>
        <v>N/A</v>
      </c>
      <c r="F84" s="64" t="str">
        <f>IF(Inicial!N46="SI",Inicial!F46,"N/A")</f>
        <v>N/A</v>
      </c>
      <c r="G84" s="64" t="str">
        <f>IF(Inicial!N46="SI",Inicial!G46,"N/A")</f>
        <v>N/A</v>
      </c>
      <c r="H84" s="64" t="str">
        <f>IF(Inicial!N46="SI",Inicial!H46,"N/A")</f>
        <v>N/A</v>
      </c>
      <c r="I84" s="66" t="str">
        <f>IF(Inicial!N46="SI",Inicial!I46,"N/A")</f>
        <v>N/A</v>
      </c>
      <c r="L84" s="1"/>
      <c r="M84" s="1"/>
      <c r="N84" s="1"/>
      <c r="O84" s="1"/>
      <c r="P84" s="1"/>
      <c r="Q84" s="1"/>
      <c r="R84" s="1"/>
      <c r="S84" s="1"/>
      <c r="T84" s="1"/>
      <c r="U84" s="1"/>
      <c r="X84" s="83" t="str" cm="1">
        <f t="array" ref="X84">IF(OR(J84:W84="NO"),"No aceptable","Aceptable")</f>
        <v>Aceptable</v>
      </c>
      <c r="AN84" s="3" t="str" cm="1">
        <f t="array" ref="AN84">IF(OR(Y84:AM84="NO"),"Critico","No Critico")</f>
        <v>No Critico</v>
      </c>
    </row>
    <row r="85" spans="1:40">
      <c r="A85" s="63">
        <f>Inicial!A47</f>
        <v>0</v>
      </c>
      <c r="B85" s="64">
        <f>Inicial!B47</f>
        <v>0</v>
      </c>
      <c r="C85" s="64">
        <f>Inicial!C47</f>
        <v>0</v>
      </c>
      <c r="D85" s="65">
        <f>Inicial!D47</f>
        <v>0</v>
      </c>
      <c r="E85" s="63" t="str">
        <f>IF(Inicial!N47="SI",Inicial!E47,"N/A")</f>
        <v>N/A</v>
      </c>
      <c r="F85" s="64" t="str">
        <f>IF(Inicial!N47="SI",Inicial!F47,"N/A")</f>
        <v>N/A</v>
      </c>
      <c r="G85" s="64" t="str">
        <f>IF(Inicial!N47="SI",Inicial!G47,"N/A")</f>
        <v>N/A</v>
      </c>
      <c r="H85" s="64" t="str">
        <f>IF(Inicial!N47="SI",Inicial!H47,"N/A")</f>
        <v>N/A</v>
      </c>
      <c r="I85" s="66" t="str">
        <f>IF(Inicial!N47="SI",Inicial!I47,"N/A")</f>
        <v>N/A</v>
      </c>
      <c r="L85" s="1"/>
      <c r="M85" s="1"/>
      <c r="N85" s="1"/>
      <c r="O85" s="1"/>
      <c r="P85" s="1"/>
      <c r="Q85" s="1"/>
      <c r="R85" s="1"/>
      <c r="S85" s="1"/>
      <c r="T85" s="1"/>
      <c r="U85" s="1"/>
      <c r="X85" s="83" t="str" cm="1">
        <f t="array" ref="X85">IF(OR(J85:W85="NO"),"No aceptable","Aceptable")</f>
        <v>Aceptable</v>
      </c>
      <c r="AN85" s="3" t="str" cm="1">
        <f t="array" ref="AN85">IF(OR(Y85:AM85="NO"),"Critico","No Critico")</f>
        <v>No Critico</v>
      </c>
    </row>
    <row r="86" spans="1:40">
      <c r="A86" s="63">
        <f>Inicial!A48</f>
        <v>0</v>
      </c>
      <c r="B86" s="64">
        <f>Inicial!B48</f>
        <v>0</v>
      </c>
      <c r="C86" s="64">
        <f>Inicial!C48</f>
        <v>0</v>
      </c>
      <c r="D86" s="65">
        <f>Inicial!D48</f>
        <v>0</v>
      </c>
      <c r="E86" s="63" t="str">
        <f>IF(Inicial!N48="SI",Inicial!E48,"N/A")</f>
        <v>N/A</v>
      </c>
      <c r="F86" s="64" t="str">
        <f>IF(Inicial!N48="SI",Inicial!F48,"N/A")</f>
        <v>N/A</v>
      </c>
      <c r="G86" s="64" t="str">
        <f>IF(Inicial!N48="SI",Inicial!G48,"N/A")</f>
        <v>N/A</v>
      </c>
      <c r="H86" s="64" t="str">
        <f>IF(Inicial!N48="SI",Inicial!H48,"N/A")</f>
        <v>N/A</v>
      </c>
      <c r="I86" s="66" t="str">
        <f>IF(Inicial!N48="SI",Inicial!I48,"N/A")</f>
        <v>N/A</v>
      </c>
      <c r="L86" s="1"/>
      <c r="M86" s="1"/>
      <c r="N86" s="1"/>
      <c r="O86" s="1"/>
      <c r="P86" s="1"/>
      <c r="Q86" s="1"/>
      <c r="R86" s="1"/>
      <c r="S86" s="1"/>
      <c r="T86" s="1"/>
      <c r="U86" s="1"/>
      <c r="X86" s="83" t="str" cm="1">
        <f t="array" ref="X86">IF(OR(J86:W86="NO"),"No aceptable","Aceptable")</f>
        <v>Aceptable</v>
      </c>
      <c r="AN86" s="3" t="str" cm="1">
        <f t="array" ref="AN86">IF(OR(Y86:AM86="NO"),"Critico","No Critico")</f>
        <v>No Critico</v>
      </c>
    </row>
    <row r="87" spans="1:40">
      <c r="A87" s="63">
        <f>Inicial!A49</f>
        <v>0</v>
      </c>
      <c r="B87" s="64">
        <f>Inicial!B49</f>
        <v>0</v>
      </c>
      <c r="C87" s="64">
        <f>Inicial!C49</f>
        <v>0</v>
      </c>
      <c r="D87" s="65">
        <f>Inicial!D49</f>
        <v>0</v>
      </c>
      <c r="E87" s="63" t="str">
        <f>IF(Inicial!N49="SI",Inicial!E49,"N/A")</f>
        <v>N/A</v>
      </c>
      <c r="F87" s="64" t="str">
        <f>IF(Inicial!N49="SI",Inicial!F49,"N/A")</f>
        <v>N/A</v>
      </c>
      <c r="G87" s="64" t="str">
        <f>IF(Inicial!N49="SI",Inicial!G49,"N/A")</f>
        <v>N/A</v>
      </c>
      <c r="H87" s="64" t="str">
        <f>IF(Inicial!N49="SI",Inicial!H49,"N/A")</f>
        <v>N/A</v>
      </c>
      <c r="I87" s="66" t="str">
        <f>IF(Inicial!N49="SI",Inicial!I49,"N/A")</f>
        <v>N/A</v>
      </c>
      <c r="L87" s="1"/>
      <c r="M87" s="1"/>
      <c r="N87" s="1"/>
      <c r="O87" s="1"/>
      <c r="P87" s="1"/>
      <c r="Q87" s="1"/>
      <c r="R87" s="1"/>
      <c r="S87" s="1"/>
      <c r="T87" s="1"/>
      <c r="U87" s="1"/>
      <c r="X87" s="83" t="str" cm="1">
        <f t="array" ref="X87">IF(OR(J87:W87="NO"),"No aceptable","Aceptable")</f>
        <v>Aceptable</v>
      </c>
      <c r="AN87" s="3" t="str" cm="1">
        <f t="array" ref="AN87">IF(OR(Y87:AM87="NO"),"Critico","No Critico")</f>
        <v>No Critico</v>
      </c>
    </row>
    <row r="88" spans="1:40">
      <c r="A88" s="63">
        <f>Inicial!A50</f>
        <v>0</v>
      </c>
      <c r="B88" s="64">
        <f>Inicial!B50</f>
        <v>0</v>
      </c>
      <c r="C88" s="64">
        <f>Inicial!C50</f>
        <v>0</v>
      </c>
      <c r="D88" s="65">
        <f>Inicial!D50</f>
        <v>0</v>
      </c>
      <c r="E88" s="63" t="str">
        <f>IF(Inicial!N50="SI",Inicial!E50,"N/A")</f>
        <v>N/A</v>
      </c>
      <c r="F88" s="64" t="str">
        <f>IF(Inicial!N50="SI",Inicial!F50,"N/A")</f>
        <v>N/A</v>
      </c>
      <c r="G88" s="64" t="str">
        <f>IF(Inicial!N50="SI",Inicial!G50,"N/A")</f>
        <v>N/A</v>
      </c>
      <c r="H88" s="64" t="str">
        <f>IF(Inicial!N50="SI",Inicial!H50,"N/A")</f>
        <v>N/A</v>
      </c>
      <c r="I88" s="66" t="str">
        <f>IF(Inicial!N50="SI",Inicial!I50,"N/A")</f>
        <v>N/A</v>
      </c>
      <c r="L88" s="1"/>
      <c r="M88" s="1"/>
      <c r="N88" s="1"/>
      <c r="O88" s="1"/>
      <c r="P88" s="1"/>
      <c r="Q88" s="1"/>
      <c r="R88" s="1"/>
      <c r="S88" s="1"/>
      <c r="T88" s="1"/>
      <c r="U88" s="1"/>
      <c r="X88" s="83" t="str" cm="1">
        <f t="array" ref="X88">IF(OR(J88:W88="NO"),"No aceptable","Aceptable")</f>
        <v>Aceptable</v>
      </c>
      <c r="AN88" s="3" t="str" cm="1">
        <f t="array" ref="AN88">IF(OR(Y88:AM88="NO"),"Critico","No Critico")</f>
        <v>No Critico</v>
      </c>
    </row>
    <row r="89" spans="1:40">
      <c r="A89" s="63">
        <f>Inicial!A51</f>
        <v>0</v>
      </c>
      <c r="B89" s="64">
        <f>Inicial!B51</f>
        <v>0</v>
      </c>
      <c r="C89" s="64">
        <f>Inicial!C51</f>
        <v>0</v>
      </c>
      <c r="D89" s="65">
        <f>Inicial!D51</f>
        <v>0</v>
      </c>
      <c r="E89" s="63" t="str">
        <f>IF(Inicial!N51="SI",Inicial!E51,"N/A")</f>
        <v>N/A</v>
      </c>
      <c r="F89" s="64" t="str">
        <f>IF(Inicial!N51="SI",Inicial!F51,"N/A")</f>
        <v>N/A</v>
      </c>
      <c r="G89" s="64" t="str">
        <f>IF(Inicial!N51="SI",Inicial!G51,"N/A")</f>
        <v>N/A</v>
      </c>
      <c r="H89" s="64" t="str">
        <f>IF(Inicial!N51="SI",Inicial!H51,"N/A")</f>
        <v>N/A</v>
      </c>
      <c r="I89" s="66" t="str">
        <f>IF(Inicial!N51="SI",Inicial!I51,"N/A")</f>
        <v>N/A</v>
      </c>
      <c r="L89" s="1"/>
      <c r="M89" s="1"/>
      <c r="N89" s="1"/>
      <c r="O89" s="1"/>
      <c r="P89" s="1"/>
      <c r="Q89" s="1"/>
      <c r="R89" s="1"/>
      <c r="S89" s="1"/>
      <c r="T89" s="1"/>
      <c r="U89" s="1"/>
      <c r="X89" s="83" t="str" cm="1">
        <f t="array" ref="X89">IF(OR(J89:W89="NO"),"No aceptable","Aceptable")</f>
        <v>Aceptable</v>
      </c>
      <c r="AN89" s="3" t="str" cm="1">
        <f t="array" ref="AN89">IF(OR(Y89:AM89="NO"),"Critico","No Critico")</f>
        <v>No Critico</v>
      </c>
    </row>
    <row r="90" spans="1:40">
      <c r="A90" s="63">
        <f>Inicial!A52</f>
        <v>0</v>
      </c>
      <c r="B90" s="64">
        <f>Inicial!B52</f>
        <v>0</v>
      </c>
      <c r="C90" s="64">
        <f>Inicial!C52</f>
        <v>0</v>
      </c>
      <c r="D90" s="65">
        <f>Inicial!D52</f>
        <v>0</v>
      </c>
      <c r="E90" s="63" t="str">
        <f>IF(Inicial!N52="SI",Inicial!E52,"N/A")</f>
        <v>N/A</v>
      </c>
      <c r="F90" s="64" t="str">
        <f>IF(Inicial!N52="SI",Inicial!F52,"N/A")</f>
        <v>N/A</v>
      </c>
      <c r="G90" s="64" t="str">
        <f>IF(Inicial!N52="SI",Inicial!G52,"N/A")</f>
        <v>N/A</v>
      </c>
      <c r="H90" s="64" t="str">
        <f>IF(Inicial!N52="SI",Inicial!H52,"N/A")</f>
        <v>N/A</v>
      </c>
      <c r="I90" s="66" t="str">
        <f>IF(Inicial!N52="SI",Inicial!I52,"N/A")</f>
        <v>N/A</v>
      </c>
      <c r="L90" s="1"/>
      <c r="M90" s="1"/>
      <c r="N90" s="1"/>
      <c r="O90" s="1"/>
      <c r="P90" s="1"/>
      <c r="Q90" s="1"/>
      <c r="R90" s="1"/>
      <c r="S90" s="1"/>
      <c r="T90" s="1"/>
      <c r="U90" s="1"/>
      <c r="X90" s="83" t="str" cm="1">
        <f t="array" ref="X90">IF(OR(J90:W90="NO"),"No aceptable","Aceptable")</f>
        <v>Aceptable</v>
      </c>
      <c r="AN90" s="3" t="str" cm="1">
        <f t="array" ref="AN90">IF(OR(Y90:AM90="NO"),"Critico","No Critico")</f>
        <v>No Critico</v>
      </c>
    </row>
    <row r="91" spans="1:40">
      <c r="A91" s="63">
        <f>Inicial!A53</f>
        <v>0</v>
      </c>
      <c r="B91" s="64">
        <f>Inicial!B53</f>
        <v>0</v>
      </c>
      <c r="C91" s="64">
        <f>Inicial!C53</f>
        <v>0</v>
      </c>
      <c r="D91" s="65">
        <f>Inicial!D53</f>
        <v>0</v>
      </c>
      <c r="E91" s="63" t="str">
        <f>IF(Inicial!N53="SI",Inicial!E53,"N/A")</f>
        <v>N/A</v>
      </c>
      <c r="F91" s="64" t="str">
        <f>IF(Inicial!N53="SI",Inicial!F53,"N/A")</f>
        <v>N/A</v>
      </c>
      <c r="G91" s="64" t="str">
        <f>IF(Inicial!N53="SI",Inicial!G53,"N/A")</f>
        <v>N/A</v>
      </c>
      <c r="H91" s="64" t="str">
        <f>IF(Inicial!N53="SI",Inicial!H53,"N/A")</f>
        <v>N/A</v>
      </c>
      <c r="I91" s="66" t="str">
        <f>IF(Inicial!N53="SI",Inicial!I53,"N/A")</f>
        <v>N/A</v>
      </c>
      <c r="L91" s="1"/>
      <c r="M91" s="1"/>
      <c r="N91" s="1"/>
      <c r="O91" s="1"/>
      <c r="P91" s="1"/>
      <c r="Q91" s="1"/>
      <c r="R91" s="1"/>
      <c r="S91" s="1"/>
      <c r="T91" s="1"/>
      <c r="U91" s="1"/>
      <c r="X91" s="83" t="str" cm="1">
        <f t="array" ref="X91">IF(OR(J91:W91="NO"),"No aceptable","Aceptable")</f>
        <v>Aceptable</v>
      </c>
      <c r="AN91" s="3" t="str" cm="1">
        <f t="array" ref="AN91">IF(OR(Y91:AM91="NO"),"Critico","No Critico")</f>
        <v>No Critico</v>
      </c>
    </row>
    <row r="92" spans="1:40">
      <c r="A92" s="63">
        <f>Inicial!A54</f>
        <v>0</v>
      </c>
      <c r="B92" s="64">
        <f>Inicial!B54</f>
        <v>0</v>
      </c>
      <c r="C92" s="64">
        <f>Inicial!C54</f>
        <v>0</v>
      </c>
      <c r="D92" s="65">
        <f>Inicial!D54</f>
        <v>0</v>
      </c>
      <c r="E92" s="63" t="str">
        <f>IF(Inicial!N54="SI",Inicial!E54,"N/A")</f>
        <v>N/A</v>
      </c>
      <c r="F92" s="64" t="str">
        <f>IF(Inicial!N54="SI",Inicial!F54,"N/A")</f>
        <v>N/A</v>
      </c>
      <c r="G92" s="64" t="str">
        <f>IF(Inicial!N54="SI",Inicial!G54,"N/A")</f>
        <v>N/A</v>
      </c>
      <c r="H92" s="64" t="str">
        <f>IF(Inicial!N54="SI",Inicial!H54,"N/A")</f>
        <v>N/A</v>
      </c>
      <c r="I92" s="66" t="str">
        <f>IF(Inicial!N54="SI",Inicial!I54,"N/A")</f>
        <v>N/A</v>
      </c>
      <c r="X92" s="83" t="str" cm="1">
        <f t="array" ref="X92">IF(OR(J92:W92="NO"),"No aceptable","Aceptable")</f>
        <v>Aceptable</v>
      </c>
      <c r="AN92" s="3" t="str" cm="1">
        <f t="array" ref="AN92">IF(OR(Y92:AM92="NO"),"Critico","No Critico")</f>
        <v>No Critico</v>
      </c>
    </row>
    <row r="93" spans="1:40">
      <c r="A93" s="63">
        <f>Inicial!A55</f>
        <v>0</v>
      </c>
      <c r="B93" s="64">
        <f>Inicial!B55</f>
        <v>0</v>
      </c>
      <c r="C93" s="64">
        <f>Inicial!C55</f>
        <v>0</v>
      </c>
      <c r="D93" s="65">
        <f>Inicial!D55</f>
        <v>0</v>
      </c>
      <c r="E93" s="63" t="str">
        <f>IF(Inicial!N55="SI",Inicial!E55,"N/A")</f>
        <v>N/A</v>
      </c>
      <c r="F93" s="64" t="str">
        <f>IF(Inicial!N55="SI",Inicial!F55,"N/A")</f>
        <v>N/A</v>
      </c>
      <c r="G93" s="64" t="str">
        <f>IF(Inicial!N55="SI",Inicial!G55,"N/A")</f>
        <v>N/A</v>
      </c>
      <c r="H93" s="64" t="str">
        <f>IF(Inicial!N55="SI",Inicial!H55,"N/A")</f>
        <v>N/A</v>
      </c>
      <c r="I93" s="66" t="str">
        <f>IF(Inicial!N55="SI",Inicial!I55,"N/A")</f>
        <v>N/A</v>
      </c>
      <c r="X93" s="83" t="str" cm="1">
        <f t="array" ref="X93">IF(OR(J93:W93="NO"),"No aceptable","Aceptable")</f>
        <v>Aceptable</v>
      </c>
      <c r="AN93" s="3" t="str" cm="1">
        <f t="array" ref="AN93">IF(OR(Y93:AM93="NO"),"Critico","No Critico")</f>
        <v>No Critico</v>
      </c>
    </row>
    <row r="94" spans="1:40">
      <c r="A94" s="63">
        <f>Inicial!A56</f>
        <v>0</v>
      </c>
      <c r="B94" s="64">
        <f>Inicial!B56</f>
        <v>0</v>
      </c>
      <c r="C94" s="64">
        <f>Inicial!C56</f>
        <v>0</v>
      </c>
      <c r="D94" s="65">
        <f>Inicial!D56</f>
        <v>0</v>
      </c>
      <c r="E94" s="63" t="str">
        <f>IF(Inicial!N56="SI",Inicial!E56,"N/A")</f>
        <v>N/A</v>
      </c>
      <c r="F94" s="64" t="str">
        <f>IF(Inicial!N56="SI",Inicial!F56,"N/A")</f>
        <v>N/A</v>
      </c>
      <c r="G94" s="64" t="str">
        <f>IF(Inicial!N56="SI",Inicial!G56,"N/A")</f>
        <v>N/A</v>
      </c>
      <c r="H94" s="64" t="str">
        <f>IF(Inicial!N56="SI",Inicial!H56,"N/A")</f>
        <v>N/A</v>
      </c>
      <c r="I94" s="66" t="str">
        <f>IF(Inicial!N56="SI",Inicial!I56,"N/A")</f>
        <v>N/A</v>
      </c>
      <c r="X94" s="83" t="str" cm="1">
        <f t="array" ref="X94">IF(OR(J94:W94="NO"),"No aceptable","Aceptable")</f>
        <v>Aceptable</v>
      </c>
      <c r="AN94" s="3" t="str" cm="1">
        <f t="array" ref="AN94">IF(OR(Y94:AM94="NO"),"Critico","No Critico")</f>
        <v>No Critico</v>
      </c>
    </row>
    <row r="95" spans="1:40">
      <c r="A95" s="63">
        <f>Inicial!A57</f>
        <v>0</v>
      </c>
      <c r="B95" s="64">
        <f>Inicial!B57</f>
        <v>0</v>
      </c>
      <c r="C95" s="64">
        <f>Inicial!C57</f>
        <v>0</v>
      </c>
      <c r="D95" s="65">
        <f>Inicial!D57</f>
        <v>0</v>
      </c>
      <c r="E95" s="63" t="str">
        <f>IF(Inicial!N57="SI",Inicial!E57,"N/A")</f>
        <v>N/A</v>
      </c>
      <c r="F95" s="64" t="str">
        <f>IF(Inicial!N57="SI",Inicial!F57,"N/A")</f>
        <v>N/A</v>
      </c>
      <c r="G95" s="64" t="str">
        <f>IF(Inicial!N57="SI",Inicial!G57,"N/A")</f>
        <v>N/A</v>
      </c>
      <c r="H95" s="64" t="str">
        <f>IF(Inicial!N57="SI",Inicial!H57,"N/A")</f>
        <v>N/A</v>
      </c>
      <c r="I95" s="66" t="str">
        <f>IF(Inicial!N57="SI",Inicial!I57,"N/A")</f>
        <v>N/A</v>
      </c>
      <c r="X95" s="83" t="str" cm="1">
        <f t="array" ref="X95">IF(OR(J95:W95="NO"),"No aceptable","Aceptable")</f>
        <v>Aceptable</v>
      </c>
      <c r="AN95" s="3" t="str" cm="1">
        <f t="array" ref="AN95">IF(OR(Y95:AM95="NO"),"Critico","No Critico")</f>
        <v>No Critico</v>
      </c>
    </row>
    <row r="96" spans="1:40">
      <c r="A96" s="63">
        <f>Inicial!A58</f>
        <v>0</v>
      </c>
      <c r="B96" s="64">
        <f>Inicial!B58</f>
        <v>0</v>
      </c>
      <c r="C96" s="64">
        <f>Inicial!C58</f>
        <v>0</v>
      </c>
      <c r="D96" s="65">
        <f>Inicial!D58</f>
        <v>0</v>
      </c>
      <c r="E96" s="63" t="str">
        <f>IF(Inicial!N58="SI",Inicial!E58,"N/A")</f>
        <v>N/A</v>
      </c>
      <c r="F96" s="64" t="str">
        <f>IF(Inicial!N58="SI",Inicial!F58,"N/A")</f>
        <v>N/A</v>
      </c>
      <c r="G96" s="64" t="str">
        <f>IF(Inicial!N58="SI",Inicial!G58,"N/A")</f>
        <v>N/A</v>
      </c>
      <c r="H96" s="64" t="str">
        <f>IF(Inicial!N58="SI",Inicial!H58,"N/A")</f>
        <v>N/A</v>
      </c>
      <c r="I96" s="66" t="str">
        <f>IF(Inicial!N58="SI",Inicial!I58,"N/A")</f>
        <v>N/A</v>
      </c>
      <c r="X96" s="83" t="str" cm="1">
        <f t="array" ref="X96">IF(OR(J96:W96="NO"),"No aceptable","Aceptable")</f>
        <v>Aceptable</v>
      </c>
      <c r="AN96" s="3" t="str" cm="1">
        <f t="array" ref="AN96">IF(OR(Y96:AM96="NO"),"Critico","No Critico")</f>
        <v>No Critico</v>
      </c>
    </row>
    <row r="97" spans="1:40">
      <c r="A97" s="63">
        <f>Inicial!A59</f>
        <v>0</v>
      </c>
      <c r="B97" s="64">
        <f>Inicial!B59</f>
        <v>0</v>
      </c>
      <c r="C97" s="64">
        <f>Inicial!C59</f>
        <v>0</v>
      </c>
      <c r="D97" s="65">
        <f>Inicial!D59</f>
        <v>0</v>
      </c>
      <c r="E97" s="63" t="str">
        <f>IF(Inicial!N59="SI",Inicial!E59,"N/A")</f>
        <v>N/A</v>
      </c>
      <c r="F97" s="64" t="str">
        <f>IF(Inicial!N59="SI",Inicial!F59,"N/A")</f>
        <v>N/A</v>
      </c>
      <c r="G97" s="64" t="str">
        <f>IF(Inicial!N59="SI",Inicial!G59,"N/A")</f>
        <v>N/A</v>
      </c>
      <c r="H97" s="64" t="str">
        <f>IF(Inicial!N59="SI",Inicial!H59,"N/A")</f>
        <v>N/A</v>
      </c>
      <c r="I97" s="66" t="str">
        <f>IF(Inicial!N59="SI",Inicial!I59,"N/A")</f>
        <v>N/A</v>
      </c>
      <c r="X97" s="83" t="str" cm="1">
        <f t="array" ref="X97">IF(OR(J97:W97="NO"),"No aceptable","Aceptable")</f>
        <v>Aceptable</v>
      </c>
      <c r="AN97" s="3" t="str" cm="1">
        <f t="array" ref="AN97">IF(OR(Y97:AM97="NO"),"Critico","No Critico")</f>
        <v>No Critico</v>
      </c>
    </row>
    <row r="98" spans="1:40">
      <c r="A98" s="63">
        <f>Inicial!A60</f>
        <v>0</v>
      </c>
      <c r="B98" s="64">
        <f>Inicial!B60</f>
        <v>0</v>
      </c>
      <c r="C98" s="64">
        <f>Inicial!C60</f>
        <v>0</v>
      </c>
      <c r="D98" s="65">
        <f>Inicial!D60</f>
        <v>0</v>
      </c>
      <c r="E98" s="63" t="str">
        <f>IF(Inicial!N60="SI",Inicial!E60,"N/A")</f>
        <v>N/A</v>
      </c>
      <c r="F98" s="64" t="str">
        <f>IF(Inicial!N60="SI",Inicial!F60,"N/A")</f>
        <v>N/A</v>
      </c>
      <c r="G98" s="64" t="str">
        <f>IF(Inicial!N60="SI",Inicial!G60,"N/A")</f>
        <v>N/A</v>
      </c>
      <c r="H98" s="64" t="str">
        <f>IF(Inicial!N60="SI",Inicial!H60,"N/A")</f>
        <v>N/A</v>
      </c>
      <c r="I98" s="66" t="str">
        <f>IF(Inicial!N60="SI",Inicial!I60,"N/A")</f>
        <v>N/A</v>
      </c>
      <c r="X98" s="83" t="str" cm="1">
        <f t="array" ref="X98">IF(OR(J98:W98="NO"),"No aceptable","Aceptable")</f>
        <v>Aceptable</v>
      </c>
      <c r="AN98" s="3" t="str" cm="1">
        <f t="array" ref="AN98">IF(OR(Y98:AM98="NO"),"Critico","No Critico")</f>
        <v>No Critico</v>
      </c>
    </row>
    <row r="99" spans="1:40">
      <c r="A99" s="63">
        <f>Inicial!A61</f>
        <v>0</v>
      </c>
      <c r="B99" s="64">
        <f>Inicial!B61</f>
        <v>0</v>
      </c>
      <c r="C99" s="64">
        <f>Inicial!C61</f>
        <v>0</v>
      </c>
      <c r="D99" s="65">
        <f>Inicial!D61</f>
        <v>0</v>
      </c>
      <c r="E99" s="63" t="str">
        <f>IF(Inicial!N61="SI",Inicial!E61,"N/A")</f>
        <v>N/A</v>
      </c>
      <c r="F99" s="64" t="str">
        <f>IF(Inicial!N61="SI",Inicial!F61,"N/A")</f>
        <v>N/A</v>
      </c>
      <c r="G99" s="64" t="str">
        <f>IF(Inicial!N61="SI",Inicial!G61,"N/A")</f>
        <v>N/A</v>
      </c>
      <c r="H99" s="64" t="str">
        <f>IF(Inicial!N61="SI",Inicial!H61,"N/A")</f>
        <v>N/A</v>
      </c>
      <c r="I99" s="66" t="str">
        <f>IF(Inicial!N61="SI",Inicial!I61,"N/A")</f>
        <v>N/A</v>
      </c>
      <c r="X99" s="83" t="str" cm="1">
        <f t="array" ref="X99">IF(OR(J99:W99="NO"),"No aceptable","Aceptable")</f>
        <v>Aceptable</v>
      </c>
      <c r="AN99" s="3" t="str" cm="1">
        <f t="array" ref="AN99">IF(OR(Y99:AM99="NO"),"Critico","No Critico")</f>
        <v>No Critico</v>
      </c>
    </row>
    <row r="100" spans="1:40">
      <c r="A100" s="63">
        <f>Inicial!A62</f>
        <v>0</v>
      </c>
      <c r="B100" s="64">
        <f>Inicial!B62</f>
        <v>0</v>
      </c>
      <c r="C100" s="64">
        <f>Inicial!C62</f>
        <v>0</v>
      </c>
      <c r="D100" s="65">
        <f>Inicial!D62</f>
        <v>0</v>
      </c>
      <c r="E100" s="63" t="str">
        <f>IF(Inicial!N62="SI",Inicial!E62,"N/A")</f>
        <v>N/A</v>
      </c>
      <c r="F100" s="64" t="str">
        <f>IF(Inicial!N62="SI",Inicial!F62,"N/A")</f>
        <v>N/A</v>
      </c>
      <c r="G100" s="64" t="str">
        <f>IF(Inicial!N62="SI",Inicial!G62,"N/A")</f>
        <v>N/A</v>
      </c>
      <c r="H100" s="64" t="str">
        <f>IF(Inicial!N62="SI",Inicial!H62,"N/A")</f>
        <v>N/A</v>
      </c>
      <c r="I100" s="66" t="str">
        <f>IF(Inicial!N62="SI",Inicial!I62,"N/A")</f>
        <v>N/A</v>
      </c>
      <c r="X100" s="83" t="str" cm="1">
        <f t="array" ref="X100">IF(OR(J100:W100="NO"),"No aceptable","Aceptable")</f>
        <v>Aceptable</v>
      </c>
      <c r="AN100" s="3" t="str" cm="1">
        <f t="array" ref="AN100">IF(OR(Y100:AM100="NO"),"Critico","No Critico")</f>
        <v>No Critico</v>
      </c>
    </row>
    <row r="101" spans="1:40">
      <c r="A101" s="63">
        <f>Inicial!A63</f>
        <v>0</v>
      </c>
      <c r="B101" s="64">
        <f>Inicial!B63</f>
        <v>0</v>
      </c>
      <c r="C101" s="64">
        <f>Inicial!C63</f>
        <v>0</v>
      </c>
      <c r="D101" s="65">
        <f>Inicial!D63</f>
        <v>0</v>
      </c>
      <c r="E101" s="63" t="str">
        <f>IF(Inicial!N63="SI",Inicial!E63,"N/A")</f>
        <v>N/A</v>
      </c>
      <c r="F101" s="64" t="str">
        <f>IF(Inicial!N63="SI",Inicial!F63,"N/A")</f>
        <v>N/A</v>
      </c>
      <c r="G101" s="64" t="str">
        <f>IF(Inicial!N63="SI",Inicial!G63,"N/A")</f>
        <v>N/A</v>
      </c>
      <c r="H101" s="64" t="str">
        <f>IF(Inicial!N63="SI",Inicial!H63,"N/A")</f>
        <v>N/A</v>
      </c>
      <c r="I101" s="66" t="str">
        <f>IF(Inicial!N63="SI",Inicial!I63,"N/A")</f>
        <v>N/A</v>
      </c>
      <c r="X101" s="83" t="str" cm="1">
        <f t="array" ref="X101">IF(OR(J101:W101="NO"),"No aceptable","Aceptable")</f>
        <v>Aceptable</v>
      </c>
      <c r="AN101" s="3" t="str" cm="1">
        <f t="array" ref="AN101">IF(OR(Y101:AM101="NO"),"Critico","No Critico")</f>
        <v>No Critico</v>
      </c>
    </row>
    <row r="102" spans="1:40">
      <c r="A102" s="63">
        <f>Inicial!A64</f>
        <v>0</v>
      </c>
      <c r="B102" s="64">
        <f>Inicial!B64</f>
        <v>0</v>
      </c>
      <c r="C102" s="64">
        <f>Inicial!C64</f>
        <v>0</v>
      </c>
      <c r="D102" s="65">
        <f>Inicial!D64</f>
        <v>0</v>
      </c>
      <c r="E102" s="63" t="str">
        <f>IF(Inicial!N64="SI",Inicial!E64,"N/A")</f>
        <v>N/A</v>
      </c>
      <c r="F102" s="64" t="str">
        <f>IF(Inicial!N64="SI",Inicial!F64,"N/A")</f>
        <v>N/A</v>
      </c>
      <c r="G102" s="64" t="str">
        <f>IF(Inicial!N64="SI",Inicial!G64,"N/A")</f>
        <v>N/A</v>
      </c>
      <c r="H102" s="64" t="str">
        <f>IF(Inicial!N64="SI",Inicial!H64,"N/A")</f>
        <v>N/A</v>
      </c>
      <c r="I102" s="66" t="str">
        <f>IF(Inicial!N64="SI",Inicial!I64,"N/A")</f>
        <v>N/A</v>
      </c>
      <c r="X102" s="83" t="str" cm="1">
        <f t="array" ref="X102">IF(OR(J102:W102="NO"),"No aceptable","Aceptable")</f>
        <v>Aceptable</v>
      </c>
      <c r="AN102" s="3" t="str" cm="1">
        <f t="array" ref="AN102">IF(OR(Y102:AM102="NO"),"Critico","No Critico")</f>
        <v>No Critico</v>
      </c>
    </row>
    <row r="103" spans="1:40">
      <c r="A103" s="63">
        <f>Inicial!A65</f>
        <v>0</v>
      </c>
      <c r="B103" s="64">
        <f>Inicial!B65</f>
        <v>0</v>
      </c>
      <c r="C103" s="64">
        <f>Inicial!C65</f>
        <v>0</v>
      </c>
      <c r="D103" s="65">
        <f>Inicial!D65</f>
        <v>0</v>
      </c>
      <c r="E103" s="63" t="str">
        <f>IF(Inicial!N65="SI",Inicial!E65,"N/A")</f>
        <v>N/A</v>
      </c>
      <c r="F103" s="64" t="str">
        <f>IF(Inicial!N65="SI",Inicial!F65,"N/A")</f>
        <v>N/A</v>
      </c>
      <c r="G103" s="64" t="str">
        <f>IF(Inicial!N65="SI",Inicial!G65,"N/A")</f>
        <v>N/A</v>
      </c>
      <c r="H103" s="64" t="str">
        <f>IF(Inicial!N65="SI",Inicial!H65,"N/A")</f>
        <v>N/A</v>
      </c>
      <c r="I103" s="66" t="str">
        <f>IF(Inicial!N65="SI",Inicial!I65,"N/A")</f>
        <v>N/A</v>
      </c>
      <c r="X103" s="83" t="str" cm="1">
        <f t="array" ref="X103">IF(OR(J103:W103="NO"),"No aceptable","Aceptable")</f>
        <v>Aceptable</v>
      </c>
      <c r="AN103" s="3" t="str" cm="1">
        <f t="array" ref="AN103">IF(OR(Y103:AM103="NO"),"Critico","No Critico")</f>
        <v>No Critico</v>
      </c>
    </row>
    <row r="104" spans="1:40">
      <c r="A104" s="63">
        <f>Inicial!A66</f>
        <v>0</v>
      </c>
      <c r="B104" s="64">
        <f>Inicial!B66</f>
        <v>0</v>
      </c>
      <c r="C104" s="64">
        <f>Inicial!C66</f>
        <v>0</v>
      </c>
      <c r="D104" s="65">
        <f>Inicial!D66</f>
        <v>0</v>
      </c>
      <c r="E104" s="63" t="str">
        <f>IF(Inicial!N66="SI",Inicial!E66,"N/A")</f>
        <v>N/A</v>
      </c>
      <c r="F104" s="64" t="str">
        <f>IF(Inicial!N66="SI",Inicial!F66,"N/A")</f>
        <v>N/A</v>
      </c>
      <c r="G104" s="64" t="str">
        <f>IF(Inicial!N66="SI",Inicial!G66,"N/A")</f>
        <v>N/A</v>
      </c>
      <c r="H104" s="64" t="str">
        <f>IF(Inicial!N66="SI",Inicial!H66,"N/A")</f>
        <v>N/A</v>
      </c>
      <c r="I104" s="66" t="str">
        <f>IF(Inicial!N66="SI",Inicial!I66,"N/A")</f>
        <v>N/A</v>
      </c>
      <c r="X104" s="83" t="str" cm="1">
        <f t="array" ref="X104">IF(OR(J104:W104="NO"),"No aceptable","Aceptable")</f>
        <v>Aceptable</v>
      </c>
      <c r="AN104" s="3" t="str" cm="1">
        <f t="array" ref="AN104">IF(OR(Y104:AM104="NO"),"Critico","No Critico")</f>
        <v>No Critico</v>
      </c>
    </row>
    <row r="105" spans="1:40">
      <c r="A105" s="63">
        <f>Inicial!A67</f>
        <v>0</v>
      </c>
      <c r="B105" s="64">
        <f>Inicial!B67</f>
        <v>0</v>
      </c>
      <c r="C105" s="64">
        <f>Inicial!C67</f>
        <v>0</v>
      </c>
      <c r="D105" s="65">
        <f>Inicial!D67</f>
        <v>0</v>
      </c>
      <c r="E105" s="63" t="str">
        <f>IF(Inicial!N67="SI",Inicial!E67,"N/A")</f>
        <v>N/A</v>
      </c>
      <c r="F105" s="64" t="str">
        <f>IF(Inicial!N67="SI",Inicial!F67,"N/A")</f>
        <v>N/A</v>
      </c>
      <c r="G105" s="64" t="str">
        <f>IF(Inicial!N67="SI",Inicial!G67,"N/A")</f>
        <v>N/A</v>
      </c>
      <c r="H105" s="64" t="str">
        <f>IF(Inicial!N67="SI",Inicial!H67,"N/A")</f>
        <v>N/A</v>
      </c>
      <c r="I105" s="66" t="str">
        <f>IF(Inicial!N67="SI",Inicial!I67,"N/A")</f>
        <v>N/A</v>
      </c>
      <c r="X105" s="83" t="str" cm="1">
        <f t="array" ref="X105">IF(OR(J105:W105="NO"),"No aceptable","Aceptable")</f>
        <v>Aceptable</v>
      </c>
      <c r="AN105" s="3" t="str" cm="1">
        <f t="array" ref="AN105">IF(OR(Y105:AM105="NO"),"Critico","No Critico")</f>
        <v>No Critico</v>
      </c>
    </row>
    <row r="106" spans="1:40">
      <c r="A106" s="63">
        <f>Inicial!A68</f>
        <v>0</v>
      </c>
      <c r="B106" s="64">
        <f>Inicial!B68</f>
        <v>0</v>
      </c>
      <c r="C106" s="64">
        <f>Inicial!C68</f>
        <v>0</v>
      </c>
      <c r="D106" s="65">
        <f>Inicial!D68</f>
        <v>0</v>
      </c>
      <c r="E106" s="63" t="str">
        <f>IF(Inicial!N68="SI",Inicial!E68,"N/A")</f>
        <v>N/A</v>
      </c>
      <c r="F106" s="64" t="str">
        <f>IF(Inicial!N68="SI",Inicial!F68,"N/A")</f>
        <v>N/A</v>
      </c>
      <c r="G106" s="64" t="str">
        <f>IF(Inicial!N68="SI",Inicial!G68,"N/A")</f>
        <v>N/A</v>
      </c>
      <c r="H106" s="64" t="str">
        <f>IF(Inicial!N68="SI",Inicial!H68,"N/A")</f>
        <v>N/A</v>
      </c>
      <c r="I106" s="66" t="str">
        <f>IF(Inicial!N68="SI",Inicial!I68,"N/A")</f>
        <v>N/A</v>
      </c>
      <c r="X106" s="83" t="str" cm="1">
        <f t="array" ref="X106">IF(OR(J106:W106="NO"),"No aceptable","Aceptable")</f>
        <v>Aceptable</v>
      </c>
      <c r="AN106" s="3" t="str" cm="1">
        <f t="array" ref="AN106">IF(OR(Y106:AM106="NO"),"Critico","No Critico")</f>
        <v>No Critico</v>
      </c>
    </row>
    <row r="107" spans="1:40">
      <c r="A107" s="63">
        <f>Inicial!A69</f>
        <v>0</v>
      </c>
      <c r="B107" s="64">
        <f>Inicial!B69</f>
        <v>0</v>
      </c>
      <c r="C107" s="64">
        <f>Inicial!C69</f>
        <v>0</v>
      </c>
      <c r="D107" s="65">
        <f>Inicial!D69</f>
        <v>0</v>
      </c>
      <c r="E107" s="63" t="str">
        <f>IF(Inicial!N69="SI",Inicial!E69,"N/A")</f>
        <v>N/A</v>
      </c>
      <c r="F107" s="64" t="str">
        <f>IF(Inicial!N69="SI",Inicial!F69,"N/A")</f>
        <v>N/A</v>
      </c>
      <c r="G107" s="64" t="str">
        <f>IF(Inicial!N69="SI",Inicial!G69,"N/A")</f>
        <v>N/A</v>
      </c>
      <c r="H107" s="64" t="str">
        <f>IF(Inicial!N69="SI",Inicial!H69,"N/A")</f>
        <v>N/A</v>
      </c>
      <c r="I107" s="66" t="str">
        <f>IF(Inicial!N69="SI",Inicial!I69,"N/A")</f>
        <v>N/A</v>
      </c>
      <c r="X107" s="83" t="str" cm="1">
        <f t="array" ref="X107">IF(OR(J107:W107="NO"),"No aceptable","Aceptable")</f>
        <v>Aceptable</v>
      </c>
      <c r="AN107" s="3" t="str" cm="1">
        <f t="array" ref="AN107">IF(OR(Y107:AM107="NO"),"Critico","No Critico")</f>
        <v>No Critico</v>
      </c>
    </row>
    <row r="108" spans="1:40">
      <c r="A108" s="63">
        <f>Inicial!A70</f>
        <v>0</v>
      </c>
      <c r="B108" s="64">
        <f>Inicial!B70</f>
        <v>0</v>
      </c>
      <c r="C108" s="64">
        <f>Inicial!C70</f>
        <v>0</v>
      </c>
      <c r="D108" s="65">
        <f>Inicial!D70</f>
        <v>0</v>
      </c>
      <c r="E108" s="63" t="str">
        <f>IF(Inicial!N70="SI",Inicial!E70,"N/A")</f>
        <v>N/A</v>
      </c>
      <c r="F108" s="64" t="str">
        <f>IF(Inicial!N70="SI",Inicial!F70,"N/A")</f>
        <v>N/A</v>
      </c>
      <c r="G108" s="64" t="str">
        <f>IF(Inicial!N70="SI",Inicial!G70,"N/A")</f>
        <v>N/A</v>
      </c>
      <c r="H108" s="64" t="str">
        <f>IF(Inicial!N70="SI",Inicial!H70,"N/A")</f>
        <v>N/A</v>
      </c>
      <c r="I108" s="66" t="str">
        <f>IF(Inicial!N70="SI",Inicial!I70,"N/A")</f>
        <v>N/A</v>
      </c>
      <c r="X108" s="83" t="str" cm="1">
        <f t="array" ref="X108">IF(OR(J108:W108="NO"),"No aceptable","Aceptable")</f>
        <v>Aceptable</v>
      </c>
      <c r="AN108" s="3" t="str" cm="1">
        <f t="array" ref="AN108">IF(OR(Y108:AM108="NO"),"Critico","No Critico")</f>
        <v>No Critico</v>
      </c>
    </row>
    <row r="109" spans="1:40">
      <c r="A109" s="63">
        <f>Inicial!A71</f>
        <v>0</v>
      </c>
      <c r="B109" s="64">
        <f>Inicial!B71</f>
        <v>0</v>
      </c>
      <c r="C109" s="64">
        <f>Inicial!C71</f>
        <v>0</v>
      </c>
      <c r="D109" s="65">
        <f>Inicial!D71</f>
        <v>0</v>
      </c>
      <c r="E109" s="63" t="str">
        <f>IF(Inicial!N71="SI",Inicial!E71,"N/A")</f>
        <v>N/A</v>
      </c>
      <c r="F109" s="64" t="str">
        <f>IF(Inicial!N71="SI",Inicial!F71,"N/A")</f>
        <v>N/A</v>
      </c>
      <c r="G109" s="64" t="str">
        <f>IF(Inicial!N71="SI",Inicial!G71,"N/A")</f>
        <v>N/A</v>
      </c>
      <c r="H109" s="64" t="str">
        <f>IF(Inicial!N71="SI",Inicial!H71,"N/A")</f>
        <v>N/A</v>
      </c>
      <c r="I109" s="66" t="str">
        <f>IF(Inicial!N71="SI",Inicial!I71,"N/A")</f>
        <v>N/A</v>
      </c>
      <c r="X109" s="83" t="str" cm="1">
        <f t="array" ref="X109">IF(OR(J109:W109="NO"),"No aceptable","Aceptable")</f>
        <v>Aceptable</v>
      </c>
      <c r="AN109" s="3" t="str" cm="1">
        <f t="array" ref="AN109">IF(OR(Y109:AM109="NO"),"Critico","No Critico")</f>
        <v>No Critico</v>
      </c>
    </row>
    <row r="110" spans="1:40">
      <c r="A110" s="63">
        <f>Inicial!A72</f>
        <v>0</v>
      </c>
      <c r="B110" s="64">
        <f>Inicial!B72</f>
        <v>0</v>
      </c>
      <c r="C110" s="64">
        <f>Inicial!C72</f>
        <v>0</v>
      </c>
      <c r="D110" s="65">
        <f>Inicial!D72</f>
        <v>0</v>
      </c>
      <c r="E110" s="63" t="str">
        <f>IF(Inicial!N72="SI",Inicial!E72,"N/A")</f>
        <v>N/A</v>
      </c>
      <c r="F110" s="64" t="str">
        <f>IF(Inicial!N72="SI",Inicial!F72,"N/A")</f>
        <v>N/A</v>
      </c>
      <c r="G110" s="64" t="str">
        <f>IF(Inicial!N72="SI",Inicial!G72,"N/A")</f>
        <v>N/A</v>
      </c>
      <c r="H110" s="64" t="str">
        <f>IF(Inicial!N72="SI",Inicial!H72,"N/A")</f>
        <v>N/A</v>
      </c>
      <c r="I110" s="66" t="str">
        <f>IF(Inicial!N72="SI",Inicial!I72,"N/A")</f>
        <v>N/A</v>
      </c>
      <c r="X110" s="83" t="str" cm="1">
        <f t="array" ref="X110">IF(OR(J110:W110="NO"),"No aceptable","Aceptable")</f>
        <v>Aceptable</v>
      </c>
      <c r="AN110" s="3" t="str" cm="1">
        <f t="array" ref="AN110">IF(OR(Y110:AM110="NO"),"Critico","No Critico")</f>
        <v>No Critico</v>
      </c>
    </row>
    <row r="111" spans="1:40">
      <c r="A111" s="63">
        <f>Inicial!A73</f>
        <v>0</v>
      </c>
      <c r="B111" s="64">
        <f>Inicial!B73</f>
        <v>0</v>
      </c>
      <c r="C111" s="64">
        <f>Inicial!C73</f>
        <v>0</v>
      </c>
      <c r="D111" s="65">
        <f>Inicial!D73</f>
        <v>0</v>
      </c>
      <c r="E111" s="63" t="str">
        <f>IF(Inicial!N73="SI",Inicial!E73,"N/A")</f>
        <v>N/A</v>
      </c>
      <c r="F111" s="64" t="str">
        <f>IF(Inicial!N73="SI",Inicial!F73,"N/A")</f>
        <v>N/A</v>
      </c>
      <c r="G111" s="64" t="str">
        <f>IF(Inicial!N73="SI",Inicial!G73,"N/A")</f>
        <v>N/A</v>
      </c>
      <c r="H111" s="64" t="str">
        <f>IF(Inicial!N73="SI",Inicial!H73,"N/A")</f>
        <v>N/A</v>
      </c>
      <c r="I111" s="66" t="str">
        <f>IF(Inicial!N73="SI",Inicial!I73,"N/A")</f>
        <v>N/A</v>
      </c>
      <c r="X111" s="83" t="str" cm="1">
        <f t="array" ref="X111">IF(OR(J111:W111="NO"),"No aceptable","Aceptable")</f>
        <v>Aceptable</v>
      </c>
      <c r="AN111" s="3" t="str" cm="1">
        <f t="array" ref="AN111">IF(OR(Y111:AM111="NO"),"Critico","No Critico")</f>
        <v>No Critico</v>
      </c>
    </row>
    <row r="112" spans="1:40">
      <c r="A112" s="63">
        <f>Inicial!A74</f>
        <v>0</v>
      </c>
      <c r="B112" s="64">
        <f>Inicial!B74</f>
        <v>0</v>
      </c>
      <c r="C112" s="64">
        <f>Inicial!C74</f>
        <v>0</v>
      </c>
      <c r="D112" s="65">
        <f>Inicial!D74</f>
        <v>0</v>
      </c>
      <c r="E112" s="63" t="str">
        <f>IF(Inicial!N74="SI",Inicial!E74,"N/A")</f>
        <v>N/A</v>
      </c>
      <c r="F112" s="64" t="str">
        <f>IF(Inicial!N74="SI",Inicial!F74,"N/A")</f>
        <v>N/A</v>
      </c>
      <c r="G112" s="64" t="str">
        <f>IF(Inicial!N74="SI",Inicial!G74,"N/A")</f>
        <v>N/A</v>
      </c>
      <c r="H112" s="64" t="str">
        <f>IF(Inicial!N74="SI",Inicial!H74,"N/A")</f>
        <v>N/A</v>
      </c>
      <c r="I112" s="66" t="str">
        <f>IF(Inicial!N74="SI",Inicial!I74,"N/A")</f>
        <v>N/A</v>
      </c>
      <c r="X112" s="83" t="str" cm="1">
        <f t="array" ref="X112">IF(OR(J112:W112="NO"),"No aceptable","Aceptable")</f>
        <v>Aceptable</v>
      </c>
      <c r="AN112" s="3" t="str" cm="1">
        <f t="array" ref="AN112">IF(OR(Y112:AM112="NO"),"Critico","No Critico")</f>
        <v>No Critico</v>
      </c>
    </row>
    <row r="113" spans="1:40">
      <c r="A113" s="63">
        <f>Inicial!A75</f>
        <v>0</v>
      </c>
      <c r="B113" s="64">
        <f>Inicial!B75</f>
        <v>0</v>
      </c>
      <c r="C113" s="64">
        <f>Inicial!C75</f>
        <v>0</v>
      </c>
      <c r="D113" s="65">
        <f>Inicial!D75</f>
        <v>0</v>
      </c>
      <c r="E113" s="63" t="str">
        <f>IF(Inicial!N75="SI",Inicial!E75,"N/A")</f>
        <v>N/A</v>
      </c>
      <c r="F113" s="64" t="str">
        <f>IF(Inicial!N75="SI",Inicial!F75,"N/A")</f>
        <v>N/A</v>
      </c>
      <c r="G113" s="64" t="str">
        <f>IF(Inicial!N75="SI",Inicial!G75,"N/A")</f>
        <v>N/A</v>
      </c>
      <c r="H113" s="64" t="str">
        <f>IF(Inicial!N75="SI",Inicial!H75,"N/A")</f>
        <v>N/A</v>
      </c>
      <c r="I113" s="66" t="str">
        <f>IF(Inicial!N75="SI",Inicial!I75,"N/A")</f>
        <v>N/A</v>
      </c>
      <c r="X113" s="83" t="str" cm="1">
        <f t="array" ref="X113">IF(OR(J113:W113="NO"),"No aceptable","Aceptable")</f>
        <v>Aceptable</v>
      </c>
      <c r="AN113" s="3" t="str" cm="1">
        <f t="array" ref="AN113">IF(OR(Y113:AM113="NO"),"Critico","No Critico")</f>
        <v>No Critico</v>
      </c>
    </row>
    <row r="114" spans="1:40">
      <c r="A114" s="63">
        <f>Inicial!A76</f>
        <v>0</v>
      </c>
      <c r="B114" s="64">
        <f>Inicial!B76</f>
        <v>0</v>
      </c>
      <c r="C114" s="64">
        <f>Inicial!C76</f>
        <v>0</v>
      </c>
      <c r="D114" s="65">
        <f>Inicial!D76</f>
        <v>0</v>
      </c>
      <c r="E114" s="63" t="str">
        <f>IF(Inicial!N76="SI",Inicial!E76,"N/A")</f>
        <v>N/A</v>
      </c>
      <c r="F114" s="64" t="str">
        <f>IF(Inicial!N76="SI",Inicial!F76,"N/A")</f>
        <v>N/A</v>
      </c>
      <c r="G114" s="64" t="str">
        <f>IF(Inicial!N76="SI",Inicial!G76,"N/A")</f>
        <v>N/A</v>
      </c>
      <c r="H114" s="64" t="str">
        <f>IF(Inicial!N76="SI",Inicial!H76,"N/A")</f>
        <v>N/A</v>
      </c>
      <c r="I114" s="66" t="str">
        <f>IF(Inicial!N76="SI",Inicial!I76,"N/A")</f>
        <v>N/A</v>
      </c>
      <c r="X114" s="83" t="str" cm="1">
        <f t="array" ref="X114">IF(OR(J114:W114="NO"),"No aceptable","Aceptable")</f>
        <v>Aceptable</v>
      </c>
      <c r="AN114" s="3" t="str" cm="1">
        <f t="array" ref="AN114">IF(OR(Y114:AM114="NO"),"Critico","No Critico")</f>
        <v>No Critico</v>
      </c>
    </row>
    <row r="115" spans="1:40">
      <c r="A115" s="63">
        <f>Inicial!A77</f>
        <v>0</v>
      </c>
      <c r="B115" s="64">
        <f>Inicial!B77</f>
        <v>0</v>
      </c>
      <c r="C115" s="64">
        <f>Inicial!C77</f>
        <v>0</v>
      </c>
      <c r="D115" s="65">
        <f>Inicial!D77</f>
        <v>0</v>
      </c>
      <c r="E115" s="63" t="str">
        <f>IF(Inicial!N77="SI",Inicial!E77,"N/A")</f>
        <v>N/A</v>
      </c>
      <c r="F115" s="64" t="str">
        <f>IF(Inicial!N77="SI",Inicial!F77,"N/A")</f>
        <v>N/A</v>
      </c>
      <c r="G115" s="64" t="str">
        <f>IF(Inicial!N77="SI",Inicial!G77,"N/A")</f>
        <v>N/A</v>
      </c>
      <c r="H115" s="64" t="str">
        <f>IF(Inicial!N77="SI",Inicial!H77,"N/A")</f>
        <v>N/A</v>
      </c>
      <c r="I115" s="66" t="str">
        <f>IF(Inicial!N77="SI",Inicial!I77,"N/A")</f>
        <v>N/A</v>
      </c>
      <c r="X115" s="83" t="str" cm="1">
        <f t="array" ref="X115">IF(OR(J115:W115="NO"),"No aceptable","Aceptable")</f>
        <v>Aceptable</v>
      </c>
      <c r="AN115" s="3" t="str" cm="1">
        <f t="array" ref="AN115">IF(OR(Y115:AM115="NO"),"Critico","No Critico")</f>
        <v>No Critico</v>
      </c>
    </row>
    <row r="116" spans="1:40">
      <c r="A116" s="63">
        <f>Inicial!A78</f>
        <v>0</v>
      </c>
      <c r="B116" s="64">
        <f>Inicial!B78</f>
        <v>0</v>
      </c>
      <c r="C116" s="64">
        <f>Inicial!C78</f>
        <v>0</v>
      </c>
      <c r="D116" s="65">
        <f>Inicial!D78</f>
        <v>0</v>
      </c>
      <c r="E116" s="63" t="str">
        <f>IF(Inicial!N78="SI",Inicial!E78,"N/A")</f>
        <v>N/A</v>
      </c>
      <c r="F116" s="64" t="str">
        <f>IF(Inicial!N78="SI",Inicial!F78,"N/A")</f>
        <v>N/A</v>
      </c>
      <c r="G116" s="64" t="str">
        <f>IF(Inicial!N78="SI",Inicial!G78,"N/A")</f>
        <v>N/A</v>
      </c>
      <c r="H116" s="64" t="str">
        <f>IF(Inicial!N78="SI",Inicial!H78,"N/A")</f>
        <v>N/A</v>
      </c>
      <c r="I116" s="66" t="str">
        <f>IF(Inicial!N78="SI",Inicial!I78,"N/A")</f>
        <v>N/A</v>
      </c>
      <c r="X116" s="83" t="str" cm="1">
        <f t="array" ref="X116">IF(OR(J116:W116="NO"),"No aceptable","Aceptable")</f>
        <v>Aceptable</v>
      </c>
      <c r="AN116" s="3" t="str" cm="1">
        <f t="array" ref="AN116">IF(OR(Y116:AM116="NO"),"Critico","No Critico")</f>
        <v>No Critico</v>
      </c>
    </row>
    <row r="117" spans="1:40">
      <c r="A117" s="63">
        <f>Inicial!A79</f>
        <v>0</v>
      </c>
      <c r="B117" s="64">
        <f>Inicial!B79</f>
        <v>0</v>
      </c>
      <c r="C117" s="64">
        <f>Inicial!C79</f>
        <v>0</v>
      </c>
      <c r="D117" s="65">
        <f>Inicial!D79</f>
        <v>0</v>
      </c>
      <c r="E117" s="63" t="str">
        <f>IF(Inicial!N79="SI",Inicial!E79,"N/A")</f>
        <v>N/A</v>
      </c>
      <c r="F117" s="64" t="str">
        <f>IF(Inicial!N79="SI",Inicial!F79,"N/A")</f>
        <v>N/A</v>
      </c>
      <c r="G117" s="64" t="str">
        <f>IF(Inicial!N79="SI",Inicial!G79,"N/A")</f>
        <v>N/A</v>
      </c>
      <c r="H117" s="64" t="str">
        <f>IF(Inicial!N79="SI",Inicial!H79,"N/A")</f>
        <v>N/A</v>
      </c>
      <c r="I117" s="66" t="str">
        <f>IF(Inicial!N79="SI",Inicial!I79,"N/A")</f>
        <v>N/A</v>
      </c>
      <c r="X117" s="83" t="str" cm="1">
        <f t="array" ref="X117">IF(OR(J117:W117="NO"),"No aceptable","Aceptable")</f>
        <v>Aceptable</v>
      </c>
      <c r="AN117" s="3" t="str" cm="1">
        <f t="array" ref="AN117">IF(OR(Y117:AM117="NO"),"Critico","No Critico")</f>
        <v>No Critico</v>
      </c>
    </row>
    <row r="118" spans="1:40">
      <c r="A118" s="63">
        <f>Inicial!A80</f>
        <v>0</v>
      </c>
      <c r="B118" s="64">
        <f>Inicial!B80</f>
        <v>0</v>
      </c>
      <c r="C118" s="64">
        <f>Inicial!C80</f>
        <v>0</v>
      </c>
      <c r="D118" s="65">
        <f>Inicial!D80</f>
        <v>0</v>
      </c>
      <c r="E118" s="63" t="str">
        <f>IF(Inicial!N80="SI",Inicial!E80,"N/A")</f>
        <v>N/A</v>
      </c>
      <c r="F118" s="64" t="str">
        <f>IF(Inicial!N80="SI",Inicial!F80,"N/A")</f>
        <v>N/A</v>
      </c>
      <c r="G118" s="64" t="str">
        <f>IF(Inicial!N80="SI",Inicial!G80,"N/A")</f>
        <v>N/A</v>
      </c>
      <c r="H118" s="64" t="str">
        <f>IF(Inicial!N80="SI",Inicial!H80,"N/A")</f>
        <v>N/A</v>
      </c>
      <c r="I118" s="66" t="str">
        <f>IF(Inicial!N80="SI",Inicial!I80,"N/A")</f>
        <v>N/A</v>
      </c>
      <c r="X118" s="83" t="str" cm="1">
        <f t="array" ref="X118">IF(OR(J118:W118="NO"),"No aceptable","Aceptable")</f>
        <v>Aceptable</v>
      </c>
      <c r="AN118" s="3" t="str" cm="1">
        <f t="array" ref="AN118">IF(OR(Y118:AM118="NO"),"Critico","No Critico")</f>
        <v>No Critico</v>
      </c>
    </row>
    <row r="119" spans="1:40">
      <c r="A119" s="63">
        <f>Inicial!A81</f>
        <v>0</v>
      </c>
      <c r="B119" s="64">
        <f>Inicial!B81</f>
        <v>0</v>
      </c>
      <c r="C119" s="64">
        <f>Inicial!C81</f>
        <v>0</v>
      </c>
      <c r="D119" s="65">
        <f>Inicial!D81</f>
        <v>0</v>
      </c>
      <c r="E119" s="63" t="str">
        <f>IF(Inicial!N81="SI",Inicial!E81,"N/A")</f>
        <v>N/A</v>
      </c>
      <c r="F119" s="64" t="str">
        <f>IF(Inicial!N81="SI",Inicial!F81,"N/A")</f>
        <v>N/A</v>
      </c>
      <c r="G119" s="64" t="str">
        <f>IF(Inicial!N81="SI",Inicial!G81,"N/A")</f>
        <v>N/A</v>
      </c>
      <c r="H119" s="64" t="str">
        <f>IF(Inicial!N81="SI",Inicial!H81,"N/A")</f>
        <v>N/A</v>
      </c>
      <c r="I119" s="66" t="str">
        <f>IF(Inicial!N81="SI",Inicial!I81,"N/A")</f>
        <v>N/A</v>
      </c>
      <c r="X119" s="83" t="str" cm="1">
        <f t="array" ref="X119">IF(OR(J119:W119="NO"),"No aceptable","Aceptable")</f>
        <v>Aceptable</v>
      </c>
      <c r="AN119" s="3" t="str" cm="1">
        <f t="array" ref="AN119">IF(OR(Y119:AM119="NO"),"Critico","No Critico")</f>
        <v>No Critico</v>
      </c>
    </row>
    <row r="120" spans="1:40">
      <c r="A120" s="63">
        <f>Inicial!A82</f>
        <v>0</v>
      </c>
      <c r="B120" s="64">
        <f>Inicial!B82</f>
        <v>0</v>
      </c>
      <c r="C120" s="64">
        <f>Inicial!C82</f>
        <v>0</v>
      </c>
      <c r="D120" s="65">
        <f>Inicial!D82</f>
        <v>0</v>
      </c>
      <c r="E120" s="63" t="str">
        <f>IF(Inicial!N82="SI",Inicial!E82,"N/A")</f>
        <v>N/A</v>
      </c>
      <c r="F120" s="64" t="str">
        <f>IF(Inicial!N82="SI",Inicial!F82,"N/A")</f>
        <v>N/A</v>
      </c>
      <c r="G120" s="64" t="str">
        <f>IF(Inicial!N82="SI",Inicial!G82,"N/A")</f>
        <v>N/A</v>
      </c>
      <c r="H120" s="64" t="str">
        <f>IF(Inicial!N82="SI",Inicial!H82,"N/A")</f>
        <v>N/A</v>
      </c>
      <c r="I120" s="66" t="str">
        <f>IF(Inicial!N82="SI",Inicial!I82,"N/A")</f>
        <v>N/A</v>
      </c>
      <c r="X120" s="83" t="str" cm="1">
        <f t="array" ref="X120">IF(OR(J120:W120="NO"),"No aceptable","Aceptable")</f>
        <v>Aceptable</v>
      </c>
      <c r="AN120" s="3" t="str" cm="1">
        <f t="array" ref="AN120">IF(OR(Y120:AM120="NO"),"Critico","No Critico")</f>
        <v>No Critico</v>
      </c>
    </row>
    <row r="121" spans="1:40">
      <c r="A121" s="63">
        <f>Inicial!A83</f>
        <v>0</v>
      </c>
      <c r="B121" s="64">
        <f>Inicial!B83</f>
        <v>0</v>
      </c>
      <c r="C121" s="64">
        <f>Inicial!C83</f>
        <v>0</v>
      </c>
      <c r="D121" s="65">
        <f>Inicial!D83</f>
        <v>0</v>
      </c>
      <c r="E121" s="63" t="str">
        <f>IF(Inicial!N83="SI",Inicial!E83,"N/A")</f>
        <v>N/A</v>
      </c>
      <c r="F121" s="64" t="str">
        <f>IF(Inicial!N83="SI",Inicial!F83,"N/A")</f>
        <v>N/A</v>
      </c>
      <c r="G121" s="64" t="str">
        <f>IF(Inicial!N83="SI",Inicial!G83,"N/A")</f>
        <v>N/A</v>
      </c>
      <c r="H121" s="64" t="str">
        <f>IF(Inicial!N83="SI",Inicial!H83,"N/A")</f>
        <v>N/A</v>
      </c>
      <c r="I121" s="66" t="str">
        <f>IF(Inicial!N83="SI",Inicial!I83,"N/A")</f>
        <v>N/A</v>
      </c>
      <c r="X121" s="83" t="str" cm="1">
        <f t="array" ref="X121">IF(OR(J121:W121="NO"),"No aceptable","Aceptable")</f>
        <v>Aceptable</v>
      </c>
      <c r="AN121" s="3" t="str" cm="1">
        <f t="array" ref="AN121">IF(OR(Y121:AM121="NO"),"Critico","No Critico")</f>
        <v>No Critico</v>
      </c>
    </row>
    <row r="122" spans="1:40">
      <c r="A122" s="63">
        <f>Inicial!A84</f>
        <v>0</v>
      </c>
      <c r="B122" s="64">
        <f>Inicial!B84</f>
        <v>0</v>
      </c>
      <c r="C122" s="64">
        <f>Inicial!C84</f>
        <v>0</v>
      </c>
      <c r="D122" s="65">
        <f>Inicial!D84</f>
        <v>0</v>
      </c>
      <c r="E122" s="63" t="str">
        <f>IF(Inicial!N84="SI",Inicial!E84,"N/A")</f>
        <v>N/A</v>
      </c>
      <c r="F122" s="64" t="str">
        <f>IF(Inicial!N84="SI",Inicial!F84,"N/A")</f>
        <v>N/A</v>
      </c>
      <c r="G122" s="64" t="str">
        <f>IF(Inicial!N84="SI",Inicial!G84,"N/A")</f>
        <v>N/A</v>
      </c>
      <c r="H122" s="64" t="str">
        <f>IF(Inicial!N84="SI",Inicial!H84,"N/A")</f>
        <v>N/A</v>
      </c>
      <c r="I122" s="66" t="str">
        <f>IF(Inicial!N84="SI",Inicial!I84,"N/A")</f>
        <v>N/A</v>
      </c>
      <c r="X122" s="83" t="str" cm="1">
        <f t="array" ref="X122">IF(OR(J122:W122="NO"),"No aceptable","Aceptable")</f>
        <v>Aceptable</v>
      </c>
      <c r="AN122" s="3" t="str" cm="1">
        <f t="array" ref="AN122">IF(OR(Y122:AM122="NO"),"Critico","No Critico")</f>
        <v>No Critico</v>
      </c>
    </row>
    <row r="123" spans="1:40">
      <c r="A123" s="63">
        <f>Inicial!A85</f>
        <v>0</v>
      </c>
      <c r="B123" s="64">
        <f>Inicial!B85</f>
        <v>0</v>
      </c>
      <c r="C123" s="64">
        <f>Inicial!C85</f>
        <v>0</v>
      </c>
      <c r="D123" s="65">
        <f>Inicial!D85</f>
        <v>0</v>
      </c>
      <c r="E123" s="63" t="str">
        <f>IF(Inicial!N85="SI",Inicial!E85,"N/A")</f>
        <v>N/A</v>
      </c>
      <c r="F123" s="64" t="str">
        <f>IF(Inicial!N85="SI",Inicial!F85,"N/A")</f>
        <v>N/A</v>
      </c>
      <c r="G123" s="64" t="str">
        <f>IF(Inicial!N85="SI",Inicial!G85,"N/A")</f>
        <v>N/A</v>
      </c>
      <c r="H123" s="64" t="str">
        <f>IF(Inicial!N85="SI",Inicial!H85,"N/A")</f>
        <v>N/A</v>
      </c>
      <c r="I123" s="66" t="str">
        <f>IF(Inicial!N85="SI",Inicial!I85,"N/A")</f>
        <v>N/A</v>
      </c>
      <c r="X123" s="83" t="str" cm="1">
        <f t="array" ref="X123">IF(OR(J123:W123="NO"),"No aceptable","Aceptable")</f>
        <v>Aceptable</v>
      </c>
      <c r="AN123" s="3" t="str" cm="1">
        <f t="array" ref="AN123">IF(OR(Y123:AM123="NO"),"Critico","No Critico")</f>
        <v>No Critico</v>
      </c>
    </row>
    <row r="124" spans="1:40">
      <c r="A124" s="63">
        <f>Inicial!A86</f>
        <v>0</v>
      </c>
      <c r="B124" s="64">
        <f>Inicial!B86</f>
        <v>0</v>
      </c>
      <c r="C124" s="64">
        <f>Inicial!C86</f>
        <v>0</v>
      </c>
      <c r="D124" s="65">
        <f>Inicial!D86</f>
        <v>0</v>
      </c>
      <c r="E124" s="63" t="str">
        <f>IF(Inicial!N86="SI",Inicial!E86,"N/A")</f>
        <v>N/A</v>
      </c>
      <c r="F124" s="64" t="str">
        <f>IF(Inicial!N86="SI",Inicial!F86,"N/A")</f>
        <v>N/A</v>
      </c>
      <c r="G124" s="64" t="str">
        <f>IF(Inicial!N86="SI",Inicial!G86,"N/A")</f>
        <v>N/A</v>
      </c>
      <c r="H124" s="64" t="str">
        <f>IF(Inicial!N86="SI",Inicial!H86,"N/A")</f>
        <v>N/A</v>
      </c>
      <c r="I124" s="66" t="str">
        <f>IF(Inicial!N86="SI",Inicial!I86,"N/A")</f>
        <v>N/A</v>
      </c>
      <c r="X124" s="83" t="str" cm="1">
        <f t="array" ref="X124">IF(OR(J124:W124="NO"),"No aceptable","Aceptable")</f>
        <v>Aceptable</v>
      </c>
      <c r="AN124" s="3" t="str" cm="1">
        <f t="array" ref="AN124">IF(OR(Y124:AM124="NO"),"Critico","No Critico")</f>
        <v>No Critico</v>
      </c>
    </row>
    <row r="125" spans="1:40">
      <c r="A125" s="63">
        <f>Inicial!A87</f>
        <v>0</v>
      </c>
      <c r="B125" s="64">
        <f>Inicial!B87</f>
        <v>0</v>
      </c>
      <c r="C125" s="64">
        <f>Inicial!C87</f>
        <v>0</v>
      </c>
      <c r="D125" s="65">
        <f>Inicial!D87</f>
        <v>0</v>
      </c>
      <c r="E125" s="63" t="str">
        <f>IF(Inicial!N87="SI",Inicial!E87,"N/A")</f>
        <v>N/A</v>
      </c>
      <c r="F125" s="64" t="str">
        <f>IF(Inicial!N87="SI",Inicial!F87,"N/A")</f>
        <v>N/A</v>
      </c>
      <c r="G125" s="64" t="str">
        <f>IF(Inicial!N87="SI",Inicial!G87,"N/A")</f>
        <v>N/A</v>
      </c>
      <c r="H125" s="64" t="str">
        <f>IF(Inicial!N87="SI",Inicial!H87,"N/A")</f>
        <v>N/A</v>
      </c>
      <c r="I125" s="66" t="str">
        <f>IF(Inicial!N87="SI",Inicial!I87,"N/A")</f>
        <v>N/A</v>
      </c>
      <c r="X125" s="83" t="str" cm="1">
        <f t="array" ref="X125">IF(OR(J125:W125="NO"),"No aceptable","Aceptable")</f>
        <v>Aceptable</v>
      </c>
      <c r="AN125" s="3" t="str" cm="1">
        <f t="array" ref="AN125">IF(OR(Y125:AM125="NO"),"Critico","No Critico")</f>
        <v>No Critico</v>
      </c>
    </row>
    <row r="126" spans="1:40">
      <c r="A126" s="63">
        <f>Inicial!A88</f>
        <v>0</v>
      </c>
      <c r="B126" s="64">
        <f>Inicial!B88</f>
        <v>0</v>
      </c>
      <c r="C126" s="64">
        <f>Inicial!C88</f>
        <v>0</v>
      </c>
      <c r="D126" s="65">
        <f>Inicial!D88</f>
        <v>0</v>
      </c>
      <c r="E126" s="63" t="str">
        <f>IF(Inicial!N88="SI",Inicial!E88,"N/A")</f>
        <v>N/A</v>
      </c>
      <c r="F126" s="64" t="str">
        <f>IF(Inicial!N88="SI",Inicial!F88,"N/A")</f>
        <v>N/A</v>
      </c>
      <c r="G126" s="64" t="str">
        <f>IF(Inicial!N88="SI",Inicial!G88,"N/A")</f>
        <v>N/A</v>
      </c>
      <c r="H126" s="64" t="str">
        <f>IF(Inicial!N88="SI",Inicial!H88,"N/A")</f>
        <v>N/A</v>
      </c>
      <c r="I126" s="66" t="str">
        <f>IF(Inicial!N88="SI",Inicial!I88,"N/A")</f>
        <v>N/A</v>
      </c>
      <c r="X126" s="83" t="str" cm="1">
        <f t="array" ref="X126">IF(OR(J126:W126="NO"),"No aceptable","Aceptable")</f>
        <v>Aceptable</v>
      </c>
      <c r="AN126" s="3" t="str" cm="1">
        <f t="array" ref="AN126">IF(OR(Y126:AM126="NO"),"Critico","No Critico")</f>
        <v>No Critico</v>
      </c>
    </row>
    <row r="127" spans="1:40">
      <c r="A127" s="63">
        <f>Inicial!A89</f>
        <v>0</v>
      </c>
      <c r="B127" s="64">
        <f>Inicial!B89</f>
        <v>0</v>
      </c>
      <c r="C127" s="64">
        <f>Inicial!C89</f>
        <v>0</v>
      </c>
      <c r="D127" s="65">
        <f>Inicial!D89</f>
        <v>0</v>
      </c>
      <c r="E127" s="63" t="str">
        <f>IF(Inicial!N89="SI",Inicial!E89,"N/A")</f>
        <v>N/A</v>
      </c>
      <c r="F127" s="64" t="str">
        <f>IF(Inicial!N89="SI",Inicial!F89,"N/A")</f>
        <v>N/A</v>
      </c>
      <c r="G127" s="64" t="str">
        <f>IF(Inicial!N89="SI",Inicial!G89,"N/A")</f>
        <v>N/A</v>
      </c>
      <c r="H127" s="64" t="str">
        <f>IF(Inicial!N89="SI",Inicial!H89,"N/A")</f>
        <v>N/A</v>
      </c>
      <c r="I127" s="66" t="str">
        <f>IF(Inicial!N89="SI",Inicial!I89,"N/A")</f>
        <v>N/A</v>
      </c>
      <c r="X127" s="83" t="str" cm="1">
        <f t="array" ref="X127">IF(OR(J127:W127="NO"),"No aceptable","Aceptable")</f>
        <v>Aceptable</v>
      </c>
      <c r="AN127" s="3" t="str" cm="1">
        <f t="array" ref="AN127">IF(OR(Y127:AM127="NO"),"Critico","No Critico")</f>
        <v>No Critico</v>
      </c>
    </row>
    <row r="128" spans="1:40">
      <c r="A128" s="63">
        <f>Inicial!A90</f>
        <v>0</v>
      </c>
      <c r="B128" s="64">
        <f>Inicial!B90</f>
        <v>0</v>
      </c>
      <c r="C128" s="64">
        <f>Inicial!C90</f>
        <v>0</v>
      </c>
      <c r="D128" s="65">
        <f>Inicial!D90</f>
        <v>0</v>
      </c>
      <c r="E128" s="63" t="str">
        <f>IF(Inicial!N90="SI",Inicial!E90,"N/A")</f>
        <v>N/A</v>
      </c>
      <c r="F128" s="64" t="str">
        <f>IF(Inicial!N90="SI",Inicial!F90,"N/A")</f>
        <v>N/A</v>
      </c>
      <c r="G128" s="64" t="str">
        <f>IF(Inicial!N90="SI",Inicial!G90,"N/A")</f>
        <v>N/A</v>
      </c>
      <c r="H128" s="64" t="str">
        <f>IF(Inicial!N90="SI",Inicial!H90,"N/A")</f>
        <v>N/A</v>
      </c>
      <c r="I128" s="66" t="str">
        <f>IF(Inicial!N90="SI",Inicial!I90,"N/A")</f>
        <v>N/A</v>
      </c>
      <c r="X128" s="83" t="str" cm="1">
        <f t="array" ref="X128">IF(OR(J128:W128="NO"),"No aceptable","Aceptable")</f>
        <v>Aceptable</v>
      </c>
      <c r="AN128" s="3" t="str" cm="1">
        <f t="array" ref="AN128">IF(OR(Y128:AM128="NO"),"Critico","No Critico")</f>
        <v>No Critico</v>
      </c>
    </row>
    <row r="129" spans="1:40">
      <c r="A129" s="63">
        <f>Inicial!A91</f>
        <v>0</v>
      </c>
      <c r="B129" s="64">
        <f>Inicial!B91</f>
        <v>0</v>
      </c>
      <c r="C129" s="64">
        <f>Inicial!C91</f>
        <v>0</v>
      </c>
      <c r="D129" s="65">
        <f>Inicial!D91</f>
        <v>0</v>
      </c>
      <c r="E129" s="63" t="str">
        <f>IF(Inicial!N91="SI",Inicial!E91,"N/A")</f>
        <v>N/A</v>
      </c>
      <c r="F129" s="64" t="str">
        <f>IF(Inicial!N91="SI",Inicial!F91,"N/A")</f>
        <v>N/A</v>
      </c>
      <c r="G129" s="64" t="str">
        <f>IF(Inicial!N91="SI",Inicial!G91,"N/A")</f>
        <v>N/A</v>
      </c>
      <c r="H129" s="64" t="str">
        <f>IF(Inicial!N91="SI",Inicial!H91,"N/A")</f>
        <v>N/A</v>
      </c>
      <c r="I129" s="66" t="str">
        <f>IF(Inicial!N91="SI",Inicial!I91,"N/A")</f>
        <v>N/A</v>
      </c>
      <c r="X129" s="83" t="str" cm="1">
        <f t="array" ref="X129">IF(OR(J129:W129="NO"),"No aceptable","Aceptable")</f>
        <v>Aceptable</v>
      </c>
      <c r="AN129" s="3" t="str" cm="1">
        <f t="array" ref="AN129">IF(OR(Y129:AM129="NO"),"Critico","No Critico")</f>
        <v>No Critico</v>
      </c>
    </row>
    <row r="130" spans="1:40">
      <c r="A130" s="63">
        <f>Inicial!A92</f>
        <v>0</v>
      </c>
      <c r="B130" s="64">
        <f>Inicial!B92</f>
        <v>0</v>
      </c>
      <c r="C130" s="64">
        <f>Inicial!C92</f>
        <v>0</v>
      </c>
      <c r="D130" s="65">
        <f>Inicial!D92</f>
        <v>0</v>
      </c>
      <c r="E130" s="63" t="str">
        <f>IF(Inicial!N92="SI",Inicial!E92,"N/A")</f>
        <v>N/A</v>
      </c>
      <c r="F130" s="64" t="str">
        <f>IF(Inicial!N92="SI",Inicial!F92,"N/A")</f>
        <v>N/A</v>
      </c>
      <c r="G130" s="64" t="str">
        <f>IF(Inicial!N92="SI",Inicial!G92,"N/A")</f>
        <v>N/A</v>
      </c>
      <c r="H130" s="64" t="str">
        <f>IF(Inicial!N92="SI",Inicial!H92,"N/A")</f>
        <v>N/A</v>
      </c>
      <c r="I130" s="66" t="str">
        <f>IF(Inicial!N92="SI",Inicial!I92,"N/A")</f>
        <v>N/A</v>
      </c>
      <c r="X130" s="83" t="str" cm="1">
        <f t="array" ref="X130">IF(OR(J130:W130="NO"),"No aceptable","Aceptable")</f>
        <v>Aceptable</v>
      </c>
      <c r="AN130" s="3" t="str" cm="1">
        <f t="array" ref="AN130">IF(OR(Y130:AM130="NO"),"Critico","No Critico")</f>
        <v>No Critico</v>
      </c>
    </row>
    <row r="131" spans="1:40">
      <c r="A131" s="63">
        <f>Inicial!A93</f>
        <v>0</v>
      </c>
      <c r="B131" s="64">
        <f>Inicial!B93</f>
        <v>0</v>
      </c>
      <c r="C131" s="64">
        <f>Inicial!C93</f>
        <v>0</v>
      </c>
      <c r="D131" s="65">
        <f>Inicial!D93</f>
        <v>0</v>
      </c>
      <c r="E131" s="63" t="str">
        <f>IF(Inicial!N93="SI",Inicial!E93,"N/A")</f>
        <v>N/A</v>
      </c>
      <c r="F131" s="64" t="str">
        <f>IF(Inicial!N93="SI",Inicial!F93,"N/A")</f>
        <v>N/A</v>
      </c>
      <c r="G131" s="64" t="str">
        <f>IF(Inicial!N93="SI",Inicial!G93,"N/A")</f>
        <v>N/A</v>
      </c>
      <c r="H131" s="64" t="str">
        <f>IF(Inicial!N93="SI",Inicial!H93,"N/A")</f>
        <v>N/A</v>
      </c>
      <c r="I131" s="66" t="str">
        <f>IF(Inicial!N93="SI",Inicial!I93,"N/A")</f>
        <v>N/A</v>
      </c>
      <c r="X131" s="83" t="str" cm="1">
        <f t="array" ref="X131">IF(OR(J131:W131="NO"),"No aceptable","Aceptable")</f>
        <v>Aceptable</v>
      </c>
      <c r="AN131" s="3" t="str" cm="1">
        <f t="array" ref="AN131">IF(OR(Y131:AM131="NO"),"Critico","No Critico")</f>
        <v>No Critico</v>
      </c>
    </row>
    <row r="132" spans="1:40">
      <c r="A132" s="63">
        <f>Inicial!A94</f>
        <v>0</v>
      </c>
      <c r="B132" s="64">
        <f>Inicial!B94</f>
        <v>0</v>
      </c>
      <c r="C132" s="64">
        <f>Inicial!C94</f>
        <v>0</v>
      </c>
      <c r="D132" s="65">
        <f>Inicial!D94</f>
        <v>0</v>
      </c>
      <c r="E132" s="63" t="str">
        <f>IF(Inicial!N94="SI",Inicial!E94,"N/A")</f>
        <v>N/A</v>
      </c>
      <c r="F132" s="64" t="str">
        <f>IF(Inicial!N94="SI",Inicial!F94,"N/A")</f>
        <v>N/A</v>
      </c>
      <c r="G132" s="64" t="str">
        <f>IF(Inicial!N94="SI",Inicial!G94,"N/A")</f>
        <v>N/A</v>
      </c>
      <c r="H132" s="64" t="str">
        <f>IF(Inicial!N94="SI",Inicial!H94,"N/A")</f>
        <v>N/A</v>
      </c>
      <c r="I132" s="66" t="str">
        <f>IF(Inicial!N94="SI",Inicial!I94,"N/A")</f>
        <v>N/A</v>
      </c>
      <c r="X132" s="83" t="str" cm="1">
        <f t="array" ref="X132">IF(OR(J132:W132="NO"),"No aceptable","Aceptable")</f>
        <v>Aceptable</v>
      </c>
      <c r="AN132" s="3" t="str" cm="1">
        <f t="array" ref="AN132">IF(OR(Y132:AM132="NO"),"Critico","No Critico")</f>
        <v>No Critico</v>
      </c>
    </row>
    <row r="133" spans="1:40">
      <c r="A133" s="63">
        <f>Inicial!A95</f>
        <v>0</v>
      </c>
      <c r="B133" s="64">
        <f>Inicial!B95</f>
        <v>0</v>
      </c>
      <c r="C133" s="64">
        <f>Inicial!C95</f>
        <v>0</v>
      </c>
      <c r="D133" s="65">
        <f>Inicial!D95</f>
        <v>0</v>
      </c>
      <c r="E133" s="63" t="str">
        <f>IF(Inicial!N95="SI",Inicial!E95,"N/A")</f>
        <v>N/A</v>
      </c>
      <c r="F133" s="64" t="str">
        <f>IF(Inicial!N95="SI",Inicial!F95,"N/A")</f>
        <v>N/A</v>
      </c>
      <c r="G133" s="64" t="str">
        <f>IF(Inicial!N95="SI",Inicial!G95,"N/A")</f>
        <v>N/A</v>
      </c>
      <c r="H133" s="64" t="str">
        <f>IF(Inicial!N95="SI",Inicial!H95,"N/A")</f>
        <v>N/A</v>
      </c>
      <c r="I133" s="66" t="str">
        <f>IF(Inicial!N95="SI",Inicial!I95,"N/A")</f>
        <v>N/A</v>
      </c>
      <c r="X133" s="83" t="str" cm="1">
        <f t="array" ref="X133">IF(OR(J133:W133="NO"),"No aceptable","Aceptable")</f>
        <v>Aceptable</v>
      </c>
      <c r="AN133" s="3" t="str" cm="1">
        <f t="array" ref="AN133">IF(OR(Y133:AM133="NO"),"Critico","No Critico")</f>
        <v>No Critico</v>
      </c>
    </row>
    <row r="134" spans="1:40">
      <c r="A134" s="63">
        <f>Inicial!A96</f>
        <v>0</v>
      </c>
      <c r="B134" s="64">
        <f>Inicial!B96</f>
        <v>0</v>
      </c>
      <c r="C134" s="64">
        <f>Inicial!C96</f>
        <v>0</v>
      </c>
      <c r="D134" s="65">
        <f>Inicial!D96</f>
        <v>0</v>
      </c>
      <c r="E134" s="63" t="str">
        <f>IF(Inicial!N96="SI",Inicial!E96,"N/A")</f>
        <v>N/A</v>
      </c>
      <c r="F134" s="64" t="str">
        <f>IF(Inicial!N96="SI",Inicial!F96,"N/A")</f>
        <v>N/A</v>
      </c>
      <c r="G134" s="64" t="str">
        <f>IF(Inicial!N96="SI",Inicial!G96,"N/A")</f>
        <v>N/A</v>
      </c>
      <c r="H134" s="64" t="str">
        <f>IF(Inicial!N96="SI",Inicial!H96,"N/A")</f>
        <v>N/A</v>
      </c>
      <c r="I134" s="66" t="str">
        <f>IF(Inicial!N96="SI",Inicial!I96,"N/A")</f>
        <v>N/A</v>
      </c>
      <c r="X134" s="83" t="str" cm="1">
        <f t="array" ref="X134">IF(OR(J134:W134="NO"),"No aceptable","Aceptable")</f>
        <v>Aceptable</v>
      </c>
      <c r="AN134" s="3" t="str" cm="1">
        <f t="array" ref="AN134">IF(OR(Y134:AM134="NO"),"Critico","No Critico")</f>
        <v>No Critico</v>
      </c>
    </row>
    <row r="135" spans="1:40">
      <c r="A135" s="63">
        <f>Inicial!A97</f>
        <v>0</v>
      </c>
      <c r="B135" s="64">
        <f>Inicial!B97</f>
        <v>0</v>
      </c>
      <c r="C135" s="64">
        <f>Inicial!C97</f>
        <v>0</v>
      </c>
      <c r="D135" s="65">
        <f>Inicial!D97</f>
        <v>0</v>
      </c>
      <c r="E135" s="63" t="str">
        <f>IF(Inicial!N97="SI",Inicial!E97,"N/A")</f>
        <v>N/A</v>
      </c>
      <c r="F135" s="64" t="str">
        <f>IF(Inicial!N97="SI",Inicial!F97,"N/A")</f>
        <v>N/A</v>
      </c>
      <c r="G135" s="64" t="str">
        <f>IF(Inicial!N97="SI",Inicial!G97,"N/A")</f>
        <v>N/A</v>
      </c>
      <c r="H135" s="64" t="str">
        <f>IF(Inicial!N97="SI",Inicial!H97,"N/A")</f>
        <v>N/A</v>
      </c>
      <c r="I135" s="66" t="str">
        <f>IF(Inicial!N97="SI",Inicial!I97,"N/A")</f>
        <v>N/A</v>
      </c>
      <c r="X135" s="83" t="str" cm="1">
        <f t="array" ref="X135">IF(OR(J135:W135="NO"),"No aceptable","Aceptable")</f>
        <v>Aceptable</v>
      </c>
      <c r="AN135" s="3" t="str" cm="1">
        <f t="array" ref="AN135">IF(OR(Y135:AM135="NO"),"Critico","No Critico")</f>
        <v>No Critico</v>
      </c>
    </row>
    <row r="136" spans="1:40">
      <c r="A136" s="63">
        <f>Inicial!A98</f>
        <v>0</v>
      </c>
      <c r="B136" s="64">
        <f>Inicial!B98</f>
        <v>0</v>
      </c>
      <c r="C136" s="64">
        <f>Inicial!C98</f>
        <v>0</v>
      </c>
      <c r="D136" s="65">
        <f>Inicial!D98</f>
        <v>0</v>
      </c>
      <c r="E136" s="63" t="str">
        <f>IF(Inicial!N98="SI",Inicial!E98,"N/A")</f>
        <v>N/A</v>
      </c>
      <c r="F136" s="64" t="str">
        <f>IF(Inicial!N98="SI",Inicial!F98,"N/A")</f>
        <v>N/A</v>
      </c>
      <c r="G136" s="64" t="str">
        <f>IF(Inicial!N98="SI",Inicial!G98,"N/A")</f>
        <v>N/A</v>
      </c>
      <c r="H136" s="64" t="str">
        <f>IF(Inicial!N98="SI",Inicial!H98,"N/A")</f>
        <v>N/A</v>
      </c>
      <c r="I136" s="66" t="str">
        <f>IF(Inicial!N98="SI",Inicial!I98,"N/A")</f>
        <v>N/A</v>
      </c>
      <c r="X136" s="83" t="str" cm="1">
        <f t="array" ref="X136">IF(OR(J136:W136="NO"),"No aceptable","Aceptable")</f>
        <v>Aceptable</v>
      </c>
      <c r="AN136" s="3" t="str" cm="1">
        <f t="array" ref="AN136">IF(OR(Y136:AM136="NO"),"Critico","No Critico")</f>
        <v>No Critico</v>
      </c>
    </row>
    <row r="137" spans="1:40">
      <c r="A137" s="63">
        <f>Inicial!A99</f>
        <v>0</v>
      </c>
      <c r="B137" s="64">
        <f>Inicial!B99</f>
        <v>0</v>
      </c>
      <c r="C137" s="64">
        <f>Inicial!C99</f>
        <v>0</v>
      </c>
      <c r="D137" s="65">
        <f>Inicial!D99</f>
        <v>0</v>
      </c>
      <c r="E137" s="63" t="str">
        <f>IF(Inicial!N99="SI",Inicial!E99,"N/A")</f>
        <v>N/A</v>
      </c>
      <c r="F137" s="64" t="str">
        <f>IF(Inicial!N99="SI",Inicial!F99,"N/A")</f>
        <v>N/A</v>
      </c>
      <c r="G137" s="64" t="str">
        <f>IF(Inicial!N99="SI",Inicial!G99,"N/A")</f>
        <v>N/A</v>
      </c>
      <c r="H137" s="64" t="str">
        <f>IF(Inicial!N99="SI",Inicial!H99,"N/A")</f>
        <v>N/A</v>
      </c>
      <c r="I137" s="66" t="str">
        <f>IF(Inicial!N99="SI",Inicial!I99,"N/A")</f>
        <v>N/A</v>
      </c>
      <c r="X137" s="83" t="str" cm="1">
        <f t="array" ref="X137">IF(OR(J137:W137="NO"),"No aceptable","Aceptable")</f>
        <v>Aceptable</v>
      </c>
      <c r="AN137" s="3" t="str" cm="1">
        <f t="array" ref="AN137">IF(OR(Y137:AM137="NO"),"Critico","No Critico")</f>
        <v>No Critico</v>
      </c>
    </row>
    <row r="138" spans="1:40">
      <c r="A138" s="63">
        <f>Inicial!A100</f>
        <v>0</v>
      </c>
      <c r="B138" s="64">
        <f>Inicial!B100</f>
        <v>0</v>
      </c>
      <c r="C138" s="64">
        <f>Inicial!C100</f>
        <v>0</v>
      </c>
      <c r="D138" s="65">
        <f>Inicial!D100</f>
        <v>0</v>
      </c>
      <c r="E138" s="63" t="str">
        <f>IF(Inicial!N100="SI",Inicial!E100,"N/A")</f>
        <v>N/A</v>
      </c>
      <c r="F138" s="64" t="str">
        <f>IF(Inicial!N100="SI",Inicial!F100,"N/A")</f>
        <v>N/A</v>
      </c>
      <c r="G138" s="64" t="str">
        <f>IF(Inicial!N100="SI",Inicial!G100,"N/A")</f>
        <v>N/A</v>
      </c>
      <c r="H138" s="64" t="str">
        <f>IF(Inicial!N100="SI",Inicial!H100,"N/A")</f>
        <v>N/A</v>
      </c>
      <c r="I138" s="66" t="str">
        <f>IF(Inicial!N100="SI",Inicial!I100,"N/A")</f>
        <v>N/A</v>
      </c>
      <c r="X138" s="83" t="str" cm="1">
        <f t="array" ref="X138">IF(OR(J138:W138="NO"),"No aceptable","Aceptable")</f>
        <v>Aceptable</v>
      </c>
      <c r="AN138" s="3" t="str" cm="1">
        <f t="array" ref="AN138">IF(OR(Y138:AM138="NO"),"Critico","No Critico")</f>
        <v>No Critico</v>
      </c>
    </row>
    <row r="139" spans="1:40">
      <c r="A139" s="63">
        <f>Inicial!A101</f>
        <v>0</v>
      </c>
      <c r="B139" s="64">
        <f>Inicial!B101</f>
        <v>0</v>
      </c>
      <c r="C139" s="64">
        <f>Inicial!C101</f>
        <v>0</v>
      </c>
      <c r="D139" s="65">
        <f>Inicial!D101</f>
        <v>0</v>
      </c>
      <c r="E139" s="63" t="str">
        <f>IF(Inicial!N101="SI",Inicial!E101,"N/A")</f>
        <v>N/A</v>
      </c>
      <c r="F139" s="64" t="str">
        <f>IF(Inicial!N101="SI",Inicial!F101,"N/A")</f>
        <v>N/A</v>
      </c>
      <c r="G139" s="64" t="str">
        <f>IF(Inicial!N101="SI",Inicial!G101,"N/A")</f>
        <v>N/A</v>
      </c>
      <c r="H139" s="64" t="str">
        <f>IF(Inicial!N101="SI",Inicial!H101,"N/A")</f>
        <v>N/A</v>
      </c>
      <c r="I139" s="66" t="str">
        <f>IF(Inicial!N101="SI",Inicial!I101,"N/A")</f>
        <v>N/A</v>
      </c>
      <c r="X139" s="83" t="str" cm="1">
        <f t="array" ref="X139">IF(OR(J139:W139="NO"),"No aceptable","Aceptable")</f>
        <v>Aceptable</v>
      </c>
      <c r="AN139" s="3" t="str" cm="1">
        <f t="array" ref="AN139">IF(OR(Y139:AM139="NO"),"Critico","No Critico")</f>
        <v>No Critico</v>
      </c>
    </row>
    <row r="140" spans="1:40">
      <c r="A140" s="63">
        <f>Inicial!A102</f>
        <v>0</v>
      </c>
      <c r="B140" s="64">
        <f>Inicial!B102</f>
        <v>0</v>
      </c>
      <c r="C140" s="64">
        <f>Inicial!C102</f>
        <v>0</v>
      </c>
      <c r="D140" s="65">
        <f>Inicial!D102</f>
        <v>0</v>
      </c>
      <c r="E140" s="63" t="str">
        <f>IF(Inicial!N102="SI",Inicial!E102,"N/A")</f>
        <v>N/A</v>
      </c>
      <c r="F140" s="64" t="str">
        <f>IF(Inicial!N102="SI",Inicial!F102,"N/A")</f>
        <v>N/A</v>
      </c>
      <c r="G140" s="64" t="str">
        <f>IF(Inicial!N102="SI",Inicial!G102,"N/A")</f>
        <v>N/A</v>
      </c>
      <c r="H140" s="64" t="str">
        <f>IF(Inicial!N102="SI",Inicial!H102,"N/A")</f>
        <v>N/A</v>
      </c>
      <c r="I140" s="66" t="str">
        <f>IF(Inicial!N102="SI",Inicial!I102,"N/A")</f>
        <v>N/A</v>
      </c>
      <c r="X140" s="83" t="str" cm="1">
        <f t="array" ref="X140">IF(OR(J140:W140="NO"),"No aceptable","Aceptable")</f>
        <v>Aceptable</v>
      </c>
      <c r="AN140" s="3" t="str" cm="1">
        <f t="array" ref="AN140">IF(OR(Y140:AM140="NO"),"Critico","No Critico")</f>
        <v>No Critico</v>
      </c>
    </row>
    <row r="141" spans="1:40">
      <c r="A141" s="63">
        <f>Inicial!A103</f>
        <v>0</v>
      </c>
      <c r="B141" s="64">
        <f>Inicial!B103</f>
        <v>0</v>
      </c>
      <c r="C141" s="64">
        <f>Inicial!C103</f>
        <v>0</v>
      </c>
      <c r="D141" s="65">
        <f>Inicial!D103</f>
        <v>0</v>
      </c>
      <c r="E141" s="63" t="str">
        <f>IF(Inicial!N103="SI",Inicial!E103,"N/A")</f>
        <v>N/A</v>
      </c>
      <c r="F141" s="64" t="str">
        <f>IF(Inicial!N103="SI",Inicial!F103,"N/A")</f>
        <v>N/A</v>
      </c>
      <c r="G141" s="64" t="str">
        <f>IF(Inicial!N103="SI",Inicial!G103,"N/A")</f>
        <v>N/A</v>
      </c>
      <c r="H141" s="64" t="str">
        <f>IF(Inicial!N103="SI",Inicial!H103,"N/A")</f>
        <v>N/A</v>
      </c>
      <c r="I141" s="66" t="str">
        <f>IF(Inicial!N103="SI",Inicial!I103,"N/A")</f>
        <v>N/A</v>
      </c>
      <c r="X141" s="83" t="str" cm="1">
        <f t="array" ref="X141">IF(OR(J141:W141="NO"),"No aceptable","Aceptable")</f>
        <v>Aceptable</v>
      </c>
      <c r="AN141" s="3" t="str" cm="1">
        <f t="array" ref="AN141">IF(OR(Y141:AM141="NO"),"Critico","No Critico")</f>
        <v>No Critico</v>
      </c>
    </row>
    <row r="142" spans="1:40">
      <c r="A142" s="63">
        <f>Inicial!A104</f>
        <v>0</v>
      </c>
      <c r="B142" s="64">
        <f>Inicial!B104</f>
        <v>0</v>
      </c>
      <c r="C142" s="64">
        <f>Inicial!C104</f>
        <v>0</v>
      </c>
      <c r="D142" s="65">
        <f>Inicial!D104</f>
        <v>0</v>
      </c>
      <c r="E142" s="63" t="str">
        <f>IF(Inicial!N104="SI",Inicial!E104,"N/A")</f>
        <v>N/A</v>
      </c>
      <c r="F142" s="64" t="str">
        <f>IF(Inicial!N104="SI",Inicial!F104,"N/A")</f>
        <v>N/A</v>
      </c>
      <c r="G142" s="64" t="str">
        <f>IF(Inicial!N104="SI",Inicial!G104,"N/A")</f>
        <v>N/A</v>
      </c>
      <c r="H142" s="64" t="str">
        <f>IF(Inicial!N104="SI",Inicial!H104,"N/A")</f>
        <v>N/A</v>
      </c>
      <c r="I142" s="66" t="str">
        <f>IF(Inicial!N104="SI",Inicial!I104,"N/A")</f>
        <v>N/A</v>
      </c>
      <c r="X142" s="83" t="str" cm="1">
        <f t="array" ref="X142">IF(OR(J142:W142="NO"),"No aceptable","Aceptable")</f>
        <v>Aceptable</v>
      </c>
      <c r="AN142" s="3" t="str" cm="1">
        <f t="array" ref="AN142">IF(OR(Y142:AM142="NO"),"Critico","No Critico")</f>
        <v>No Critico</v>
      </c>
    </row>
    <row r="143" spans="1:40">
      <c r="A143" s="63">
        <f>Inicial!A105</f>
        <v>0</v>
      </c>
      <c r="B143" s="64">
        <f>Inicial!B105</f>
        <v>0</v>
      </c>
      <c r="C143" s="64">
        <f>Inicial!C105</f>
        <v>0</v>
      </c>
      <c r="D143" s="65">
        <f>Inicial!D105</f>
        <v>0</v>
      </c>
      <c r="E143" s="63" t="str">
        <f>IF(Inicial!N105="SI",Inicial!E105,"N/A")</f>
        <v>N/A</v>
      </c>
      <c r="F143" s="64" t="str">
        <f>IF(Inicial!N105="SI",Inicial!F105,"N/A")</f>
        <v>N/A</v>
      </c>
      <c r="G143" s="64" t="str">
        <f>IF(Inicial!N105="SI",Inicial!G105,"N/A")</f>
        <v>N/A</v>
      </c>
      <c r="H143" s="64" t="str">
        <f>IF(Inicial!N105="SI",Inicial!H105,"N/A")</f>
        <v>N/A</v>
      </c>
      <c r="I143" s="66" t="str">
        <f>IF(Inicial!N105="SI",Inicial!I105,"N/A")</f>
        <v>N/A</v>
      </c>
      <c r="X143" s="83" t="str" cm="1">
        <f t="array" ref="X143">IF(OR(J143:W143="NO"),"No aceptable","Aceptable")</f>
        <v>Aceptable</v>
      </c>
      <c r="AN143" s="3" t="str" cm="1">
        <f t="array" ref="AN143">IF(OR(Y143:AM143="NO"),"Critico","No Critico")</f>
        <v>No Critico</v>
      </c>
    </row>
    <row r="144" spans="1:40">
      <c r="A144" s="63">
        <f>Inicial!A106</f>
        <v>0</v>
      </c>
      <c r="B144" s="64">
        <f>Inicial!B106</f>
        <v>0</v>
      </c>
      <c r="C144" s="64">
        <f>Inicial!C106</f>
        <v>0</v>
      </c>
      <c r="D144" s="65">
        <f>Inicial!D106</f>
        <v>0</v>
      </c>
      <c r="E144" s="63" t="str">
        <f>IF(Inicial!N106="SI",Inicial!E106,"N/A")</f>
        <v>N/A</v>
      </c>
      <c r="F144" s="64" t="str">
        <f>IF(Inicial!N106="SI",Inicial!F106,"N/A")</f>
        <v>N/A</v>
      </c>
      <c r="G144" s="64" t="str">
        <f>IF(Inicial!N106="SI",Inicial!G106,"N/A")</f>
        <v>N/A</v>
      </c>
      <c r="H144" s="64" t="str">
        <f>IF(Inicial!N106="SI",Inicial!H106,"N/A")</f>
        <v>N/A</v>
      </c>
      <c r="I144" s="66" t="str">
        <f>IF(Inicial!N106="SI",Inicial!I106,"N/A")</f>
        <v>N/A</v>
      </c>
      <c r="X144" s="83" t="str" cm="1">
        <f t="array" ref="X144">IF(OR(J144:W144="NO"),"No aceptable","Aceptable")</f>
        <v>Aceptable</v>
      </c>
      <c r="AN144" s="3" t="str" cm="1">
        <f t="array" ref="AN144">IF(OR(Y144:AM144="NO"),"Critico","No Critico")</f>
        <v>No Critico</v>
      </c>
    </row>
    <row r="145" spans="1:40">
      <c r="A145" s="63">
        <f>Inicial!A107</f>
        <v>0</v>
      </c>
      <c r="B145" s="64">
        <f>Inicial!B107</f>
        <v>0</v>
      </c>
      <c r="C145" s="64">
        <f>Inicial!C107</f>
        <v>0</v>
      </c>
      <c r="D145" s="65">
        <f>Inicial!D107</f>
        <v>0</v>
      </c>
      <c r="E145" s="63" t="str">
        <f>IF(Inicial!N107="SI",Inicial!E107,"N/A")</f>
        <v>N/A</v>
      </c>
      <c r="F145" s="64" t="str">
        <f>IF(Inicial!N107="SI",Inicial!F107,"N/A")</f>
        <v>N/A</v>
      </c>
      <c r="G145" s="64" t="str">
        <f>IF(Inicial!N107="SI",Inicial!G107,"N/A")</f>
        <v>N/A</v>
      </c>
      <c r="H145" s="64" t="str">
        <f>IF(Inicial!N107="SI",Inicial!H107,"N/A")</f>
        <v>N/A</v>
      </c>
      <c r="I145" s="66" t="str">
        <f>IF(Inicial!N107="SI",Inicial!I107,"N/A")</f>
        <v>N/A</v>
      </c>
      <c r="X145" s="83" t="str" cm="1">
        <f t="array" ref="X145">IF(OR(J145:W145="NO"),"No aceptable","Aceptable")</f>
        <v>Aceptable</v>
      </c>
      <c r="AN145" s="3" t="str" cm="1">
        <f t="array" ref="AN145">IF(OR(Y145:AM145="NO"),"Critico","No Critico")</f>
        <v>No Critico</v>
      </c>
    </row>
    <row r="146" spans="1:40">
      <c r="A146" s="63">
        <f>Inicial!A108</f>
        <v>0</v>
      </c>
      <c r="B146" s="64">
        <f>Inicial!B108</f>
        <v>0</v>
      </c>
      <c r="C146" s="64">
        <f>Inicial!C108</f>
        <v>0</v>
      </c>
      <c r="D146" s="65">
        <f>Inicial!D108</f>
        <v>0</v>
      </c>
      <c r="E146" s="63" t="str">
        <f>IF(Inicial!N108="SI",Inicial!E108,"N/A")</f>
        <v>N/A</v>
      </c>
      <c r="F146" s="64" t="str">
        <f>IF(Inicial!N108="SI",Inicial!F108,"N/A")</f>
        <v>N/A</v>
      </c>
      <c r="G146" s="64" t="str">
        <f>IF(Inicial!N108="SI",Inicial!G108,"N/A")</f>
        <v>N/A</v>
      </c>
      <c r="H146" s="64" t="str">
        <f>IF(Inicial!N108="SI",Inicial!H108,"N/A")</f>
        <v>N/A</v>
      </c>
      <c r="I146" s="66" t="str">
        <f>IF(Inicial!N108="SI",Inicial!I108,"N/A")</f>
        <v>N/A</v>
      </c>
      <c r="X146" s="83" t="str" cm="1">
        <f t="array" ref="X146">IF(OR(J146:W146="NO"),"No aceptable","Aceptable")</f>
        <v>Aceptable</v>
      </c>
      <c r="AN146" s="3" t="str" cm="1">
        <f t="array" ref="AN146">IF(OR(Y146:AM146="NO"),"Critico","No Critico")</f>
        <v>No Critico</v>
      </c>
    </row>
    <row r="147" spans="1:40">
      <c r="A147" s="63">
        <f>Inicial!A109</f>
        <v>0</v>
      </c>
      <c r="B147" s="64">
        <f>Inicial!B109</f>
        <v>0</v>
      </c>
      <c r="C147" s="64">
        <f>Inicial!C109</f>
        <v>0</v>
      </c>
      <c r="D147" s="65">
        <f>Inicial!D109</f>
        <v>0</v>
      </c>
      <c r="E147" s="63" t="str">
        <f>IF(Inicial!N109="SI",Inicial!E109,"N/A")</f>
        <v>N/A</v>
      </c>
      <c r="F147" s="64" t="str">
        <f>IF(Inicial!N109="SI",Inicial!F109,"N/A")</f>
        <v>N/A</v>
      </c>
      <c r="G147" s="64" t="str">
        <f>IF(Inicial!N109="SI",Inicial!G109,"N/A")</f>
        <v>N/A</v>
      </c>
      <c r="H147" s="64" t="str">
        <f>IF(Inicial!N109="SI",Inicial!H109,"N/A")</f>
        <v>N/A</v>
      </c>
      <c r="I147" s="66" t="str">
        <f>IF(Inicial!N109="SI",Inicial!I109,"N/A")</f>
        <v>N/A</v>
      </c>
      <c r="X147" s="83" t="str" cm="1">
        <f t="array" ref="X147">IF(OR(J147:W147="NO"),"No aceptable","Aceptable")</f>
        <v>Aceptable</v>
      </c>
      <c r="AN147" s="3" t="str" cm="1">
        <f t="array" ref="AN147">IF(OR(Y147:AM147="NO"),"Critico","No Critico")</f>
        <v>No Critico</v>
      </c>
    </row>
    <row r="148" spans="1:40">
      <c r="A148" s="63">
        <f>Inicial!A110</f>
        <v>0</v>
      </c>
      <c r="B148" s="64">
        <f>Inicial!B110</f>
        <v>0</v>
      </c>
      <c r="C148" s="64">
        <f>Inicial!C110</f>
        <v>0</v>
      </c>
      <c r="D148" s="65">
        <f>Inicial!D110</f>
        <v>0</v>
      </c>
      <c r="E148" s="63" t="str">
        <f>IF(Inicial!N110="SI",Inicial!E110,"N/A")</f>
        <v>N/A</v>
      </c>
      <c r="F148" s="64" t="str">
        <f>IF(Inicial!N110="SI",Inicial!F110,"N/A")</f>
        <v>N/A</v>
      </c>
      <c r="G148" s="64" t="str">
        <f>IF(Inicial!N110="SI",Inicial!G110,"N/A")</f>
        <v>N/A</v>
      </c>
      <c r="H148" s="64" t="str">
        <f>IF(Inicial!N110="SI",Inicial!H110,"N/A")</f>
        <v>N/A</v>
      </c>
      <c r="I148" s="66" t="str">
        <f>IF(Inicial!N110="SI",Inicial!I110,"N/A")</f>
        <v>N/A</v>
      </c>
      <c r="X148" s="83" t="str" cm="1">
        <f t="array" ref="X148">IF(OR(J148:W148="NO"),"No aceptable","Aceptable")</f>
        <v>Aceptable</v>
      </c>
      <c r="AN148" s="3" t="str" cm="1">
        <f t="array" ref="AN148">IF(OR(Y148:AM148="NO"),"Critico","No Critico")</f>
        <v>No Critico</v>
      </c>
    </row>
    <row r="149" spans="1:40">
      <c r="A149" s="63">
        <f>Inicial!A111</f>
        <v>0</v>
      </c>
      <c r="B149" s="64">
        <f>Inicial!B111</f>
        <v>0</v>
      </c>
      <c r="C149" s="64">
        <f>Inicial!C111</f>
        <v>0</v>
      </c>
      <c r="D149" s="65">
        <f>Inicial!D111</f>
        <v>0</v>
      </c>
      <c r="E149" s="63" t="str">
        <f>IF(Inicial!N111="SI",Inicial!E111,"N/A")</f>
        <v>N/A</v>
      </c>
      <c r="F149" s="64" t="str">
        <f>IF(Inicial!N111="SI",Inicial!F111,"N/A")</f>
        <v>N/A</v>
      </c>
      <c r="G149" s="64" t="str">
        <f>IF(Inicial!N111="SI",Inicial!G111,"N/A")</f>
        <v>N/A</v>
      </c>
      <c r="H149" s="64" t="str">
        <f>IF(Inicial!N111="SI",Inicial!H111,"N/A")</f>
        <v>N/A</v>
      </c>
      <c r="I149" s="66" t="str">
        <f>IF(Inicial!N111="SI",Inicial!I111,"N/A")</f>
        <v>N/A</v>
      </c>
      <c r="X149" s="83" t="str" cm="1">
        <f t="array" ref="X149">IF(OR(J149:W149="NO"),"No aceptable","Aceptable")</f>
        <v>Aceptable</v>
      </c>
      <c r="AN149" s="3" t="str" cm="1">
        <f t="array" ref="AN149">IF(OR(Y149:AM149="NO"),"Critico","No Critico")</f>
        <v>No Critico</v>
      </c>
    </row>
    <row r="150" spans="1:40">
      <c r="A150" s="63">
        <f>Inicial!A112</f>
        <v>0</v>
      </c>
      <c r="B150" s="64">
        <f>Inicial!B112</f>
        <v>0</v>
      </c>
      <c r="C150" s="64">
        <f>Inicial!C112</f>
        <v>0</v>
      </c>
      <c r="D150" s="65">
        <f>Inicial!D112</f>
        <v>0</v>
      </c>
      <c r="E150" s="63" t="str">
        <f>IF(Inicial!N112="SI",Inicial!E112,"N/A")</f>
        <v>N/A</v>
      </c>
      <c r="F150" s="64" t="str">
        <f>IF(Inicial!N112="SI",Inicial!F112,"N/A")</f>
        <v>N/A</v>
      </c>
      <c r="G150" s="64" t="str">
        <f>IF(Inicial!N112="SI",Inicial!G112,"N/A")</f>
        <v>N/A</v>
      </c>
      <c r="H150" s="64" t="str">
        <f>IF(Inicial!N112="SI",Inicial!H112,"N/A")</f>
        <v>N/A</v>
      </c>
      <c r="I150" s="66" t="str">
        <f>IF(Inicial!N112="SI",Inicial!I112,"N/A")</f>
        <v>N/A</v>
      </c>
      <c r="X150" s="83" t="str" cm="1">
        <f t="array" ref="X150">IF(OR(J150:W150="NO"),"No aceptable","Aceptable")</f>
        <v>Aceptable</v>
      </c>
      <c r="AN150" s="3" t="str" cm="1">
        <f t="array" ref="AN150">IF(OR(Y150:AM150="NO"),"Critico","No Critico")</f>
        <v>No Critico</v>
      </c>
    </row>
    <row r="151" spans="1:40">
      <c r="A151" s="63">
        <f>Inicial!A113</f>
        <v>0</v>
      </c>
      <c r="B151" s="64">
        <f>Inicial!B113</f>
        <v>0</v>
      </c>
      <c r="C151" s="64">
        <f>Inicial!C113</f>
        <v>0</v>
      </c>
      <c r="D151" s="65">
        <f>Inicial!D113</f>
        <v>0</v>
      </c>
      <c r="E151" s="63" t="str">
        <f>IF(Inicial!N113="SI",Inicial!E113,"N/A")</f>
        <v>N/A</v>
      </c>
      <c r="F151" s="64" t="str">
        <f>IF(Inicial!N113="SI",Inicial!F113,"N/A")</f>
        <v>N/A</v>
      </c>
      <c r="G151" s="64" t="str">
        <f>IF(Inicial!N113="SI",Inicial!G113,"N/A")</f>
        <v>N/A</v>
      </c>
      <c r="H151" s="64" t="str">
        <f>IF(Inicial!N113="SI",Inicial!H113,"N/A")</f>
        <v>N/A</v>
      </c>
      <c r="I151" s="66" t="str">
        <f>IF(Inicial!N113="SI",Inicial!I113,"N/A")</f>
        <v>N/A</v>
      </c>
      <c r="X151" s="83" t="str" cm="1">
        <f t="array" ref="X151">IF(OR(J151:W151="NO"),"No aceptable","Aceptable")</f>
        <v>Aceptable</v>
      </c>
      <c r="AN151" s="3" t="str" cm="1">
        <f t="array" ref="AN151">IF(OR(Y151:AM151="NO"),"Critico","No Critico")</f>
        <v>No Critico</v>
      </c>
    </row>
    <row r="152" spans="1:40">
      <c r="A152" s="63">
        <f>Inicial!A114</f>
        <v>0</v>
      </c>
      <c r="B152" s="64">
        <f>Inicial!B114</f>
        <v>0</v>
      </c>
      <c r="C152" s="64">
        <f>Inicial!C114</f>
        <v>0</v>
      </c>
      <c r="D152" s="65">
        <f>Inicial!D114</f>
        <v>0</v>
      </c>
      <c r="E152" s="63" t="str">
        <f>IF(Inicial!N114="SI",Inicial!E114,"N/A")</f>
        <v>N/A</v>
      </c>
      <c r="F152" s="64" t="str">
        <f>IF(Inicial!N114="SI",Inicial!F114,"N/A")</f>
        <v>N/A</v>
      </c>
      <c r="G152" s="64" t="str">
        <f>IF(Inicial!N114="SI",Inicial!G114,"N/A")</f>
        <v>N/A</v>
      </c>
      <c r="H152" s="64" t="str">
        <f>IF(Inicial!N114="SI",Inicial!H114,"N/A")</f>
        <v>N/A</v>
      </c>
      <c r="I152" s="66" t="str">
        <f>IF(Inicial!N114="SI",Inicial!I114,"N/A")</f>
        <v>N/A</v>
      </c>
      <c r="X152" s="83" t="str" cm="1">
        <f t="array" ref="X152">IF(OR(J152:W152="NO"),"No aceptable","Aceptable")</f>
        <v>Aceptable</v>
      </c>
      <c r="AN152" s="3" t="str" cm="1">
        <f t="array" ref="AN152">IF(OR(Y152:AM152="NO"),"Critico","No Critico")</f>
        <v>No Critico</v>
      </c>
    </row>
    <row r="153" spans="1:40">
      <c r="A153" s="63">
        <f>Inicial!A115</f>
        <v>0</v>
      </c>
      <c r="B153" s="64">
        <f>Inicial!B115</f>
        <v>0</v>
      </c>
      <c r="C153" s="64">
        <f>Inicial!C115</f>
        <v>0</v>
      </c>
      <c r="D153" s="65">
        <f>Inicial!D115</f>
        <v>0</v>
      </c>
      <c r="E153" s="63" t="str">
        <f>IF(Inicial!N115="SI",Inicial!E115,"N/A")</f>
        <v>N/A</v>
      </c>
      <c r="F153" s="64" t="str">
        <f>IF(Inicial!N115="SI",Inicial!F115,"N/A")</f>
        <v>N/A</v>
      </c>
      <c r="G153" s="64" t="str">
        <f>IF(Inicial!N115="SI",Inicial!G115,"N/A")</f>
        <v>N/A</v>
      </c>
      <c r="H153" s="64" t="str">
        <f>IF(Inicial!N115="SI",Inicial!H115,"N/A")</f>
        <v>N/A</v>
      </c>
      <c r="I153" s="66" t="str">
        <f>IF(Inicial!N115="SI",Inicial!I115,"N/A")</f>
        <v>N/A</v>
      </c>
      <c r="X153" s="83" t="str" cm="1">
        <f t="array" ref="X153">IF(OR(J153:W153="NO"),"No aceptable","Aceptable")</f>
        <v>Aceptable</v>
      </c>
      <c r="AN153" s="3" t="str" cm="1">
        <f t="array" ref="AN153">IF(OR(Y153:AM153="NO"),"Critico","No Critico")</f>
        <v>No Critico</v>
      </c>
    </row>
    <row r="154" spans="1:40">
      <c r="A154" s="63">
        <f>Inicial!A116</f>
        <v>0</v>
      </c>
      <c r="B154" s="64">
        <f>Inicial!B116</f>
        <v>0</v>
      </c>
      <c r="C154" s="64">
        <f>Inicial!C116</f>
        <v>0</v>
      </c>
      <c r="D154" s="65">
        <f>Inicial!D116</f>
        <v>0</v>
      </c>
      <c r="E154" s="63" t="str">
        <f>IF(Inicial!N116="SI",Inicial!E116,"N/A")</f>
        <v>N/A</v>
      </c>
      <c r="F154" s="64" t="str">
        <f>IF(Inicial!N116="SI",Inicial!F116,"N/A")</f>
        <v>N/A</v>
      </c>
      <c r="G154" s="64" t="str">
        <f>IF(Inicial!N116="SI",Inicial!G116,"N/A")</f>
        <v>N/A</v>
      </c>
      <c r="H154" s="64" t="str">
        <f>IF(Inicial!N116="SI",Inicial!H116,"N/A")</f>
        <v>N/A</v>
      </c>
      <c r="I154" s="66" t="str">
        <f>IF(Inicial!N116="SI",Inicial!I116,"N/A")</f>
        <v>N/A</v>
      </c>
      <c r="X154" s="83" t="str" cm="1">
        <f t="array" ref="X154">IF(OR(J154:W154="NO"),"No aceptable","Aceptable")</f>
        <v>Aceptable</v>
      </c>
      <c r="AN154" s="3" t="str" cm="1">
        <f t="array" ref="AN154">IF(OR(Y154:AM154="NO"),"Critico","No Critico")</f>
        <v>No Critico</v>
      </c>
    </row>
    <row r="155" spans="1:40">
      <c r="A155" s="63">
        <f>Inicial!A117</f>
        <v>0</v>
      </c>
      <c r="B155" s="64">
        <f>Inicial!B117</f>
        <v>0</v>
      </c>
      <c r="C155" s="64">
        <f>Inicial!C117</f>
        <v>0</v>
      </c>
      <c r="D155" s="65">
        <f>Inicial!D117</f>
        <v>0</v>
      </c>
      <c r="E155" s="63" t="str">
        <f>IF(Inicial!N117="SI",Inicial!E117,"N/A")</f>
        <v>N/A</v>
      </c>
      <c r="F155" s="64" t="str">
        <f>IF(Inicial!N117="SI",Inicial!F117,"N/A")</f>
        <v>N/A</v>
      </c>
      <c r="G155" s="64" t="str">
        <f>IF(Inicial!N117="SI",Inicial!G117,"N/A")</f>
        <v>N/A</v>
      </c>
      <c r="H155" s="64" t="str">
        <f>IF(Inicial!N117="SI",Inicial!H117,"N/A")</f>
        <v>N/A</v>
      </c>
      <c r="I155" s="66" t="str">
        <f>IF(Inicial!N117="SI",Inicial!I117,"N/A")</f>
        <v>N/A</v>
      </c>
      <c r="X155" s="83" t="str" cm="1">
        <f t="array" ref="X155">IF(OR(J155:W155="NO"),"No aceptable","Aceptable")</f>
        <v>Aceptable</v>
      </c>
      <c r="AN155" s="3" t="str" cm="1">
        <f t="array" ref="AN155">IF(OR(Y155:AM155="NO"),"Critico","No Critico")</f>
        <v>No Critico</v>
      </c>
    </row>
    <row r="156" spans="1:40">
      <c r="A156" s="63">
        <f>Inicial!A118</f>
        <v>0</v>
      </c>
      <c r="B156" s="64">
        <f>Inicial!B118</f>
        <v>0</v>
      </c>
      <c r="C156" s="64">
        <f>Inicial!C118</f>
        <v>0</v>
      </c>
      <c r="D156" s="65">
        <f>Inicial!D118</f>
        <v>0</v>
      </c>
      <c r="E156" s="63" t="str">
        <f>IF(Inicial!N118="SI",Inicial!E118,"N/A")</f>
        <v>N/A</v>
      </c>
      <c r="F156" s="64" t="str">
        <f>IF(Inicial!N118="SI",Inicial!F118,"N/A")</f>
        <v>N/A</v>
      </c>
      <c r="G156" s="64" t="str">
        <f>IF(Inicial!N118="SI",Inicial!G118,"N/A")</f>
        <v>N/A</v>
      </c>
      <c r="H156" s="64" t="str">
        <f>IF(Inicial!N118="SI",Inicial!H118,"N/A")</f>
        <v>N/A</v>
      </c>
      <c r="I156" s="66" t="str">
        <f>IF(Inicial!N118="SI",Inicial!I118,"N/A")</f>
        <v>N/A</v>
      </c>
      <c r="X156" s="83" t="str" cm="1">
        <f t="array" ref="X156">IF(OR(J156:W156="NO"),"No aceptable","Aceptable")</f>
        <v>Aceptable</v>
      </c>
      <c r="AN156" s="3" t="str" cm="1">
        <f t="array" ref="AN156">IF(OR(Y156:AM156="NO"),"Critico","No Critico")</f>
        <v>No Critico</v>
      </c>
    </row>
    <row r="157" spans="1:40">
      <c r="A157" s="63">
        <f>Inicial!A119</f>
        <v>0</v>
      </c>
      <c r="B157" s="64">
        <f>Inicial!B119</f>
        <v>0</v>
      </c>
      <c r="C157" s="64">
        <f>Inicial!C119</f>
        <v>0</v>
      </c>
      <c r="D157" s="65">
        <f>Inicial!D119</f>
        <v>0</v>
      </c>
      <c r="E157" s="63" t="str">
        <f>IF(Inicial!N119="SI",Inicial!E119,"N/A")</f>
        <v>N/A</v>
      </c>
      <c r="F157" s="64" t="str">
        <f>IF(Inicial!N119="SI",Inicial!F119,"N/A")</f>
        <v>N/A</v>
      </c>
      <c r="G157" s="64" t="str">
        <f>IF(Inicial!N119="SI",Inicial!G119,"N/A")</f>
        <v>N/A</v>
      </c>
      <c r="H157" s="64" t="str">
        <f>IF(Inicial!N119="SI",Inicial!H119,"N/A")</f>
        <v>N/A</v>
      </c>
      <c r="I157" s="66" t="str">
        <f>IF(Inicial!N119="SI",Inicial!I119,"N/A")</f>
        <v>N/A</v>
      </c>
      <c r="X157" s="83" t="str" cm="1">
        <f t="array" ref="X157">IF(OR(J157:W157="NO"),"No aceptable","Aceptable")</f>
        <v>Aceptable</v>
      </c>
      <c r="AN157" s="3" t="str" cm="1">
        <f t="array" ref="AN157">IF(OR(Y157:AM157="NO"),"Critico","No Critico")</f>
        <v>No Critico</v>
      </c>
    </row>
    <row r="158" spans="1:40">
      <c r="A158" s="63">
        <f>Inicial!A120</f>
        <v>0</v>
      </c>
      <c r="B158" s="64">
        <f>Inicial!B120</f>
        <v>0</v>
      </c>
      <c r="C158" s="64">
        <f>Inicial!C120</f>
        <v>0</v>
      </c>
      <c r="D158" s="65">
        <f>Inicial!D120</f>
        <v>0</v>
      </c>
      <c r="E158" s="63" t="str">
        <f>IF(Inicial!N120="SI",Inicial!E120,"N/A")</f>
        <v>N/A</v>
      </c>
      <c r="F158" s="64" t="str">
        <f>IF(Inicial!N120="SI",Inicial!F120,"N/A")</f>
        <v>N/A</v>
      </c>
      <c r="G158" s="64" t="str">
        <f>IF(Inicial!N120="SI",Inicial!G120,"N/A")</f>
        <v>N/A</v>
      </c>
      <c r="H158" s="64" t="str">
        <f>IF(Inicial!N120="SI",Inicial!H120,"N/A")</f>
        <v>N/A</v>
      </c>
      <c r="I158" s="66" t="str">
        <f>IF(Inicial!N120="SI",Inicial!I120,"N/A")</f>
        <v>N/A</v>
      </c>
      <c r="X158" s="83" t="str" cm="1">
        <f t="array" ref="X158">IF(OR(J158:W158="NO"),"No aceptable","Aceptable")</f>
        <v>Aceptable</v>
      </c>
      <c r="AN158" s="3" t="str" cm="1">
        <f t="array" ref="AN158">IF(OR(Y158:AM158="NO"),"Critico","No Critico")</f>
        <v>No Critico</v>
      </c>
    </row>
    <row r="159" spans="1:40">
      <c r="A159" s="63">
        <f>Inicial!A121</f>
        <v>0</v>
      </c>
      <c r="B159" s="64">
        <f>Inicial!B121</f>
        <v>0</v>
      </c>
      <c r="C159" s="64">
        <f>Inicial!C121</f>
        <v>0</v>
      </c>
      <c r="D159" s="65">
        <f>Inicial!D121</f>
        <v>0</v>
      </c>
      <c r="E159" s="63" t="str">
        <f>IF(Inicial!N121="SI",Inicial!E121,"N/A")</f>
        <v>N/A</v>
      </c>
      <c r="F159" s="64" t="str">
        <f>IF(Inicial!N121="SI",Inicial!F121,"N/A")</f>
        <v>N/A</v>
      </c>
      <c r="G159" s="64" t="str">
        <f>IF(Inicial!N121="SI",Inicial!G121,"N/A")</f>
        <v>N/A</v>
      </c>
      <c r="H159" s="64" t="str">
        <f>IF(Inicial!N121="SI",Inicial!H121,"N/A")</f>
        <v>N/A</v>
      </c>
      <c r="I159" s="66" t="str">
        <f>IF(Inicial!N121="SI",Inicial!I121,"N/A")</f>
        <v>N/A</v>
      </c>
      <c r="X159" s="83" t="str" cm="1">
        <f t="array" ref="X159">IF(OR(J159:W159="NO"),"No aceptable","Aceptable")</f>
        <v>Aceptable</v>
      </c>
      <c r="AN159" s="3" t="str" cm="1">
        <f t="array" ref="AN159">IF(OR(Y159:AM159="NO"),"Critico","No Critico")</f>
        <v>No Critico</v>
      </c>
    </row>
    <row r="160" spans="1:40">
      <c r="A160" s="63">
        <f>Inicial!A122</f>
        <v>0</v>
      </c>
      <c r="B160" s="64">
        <f>Inicial!B122</f>
        <v>0</v>
      </c>
      <c r="C160" s="64">
        <f>Inicial!C122</f>
        <v>0</v>
      </c>
      <c r="D160" s="65">
        <f>Inicial!D122</f>
        <v>0</v>
      </c>
      <c r="E160" s="63" t="str">
        <f>IF(Inicial!N122="SI",Inicial!E122,"N/A")</f>
        <v>N/A</v>
      </c>
      <c r="F160" s="64" t="str">
        <f>IF(Inicial!N122="SI",Inicial!F122,"N/A")</f>
        <v>N/A</v>
      </c>
      <c r="G160" s="64" t="str">
        <f>IF(Inicial!N122="SI",Inicial!G122,"N/A")</f>
        <v>N/A</v>
      </c>
      <c r="H160" s="64" t="str">
        <f>IF(Inicial!N122="SI",Inicial!H122,"N/A")</f>
        <v>N/A</v>
      </c>
      <c r="I160" s="66" t="str">
        <f>IF(Inicial!N122="SI",Inicial!I122,"N/A")</f>
        <v>N/A</v>
      </c>
      <c r="X160" s="83" t="str" cm="1">
        <f t="array" ref="X160">IF(OR(J160:W160="NO"),"No aceptable","Aceptable")</f>
        <v>Aceptable</v>
      </c>
      <c r="AN160" s="3" t="str" cm="1">
        <f t="array" ref="AN160">IF(OR(Y160:AM160="NO"),"Critico","No Critico")</f>
        <v>No Critico</v>
      </c>
    </row>
    <row r="161" spans="1:40">
      <c r="A161" s="63">
        <f>Inicial!A123</f>
        <v>0</v>
      </c>
      <c r="B161" s="64">
        <f>Inicial!B123</f>
        <v>0</v>
      </c>
      <c r="C161" s="64">
        <f>Inicial!C123</f>
        <v>0</v>
      </c>
      <c r="D161" s="65">
        <f>Inicial!D123</f>
        <v>0</v>
      </c>
      <c r="E161" s="63" t="str">
        <f>IF(Inicial!N123="SI",Inicial!E123,"N/A")</f>
        <v>N/A</v>
      </c>
      <c r="F161" s="64" t="str">
        <f>IF(Inicial!N123="SI",Inicial!F123,"N/A")</f>
        <v>N/A</v>
      </c>
      <c r="G161" s="64" t="str">
        <f>IF(Inicial!N123="SI",Inicial!G123,"N/A")</f>
        <v>N/A</v>
      </c>
      <c r="H161" s="64" t="str">
        <f>IF(Inicial!N123="SI",Inicial!H123,"N/A")</f>
        <v>N/A</v>
      </c>
      <c r="I161" s="66" t="str">
        <f>IF(Inicial!N123="SI",Inicial!I123,"N/A")</f>
        <v>N/A</v>
      </c>
      <c r="X161" s="83" t="str" cm="1">
        <f t="array" ref="X161">IF(OR(J161:W161="NO"),"No aceptable","Aceptable")</f>
        <v>Aceptable</v>
      </c>
      <c r="AN161" s="3" t="str" cm="1">
        <f t="array" ref="AN161">IF(OR(Y161:AM161="NO"),"Critico","No Critico")</f>
        <v>No Critico</v>
      </c>
    </row>
    <row r="162" spans="1:40">
      <c r="A162" s="63">
        <f>Inicial!A124</f>
        <v>0</v>
      </c>
      <c r="B162" s="64">
        <f>Inicial!B124</f>
        <v>0</v>
      </c>
      <c r="C162" s="64">
        <f>Inicial!C124</f>
        <v>0</v>
      </c>
      <c r="D162" s="65">
        <f>Inicial!D124</f>
        <v>0</v>
      </c>
      <c r="E162" s="63" t="str">
        <f>IF(Inicial!N124="SI",Inicial!E124,"N/A")</f>
        <v>N/A</v>
      </c>
      <c r="F162" s="64" t="str">
        <f>IF(Inicial!N124="SI",Inicial!F124,"N/A")</f>
        <v>N/A</v>
      </c>
      <c r="G162" s="64" t="str">
        <f>IF(Inicial!N124="SI",Inicial!G124,"N/A")</f>
        <v>N/A</v>
      </c>
      <c r="H162" s="64" t="str">
        <f>IF(Inicial!N124="SI",Inicial!H124,"N/A")</f>
        <v>N/A</v>
      </c>
      <c r="I162" s="66" t="str">
        <f>IF(Inicial!N124="SI",Inicial!I124,"N/A")</f>
        <v>N/A</v>
      </c>
      <c r="X162" s="83" t="str" cm="1">
        <f t="array" ref="X162">IF(OR(J162:W162="NO"),"No aceptable","Aceptable")</f>
        <v>Aceptable</v>
      </c>
      <c r="AN162" s="3" t="str" cm="1">
        <f t="array" ref="AN162">IF(OR(Y162:AM162="NO"),"Critico","No Critico")</f>
        <v>No Critico</v>
      </c>
    </row>
    <row r="163" spans="1:40">
      <c r="A163" s="63">
        <f>Inicial!A125</f>
        <v>0</v>
      </c>
      <c r="B163" s="64">
        <f>Inicial!B125</f>
        <v>0</v>
      </c>
      <c r="C163" s="64">
        <f>Inicial!C125</f>
        <v>0</v>
      </c>
      <c r="D163" s="65">
        <f>Inicial!D125</f>
        <v>0</v>
      </c>
      <c r="E163" s="63" t="str">
        <f>IF(Inicial!N125="SI",Inicial!E125,"N/A")</f>
        <v>N/A</v>
      </c>
      <c r="F163" s="64" t="str">
        <f>IF(Inicial!N125="SI",Inicial!F125,"N/A")</f>
        <v>N/A</v>
      </c>
      <c r="G163" s="64" t="str">
        <f>IF(Inicial!N125="SI",Inicial!G125,"N/A")</f>
        <v>N/A</v>
      </c>
      <c r="H163" s="64" t="str">
        <f>IF(Inicial!N125="SI",Inicial!H125,"N/A")</f>
        <v>N/A</v>
      </c>
      <c r="I163" s="66" t="str">
        <f>IF(Inicial!N125="SI",Inicial!I125,"N/A")</f>
        <v>N/A</v>
      </c>
      <c r="X163" s="83" t="str" cm="1">
        <f t="array" ref="X163">IF(OR(J163:W163="NO"),"No aceptable","Aceptable")</f>
        <v>Aceptable</v>
      </c>
      <c r="AN163" s="3" t="str" cm="1">
        <f t="array" ref="AN163">IF(OR(Y163:AM163="NO"),"Critico","No Critico")</f>
        <v>No Critico</v>
      </c>
    </row>
    <row r="164" spans="1:40">
      <c r="A164" s="63">
        <f>Inicial!A126</f>
        <v>0</v>
      </c>
      <c r="B164" s="64">
        <f>Inicial!B126</f>
        <v>0</v>
      </c>
      <c r="C164" s="64">
        <f>Inicial!C126</f>
        <v>0</v>
      </c>
      <c r="D164" s="65">
        <f>Inicial!D126</f>
        <v>0</v>
      </c>
      <c r="E164" s="63" t="str">
        <f>IF(Inicial!N126="SI",Inicial!E126,"N/A")</f>
        <v>N/A</v>
      </c>
      <c r="F164" s="64" t="str">
        <f>IF(Inicial!N126="SI",Inicial!F126,"N/A")</f>
        <v>N/A</v>
      </c>
      <c r="G164" s="64" t="str">
        <f>IF(Inicial!N126="SI",Inicial!G126,"N/A")</f>
        <v>N/A</v>
      </c>
      <c r="H164" s="64" t="str">
        <f>IF(Inicial!N126="SI",Inicial!H126,"N/A")</f>
        <v>N/A</v>
      </c>
      <c r="I164" s="66" t="str">
        <f>IF(Inicial!N126="SI",Inicial!I126,"N/A")</f>
        <v>N/A</v>
      </c>
      <c r="X164" s="83" t="str" cm="1">
        <f t="array" ref="X164">IF(OR(J164:W164="NO"),"No aceptable","Aceptable")</f>
        <v>Aceptable</v>
      </c>
      <c r="AN164" s="3" t="str" cm="1">
        <f t="array" ref="AN164">IF(OR(Y164:AM164="NO"),"Critico","No Critico")</f>
        <v>No Critico</v>
      </c>
    </row>
    <row r="165" spans="1:40">
      <c r="A165" s="63">
        <f>Inicial!A127</f>
        <v>0</v>
      </c>
      <c r="B165" s="64">
        <f>Inicial!B127</f>
        <v>0</v>
      </c>
      <c r="C165" s="64">
        <f>Inicial!C127</f>
        <v>0</v>
      </c>
      <c r="D165" s="65">
        <f>Inicial!D127</f>
        <v>0</v>
      </c>
      <c r="E165" s="63" t="str">
        <f>IF(Inicial!N127="SI",Inicial!E127,"N/A")</f>
        <v>N/A</v>
      </c>
      <c r="F165" s="64" t="str">
        <f>IF(Inicial!N127="SI",Inicial!F127,"N/A")</f>
        <v>N/A</v>
      </c>
      <c r="G165" s="64" t="str">
        <f>IF(Inicial!N127="SI",Inicial!G127,"N/A")</f>
        <v>N/A</v>
      </c>
      <c r="H165" s="64" t="str">
        <f>IF(Inicial!N127="SI",Inicial!H127,"N/A")</f>
        <v>N/A</v>
      </c>
      <c r="I165" s="66" t="str">
        <f>IF(Inicial!N127="SI",Inicial!I127,"N/A")</f>
        <v>N/A</v>
      </c>
      <c r="X165" s="83" t="str" cm="1">
        <f t="array" ref="X165">IF(OR(J165:W165="NO"),"No aceptable","Aceptable")</f>
        <v>Aceptable</v>
      </c>
      <c r="AN165" s="3" t="str" cm="1">
        <f t="array" ref="AN165">IF(OR(Y165:AM165="NO"),"Critico","No Critico")</f>
        <v>No Critico</v>
      </c>
    </row>
    <row r="166" spans="1:40">
      <c r="A166" s="63">
        <f>Inicial!A128</f>
        <v>0</v>
      </c>
      <c r="B166" s="64">
        <f>Inicial!B128</f>
        <v>0</v>
      </c>
      <c r="C166" s="64">
        <f>Inicial!C128</f>
        <v>0</v>
      </c>
      <c r="D166" s="65">
        <f>Inicial!D128</f>
        <v>0</v>
      </c>
      <c r="E166" s="63" t="str">
        <f>IF(Inicial!N128="SI",Inicial!E128,"N/A")</f>
        <v>N/A</v>
      </c>
      <c r="F166" s="64" t="str">
        <f>IF(Inicial!N128="SI",Inicial!F128,"N/A")</f>
        <v>N/A</v>
      </c>
      <c r="G166" s="64" t="str">
        <f>IF(Inicial!N128="SI",Inicial!G128,"N/A")</f>
        <v>N/A</v>
      </c>
      <c r="H166" s="64" t="str">
        <f>IF(Inicial!N128="SI",Inicial!H128,"N/A")</f>
        <v>N/A</v>
      </c>
      <c r="I166" s="66" t="str">
        <f>IF(Inicial!N128="SI",Inicial!I128,"N/A")</f>
        <v>N/A</v>
      </c>
      <c r="X166" s="83" t="str" cm="1">
        <f t="array" ref="X166">IF(OR(J166:W166="NO"),"No aceptable","Aceptable")</f>
        <v>Aceptable</v>
      </c>
      <c r="AN166" s="3" t="str" cm="1">
        <f t="array" ref="AN166">IF(OR(Y166:AM166="NO"),"Critico","No Critico")</f>
        <v>No Critico</v>
      </c>
    </row>
    <row r="167" spans="1:40">
      <c r="A167" s="63">
        <f>Inicial!A129</f>
        <v>0</v>
      </c>
      <c r="B167" s="64">
        <f>Inicial!B129</f>
        <v>0</v>
      </c>
      <c r="C167" s="64">
        <f>Inicial!C129</f>
        <v>0</v>
      </c>
      <c r="D167" s="65">
        <f>Inicial!D129</f>
        <v>0</v>
      </c>
      <c r="E167" s="63" t="str">
        <f>IF(Inicial!N129="SI",Inicial!E129,"N/A")</f>
        <v>N/A</v>
      </c>
      <c r="F167" s="64" t="str">
        <f>IF(Inicial!N129="SI",Inicial!F129,"N/A")</f>
        <v>N/A</v>
      </c>
      <c r="G167" s="64" t="str">
        <f>IF(Inicial!N129="SI",Inicial!G129,"N/A")</f>
        <v>N/A</v>
      </c>
      <c r="H167" s="64" t="str">
        <f>IF(Inicial!N129="SI",Inicial!H129,"N/A")</f>
        <v>N/A</v>
      </c>
      <c r="I167" s="66" t="str">
        <f>IF(Inicial!N129="SI",Inicial!I129,"N/A")</f>
        <v>N/A</v>
      </c>
      <c r="X167" s="83" t="str" cm="1">
        <f t="array" ref="X167">IF(OR(J167:W167="NO"),"No aceptable","Aceptable")</f>
        <v>Aceptable</v>
      </c>
      <c r="AN167" s="3" t="str" cm="1">
        <f t="array" ref="AN167">IF(OR(Y167:AM167="NO"),"Critico","No Critico")</f>
        <v>No Critico</v>
      </c>
    </row>
    <row r="168" spans="1:40">
      <c r="A168" s="63">
        <f>Inicial!A130</f>
        <v>0</v>
      </c>
      <c r="B168" s="64">
        <f>Inicial!B130</f>
        <v>0</v>
      </c>
      <c r="C168" s="64">
        <f>Inicial!C130</f>
        <v>0</v>
      </c>
      <c r="D168" s="65">
        <f>Inicial!D130</f>
        <v>0</v>
      </c>
      <c r="E168" s="63" t="str">
        <f>IF(Inicial!N130="SI",Inicial!E130,"N/A")</f>
        <v>N/A</v>
      </c>
      <c r="F168" s="64" t="str">
        <f>IF(Inicial!N130="SI",Inicial!F130,"N/A")</f>
        <v>N/A</v>
      </c>
      <c r="G168" s="64" t="str">
        <f>IF(Inicial!N130="SI",Inicial!G130,"N/A")</f>
        <v>N/A</v>
      </c>
      <c r="H168" s="64" t="str">
        <f>IF(Inicial!N130="SI",Inicial!H130,"N/A")</f>
        <v>N/A</v>
      </c>
      <c r="I168" s="66" t="str">
        <f>IF(Inicial!N130="SI",Inicial!I130,"N/A")</f>
        <v>N/A</v>
      </c>
      <c r="X168" s="83" t="str" cm="1">
        <f t="array" ref="X168">IF(OR(J168:W168="NO"),"No aceptable","Aceptable")</f>
        <v>Aceptable</v>
      </c>
      <c r="AN168" s="3" t="str" cm="1">
        <f t="array" ref="AN168">IF(OR(Y168:AM168="NO"),"Critico","No Critico")</f>
        <v>No Critico</v>
      </c>
    </row>
    <row r="169" spans="1:40">
      <c r="A169" s="63">
        <f>Inicial!A131</f>
        <v>0</v>
      </c>
      <c r="B169" s="64">
        <f>Inicial!B131</f>
        <v>0</v>
      </c>
      <c r="C169" s="64">
        <f>Inicial!C131</f>
        <v>0</v>
      </c>
      <c r="D169" s="65">
        <f>Inicial!D131</f>
        <v>0</v>
      </c>
      <c r="E169" s="63" t="str">
        <f>IF(Inicial!N131="SI",Inicial!E131,"N/A")</f>
        <v>N/A</v>
      </c>
      <c r="F169" s="64" t="str">
        <f>IF(Inicial!N131="SI",Inicial!F131,"N/A")</f>
        <v>N/A</v>
      </c>
      <c r="G169" s="64" t="str">
        <f>IF(Inicial!N131="SI",Inicial!G131,"N/A")</f>
        <v>N/A</v>
      </c>
      <c r="H169" s="64" t="str">
        <f>IF(Inicial!N131="SI",Inicial!H131,"N/A")</f>
        <v>N/A</v>
      </c>
      <c r="I169" s="66" t="str">
        <f>IF(Inicial!N131="SI",Inicial!I131,"N/A")</f>
        <v>N/A</v>
      </c>
      <c r="X169" s="83" t="str" cm="1">
        <f t="array" ref="X169">IF(OR(J169:W169="NO"),"No aceptable","Aceptable")</f>
        <v>Aceptable</v>
      </c>
      <c r="AN169" s="3" t="str" cm="1">
        <f t="array" ref="AN169">IF(OR(Y169:AM169="NO"),"Critico","No Critico")</f>
        <v>No Critico</v>
      </c>
    </row>
    <row r="170" spans="1:40">
      <c r="A170" s="63">
        <f>Inicial!A132</f>
        <v>0</v>
      </c>
      <c r="B170" s="64">
        <f>Inicial!B132</f>
        <v>0</v>
      </c>
      <c r="C170" s="64">
        <f>Inicial!C132</f>
        <v>0</v>
      </c>
      <c r="D170" s="65">
        <f>Inicial!D132</f>
        <v>0</v>
      </c>
      <c r="E170" s="63" t="str">
        <f>IF(Inicial!N132="SI",Inicial!E132,"N/A")</f>
        <v>N/A</v>
      </c>
      <c r="F170" s="64" t="str">
        <f>IF(Inicial!N132="SI",Inicial!F132,"N/A")</f>
        <v>N/A</v>
      </c>
      <c r="G170" s="64" t="str">
        <f>IF(Inicial!N132="SI",Inicial!G132,"N/A")</f>
        <v>N/A</v>
      </c>
      <c r="H170" s="64" t="str">
        <f>IF(Inicial!N132="SI",Inicial!H132,"N/A")</f>
        <v>N/A</v>
      </c>
      <c r="I170" s="66" t="str">
        <f>IF(Inicial!N132="SI",Inicial!I132,"N/A")</f>
        <v>N/A</v>
      </c>
      <c r="X170" s="83" t="str" cm="1">
        <f t="array" ref="X170">IF(OR(J170:W170="NO"),"No aceptable","Aceptable")</f>
        <v>Aceptable</v>
      </c>
      <c r="AN170" s="3" t="str" cm="1">
        <f t="array" ref="AN170">IF(OR(Y170:AM170="NO"),"Critico","No Critico")</f>
        <v>No Critico</v>
      </c>
    </row>
    <row r="171" spans="1:40">
      <c r="A171" s="63">
        <f>Inicial!A133</f>
        <v>0</v>
      </c>
      <c r="B171" s="64">
        <f>Inicial!B133</f>
        <v>0</v>
      </c>
      <c r="C171" s="64">
        <f>Inicial!C133</f>
        <v>0</v>
      </c>
      <c r="D171" s="65">
        <f>Inicial!D133</f>
        <v>0</v>
      </c>
      <c r="E171" s="63" t="str">
        <f>IF(Inicial!N133="SI",Inicial!E133,"N/A")</f>
        <v>N/A</v>
      </c>
      <c r="F171" s="64" t="str">
        <f>IF(Inicial!N133="SI",Inicial!F133,"N/A")</f>
        <v>N/A</v>
      </c>
      <c r="G171" s="64" t="str">
        <f>IF(Inicial!N133="SI",Inicial!G133,"N/A")</f>
        <v>N/A</v>
      </c>
      <c r="H171" s="64" t="str">
        <f>IF(Inicial!N133="SI",Inicial!H133,"N/A")</f>
        <v>N/A</v>
      </c>
      <c r="I171" s="66" t="str">
        <f>IF(Inicial!N133="SI",Inicial!I133,"N/A")</f>
        <v>N/A</v>
      </c>
      <c r="X171" s="83" t="str" cm="1">
        <f t="array" ref="X171">IF(OR(J171:W171="NO"),"No aceptable","Aceptable")</f>
        <v>Aceptable</v>
      </c>
      <c r="AN171" s="3" t="str" cm="1">
        <f t="array" ref="AN171">IF(OR(Y171:AM171="NO"),"Critico","No Critico")</f>
        <v>No Critico</v>
      </c>
    </row>
    <row r="172" spans="1:40">
      <c r="A172" s="63">
        <f>Inicial!A134</f>
        <v>0</v>
      </c>
      <c r="B172" s="64">
        <f>Inicial!B134</f>
        <v>0</v>
      </c>
      <c r="C172" s="64">
        <f>Inicial!C134</f>
        <v>0</v>
      </c>
      <c r="D172" s="65">
        <f>Inicial!D134</f>
        <v>0</v>
      </c>
      <c r="E172" s="63" t="str">
        <f>IF(Inicial!N134="SI",Inicial!E134,"N/A")</f>
        <v>N/A</v>
      </c>
      <c r="F172" s="64" t="str">
        <f>IF(Inicial!N134="SI",Inicial!F134,"N/A")</f>
        <v>N/A</v>
      </c>
      <c r="G172" s="64" t="str">
        <f>IF(Inicial!N134="SI",Inicial!G134,"N/A")</f>
        <v>N/A</v>
      </c>
      <c r="H172" s="64" t="str">
        <f>IF(Inicial!N134="SI",Inicial!H134,"N/A")</f>
        <v>N/A</v>
      </c>
      <c r="I172" s="66" t="str">
        <f>IF(Inicial!N134="SI",Inicial!I134,"N/A")</f>
        <v>N/A</v>
      </c>
      <c r="X172" s="83" t="str" cm="1">
        <f t="array" ref="X172">IF(OR(J172:W172="NO"),"No aceptable","Aceptable")</f>
        <v>Aceptable</v>
      </c>
      <c r="AN172" s="3" t="str" cm="1">
        <f t="array" ref="AN172">IF(OR(Y172:AM172="NO"),"Critico","No Critico")</f>
        <v>No Critico</v>
      </c>
    </row>
    <row r="173" spans="1:40">
      <c r="A173" s="63">
        <f>Inicial!A135</f>
        <v>0</v>
      </c>
      <c r="B173" s="64">
        <f>Inicial!B135</f>
        <v>0</v>
      </c>
      <c r="C173" s="64">
        <f>Inicial!C135</f>
        <v>0</v>
      </c>
      <c r="D173" s="65">
        <f>Inicial!D135</f>
        <v>0</v>
      </c>
      <c r="E173" s="63" t="str">
        <f>IF(Inicial!N135="SI",Inicial!E135,"N/A")</f>
        <v>N/A</v>
      </c>
      <c r="F173" s="64" t="str">
        <f>IF(Inicial!N135="SI",Inicial!F135,"N/A")</f>
        <v>N/A</v>
      </c>
      <c r="G173" s="64" t="str">
        <f>IF(Inicial!N135="SI",Inicial!G135,"N/A")</f>
        <v>N/A</v>
      </c>
      <c r="H173" s="64" t="str">
        <f>IF(Inicial!N135="SI",Inicial!H135,"N/A")</f>
        <v>N/A</v>
      </c>
      <c r="I173" s="66" t="str">
        <f>IF(Inicial!N135="SI",Inicial!I135,"N/A")</f>
        <v>N/A</v>
      </c>
      <c r="X173" s="83" t="str" cm="1">
        <f t="array" ref="X173">IF(OR(J173:W173="NO"),"No aceptable","Aceptable")</f>
        <v>Aceptable</v>
      </c>
      <c r="AN173" s="3" t="str" cm="1">
        <f t="array" ref="AN173">IF(OR(Y173:AM173="NO"),"Critico","No Critico")</f>
        <v>No Critico</v>
      </c>
    </row>
    <row r="174" spans="1:40">
      <c r="A174" s="63">
        <f>Inicial!A136</f>
        <v>0</v>
      </c>
      <c r="B174" s="64">
        <f>Inicial!B136</f>
        <v>0</v>
      </c>
      <c r="C174" s="64">
        <f>Inicial!C136</f>
        <v>0</v>
      </c>
      <c r="D174" s="65">
        <f>Inicial!D136</f>
        <v>0</v>
      </c>
      <c r="E174" s="63" t="str">
        <f>IF(Inicial!N136="SI",Inicial!E136,"N/A")</f>
        <v>N/A</v>
      </c>
      <c r="F174" s="64" t="str">
        <f>IF(Inicial!N136="SI",Inicial!F136,"N/A")</f>
        <v>N/A</v>
      </c>
      <c r="G174" s="64" t="str">
        <f>IF(Inicial!N136="SI",Inicial!G136,"N/A")</f>
        <v>N/A</v>
      </c>
      <c r="H174" s="64" t="str">
        <f>IF(Inicial!N136="SI",Inicial!H136,"N/A")</f>
        <v>N/A</v>
      </c>
      <c r="I174" s="66" t="str">
        <f>IF(Inicial!N136="SI",Inicial!I136,"N/A")</f>
        <v>N/A</v>
      </c>
      <c r="X174" s="83" t="str" cm="1">
        <f t="array" ref="X174">IF(OR(J174:W174="NO"),"No aceptable","Aceptable")</f>
        <v>Aceptable</v>
      </c>
      <c r="AN174" s="3" t="str" cm="1">
        <f t="array" ref="AN174">IF(OR(Y174:AM174="NO"),"Critico","No Critico")</f>
        <v>No Critico</v>
      </c>
    </row>
    <row r="175" spans="1:40">
      <c r="A175" s="63">
        <f>Inicial!A137</f>
        <v>0</v>
      </c>
      <c r="B175" s="64">
        <f>Inicial!B137</f>
        <v>0</v>
      </c>
      <c r="C175" s="64">
        <f>Inicial!C137</f>
        <v>0</v>
      </c>
      <c r="D175" s="65">
        <f>Inicial!D137</f>
        <v>0</v>
      </c>
      <c r="E175" s="63" t="str">
        <f>IF(Inicial!N137="SI",Inicial!E137,"N/A")</f>
        <v>N/A</v>
      </c>
      <c r="F175" s="64" t="str">
        <f>IF(Inicial!N137="SI",Inicial!F137,"N/A")</f>
        <v>N/A</v>
      </c>
      <c r="G175" s="64" t="str">
        <f>IF(Inicial!N137="SI",Inicial!G137,"N/A")</f>
        <v>N/A</v>
      </c>
      <c r="H175" s="64" t="str">
        <f>IF(Inicial!N137="SI",Inicial!H137,"N/A")</f>
        <v>N/A</v>
      </c>
      <c r="I175" s="66" t="str">
        <f>IF(Inicial!N137="SI",Inicial!I137,"N/A")</f>
        <v>N/A</v>
      </c>
      <c r="X175" s="83" t="str" cm="1">
        <f t="array" ref="X175">IF(OR(J175:W175="NO"),"No aceptable","Aceptable")</f>
        <v>Aceptable</v>
      </c>
      <c r="AN175" s="3" t="str" cm="1">
        <f t="array" ref="AN175">IF(OR(Y175:AM175="NO"),"Critico","No Critico")</f>
        <v>No Critico</v>
      </c>
    </row>
    <row r="176" spans="1:40">
      <c r="A176" s="63">
        <f>Inicial!A138</f>
        <v>0</v>
      </c>
      <c r="B176" s="64">
        <f>Inicial!B138</f>
        <v>0</v>
      </c>
      <c r="C176" s="64">
        <f>Inicial!C138</f>
        <v>0</v>
      </c>
      <c r="D176" s="65">
        <f>Inicial!D138</f>
        <v>0</v>
      </c>
      <c r="E176" s="63" t="str">
        <f>IF(Inicial!N138="SI",Inicial!E138,"N/A")</f>
        <v>N/A</v>
      </c>
      <c r="F176" s="64" t="str">
        <f>IF(Inicial!N138="SI",Inicial!F138,"N/A")</f>
        <v>N/A</v>
      </c>
      <c r="G176" s="64" t="str">
        <f>IF(Inicial!N138="SI",Inicial!G138,"N/A")</f>
        <v>N/A</v>
      </c>
      <c r="H176" s="64" t="str">
        <f>IF(Inicial!N138="SI",Inicial!H138,"N/A")</f>
        <v>N/A</v>
      </c>
      <c r="I176" s="66" t="str">
        <f>IF(Inicial!N138="SI",Inicial!I138,"N/A")</f>
        <v>N/A</v>
      </c>
      <c r="X176" s="83" t="str" cm="1">
        <f t="array" ref="X176">IF(OR(J176:W176="NO"),"No aceptable","Aceptable")</f>
        <v>Aceptable</v>
      </c>
      <c r="AN176" s="3" t="str" cm="1">
        <f t="array" ref="AN176">IF(OR(Y176:AM176="NO"),"Critico","No Critico")</f>
        <v>No Critico</v>
      </c>
    </row>
    <row r="177" spans="1:40">
      <c r="A177" s="63">
        <f>Inicial!A139</f>
        <v>0</v>
      </c>
      <c r="B177" s="64"/>
      <c r="C177" s="64"/>
      <c r="D177" s="65"/>
      <c r="E177" s="63"/>
      <c r="F177" s="64"/>
      <c r="G177" s="64"/>
      <c r="H177" s="64"/>
      <c r="I177" s="66"/>
      <c r="X177" s="83" t="str" cm="1">
        <f t="array" ref="X177">IF(OR(J177:W177="NO"),"No aceptable","Aceptable")</f>
        <v>Aceptable</v>
      </c>
      <c r="AN177" s="3" t="str" cm="1">
        <f t="array" ref="AN177">IF(OR(Y177:AM177="NO"),"Critico","No Critico")</f>
        <v>No Critico</v>
      </c>
    </row>
    <row r="178" spans="1:40">
      <c r="A178" s="63">
        <f>Inicial!A140</f>
        <v>0</v>
      </c>
      <c r="X178" s="83" t="str" cm="1">
        <f t="array" ref="X178">IF(OR(J178:W178="NO"),"No aceptable","Aceptable")</f>
        <v>Aceptable</v>
      </c>
      <c r="AN178" s="3" t="str" cm="1">
        <f t="array" ref="AN178">IF(OR(Y178:AM178="NO"),"Critico","No Critico")</f>
        <v>No Critico</v>
      </c>
    </row>
  </sheetData>
  <mergeCells count="12">
    <mergeCell ref="AJ1:AL1"/>
    <mergeCell ref="AO1:AT1"/>
    <mergeCell ref="N1:P1"/>
    <mergeCell ref="Q1:S1"/>
    <mergeCell ref="T1:V1"/>
    <mergeCell ref="Y1:AB1"/>
    <mergeCell ref="AC1:AF1"/>
    <mergeCell ref="F1:G1"/>
    <mergeCell ref="H1:I1"/>
    <mergeCell ref="J1:M1"/>
    <mergeCell ref="A1:E1"/>
    <mergeCell ref="AG1:AI1"/>
  </mergeCells>
  <conditionalFormatting sqref="J3:K8">
    <cfRule type="cellIs" dxfId="25" priority="11" operator="equal">
      <formula>"NO"</formula>
    </cfRule>
    <cfRule type="cellIs" dxfId="24" priority="12" operator="equal">
      <formula>"SI"</formula>
    </cfRule>
  </conditionalFormatting>
  <conditionalFormatting sqref="J42:W178">
    <cfRule type="cellIs" dxfId="23" priority="15" operator="equal">
      <formula>"NO"</formula>
    </cfRule>
    <cfRule type="cellIs" dxfId="22" priority="16" operator="equal">
      <formula>"SI"</formula>
    </cfRule>
  </conditionalFormatting>
  <conditionalFormatting sqref="L3:U3 W3 L4:W178 Y22:AM178 J179:AM1048576">
    <cfRule type="cellIs" dxfId="21" priority="13" operator="equal">
      <formula>"NO"</formula>
    </cfRule>
    <cfRule type="cellIs" dxfId="20" priority="14" operator="equal">
      <formula>"SI"</formula>
    </cfRule>
  </conditionalFormatting>
  <conditionalFormatting sqref="X3:AM21 X22:X178">
    <cfRule type="cellIs" dxfId="19" priority="3" operator="equal">
      <formula>"No Aceptable"</formula>
    </cfRule>
    <cfRule type="cellIs" dxfId="18" priority="4" operator="equal">
      <formula>"Aceptable"</formula>
    </cfRule>
  </conditionalFormatting>
  <conditionalFormatting sqref="AN3:AN178">
    <cfRule type="cellIs" dxfId="17" priority="1" operator="equal">
      <formula>"No Critico"</formula>
    </cfRule>
    <cfRule type="cellIs" dxfId="16" priority="2" operator="equal">
      <formula>"Critico"</formula>
    </cfRule>
  </conditionalFormatting>
  <dataValidations count="3">
    <dataValidation type="list" allowBlank="1" showInputMessage="1" showErrorMessage="1" sqref="J3:U41 V4:V41 W3:W41 Y22:AM41" xr:uid="{FEBC6F02-E740-4724-96BF-5D6427A65DAE}">
      <formula1>"SI,NO,N/A"</formula1>
    </dataValidation>
    <dataValidation type="list" allowBlank="1" showInputMessage="1" showErrorMessage="1" sqref="J42:U91" xr:uid="{3FAD783F-3562-4F5A-B55F-8C0C73C243BA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X1:Y2 Z2:AB2 AC1:AC2 AD2:AF2 AG1:AG2 AH2:AI2 AJ1:AJ2 AM1:AM2 AK2:AL2" xr:uid="{C8548004-BE89-4AA1-9458-6F3A9B566F94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BF49-E03F-49AD-AB8A-509C59EFAF1F}">
  <dimension ref="A1:AA91"/>
  <sheetViews>
    <sheetView workbookViewId="0">
      <pane xSplit="9" ySplit="2" topLeftCell="Q3" activePane="bottomRight" state="frozen"/>
      <selection pane="bottomRight" activeCell="U5" sqref="U5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9.140625" customWidth="1"/>
    <col min="11" max="13" width="15.28515625" customWidth="1"/>
    <col min="14" max="14" width="22.28515625" style="1" customWidth="1"/>
    <col min="15" max="15" width="23.85546875" style="1" customWidth="1"/>
    <col min="16" max="16" width="26.5703125" style="1" customWidth="1"/>
    <col min="17" max="17" width="22.28515625" style="1" customWidth="1"/>
    <col min="18" max="18" width="20.28515625" style="1" customWidth="1"/>
    <col min="19" max="27" width="15.28515625" customWidth="1"/>
  </cols>
  <sheetData>
    <row r="1" spans="1:27" ht="60" customHeight="1">
      <c r="A1" s="147" t="s">
        <v>324</v>
      </c>
      <c r="B1" s="147"/>
      <c r="C1" s="147"/>
      <c r="D1" s="147"/>
      <c r="E1" s="147"/>
      <c r="F1" s="127" t="s">
        <v>112</v>
      </c>
      <c r="G1" s="127"/>
      <c r="H1" s="127" t="s">
        <v>113</v>
      </c>
      <c r="I1" s="127"/>
      <c r="J1" s="145" t="s">
        <v>325</v>
      </c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85" t="s">
        <v>150</v>
      </c>
      <c r="V1" s="131" t="s">
        <v>116</v>
      </c>
      <c r="W1" s="132"/>
      <c r="X1" s="132"/>
      <c r="Y1" s="132"/>
      <c r="Z1" s="132"/>
      <c r="AA1" s="133"/>
    </row>
    <row r="2" spans="1:27" ht="88.15" customHeight="1">
      <c r="A2" s="8" t="s">
        <v>93</v>
      </c>
      <c r="B2" s="9" t="s">
        <v>35</v>
      </c>
      <c r="C2" s="9" t="s">
        <v>36</v>
      </c>
      <c r="D2" s="9" t="s">
        <v>37</v>
      </c>
      <c r="E2" s="9" t="s">
        <v>39</v>
      </c>
      <c r="F2" s="9" t="s">
        <v>117</v>
      </c>
      <c r="G2" s="9" t="s">
        <v>118</v>
      </c>
      <c r="H2" s="9" t="s">
        <v>119</v>
      </c>
      <c r="I2" s="9" t="s">
        <v>120</v>
      </c>
      <c r="J2" s="91" t="s">
        <v>326</v>
      </c>
      <c r="K2" s="91" t="s">
        <v>327</v>
      </c>
      <c r="L2" s="91" t="s">
        <v>328</v>
      </c>
      <c r="M2" s="91" t="s">
        <v>329</v>
      </c>
      <c r="N2" s="91" t="s">
        <v>330</v>
      </c>
      <c r="O2" s="91" t="s">
        <v>331</v>
      </c>
      <c r="P2" s="91" t="s">
        <v>332</v>
      </c>
      <c r="Q2" s="91" t="s">
        <v>333</v>
      </c>
      <c r="R2" s="91" t="s">
        <v>334</v>
      </c>
      <c r="S2" s="91" t="s">
        <v>335</v>
      </c>
      <c r="T2" s="91" t="s">
        <v>336</v>
      </c>
      <c r="U2" s="92" t="s">
        <v>127</v>
      </c>
      <c r="V2" s="13" t="s">
        <v>135</v>
      </c>
      <c r="W2" s="13" t="s">
        <v>136</v>
      </c>
      <c r="X2" s="13" t="s">
        <v>137</v>
      </c>
      <c r="Y2" s="13" t="s">
        <v>138</v>
      </c>
      <c r="Z2" s="13" t="s">
        <v>139</v>
      </c>
      <c r="AA2" s="13" t="s">
        <v>140</v>
      </c>
    </row>
    <row r="3" spans="1:27" s="5" customFormat="1" ht="25.9" customHeight="1">
      <c r="A3" s="63">
        <f>Inicial!A3</f>
        <v>1</v>
      </c>
      <c r="B3" s="64" t="str">
        <f>Inicial!B3</f>
        <v>Despacho</v>
      </c>
      <c r="C3" s="64" t="str">
        <f>Inicial!C3</f>
        <v xml:space="preserve"> Carton Frezzer</v>
      </c>
      <c r="D3" s="65" t="str">
        <f>Inicial!D3</f>
        <v xml:space="preserve">Pinchador </v>
      </c>
      <c r="E3" s="63" t="str">
        <f>IF(Inicial!O3="SI",Inicial!E3,"N/A")</f>
        <v>N/A</v>
      </c>
      <c r="F3" s="64" t="str">
        <f>IF(Inicial!O3="SI",Inicial!F3,"N/A")</f>
        <v>N/A</v>
      </c>
      <c r="G3" s="64" t="str">
        <f>IF(Inicial!O3="SI",Inicial!G3,"N/A")</f>
        <v>N/A</v>
      </c>
      <c r="H3" s="64" t="str">
        <f>IF(Inicial!O3="SI",Inicial!H3,"N/A")</f>
        <v>N/A</v>
      </c>
      <c r="I3" s="75" t="str">
        <f>IF(Inicial!O3="SI",Inicial!I3,"N/A")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 t="str" cm="1">
        <f t="array" ref="U3">IF(OR(J3:T3="SI"),"No aceptable","Aceptable")</f>
        <v>Aceptable</v>
      </c>
      <c r="V3" s="1"/>
      <c r="W3" s="1"/>
      <c r="X3" s="1"/>
      <c r="Y3" s="1"/>
      <c r="Z3" s="1"/>
      <c r="AA3" s="1"/>
    </row>
    <row r="4" spans="1:27" ht="25.9" customHeight="1">
      <c r="A4" s="63">
        <f>Inicial!A4</f>
        <v>2</v>
      </c>
      <c r="B4" s="64" t="str">
        <f>Inicial!B4</f>
        <v>Despacho</v>
      </c>
      <c r="C4" s="64" t="str">
        <f>Inicial!C4</f>
        <v xml:space="preserve"> Carton Frezzer</v>
      </c>
      <c r="D4" s="65" t="str">
        <f>Inicial!D4</f>
        <v>Depaletizador</v>
      </c>
      <c r="E4" s="63" t="str">
        <f>IF(Inicial!O4="SI",Inicial!E4,"N/A")</f>
        <v>N/A</v>
      </c>
      <c r="F4" s="64" t="str">
        <f>IF(Inicial!O4="SI",Inicial!F4,"N/A")</f>
        <v>N/A</v>
      </c>
      <c r="G4" s="64" t="str">
        <f>IF(Inicial!O4="SI",Inicial!G4,"N/A")</f>
        <v>N/A</v>
      </c>
      <c r="H4" s="64" t="str">
        <f>IF(Inicial!O4="SI",Inicial!H4,"N/A")</f>
        <v>N/A</v>
      </c>
      <c r="I4" s="75" t="str">
        <f>IF(Inicial!O4="SI",Inicial!I4,"N/A")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 t="str" cm="1">
        <f t="array" ref="U4">IF(OR(N4:T4="NO"),"No aceptable","Aceptable")</f>
        <v>Aceptable</v>
      </c>
      <c r="V4" s="1"/>
      <c r="W4" s="1"/>
      <c r="X4" s="1"/>
      <c r="Y4" s="1"/>
      <c r="Z4" s="1"/>
      <c r="AA4" s="1"/>
    </row>
    <row r="5" spans="1:27" ht="25.9" customHeight="1">
      <c r="A5" s="63">
        <f>Inicial!A5</f>
        <v>3</v>
      </c>
      <c r="B5" s="64" t="str">
        <f>Inicial!B5</f>
        <v>Despacho</v>
      </c>
      <c r="C5" s="64" t="str">
        <f>Inicial!C5</f>
        <v xml:space="preserve"> Carton Frezzer</v>
      </c>
      <c r="D5" s="65" t="str">
        <f>Inicial!D5</f>
        <v xml:space="preserve">Pinchador </v>
      </c>
      <c r="E5" s="63" t="str">
        <f>IF(Inicial!O5="SI",Inicial!E5,"N/A")</f>
        <v>N/A</v>
      </c>
      <c r="F5" s="64" t="str">
        <f>IF(Inicial!O5="SI",Inicial!F5,"N/A")</f>
        <v>N/A</v>
      </c>
      <c r="G5" s="64" t="str">
        <f>IF(Inicial!O5="SI",Inicial!G5,"N/A")</f>
        <v>N/A</v>
      </c>
      <c r="H5" s="64" t="str">
        <f>IF(Inicial!O5="SI",Inicial!H5,"N/A")</f>
        <v>N/A</v>
      </c>
      <c r="I5" s="75" t="str">
        <f>IF(Inicial!O5="SI",Inicial!I5,"N/A")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 t="str" cm="1">
        <f t="array" ref="U5">IF(OR(N5:T5="NO"),"No aceptable","Aceptable")</f>
        <v>Aceptable</v>
      </c>
      <c r="V5" s="1"/>
      <c r="W5" s="1"/>
      <c r="X5" s="1"/>
      <c r="Y5" s="1"/>
      <c r="Z5" s="1"/>
      <c r="AA5" s="1"/>
    </row>
    <row r="6" spans="1:27" ht="25.9" customHeight="1">
      <c r="A6" s="63">
        <f>Inicial!A6</f>
        <v>4</v>
      </c>
      <c r="B6" s="64" t="str">
        <f>Inicial!B6</f>
        <v>Despacho</v>
      </c>
      <c r="C6" s="64" t="str">
        <f>Inicial!C6</f>
        <v>Despacho congelado</v>
      </c>
      <c r="D6" s="65" t="str">
        <f>Inicial!D6</f>
        <v>Gruero</v>
      </c>
      <c r="E6" s="63" t="str">
        <f>IF(Inicial!O6="SI",Inicial!E6,"N/A")</f>
        <v>N/A</v>
      </c>
      <c r="F6" s="64" t="str">
        <f>IF(Inicial!O6="SI",Inicial!F6,"N/A")</f>
        <v>N/A</v>
      </c>
      <c r="G6" s="64" t="str">
        <f>IF(Inicial!O6="SI",Inicial!G6,"N/A")</f>
        <v>N/A</v>
      </c>
      <c r="H6" s="64" t="str">
        <f>IF(Inicial!O6="SI",Inicial!H6,"N/A")</f>
        <v>N/A</v>
      </c>
      <c r="I6" s="75" t="str">
        <f>IF(Inicial!O6="SI",Inicial!I6,"N/A")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 t="str" cm="1">
        <f t="array" ref="U6">IF(OR(N6:T6="NO"),"No aceptable","Aceptable")</f>
        <v>Aceptable</v>
      </c>
    </row>
    <row r="7" spans="1:27" ht="25.9" customHeight="1">
      <c r="A7" s="63">
        <f>Inicial!A7</f>
        <v>5</v>
      </c>
      <c r="B7" s="64" t="str">
        <f>Inicial!B7</f>
        <v>Despacho</v>
      </c>
      <c r="C7" s="64" t="str">
        <f>Inicial!C7</f>
        <v>Despacho congelado</v>
      </c>
      <c r="D7" s="65" t="str">
        <f>Inicial!D7</f>
        <v>Transpaletero</v>
      </c>
      <c r="E7" s="63" t="str">
        <f>IF(Inicial!O7="SI",Inicial!E7,"N/A")</f>
        <v>N/A</v>
      </c>
      <c r="F7" s="64" t="str">
        <f>IF(Inicial!O7="SI",Inicial!F7,"N/A")</f>
        <v>N/A</v>
      </c>
      <c r="G7" s="64" t="str">
        <f>IF(Inicial!O7="SI",Inicial!G7,"N/A")</f>
        <v>N/A</v>
      </c>
      <c r="H7" s="64" t="str">
        <f>IF(Inicial!O7="SI",Inicial!H7,"N/A")</f>
        <v>N/A</v>
      </c>
      <c r="I7" s="75" t="str">
        <f>IF(Inicial!O7="SI",Inicial!I7,"N/A")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 t="str" cm="1">
        <f t="array" ref="U7">IF(OR(N7:T7="NO"),"No aceptable","Aceptable")</f>
        <v>Aceptable</v>
      </c>
    </row>
    <row r="8" spans="1:27" ht="25.9" customHeight="1">
      <c r="A8" s="63">
        <f>Inicial!A8</f>
        <v>6</v>
      </c>
      <c r="B8" s="64" t="str">
        <f>Inicial!B8</f>
        <v>Despacho</v>
      </c>
      <c r="C8" s="64" t="str">
        <f>Inicial!C8</f>
        <v>Despacho congelado</v>
      </c>
      <c r="D8" s="65" t="str">
        <f>Inicial!D8</f>
        <v>Postura de films</v>
      </c>
      <c r="E8" s="63" t="str">
        <f>IF(Inicial!O8="SI",Inicial!E8,"N/A")</f>
        <v>N/A</v>
      </c>
      <c r="F8" s="64" t="str">
        <f>IF(Inicial!O8="SI",Inicial!F8,"N/A")</f>
        <v>N/A</v>
      </c>
      <c r="G8" s="64" t="str">
        <f>IF(Inicial!O8="SI",Inicial!G8,"N/A")</f>
        <v>N/A</v>
      </c>
      <c r="H8" s="64" t="str">
        <f>IF(Inicial!O8="SI",Inicial!H8,"N/A")</f>
        <v>N/A</v>
      </c>
      <c r="I8" s="75" t="str">
        <f>IF(Inicial!O8="SI",Inicial!I8,"N/A")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2" t="str" cm="1">
        <f t="array" ref="U8">IF(OR(N8:T8="NO"),"No aceptable","Aceptable")</f>
        <v>Aceptable</v>
      </c>
    </row>
    <row r="9" spans="1:27">
      <c r="A9" s="63">
        <f>Inicial!A9</f>
        <v>7</v>
      </c>
      <c r="B9" s="64" t="str">
        <f>Inicial!B9</f>
        <v>Despacho</v>
      </c>
      <c r="C9" s="64" t="str">
        <f>Inicial!C9</f>
        <v>Despacho Congelado</v>
      </c>
      <c r="D9" s="65" t="str">
        <f>Inicial!D9</f>
        <v>Reprocesos de producto</v>
      </c>
      <c r="E9" s="63" t="str">
        <f>IF(Inicial!O9="SI",Inicial!E9,"N/A")</f>
        <v>N/A</v>
      </c>
      <c r="F9" s="64" t="str">
        <f>IF(Inicial!O9="SI",Inicial!F9,"N/A")</f>
        <v>N/A</v>
      </c>
      <c r="G9" s="64" t="str">
        <f>IF(Inicial!O9="SI",Inicial!G9,"N/A")</f>
        <v>N/A</v>
      </c>
      <c r="H9" s="64" t="str">
        <f>IF(Inicial!O9="SI",Inicial!H9,"N/A")</f>
        <v>N/A</v>
      </c>
      <c r="I9" s="75" t="str">
        <f>IF(Inicial!O9="SI",Inicial!I9,"N/A")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 t="str" cm="1">
        <f t="array" ref="U9">IF(OR(N9:T9="NO"),"No aceptable","Aceptable")</f>
        <v>Aceptable</v>
      </c>
    </row>
    <row r="10" spans="1:27">
      <c r="A10" s="63" t="e">
        <f>Inicial!#REF!</f>
        <v>#REF!</v>
      </c>
      <c r="B10" s="64" t="e">
        <f>Inicial!#REF!</f>
        <v>#REF!</v>
      </c>
      <c r="C10" s="64" t="e">
        <f>Inicial!#REF!</f>
        <v>#REF!</v>
      </c>
      <c r="D10" s="65" t="e">
        <f>Inicial!#REF!</f>
        <v>#REF!</v>
      </c>
      <c r="E10" s="63" t="e">
        <f>IF(Inicial!#REF!="SI",Inicial!#REF!,"N/A")</f>
        <v>#REF!</v>
      </c>
      <c r="F10" s="64" t="e">
        <f>IF(Inicial!#REF!="SI",Inicial!#REF!,"N/A")</f>
        <v>#REF!</v>
      </c>
      <c r="G10" s="64" t="e">
        <f>IF(Inicial!#REF!="SI",Inicial!#REF!,"N/A")</f>
        <v>#REF!</v>
      </c>
      <c r="H10" s="64" t="e">
        <f>IF(Inicial!#REF!="SI",Inicial!#REF!,"N/A")</f>
        <v>#REF!</v>
      </c>
      <c r="I10" s="75" t="e">
        <f>IF(Inicial!#REF!="SI",Inicial!#REF!,"N/A")</f>
        <v>#REF!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 t="str" cm="1">
        <f t="array" ref="U10">IF(OR(N10:T10="NO"),"No aceptable","Aceptable")</f>
        <v>Aceptable</v>
      </c>
    </row>
    <row r="11" spans="1:27">
      <c r="A11" s="63" t="e">
        <f>Inicial!#REF!</f>
        <v>#REF!</v>
      </c>
      <c r="B11" s="64" t="e">
        <f>Inicial!#REF!</f>
        <v>#REF!</v>
      </c>
      <c r="C11" s="64" t="e">
        <f>Inicial!#REF!</f>
        <v>#REF!</v>
      </c>
      <c r="D11" s="65" t="e">
        <f>Inicial!#REF!</f>
        <v>#REF!</v>
      </c>
      <c r="E11" s="63" t="e">
        <f>IF(Inicial!#REF!="SI",Inicial!#REF!,"N/A")</f>
        <v>#REF!</v>
      </c>
      <c r="F11" s="64" t="e">
        <f>IF(Inicial!#REF!="SI",Inicial!#REF!,"N/A")</f>
        <v>#REF!</v>
      </c>
      <c r="G11" s="64" t="e">
        <f>IF(Inicial!#REF!="SI",Inicial!#REF!,"N/A")</f>
        <v>#REF!</v>
      </c>
      <c r="H11" s="64" t="e">
        <f>IF(Inicial!#REF!="SI",Inicial!#REF!,"N/A")</f>
        <v>#REF!</v>
      </c>
      <c r="I11" s="75" t="e">
        <f>IF(Inicial!#REF!="SI",Inicial!#REF!,"N/A")</f>
        <v>#REF!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 t="str" cm="1">
        <f t="array" ref="U11">IF(OR(N11:T11="NO"),"No aceptable","Aceptable")</f>
        <v>Aceptable</v>
      </c>
    </row>
    <row r="12" spans="1:27">
      <c r="A12" s="63" t="e">
        <f>Inicial!#REF!</f>
        <v>#REF!</v>
      </c>
      <c r="B12" s="64" t="e">
        <f>Inicial!#REF!</f>
        <v>#REF!</v>
      </c>
      <c r="C12" s="64" t="e">
        <f>Inicial!#REF!</f>
        <v>#REF!</v>
      </c>
      <c r="D12" s="65" t="e">
        <f>Inicial!#REF!</f>
        <v>#REF!</v>
      </c>
      <c r="E12" s="63" t="e">
        <f>IF(Inicial!#REF!="SI",Inicial!#REF!,"N/A")</f>
        <v>#REF!</v>
      </c>
      <c r="F12" s="64" t="e">
        <f>IF(Inicial!#REF!="SI",Inicial!#REF!,"N/A")</f>
        <v>#REF!</v>
      </c>
      <c r="G12" s="64" t="e">
        <f>IF(Inicial!#REF!="SI",Inicial!#REF!,"N/A")</f>
        <v>#REF!</v>
      </c>
      <c r="H12" s="64" t="e">
        <f>IF(Inicial!#REF!="SI",Inicial!#REF!,"N/A")</f>
        <v>#REF!</v>
      </c>
      <c r="I12" s="75" t="e">
        <f>IF(Inicial!#REF!="SI",Inicial!#REF!,"N/A")</f>
        <v>#REF!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 t="str" cm="1">
        <f t="array" ref="U12">IF(OR(N12:T12="NO"),"No aceptable","Aceptable")</f>
        <v>Aceptable</v>
      </c>
    </row>
    <row r="13" spans="1:27">
      <c r="A13" s="63" t="e">
        <f>Inicial!#REF!</f>
        <v>#REF!</v>
      </c>
      <c r="B13" s="64" t="e">
        <f>Inicial!#REF!</f>
        <v>#REF!</v>
      </c>
      <c r="C13" s="64" t="e">
        <f>Inicial!#REF!</f>
        <v>#REF!</v>
      </c>
      <c r="D13" s="65" t="e">
        <f>Inicial!#REF!</f>
        <v>#REF!</v>
      </c>
      <c r="E13" s="63" t="e">
        <f>IF(Inicial!#REF!="SI",Inicial!#REF!,"N/A")</f>
        <v>#REF!</v>
      </c>
      <c r="F13" s="64" t="e">
        <f>IF(Inicial!#REF!="SI",Inicial!#REF!,"N/A")</f>
        <v>#REF!</v>
      </c>
      <c r="G13" s="64" t="e">
        <f>IF(Inicial!#REF!="SI",Inicial!#REF!,"N/A")</f>
        <v>#REF!</v>
      </c>
      <c r="H13" s="64" t="e">
        <f>IF(Inicial!#REF!="SI",Inicial!#REF!,"N/A")</f>
        <v>#REF!</v>
      </c>
      <c r="I13" s="75" t="e">
        <f>IF(Inicial!#REF!="SI",Inicial!#REF!,"N/A")</f>
        <v>#REF!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 t="str" cm="1">
        <f t="array" ref="U13">IF(OR(N13:T13="NO"),"No aceptable","Aceptable")</f>
        <v>Aceptable</v>
      </c>
    </row>
    <row r="14" spans="1:27">
      <c r="A14" s="63" t="e">
        <f>Inicial!#REF!</f>
        <v>#REF!</v>
      </c>
      <c r="B14" s="64" t="e">
        <f>Inicial!#REF!</f>
        <v>#REF!</v>
      </c>
      <c r="C14" s="64" t="e">
        <f>Inicial!#REF!</f>
        <v>#REF!</v>
      </c>
      <c r="D14" s="65" t="e">
        <f>Inicial!#REF!</f>
        <v>#REF!</v>
      </c>
      <c r="E14" s="63" t="e">
        <f>IF(Inicial!#REF!="SI",Inicial!#REF!,"N/A")</f>
        <v>#REF!</v>
      </c>
      <c r="F14" s="64" t="e">
        <f>IF(Inicial!#REF!="SI",Inicial!#REF!,"N/A")</f>
        <v>#REF!</v>
      </c>
      <c r="G14" s="64" t="e">
        <f>IF(Inicial!#REF!="SI",Inicial!#REF!,"N/A")</f>
        <v>#REF!</v>
      </c>
      <c r="H14" s="64" t="e">
        <f>IF(Inicial!#REF!="SI",Inicial!#REF!,"N/A")</f>
        <v>#REF!</v>
      </c>
      <c r="I14" s="75" t="e">
        <f>IF(Inicial!#REF!="SI",Inicial!#REF!,"N/A")</f>
        <v>#REF!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 t="str" cm="1">
        <f t="array" ref="U14">IF(OR(N14:T14="NO"),"No aceptable","Aceptable")</f>
        <v>Aceptable</v>
      </c>
    </row>
    <row r="15" spans="1:27">
      <c r="A15" s="63" t="e">
        <f>Inicial!#REF!</f>
        <v>#REF!</v>
      </c>
      <c r="B15" s="64" t="e">
        <f>Inicial!#REF!</f>
        <v>#REF!</v>
      </c>
      <c r="C15" s="64" t="e">
        <f>Inicial!#REF!</f>
        <v>#REF!</v>
      </c>
      <c r="D15" s="65" t="e">
        <f>Inicial!#REF!</f>
        <v>#REF!</v>
      </c>
      <c r="E15" s="63" t="e">
        <f>IF(Inicial!#REF!="SI",Inicial!#REF!,"N/A")</f>
        <v>#REF!</v>
      </c>
      <c r="F15" s="64" t="e">
        <f>IF(Inicial!#REF!="SI",Inicial!#REF!,"N/A")</f>
        <v>#REF!</v>
      </c>
      <c r="G15" s="64" t="e">
        <f>IF(Inicial!#REF!="SI",Inicial!#REF!,"N/A")</f>
        <v>#REF!</v>
      </c>
      <c r="H15" s="64" t="e">
        <f>IF(Inicial!#REF!="SI",Inicial!#REF!,"N/A")</f>
        <v>#REF!</v>
      </c>
      <c r="I15" s="75" t="e">
        <f>IF(Inicial!#REF!="SI",Inicial!#REF!,"N/A")</f>
        <v>#REF!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 t="str" cm="1">
        <f t="array" ref="U15">IF(OR(N15:T15="NO"),"No aceptable","Aceptable")</f>
        <v>Aceptable</v>
      </c>
    </row>
    <row r="16" spans="1:27">
      <c r="A16" s="63" t="e">
        <f>Inicial!#REF!</f>
        <v>#REF!</v>
      </c>
      <c r="B16" s="64" t="e">
        <f>Inicial!#REF!</f>
        <v>#REF!</v>
      </c>
      <c r="C16" s="64" t="e">
        <f>Inicial!#REF!</f>
        <v>#REF!</v>
      </c>
      <c r="D16" s="65" t="e">
        <f>Inicial!#REF!</f>
        <v>#REF!</v>
      </c>
      <c r="E16" s="63" t="e">
        <f>IF(Inicial!#REF!="SI",Inicial!#REF!,"N/A")</f>
        <v>#REF!</v>
      </c>
      <c r="F16" s="64" t="e">
        <f>IF(Inicial!#REF!="SI",Inicial!#REF!,"N/A")</f>
        <v>#REF!</v>
      </c>
      <c r="G16" s="64" t="e">
        <f>IF(Inicial!#REF!="SI",Inicial!#REF!,"N/A")</f>
        <v>#REF!</v>
      </c>
      <c r="H16" s="64" t="e">
        <f>IF(Inicial!#REF!="SI",Inicial!#REF!,"N/A")</f>
        <v>#REF!</v>
      </c>
      <c r="I16" s="75" t="e">
        <f>IF(Inicial!#REF!="SI",Inicial!#REF!,"N/A")</f>
        <v>#REF!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 t="str" cm="1">
        <f t="array" ref="U16">IF(OR(N16:T16="NO"),"No aceptable","Aceptable")</f>
        <v>Aceptable</v>
      </c>
    </row>
    <row r="17" spans="1:21">
      <c r="A17" s="63" t="e">
        <f>Inicial!#REF!</f>
        <v>#REF!</v>
      </c>
      <c r="B17" s="64" t="e">
        <f>Inicial!#REF!</f>
        <v>#REF!</v>
      </c>
      <c r="C17" s="64" t="e">
        <f>Inicial!#REF!</f>
        <v>#REF!</v>
      </c>
      <c r="D17" s="65" t="e">
        <f>Inicial!#REF!</f>
        <v>#REF!</v>
      </c>
      <c r="E17" s="63" t="e">
        <f>IF(Inicial!#REF!="SI",Inicial!#REF!,"N/A")</f>
        <v>#REF!</v>
      </c>
      <c r="F17" s="64" t="e">
        <f>IF(Inicial!#REF!="SI",Inicial!#REF!,"N/A")</f>
        <v>#REF!</v>
      </c>
      <c r="G17" s="64" t="e">
        <f>IF(Inicial!#REF!="SI",Inicial!#REF!,"N/A")</f>
        <v>#REF!</v>
      </c>
      <c r="H17" s="64" t="e">
        <f>IF(Inicial!#REF!="SI",Inicial!#REF!,"N/A")</f>
        <v>#REF!</v>
      </c>
      <c r="I17" s="75" t="e">
        <f>IF(Inicial!#REF!="SI",Inicial!#REF!,"N/A")</f>
        <v>#REF!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2" t="str" cm="1">
        <f t="array" ref="U17">IF(OR(N17:T17="NO"),"No aceptable","Aceptable")</f>
        <v>Aceptable</v>
      </c>
    </row>
    <row r="18" spans="1:21">
      <c r="A18" s="63" t="e">
        <f>Inicial!#REF!</f>
        <v>#REF!</v>
      </c>
      <c r="B18" s="64" t="e">
        <f>Inicial!#REF!</f>
        <v>#REF!</v>
      </c>
      <c r="C18" s="64" t="e">
        <f>Inicial!#REF!</f>
        <v>#REF!</v>
      </c>
      <c r="D18" s="65" t="e">
        <f>Inicial!#REF!</f>
        <v>#REF!</v>
      </c>
      <c r="E18" s="63" t="e">
        <f>IF(Inicial!#REF!="SI",Inicial!#REF!,"N/A")</f>
        <v>#REF!</v>
      </c>
      <c r="F18" s="64" t="e">
        <f>IF(Inicial!#REF!="SI",Inicial!#REF!,"N/A")</f>
        <v>#REF!</v>
      </c>
      <c r="G18" s="64" t="e">
        <f>IF(Inicial!#REF!="SI",Inicial!#REF!,"N/A")</f>
        <v>#REF!</v>
      </c>
      <c r="H18" s="64" t="e">
        <f>IF(Inicial!#REF!="SI",Inicial!#REF!,"N/A")</f>
        <v>#REF!</v>
      </c>
      <c r="I18" s="75" t="e">
        <f>IF(Inicial!#REF!="SI",Inicial!#REF!,"N/A")</f>
        <v>#REF!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2" t="str" cm="1">
        <f t="array" ref="U18">IF(OR(N18:T18="NO"),"No aceptable","Aceptable")</f>
        <v>Aceptable</v>
      </c>
    </row>
    <row r="19" spans="1:21">
      <c r="A19" s="63" t="e">
        <f>Inicial!#REF!</f>
        <v>#REF!</v>
      </c>
      <c r="B19" s="64" t="e">
        <f>Inicial!#REF!</f>
        <v>#REF!</v>
      </c>
      <c r="C19" s="64" t="e">
        <f>Inicial!#REF!</f>
        <v>#REF!</v>
      </c>
      <c r="D19" s="65" t="e">
        <f>Inicial!#REF!</f>
        <v>#REF!</v>
      </c>
      <c r="E19" s="63" t="e">
        <f>IF(Inicial!#REF!="SI",Inicial!#REF!,"N/A")</f>
        <v>#REF!</v>
      </c>
      <c r="F19" s="64" t="e">
        <f>IF(Inicial!#REF!="SI",Inicial!#REF!,"N/A")</f>
        <v>#REF!</v>
      </c>
      <c r="G19" s="64" t="e">
        <f>IF(Inicial!#REF!="SI",Inicial!#REF!,"N/A")</f>
        <v>#REF!</v>
      </c>
      <c r="H19" s="64" t="e">
        <f>IF(Inicial!#REF!="SI",Inicial!#REF!,"N/A")</f>
        <v>#REF!</v>
      </c>
      <c r="I19" s="75" t="e">
        <f>IF(Inicial!#REF!="SI",Inicial!#REF!,"N/A")</f>
        <v>#REF!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2" t="str" cm="1">
        <f t="array" ref="U19">IF(OR(N19:T19="NO"),"No aceptable","Aceptable")</f>
        <v>Aceptable</v>
      </c>
    </row>
    <row r="20" spans="1:21">
      <c r="A20" s="63" t="e">
        <f>Inicial!#REF!</f>
        <v>#REF!</v>
      </c>
      <c r="B20" s="64" t="e">
        <f>Inicial!#REF!</f>
        <v>#REF!</v>
      </c>
      <c r="C20" s="64" t="e">
        <f>Inicial!#REF!</f>
        <v>#REF!</v>
      </c>
      <c r="D20" s="65" t="e">
        <f>Inicial!#REF!</f>
        <v>#REF!</v>
      </c>
      <c r="E20" s="63" t="e">
        <f>IF(Inicial!#REF!="SI",Inicial!#REF!,"N/A")</f>
        <v>#REF!</v>
      </c>
      <c r="F20" s="64" t="e">
        <f>IF(Inicial!#REF!="SI",Inicial!#REF!,"N/A")</f>
        <v>#REF!</v>
      </c>
      <c r="G20" s="64" t="e">
        <f>IF(Inicial!#REF!="SI",Inicial!#REF!,"N/A")</f>
        <v>#REF!</v>
      </c>
      <c r="H20" s="64" t="e">
        <f>IF(Inicial!#REF!="SI",Inicial!#REF!,"N/A")</f>
        <v>#REF!</v>
      </c>
      <c r="I20" s="75" t="e">
        <f>IF(Inicial!#REF!="SI",Inicial!#REF!,"N/A")</f>
        <v>#REF!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2" t="str" cm="1">
        <f t="array" ref="U20">IF(OR(N20:T20="NO"),"No aceptable","Aceptable")</f>
        <v>Aceptable</v>
      </c>
    </row>
    <row r="21" spans="1:21">
      <c r="A21" s="63" t="e">
        <f>Inicial!#REF!</f>
        <v>#REF!</v>
      </c>
      <c r="B21" s="64" t="e">
        <f>Inicial!#REF!</f>
        <v>#REF!</v>
      </c>
      <c r="C21" s="64" t="e">
        <f>Inicial!#REF!</f>
        <v>#REF!</v>
      </c>
      <c r="D21" s="65" t="e">
        <f>Inicial!#REF!</f>
        <v>#REF!</v>
      </c>
      <c r="E21" s="63" t="e">
        <f>IF(Inicial!#REF!="SI",Inicial!#REF!,"N/A")</f>
        <v>#REF!</v>
      </c>
      <c r="F21" s="64" t="e">
        <f>IF(Inicial!#REF!="SI",Inicial!#REF!,"N/A")</f>
        <v>#REF!</v>
      </c>
      <c r="G21" s="64" t="e">
        <f>IF(Inicial!#REF!="SI",Inicial!#REF!,"N/A")</f>
        <v>#REF!</v>
      </c>
      <c r="H21" s="64" t="e">
        <f>IF(Inicial!#REF!="SI",Inicial!#REF!,"N/A")</f>
        <v>#REF!</v>
      </c>
      <c r="I21" s="75" t="e">
        <f>IF(Inicial!#REF!="SI",Inicial!#REF!,"N/A")</f>
        <v>#REF!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2" t="str" cm="1">
        <f t="array" ref="U21">IF(OR(N21:T21="NO"),"No aceptable","Aceptable")</f>
        <v>Aceptable</v>
      </c>
    </row>
    <row r="22" spans="1:21">
      <c r="A22" s="63" t="e">
        <f>Inicial!#REF!</f>
        <v>#REF!</v>
      </c>
      <c r="B22" s="64" t="e">
        <f>Inicial!#REF!</f>
        <v>#REF!</v>
      </c>
      <c r="C22" s="64" t="e">
        <f>Inicial!#REF!</f>
        <v>#REF!</v>
      </c>
      <c r="D22" s="65" t="e">
        <f>Inicial!#REF!</f>
        <v>#REF!</v>
      </c>
      <c r="E22" s="63" t="e">
        <f>IF(Inicial!#REF!="SI",Inicial!#REF!,"N/A")</f>
        <v>#REF!</v>
      </c>
      <c r="F22" s="64" t="e">
        <f>IF(Inicial!#REF!="SI",Inicial!#REF!,"N/A")</f>
        <v>#REF!</v>
      </c>
      <c r="G22" s="64" t="e">
        <f>IF(Inicial!#REF!="SI",Inicial!#REF!,"N/A")</f>
        <v>#REF!</v>
      </c>
      <c r="H22" s="64" t="e">
        <f>IF(Inicial!#REF!="SI",Inicial!#REF!,"N/A")</f>
        <v>#REF!</v>
      </c>
      <c r="I22" s="75" t="e">
        <f>IF(Inicial!#REF!="SI",Inicial!#REF!,"N/A")</f>
        <v>#REF!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2" t="str" cm="1">
        <f t="array" ref="U22">IF(OR(N22:T22="NO"),"No aceptable","Aceptable")</f>
        <v>Aceptable</v>
      </c>
    </row>
    <row r="23" spans="1:21">
      <c r="A23" s="63" t="e">
        <f>Inicial!#REF!</f>
        <v>#REF!</v>
      </c>
      <c r="B23" s="64" t="e">
        <f>Inicial!#REF!</f>
        <v>#REF!</v>
      </c>
      <c r="C23" s="64" t="e">
        <f>Inicial!#REF!</f>
        <v>#REF!</v>
      </c>
      <c r="D23" s="65" t="e">
        <f>Inicial!#REF!</f>
        <v>#REF!</v>
      </c>
      <c r="E23" s="63" t="e">
        <f>IF(Inicial!#REF!="SI",Inicial!#REF!,"N/A")</f>
        <v>#REF!</v>
      </c>
      <c r="F23" s="64" t="e">
        <f>IF(Inicial!#REF!="SI",Inicial!#REF!,"N/A")</f>
        <v>#REF!</v>
      </c>
      <c r="G23" s="64" t="e">
        <f>IF(Inicial!#REF!="SI",Inicial!#REF!,"N/A")</f>
        <v>#REF!</v>
      </c>
      <c r="H23" s="64" t="e">
        <f>IF(Inicial!#REF!="SI",Inicial!#REF!,"N/A")</f>
        <v>#REF!</v>
      </c>
      <c r="I23" s="75" t="e">
        <f>IF(Inicial!#REF!="SI",Inicial!#REF!,"N/A")</f>
        <v>#REF!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2" t="str" cm="1">
        <f t="array" ref="U23">IF(OR(N23:T23="NO"),"No aceptable","Aceptable")</f>
        <v>Aceptable</v>
      </c>
    </row>
    <row r="24" spans="1:21">
      <c r="A24" s="63" t="e">
        <f>Inicial!#REF!</f>
        <v>#REF!</v>
      </c>
      <c r="B24" s="64" t="e">
        <f>Inicial!#REF!</f>
        <v>#REF!</v>
      </c>
      <c r="C24" s="64" t="e">
        <f>Inicial!#REF!</f>
        <v>#REF!</v>
      </c>
      <c r="D24" s="65" t="e">
        <f>Inicial!#REF!</f>
        <v>#REF!</v>
      </c>
      <c r="E24" s="63" t="e">
        <f>IF(Inicial!#REF!="SI",Inicial!#REF!,"N/A")</f>
        <v>#REF!</v>
      </c>
      <c r="F24" s="64" t="e">
        <f>IF(Inicial!#REF!="SI",Inicial!#REF!,"N/A")</f>
        <v>#REF!</v>
      </c>
      <c r="G24" s="64" t="e">
        <f>IF(Inicial!#REF!="SI",Inicial!#REF!,"N/A")</f>
        <v>#REF!</v>
      </c>
      <c r="H24" s="64" t="e">
        <f>IF(Inicial!#REF!="SI",Inicial!#REF!,"N/A")</f>
        <v>#REF!</v>
      </c>
      <c r="I24" s="75" t="e">
        <f>IF(Inicial!#REF!="SI",Inicial!#REF!,"N/A")</f>
        <v>#REF!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 t="str" cm="1">
        <f t="array" ref="U24">IF(OR(N24:T24="NO"),"No aceptable","Aceptable")</f>
        <v>Aceptable</v>
      </c>
    </row>
    <row r="25" spans="1:21">
      <c r="A25" s="63" t="e">
        <f>Inicial!#REF!</f>
        <v>#REF!</v>
      </c>
      <c r="B25" s="64" t="e">
        <f>Inicial!#REF!</f>
        <v>#REF!</v>
      </c>
      <c r="C25" s="64" t="e">
        <f>Inicial!#REF!</f>
        <v>#REF!</v>
      </c>
      <c r="D25" s="65" t="e">
        <f>Inicial!#REF!</f>
        <v>#REF!</v>
      </c>
      <c r="E25" s="63" t="e">
        <f>IF(Inicial!#REF!="SI",Inicial!#REF!,"N/A")</f>
        <v>#REF!</v>
      </c>
      <c r="F25" s="64" t="e">
        <f>IF(Inicial!#REF!="SI",Inicial!#REF!,"N/A")</f>
        <v>#REF!</v>
      </c>
      <c r="G25" s="64" t="e">
        <f>IF(Inicial!#REF!="SI",Inicial!#REF!,"N/A")</f>
        <v>#REF!</v>
      </c>
      <c r="H25" s="64" t="e">
        <f>IF(Inicial!#REF!="SI",Inicial!#REF!,"N/A")</f>
        <v>#REF!</v>
      </c>
      <c r="I25" s="75" t="e">
        <f>IF(Inicial!#REF!="SI",Inicial!#REF!,"N/A")</f>
        <v>#REF!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 t="str" cm="1">
        <f t="array" ref="U25">IF(OR(N25:T25="NO"),"No aceptable","Aceptable")</f>
        <v>Aceptable</v>
      </c>
    </row>
    <row r="26" spans="1:21">
      <c r="A26" s="63" t="e">
        <f>Inicial!#REF!</f>
        <v>#REF!</v>
      </c>
      <c r="B26" s="64" t="e">
        <f>Inicial!#REF!</f>
        <v>#REF!</v>
      </c>
      <c r="C26" s="64" t="e">
        <f>Inicial!#REF!</f>
        <v>#REF!</v>
      </c>
      <c r="D26" s="65" t="e">
        <f>Inicial!#REF!</f>
        <v>#REF!</v>
      </c>
      <c r="E26" s="63" t="e">
        <f>IF(Inicial!#REF!="SI",Inicial!#REF!,"N/A")</f>
        <v>#REF!</v>
      </c>
      <c r="F26" s="64" t="e">
        <f>IF(Inicial!#REF!="SI",Inicial!#REF!,"N/A")</f>
        <v>#REF!</v>
      </c>
      <c r="G26" s="64" t="e">
        <f>IF(Inicial!#REF!="SI",Inicial!#REF!,"N/A")</f>
        <v>#REF!</v>
      </c>
      <c r="H26" s="64" t="e">
        <f>IF(Inicial!#REF!="SI",Inicial!#REF!,"N/A")</f>
        <v>#REF!</v>
      </c>
      <c r="I26" s="75" t="e">
        <f>IF(Inicial!#REF!="SI",Inicial!#REF!,"N/A")</f>
        <v>#REF!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 t="str" cm="1">
        <f t="array" ref="U26">IF(OR(N26:T26="NO"),"No aceptable","Aceptable")</f>
        <v>Aceptable</v>
      </c>
    </row>
    <row r="27" spans="1:21">
      <c r="A27" s="63" t="e">
        <f>Inicial!#REF!</f>
        <v>#REF!</v>
      </c>
      <c r="B27" s="64" t="e">
        <f>Inicial!#REF!</f>
        <v>#REF!</v>
      </c>
      <c r="C27" s="64" t="e">
        <f>Inicial!#REF!</f>
        <v>#REF!</v>
      </c>
      <c r="D27" s="65" t="e">
        <f>Inicial!#REF!</f>
        <v>#REF!</v>
      </c>
      <c r="E27" s="63" t="e">
        <f>IF(Inicial!#REF!="SI",Inicial!#REF!,"N/A")</f>
        <v>#REF!</v>
      </c>
      <c r="F27" s="64" t="e">
        <f>IF(Inicial!#REF!="SI",Inicial!#REF!,"N/A")</f>
        <v>#REF!</v>
      </c>
      <c r="G27" s="64" t="e">
        <f>IF(Inicial!#REF!="SI",Inicial!#REF!,"N/A")</f>
        <v>#REF!</v>
      </c>
      <c r="H27" s="64" t="e">
        <f>IF(Inicial!#REF!="SI",Inicial!#REF!,"N/A")</f>
        <v>#REF!</v>
      </c>
      <c r="I27" s="75" t="e">
        <f>IF(Inicial!#REF!="SI",Inicial!#REF!,"N/A")</f>
        <v>#REF!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2" t="str" cm="1">
        <f t="array" ref="U27">IF(OR(N27:T27="NO"),"No aceptable","Aceptable")</f>
        <v>Aceptable</v>
      </c>
    </row>
    <row r="28" spans="1:21">
      <c r="A28" s="63" t="e">
        <f>Inicial!#REF!</f>
        <v>#REF!</v>
      </c>
      <c r="B28" s="64" t="e">
        <f>Inicial!#REF!</f>
        <v>#REF!</v>
      </c>
      <c r="C28" s="64" t="e">
        <f>Inicial!#REF!</f>
        <v>#REF!</v>
      </c>
      <c r="D28" s="65" t="e">
        <f>Inicial!#REF!</f>
        <v>#REF!</v>
      </c>
      <c r="E28" s="63" t="e">
        <f>IF(Inicial!#REF!="SI",Inicial!#REF!,"N/A")</f>
        <v>#REF!</v>
      </c>
      <c r="F28" s="64" t="e">
        <f>IF(Inicial!#REF!="SI",Inicial!#REF!,"N/A")</f>
        <v>#REF!</v>
      </c>
      <c r="G28" s="64" t="e">
        <f>IF(Inicial!#REF!="SI",Inicial!#REF!,"N/A")</f>
        <v>#REF!</v>
      </c>
      <c r="H28" s="64" t="e">
        <f>IF(Inicial!#REF!="SI",Inicial!#REF!,"N/A")</f>
        <v>#REF!</v>
      </c>
      <c r="I28" s="75" t="e">
        <f>IF(Inicial!#REF!="SI",Inicial!#REF!,"N/A")</f>
        <v>#REF!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 t="str" cm="1">
        <f t="array" ref="U28">IF(OR(N28:T28="NO"),"No aceptable","Aceptable")</f>
        <v>Aceptable</v>
      </c>
    </row>
    <row r="29" spans="1:21">
      <c r="A29" s="63" t="e">
        <f>Inicial!#REF!</f>
        <v>#REF!</v>
      </c>
      <c r="B29" s="64" t="e">
        <f>Inicial!#REF!</f>
        <v>#REF!</v>
      </c>
      <c r="C29" s="64" t="e">
        <f>Inicial!#REF!</f>
        <v>#REF!</v>
      </c>
      <c r="D29" s="65" t="e">
        <f>Inicial!#REF!</f>
        <v>#REF!</v>
      </c>
      <c r="E29" s="63" t="e">
        <f>IF(Inicial!#REF!="SI",Inicial!#REF!,"N/A")</f>
        <v>#REF!</v>
      </c>
      <c r="F29" s="64" t="e">
        <f>IF(Inicial!#REF!="SI",Inicial!#REF!,"N/A")</f>
        <v>#REF!</v>
      </c>
      <c r="G29" s="64" t="e">
        <f>IF(Inicial!#REF!="SI",Inicial!#REF!,"N/A")</f>
        <v>#REF!</v>
      </c>
      <c r="H29" s="64" t="e">
        <f>IF(Inicial!#REF!="SI",Inicial!#REF!,"N/A")</f>
        <v>#REF!</v>
      </c>
      <c r="I29" s="75" t="e">
        <f>IF(Inicial!#REF!="SI",Inicial!#REF!,"N/A")</f>
        <v>#REF!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 t="str" cm="1">
        <f t="array" ref="U29">IF(OR(N29:T29="NO"),"No aceptable","Aceptable")</f>
        <v>Aceptable</v>
      </c>
    </row>
    <row r="30" spans="1:21">
      <c r="A30" s="63" t="e">
        <f>Inicial!#REF!</f>
        <v>#REF!</v>
      </c>
      <c r="B30" s="64" t="e">
        <f>Inicial!#REF!</f>
        <v>#REF!</v>
      </c>
      <c r="C30" s="64" t="e">
        <f>Inicial!#REF!</f>
        <v>#REF!</v>
      </c>
      <c r="D30" s="65" t="e">
        <f>Inicial!#REF!</f>
        <v>#REF!</v>
      </c>
      <c r="E30" s="63" t="e">
        <f>IF(Inicial!#REF!="SI",Inicial!#REF!,"N/A")</f>
        <v>#REF!</v>
      </c>
      <c r="F30" s="64" t="e">
        <f>IF(Inicial!#REF!="SI",Inicial!#REF!,"N/A")</f>
        <v>#REF!</v>
      </c>
      <c r="G30" s="64" t="e">
        <f>IF(Inicial!#REF!="SI",Inicial!#REF!,"N/A")</f>
        <v>#REF!</v>
      </c>
      <c r="H30" s="64" t="e">
        <f>IF(Inicial!#REF!="SI",Inicial!#REF!,"N/A")</f>
        <v>#REF!</v>
      </c>
      <c r="I30" s="75" t="e">
        <f>IF(Inicial!#REF!="SI",Inicial!#REF!,"N/A")</f>
        <v>#REF!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2" t="str" cm="1">
        <f t="array" ref="U30">IF(OR(N30:T30="NO"),"No aceptable","Aceptable")</f>
        <v>Aceptable</v>
      </c>
    </row>
    <row r="31" spans="1:21">
      <c r="A31" s="63" t="e">
        <f>Inicial!#REF!</f>
        <v>#REF!</v>
      </c>
      <c r="B31" s="64" t="e">
        <f>Inicial!#REF!</f>
        <v>#REF!</v>
      </c>
      <c r="C31" s="64" t="e">
        <f>Inicial!#REF!</f>
        <v>#REF!</v>
      </c>
      <c r="D31" s="65" t="e">
        <f>Inicial!#REF!</f>
        <v>#REF!</v>
      </c>
      <c r="E31" s="63" t="e">
        <f>IF(Inicial!#REF!="SI",Inicial!#REF!,"N/A")</f>
        <v>#REF!</v>
      </c>
      <c r="F31" s="64" t="e">
        <f>IF(Inicial!#REF!="SI",Inicial!#REF!,"N/A")</f>
        <v>#REF!</v>
      </c>
      <c r="G31" s="64" t="e">
        <f>IF(Inicial!#REF!="SI",Inicial!#REF!,"N/A")</f>
        <v>#REF!</v>
      </c>
      <c r="H31" s="64" t="e">
        <f>IF(Inicial!#REF!="SI",Inicial!#REF!,"N/A")</f>
        <v>#REF!</v>
      </c>
      <c r="I31" s="75" t="e">
        <f>IF(Inicial!#REF!="SI",Inicial!#REF!,"N/A")</f>
        <v>#REF!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2" t="str" cm="1">
        <f t="array" ref="U31">IF(OR(N31:T31="NO"),"No aceptable","Aceptable")</f>
        <v>Aceptable</v>
      </c>
    </row>
    <row r="32" spans="1:21">
      <c r="A32" s="63" t="e">
        <f>Inicial!#REF!</f>
        <v>#REF!</v>
      </c>
      <c r="B32" s="64" t="e">
        <f>Inicial!#REF!</f>
        <v>#REF!</v>
      </c>
      <c r="C32" s="64" t="e">
        <f>Inicial!#REF!</f>
        <v>#REF!</v>
      </c>
      <c r="D32" s="65" t="e">
        <f>Inicial!#REF!</f>
        <v>#REF!</v>
      </c>
      <c r="E32" s="63" t="e">
        <f>IF(Inicial!#REF!="SI",Inicial!#REF!,"N/A")</f>
        <v>#REF!</v>
      </c>
      <c r="F32" s="64" t="e">
        <f>IF(Inicial!#REF!="SI",Inicial!#REF!,"N/A")</f>
        <v>#REF!</v>
      </c>
      <c r="G32" s="64" t="e">
        <f>IF(Inicial!#REF!="SI",Inicial!#REF!,"N/A")</f>
        <v>#REF!</v>
      </c>
      <c r="H32" s="64" t="e">
        <f>IF(Inicial!#REF!="SI",Inicial!#REF!,"N/A")</f>
        <v>#REF!</v>
      </c>
      <c r="I32" s="75" t="e">
        <f>IF(Inicial!#REF!="SI",Inicial!#REF!,"N/A")</f>
        <v>#REF!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2" t="str" cm="1">
        <f t="array" ref="U32">IF(OR(N32:T32="NO"),"No aceptable","Aceptable")</f>
        <v>Aceptable</v>
      </c>
    </row>
    <row r="33" spans="1:21">
      <c r="A33" s="63" t="e">
        <f>Inicial!#REF!</f>
        <v>#REF!</v>
      </c>
      <c r="B33" s="64" t="e">
        <f>Inicial!#REF!</f>
        <v>#REF!</v>
      </c>
      <c r="C33" s="64" t="e">
        <f>Inicial!#REF!</f>
        <v>#REF!</v>
      </c>
      <c r="D33" s="65" t="e">
        <f>Inicial!#REF!</f>
        <v>#REF!</v>
      </c>
      <c r="E33" s="63" t="e">
        <f>IF(Inicial!#REF!="SI",Inicial!#REF!,"N/A")</f>
        <v>#REF!</v>
      </c>
      <c r="F33" s="64" t="e">
        <f>IF(Inicial!#REF!="SI",Inicial!#REF!,"N/A")</f>
        <v>#REF!</v>
      </c>
      <c r="G33" s="64" t="e">
        <f>IF(Inicial!#REF!="SI",Inicial!#REF!,"N/A")</f>
        <v>#REF!</v>
      </c>
      <c r="H33" s="64" t="e">
        <f>IF(Inicial!#REF!="SI",Inicial!#REF!,"N/A")</f>
        <v>#REF!</v>
      </c>
      <c r="I33" s="75" t="e">
        <f>IF(Inicial!#REF!="SI",Inicial!#REF!,"N/A")</f>
        <v>#REF!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2" t="str" cm="1">
        <f t="array" ref="U33">IF(OR(N33:T33="NO"),"No aceptable","Aceptable")</f>
        <v>Aceptable</v>
      </c>
    </row>
    <row r="34" spans="1:21">
      <c r="A34" s="63" t="e">
        <f>Inicial!#REF!</f>
        <v>#REF!</v>
      </c>
      <c r="B34" s="64" t="e">
        <f>Inicial!#REF!</f>
        <v>#REF!</v>
      </c>
      <c r="C34" s="64" t="e">
        <f>Inicial!#REF!</f>
        <v>#REF!</v>
      </c>
      <c r="D34" s="65" t="e">
        <f>Inicial!#REF!</f>
        <v>#REF!</v>
      </c>
      <c r="E34" s="63" t="e">
        <f>IF(Inicial!#REF!="SI",Inicial!#REF!,"N/A")</f>
        <v>#REF!</v>
      </c>
      <c r="F34" s="64" t="e">
        <f>IF(Inicial!#REF!="SI",Inicial!#REF!,"N/A")</f>
        <v>#REF!</v>
      </c>
      <c r="G34" s="64" t="e">
        <f>IF(Inicial!#REF!="SI",Inicial!#REF!,"N/A")</f>
        <v>#REF!</v>
      </c>
      <c r="H34" s="64" t="e">
        <f>IF(Inicial!#REF!="SI",Inicial!#REF!,"N/A")</f>
        <v>#REF!</v>
      </c>
      <c r="I34" s="75" t="e">
        <f>IF(Inicial!#REF!="SI",Inicial!#REF!,"N/A")</f>
        <v>#REF!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2" t="str" cm="1">
        <f t="array" ref="U34">IF(OR(N34:T34="NO"),"No aceptable","Aceptable")</f>
        <v>Aceptable</v>
      </c>
    </row>
    <row r="35" spans="1:21">
      <c r="A35" s="63" t="e">
        <f>Inicial!#REF!</f>
        <v>#REF!</v>
      </c>
      <c r="B35" s="64" t="e">
        <f>Inicial!#REF!</f>
        <v>#REF!</v>
      </c>
      <c r="C35" s="64" t="e">
        <f>Inicial!#REF!</f>
        <v>#REF!</v>
      </c>
      <c r="D35" s="65" t="e">
        <f>Inicial!#REF!</f>
        <v>#REF!</v>
      </c>
      <c r="E35" s="63" t="e">
        <f>IF(Inicial!#REF!="SI",Inicial!#REF!,"N/A")</f>
        <v>#REF!</v>
      </c>
      <c r="F35" s="64" t="e">
        <f>IF(Inicial!#REF!="SI",Inicial!#REF!,"N/A")</f>
        <v>#REF!</v>
      </c>
      <c r="G35" s="64" t="e">
        <f>IF(Inicial!#REF!="SI",Inicial!#REF!,"N/A")</f>
        <v>#REF!</v>
      </c>
      <c r="H35" s="64" t="e">
        <f>IF(Inicial!#REF!="SI",Inicial!#REF!,"N/A")</f>
        <v>#REF!</v>
      </c>
      <c r="I35" s="75" t="e">
        <f>IF(Inicial!#REF!="SI",Inicial!#REF!,"N/A")</f>
        <v>#REF!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2" t="str" cm="1">
        <f t="array" ref="U35">IF(OR(N35:T35="NO"),"No aceptable","Aceptable")</f>
        <v>Aceptable</v>
      </c>
    </row>
    <row r="36" spans="1:21">
      <c r="A36" s="63" t="e">
        <f>Inicial!#REF!</f>
        <v>#REF!</v>
      </c>
      <c r="B36" s="64" t="e">
        <f>Inicial!#REF!</f>
        <v>#REF!</v>
      </c>
      <c r="C36" s="64" t="e">
        <f>Inicial!#REF!</f>
        <v>#REF!</v>
      </c>
      <c r="D36" s="65" t="e">
        <f>Inicial!#REF!</f>
        <v>#REF!</v>
      </c>
      <c r="E36" s="63" t="e">
        <f>IF(Inicial!#REF!="SI",Inicial!#REF!,"N/A")</f>
        <v>#REF!</v>
      </c>
      <c r="F36" s="64" t="e">
        <f>IF(Inicial!#REF!="SI",Inicial!#REF!,"N/A")</f>
        <v>#REF!</v>
      </c>
      <c r="G36" s="64" t="e">
        <f>IF(Inicial!#REF!="SI",Inicial!#REF!,"N/A")</f>
        <v>#REF!</v>
      </c>
      <c r="H36" s="64" t="e">
        <f>IF(Inicial!#REF!="SI",Inicial!#REF!,"N/A")</f>
        <v>#REF!</v>
      </c>
      <c r="I36" s="75" t="e">
        <f>IF(Inicial!#REF!="SI",Inicial!#REF!,"N/A")</f>
        <v>#REF!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2" t="str" cm="1">
        <f t="array" ref="U36">IF(OR(N36:T36="NO"),"No aceptable","Aceptable")</f>
        <v>Aceptable</v>
      </c>
    </row>
    <row r="37" spans="1:21">
      <c r="A37" s="63" t="e">
        <f>Inicial!#REF!</f>
        <v>#REF!</v>
      </c>
      <c r="B37" s="64" t="e">
        <f>Inicial!#REF!</f>
        <v>#REF!</v>
      </c>
      <c r="C37" s="64" t="e">
        <f>Inicial!#REF!</f>
        <v>#REF!</v>
      </c>
      <c r="D37" s="65" t="e">
        <f>Inicial!#REF!</f>
        <v>#REF!</v>
      </c>
      <c r="E37" s="63" t="e">
        <f>IF(Inicial!#REF!="SI",Inicial!#REF!,"N/A")</f>
        <v>#REF!</v>
      </c>
      <c r="F37" s="64" t="e">
        <f>IF(Inicial!#REF!="SI",Inicial!#REF!,"N/A")</f>
        <v>#REF!</v>
      </c>
      <c r="G37" s="64" t="e">
        <f>IF(Inicial!#REF!="SI",Inicial!#REF!,"N/A")</f>
        <v>#REF!</v>
      </c>
      <c r="H37" s="64" t="e">
        <f>IF(Inicial!#REF!="SI",Inicial!#REF!,"N/A")</f>
        <v>#REF!</v>
      </c>
      <c r="I37" s="75" t="e">
        <f>IF(Inicial!#REF!="SI",Inicial!#REF!,"N/A")</f>
        <v>#REF!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2" t="str" cm="1">
        <f t="array" ref="U37">IF(OR(N37:T37="NO"),"No aceptable","Aceptable")</f>
        <v>Aceptable</v>
      </c>
    </row>
    <row r="38" spans="1:21">
      <c r="A38" s="63" t="e">
        <f>Inicial!#REF!</f>
        <v>#REF!</v>
      </c>
      <c r="B38" s="64" t="e">
        <f>Inicial!#REF!</f>
        <v>#REF!</v>
      </c>
      <c r="C38" s="64" t="e">
        <f>Inicial!#REF!</f>
        <v>#REF!</v>
      </c>
      <c r="D38" s="65" t="e">
        <f>Inicial!#REF!</f>
        <v>#REF!</v>
      </c>
      <c r="E38" s="63" t="e">
        <f>IF(Inicial!#REF!="SI",Inicial!#REF!,"N/A")</f>
        <v>#REF!</v>
      </c>
      <c r="F38" s="64" t="e">
        <f>IF(Inicial!#REF!="SI",Inicial!#REF!,"N/A")</f>
        <v>#REF!</v>
      </c>
      <c r="G38" s="64" t="e">
        <f>IF(Inicial!#REF!="SI",Inicial!#REF!,"N/A")</f>
        <v>#REF!</v>
      </c>
      <c r="H38" s="64" t="e">
        <f>IF(Inicial!#REF!="SI",Inicial!#REF!,"N/A")</f>
        <v>#REF!</v>
      </c>
      <c r="I38" s="75" t="e">
        <f>IF(Inicial!#REF!="SI",Inicial!#REF!,"N/A")</f>
        <v>#REF!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2" t="str" cm="1">
        <f t="array" ref="U38">IF(OR(N38:T38="NO"),"No aceptable","Aceptable")</f>
        <v>Aceptable</v>
      </c>
    </row>
    <row r="39" spans="1:21">
      <c r="A39" s="63" t="e">
        <f>Inicial!#REF!</f>
        <v>#REF!</v>
      </c>
      <c r="B39" s="64" t="e">
        <f>Inicial!#REF!</f>
        <v>#REF!</v>
      </c>
      <c r="C39" s="64" t="e">
        <f>Inicial!#REF!</f>
        <v>#REF!</v>
      </c>
      <c r="D39" s="65" t="e">
        <f>Inicial!#REF!</f>
        <v>#REF!</v>
      </c>
      <c r="E39" s="63" t="e">
        <f>IF(Inicial!#REF!="SI",Inicial!#REF!,"N/A")</f>
        <v>#REF!</v>
      </c>
      <c r="F39" s="64" t="e">
        <f>IF(Inicial!#REF!="SI",Inicial!#REF!,"N/A")</f>
        <v>#REF!</v>
      </c>
      <c r="G39" s="64" t="e">
        <f>IF(Inicial!#REF!="SI",Inicial!#REF!,"N/A")</f>
        <v>#REF!</v>
      </c>
      <c r="H39" s="64" t="e">
        <f>IF(Inicial!#REF!="SI",Inicial!#REF!,"N/A")</f>
        <v>#REF!</v>
      </c>
      <c r="I39" s="75" t="e">
        <f>IF(Inicial!#REF!="SI",Inicial!#REF!,"N/A")</f>
        <v>#REF!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2" t="str" cm="1">
        <f t="array" ref="U39">IF(OR(N39:T39="NO"),"No aceptable","Aceptable")</f>
        <v>Aceptable</v>
      </c>
    </row>
    <row r="40" spans="1:21">
      <c r="A40" s="63"/>
      <c r="B40" s="64"/>
      <c r="C40" s="64"/>
      <c r="D40" s="65"/>
      <c r="E40" s="63"/>
      <c r="F40" s="64"/>
      <c r="G40" s="64"/>
      <c r="H40" s="64"/>
      <c r="I40" s="75"/>
      <c r="N40" s="11"/>
      <c r="O40" s="11"/>
      <c r="P40" s="11"/>
      <c r="Q40" s="11"/>
      <c r="R40" s="11"/>
      <c r="S40" s="11"/>
      <c r="T40" s="11"/>
      <c r="U40" s="11"/>
    </row>
    <row r="41" spans="1:21">
      <c r="A41" s="63"/>
      <c r="B41" s="64"/>
      <c r="C41" s="64"/>
      <c r="D41" s="65"/>
      <c r="E41" s="63"/>
      <c r="F41" s="64"/>
      <c r="G41" s="64"/>
      <c r="H41" s="64"/>
      <c r="I41" s="75"/>
      <c r="N41" s="11"/>
      <c r="O41" s="11"/>
      <c r="P41" s="11"/>
      <c r="Q41" s="11"/>
      <c r="R41" s="11"/>
      <c r="S41" s="11"/>
      <c r="T41" s="11"/>
      <c r="U41" s="11"/>
    </row>
    <row r="42" spans="1:21">
      <c r="A42" s="63"/>
      <c r="B42" s="64"/>
      <c r="C42" s="64"/>
      <c r="D42" s="65"/>
      <c r="E42" s="63"/>
      <c r="F42" s="64"/>
      <c r="G42" s="64"/>
      <c r="H42" s="64"/>
      <c r="I42" s="75"/>
      <c r="S42" s="1"/>
      <c r="T42" s="1"/>
    </row>
    <row r="43" spans="1:21">
      <c r="A43" s="63"/>
      <c r="B43" s="64"/>
      <c r="C43" s="64"/>
      <c r="D43" s="65"/>
      <c r="E43" s="63"/>
      <c r="F43" s="64"/>
      <c r="G43" s="64"/>
      <c r="H43" s="64"/>
      <c r="I43" s="75"/>
      <c r="S43" s="1"/>
      <c r="T43" s="1"/>
    </row>
    <row r="44" spans="1:21">
      <c r="A44" s="63"/>
      <c r="B44" s="64"/>
      <c r="C44" s="64"/>
      <c r="D44" s="65"/>
      <c r="E44" s="63"/>
      <c r="F44" s="64"/>
      <c r="G44" s="64"/>
      <c r="H44" s="64"/>
      <c r="I44" s="75"/>
      <c r="S44" s="1"/>
      <c r="T44" s="1"/>
    </row>
    <row r="45" spans="1:21">
      <c r="A45" s="63"/>
      <c r="B45" s="64"/>
      <c r="C45" s="64"/>
      <c r="D45" s="65"/>
      <c r="E45" s="63"/>
      <c r="F45" s="64"/>
      <c r="G45" s="64"/>
      <c r="H45" s="64"/>
      <c r="I45" s="75"/>
      <c r="S45" s="1"/>
      <c r="T45" s="1"/>
    </row>
    <row r="46" spans="1:21">
      <c r="A46" s="63"/>
      <c r="B46" s="64"/>
      <c r="C46" s="64"/>
      <c r="D46" s="65"/>
      <c r="E46" s="63"/>
      <c r="F46" s="64"/>
      <c r="G46" s="64"/>
      <c r="H46" s="64"/>
      <c r="I46" s="75"/>
      <c r="S46" s="1"/>
      <c r="T46" s="1"/>
    </row>
    <row r="47" spans="1:21">
      <c r="A47" s="63"/>
      <c r="B47" s="64"/>
      <c r="C47" s="64"/>
      <c r="D47" s="65"/>
      <c r="E47" s="63"/>
      <c r="F47" s="64"/>
      <c r="G47" s="64"/>
      <c r="H47" s="64"/>
      <c r="I47" s="75"/>
      <c r="S47" s="1"/>
      <c r="T47" s="1"/>
    </row>
    <row r="48" spans="1:21">
      <c r="A48" s="63"/>
      <c r="B48" s="64"/>
      <c r="C48" s="64"/>
      <c r="D48" s="65"/>
      <c r="E48" s="63"/>
      <c r="F48" s="64"/>
      <c r="G48" s="64"/>
      <c r="H48" s="64"/>
      <c r="I48" s="75"/>
      <c r="S48" s="1"/>
      <c r="T48" s="1"/>
    </row>
    <row r="49" spans="1:20">
      <c r="A49" s="63"/>
      <c r="B49" s="64"/>
      <c r="C49" s="64"/>
      <c r="D49" s="65"/>
      <c r="E49" s="63"/>
      <c r="F49" s="64"/>
      <c r="G49" s="64"/>
      <c r="H49" s="64"/>
      <c r="I49" s="75"/>
      <c r="S49" s="1"/>
      <c r="T49" s="1"/>
    </row>
    <row r="50" spans="1:20">
      <c r="A50" s="63"/>
      <c r="B50" s="64"/>
      <c r="C50" s="64"/>
      <c r="D50" s="65"/>
      <c r="E50" s="63"/>
      <c r="F50" s="64"/>
      <c r="G50" s="64"/>
      <c r="H50" s="64"/>
      <c r="I50" s="75"/>
      <c r="S50" s="1"/>
      <c r="T50" s="1"/>
    </row>
    <row r="51" spans="1:20">
      <c r="A51" s="63"/>
      <c r="B51" s="64"/>
      <c r="C51" s="64"/>
      <c r="D51" s="65"/>
      <c r="E51" s="63"/>
      <c r="F51" s="64"/>
      <c r="G51" s="64"/>
      <c r="H51" s="64"/>
      <c r="I51" s="75"/>
      <c r="S51" s="1"/>
      <c r="T51" s="1"/>
    </row>
    <row r="52" spans="1:20">
      <c r="A52" s="63"/>
      <c r="B52" s="64"/>
      <c r="C52" s="64"/>
      <c r="D52" s="65"/>
      <c r="E52" s="63"/>
      <c r="F52" s="64"/>
      <c r="G52" s="64"/>
      <c r="H52" s="64"/>
      <c r="I52" s="75"/>
      <c r="S52" s="1"/>
      <c r="T52" s="1"/>
    </row>
    <row r="53" spans="1:20">
      <c r="A53" s="63"/>
      <c r="B53" s="64"/>
      <c r="C53" s="64"/>
      <c r="D53" s="65"/>
      <c r="E53" s="63"/>
      <c r="F53" s="64"/>
      <c r="G53" s="64"/>
      <c r="H53" s="64"/>
      <c r="I53" s="75"/>
      <c r="S53" s="1"/>
      <c r="T53" s="1"/>
    </row>
    <row r="54" spans="1:20">
      <c r="A54" s="63"/>
      <c r="B54" s="64"/>
      <c r="C54" s="64"/>
      <c r="D54" s="65"/>
      <c r="E54" s="63"/>
      <c r="F54" s="64"/>
      <c r="G54" s="64"/>
      <c r="H54" s="64"/>
      <c r="I54" s="75"/>
      <c r="S54" s="1"/>
      <c r="T54" s="1"/>
    </row>
    <row r="55" spans="1:20">
      <c r="A55" s="63"/>
      <c r="B55" s="64"/>
      <c r="C55" s="64"/>
      <c r="D55" s="65"/>
      <c r="E55" s="63"/>
      <c r="F55" s="64"/>
      <c r="G55" s="64"/>
      <c r="H55" s="64"/>
      <c r="I55" s="75"/>
      <c r="S55" s="1"/>
      <c r="T55" s="1"/>
    </row>
    <row r="56" spans="1:20">
      <c r="A56" s="63"/>
      <c r="B56" s="64"/>
      <c r="C56" s="64"/>
      <c r="D56" s="65"/>
      <c r="E56" s="63"/>
      <c r="F56" s="64"/>
      <c r="G56" s="64"/>
      <c r="H56" s="64"/>
      <c r="I56" s="75"/>
      <c r="S56" s="1"/>
      <c r="T56" s="1"/>
    </row>
    <row r="57" spans="1:20">
      <c r="A57" s="63"/>
      <c r="B57" s="64"/>
      <c r="C57" s="64"/>
      <c r="D57" s="65"/>
      <c r="E57" s="63"/>
      <c r="F57" s="64"/>
      <c r="G57" s="64"/>
      <c r="H57" s="64"/>
      <c r="I57" s="75"/>
      <c r="S57" s="1"/>
      <c r="T57" s="1"/>
    </row>
    <row r="58" spans="1:20">
      <c r="A58" s="63"/>
      <c r="B58" s="64"/>
      <c r="C58" s="64"/>
      <c r="D58" s="65"/>
      <c r="E58" s="63"/>
      <c r="F58" s="64"/>
      <c r="G58" s="64"/>
      <c r="H58" s="64"/>
      <c r="I58" s="75"/>
      <c r="S58" s="1"/>
      <c r="T58" s="1"/>
    </row>
    <row r="59" spans="1:20">
      <c r="A59" s="63"/>
      <c r="B59" s="64"/>
      <c r="C59" s="64"/>
      <c r="D59" s="65"/>
      <c r="E59" s="63"/>
      <c r="F59" s="64"/>
      <c r="G59" s="64"/>
      <c r="H59" s="64"/>
      <c r="I59" s="75"/>
      <c r="S59" s="1"/>
      <c r="T59" s="1"/>
    </row>
    <row r="60" spans="1:20">
      <c r="A60" s="63"/>
      <c r="B60" s="64"/>
      <c r="C60" s="64"/>
      <c r="D60" s="65"/>
      <c r="E60" s="63"/>
      <c r="F60" s="64"/>
      <c r="G60" s="64"/>
      <c r="H60" s="64"/>
      <c r="I60" s="75"/>
      <c r="S60" s="1"/>
      <c r="T60" s="1"/>
    </row>
    <row r="61" spans="1:20">
      <c r="A61" s="63"/>
      <c r="B61" s="64"/>
      <c r="C61" s="64"/>
      <c r="D61" s="65"/>
      <c r="E61" s="63"/>
      <c r="F61" s="64"/>
      <c r="G61" s="64"/>
      <c r="H61" s="64"/>
      <c r="I61" s="75"/>
      <c r="S61" s="1"/>
      <c r="T61" s="1"/>
    </row>
    <row r="62" spans="1:20">
      <c r="A62" s="63"/>
      <c r="B62" s="64"/>
      <c r="C62" s="64"/>
      <c r="D62" s="65"/>
      <c r="E62" s="63"/>
      <c r="F62" s="64"/>
      <c r="G62" s="64"/>
      <c r="H62" s="64"/>
      <c r="I62" s="75"/>
      <c r="S62" s="1"/>
      <c r="T62" s="1"/>
    </row>
    <row r="63" spans="1:20">
      <c r="A63" s="63"/>
      <c r="B63" s="64"/>
      <c r="C63" s="64"/>
      <c r="D63" s="65"/>
      <c r="E63" s="63"/>
      <c r="F63" s="64"/>
      <c r="G63" s="64"/>
      <c r="H63" s="64"/>
      <c r="I63" s="75"/>
      <c r="S63" s="1"/>
      <c r="T63" s="1"/>
    </row>
    <row r="64" spans="1:20">
      <c r="A64" s="63"/>
      <c r="B64" s="64"/>
      <c r="C64" s="64"/>
      <c r="D64" s="65"/>
      <c r="E64" s="63"/>
      <c r="F64" s="64"/>
      <c r="G64" s="64"/>
      <c r="H64" s="64"/>
      <c r="I64" s="75"/>
      <c r="S64" s="1"/>
      <c r="T64" s="1"/>
    </row>
    <row r="65" spans="1:20">
      <c r="A65" s="63"/>
      <c r="B65" s="64"/>
      <c r="C65" s="64"/>
      <c r="D65" s="65"/>
      <c r="E65" s="63"/>
      <c r="F65" s="64"/>
      <c r="G65" s="64"/>
      <c r="H65" s="64"/>
      <c r="I65" s="75"/>
      <c r="S65" s="1"/>
      <c r="T65" s="1"/>
    </row>
    <row r="66" spans="1:20">
      <c r="A66" s="63"/>
      <c r="B66" s="64"/>
      <c r="C66" s="64"/>
      <c r="D66" s="65"/>
      <c r="E66" s="63"/>
      <c r="F66" s="64"/>
      <c r="G66" s="64"/>
      <c r="H66" s="64"/>
      <c r="I66" s="75"/>
      <c r="S66" s="1"/>
      <c r="T66" s="1"/>
    </row>
    <row r="67" spans="1:20">
      <c r="A67" s="63"/>
      <c r="B67" s="64"/>
      <c r="C67" s="64"/>
      <c r="D67" s="65"/>
      <c r="E67" s="63"/>
      <c r="F67" s="64"/>
      <c r="G67" s="64"/>
      <c r="H67" s="64"/>
      <c r="I67" s="75"/>
      <c r="S67" s="1"/>
      <c r="T67" s="1"/>
    </row>
    <row r="68" spans="1:20">
      <c r="A68" s="63"/>
      <c r="B68" s="64"/>
      <c r="C68" s="64"/>
      <c r="D68" s="65"/>
      <c r="E68" s="63"/>
      <c r="F68" s="64"/>
      <c r="G68" s="64"/>
      <c r="H68" s="64"/>
      <c r="I68" s="75"/>
      <c r="S68" s="1"/>
      <c r="T68" s="1"/>
    </row>
    <row r="69" spans="1:20">
      <c r="A69" s="63"/>
      <c r="B69" s="64"/>
      <c r="C69" s="64"/>
      <c r="D69" s="65"/>
      <c r="E69" s="63"/>
      <c r="F69" s="64"/>
      <c r="G69" s="64"/>
      <c r="H69" s="64"/>
      <c r="I69" s="75"/>
      <c r="S69" s="1"/>
      <c r="T69" s="1"/>
    </row>
    <row r="70" spans="1:20">
      <c r="A70" s="63"/>
      <c r="B70" s="64"/>
      <c r="C70" s="64"/>
      <c r="D70" s="65"/>
      <c r="E70" s="63"/>
      <c r="F70" s="64"/>
      <c r="G70" s="64"/>
      <c r="H70" s="64"/>
      <c r="I70" s="75"/>
      <c r="S70" s="1"/>
      <c r="T70" s="1"/>
    </row>
    <row r="71" spans="1:20">
      <c r="A71" s="63"/>
      <c r="B71" s="64"/>
      <c r="C71" s="64"/>
      <c r="D71" s="65"/>
      <c r="E71" s="63"/>
      <c r="F71" s="64"/>
      <c r="G71" s="64"/>
      <c r="H71" s="64"/>
      <c r="I71" s="75"/>
      <c r="S71" s="1"/>
      <c r="T71" s="1"/>
    </row>
    <row r="72" spans="1:20">
      <c r="A72" s="63"/>
      <c r="B72" s="64"/>
      <c r="C72" s="64"/>
      <c r="D72" s="65"/>
      <c r="E72" s="63"/>
      <c r="F72" s="64"/>
      <c r="G72" s="64"/>
      <c r="H72" s="64"/>
      <c r="I72" s="75"/>
      <c r="S72" s="1"/>
      <c r="T72" s="1"/>
    </row>
    <row r="73" spans="1:20">
      <c r="A73" s="63"/>
      <c r="B73" s="64"/>
      <c r="C73" s="64"/>
      <c r="D73" s="65"/>
      <c r="E73" s="63"/>
      <c r="F73" s="64"/>
      <c r="G73" s="64"/>
      <c r="H73" s="64"/>
      <c r="I73" s="75"/>
      <c r="S73" s="1"/>
      <c r="T73" s="1"/>
    </row>
    <row r="74" spans="1:20">
      <c r="A74" s="63"/>
      <c r="B74" s="64"/>
      <c r="C74" s="64"/>
      <c r="D74" s="65"/>
      <c r="E74" s="63"/>
      <c r="F74" s="64"/>
      <c r="G74" s="64"/>
      <c r="H74" s="64"/>
      <c r="I74" s="75"/>
      <c r="S74" s="1"/>
      <c r="T74" s="1"/>
    </row>
    <row r="75" spans="1:20">
      <c r="A75" s="63"/>
      <c r="B75" s="64"/>
      <c r="C75" s="64"/>
      <c r="D75" s="65"/>
      <c r="E75" s="63"/>
      <c r="F75" s="64"/>
      <c r="G75" s="64"/>
      <c r="H75" s="64"/>
      <c r="I75" s="75"/>
      <c r="S75" s="1"/>
      <c r="T75" s="1"/>
    </row>
    <row r="76" spans="1:20">
      <c r="A76" s="63"/>
      <c r="B76" s="64"/>
      <c r="C76" s="64"/>
      <c r="D76" s="65"/>
      <c r="E76" s="63"/>
      <c r="F76" s="64"/>
      <c r="G76" s="64"/>
      <c r="H76" s="64"/>
      <c r="I76" s="75"/>
      <c r="S76" s="1"/>
      <c r="T76" s="1"/>
    </row>
    <row r="77" spans="1:20">
      <c r="A77" s="63"/>
      <c r="B77" s="64"/>
      <c r="C77" s="64"/>
      <c r="D77" s="65"/>
      <c r="E77" s="63"/>
      <c r="F77" s="64"/>
      <c r="G77" s="64"/>
      <c r="H77" s="64"/>
      <c r="I77" s="75"/>
      <c r="S77" s="1"/>
      <c r="T77" s="1"/>
    </row>
    <row r="78" spans="1:20">
      <c r="A78" s="63"/>
      <c r="B78" s="64"/>
      <c r="C78" s="64"/>
      <c r="D78" s="65"/>
      <c r="E78" s="63"/>
      <c r="F78" s="64"/>
      <c r="G78" s="64"/>
      <c r="H78" s="64"/>
      <c r="I78" s="75"/>
      <c r="S78" s="1"/>
      <c r="T78" s="1"/>
    </row>
    <row r="79" spans="1:20">
      <c r="A79" s="63"/>
      <c r="B79" s="64"/>
      <c r="C79" s="64"/>
      <c r="D79" s="65"/>
      <c r="E79" s="63"/>
      <c r="F79" s="64"/>
      <c r="G79" s="64"/>
      <c r="H79" s="64"/>
      <c r="I79" s="75"/>
      <c r="S79" s="1"/>
      <c r="T79" s="1"/>
    </row>
    <row r="80" spans="1:20">
      <c r="A80" s="63"/>
      <c r="B80" s="64"/>
      <c r="C80" s="64"/>
      <c r="D80" s="65"/>
      <c r="E80" s="63"/>
      <c r="F80" s="64"/>
      <c r="G80" s="64"/>
      <c r="H80" s="64"/>
      <c r="I80" s="75"/>
      <c r="S80" s="1"/>
      <c r="T80" s="1"/>
    </row>
    <row r="81" spans="1:20">
      <c r="A81" s="63"/>
      <c r="B81" s="64"/>
      <c r="C81" s="64"/>
      <c r="D81" s="65"/>
      <c r="E81" s="63"/>
      <c r="F81" s="64"/>
      <c r="G81" s="64"/>
      <c r="H81" s="64"/>
      <c r="I81" s="75"/>
      <c r="S81" s="1"/>
      <c r="T81" s="1"/>
    </row>
    <row r="82" spans="1:20">
      <c r="A82" s="63"/>
      <c r="B82" s="64"/>
      <c r="C82" s="64"/>
      <c r="D82" s="65"/>
      <c r="E82" s="63"/>
      <c r="F82" s="64"/>
      <c r="G82" s="64"/>
      <c r="H82" s="64"/>
      <c r="I82" s="75"/>
      <c r="S82" s="1"/>
      <c r="T82" s="1"/>
    </row>
    <row r="83" spans="1:20">
      <c r="A83" s="63"/>
      <c r="B83" s="64"/>
      <c r="C83" s="64"/>
      <c r="D83" s="65"/>
      <c r="E83" s="63"/>
      <c r="F83" s="64"/>
      <c r="G83" s="64"/>
      <c r="H83" s="64"/>
      <c r="I83" s="75"/>
      <c r="S83" s="1"/>
      <c r="T83" s="1"/>
    </row>
    <row r="84" spans="1:20">
      <c r="A84" s="63"/>
      <c r="B84" s="64"/>
      <c r="C84" s="64"/>
      <c r="D84" s="65"/>
      <c r="E84" s="63"/>
      <c r="F84" s="64"/>
      <c r="G84" s="64"/>
      <c r="H84" s="64"/>
      <c r="I84" s="75"/>
      <c r="S84" s="1"/>
      <c r="T84" s="1"/>
    </row>
    <row r="85" spans="1:20">
      <c r="A85" s="63"/>
      <c r="B85" s="64"/>
      <c r="C85" s="64"/>
      <c r="D85" s="65"/>
      <c r="E85" s="63"/>
      <c r="F85" s="64"/>
      <c r="G85" s="64"/>
      <c r="H85" s="64"/>
      <c r="I85" s="75"/>
      <c r="S85" s="1"/>
      <c r="T85" s="1"/>
    </row>
    <row r="86" spans="1:20">
      <c r="A86" s="63"/>
      <c r="B86" s="64"/>
      <c r="C86" s="64"/>
      <c r="D86" s="65"/>
      <c r="E86" s="63"/>
      <c r="F86" s="64"/>
      <c r="G86" s="64"/>
      <c r="H86" s="64"/>
      <c r="I86" s="75"/>
      <c r="S86" s="1"/>
      <c r="T86" s="1"/>
    </row>
    <row r="87" spans="1:20">
      <c r="A87" s="63"/>
      <c r="B87" s="64"/>
      <c r="C87" s="64"/>
      <c r="D87" s="65"/>
      <c r="E87" s="63"/>
      <c r="F87" s="64"/>
      <c r="G87" s="64"/>
      <c r="H87" s="64"/>
      <c r="I87" s="75"/>
      <c r="S87" s="1"/>
      <c r="T87" s="1"/>
    </row>
    <row r="88" spans="1:20">
      <c r="A88" s="63"/>
      <c r="B88" s="64"/>
      <c r="C88" s="64"/>
      <c r="D88" s="65"/>
      <c r="E88" s="63"/>
      <c r="F88" s="64"/>
      <c r="G88" s="64"/>
      <c r="H88" s="64"/>
      <c r="I88" s="75"/>
      <c r="S88" s="1"/>
      <c r="T88" s="1"/>
    </row>
    <row r="89" spans="1:20">
      <c r="A89" s="63"/>
      <c r="B89" s="64"/>
      <c r="C89" s="64"/>
      <c r="D89" s="65"/>
      <c r="E89" s="63"/>
      <c r="F89" s="64"/>
      <c r="G89" s="64"/>
      <c r="H89" s="64"/>
      <c r="I89" s="75"/>
      <c r="S89" s="1"/>
      <c r="T89" s="1"/>
    </row>
    <row r="90" spans="1:20">
      <c r="S90" s="1"/>
      <c r="T90" s="1"/>
    </row>
    <row r="91" spans="1:20">
      <c r="S91" s="1"/>
      <c r="T91" s="1"/>
    </row>
  </sheetData>
  <mergeCells count="5">
    <mergeCell ref="F1:G1"/>
    <mergeCell ref="H1:I1"/>
    <mergeCell ref="J1:T1"/>
    <mergeCell ref="V1:AA1"/>
    <mergeCell ref="A1:E1"/>
  </mergeCells>
  <conditionalFormatting sqref="J3:T39 S40:T41">
    <cfRule type="cellIs" dxfId="15" priority="7" operator="equal">
      <formula>"NO"</formula>
    </cfRule>
  </conditionalFormatting>
  <conditionalFormatting sqref="J3:T39">
    <cfRule type="cellIs" dxfId="14" priority="1" operator="equal">
      <formula>"SI"</formula>
    </cfRule>
  </conditionalFormatting>
  <conditionalFormatting sqref="U3:U39">
    <cfRule type="cellIs" dxfId="13" priority="2" operator="equal">
      <formula>"No Aceptable"</formula>
    </cfRule>
    <cfRule type="cellIs" dxfId="12" priority="3" operator="equal">
      <formula>"Aceptable"</formula>
    </cfRule>
  </conditionalFormatting>
  <conditionalFormatting sqref="U40:U1048576 N42:T1048576">
    <cfRule type="cellIs" dxfId="11" priority="8" operator="equal">
      <formula>"NO"</formula>
    </cfRule>
    <cfRule type="cellIs" dxfId="10" priority="9" operator="equal">
      <formula>"SI"</formula>
    </cfRule>
  </conditionalFormatting>
  <dataValidations count="3">
    <dataValidation type="list" allowBlank="1" showInputMessage="1" showErrorMessage="1" sqref="T3:T41 N40:S41 J3:S39 U40:U41" xr:uid="{E29C2618-0807-4829-8DB1-063B810E495F}">
      <formula1>"SI,NO,N/A"</formula1>
    </dataValidation>
    <dataValidation type="list" allowBlank="1" showInputMessage="1" showErrorMessage="1" sqref="N42:T91" xr:uid="{1520E075-C35C-4B11-9AAA-FBFD68E66833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U1:U2" xr:uid="{459D9510-6552-41FF-9090-7E5FDEE802C7}"/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B56C-D6A9-4DEC-A31A-C99C9148DA19}">
  <dimension ref="A1:AT116"/>
  <sheetViews>
    <sheetView workbookViewId="0">
      <pane xSplit="9" ySplit="2" topLeftCell="R3" activePane="bottomRight" state="frozen"/>
      <selection pane="bottomRight" activeCell="Y2" sqref="Y2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6" width="9.7109375" style="1" customWidth="1"/>
    <col min="7" max="9" width="9.7109375" customWidth="1"/>
    <col min="10" max="13" width="11.5703125" style="90" customWidth="1"/>
    <col min="14" max="15" width="15.85546875" style="89" customWidth="1"/>
    <col min="16" max="16" width="18.28515625" style="90" customWidth="1"/>
    <col min="17" max="17" width="17.85546875" style="90" customWidth="1"/>
    <col min="18" max="18" width="28.7109375" style="90" customWidth="1"/>
    <col min="19" max="24" width="11.5703125" style="90"/>
  </cols>
  <sheetData>
    <row r="1" spans="1:46" ht="60" customHeight="1">
      <c r="A1" s="147" t="s">
        <v>337</v>
      </c>
      <c r="B1" s="147"/>
      <c r="C1" s="147"/>
      <c r="D1" s="147"/>
      <c r="E1" s="147"/>
      <c r="F1" s="127" t="s">
        <v>112</v>
      </c>
      <c r="G1" s="127"/>
      <c r="H1" s="127" t="s">
        <v>113</v>
      </c>
      <c r="I1" s="127"/>
      <c r="J1" s="145" t="s">
        <v>338</v>
      </c>
      <c r="K1" s="145"/>
      <c r="L1" s="145"/>
      <c r="M1" s="145"/>
      <c r="N1" s="145"/>
      <c r="O1" s="145"/>
      <c r="P1" s="145"/>
      <c r="Q1" s="146"/>
      <c r="R1" s="86" t="s">
        <v>150</v>
      </c>
      <c r="S1" s="131" t="s">
        <v>116</v>
      </c>
      <c r="T1" s="132"/>
      <c r="U1" s="132"/>
      <c r="V1" s="132"/>
      <c r="W1" s="132"/>
      <c r="X1" s="133"/>
    </row>
    <row r="2" spans="1:46" ht="88.15" customHeight="1">
      <c r="A2" s="8" t="s">
        <v>93</v>
      </c>
      <c r="B2" s="9" t="s">
        <v>35</v>
      </c>
      <c r="C2" s="9" t="s">
        <v>36</v>
      </c>
      <c r="D2" s="9" t="s">
        <v>37</v>
      </c>
      <c r="E2" s="9" t="s">
        <v>39</v>
      </c>
      <c r="F2" s="9" t="s">
        <v>117</v>
      </c>
      <c r="G2" s="9" t="s">
        <v>118</v>
      </c>
      <c r="H2" s="9" t="s">
        <v>119</v>
      </c>
      <c r="I2" s="9" t="s">
        <v>120</v>
      </c>
      <c r="J2" s="9" t="s">
        <v>339</v>
      </c>
      <c r="K2" s="9" t="s">
        <v>340</v>
      </c>
      <c r="L2" s="9" t="s">
        <v>341</v>
      </c>
      <c r="M2" s="9" t="s">
        <v>342</v>
      </c>
      <c r="N2" s="13" t="s">
        <v>343</v>
      </c>
      <c r="O2" s="13" t="s">
        <v>344</v>
      </c>
      <c r="P2" s="13" t="s">
        <v>345</v>
      </c>
      <c r="Q2" s="13" t="s">
        <v>346</v>
      </c>
      <c r="R2" s="84" t="s">
        <v>127</v>
      </c>
      <c r="S2" s="13" t="s">
        <v>135</v>
      </c>
      <c r="T2" s="13" t="s">
        <v>136</v>
      </c>
      <c r="U2" s="13" t="s">
        <v>137</v>
      </c>
      <c r="V2" s="13" t="s">
        <v>138</v>
      </c>
      <c r="W2" s="13" t="s">
        <v>139</v>
      </c>
      <c r="X2" s="13" t="s">
        <v>140</v>
      </c>
    </row>
    <row r="3" spans="1:46" s="5" customFormat="1" ht="25.9" customHeight="1">
      <c r="A3" s="63">
        <f>Inicial!A3</f>
        <v>1</v>
      </c>
      <c r="B3" s="64" t="str">
        <f>Inicial!B3</f>
        <v>Despacho</v>
      </c>
      <c r="C3" s="64" t="str">
        <f>Inicial!C3</f>
        <v xml:space="preserve"> Carton Frezzer</v>
      </c>
      <c r="D3" s="65" t="str">
        <f>Inicial!D3</f>
        <v xml:space="preserve">Pinchador </v>
      </c>
      <c r="E3" s="63" t="str">
        <f>IF(Inicial!P3="SI",Inicial!E3,"N/A")</f>
        <v>N/A</v>
      </c>
      <c r="F3" s="64" t="str">
        <f>IF(Inicial!P3="SI",Inicial!F3,"N/A")</f>
        <v>N/A</v>
      </c>
      <c r="G3" s="64" t="str">
        <f>IF(Inicial!P3="SI",Inicial!G3,"N/A")</f>
        <v>N/A</v>
      </c>
      <c r="H3" s="64" t="str">
        <f>IF(Inicial!P3="SI",Inicial!H3,"N/A")</f>
        <v>N/A</v>
      </c>
      <c r="I3" s="75" t="str">
        <f>IF(Inicial!P3="SI",Inicial!I3,"N/A")</f>
        <v>N/A</v>
      </c>
      <c r="J3" s="87"/>
      <c r="K3" s="87"/>
      <c r="L3" s="87"/>
      <c r="M3" s="87"/>
      <c r="N3" s="87"/>
      <c r="O3" s="87"/>
      <c r="P3" s="87"/>
      <c r="Q3" s="87"/>
      <c r="R3" s="87" t="str" cm="1">
        <f t="array" ref="R3">IF(OR(J3:Q3="SI"),"No aceptable","Aceptable")</f>
        <v>Aceptable</v>
      </c>
      <c r="S3" s="87"/>
      <c r="T3" s="87"/>
      <c r="U3" s="87"/>
      <c r="V3" s="87"/>
      <c r="W3" s="87"/>
      <c r="X3" s="88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/>
      <c r="AO3" s="1"/>
      <c r="AP3" s="1"/>
      <c r="AQ3" s="1"/>
      <c r="AR3" s="1"/>
      <c r="AS3" s="1"/>
      <c r="AT3" s="1"/>
    </row>
    <row r="4" spans="1:46" ht="25.9" customHeight="1">
      <c r="A4" s="63">
        <f>Inicial!A4</f>
        <v>2</v>
      </c>
      <c r="B4" s="64" t="str">
        <f>Inicial!B4</f>
        <v>Despacho</v>
      </c>
      <c r="C4" s="64" t="str">
        <f>Inicial!C4</f>
        <v xml:space="preserve"> Carton Frezzer</v>
      </c>
      <c r="D4" s="65" t="str">
        <f>Inicial!D4</f>
        <v>Depaletizador</v>
      </c>
      <c r="E4" s="63" t="str">
        <f>IF(Inicial!P4="SI",Inicial!E4,"N/A")</f>
        <v>N/A</v>
      </c>
      <c r="F4" s="64" t="str">
        <f>IF(Inicial!P4="SI",Inicial!F4,"N/A")</f>
        <v>N/A</v>
      </c>
      <c r="G4" s="64" t="str">
        <f>IF(Inicial!P4="SI",Inicial!G4,"N/A")</f>
        <v>N/A</v>
      </c>
      <c r="H4" s="64" t="str">
        <f>IF(Inicial!P4="SI",Inicial!H4,"N/A")</f>
        <v>N/A</v>
      </c>
      <c r="I4" s="75" t="str">
        <f>IF(Inicial!P4="SI",Inicial!I4,"N/A")</f>
        <v>N/A</v>
      </c>
      <c r="J4" s="87"/>
      <c r="K4" s="87"/>
      <c r="L4" s="87"/>
      <c r="M4" s="87"/>
      <c r="N4" s="87"/>
      <c r="O4" s="87"/>
      <c r="P4" s="87"/>
      <c r="Q4" s="87"/>
      <c r="R4" s="87" t="str" cm="1">
        <f t="array" ref="R4">IF(OR(J4:Q4="SI"),"No aceptable","Aceptable")</f>
        <v>Aceptable</v>
      </c>
      <c r="S4" s="89"/>
      <c r="T4" s="89"/>
      <c r="U4" s="89"/>
      <c r="V4" s="89"/>
      <c r="W4" s="89"/>
      <c r="X4" s="89"/>
    </row>
    <row r="5" spans="1:46" ht="25.9" customHeight="1">
      <c r="A5" s="63">
        <f>Inicial!A5</f>
        <v>3</v>
      </c>
      <c r="B5" s="64" t="str">
        <f>Inicial!B5</f>
        <v>Despacho</v>
      </c>
      <c r="C5" s="64" t="str">
        <f>Inicial!C5</f>
        <v xml:space="preserve"> Carton Frezzer</v>
      </c>
      <c r="D5" s="65" t="str">
        <f>Inicial!D5</f>
        <v xml:space="preserve">Pinchador </v>
      </c>
      <c r="E5" s="63" t="str">
        <f>IF(Inicial!P5="SI",Inicial!E5,"N/A")</f>
        <v>N/A</v>
      </c>
      <c r="F5" s="64" t="str">
        <f>IF(Inicial!P5="SI",Inicial!F5,"N/A")</f>
        <v>N/A</v>
      </c>
      <c r="G5" s="64" t="str">
        <f>IF(Inicial!P5="SI",Inicial!G5,"N/A")</f>
        <v>N/A</v>
      </c>
      <c r="H5" s="64" t="str">
        <f>IF(Inicial!P5="SI",Inicial!H5,"N/A")</f>
        <v>N/A</v>
      </c>
      <c r="I5" s="75" t="str">
        <f>IF(Inicial!P5="SI",Inicial!I5,"N/A")</f>
        <v>N/A</v>
      </c>
      <c r="J5" s="87"/>
      <c r="K5" s="87"/>
      <c r="L5" s="87"/>
      <c r="M5" s="87"/>
      <c r="N5" s="87"/>
      <c r="O5" s="87"/>
      <c r="P5" s="87"/>
      <c r="Q5" s="87"/>
      <c r="R5" s="87" t="str" cm="1">
        <f t="array" ref="R5">IF(OR(J5:Q5="SI"),"No aceptable","Aceptable")</f>
        <v>Aceptable</v>
      </c>
      <c r="S5" s="89"/>
      <c r="T5" s="89"/>
      <c r="U5" s="89"/>
      <c r="V5" s="89"/>
      <c r="W5" s="89"/>
      <c r="X5" s="89"/>
    </row>
    <row r="6" spans="1:46" ht="25.9" customHeight="1">
      <c r="A6" s="63">
        <f>Inicial!A6</f>
        <v>4</v>
      </c>
      <c r="B6" s="64" t="str">
        <f>Inicial!B6</f>
        <v>Despacho</v>
      </c>
      <c r="C6" s="64" t="str">
        <f>Inicial!C6</f>
        <v>Despacho congelado</v>
      </c>
      <c r="D6" s="65" t="str">
        <f>Inicial!D6</f>
        <v>Gruero</v>
      </c>
      <c r="E6" s="63" t="str">
        <f>IF(Inicial!P6="SI",Inicial!E6,"N/A")</f>
        <v>N/A</v>
      </c>
      <c r="F6" s="64" t="str">
        <f>IF(Inicial!P6="SI",Inicial!F6,"N/A")</f>
        <v>N/A</v>
      </c>
      <c r="G6" s="64" t="str">
        <f>IF(Inicial!P6="SI",Inicial!G6,"N/A")</f>
        <v>N/A</v>
      </c>
      <c r="H6" s="64" t="str">
        <f>IF(Inicial!P6="SI",Inicial!H6,"N/A")</f>
        <v>N/A</v>
      </c>
      <c r="I6" s="75" t="str">
        <f>IF(Inicial!P6="SI",Inicial!I6,"N/A")</f>
        <v>N/A</v>
      </c>
      <c r="J6" s="87"/>
      <c r="K6" s="87"/>
      <c r="L6" s="87"/>
      <c r="M6" s="87"/>
      <c r="N6" s="87"/>
      <c r="O6" s="87"/>
      <c r="P6" s="87"/>
      <c r="Q6" s="87"/>
      <c r="R6" s="87" t="str" cm="1">
        <f t="array" ref="R6">IF(OR(J6:Q6="SI"),"No aceptable","Aceptable")</f>
        <v>Aceptable</v>
      </c>
    </row>
    <row r="7" spans="1:46" ht="25.9" customHeight="1">
      <c r="A7" s="63">
        <f>Inicial!A7</f>
        <v>5</v>
      </c>
      <c r="B7" s="64" t="str">
        <f>Inicial!B7</f>
        <v>Despacho</v>
      </c>
      <c r="C7" s="64" t="str">
        <f>Inicial!C7</f>
        <v>Despacho congelado</v>
      </c>
      <c r="D7" s="65" t="str">
        <f>Inicial!D7</f>
        <v>Transpaletero</v>
      </c>
      <c r="E7" s="63" t="str">
        <f>IF(Inicial!P7="SI",Inicial!E7,"N/A")</f>
        <v>N/A</v>
      </c>
      <c r="F7" s="64" t="str">
        <f>IF(Inicial!P7="SI",Inicial!F7,"N/A")</f>
        <v>N/A</v>
      </c>
      <c r="G7" s="64" t="str">
        <f>IF(Inicial!P7="SI",Inicial!G7,"N/A")</f>
        <v>N/A</v>
      </c>
      <c r="H7" s="64" t="str">
        <f>IF(Inicial!P7="SI",Inicial!H7,"N/A")</f>
        <v>N/A</v>
      </c>
      <c r="I7" s="75" t="str">
        <f>IF(Inicial!P7="SI",Inicial!I7,"N/A")</f>
        <v>N/A</v>
      </c>
      <c r="J7" s="87"/>
      <c r="K7" s="87"/>
      <c r="L7" s="87"/>
      <c r="M7" s="87"/>
      <c r="N7" s="87"/>
      <c r="O7" s="87"/>
      <c r="P7" s="87"/>
      <c r="Q7" s="87"/>
      <c r="R7" s="87" t="str" cm="1">
        <f t="array" ref="R7">IF(OR(J7:Q7="SI"),"No aceptable","Aceptable")</f>
        <v>Aceptable</v>
      </c>
    </row>
    <row r="8" spans="1:46" ht="25.9" customHeight="1">
      <c r="A8" s="63">
        <f>Inicial!A8</f>
        <v>6</v>
      </c>
      <c r="B8" s="64" t="str">
        <f>Inicial!B8</f>
        <v>Despacho</v>
      </c>
      <c r="C8" s="64" t="str">
        <f>Inicial!C8</f>
        <v>Despacho congelado</v>
      </c>
      <c r="D8" s="65" t="str">
        <f>Inicial!D8</f>
        <v>Postura de films</v>
      </c>
      <c r="E8" s="63" t="str">
        <f>IF(Inicial!P8="SI",Inicial!E8,"N/A")</f>
        <v>N/A</v>
      </c>
      <c r="F8" s="64" t="str">
        <f>IF(Inicial!P8="SI",Inicial!F8,"N/A")</f>
        <v>N/A</v>
      </c>
      <c r="G8" s="64" t="str">
        <f>IF(Inicial!P8="SI",Inicial!G8,"N/A")</f>
        <v>N/A</v>
      </c>
      <c r="H8" s="64" t="str">
        <f>IF(Inicial!P8="SI",Inicial!H8,"N/A")</f>
        <v>N/A</v>
      </c>
      <c r="I8" s="75" t="str">
        <f>IF(Inicial!P8="SI",Inicial!I8,"N/A")</f>
        <v>N/A</v>
      </c>
      <c r="J8" s="87"/>
      <c r="K8" s="87"/>
      <c r="L8" s="87"/>
      <c r="M8" s="87"/>
      <c r="N8" s="87"/>
      <c r="O8" s="87"/>
      <c r="P8" s="87"/>
      <c r="Q8" s="87"/>
      <c r="R8" s="87" t="str" cm="1">
        <f t="array" ref="R8">IF(OR(J8:Q8="SI"),"No aceptable","Aceptable")</f>
        <v>Aceptable</v>
      </c>
    </row>
    <row r="9" spans="1:46">
      <c r="A9" s="63">
        <f>Inicial!A9</f>
        <v>7</v>
      </c>
      <c r="B9" s="64" t="str">
        <f>Inicial!B9</f>
        <v>Despacho</v>
      </c>
      <c r="C9" s="64" t="str">
        <f>Inicial!C9</f>
        <v>Despacho Congelado</v>
      </c>
      <c r="D9" s="65" t="str">
        <f>Inicial!D9</f>
        <v>Reprocesos de producto</v>
      </c>
      <c r="E9" s="63" t="str">
        <f>IF(Inicial!P9="SI",Inicial!E9,"N/A")</f>
        <v>N/A</v>
      </c>
      <c r="F9" s="64" t="str">
        <f>IF(Inicial!P9="SI",Inicial!F9,"N/A")</f>
        <v>N/A</v>
      </c>
      <c r="G9" s="64" t="str">
        <f>IF(Inicial!P9="SI",Inicial!G9,"N/A")</f>
        <v>N/A</v>
      </c>
      <c r="H9" s="64" t="str">
        <f>IF(Inicial!P9="SI",Inicial!H9,"N/A")</f>
        <v>N/A</v>
      </c>
      <c r="I9" s="75" t="str">
        <f>IF(Inicial!P9="SI",Inicial!I9,"N/A")</f>
        <v>N/A</v>
      </c>
      <c r="J9" s="87"/>
      <c r="K9" s="87"/>
      <c r="L9" s="87"/>
      <c r="M9" s="87"/>
      <c r="N9" s="87"/>
      <c r="O9" s="87"/>
      <c r="P9" s="87"/>
      <c r="Q9" s="87"/>
      <c r="R9" s="87" t="str" cm="1">
        <f t="array" ref="R9">IF(OR(J9:Q9="SI"),"No aceptable","Aceptable")</f>
        <v>Aceptable</v>
      </c>
    </row>
    <row r="10" spans="1:46">
      <c r="A10" s="63" t="e">
        <f>Inicial!#REF!</f>
        <v>#REF!</v>
      </c>
      <c r="B10" s="64" t="e">
        <f>Inicial!#REF!</f>
        <v>#REF!</v>
      </c>
      <c r="C10" s="64" t="e">
        <f>Inicial!#REF!</f>
        <v>#REF!</v>
      </c>
      <c r="D10" s="65" t="e">
        <f>Inicial!#REF!</f>
        <v>#REF!</v>
      </c>
      <c r="E10" s="63" t="e">
        <f>IF(Inicial!#REF!="SI",Inicial!#REF!,"N/A")</f>
        <v>#REF!</v>
      </c>
      <c r="F10" s="64" t="e">
        <f>IF(Inicial!#REF!="SI",Inicial!#REF!,"N/A")</f>
        <v>#REF!</v>
      </c>
      <c r="G10" s="64" t="e">
        <f>IF(Inicial!#REF!="SI",Inicial!#REF!,"N/A")</f>
        <v>#REF!</v>
      </c>
      <c r="H10" s="64" t="e">
        <f>IF(Inicial!#REF!="SI",Inicial!#REF!,"N/A")</f>
        <v>#REF!</v>
      </c>
      <c r="I10" s="75" t="e">
        <f>IF(Inicial!#REF!="SI",Inicial!#REF!,"N/A")</f>
        <v>#REF!</v>
      </c>
      <c r="J10" s="87"/>
      <c r="K10" s="87"/>
      <c r="L10" s="87"/>
      <c r="M10" s="87"/>
      <c r="N10" s="87"/>
      <c r="O10" s="87"/>
      <c r="P10" s="87"/>
      <c r="Q10" s="87"/>
      <c r="R10" s="87" t="str" cm="1">
        <f t="array" ref="R10">IF(OR(J10:Q10="SI"),"No aceptable","Aceptable")</f>
        <v>Aceptable</v>
      </c>
    </row>
    <row r="11" spans="1:46">
      <c r="A11" s="63" t="e">
        <f>Inicial!#REF!</f>
        <v>#REF!</v>
      </c>
      <c r="B11" s="64" t="e">
        <f>Inicial!#REF!</f>
        <v>#REF!</v>
      </c>
      <c r="C11" s="64" t="e">
        <f>Inicial!#REF!</f>
        <v>#REF!</v>
      </c>
      <c r="D11" s="65" t="e">
        <f>Inicial!#REF!</f>
        <v>#REF!</v>
      </c>
      <c r="E11" s="63" t="e">
        <f>IF(Inicial!#REF!="SI",Inicial!#REF!,"N/A")</f>
        <v>#REF!</v>
      </c>
      <c r="F11" s="64" t="e">
        <f>IF(Inicial!#REF!="SI",Inicial!#REF!,"N/A")</f>
        <v>#REF!</v>
      </c>
      <c r="G11" s="64" t="e">
        <f>IF(Inicial!#REF!="SI",Inicial!#REF!,"N/A")</f>
        <v>#REF!</v>
      </c>
      <c r="H11" s="64" t="e">
        <f>IF(Inicial!#REF!="SI",Inicial!#REF!,"N/A")</f>
        <v>#REF!</v>
      </c>
      <c r="I11" s="75" t="e">
        <f>IF(Inicial!#REF!="SI",Inicial!#REF!,"N/A")</f>
        <v>#REF!</v>
      </c>
      <c r="J11" s="87"/>
      <c r="K11" s="87"/>
      <c r="L11" s="87"/>
      <c r="M11" s="87"/>
      <c r="N11" s="87"/>
      <c r="O11" s="87"/>
      <c r="P11" s="87"/>
      <c r="Q11" s="87"/>
      <c r="R11" s="87" t="str" cm="1">
        <f t="array" ref="R11">IF(OR(J11:Q11="SI"),"No aceptable","Aceptable")</f>
        <v>Aceptable</v>
      </c>
    </row>
    <row r="12" spans="1:46">
      <c r="A12" s="63" t="e">
        <f>Inicial!#REF!</f>
        <v>#REF!</v>
      </c>
      <c r="B12" s="64" t="e">
        <f>Inicial!#REF!</f>
        <v>#REF!</v>
      </c>
      <c r="C12" s="64" t="e">
        <f>Inicial!#REF!</f>
        <v>#REF!</v>
      </c>
      <c r="D12" s="65" t="e">
        <f>Inicial!#REF!</f>
        <v>#REF!</v>
      </c>
      <c r="E12" s="63" t="e">
        <f>IF(Inicial!#REF!="SI",Inicial!#REF!,"N/A")</f>
        <v>#REF!</v>
      </c>
      <c r="F12" s="64" t="e">
        <f>IF(Inicial!#REF!="SI",Inicial!#REF!,"N/A")</f>
        <v>#REF!</v>
      </c>
      <c r="G12" s="64" t="e">
        <f>IF(Inicial!#REF!="SI",Inicial!#REF!,"N/A")</f>
        <v>#REF!</v>
      </c>
      <c r="H12" s="64" t="e">
        <f>IF(Inicial!#REF!="SI",Inicial!#REF!,"N/A")</f>
        <v>#REF!</v>
      </c>
      <c r="I12" s="75" t="e">
        <f>IF(Inicial!#REF!="SI",Inicial!#REF!,"N/A")</f>
        <v>#REF!</v>
      </c>
      <c r="J12" s="87"/>
      <c r="K12" s="87"/>
      <c r="L12" s="87"/>
      <c r="M12" s="87"/>
      <c r="N12" s="87"/>
      <c r="O12" s="87"/>
      <c r="P12" s="87"/>
      <c r="Q12" s="87"/>
      <c r="R12" s="87" t="str" cm="1">
        <f t="array" ref="R12">IF(OR(J12:Q12="SI"),"No aceptable","Aceptable")</f>
        <v>Aceptable</v>
      </c>
    </row>
    <row r="13" spans="1:46">
      <c r="A13" s="63" t="e">
        <f>Inicial!#REF!</f>
        <v>#REF!</v>
      </c>
      <c r="B13" s="64" t="e">
        <f>Inicial!#REF!</f>
        <v>#REF!</v>
      </c>
      <c r="C13" s="64" t="e">
        <f>Inicial!#REF!</f>
        <v>#REF!</v>
      </c>
      <c r="D13" s="65" t="e">
        <f>Inicial!#REF!</f>
        <v>#REF!</v>
      </c>
      <c r="E13" s="63" t="e">
        <f>IF(Inicial!#REF!="SI",Inicial!#REF!,"N/A")</f>
        <v>#REF!</v>
      </c>
      <c r="F13" s="64" t="e">
        <f>IF(Inicial!#REF!="SI",Inicial!#REF!,"N/A")</f>
        <v>#REF!</v>
      </c>
      <c r="G13" s="64" t="e">
        <f>IF(Inicial!#REF!="SI",Inicial!#REF!,"N/A")</f>
        <v>#REF!</v>
      </c>
      <c r="H13" s="64" t="e">
        <f>IF(Inicial!#REF!="SI",Inicial!#REF!,"N/A")</f>
        <v>#REF!</v>
      </c>
      <c r="I13" s="75" t="e">
        <f>IF(Inicial!#REF!="SI",Inicial!#REF!,"N/A")</f>
        <v>#REF!</v>
      </c>
      <c r="J13" s="87"/>
      <c r="K13" s="87"/>
      <c r="L13" s="87"/>
      <c r="M13" s="87"/>
      <c r="N13" s="87"/>
      <c r="O13" s="87"/>
      <c r="P13" s="87"/>
      <c r="Q13" s="87"/>
      <c r="R13" s="87" t="str" cm="1">
        <f t="array" ref="R13">IF(OR(J13:Q13="SI"),"No aceptable","Aceptable")</f>
        <v>Aceptable</v>
      </c>
    </row>
    <row r="14" spans="1:46">
      <c r="A14" s="63" t="e">
        <f>Inicial!#REF!</f>
        <v>#REF!</v>
      </c>
      <c r="B14" s="64" t="e">
        <f>Inicial!#REF!</f>
        <v>#REF!</v>
      </c>
      <c r="C14" s="64" t="e">
        <f>Inicial!#REF!</f>
        <v>#REF!</v>
      </c>
      <c r="D14" s="65" t="e">
        <f>Inicial!#REF!</f>
        <v>#REF!</v>
      </c>
      <c r="E14" s="63" t="e">
        <f>IF(Inicial!#REF!="SI",Inicial!#REF!,"N/A")</f>
        <v>#REF!</v>
      </c>
      <c r="F14" s="64" t="e">
        <f>IF(Inicial!#REF!="SI",Inicial!#REF!,"N/A")</f>
        <v>#REF!</v>
      </c>
      <c r="G14" s="64" t="e">
        <f>IF(Inicial!#REF!="SI",Inicial!#REF!,"N/A")</f>
        <v>#REF!</v>
      </c>
      <c r="H14" s="64" t="e">
        <f>IF(Inicial!#REF!="SI",Inicial!#REF!,"N/A")</f>
        <v>#REF!</v>
      </c>
      <c r="I14" s="75" t="e">
        <f>IF(Inicial!#REF!="SI",Inicial!#REF!,"N/A")</f>
        <v>#REF!</v>
      </c>
      <c r="J14" s="87"/>
      <c r="K14" s="87"/>
      <c r="L14" s="87"/>
      <c r="M14" s="87"/>
      <c r="N14" s="87"/>
      <c r="O14" s="87"/>
      <c r="P14" s="87"/>
      <c r="Q14" s="87"/>
      <c r="R14" s="87" t="str" cm="1">
        <f t="array" ref="R14">IF(OR(J14:Q14="SI"),"No aceptable","Aceptable")</f>
        <v>Aceptable</v>
      </c>
    </row>
    <row r="15" spans="1:46">
      <c r="A15" s="63" t="e">
        <f>Inicial!#REF!</f>
        <v>#REF!</v>
      </c>
      <c r="B15" s="64" t="e">
        <f>Inicial!#REF!</f>
        <v>#REF!</v>
      </c>
      <c r="C15" s="64" t="e">
        <f>Inicial!#REF!</f>
        <v>#REF!</v>
      </c>
      <c r="D15" s="65" t="e">
        <f>Inicial!#REF!</f>
        <v>#REF!</v>
      </c>
      <c r="E15" s="63" t="e">
        <f>IF(Inicial!#REF!="SI",Inicial!#REF!,"N/A")</f>
        <v>#REF!</v>
      </c>
      <c r="F15" s="64" t="e">
        <f>IF(Inicial!#REF!="SI",Inicial!#REF!,"N/A")</f>
        <v>#REF!</v>
      </c>
      <c r="G15" s="64" t="e">
        <f>IF(Inicial!#REF!="SI",Inicial!#REF!,"N/A")</f>
        <v>#REF!</v>
      </c>
      <c r="H15" s="64" t="e">
        <f>IF(Inicial!#REF!="SI",Inicial!#REF!,"N/A")</f>
        <v>#REF!</v>
      </c>
      <c r="I15" s="75" t="e">
        <f>IF(Inicial!#REF!="SI",Inicial!#REF!,"N/A")</f>
        <v>#REF!</v>
      </c>
      <c r="J15" s="87"/>
      <c r="K15" s="87"/>
      <c r="L15" s="87"/>
      <c r="M15" s="87"/>
      <c r="N15" s="87"/>
      <c r="O15" s="87"/>
      <c r="P15" s="87"/>
      <c r="Q15" s="87"/>
      <c r="R15" s="87" t="str" cm="1">
        <f t="array" ref="R15">IF(OR(J15:Q15="SI"),"No aceptable","Aceptable")</f>
        <v>Aceptable</v>
      </c>
    </row>
    <row r="16" spans="1:46">
      <c r="A16" s="63" t="e">
        <f>Inicial!#REF!</f>
        <v>#REF!</v>
      </c>
      <c r="B16" s="64" t="e">
        <f>Inicial!#REF!</f>
        <v>#REF!</v>
      </c>
      <c r="C16" s="64" t="e">
        <f>Inicial!#REF!</f>
        <v>#REF!</v>
      </c>
      <c r="D16" s="65" t="e">
        <f>Inicial!#REF!</f>
        <v>#REF!</v>
      </c>
      <c r="E16" s="63" t="e">
        <f>IF(Inicial!#REF!="SI",Inicial!#REF!,"N/A")</f>
        <v>#REF!</v>
      </c>
      <c r="F16" s="64" t="e">
        <f>IF(Inicial!#REF!="SI",Inicial!#REF!,"N/A")</f>
        <v>#REF!</v>
      </c>
      <c r="G16" s="64" t="e">
        <f>IF(Inicial!#REF!="SI",Inicial!#REF!,"N/A")</f>
        <v>#REF!</v>
      </c>
      <c r="H16" s="64" t="e">
        <f>IF(Inicial!#REF!="SI",Inicial!#REF!,"N/A")</f>
        <v>#REF!</v>
      </c>
      <c r="I16" s="75" t="e">
        <f>IF(Inicial!#REF!="SI",Inicial!#REF!,"N/A")</f>
        <v>#REF!</v>
      </c>
      <c r="J16" s="87"/>
      <c r="K16" s="87"/>
      <c r="L16" s="87"/>
      <c r="M16" s="87"/>
      <c r="N16" s="87"/>
      <c r="O16" s="87"/>
      <c r="P16" s="87"/>
      <c r="Q16" s="87"/>
      <c r="R16" s="87" t="str" cm="1">
        <f t="array" ref="R16">IF(OR(J16:Q16="SI"),"No aceptable","Aceptable")</f>
        <v>Aceptable</v>
      </c>
    </row>
    <row r="17" spans="1:18">
      <c r="A17" s="63" t="e">
        <f>Inicial!#REF!</f>
        <v>#REF!</v>
      </c>
      <c r="B17" s="64" t="e">
        <f>Inicial!#REF!</f>
        <v>#REF!</v>
      </c>
      <c r="C17" s="64" t="e">
        <f>Inicial!#REF!</f>
        <v>#REF!</v>
      </c>
      <c r="D17" s="65" t="e">
        <f>Inicial!#REF!</f>
        <v>#REF!</v>
      </c>
      <c r="E17" s="63" t="e">
        <f>IF(Inicial!#REF!="SI",Inicial!#REF!,"N/A")</f>
        <v>#REF!</v>
      </c>
      <c r="F17" s="64" t="e">
        <f>IF(Inicial!#REF!="SI",Inicial!#REF!,"N/A")</f>
        <v>#REF!</v>
      </c>
      <c r="G17" s="64" t="e">
        <f>IF(Inicial!#REF!="SI",Inicial!#REF!,"N/A")</f>
        <v>#REF!</v>
      </c>
      <c r="H17" s="64" t="e">
        <f>IF(Inicial!#REF!="SI",Inicial!#REF!,"N/A")</f>
        <v>#REF!</v>
      </c>
      <c r="I17" s="75" t="e">
        <f>IF(Inicial!#REF!="SI",Inicial!#REF!,"N/A")</f>
        <v>#REF!</v>
      </c>
      <c r="J17" s="87"/>
      <c r="K17" s="87"/>
      <c r="L17" s="87"/>
      <c r="M17" s="87"/>
      <c r="N17" s="87"/>
      <c r="O17" s="87"/>
      <c r="P17" s="87"/>
      <c r="Q17" s="87"/>
      <c r="R17" s="87" t="str" cm="1">
        <f t="array" ref="R17">IF(OR(J17:Q17="SI"),"No aceptable","Aceptable")</f>
        <v>Aceptable</v>
      </c>
    </row>
    <row r="18" spans="1:18">
      <c r="A18" s="63" t="e">
        <f>Inicial!#REF!</f>
        <v>#REF!</v>
      </c>
      <c r="B18" s="64" t="e">
        <f>Inicial!#REF!</f>
        <v>#REF!</v>
      </c>
      <c r="C18" s="64" t="e">
        <f>Inicial!#REF!</f>
        <v>#REF!</v>
      </c>
      <c r="D18" s="65" t="e">
        <f>Inicial!#REF!</f>
        <v>#REF!</v>
      </c>
      <c r="E18" s="63" t="e">
        <f>IF(Inicial!#REF!="SI",Inicial!#REF!,"N/A")</f>
        <v>#REF!</v>
      </c>
      <c r="F18" s="64" t="e">
        <f>IF(Inicial!#REF!="SI",Inicial!#REF!,"N/A")</f>
        <v>#REF!</v>
      </c>
      <c r="G18" s="64" t="e">
        <f>IF(Inicial!#REF!="SI",Inicial!#REF!,"N/A")</f>
        <v>#REF!</v>
      </c>
      <c r="H18" s="64" t="e">
        <f>IF(Inicial!#REF!="SI",Inicial!#REF!,"N/A")</f>
        <v>#REF!</v>
      </c>
      <c r="I18" s="75" t="e">
        <f>IF(Inicial!#REF!="SI",Inicial!#REF!,"N/A")</f>
        <v>#REF!</v>
      </c>
      <c r="J18" s="87"/>
      <c r="K18" s="87"/>
      <c r="L18" s="87"/>
      <c r="M18" s="87"/>
      <c r="N18" s="87"/>
      <c r="O18" s="87"/>
      <c r="P18" s="87"/>
      <c r="Q18" s="87"/>
      <c r="R18" s="87" t="str" cm="1">
        <f t="array" ref="R18">IF(OR(J18:Q18="SI"),"No aceptable","Aceptable")</f>
        <v>Aceptable</v>
      </c>
    </row>
    <row r="19" spans="1:18">
      <c r="A19" s="63" t="e">
        <f>Inicial!#REF!</f>
        <v>#REF!</v>
      </c>
      <c r="B19" s="64" t="e">
        <f>Inicial!#REF!</f>
        <v>#REF!</v>
      </c>
      <c r="C19" s="64" t="e">
        <f>Inicial!#REF!</f>
        <v>#REF!</v>
      </c>
      <c r="D19" s="65" t="e">
        <f>Inicial!#REF!</f>
        <v>#REF!</v>
      </c>
      <c r="E19" s="63" t="e">
        <f>IF(Inicial!#REF!="SI",Inicial!#REF!,"N/A")</f>
        <v>#REF!</v>
      </c>
      <c r="F19" s="64" t="e">
        <f>IF(Inicial!#REF!="SI",Inicial!#REF!,"N/A")</f>
        <v>#REF!</v>
      </c>
      <c r="G19" s="64" t="e">
        <f>IF(Inicial!#REF!="SI",Inicial!#REF!,"N/A")</f>
        <v>#REF!</v>
      </c>
      <c r="H19" s="64" t="e">
        <f>IF(Inicial!#REF!="SI",Inicial!#REF!,"N/A")</f>
        <v>#REF!</v>
      </c>
      <c r="I19" s="75" t="e">
        <f>IF(Inicial!#REF!="SI",Inicial!#REF!,"N/A")</f>
        <v>#REF!</v>
      </c>
      <c r="J19" s="87"/>
      <c r="K19" s="87"/>
      <c r="L19" s="87"/>
      <c r="M19" s="87"/>
      <c r="N19" s="87"/>
      <c r="O19" s="87"/>
      <c r="P19" s="87"/>
      <c r="Q19" s="87"/>
      <c r="R19" s="87" t="str" cm="1">
        <f t="array" ref="R19">IF(OR(J19:Q19="SI"),"No aceptable","Aceptable")</f>
        <v>Aceptable</v>
      </c>
    </row>
    <row r="20" spans="1:18">
      <c r="A20" s="63" t="e">
        <f>Inicial!#REF!</f>
        <v>#REF!</v>
      </c>
      <c r="B20" s="64" t="e">
        <f>Inicial!#REF!</f>
        <v>#REF!</v>
      </c>
      <c r="C20" s="64" t="e">
        <f>Inicial!#REF!</f>
        <v>#REF!</v>
      </c>
      <c r="D20" s="65" t="e">
        <f>Inicial!#REF!</f>
        <v>#REF!</v>
      </c>
      <c r="E20" s="63" t="e">
        <f>IF(Inicial!#REF!="SI",Inicial!#REF!,"N/A")</f>
        <v>#REF!</v>
      </c>
      <c r="F20" s="64" t="e">
        <f>IF(Inicial!#REF!="SI",Inicial!#REF!,"N/A")</f>
        <v>#REF!</v>
      </c>
      <c r="G20" s="64" t="e">
        <f>IF(Inicial!#REF!="SI",Inicial!#REF!,"N/A")</f>
        <v>#REF!</v>
      </c>
      <c r="H20" s="64" t="e">
        <f>IF(Inicial!#REF!="SI",Inicial!#REF!,"N/A")</f>
        <v>#REF!</v>
      </c>
      <c r="I20" s="75" t="e">
        <f>IF(Inicial!#REF!="SI",Inicial!#REF!,"N/A")</f>
        <v>#REF!</v>
      </c>
      <c r="J20" s="87"/>
      <c r="K20" s="87"/>
      <c r="L20" s="87"/>
      <c r="M20" s="87"/>
      <c r="N20" s="87"/>
      <c r="O20" s="87"/>
      <c r="P20" s="87"/>
      <c r="Q20" s="87"/>
      <c r="R20" s="87" t="str" cm="1">
        <f t="array" ref="R20">IF(OR(J20:Q20="SI"),"No aceptable","Aceptable")</f>
        <v>Aceptable</v>
      </c>
    </row>
    <row r="21" spans="1:18">
      <c r="A21" s="63" t="e">
        <f>Inicial!#REF!</f>
        <v>#REF!</v>
      </c>
      <c r="B21" s="64" t="e">
        <f>Inicial!#REF!</f>
        <v>#REF!</v>
      </c>
      <c r="C21" s="64" t="e">
        <f>Inicial!#REF!</f>
        <v>#REF!</v>
      </c>
      <c r="D21" s="65" t="e">
        <f>Inicial!#REF!</f>
        <v>#REF!</v>
      </c>
      <c r="E21" s="63" t="e">
        <f>IF(Inicial!#REF!="SI",Inicial!#REF!,"N/A")</f>
        <v>#REF!</v>
      </c>
      <c r="F21" s="64" t="e">
        <f>IF(Inicial!#REF!="SI",Inicial!#REF!,"N/A")</f>
        <v>#REF!</v>
      </c>
      <c r="G21" s="64" t="e">
        <f>IF(Inicial!#REF!="SI",Inicial!#REF!,"N/A")</f>
        <v>#REF!</v>
      </c>
      <c r="H21" s="64" t="e">
        <f>IF(Inicial!#REF!="SI",Inicial!#REF!,"N/A")</f>
        <v>#REF!</v>
      </c>
      <c r="I21" s="75" t="e">
        <f>IF(Inicial!#REF!="SI",Inicial!#REF!,"N/A")</f>
        <v>#REF!</v>
      </c>
      <c r="J21" s="87"/>
      <c r="K21" s="87"/>
      <c r="L21" s="87"/>
      <c r="M21" s="87"/>
      <c r="N21" s="87"/>
      <c r="O21" s="87"/>
      <c r="P21" s="87"/>
      <c r="Q21" s="87"/>
      <c r="R21" s="87" t="str" cm="1">
        <f t="array" ref="R21">IF(OR(J21:Q21="SI"),"No aceptable","Aceptable")</f>
        <v>Aceptable</v>
      </c>
    </row>
    <row r="22" spans="1:18">
      <c r="A22" s="63" t="e">
        <f>Inicial!#REF!</f>
        <v>#REF!</v>
      </c>
      <c r="B22" s="64" t="e">
        <f>Inicial!#REF!</f>
        <v>#REF!</v>
      </c>
      <c r="C22" s="64" t="e">
        <f>Inicial!#REF!</f>
        <v>#REF!</v>
      </c>
      <c r="D22" s="65" t="e">
        <f>Inicial!#REF!</f>
        <v>#REF!</v>
      </c>
      <c r="E22" s="63" t="e">
        <f>IF(Inicial!#REF!="SI",Inicial!#REF!,"N/A")</f>
        <v>#REF!</v>
      </c>
      <c r="F22" s="64" t="e">
        <f>IF(Inicial!#REF!="SI",Inicial!#REF!,"N/A")</f>
        <v>#REF!</v>
      </c>
      <c r="G22" s="64" t="e">
        <f>IF(Inicial!#REF!="SI",Inicial!#REF!,"N/A")</f>
        <v>#REF!</v>
      </c>
      <c r="H22" s="64" t="e">
        <f>IF(Inicial!#REF!="SI",Inicial!#REF!,"N/A")</f>
        <v>#REF!</v>
      </c>
      <c r="I22" s="75" t="e">
        <f>IF(Inicial!#REF!="SI",Inicial!#REF!,"N/A")</f>
        <v>#REF!</v>
      </c>
      <c r="J22" s="87"/>
      <c r="K22" s="87"/>
      <c r="L22" s="87"/>
      <c r="M22" s="87"/>
      <c r="N22" s="87"/>
      <c r="O22" s="87"/>
      <c r="P22" s="87"/>
      <c r="Q22" s="87"/>
      <c r="R22" s="87"/>
    </row>
    <row r="23" spans="1:18">
      <c r="A23" s="63" t="e">
        <f>Inicial!#REF!</f>
        <v>#REF!</v>
      </c>
      <c r="B23" s="64" t="e">
        <f>Inicial!#REF!</f>
        <v>#REF!</v>
      </c>
      <c r="C23" s="64" t="e">
        <f>Inicial!#REF!</f>
        <v>#REF!</v>
      </c>
      <c r="D23" s="65" t="e">
        <f>Inicial!#REF!</f>
        <v>#REF!</v>
      </c>
      <c r="E23" s="63" t="e">
        <f>IF(Inicial!#REF!="SI",Inicial!#REF!,"N/A")</f>
        <v>#REF!</v>
      </c>
      <c r="F23" s="64" t="e">
        <f>IF(Inicial!#REF!="SI",Inicial!#REF!,"N/A")</f>
        <v>#REF!</v>
      </c>
      <c r="G23" s="64" t="e">
        <f>IF(Inicial!#REF!="SI",Inicial!#REF!,"N/A")</f>
        <v>#REF!</v>
      </c>
      <c r="H23" s="64" t="e">
        <f>IF(Inicial!#REF!="SI",Inicial!#REF!,"N/A")</f>
        <v>#REF!</v>
      </c>
      <c r="I23" s="75" t="e">
        <f>IF(Inicial!#REF!="SI",Inicial!#REF!,"N/A")</f>
        <v>#REF!</v>
      </c>
      <c r="J23" s="87"/>
      <c r="K23" s="87"/>
      <c r="L23" s="87"/>
      <c r="M23" s="87"/>
      <c r="N23" s="87"/>
      <c r="O23" s="87"/>
      <c r="P23" s="87"/>
      <c r="Q23" s="87"/>
      <c r="R23" s="87"/>
    </row>
    <row r="24" spans="1:18">
      <c r="A24" s="63" t="e">
        <f>Inicial!#REF!</f>
        <v>#REF!</v>
      </c>
      <c r="B24" s="64" t="e">
        <f>Inicial!#REF!</f>
        <v>#REF!</v>
      </c>
      <c r="C24" s="64" t="e">
        <f>Inicial!#REF!</f>
        <v>#REF!</v>
      </c>
      <c r="D24" s="65" t="e">
        <f>Inicial!#REF!</f>
        <v>#REF!</v>
      </c>
      <c r="E24" s="63" t="e">
        <f>IF(Inicial!#REF!="SI",Inicial!#REF!,"N/A")</f>
        <v>#REF!</v>
      </c>
      <c r="F24" s="64" t="e">
        <f>IF(Inicial!#REF!="SI",Inicial!#REF!,"N/A")</f>
        <v>#REF!</v>
      </c>
      <c r="G24" s="64" t="e">
        <f>IF(Inicial!#REF!="SI",Inicial!#REF!,"N/A")</f>
        <v>#REF!</v>
      </c>
      <c r="H24" s="64" t="e">
        <f>IF(Inicial!#REF!="SI",Inicial!#REF!,"N/A")</f>
        <v>#REF!</v>
      </c>
      <c r="I24" s="75" t="e">
        <f>IF(Inicial!#REF!="SI",Inicial!#REF!,"N/A")</f>
        <v>#REF!</v>
      </c>
      <c r="J24" s="87"/>
      <c r="K24" s="87"/>
      <c r="L24" s="87"/>
      <c r="M24" s="87"/>
      <c r="N24" s="87"/>
      <c r="O24" s="87"/>
      <c r="P24" s="87"/>
      <c r="Q24" s="87"/>
      <c r="R24" s="87"/>
    </row>
    <row r="25" spans="1:18">
      <c r="A25" s="63" t="e">
        <f>Inicial!#REF!</f>
        <v>#REF!</v>
      </c>
      <c r="B25" s="64" t="e">
        <f>Inicial!#REF!</f>
        <v>#REF!</v>
      </c>
      <c r="C25" s="64" t="e">
        <f>Inicial!#REF!</f>
        <v>#REF!</v>
      </c>
      <c r="D25" s="65" t="e">
        <f>Inicial!#REF!</f>
        <v>#REF!</v>
      </c>
      <c r="E25" s="63" t="e">
        <f>IF(Inicial!#REF!="SI",Inicial!#REF!,"N/A")</f>
        <v>#REF!</v>
      </c>
      <c r="F25" s="64" t="e">
        <f>IF(Inicial!#REF!="SI",Inicial!#REF!,"N/A")</f>
        <v>#REF!</v>
      </c>
      <c r="G25" s="64" t="e">
        <f>IF(Inicial!#REF!="SI",Inicial!#REF!,"N/A")</f>
        <v>#REF!</v>
      </c>
      <c r="H25" s="64" t="e">
        <f>IF(Inicial!#REF!="SI",Inicial!#REF!,"N/A")</f>
        <v>#REF!</v>
      </c>
      <c r="I25" s="75" t="e">
        <f>IF(Inicial!#REF!="SI",Inicial!#REF!,"N/A")</f>
        <v>#REF!</v>
      </c>
      <c r="J25" s="87"/>
      <c r="K25" s="87"/>
      <c r="L25" s="87"/>
      <c r="M25" s="87"/>
      <c r="N25" s="87"/>
      <c r="O25" s="87"/>
      <c r="P25" s="87"/>
      <c r="Q25" s="87"/>
      <c r="R25" s="87"/>
    </row>
    <row r="26" spans="1:18">
      <c r="A26" s="63" t="e">
        <f>Inicial!#REF!</f>
        <v>#REF!</v>
      </c>
      <c r="B26" s="64" t="e">
        <f>Inicial!#REF!</f>
        <v>#REF!</v>
      </c>
      <c r="C26" s="64" t="e">
        <f>Inicial!#REF!</f>
        <v>#REF!</v>
      </c>
      <c r="D26" s="65" t="e">
        <f>Inicial!#REF!</f>
        <v>#REF!</v>
      </c>
      <c r="E26" s="63" t="e">
        <f>IF(Inicial!#REF!="SI",Inicial!#REF!,"N/A")</f>
        <v>#REF!</v>
      </c>
      <c r="F26" s="64" t="e">
        <f>IF(Inicial!#REF!="SI",Inicial!#REF!,"N/A")</f>
        <v>#REF!</v>
      </c>
      <c r="G26" s="64" t="e">
        <f>IF(Inicial!#REF!="SI",Inicial!#REF!,"N/A")</f>
        <v>#REF!</v>
      </c>
      <c r="H26" s="64" t="e">
        <f>IF(Inicial!#REF!="SI",Inicial!#REF!,"N/A")</f>
        <v>#REF!</v>
      </c>
      <c r="I26" s="75" t="e">
        <f>IF(Inicial!#REF!="SI",Inicial!#REF!,"N/A")</f>
        <v>#REF!</v>
      </c>
      <c r="J26" s="87"/>
      <c r="K26" s="87"/>
      <c r="L26" s="87"/>
      <c r="M26" s="87"/>
      <c r="N26" s="87"/>
      <c r="O26" s="87"/>
      <c r="P26" s="87"/>
      <c r="Q26" s="87"/>
      <c r="R26" s="87"/>
    </row>
    <row r="27" spans="1:18">
      <c r="A27" s="63" t="e">
        <f>Inicial!#REF!</f>
        <v>#REF!</v>
      </c>
      <c r="B27" s="64" t="e">
        <f>Inicial!#REF!</f>
        <v>#REF!</v>
      </c>
      <c r="C27" s="64" t="e">
        <f>Inicial!#REF!</f>
        <v>#REF!</v>
      </c>
      <c r="D27" s="65" t="e">
        <f>Inicial!#REF!</f>
        <v>#REF!</v>
      </c>
      <c r="E27" s="63" t="e">
        <f>IF(Inicial!#REF!="SI",Inicial!#REF!,"N/A")</f>
        <v>#REF!</v>
      </c>
      <c r="F27" s="64" t="e">
        <f>IF(Inicial!#REF!="SI",Inicial!#REF!,"N/A")</f>
        <v>#REF!</v>
      </c>
      <c r="G27" s="64" t="e">
        <f>IF(Inicial!#REF!="SI",Inicial!#REF!,"N/A")</f>
        <v>#REF!</v>
      </c>
      <c r="H27" s="64" t="e">
        <f>IF(Inicial!#REF!="SI",Inicial!#REF!,"N/A")</f>
        <v>#REF!</v>
      </c>
      <c r="I27" s="75" t="e">
        <f>IF(Inicial!#REF!="SI",Inicial!#REF!,"N/A")</f>
        <v>#REF!</v>
      </c>
      <c r="J27" s="87"/>
      <c r="K27" s="87"/>
      <c r="L27" s="87"/>
      <c r="M27" s="87"/>
      <c r="N27" s="87"/>
      <c r="O27" s="87"/>
      <c r="P27" s="87"/>
      <c r="Q27" s="87"/>
      <c r="R27" s="87"/>
    </row>
    <row r="28" spans="1:18">
      <c r="A28" s="63" t="e">
        <f>Inicial!#REF!</f>
        <v>#REF!</v>
      </c>
      <c r="B28" s="64" t="e">
        <f>Inicial!#REF!</f>
        <v>#REF!</v>
      </c>
      <c r="C28" s="64" t="e">
        <f>Inicial!#REF!</f>
        <v>#REF!</v>
      </c>
      <c r="D28" s="65" t="e">
        <f>Inicial!#REF!</f>
        <v>#REF!</v>
      </c>
      <c r="E28" s="63" t="e">
        <f>IF(Inicial!#REF!="SI",Inicial!#REF!,"N/A")</f>
        <v>#REF!</v>
      </c>
      <c r="F28" s="64" t="e">
        <f>IF(Inicial!#REF!="SI",Inicial!#REF!,"N/A")</f>
        <v>#REF!</v>
      </c>
      <c r="G28" s="64" t="e">
        <f>IF(Inicial!#REF!="SI",Inicial!#REF!,"N/A")</f>
        <v>#REF!</v>
      </c>
      <c r="H28" s="64" t="e">
        <f>IF(Inicial!#REF!="SI",Inicial!#REF!,"N/A")</f>
        <v>#REF!</v>
      </c>
      <c r="I28" s="75" t="e">
        <f>IF(Inicial!#REF!="SI",Inicial!#REF!,"N/A")</f>
        <v>#REF!</v>
      </c>
      <c r="J28" s="87"/>
      <c r="K28" s="87"/>
      <c r="L28" s="87"/>
      <c r="M28" s="87"/>
      <c r="N28" s="87"/>
      <c r="O28" s="87"/>
      <c r="P28" s="87"/>
      <c r="Q28" s="87"/>
      <c r="R28" s="87"/>
    </row>
    <row r="29" spans="1:18">
      <c r="A29" s="63" t="e">
        <f>Inicial!#REF!</f>
        <v>#REF!</v>
      </c>
      <c r="B29" s="64" t="e">
        <f>Inicial!#REF!</f>
        <v>#REF!</v>
      </c>
      <c r="C29" s="64" t="e">
        <f>Inicial!#REF!</f>
        <v>#REF!</v>
      </c>
      <c r="D29" s="65" t="e">
        <f>Inicial!#REF!</f>
        <v>#REF!</v>
      </c>
      <c r="E29" s="63" t="e">
        <f>IF(Inicial!#REF!="SI",Inicial!#REF!,"N/A")</f>
        <v>#REF!</v>
      </c>
      <c r="F29" s="64" t="e">
        <f>IF(Inicial!#REF!="SI",Inicial!#REF!,"N/A")</f>
        <v>#REF!</v>
      </c>
      <c r="G29" s="64" t="e">
        <f>IF(Inicial!#REF!="SI",Inicial!#REF!,"N/A")</f>
        <v>#REF!</v>
      </c>
      <c r="H29" s="64" t="e">
        <f>IF(Inicial!#REF!="SI",Inicial!#REF!,"N/A")</f>
        <v>#REF!</v>
      </c>
      <c r="I29" s="75" t="e">
        <f>IF(Inicial!#REF!="SI",Inicial!#REF!,"N/A")</f>
        <v>#REF!</v>
      </c>
      <c r="J29" s="87"/>
      <c r="K29" s="87"/>
      <c r="L29" s="87"/>
      <c r="M29" s="87"/>
      <c r="N29" s="87"/>
      <c r="O29" s="87"/>
      <c r="P29" s="87"/>
      <c r="Q29" s="87"/>
      <c r="R29" s="87"/>
    </row>
    <row r="30" spans="1:18">
      <c r="A30" s="63" t="e">
        <f>Inicial!#REF!</f>
        <v>#REF!</v>
      </c>
      <c r="B30" s="64" t="e">
        <f>Inicial!#REF!</f>
        <v>#REF!</v>
      </c>
      <c r="C30" s="64" t="e">
        <f>Inicial!#REF!</f>
        <v>#REF!</v>
      </c>
      <c r="D30" s="65" t="e">
        <f>Inicial!#REF!</f>
        <v>#REF!</v>
      </c>
      <c r="E30" s="63" t="e">
        <f>IF(Inicial!#REF!="SI",Inicial!#REF!,"N/A")</f>
        <v>#REF!</v>
      </c>
      <c r="F30" s="64" t="e">
        <f>IF(Inicial!#REF!="SI",Inicial!#REF!,"N/A")</f>
        <v>#REF!</v>
      </c>
      <c r="G30" s="64" t="e">
        <f>IF(Inicial!#REF!="SI",Inicial!#REF!,"N/A")</f>
        <v>#REF!</v>
      </c>
      <c r="H30" s="64" t="e">
        <f>IF(Inicial!#REF!="SI",Inicial!#REF!,"N/A")</f>
        <v>#REF!</v>
      </c>
      <c r="I30" s="75" t="e">
        <f>IF(Inicial!#REF!="SI",Inicial!#REF!,"N/A")</f>
        <v>#REF!</v>
      </c>
      <c r="J30" s="87"/>
      <c r="K30" s="87"/>
      <c r="L30" s="87"/>
      <c r="M30" s="87"/>
      <c r="N30" s="87"/>
      <c r="O30" s="87"/>
      <c r="P30" s="87"/>
      <c r="Q30" s="87"/>
      <c r="R30" s="87"/>
    </row>
    <row r="31" spans="1:18">
      <c r="A31" s="63" t="e">
        <f>Inicial!#REF!</f>
        <v>#REF!</v>
      </c>
      <c r="B31" s="64" t="e">
        <f>Inicial!#REF!</f>
        <v>#REF!</v>
      </c>
      <c r="C31" s="64" t="e">
        <f>Inicial!#REF!</f>
        <v>#REF!</v>
      </c>
      <c r="D31" s="65" t="e">
        <f>Inicial!#REF!</f>
        <v>#REF!</v>
      </c>
      <c r="E31" s="63" t="e">
        <f>IF(Inicial!#REF!="SI",Inicial!#REF!,"N/A")</f>
        <v>#REF!</v>
      </c>
      <c r="F31" s="64" t="e">
        <f>IF(Inicial!#REF!="SI",Inicial!#REF!,"N/A")</f>
        <v>#REF!</v>
      </c>
      <c r="G31" s="64" t="e">
        <f>IF(Inicial!#REF!="SI",Inicial!#REF!,"N/A")</f>
        <v>#REF!</v>
      </c>
      <c r="H31" s="64" t="e">
        <f>IF(Inicial!#REF!="SI",Inicial!#REF!,"N/A")</f>
        <v>#REF!</v>
      </c>
      <c r="I31" s="75" t="e">
        <f>IF(Inicial!#REF!="SI",Inicial!#REF!,"N/A")</f>
        <v>#REF!</v>
      </c>
      <c r="J31" s="87"/>
      <c r="K31" s="87"/>
      <c r="L31" s="87"/>
      <c r="M31" s="87"/>
      <c r="N31" s="87"/>
      <c r="O31" s="87"/>
      <c r="P31" s="87"/>
      <c r="Q31" s="87"/>
      <c r="R31" s="87"/>
    </row>
    <row r="32" spans="1:18">
      <c r="A32" s="63" t="e">
        <f>Inicial!#REF!</f>
        <v>#REF!</v>
      </c>
      <c r="B32" s="64" t="e">
        <f>Inicial!#REF!</f>
        <v>#REF!</v>
      </c>
      <c r="C32" s="64" t="e">
        <f>Inicial!#REF!</f>
        <v>#REF!</v>
      </c>
      <c r="D32" s="65" t="e">
        <f>Inicial!#REF!</f>
        <v>#REF!</v>
      </c>
      <c r="E32" s="63" t="e">
        <f>IF(Inicial!#REF!="SI",Inicial!#REF!,"N/A")</f>
        <v>#REF!</v>
      </c>
      <c r="F32" s="64" t="e">
        <f>IF(Inicial!#REF!="SI",Inicial!#REF!,"N/A")</f>
        <v>#REF!</v>
      </c>
      <c r="G32" s="64" t="e">
        <f>IF(Inicial!#REF!="SI",Inicial!#REF!,"N/A")</f>
        <v>#REF!</v>
      </c>
      <c r="H32" s="64" t="e">
        <f>IF(Inicial!#REF!="SI",Inicial!#REF!,"N/A")</f>
        <v>#REF!</v>
      </c>
      <c r="I32" s="75" t="e">
        <f>IF(Inicial!#REF!="SI",Inicial!#REF!,"N/A")</f>
        <v>#REF!</v>
      </c>
      <c r="J32" s="87"/>
      <c r="K32" s="87"/>
      <c r="L32" s="87"/>
      <c r="M32" s="87"/>
      <c r="N32" s="87"/>
      <c r="O32" s="87"/>
      <c r="P32" s="87"/>
      <c r="Q32" s="87"/>
      <c r="R32" s="87"/>
    </row>
    <row r="33" spans="1:18">
      <c r="A33" s="63" t="e">
        <f>Inicial!#REF!</f>
        <v>#REF!</v>
      </c>
      <c r="B33" s="64" t="e">
        <f>Inicial!#REF!</f>
        <v>#REF!</v>
      </c>
      <c r="C33" s="64" t="e">
        <f>Inicial!#REF!</f>
        <v>#REF!</v>
      </c>
      <c r="D33" s="65" t="e">
        <f>Inicial!#REF!</f>
        <v>#REF!</v>
      </c>
      <c r="E33" s="63" t="e">
        <f>IF(Inicial!#REF!="SI",Inicial!#REF!,"N/A")</f>
        <v>#REF!</v>
      </c>
      <c r="F33" s="64" t="e">
        <f>IF(Inicial!#REF!="SI",Inicial!#REF!,"N/A")</f>
        <v>#REF!</v>
      </c>
      <c r="G33" s="64" t="e">
        <f>IF(Inicial!#REF!="SI",Inicial!#REF!,"N/A")</f>
        <v>#REF!</v>
      </c>
      <c r="H33" s="64" t="e">
        <f>IF(Inicial!#REF!="SI",Inicial!#REF!,"N/A")</f>
        <v>#REF!</v>
      </c>
      <c r="I33" s="75" t="e">
        <f>IF(Inicial!#REF!="SI",Inicial!#REF!,"N/A")</f>
        <v>#REF!</v>
      </c>
      <c r="J33" s="87"/>
      <c r="K33" s="87"/>
      <c r="L33" s="87"/>
      <c r="M33" s="87"/>
      <c r="N33" s="87"/>
      <c r="O33" s="87"/>
      <c r="P33" s="87"/>
      <c r="Q33" s="87"/>
      <c r="R33" s="87"/>
    </row>
    <row r="34" spans="1:18">
      <c r="A34" s="63" t="e">
        <f>Inicial!#REF!</f>
        <v>#REF!</v>
      </c>
      <c r="B34" s="64" t="e">
        <f>Inicial!#REF!</f>
        <v>#REF!</v>
      </c>
      <c r="C34" s="64" t="e">
        <f>Inicial!#REF!</f>
        <v>#REF!</v>
      </c>
      <c r="D34" s="65" t="e">
        <f>Inicial!#REF!</f>
        <v>#REF!</v>
      </c>
      <c r="E34" s="63" t="e">
        <f>IF(Inicial!#REF!="SI",Inicial!#REF!,"N/A")</f>
        <v>#REF!</v>
      </c>
      <c r="F34" s="64" t="e">
        <f>IF(Inicial!#REF!="SI",Inicial!#REF!,"N/A")</f>
        <v>#REF!</v>
      </c>
      <c r="G34" s="64" t="e">
        <f>IF(Inicial!#REF!="SI",Inicial!#REF!,"N/A")</f>
        <v>#REF!</v>
      </c>
      <c r="H34" s="64" t="e">
        <f>IF(Inicial!#REF!="SI",Inicial!#REF!,"N/A")</f>
        <v>#REF!</v>
      </c>
      <c r="I34" s="75" t="e">
        <f>IF(Inicial!#REF!="SI",Inicial!#REF!,"N/A")</f>
        <v>#REF!</v>
      </c>
      <c r="J34" s="87"/>
      <c r="K34" s="87"/>
      <c r="L34" s="87"/>
      <c r="M34" s="87"/>
      <c r="N34" s="87"/>
      <c r="O34" s="87"/>
      <c r="P34" s="87"/>
      <c r="Q34" s="87"/>
      <c r="R34" s="87"/>
    </row>
    <row r="35" spans="1:18">
      <c r="A35" s="63" t="e">
        <f>Inicial!#REF!</f>
        <v>#REF!</v>
      </c>
      <c r="B35" s="64" t="e">
        <f>Inicial!#REF!</f>
        <v>#REF!</v>
      </c>
      <c r="C35" s="64" t="e">
        <f>Inicial!#REF!</f>
        <v>#REF!</v>
      </c>
      <c r="D35" s="65" t="e">
        <f>Inicial!#REF!</f>
        <v>#REF!</v>
      </c>
      <c r="E35" s="63" t="e">
        <f>IF(Inicial!#REF!="SI",Inicial!#REF!,"N/A")</f>
        <v>#REF!</v>
      </c>
      <c r="F35" s="64" t="e">
        <f>IF(Inicial!#REF!="SI",Inicial!#REF!,"N/A")</f>
        <v>#REF!</v>
      </c>
      <c r="G35" s="64" t="e">
        <f>IF(Inicial!#REF!="SI",Inicial!#REF!,"N/A")</f>
        <v>#REF!</v>
      </c>
      <c r="H35" s="64" t="e">
        <f>IF(Inicial!#REF!="SI",Inicial!#REF!,"N/A")</f>
        <v>#REF!</v>
      </c>
      <c r="I35" s="75" t="e">
        <f>IF(Inicial!#REF!="SI",Inicial!#REF!,"N/A")</f>
        <v>#REF!</v>
      </c>
      <c r="J35" s="87"/>
      <c r="K35" s="87"/>
      <c r="L35" s="87"/>
      <c r="M35" s="87"/>
      <c r="N35" s="87"/>
      <c r="O35" s="87"/>
      <c r="P35" s="87"/>
      <c r="Q35" s="87"/>
      <c r="R35" s="87"/>
    </row>
    <row r="36" spans="1:18">
      <c r="A36" s="63" t="e">
        <f>Inicial!#REF!</f>
        <v>#REF!</v>
      </c>
      <c r="B36" s="64" t="e">
        <f>Inicial!#REF!</f>
        <v>#REF!</v>
      </c>
      <c r="C36" s="64" t="e">
        <f>Inicial!#REF!</f>
        <v>#REF!</v>
      </c>
      <c r="D36" s="65" t="e">
        <f>Inicial!#REF!</f>
        <v>#REF!</v>
      </c>
      <c r="E36" s="63" t="e">
        <f>IF(Inicial!#REF!="SI",Inicial!#REF!,"N/A")</f>
        <v>#REF!</v>
      </c>
      <c r="F36" s="64" t="e">
        <f>IF(Inicial!#REF!="SI",Inicial!#REF!,"N/A")</f>
        <v>#REF!</v>
      </c>
      <c r="G36" s="64" t="e">
        <f>IF(Inicial!#REF!="SI",Inicial!#REF!,"N/A")</f>
        <v>#REF!</v>
      </c>
      <c r="H36" s="64" t="e">
        <f>IF(Inicial!#REF!="SI",Inicial!#REF!,"N/A")</f>
        <v>#REF!</v>
      </c>
      <c r="I36" s="75" t="e">
        <f>IF(Inicial!#REF!="SI",Inicial!#REF!,"N/A")</f>
        <v>#REF!</v>
      </c>
      <c r="J36" s="87"/>
      <c r="K36" s="87"/>
      <c r="L36" s="87"/>
      <c r="M36" s="87"/>
      <c r="N36" s="87"/>
      <c r="O36" s="87"/>
      <c r="P36" s="87"/>
      <c r="Q36" s="87"/>
      <c r="R36" s="87"/>
    </row>
    <row r="37" spans="1:18">
      <c r="A37" s="63" t="e">
        <f>Inicial!#REF!</f>
        <v>#REF!</v>
      </c>
      <c r="B37" s="64" t="e">
        <f>Inicial!#REF!</f>
        <v>#REF!</v>
      </c>
      <c r="C37" s="64" t="e">
        <f>Inicial!#REF!</f>
        <v>#REF!</v>
      </c>
      <c r="D37" s="65" t="e">
        <f>Inicial!#REF!</f>
        <v>#REF!</v>
      </c>
      <c r="E37" s="63" t="e">
        <f>IF(Inicial!#REF!="SI",Inicial!#REF!,"N/A")</f>
        <v>#REF!</v>
      </c>
      <c r="F37" s="64" t="e">
        <f>IF(Inicial!#REF!="SI",Inicial!#REF!,"N/A")</f>
        <v>#REF!</v>
      </c>
      <c r="G37" s="64" t="e">
        <f>IF(Inicial!#REF!="SI",Inicial!#REF!,"N/A")</f>
        <v>#REF!</v>
      </c>
      <c r="H37" s="64" t="e">
        <f>IF(Inicial!#REF!="SI",Inicial!#REF!,"N/A")</f>
        <v>#REF!</v>
      </c>
      <c r="I37" s="75" t="e">
        <f>IF(Inicial!#REF!="SI",Inicial!#REF!,"N/A")</f>
        <v>#REF!</v>
      </c>
      <c r="J37" s="87"/>
      <c r="K37" s="87"/>
      <c r="L37" s="87"/>
      <c r="M37" s="87"/>
      <c r="N37" s="87"/>
      <c r="O37" s="87"/>
      <c r="P37" s="87"/>
      <c r="Q37" s="87"/>
      <c r="R37" s="87"/>
    </row>
    <row r="38" spans="1:18">
      <c r="A38" s="63" t="e">
        <f>Inicial!#REF!</f>
        <v>#REF!</v>
      </c>
      <c r="B38" s="64" t="e">
        <f>Inicial!#REF!</f>
        <v>#REF!</v>
      </c>
      <c r="C38" s="64" t="e">
        <f>Inicial!#REF!</f>
        <v>#REF!</v>
      </c>
      <c r="D38" s="65" t="e">
        <f>Inicial!#REF!</f>
        <v>#REF!</v>
      </c>
      <c r="E38" s="63" t="e">
        <f>IF(Inicial!#REF!="SI",Inicial!#REF!,"N/A")</f>
        <v>#REF!</v>
      </c>
      <c r="F38" s="64" t="e">
        <f>IF(Inicial!#REF!="SI",Inicial!#REF!,"N/A")</f>
        <v>#REF!</v>
      </c>
      <c r="G38" s="64" t="e">
        <f>IF(Inicial!#REF!="SI",Inicial!#REF!,"N/A")</f>
        <v>#REF!</v>
      </c>
      <c r="H38" s="64" t="e">
        <f>IF(Inicial!#REF!="SI",Inicial!#REF!,"N/A")</f>
        <v>#REF!</v>
      </c>
      <c r="I38" s="75" t="e">
        <f>IF(Inicial!#REF!="SI",Inicial!#REF!,"N/A")</f>
        <v>#REF!</v>
      </c>
      <c r="J38" s="87"/>
      <c r="K38" s="87"/>
      <c r="L38" s="87"/>
      <c r="M38" s="87"/>
      <c r="N38" s="87"/>
      <c r="O38" s="87"/>
      <c r="P38" s="87"/>
      <c r="Q38" s="87"/>
      <c r="R38" s="87"/>
    </row>
    <row r="39" spans="1:18">
      <c r="A39" s="63" t="e">
        <f>Inicial!#REF!</f>
        <v>#REF!</v>
      </c>
      <c r="B39" s="64" t="e">
        <f>Inicial!#REF!</f>
        <v>#REF!</v>
      </c>
      <c r="C39" s="64" t="e">
        <f>Inicial!#REF!</f>
        <v>#REF!</v>
      </c>
      <c r="D39" s="65" t="e">
        <f>Inicial!#REF!</f>
        <v>#REF!</v>
      </c>
      <c r="E39" s="63" t="e">
        <f>IF(Inicial!#REF!="SI",Inicial!#REF!,"N/A")</f>
        <v>#REF!</v>
      </c>
      <c r="F39" s="64" t="e">
        <f>IF(Inicial!#REF!="SI",Inicial!#REF!,"N/A")</f>
        <v>#REF!</v>
      </c>
      <c r="G39" s="64" t="e">
        <f>IF(Inicial!#REF!="SI",Inicial!#REF!,"N/A")</f>
        <v>#REF!</v>
      </c>
      <c r="H39" s="64" t="e">
        <f>IF(Inicial!#REF!="SI",Inicial!#REF!,"N/A")</f>
        <v>#REF!</v>
      </c>
      <c r="I39" s="75" t="e">
        <f>IF(Inicial!#REF!="SI",Inicial!#REF!,"N/A")</f>
        <v>#REF!</v>
      </c>
      <c r="J39" s="87"/>
      <c r="K39" s="87"/>
      <c r="L39" s="87"/>
      <c r="M39" s="87"/>
      <c r="N39" s="87"/>
      <c r="O39" s="87"/>
      <c r="P39" s="87"/>
      <c r="Q39" s="87"/>
      <c r="R39" s="87"/>
    </row>
    <row r="40" spans="1:18">
      <c r="A40" s="63" t="e">
        <f>Inicial!#REF!</f>
        <v>#REF!</v>
      </c>
      <c r="B40" s="64" t="e">
        <f>Inicial!#REF!</f>
        <v>#REF!</v>
      </c>
      <c r="C40" s="64" t="e">
        <f>Inicial!#REF!</f>
        <v>#REF!</v>
      </c>
      <c r="D40" s="65" t="e">
        <f>Inicial!#REF!</f>
        <v>#REF!</v>
      </c>
      <c r="E40" s="63" t="e">
        <f>IF(Inicial!#REF!="SI",Inicial!#REF!,"N/A")</f>
        <v>#REF!</v>
      </c>
      <c r="F40" s="64" t="e">
        <f>IF(Inicial!#REF!="SI",Inicial!#REF!,"N/A")</f>
        <v>#REF!</v>
      </c>
      <c r="G40" s="64" t="e">
        <f>IF(Inicial!#REF!="SI",Inicial!#REF!,"N/A")</f>
        <v>#REF!</v>
      </c>
      <c r="H40" s="64" t="e">
        <f>IF(Inicial!#REF!="SI",Inicial!#REF!,"N/A")</f>
        <v>#REF!</v>
      </c>
      <c r="I40" s="75" t="e">
        <f>IF(Inicial!#REF!="SI",Inicial!#REF!,"N/A")</f>
        <v>#REF!</v>
      </c>
      <c r="J40" s="87"/>
      <c r="K40" s="87"/>
      <c r="L40" s="87"/>
      <c r="M40" s="87"/>
      <c r="N40" s="87"/>
      <c r="O40" s="87"/>
      <c r="P40" s="87"/>
      <c r="Q40" s="87"/>
      <c r="R40" s="87"/>
    </row>
    <row r="41" spans="1:18">
      <c r="A41" s="63" t="e">
        <f>Inicial!#REF!</f>
        <v>#REF!</v>
      </c>
      <c r="B41" s="64" t="e">
        <f>Inicial!#REF!</f>
        <v>#REF!</v>
      </c>
      <c r="C41" s="64" t="e">
        <f>Inicial!#REF!</f>
        <v>#REF!</v>
      </c>
      <c r="D41" s="65" t="e">
        <f>Inicial!#REF!</f>
        <v>#REF!</v>
      </c>
      <c r="E41" s="63" t="e">
        <f>IF(Inicial!#REF!="SI",Inicial!#REF!,"N/A")</f>
        <v>#REF!</v>
      </c>
      <c r="F41" s="64" t="e">
        <f>IF(Inicial!#REF!="SI",Inicial!#REF!,"N/A")</f>
        <v>#REF!</v>
      </c>
      <c r="G41" s="64" t="e">
        <f>IF(Inicial!#REF!="SI",Inicial!#REF!,"N/A")</f>
        <v>#REF!</v>
      </c>
      <c r="H41" s="64" t="e">
        <f>IF(Inicial!#REF!="SI",Inicial!#REF!,"N/A")</f>
        <v>#REF!</v>
      </c>
      <c r="I41" s="75" t="e">
        <f>IF(Inicial!#REF!="SI",Inicial!#REF!,"N/A")</f>
        <v>#REF!</v>
      </c>
      <c r="J41" s="87"/>
      <c r="K41" s="87"/>
      <c r="L41" s="87"/>
      <c r="M41" s="87"/>
      <c r="N41" s="87"/>
      <c r="O41" s="87"/>
      <c r="P41" s="87"/>
      <c r="Q41" s="87"/>
      <c r="R41" s="87"/>
    </row>
    <row r="42" spans="1:18">
      <c r="A42" s="63" t="e">
        <f>Inicial!#REF!</f>
        <v>#REF!</v>
      </c>
      <c r="B42" s="64" t="e">
        <f>Inicial!#REF!</f>
        <v>#REF!</v>
      </c>
      <c r="C42" s="64" t="e">
        <f>Inicial!#REF!</f>
        <v>#REF!</v>
      </c>
      <c r="D42" s="65" t="e">
        <f>Inicial!#REF!</f>
        <v>#REF!</v>
      </c>
      <c r="E42" s="63" t="e">
        <f>IF(Inicial!#REF!="SI",Inicial!#REF!,"N/A")</f>
        <v>#REF!</v>
      </c>
      <c r="F42" s="64" t="e">
        <f>IF(Inicial!#REF!="SI",Inicial!#REF!,"N/A")</f>
        <v>#REF!</v>
      </c>
      <c r="G42" s="64" t="e">
        <f>IF(Inicial!#REF!="SI",Inicial!#REF!,"N/A")</f>
        <v>#REF!</v>
      </c>
      <c r="H42" s="64" t="e">
        <f>IF(Inicial!#REF!="SI",Inicial!#REF!,"N/A")</f>
        <v>#REF!</v>
      </c>
      <c r="I42" s="75" t="e">
        <f>IF(Inicial!#REF!="SI",Inicial!#REF!,"N/A")</f>
        <v>#REF!</v>
      </c>
      <c r="J42" s="87"/>
      <c r="K42" s="87"/>
      <c r="L42" s="87"/>
      <c r="M42" s="87"/>
      <c r="N42" s="87"/>
      <c r="O42" s="87"/>
      <c r="P42" s="87"/>
      <c r="Q42" s="87"/>
    </row>
    <row r="43" spans="1:18">
      <c r="A43" s="63" t="e">
        <f>Inicial!#REF!</f>
        <v>#REF!</v>
      </c>
      <c r="B43" s="64" t="e">
        <f>Inicial!#REF!</f>
        <v>#REF!</v>
      </c>
      <c r="C43" s="64" t="e">
        <f>Inicial!#REF!</f>
        <v>#REF!</v>
      </c>
      <c r="D43" s="65" t="e">
        <f>Inicial!#REF!</f>
        <v>#REF!</v>
      </c>
      <c r="E43" s="63" t="e">
        <f>IF(Inicial!#REF!="SI",Inicial!#REF!,"N/A")</f>
        <v>#REF!</v>
      </c>
      <c r="F43" s="64" t="e">
        <f>IF(Inicial!#REF!="SI",Inicial!#REF!,"N/A")</f>
        <v>#REF!</v>
      </c>
      <c r="G43" s="64" t="e">
        <f>IF(Inicial!#REF!="SI",Inicial!#REF!,"N/A")</f>
        <v>#REF!</v>
      </c>
      <c r="H43" s="64" t="e">
        <f>IF(Inicial!#REF!="SI",Inicial!#REF!,"N/A")</f>
        <v>#REF!</v>
      </c>
      <c r="I43" s="75" t="e">
        <f>IF(Inicial!#REF!="SI",Inicial!#REF!,"N/A")</f>
        <v>#REF!</v>
      </c>
      <c r="J43" s="87"/>
      <c r="K43" s="87"/>
      <c r="L43" s="87"/>
      <c r="M43" s="87"/>
      <c r="N43" s="87"/>
      <c r="O43" s="87"/>
      <c r="P43" s="87"/>
      <c r="Q43" s="87"/>
    </row>
    <row r="44" spans="1:18">
      <c r="A44" s="63" t="e">
        <f>Inicial!#REF!</f>
        <v>#REF!</v>
      </c>
      <c r="B44" s="64" t="e">
        <f>Inicial!#REF!</f>
        <v>#REF!</v>
      </c>
      <c r="C44" s="64" t="e">
        <f>Inicial!#REF!</f>
        <v>#REF!</v>
      </c>
      <c r="D44" s="65" t="e">
        <f>Inicial!#REF!</f>
        <v>#REF!</v>
      </c>
      <c r="E44" s="63" t="e">
        <f>IF(Inicial!#REF!="SI",Inicial!#REF!,"N/A")</f>
        <v>#REF!</v>
      </c>
      <c r="F44" s="64" t="e">
        <f>IF(Inicial!#REF!="SI",Inicial!#REF!,"N/A")</f>
        <v>#REF!</v>
      </c>
      <c r="G44" s="64" t="e">
        <f>IF(Inicial!#REF!="SI",Inicial!#REF!,"N/A")</f>
        <v>#REF!</v>
      </c>
      <c r="H44" s="64" t="e">
        <f>IF(Inicial!#REF!="SI",Inicial!#REF!,"N/A")</f>
        <v>#REF!</v>
      </c>
      <c r="I44" s="75" t="e">
        <f>IF(Inicial!#REF!="SI",Inicial!#REF!,"N/A")</f>
        <v>#REF!</v>
      </c>
      <c r="J44" s="87"/>
      <c r="K44" s="87"/>
      <c r="L44" s="87"/>
      <c r="M44" s="87"/>
      <c r="N44" s="87"/>
      <c r="O44" s="87"/>
      <c r="P44" s="87"/>
      <c r="Q44" s="87"/>
    </row>
    <row r="45" spans="1:18">
      <c r="A45" s="63" t="e">
        <f>Inicial!#REF!</f>
        <v>#REF!</v>
      </c>
      <c r="B45" s="64" t="e">
        <f>Inicial!#REF!</f>
        <v>#REF!</v>
      </c>
      <c r="C45" s="64" t="e">
        <f>Inicial!#REF!</f>
        <v>#REF!</v>
      </c>
      <c r="D45" s="65" t="e">
        <f>Inicial!#REF!</f>
        <v>#REF!</v>
      </c>
      <c r="E45" s="63" t="e">
        <f>IF(Inicial!#REF!="SI",Inicial!#REF!,"N/A")</f>
        <v>#REF!</v>
      </c>
      <c r="F45" s="64" t="e">
        <f>IF(Inicial!#REF!="SI",Inicial!#REF!,"N/A")</f>
        <v>#REF!</v>
      </c>
      <c r="G45" s="64" t="e">
        <f>IF(Inicial!#REF!="SI",Inicial!#REF!,"N/A")</f>
        <v>#REF!</v>
      </c>
      <c r="H45" s="64" t="e">
        <f>IF(Inicial!#REF!="SI",Inicial!#REF!,"N/A")</f>
        <v>#REF!</v>
      </c>
      <c r="I45" s="75" t="e">
        <f>IF(Inicial!#REF!="SI",Inicial!#REF!,"N/A")</f>
        <v>#REF!</v>
      </c>
      <c r="J45" s="87"/>
      <c r="K45" s="87"/>
      <c r="L45" s="87"/>
      <c r="M45" s="87"/>
      <c r="N45" s="87"/>
      <c r="O45" s="87"/>
      <c r="P45" s="87"/>
      <c r="Q45" s="87"/>
    </row>
    <row r="46" spans="1:18">
      <c r="A46" s="63" t="e">
        <f>Inicial!#REF!</f>
        <v>#REF!</v>
      </c>
      <c r="B46" s="64" t="e">
        <f>Inicial!#REF!</f>
        <v>#REF!</v>
      </c>
      <c r="C46" s="64" t="e">
        <f>Inicial!#REF!</f>
        <v>#REF!</v>
      </c>
      <c r="D46" s="65" t="e">
        <f>Inicial!#REF!</f>
        <v>#REF!</v>
      </c>
      <c r="E46" s="63" t="e">
        <f>IF(Inicial!#REF!="SI",Inicial!#REF!,"N/A")</f>
        <v>#REF!</v>
      </c>
      <c r="F46" s="64" t="e">
        <f>IF(Inicial!#REF!="SI",Inicial!#REF!,"N/A")</f>
        <v>#REF!</v>
      </c>
      <c r="G46" s="64" t="e">
        <f>IF(Inicial!#REF!="SI",Inicial!#REF!,"N/A")</f>
        <v>#REF!</v>
      </c>
      <c r="H46" s="64" t="e">
        <f>IF(Inicial!#REF!="SI",Inicial!#REF!,"N/A")</f>
        <v>#REF!</v>
      </c>
      <c r="I46" s="75" t="e">
        <f>IF(Inicial!#REF!="SI",Inicial!#REF!,"N/A")</f>
        <v>#REF!</v>
      </c>
      <c r="J46" s="87"/>
      <c r="K46" s="87"/>
      <c r="L46" s="87"/>
      <c r="M46" s="87"/>
      <c r="N46" s="87"/>
      <c r="O46" s="87"/>
      <c r="P46" s="87"/>
      <c r="Q46" s="87"/>
    </row>
    <row r="47" spans="1:18">
      <c r="A47" s="63" t="e">
        <f>Inicial!#REF!</f>
        <v>#REF!</v>
      </c>
      <c r="B47" s="64" t="e">
        <f>Inicial!#REF!</f>
        <v>#REF!</v>
      </c>
      <c r="C47" s="64" t="e">
        <f>Inicial!#REF!</f>
        <v>#REF!</v>
      </c>
      <c r="D47" s="65" t="e">
        <f>Inicial!#REF!</f>
        <v>#REF!</v>
      </c>
      <c r="E47" s="63" t="e">
        <f>IF(Inicial!#REF!="SI",Inicial!#REF!,"N/A")</f>
        <v>#REF!</v>
      </c>
      <c r="F47" s="64" t="e">
        <f>IF(Inicial!#REF!="SI",Inicial!#REF!,"N/A")</f>
        <v>#REF!</v>
      </c>
      <c r="G47" s="64" t="e">
        <f>IF(Inicial!#REF!="SI",Inicial!#REF!,"N/A")</f>
        <v>#REF!</v>
      </c>
      <c r="H47" s="64" t="e">
        <f>IF(Inicial!#REF!="SI",Inicial!#REF!,"N/A")</f>
        <v>#REF!</v>
      </c>
      <c r="I47" s="75" t="e">
        <f>IF(Inicial!#REF!="SI",Inicial!#REF!,"N/A")</f>
        <v>#REF!</v>
      </c>
      <c r="J47" s="87"/>
      <c r="K47" s="87"/>
      <c r="L47" s="87"/>
      <c r="M47" s="87"/>
      <c r="N47" s="87"/>
      <c r="O47" s="87"/>
      <c r="P47" s="87"/>
      <c r="Q47" s="87"/>
    </row>
    <row r="48" spans="1:18">
      <c r="A48" s="63">
        <f>Inicial!A10</f>
        <v>0</v>
      </c>
      <c r="B48" s="64">
        <f>Inicial!B10</f>
        <v>0</v>
      </c>
      <c r="C48" s="64">
        <f>Inicial!C10</f>
        <v>0</v>
      </c>
      <c r="D48" s="65">
        <f>Inicial!D10</f>
        <v>0</v>
      </c>
      <c r="E48" s="63" t="str">
        <f>IF(Inicial!P10="SI",Inicial!E10,"N/A")</f>
        <v>N/A</v>
      </c>
      <c r="F48" s="64" t="str">
        <f>IF(Inicial!P10="SI",Inicial!F10,"N/A")</f>
        <v>N/A</v>
      </c>
      <c r="G48" s="64" t="str">
        <f>IF(Inicial!P10="SI",Inicial!G10,"N/A")</f>
        <v>N/A</v>
      </c>
      <c r="H48" s="64" t="str">
        <f>IF(Inicial!P10="SI",Inicial!H10,"N/A")</f>
        <v>N/A</v>
      </c>
      <c r="I48" s="75" t="str">
        <f>IF(Inicial!P10="SI",Inicial!I10,"N/A")</f>
        <v>N/A</v>
      </c>
      <c r="J48" s="87"/>
      <c r="K48" s="87"/>
      <c r="L48" s="87"/>
      <c r="M48" s="87"/>
      <c r="N48" s="87"/>
      <c r="O48" s="87"/>
      <c r="P48" s="87"/>
      <c r="Q48" s="87"/>
    </row>
    <row r="49" spans="1:17">
      <c r="A49" s="63">
        <f>Inicial!A11</f>
        <v>0</v>
      </c>
      <c r="B49" s="64">
        <f>Inicial!B11</f>
        <v>0</v>
      </c>
      <c r="C49" s="64">
        <f>Inicial!C11</f>
        <v>0</v>
      </c>
      <c r="D49" s="65">
        <f>Inicial!D11</f>
        <v>0</v>
      </c>
      <c r="E49" s="63" t="str">
        <f>IF(Inicial!P11="SI",Inicial!E11,"N/A")</f>
        <v>N/A</v>
      </c>
      <c r="F49" s="64" t="str">
        <f>IF(Inicial!P11="SI",Inicial!F11,"N/A")</f>
        <v>N/A</v>
      </c>
      <c r="G49" s="64" t="str">
        <f>IF(Inicial!P11="SI",Inicial!G11,"N/A")</f>
        <v>N/A</v>
      </c>
      <c r="H49" s="64" t="str">
        <f>IF(Inicial!P11="SI",Inicial!H11,"N/A")</f>
        <v>N/A</v>
      </c>
      <c r="I49" s="75" t="str">
        <f>IF(Inicial!P11="SI",Inicial!I11,"N/A")</f>
        <v>N/A</v>
      </c>
      <c r="J49" s="87"/>
      <c r="K49" s="87"/>
      <c r="L49" s="87"/>
      <c r="M49" s="87"/>
      <c r="N49" s="87"/>
      <c r="O49" s="87"/>
      <c r="P49" s="87"/>
      <c r="Q49" s="87"/>
    </row>
    <row r="50" spans="1:17">
      <c r="A50" s="63">
        <f>Inicial!A12</f>
        <v>0</v>
      </c>
      <c r="B50" s="64">
        <f>Inicial!B12</f>
        <v>0</v>
      </c>
      <c r="C50" s="64">
        <f>Inicial!C12</f>
        <v>0</v>
      </c>
      <c r="D50" s="65">
        <f>Inicial!D12</f>
        <v>0</v>
      </c>
      <c r="E50" s="63" t="str">
        <f>IF(Inicial!P12="SI",Inicial!E12,"N/A")</f>
        <v>N/A</v>
      </c>
      <c r="F50" s="64" t="str">
        <f>IF(Inicial!P12="SI",Inicial!F12,"N/A")</f>
        <v>N/A</v>
      </c>
      <c r="G50" s="64" t="str">
        <f>IF(Inicial!P12="SI",Inicial!G12,"N/A")</f>
        <v>N/A</v>
      </c>
      <c r="H50" s="64" t="str">
        <f>IF(Inicial!P12="SI",Inicial!H12,"N/A")</f>
        <v>N/A</v>
      </c>
      <c r="I50" s="75" t="str">
        <f>IF(Inicial!P12="SI",Inicial!I12,"N/A")</f>
        <v>N/A</v>
      </c>
      <c r="J50" s="87"/>
      <c r="K50" s="87"/>
      <c r="L50" s="87"/>
      <c r="M50" s="87"/>
      <c r="N50" s="87"/>
      <c r="O50" s="87"/>
      <c r="P50" s="87"/>
      <c r="Q50" s="87"/>
    </row>
    <row r="51" spans="1:17">
      <c r="A51" s="63">
        <f>Inicial!A13</f>
        <v>0</v>
      </c>
      <c r="B51" s="64">
        <f>Inicial!B13</f>
        <v>0</v>
      </c>
      <c r="C51" s="64">
        <f>Inicial!C13</f>
        <v>0</v>
      </c>
      <c r="D51" s="65">
        <f>Inicial!D13</f>
        <v>0</v>
      </c>
      <c r="E51" s="63" t="str">
        <f>IF(Inicial!P13="SI",Inicial!E13,"N/A")</f>
        <v>N/A</v>
      </c>
      <c r="F51" s="64" t="str">
        <f>IF(Inicial!P13="SI",Inicial!F13,"N/A")</f>
        <v>N/A</v>
      </c>
      <c r="G51" s="64" t="str">
        <f>IF(Inicial!P13="SI",Inicial!G13,"N/A")</f>
        <v>N/A</v>
      </c>
      <c r="H51" s="64" t="str">
        <f>IF(Inicial!P13="SI",Inicial!H13,"N/A")</f>
        <v>N/A</v>
      </c>
      <c r="I51" s="75" t="str">
        <f>IF(Inicial!P13="SI",Inicial!I13,"N/A")</f>
        <v>N/A</v>
      </c>
      <c r="J51" s="87"/>
      <c r="K51" s="87"/>
      <c r="L51" s="87"/>
      <c r="M51" s="87"/>
      <c r="N51" s="87"/>
      <c r="O51" s="87"/>
      <c r="P51" s="87"/>
      <c r="Q51" s="87"/>
    </row>
    <row r="52" spans="1:17">
      <c r="A52" s="63">
        <f>Inicial!A14</f>
        <v>0</v>
      </c>
      <c r="B52" s="64">
        <f>Inicial!B14</f>
        <v>0</v>
      </c>
      <c r="C52" s="64">
        <f>Inicial!C14</f>
        <v>0</v>
      </c>
      <c r="D52" s="65">
        <f>Inicial!D14</f>
        <v>0</v>
      </c>
      <c r="E52" s="63" t="str">
        <f>IF(Inicial!P14="SI",Inicial!E14,"N/A")</f>
        <v>N/A</v>
      </c>
      <c r="F52" s="64" t="str">
        <f>IF(Inicial!P14="SI",Inicial!F14,"N/A")</f>
        <v>N/A</v>
      </c>
      <c r="G52" s="64" t="str">
        <f>IF(Inicial!P14="SI",Inicial!G14,"N/A")</f>
        <v>N/A</v>
      </c>
      <c r="H52" s="64" t="str">
        <f>IF(Inicial!P14="SI",Inicial!H14,"N/A")</f>
        <v>N/A</v>
      </c>
      <c r="I52" s="75" t="str">
        <f>IF(Inicial!P14="SI",Inicial!I14,"N/A")</f>
        <v>N/A</v>
      </c>
      <c r="J52" s="87"/>
      <c r="K52" s="87"/>
      <c r="L52" s="87"/>
      <c r="M52" s="87"/>
      <c r="N52" s="87"/>
      <c r="O52" s="87"/>
      <c r="P52" s="87"/>
      <c r="Q52" s="87"/>
    </row>
    <row r="53" spans="1:17">
      <c r="A53" s="63">
        <f>Inicial!A15</f>
        <v>0</v>
      </c>
      <c r="B53" s="64">
        <f>Inicial!B15</f>
        <v>0</v>
      </c>
      <c r="C53" s="64">
        <f>Inicial!C15</f>
        <v>0</v>
      </c>
      <c r="D53" s="65">
        <f>Inicial!D15</f>
        <v>0</v>
      </c>
      <c r="E53" s="63" t="str">
        <f>IF(Inicial!P15="SI",Inicial!E15,"N/A")</f>
        <v>N/A</v>
      </c>
      <c r="F53" s="64" t="str">
        <f>IF(Inicial!P15="SI",Inicial!F15,"N/A")</f>
        <v>N/A</v>
      </c>
      <c r="G53" s="64" t="str">
        <f>IF(Inicial!P15="SI",Inicial!G15,"N/A")</f>
        <v>N/A</v>
      </c>
      <c r="H53" s="64" t="str">
        <f>IF(Inicial!P15="SI",Inicial!H15,"N/A")</f>
        <v>N/A</v>
      </c>
      <c r="I53" s="75" t="str">
        <f>IF(Inicial!P15="SI",Inicial!I15,"N/A")</f>
        <v>N/A</v>
      </c>
      <c r="J53" s="87"/>
      <c r="K53" s="87"/>
      <c r="L53" s="87"/>
      <c r="M53" s="87"/>
      <c r="N53" s="87"/>
      <c r="O53" s="87"/>
      <c r="P53" s="87"/>
      <c r="Q53" s="87"/>
    </row>
    <row r="54" spans="1:17">
      <c r="A54" s="63">
        <f>Inicial!A16</f>
        <v>0</v>
      </c>
      <c r="B54" s="64">
        <f>Inicial!B16</f>
        <v>0</v>
      </c>
      <c r="C54" s="64">
        <f>Inicial!C16</f>
        <v>0</v>
      </c>
      <c r="D54" s="65">
        <f>Inicial!D16</f>
        <v>0</v>
      </c>
      <c r="E54" s="63" t="str">
        <f>IF(Inicial!P16="SI",Inicial!E16,"N/A")</f>
        <v>N/A</v>
      </c>
      <c r="F54" s="64" t="str">
        <f>IF(Inicial!P16="SI",Inicial!F16,"N/A")</f>
        <v>N/A</v>
      </c>
      <c r="G54" s="64" t="str">
        <f>IF(Inicial!P16="SI",Inicial!G16,"N/A")</f>
        <v>N/A</v>
      </c>
      <c r="H54" s="64" t="str">
        <f>IF(Inicial!P16="SI",Inicial!H16,"N/A")</f>
        <v>N/A</v>
      </c>
      <c r="I54" s="75" t="str">
        <f>IF(Inicial!P16="SI",Inicial!I16,"N/A")</f>
        <v>N/A</v>
      </c>
      <c r="J54" s="87"/>
      <c r="K54" s="87"/>
      <c r="L54" s="87"/>
      <c r="M54" s="87"/>
      <c r="N54" s="87"/>
      <c r="O54" s="87"/>
      <c r="P54" s="87"/>
      <c r="Q54" s="87"/>
    </row>
    <row r="55" spans="1:17">
      <c r="A55" s="63">
        <f>Inicial!A17</f>
        <v>0</v>
      </c>
      <c r="B55" s="64">
        <f>Inicial!B17</f>
        <v>0</v>
      </c>
      <c r="C55" s="64">
        <f>Inicial!C17</f>
        <v>0</v>
      </c>
      <c r="D55" s="65">
        <f>Inicial!D17</f>
        <v>0</v>
      </c>
      <c r="E55" s="63" t="str">
        <f>IF(Inicial!P17="SI",Inicial!E17,"N/A")</f>
        <v>N/A</v>
      </c>
      <c r="F55" s="64" t="str">
        <f>IF(Inicial!P17="SI",Inicial!F17,"N/A")</f>
        <v>N/A</v>
      </c>
      <c r="G55" s="64" t="str">
        <f>IF(Inicial!P17="SI",Inicial!G17,"N/A")</f>
        <v>N/A</v>
      </c>
      <c r="H55" s="64" t="str">
        <f>IF(Inicial!P17="SI",Inicial!H17,"N/A")</f>
        <v>N/A</v>
      </c>
      <c r="I55" s="75" t="str">
        <f>IF(Inicial!P17="SI",Inicial!I17,"N/A")</f>
        <v>N/A</v>
      </c>
      <c r="J55" s="87"/>
      <c r="K55" s="87"/>
      <c r="L55" s="87"/>
      <c r="M55" s="87"/>
      <c r="N55" s="87"/>
      <c r="O55" s="87"/>
      <c r="P55" s="87"/>
      <c r="Q55" s="87"/>
    </row>
    <row r="56" spans="1:17">
      <c r="A56" s="63">
        <f>Inicial!A18</f>
        <v>0</v>
      </c>
      <c r="B56" s="64">
        <f>Inicial!B18</f>
        <v>0</v>
      </c>
      <c r="C56" s="64">
        <f>Inicial!C18</f>
        <v>0</v>
      </c>
      <c r="D56" s="65">
        <f>Inicial!D18</f>
        <v>0</v>
      </c>
      <c r="E56" s="63" t="str">
        <f>IF(Inicial!P18="SI",Inicial!E18,"N/A")</f>
        <v>N/A</v>
      </c>
      <c r="F56" s="64" t="str">
        <f>IF(Inicial!P18="SI",Inicial!F18,"N/A")</f>
        <v>N/A</v>
      </c>
      <c r="G56" s="64" t="str">
        <f>IF(Inicial!P18="SI",Inicial!G18,"N/A")</f>
        <v>N/A</v>
      </c>
      <c r="H56" s="64" t="str">
        <f>IF(Inicial!P18="SI",Inicial!H18,"N/A")</f>
        <v>N/A</v>
      </c>
      <c r="I56" s="75" t="str">
        <f>IF(Inicial!P18="SI",Inicial!I18,"N/A")</f>
        <v>N/A</v>
      </c>
      <c r="J56" s="87"/>
      <c r="K56" s="87"/>
      <c r="L56" s="87"/>
      <c r="M56" s="87"/>
      <c r="N56" s="87"/>
      <c r="O56" s="87"/>
      <c r="P56" s="87"/>
      <c r="Q56" s="87"/>
    </row>
    <row r="57" spans="1:17">
      <c r="A57" s="63">
        <f>Inicial!A19</f>
        <v>0</v>
      </c>
      <c r="B57" s="64">
        <f>Inicial!B19</f>
        <v>0</v>
      </c>
      <c r="C57" s="64">
        <f>Inicial!C19</f>
        <v>0</v>
      </c>
      <c r="D57" s="65">
        <f>Inicial!D19</f>
        <v>0</v>
      </c>
      <c r="E57" s="63" t="str">
        <f>IF(Inicial!P19="SI",Inicial!E19,"N/A")</f>
        <v>N/A</v>
      </c>
      <c r="F57" s="64" t="str">
        <f>IF(Inicial!P19="SI",Inicial!F19,"N/A")</f>
        <v>N/A</v>
      </c>
      <c r="G57" s="64" t="str">
        <f>IF(Inicial!P19="SI",Inicial!G19,"N/A")</f>
        <v>N/A</v>
      </c>
      <c r="H57" s="64" t="str">
        <f>IF(Inicial!P19="SI",Inicial!H19,"N/A")</f>
        <v>N/A</v>
      </c>
      <c r="I57" s="75" t="str">
        <f>IF(Inicial!P19="SI",Inicial!I19,"N/A")</f>
        <v>N/A</v>
      </c>
      <c r="J57" s="87"/>
      <c r="K57" s="87"/>
      <c r="L57" s="87"/>
      <c r="M57" s="87"/>
      <c r="N57" s="87"/>
      <c r="O57" s="87"/>
      <c r="P57" s="87"/>
      <c r="Q57" s="87"/>
    </row>
    <row r="58" spans="1:17">
      <c r="A58" s="63">
        <f>Inicial!A20</f>
        <v>0</v>
      </c>
      <c r="B58" s="64">
        <f>Inicial!B20</f>
        <v>0</v>
      </c>
      <c r="C58" s="64">
        <f>Inicial!C20</f>
        <v>0</v>
      </c>
      <c r="D58" s="65">
        <f>Inicial!D20</f>
        <v>0</v>
      </c>
      <c r="E58" s="63" t="str">
        <f>IF(Inicial!P20="SI",Inicial!E20,"N/A")</f>
        <v>N/A</v>
      </c>
      <c r="F58" s="64" t="str">
        <f>IF(Inicial!P20="SI",Inicial!F20,"N/A")</f>
        <v>N/A</v>
      </c>
      <c r="G58" s="64" t="str">
        <f>IF(Inicial!P20="SI",Inicial!G20,"N/A")</f>
        <v>N/A</v>
      </c>
      <c r="H58" s="64" t="str">
        <f>IF(Inicial!P20="SI",Inicial!H20,"N/A")</f>
        <v>N/A</v>
      </c>
      <c r="I58" s="75" t="str">
        <f>IF(Inicial!P20="SI",Inicial!I20,"N/A")</f>
        <v>N/A</v>
      </c>
      <c r="J58" s="87"/>
      <c r="K58" s="87"/>
      <c r="L58" s="87"/>
      <c r="M58" s="87"/>
      <c r="N58" s="87"/>
      <c r="O58" s="87"/>
      <c r="P58" s="87"/>
      <c r="Q58" s="87"/>
    </row>
    <row r="59" spans="1:17">
      <c r="A59" s="63">
        <f>Inicial!A21</f>
        <v>0</v>
      </c>
      <c r="B59" s="64">
        <f>Inicial!B21</f>
        <v>0</v>
      </c>
      <c r="C59" s="64">
        <f>Inicial!C21</f>
        <v>0</v>
      </c>
      <c r="D59" s="65">
        <f>Inicial!D21</f>
        <v>0</v>
      </c>
      <c r="E59" s="63" t="str">
        <f>IF(Inicial!P21="SI",Inicial!E21,"N/A")</f>
        <v>N/A</v>
      </c>
      <c r="F59" s="64" t="str">
        <f>IF(Inicial!P21="SI",Inicial!F21,"N/A")</f>
        <v>N/A</v>
      </c>
      <c r="G59" s="64" t="str">
        <f>IF(Inicial!P21="SI",Inicial!G21,"N/A")</f>
        <v>N/A</v>
      </c>
      <c r="H59" s="64" t="str">
        <f>IF(Inicial!P21="SI",Inicial!H21,"N/A")</f>
        <v>N/A</v>
      </c>
      <c r="I59" s="75" t="str">
        <f>IF(Inicial!P21="SI",Inicial!I21,"N/A")</f>
        <v>N/A</v>
      </c>
      <c r="J59" s="87"/>
      <c r="K59" s="87"/>
      <c r="L59" s="87"/>
      <c r="M59" s="87"/>
      <c r="N59" s="87"/>
      <c r="O59" s="87"/>
      <c r="P59" s="87"/>
      <c r="Q59" s="87"/>
    </row>
    <row r="60" spans="1:17">
      <c r="A60" s="63">
        <f>Inicial!A22</f>
        <v>0</v>
      </c>
      <c r="B60" s="64">
        <f>Inicial!B22</f>
        <v>0</v>
      </c>
      <c r="C60" s="64">
        <f>Inicial!C22</f>
        <v>0</v>
      </c>
      <c r="D60" s="65">
        <f>Inicial!D22</f>
        <v>0</v>
      </c>
      <c r="E60" s="63" t="str">
        <f>IF(Inicial!P22="SI",Inicial!E22,"N/A")</f>
        <v>N/A</v>
      </c>
      <c r="F60" s="64" t="str">
        <f>IF(Inicial!P22="SI",Inicial!F22,"N/A")</f>
        <v>N/A</v>
      </c>
      <c r="G60" s="64" t="str">
        <f>IF(Inicial!P22="SI",Inicial!G22,"N/A")</f>
        <v>N/A</v>
      </c>
      <c r="H60" s="64" t="str">
        <f>IF(Inicial!P22="SI",Inicial!H22,"N/A")</f>
        <v>N/A</v>
      </c>
      <c r="I60" s="75" t="str">
        <f>IF(Inicial!P22="SI",Inicial!I22,"N/A")</f>
        <v>N/A</v>
      </c>
      <c r="J60" s="87"/>
      <c r="K60" s="87"/>
      <c r="L60" s="87"/>
      <c r="M60" s="87"/>
      <c r="N60" s="87"/>
      <c r="O60" s="87"/>
      <c r="P60" s="87"/>
      <c r="Q60" s="87"/>
    </row>
    <row r="61" spans="1:17">
      <c r="A61" s="63">
        <f>Inicial!A23</f>
        <v>0</v>
      </c>
      <c r="B61" s="64">
        <f>Inicial!B23</f>
        <v>0</v>
      </c>
      <c r="C61" s="64">
        <f>Inicial!C23</f>
        <v>0</v>
      </c>
      <c r="D61" s="65">
        <f>Inicial!D23</f>
        <v>0</v>
      </c>
      <c r="E61" s="63" t="str">
        <f>IF(Inicial!P23="SI",Inicial!E23,"N/A")</f>
        <v>N/A</v>
      </c>
      <c r="F61" s="64" t="str">
        <f>IF(Inicial!P23="SI",Inicial!F23,"N/A")</f>
        <v>N/A</v>
      </c>
      <c r="G61" s="64" t="str">
        <f>IF(Inicial!P23="SI",Inicial!G23,"N/A")</f>
        <v>N/A</v>
      </c>
      <c r="H61" s="64" t="str">
        <f>IF(Inicial!P23="SI",Inicial!H23,"N/A")</f>
        <v>N/A</v>
      </c>
      <c r="I61" s="75" t="str">
        <f>IF(Inicial!P23="SI",Inicial!I23,"N/A")</f>
        <v>N/A</v>
      </c>
      <c r="J61" s="87"/>
      <c r="K61" s="87"/>
      <c r="L61" s="87"/>
      <c r="M61" s="87"/>
      <c r="N61" s="87"/>
      <c r="O61" s="87"/>
      <c r="P61" s="87"/>
      <c r="Q61" s="87"/>
    </row>
    <row r="62" spans="1:17">
      <c r="A62" s="63">
        <f>Inicial!A24</f>
        <v>0</v>
      </c>
      <c r="B62" s="64">
        <f>Inicial!B24</f>
        <v>0</v>
      </c>
      <c r="C62" s="64">
        <f>Inicial!C24</f>
        <v>0</v>
      </c>
      <c r="D62" s="65">
        <f>Inicial!D24</f>
        <v>0</v>
      </c>
      <c r="E62" s="63" t="str">
        <f>IF(Inicial!P24="SI",Inicial!E24,"N/A")</f>
        <v>N/A</v>
      </c>
      <c r="F62" s="64" t="str">
        <f>IF(Inicial!P24="SI",Inicial!F24,"N/A")</f>
        <v>N/A</v>
      </c>
      <c r="G62" s="64" t="str">
        <f>IF(Inicial!P24="SI",Inicial!G24,"N/A")</f>
        <v>N/A</v>
      </c>
      <c r="H62" s="64" t="str">
        <f>IF(Inicial!P24="SI",Inicial!H24,"N/A")</f>
        <v>N/A</v>
      </c>
      <c r="I62" s="75" t="str">
        <f>IF(Inicial!P24="SI",Inicial!I24,"N/A")</f>
        <v>N/A</v>
      </c>
      <c r="J62" s="87"/>
      <c r="K62" s="87"/>
      <c r="L62" s="87"/>
      <c r="M62" s="87"/>
      <c r="N62" s="87"/>
      <c r="O62" s="87"/>
      <c r="P62" s="87"/>
      <c r="Q62" s="87"/>
    </row>
    <row r="63" spans="1:17">
      <c r="A63" s="63">
        <f>Inicial!A25</f>
        <v>0</v>
      </c>
      <c r="B63" s="64">
        <f>Inicial!B25</f>
        <v>0</v>
      </c>
      <c r="C63" s="64">
        <f>Inicial!C25</f>
        <v>0</v>
      </c>
      <c r="D63" s="65">
        <f>Inicial!D25</f>
        <v>0</v>
      </c>
      <c r="E63" s="63" t="str">
        <f>IF(Inicial!P25="SI",Inicial!E25,"N/A")</f>
        <v>N/A</v>
      </c>
      <c r="F63" s="64" t="str">
        <f>IF(Inicial!P25="SI",Inicial!F25,"N/A")</f>
        <v>N/A</v>
      </c>
      <c r="G63" s="64" t="str">
        <f>IF(Inicial!P25="SI",Inicial!G25,"N/A")</f>
        <v>N/A</v>
      </c>
      <c r="H63" s="64" t="str">
        <f>IF(Inicial!P25="SI",Inicial!H25,"N/A")</f>
        <v>N/A</v>
      </c>
      <c r="I63" s="75" t="str">
        <f>IF(Inicial!P25="SI",Inicial!I25,"N/A")</f>
        <v>N/A</v>
      </c>
      <c r="J63" s="87"/>
      <c r="K63" s="87"/>
      <c r="L63" s="87"/>
      <c r="M63" s="87"/>
      <c r="N63" s="87"/>
      <c r="O63" s="87"/>
      <c r="P63" s="87"/>
      <c r="Q63" s="87"/>
    </row>
    <row r="64" spans="1:17">
      <c r="A64" s="63">
        <f>Inicial!A26</f>
        <v>0</v>
      </c>
      <c r="B64" s="64">
        <f>Inicial!B26</f>
        <v>0</v>
      </c>
      <c r="C64" s="64">
        <f>Inicial!C26</f>
        <v>0</v>
      </c>
      <c r="D64" s="65">
        <f>Inicial!D26</f>
        <v>0</v>
      </c>
      <c r="E64" s="63" t="str">
        <f>IF(Inicial!P26="SI",Inicial!E26,"N/A")</f>
        <v>N/A</v>
      </c>
      <c r="F64" s="64" t="str">
        <f>IF(Inicial!P26="SI",Inicial!F26,"N/A")</f>
        <v>N/A</v>
      </c>
      <c r="G64" s="64" t="str">
        <f>IF(Inicial!P26="SI",Inicial!G26,"N/A")</f>
        <v>N/A</v>
      </c>
      <c r="H64" s="64" t="str">
        <f>IF(Inicial!P26="SI",Inicial!H26,"N/A")</f>
        <v>N/A</v>
      </c>
      <c r="I64" s="75" t="str">
        <f>IF(Inicial!P26="SI",Inicial!I26,"N/A")</f>
        <v>N/A</v>
      </c>
      <c r="J64" s="87"/>
      <c r="K64" s="87"/>
      <c r="L64" s="87"/>
      <c r="M64" s="87"/>
      <c r="N64" s="87"/>
      <c r="O64" s="87"/>
      <c r="P64" s="87"/>
      <c r="Q64" s="87"/>
    </row>
    <row r="65" spans="1:17">
      <c r="A65" s="63">
        <f>Inicial!A27</f>
        <v>0</v>
      </c>
      <c r="B65" s="64">
        <f>Inicial!B27</f>
        <v>0</v>
      </c>
      <c r="C65" s="64">
        <f>Inicial!C27</f>
        <v>0</v>
      </c>
      <c r="D65" s="65">
        <f>Inicial!D27</f>
        <v>0</v>
      </c>
      <c r="E65" s="63" t="str">
        <f>IF(Inicial!P27="SI",Inicial!E27,"N/A")</f>
        <v>N/A</v>
      </c>
      <c r="F65" s="64" t="str">
        <f>IF(Inicial!P27="SI",Inicial!F27,"N/A")</f>
        <v>N/A</v>
      </c>
      <c r="G65" s="64" t="str">
        <f>IF(Inicial!P27="SI",Inicial!G27,"N/A")</f>
        <v>N/A</v>
      </c>
      <c r="H65" s="64" t="str">
        <f>IF(Inicial!P27="SI",Inicial!H27,"N/A")</f>
        <v>N/A</v>
      </c>
      <c r="I65" s="75" t="str">
        <f>IF(Inicial!P27="SI",Inicial!I27,"N/A")</f>
        <v>N/A</v>
      </c>
      <c r="J65" s="87"/>
      <c r="K65" s="87"/>
      <c r="L65" s="87"/>
      <c r="M65" s="87"/>
      <c r="N65" s="87"/>
      <c r="O65" s="87"/>
      <c r="P65" s="87"/>
      <c r="Q65" s="87"/>
    </row>
    <row r="66" spans="1:17">
      <c r="A66" s="63">
        <f>Inicial!A28</f>
        <v>0</v>
      </c>
      <c r="B66" s="64">
        <f>Inicial!B28</f>
        <v>0</v>
      </c>
      <c r="C66" s="64">
        <f>Inicial!C28</f>
        <v>0</v>
      </c>
      <c r="D66" s="65">
        <f>Inicial!D28</f>
        <v>0</v>
      </c>
      <c r="E66" s="63" t="str">
        <f>IF(Inicial!P28="SI",Inicial!E28,"N/A")</f>
        <v>N/A</v>
      </c>
      <c r="F66" s="64" t="str">
        <f>IF(Inicial!P28="SI",Inicial!F28,"N/A")</f>
        <v>N/A</v>
      </c>
      <c r="G66" s="64" t="str">
        <f>IF(Inicial!P28="SI",Inicial!G28,"N/A")</f>
        <v>N/A</v>
      </c>
      <c r="H66" s="64" t="str">
        <f>IF(Inicial!P28="SI",Inicial!H28,"N/A")</f>
        <v>N/A</v>
      </c>
      <c r="I66" s="75" t="str">
        <f>IF(Inicial!P28="SI",Inicial!I28,"N/A")</f>
        <v>N/A</v>
      </c>
      <c r="J66" s="87"/>
      <c r="K66" s="87"/>
      <c r="L66" s="87"/>
      <c r="M66" s="87"/>
      <c r="N66" s="87"/>
      <c r="O66" s="87"/>
      <c r="P66" s="87"/>
      <c r="Q66" s="87"/>
    </row>
    <row r="67" spans="1:17">
      <c r="A67" s="63">
        <f>Inicial!A29</f>
        <v>0</v>
      </c>
      <c r="B67" s="64">
        <f>Inicial!B29</f>
        <v>0</v>
      </c>
      <c r="C67" s="64">
        <f>Inicial!C29</f>
        <v>0</v>
      </c>
      <c r="D67" s="65">
        <f>Inicial!D29</f>
        <v>0</v>
      </c>
      <c r="E67" s="63" t="str">
        <f>IF(Inicial!P29="SI",Inicial!E29,"N/A")</f>
        <v>N/A</v>
      </c>
      <c r="F67" s="64" t="str">
        <f>IF(Inicial!P29="SI",Inicial!F29,"N/A")</f>
        <v>N/A</v>
      </c>
      <c r="G67" s="64" t="str">
        <f>IF(Inicial!P29="SI",Inicial!G29,"N/A")</f>
        <v>N/A</v>
      </c>
      <c r="H67" s="64" t="str">
        <f>IF(Inicial!P29="SI",Inicial!H29,"N/A")</f>
        <v>N/A</v>
      </c>
      <c r="I67" s="75" t="str">
        <f>IF(Inicial!P29="SI",Inicial!I29,"N/A")</f>
        <v>N/A</v>
      </c>
      <c r="J67" s="87"/>
      <c r="K67" s="87"/>
      <c r="L67" s="87"/>
      <c r="M67" s="87"/>
      <c r="N67" s="87"/>
      <c r="O67" s="87"/>
      <c r="P67" s="87"/>
      <c r="Q67" s="87"/>
    </row>
    <row r="68" spans="1:17">
      <c r="A68" s="63">
        <f>Inicial!A30</f>
        <v>0</v>
      </c>
      <c r="B68" s="64">
        <f>Inicial!B30</f>
        <v>0</v>
      </c>
      <c r="C68" s="64">
        <f>Inicial!C30</f>
        <v>0</v>
      </c>
      <c r="D68" s="65">
        <f>Inicial!D30</f>
        <v>0</v>
      </c>
      <c r="E68" s="63" t="str">
        <f>IF(Inicial!P30="SI",Inicial!E30,"N/A")</f>
        <v>N/A</v>
      </c>
      <c r="F68" s="64" t="str">
        <f>IF(Inicial!P30="SI",Inicial!F30,"N/A")</f>
        <v>N/A</v>
      </c>
      <c r="G68" s="64" t="str">
        <f>IF(Inicial!P30="SI",Inicial!G30,"N/A")</f>
        <v>N/A</v>
      </c>
      <c r="H68" s="64" t="str">
        <f>IF(Inicial!P30="SI",Inicial!H30,"N/A")</f>
        <v>N/A</v>
      </c>
      <c r="I68" s="75" t="str">
        <f>IF(Inicial!P30="SI",Inicial!I30,"N/A")</f>
        <v>N/A</v>
      </c>
      <c r="J68" s="87"/>
      <c r="K68" s="87"/>
      <c r="L68" s="87"/>
      <c r="M68" s="87"/>
      <c r="N68" s="87"/>
      <c r="O68" s="87"/>
      <c r="P68" s="87"/>
      <c r="Q68" s="87"/>
    </row>
    <row r="69" spans="1:17">
      <c r="A69" s="63">
        <f>Inicial!A31</f>
        <v>0</v>
      </c>
      <c r="B69" s="64">
        <f>Inicial!B31</f>
        <v>0</v>
      </c>
      <c r="C69" s="64">
        <f>Inicial!C31</f>
        <v>0</v>
      </c>
      <c r="D69" s="65">
        <f>Inicial!D31</f>
        <v>0</v>
      </c>
      <c r="E69" s="63" t="str">
        <f>IF(Inicial!P31="SI",Inicial!E31,"N/A")</f>
        <v>N/A</v>
      </c>
      <c r="F69" s="64" t="str">
        <f>IF(Inicial!P31="SI",Inicial!F31,"N/A")</f>
        <v>N/A</v>
      </c>
      <c r="G69" s="64" t="str">
        <f>IF(Inicial!P31="SI",Inicial!G31,"N/A")</f>
        <v>N/A</v>
      </c>
      <c r="H69" s="64" t="str">
        <f>IF(Inicial!P31="SI",Inicial!H31,"N/A")</f>
        <v>N/A</v>
      </c>
      <c r="I69" s="75" t="str">
        <f>IF(Inicial!P31="SI",Inicial!I31,"N/A")</f>
        <v>N/A</v>
      </c>
      <c r="J69" s="87"/>
      <c r="K69" s="87"/>
      <c r="L69" s="87"/>
      <c r="M69" s="87"/>
      <c r="N69" s="87"/>
      <c r="O69" s="87"/>
      <c r="P69" s="87"/>
      <c r="Q69" s="87"/>
    </row>
    <row r="70" spans="1:17">
      <c r="A70" s="63">
        <f>Inicial!A32</f>
        <v>0</v>
      </c>
      <c r="B70" s="64">
        <f>Inicial!B32</f>
        <v>0</v>
      </c>
      <c r="C70" s="64">
        <f>Inicial!C32</f>
        <v>0</v>
      </c>
      <c r="D70" s="65">
        <f>Inicial!D32</f>
        <v>0</v>
      </c>
      <c r="E70" s="63" t="str">
        <f>IF(Inicial!P32="SI",Inicial!E32,"N/A")</f>
        <v>N/A</v>
      </c>
      <c r="F70" s="64" t="str">
        <f>IF(Inicial!P32="SI",Inicial!F32,"N/A")</f>
        <v>N/A</v>
      </c>
      <c r="G70" s="64" t="str">
        <f>IF(Inicial!P32="SI",Inicial!G32,"N/A")</f>
        <v>N/A</v>
      </c>
      <c r="H70" s="64" t="str">
        <f>IF(Inicial!P32="SI",Inicial!H32,"N/A")</f>
        <v>N/A</v>
      </c>
      <c r="I70" s="75" t="str">
        <f>IF(Inicial!P32="SI",Inicial!I32,"N/A")</f>
        <v>N/A</v>
      </c>
      <c r="J70" s="87"/>
      <c r="K70" s="87"/>
      <c r="L70" s="87"/>
      <c r="M70" s="87"/>
      <c r="N70" s="87"/>
      <c r="O70" s="87"/>
      <c r="P70" s="87"/>
      <c r="Q70" s="87"/>
    </row>
    <row r="71" spans="1:17">
      <c r="A71" s="63">
        <f>Inicial!A33</f>
        <v>0</v>
      </c>
      <c r="B71" s="64">
        <f>Inicial!B33</f>
        <v>0</v>
      </c>
      <c r="C71" s="64">
        <f>Inicial!C33</f>
        <v>0</v>
      </c>
      <c r="D71" s="65">
        <f>Inicial!D33</f>
        <v>0</v>
      </c>
      <c r="E71" s="63" t="str">
        <f>IF(Inicial!P33="SI",Inicial!E33,"N/A")</f>
        <v>N/A</v>
      </c>
      <c r="F71" s="64" t="str">
        <f>IF(Inicial!P33="SI",Inicial!F33,"N/A")</f>
        <v>N/A</v>
      </c>
      <c r="G71" s="64" t="str">
        <f>IF(Inicial!P33="SI",Inicial!G33,"N/A")</f>
        <v>N/A</v>
      </c>
      <c r="H71" s="64" t="str">
        <f>IF(Inicial!P33="SI",Inicial!H33,"N/A")</f>
        <v>N/A</v>
      </c>
      <c r="I71" s="75" t="str">
        <f>IF(Inicial!P33="SI",Inicial!I33,"N/A")</f>
        <v>N/A</v>
      </c>
      <c r="J71" s="87"/>
      <c r="K71" s="87"/>
      <c r="L71" s="87"/>
      <c r="M71" s="87"/>
      <c r="N71" s="87"/>
      <c r="O71" s="87"/>
      <c r="P71" s="87"/>
      <c r="Q71" s="87"/>
    </row>
    <row r="72" spans="1:17">
      <c r="A72" s="63">
        <f>Inicial!A34</f>
        <v>0</v>
      </c>
      <c r="B72" s="64">
        <f>Inicial!B34</f>
        <v>0</v>
      </c>
      <c r="C72" s="64">
        <f>Inicial!C34</f>
        <v>0</v>
      </c>
      <c r="D72" s="65">
        <f>Inicial!D34</f>
        <v>0</v>
      </c>
      <c r="E72" s="63" t="str">
        <f>IF(Inicial!P34="SI",Inicial!E34,"N/A")</f>
        <v>N/A</v>
      </c>
      <c r="F72" s="64" t="str">
        <f>IF(Inicial!P34="SI",Inicial!F34,"N/A")</f>
        <v>N/A</v>
      </c>
      <c r="G72" s="64" t="str">
        <f>IF(Inicial!P34="SI",Inicial!G34,"N/A")</f>
        <v>N/A</v>
      </c>
      <c r="H72" s="64" t="str">
        <f>IF(Inicial!P34="SI",Inicial!H34,"N/A")</f>
        <v>N/A</v>
      </c>
      <c r="I72" s="75" t="str">
        <f>IF(Inicial!P34="SI",Inicial!I34,"N/A")</f>
        <v>N/A</v>
      </c>
      <c r="J72" s="87"/>
      <c r="K72" s="87"/>
      <c r="L72" s="87"/>
      <c r="M72" s="87"/>
      <c r="N72" s="87"/>
      <c r="O72" s="87"/>
      <c r="P72" s="87"/>
      <c r="Q72" s="87"/>
    </row>
    <row r="73" spans="1:17">
      <c r="A73" s="63">
        <f>Inicial!A35</f>
        <v>0</v>
      </c>
      <c r="B73" s="64">
        <f>Inicial!B35</f>
        <v>0</v>
      </c>
      <c r="C73" s="64">
        <f>Inicial!C35</f>
        <v>0</v>
      </c>
      <c r="D73" s="65">
        <f>Inicial!D35</f>
        <v>0</v>
      </c>
      <c r="E73" s="63" t="str">
        <f>IF(Inicial!P35="SI",Inicial!E35,"N/A")</f>
        <v>N/A</v>
      </c>
      <c r="F73" s="64" t="str">
        <f>IF(Inicial!P35="SI",Inicial!F35,"N/A")</f>
        <v>N/A</v>
      </c>
      <c r="G73" s="64" t="str">
        <f>IF(Inicial!P35="SI",Inicial!G35,"N/A")</f>
        <v>N/A</v>
      </c>
      <c r="H73" s="64" t="str">
        <f>IF(Inicial!P35="SI",Inicial!H35,"N/A")</f>
        <v>N/A</v>
      </c>
      <c r="I73" s="75" t="str">
        <f>IF(Inicial!P35="SI",Inicial!I35,"N/A")</f>
        <v>N/A</v>
      </c>
      <c r="J73" s="87"/>
      <c r="K73" s="87"/>
      <c r="L73" s="87"/>
      <c r="M73" s="87"/>
      <c r="N73" s="87"/>
      <c r="O73" s="87"/>
      <c r="P73" s="87"/>
      <c r="Q73" s="87"/>
    </row>
    <row r="74" spans="1:17">
      <c r="A74" s="63">
        <f>Inicial!A36</f>
        <v>0</v>
      </c>
      <c r="B74" s="64">
        <f>Inicial!B36</f>
        <v>0</v>
      </c>
      <c r="C74" s="64">
        <f>Inicial!C36</f>
        <v>0</v>
      </c>
      <c r="D74" s="65">
        <f>Inicial!D36</f>
        <v>0</v>
      </c>
      <c r="E74" s="63" t="str">
        <f>IF(Inicial!P36="SI",Inicial!E36,"N/A")</f>
        <v>N/A</v>
      </c>
      <c r="F74" s="64" t="str">
        <f>IF(Inicial!P36="SI",Inicial!F36,"N/A")</f>
        <v>N/A</v>
      </c>
      <c r="G74" s="64" t="str">
        <f>IF(Inicial!P36="SI",Inicial!G36,"N/A")</f>
        <v>N/A</v>
      </c>
      <c r="H74" s="64" t="str">
        <f>IF(Inicial!P36="SI",Inicial!H36,"N/A")</f>
        <v>N/A</v>
      </c>
      <c r="I74" s="75" t="str">
        <f>IF(Inicial!P36="SI",Inicial!I36,"N/A")</f>
        <v>N/A</v>
      </c>
      <c r="J74" s="87"/>
      <c r="K74" s="87"/>
      <c r="L74" s="87"/>
      <c r="M74" s="87"/>
      <c r="N74" s="87"/>
      <c r="O74" s="87"/>
      <c r="P74" s="87"/>
      <c r="Q74" s="87"/>
    </row>
    <row r="75" spans="1:17">
      <c r="A75" s="63">
        <f>Inicial!A37</f>
        <v>0</v>
      </c>
      <c r="B75" s="64">
        <f>Inicial!B37</f>
        <v>0</v>
      </c>
      <c r="C75" s="64">
        <f>Inicial!C37</f>
        <v>0</v>
      </c>
      <c r="D75" s="65">
        <f>Inicial!D37</f>
        <v>0</v>
      </c>
      <c r="E75" s="63" t="str">
        <f>IF(Inicial!P37="SI",Inicial!E37,"N/A")</f>
        <v>N/A</v>
      </c>
      <c r="F75" s="64" t="str">
        <f>IF(Inicial!P37="SI",Inicial!F37,"N/A")</f>
        <v>N/A</v>
      </c>
      <c r="G75" s="64" t="str">
        <f>IF(Inicial!P37="SI",Inicial!G37,"N/A")</f>
        <v>N/A</v>
      </c>
      <c r="H75" s="64" t="str">
        <f>IF(Inicial!P37="SI",Inicial!H37,"N/A")</f>
        <v>N/A</v>
      </c>
      <c r="I75" s="75" t="str">
        <f>IF(Inicial!P37="SI",Inicial!I37,"N/A")</f>
        <v>N/A</v>
      </c>
      <c r="J75" s="87"/>
      <c r="K75" s="87"/>
      <c r="L75" s="87"/>
      <c r="M75" s="87"/>
      <c r="N75" s="87"/>
      <c r="O75" s="87"/>
      <c r="P75" s="87"/>
      <c r="Q75" s="87"/>
    </row>
    <row r="76" spans="1:17">
      <c r="A76" s="63">
        <f>Inicial!A38</f>
        <v>0</v>
      </c>
      <c r="B76" s="64">
        <f>Inicial!B38</f>
        <v>0</v>
      </c>
      <c r="C76" s="64">
        <f>Inicial!C38</f>
        <v>0</v>
      </c>
      <c r="D76" s="65">
        <f>Inicial!D38</f>
        <v>0</v>
      </c>
      <c r="E76" s="63" t="str">
        <f>IF(Inicial!P38="SI",Inicial!E38,"N/A")</f>
        <v>N/A</v>
      </c>
      <c r="F76" s="64" t="str">
        <f>IF(Inicial!P38="SI",Inicial!F38,"N/A")</f>
        <v>N/A</v>
      </c>
      <c r="G76" s="64" t="str">
        <f>IF(Inicial!P38="SI",Inicial!G38,"N/A")</f>
        <v>N/A</v>
      </c>
      <c r="H76" s="64" t="str">
        <f>IF(Inicial!P38="SI",Inicial!H38,"N/A")</f>
        <v>N/A</v>
      </c>
      <c r="I76" s="75" t="str">
        <f>IF(Inicial!P38="SI",Inicial!I38,"N/A")</f>
        <v>N/A</v>
      </c>
      <c r="J76" s="87"/>
      <c r="K76" s="87"/>
      <c r="L76" s="87"/>
      <c r="M76" s="87"/>
      <c r="N76" s="87"/>
      <c r="O76" s="87"/>
      <c r="P76" s="87"/>
      <c r="Q76" s="87"/>
    </row>
    <row r="77" spans="1:17">
      <c r="A77" s="63">
        <f>Inicial!A39</f>
        <v>0</v>
      </c>
      <c r="B77" s="64">
        <f>Inicial!B39</f>
        <v>0</v>
      </c>
      <c r="C77" s="64">
        <f>Inicial!C39</f>
        <v>0</v>
      </c>
      <c r="D77" s="65">
        <f>Inicial!D39</f>
        <v>0</v>
      </c>
      <c r="E77" s="63" t="str">
        <f>IF(Inicial!P39="SI",Inicial!E39,"N/A")</f>
        <v>N/A</v>
      </c>
      <c r="F77" s="64" t="str">
        <f>IF(Inicial!P39="SI",Inicial!F39,"N/A")</f>
        <v>N/A</v>
      </c>
      <c r="G77" s="64" t="str">
        <f>IF(Inicial!P39="SI",Inicial!G39,"N/A")</f>
        <v>N/A</v>
      </c>
      <c r="H77" s="64" t="str">
        <f>IF(Inicial!P39="SI",Inicial!H39,"N/A")</f>
        <v>N/A</v>
      </c>
      <c r="I77" s="75" t="str">
        <f>IF(Inicial!P39="SI",Inicial!I39,"N/A")</f>
        <v>N/A</v>
      </c>
      <c r="J77" s="87"/>
      <c r="K77" s="87"/>
      <c r="L77" s="87"/>
      <c r="M77" s="87"/>
      <c r="N77" s="87"/>
      <c r="O77" s="87"/>
      <c r="P77" s="87"/>
      <c r="Q77" s="87"/>
    </row>
    <row r="78" spans="1:17">
      <c r="A78" s="63">
        <f>Inicial!A40</f>
        <v>0</v>
      </c>
      <c r="B78" s="64">
        <f>Inicial!B40</f>
        <v>0</v>
      </c>
      <c r="C78" s="64">
        <f>Inicial!C40</f>
        <v>0</v>
      </c>
      <c r="D78" s="65">
        <f>Inicial!D40</f>
        <v>0</v>
      </c>
      <c r="E78" s="63" t="str">
        <f>IF(Inicial!P40="SI",Inicial!E40,"N/A")</f>
        <v>N/A</v>
      </c>
      <c r="F78" s="64" t="str">
        <f>IF(Inicial!P40="SI",Inicial!F40,"N/A")</f>
        <v>N/A</v>
      </c>
      <c r="G78" s="64" t="str">
        <f>IF(Inicial!P40="SI",Inicial!G40,"N/A")</f>
        <v>N/A</v>
      </c>
      <c r="H78" s="64" t="str">
        <f>IF(Inicial!P40="SI",Inicial!H40,"N/A")</f>
        <v>N/A</v>
      </c>
      <c r="I78" s="75" t="str">
        <f>IF(Inicial!P40="SI",Inicial!I40,"N/A")</f>
        <v>N/A</v>
      </c>
      <c r="J78" s="87"/>
      <c r="K78" s="87"/>
      <c r="L78" s="87"/>
      <c r="M78" s="87"/>
      <c r="N78" s="87"/>
      <c r="O78" s="87"/>
      <c r="P78" s="87"/>
      <c r="Q78" s="87"/>
    </row>
    <row r="79" spans="1:17">
      <c r="A79" s="63">
        <f>Inicial!A41</f>
        <v>0</v>
      </c>
      <c r="B79" s="64">
        <f>Inicial!B41</f>
        <v>0</v>
      </c>
      <c r="C79" s="64">
        <f>Inicial!C41</f>
        <v>0</v>
      </c>
      <c r="D79" s="65">
        <f>Inicial!D41</f>
        <v>0</v>
      </c>
      <c r="E79" s="63" t="str">
        <f>IF(Inicial!P41="SI",Inicial!E41,"N/A")</f>
        <v>N/A</v>
      </c>
      <c r="F79" s="64" t="str">
        <f>IF(Inicial!P41="SI",Inicial!F41,"N/A")</f>
        <v>N/A</v>
      </c>
      <c r="G79" s="64" t="str">
        <f>IF(Inicial!P41="SI",Inicial!G41,"N/A")</f>
        <v>N/A</v>
      </c>
      <c r="H79" s="64" t="str">
        <f>IF(Inicial!P41="SI",Inicial!H41,"N/A")</f>
        <v>N/A</v>
      </c>
      <c r="I79" s="75" t="str">
        <f>IF(Inicial!P41="SI",Inicial!I41,"N/A")</f>
        <v>N/A</v>
      </c>
      <c r="J79" s="87"/>
      <c r="K79" s="87"/>
      <c r="L79" s="87"/>
      <c r="M79" s="87"/>
      <c r="N79" s="87"/>
      <c r="O79" s="87"/>
      <c r="P79" s="87"/>
      <c r="Q79" s="87"/>
    </row>
    <row r="80" spans="1:17">
      <c r="A80" s="63">
        <f>Inicial!A42</f>
        <v>0</v>
      </c>
      <c r="B80" s="64">
        <f>Inicial!B42</f>
        <v>0</v>
      </c>
      <c r="C80" s="64">
        <f>Inicial!C42</f>
        <v>0</v>
      </c>
      <c r="D80" s="65">
        <f>Inicial!D42</f>
        <v>0</v>
      </c>
      <c r="E80" s="63" t="str">
        <f>IF(Inicial!P42="SI",Inicial!E42,"N/A")</f>
        <v>N/A</v>
      </c>
      <c r="F80" s="64" t="str">
        <f>IF(Inicial!P42="SI",Inicial!F42,"N/A")</f>
        <v>N/A</v>
      </c>
      <c r="G80" s="64" t="str">
        <f>IF(Inicial!P42="SI",Inicial!G42,"N/A")</f>
        <v>N/A</v>
      </c>
      <c r="H80" s="64" t="str">
        <f>IF(Inicial!P42="SI",Inicial!H42,"N/A")</f>
        <v>N/A</v>
      </c>
      <c r="I80" s="75" t="str">
        <f>IF(Inicial!P42="SI",Inicial!I42,"N/A")</f>
        <v>N/A</v>
      </c>
      <c r="J80" s="87"/>
      <c r="K80" s="87"/>
      <c r="L80" s="87"/>
      <c r="M80" s="87"/>
      <c r="N80" s="87"/>
      <c r="O80" s="87"/>
      <c r="P80" s="87"/>
      <c r="Q80" s="87"/>
    </row>
    <row r="81" spans="1:17">
      <c r="A81" s="63">
        <f>Inicial!A43</f>
        <v>0</v>
      </c>
      <c r="B81" s="64">
        <f>Inicial!B43</f>
        <v>0</v>
      </c>
      <c r="C81" s="64">
        <f>Inicial!C43</f>
        <v>0</v>
      </c>
      <c r="D81" s="65">
        <f>Inicial!D43</f>
        <v>0</v>
      </c>
      <c r="E81" s="63" t="str">
        <f>IF(Inicial!P43="SI",Inicial!E43,"N/A")</f>
        <v>N/A</v>
      </c>
      <c r="F81" s="64" t="str">
        <f>IF(Inicial!P43="SI",Inicial!F43,"N/A")</f>
        <v>N/A</v>
      </c>
      <c r="G81" s="64" t="str">
        <f>IF(Inicial!P43="SI",Inicial!G43,"N/A")</f>
        <v>N/A</v>
      </c>
      <c r="H81" s="64" t="str">
        <f>IF(Inicial!P43="SI",Inicial!H43,"N/A")</f>
        <v>N/A</v>
      </c>
      <c r="I81" s="75" t="str">
        <f>IF(Inicial!P43="SI",Inicial!I43,"N/A")</f>
        <v>N/A</v>
      </c>
      <c r="J81" s="87"/>
      <c r="K81" s="87"/>
      <c r="L81" s="87"/>
      <c r="M81" s="87"/>
      <c r="N81" s="87"/>
      <c r="O81" s="87"/>
      <c r="P81" s="87"/>
      <c r="Q81" s="87"/>
    </row>
    <row r="82" spans="1:17">
      <c r="A82" s="63">
        <f>Inicial!A44</f>
        <v>0</v>
      </c>
      <c r="B82" s="64">
        <f>Inicial!B44</f>
        <v>0</v>
      </c>
      <c r="C82" s="64">
        <f>Inicial!C44</f>
        <v>0</v>
      </c>
      <c r="D82" s="65">
        <f>Inicial!D44</f>
        <v>0</v>
      </c>
      <c r="E82" s="63" t="str">
        <f>IF(Inicial!P44="SI",Inicial!E44,"N/A")</f>
        <v>N/A</v>
      </c>
      <c r="F82" s="64" t="str">
        <f>IF(Inicial!P44="SI",Inicial!F44,"N/A")</f>
        <v>N/A</v>
      </c>
      <c r="G82" s="64" t="str">
        <f>IF(Inicial!P44="SI",Inicial!G44,"N/A")</f>
        <v>N/A</v>
      </c>
      <c r="H82" s="64" t="str">
        <f>IF(Inicial!P44="SI",Inicial!H44,"N/A")</f>
        <v>N/A</v>
      </c>
      <c r="I82" s="75" t="str">
        <f>IF(Inicial!P44="SI",Inicial!I44,"N/A")</f>
        <v>N/A</v>
      </c>
      <c r="J82" s="87"/>
      <c r="K82" s="87"/>
      <c r="L82" s="87"/>
      <c r="M82" s="87"/>
      <c r="N82" s="87"/>
      <c r="O82" s="87"/>
      <c r="P82" s="87"/>
      <c r="Q82" s="87"/>
    </row>
    <row r="83" spans="1:17">
      <c r="A83" s="63">
        <f>Inicial!A45</f>
        <v>0</v>
      </c>
      <c r="B83" s="64">
        <f>Inicial!B45</f>
        <v>0</v>
      </c>
      <c r="C83" s="64">
        <f>Inicial!C45</f>
        <v>0</v>
      </c>
      <c r="D83" s="65">
        <f>Inicial!D45</f>
        <v>0</v>
      </c>
      <c r="E83" s="63" t="str">
        <f>IF(Inicial!P45="SI",Inicial!E45,"N/A")</f>
        <v>N/A</v>
      </c>
      <c r="F83" s="64" t="str">
        <f>IF(Inicial!P45="SI",Inicial!F45,"N/A")</f>
        <v>N/A</v>
      </c>
      <c r="G83" s="64" t="str">
        <f>IF(Inicial!P45="SI",Inicial!G45,"N/A")</f>
        <v>N/A</v>
      </c>
      <c r="H83" s="64" t="str">
        <f>IF(Inicial!P45="SI",Inicial!H45,"N/A")</f>
        <v>N/A</v>
      </c>
      <c r="I83" s="75" t="str">
        <f>IF(Inicial!P45="SI",Inicial!I45,"N/A")</f>
        <v>N/A</v>
      </c>
      <c r="J83" s="87"/>
      <c r="K83" s="87"/>
      <c r="L83" s="87"/>
      <c r="M83" s="87"/>
      <c r="N83" s="87"/>
      <c r="O83" s="87"/>
      <c r="P83" s="87"/>
      <c r="Q83" s="87"/>
    </row>
    <row r="84" spans="1:17">
      <c r="A84" s="63">
        <f>Inicial!A46</f>
        <v>0</v>
      </c>
      <c r="B84" s="64">
        <f>Inicial!B46</f>
        <v>0</v>
      </c>
      <c r="C84" s="64">
        <f>Inicial!C46</f>
        <v>0</v>
      </c>
      <c r="D84" s="65">
        <f>Inicial!D46</f>
        <v>0</v>
      </c>
      <c r="E84" s="63" t="str">
        <f>IF(Inicial!P46="SI",Inicial!E46,"N/A")</f>
        <v>N/A</v>
      </c>
      <c r="F84" s="64" t="str">
        <f>IF(Inicial!P46="SI",Inicial!F46,"N/A")</f>
        <v>N/A</v>
      </c>
      <c r="G84" s="64" t="str">
        <f>IF(Inicial!P46="SI",Inicial!G46,"N/A")</f>
        <v>N/A</v>
      </c>
      <c r="H84" s="64" t="str">
        <f>IF(Inicial!P46="SI",Inicial!H46,"N/A")</f>
        <v>N/A</v>
      </c>
      <c r="I84" s="75" t="str">
        <f>IF(Inicial!P46="SI",Inicial!I46,"N/A")</f>
        <v>N/A</v>
      </c>
      <c r="J84" s="87"/>
      <c r="K84" s="87"/>
      <c r="L84" s="87"/>
      <c r="M84" s="87"/>
      <c r="N84" s="87"/>
      <c r="O84" s="87"/>
      <c r="P84" s="87"/>
      <c r="Q84" s="87"/>
    </row>
    <row r="85" spans="1:17">
      <c r="A85" s="63">
        <f>Inicial!A47</f>
        <v>0</v>
      </c>
      <c r="B85" s="64">
        <f>Inicial!B47</f>
        <v>0</v>
      </c>
      <c r="C85" s="64">
        <f>Inicial!C47</f>
        <v>0</v>
      </c>
      <c r="D85" s="65">
        <f>Inicial!D47</f>
        <v>0</v>
      </c>
      <c r="E85" s="63" t="str">
        <f>IF(Inicial!P47="SI",Inicial!E47,"N/A")</f>
        <v>N/A</v>
      </c>
      <c r="F85" s="64" t="str">
        <f>IF(Inicial!P47="SI",Inicial!F47,"N/A")</f>
        <v>N/A</v>
      </c>
      <c r="G85" s="64" t="str">
        <f>IF(Inicial!P47="SI",Inicial!G47,"N/A")</f>
        <v>N/A</v>
      </c>
      <c r="H85" s="64" t="str">
        <f>IF(Inicial!P47="SI",Inicial!H47,"N/A")</f>
        <v>N/A</v>
      </c>
      <c r="I85" s="75" t="str">
        <f>IF(Inicial!P47="SI",Inicial!I47,"N/A")</f>
        <v>N/A</v>
      </c>
      <c r="J85" s="87"/>
      <c r="K85" s="87"/>
      <c r="L85" s="87"/>
      <c r="M85" s="87"/>
      <c r="N85" s="87"/>
      <c r="O85" s="87"/>
      <c r="P85" s="87"/>
      <c r="Q85" s="87"/>
    </row>
    <row r="86" spans="1:17">
      <c r="A86" s="63">
        <f>Inicial!A48</f>
        <v>0</v>
      </c>
      <c r="B86" s="64">
        <f>Inicial!B48</f>
        <v>0</v>
      </c>
      <c r="C86" s="64">
        <f>Inicial!C48</f>
        <v>0</v>
      </c>
      <c r="D86" s="65">
        <f>Inicial!D48</f>
        <v>0</v>
      </c>
      <c r="E86" s="63" t="str">
        <f>IF(Inicial!P48="SI",Inicial!E48,"N/A")</f>
        <v>N/A</v>
      </c>
      <c r="F86" s="64" t="str">
        <f>IF(Inicial!P48="SI",Inicial!F48,"N/A")</f>
        <v>N/A</v>
      </c>
      <c r="G86" s="64" t="str">
        <f>IF(Inicial!P48="SI",Inicial!G48,"N/A")</f>
        <v>N/A</v>
      </c>
      <c r="H86" s="64" t="str">
        <f>IF(Inicial!P48="SI",Inicial!H48,"N/A")</f>
        <v>N/A</v>
      </c>
      <c r="I86" s="75" t="str">
        <f>IF(Inicial!P48="SI",Inicial!I48,"N/A")</f>
        <v>N/A</v>
      </c>
      <c r="J86" s="87"/>
      <c r="K86" s="87"/>
      <c r="L86" s="87"/>
      <c r="M86" s="87"/>
      <c r="N86" s="87"/>
      <c r="O86" s="87"/>
      <c r="P86" s="87"/>
      <c r="Q86" s="87"/>
    </row>
    <row r="87" spans="1:17">
      <c r="A87" s="63">
        <f>Inicial!A49</f>
        <v>0</v>
      </c>
      <c r="B87" s="64">
        <f>Inicial!B49</f>
        <v>0</v>
      </c>
      <c r="C87" s="64">
        <f>Inicial!C49</f>
        <v>0</v>
      </c>
      <c r="D87" s="65">
        <f>Inicial!D49</f>
        <v>0</v>
      </c>
      <c r="E87" s="63" t="str">
        <f>IF(Inicial!P49="SI",Inicial!E49,"N/A")</f>
        <v>N/A</v>
      </c>
      <c r="F87" s="64" t="str">
        <f>IF(Inicial!P49="SI",Inicial!F49,"N/A")</f>
        <v>N/A</v>
      </c>
      <c r="G87" s="64" t="str">
        <f>IF(Inicial!P49="SI",Inicial!G49,"N/A")</f>
        <v>N/A</v>
      </c>
      <c r="H87" s="64" t="str">
        <f>IF(Inicial!P49="SI",Inicial!H49,"N/A")</f>
        <v>N/A</v>
      </c>
      <c r="I87" s="75" t="str">
        <f>IF(Inicial!P49="SI",Inicial!I49,"N/A")</f>
        <v>N/A</v>
      </c>
      <c r="J87" s="87"/>
      <c r="K87" s="87"/>
      <c r="L87" s="87"/>
      <c r="M87" s="87"/>
      <c r="N87" s="87"/>
      <c r="O87" s="87"/>
      <c r="P87" s="87"/>
      <c r="Q87" s="87"/>
    </row>
    <row r="88" spans="1:17">
      <c r="A88" s="63">
        <f>Inicial!A50</f>
        <v>0</v>
      </c>
      <c r="B88" s="64">
        <f>Inicial!B50</f>
        <v>0</v>
      </c>
      <c r="C88" s="64">
        <f>Inicial!C50</f>
        <v>0</v>
      </c>
      <c r="D88" s="65">
        <f>Inicial!D50</f>
        <v>0</v>
      </c>
      <c r="E88" s="63" t="str">
        <f>IF(Inicial!P50="SI",Inicial!E50,"N/A")</f>
        <v>N/A</v>
      </c>
      <c r="F88" s="64" t="str">
        <f>IF(Inicial!P50="SI",Inicial!F50,"N/A")</f>
        <v>N/A</v>
      </c>
      <c r="G88" s="64" t="str">
        <f>IF(Inicial!P50="SI",Inicial!G50,"N/A")</f>
        <v>N/A</v>
      </c>
      <c r="H88" s="64" t="str">
        <f>IF(Inicial!P50="SI",Inicial!H50,"N/A")</f>
        <v>N/A</v>
      </c>
      <c r="I88" s="75" t="str">
        <f>IF(Inicial!P50="SI",Inicial!I50,"N/A")</f>
        <v>N/A</v>
      </c>
      <c r="J88" s="87"/>
      <c r="K88" s="87"/>
      <c r="L88" s="87"/>
      <c r="M88" s="87"/>
      <c r="N88" s="87"/>
      <c r="O88" s="87"/>
      <c r="P88" s="87"/>
      <c r="Q88" s="87"/>
    </row>
    <row r="89" spans="1:17">
      <c r="A89" s="63">
        <f>Inicial!A51</f>
        <v>0</v>
      </c>
      <c r="B89" s="64">
        <f>Inicial!B51</f>
        <v>0</v>
      </c>
      <c r="C89" s="64">
        <f>Inicial!C51</f>
        <v>0</v>
      </c>
      <c r="D89" s="65">
        <f>Inicial!D51</f>
        <v>0</v>
      </c>
      <c r="E89" s="63" t="str">
        <f>IF(Inicial!P51="SI",Inicial!E51,"N/A")</f>
        <v>N/A</v>
      </c>
      <c r="F89" s="64" t="str">
        <f>IF(Inicial!P51="SI",Inicial!F51,"N/A")</f>
        <v>N/A</v>
      </c>
      <c r="G89" s="64" t="str">
        <f>IF(Inicial!P51="SI",Inicial!G51,"N/A")</f>
        <v>N/A</v>
      </c>
      <c r="H89" s="64" t="str">
        <f>IF(Inicial!P51="SI",Inicial!H51,"N/A")</f>
        <v>N/A</v>
      </c>
      <c r="I89" s="75" t="str">
        <f>IF(Inicial!P51="SI",Inicial!I51,"N/A")</f>
        <v>N/A</v>
      </c>
      <c r="J89" s="87"/>
      <c r="K89" s="87"/>
      <c r="L89" s="87"/>
      <c r="M89" s="87"/>
      <c r="N89" s="87"/>
      <c r="O89" s="87"/>
      <c r="P89" s="87"/>
      <c r="Q89" s="87"/>
    </row>
    <row r="90" spans="1:17">
      <c r="A90" s="63">
        <f>Inicial!A52</f>
        <v>0</v>
      </c>
      <c r="B90" s="64">
        <f>Inicial!B52</f>
        <v>0</v>
      </c>
      <c r="C90" s="64">
        <f>Inicial!C52</f>
        <v>0</v>
      </c>
      <c r="D90" s="65">
        <f>Inicial!D52</f>
        <v>0</v>
      </c>
      <c r="E90" s="63" t="str">
        <f>IF(Inicial!P52="SI",Inicial!E52,"N/A")</f>
        <v>N/A</v>
      </c>
      <c r="F90" s="64" t="str">
        <f>IF(Inicial!P52="SI",Inicial!F52,"N/A")</f>
        <v>N/A</v>
      </c>
      <c r="G90" s="64" t="str">
        <f>IF(Inicial!P52="SI",Inicial!G52,"N/A")</f>
        <v>N/A</v>
      </c>
      <c r="H90" s="64" t="str">
        <f>IF(Inicial!P52="SI",Inicial!H52,"N/A")</f>
        <v>N/A</v>
      </c>
      <c r="I90" s="75" t="str">
        <f>IF(Inicial!P52="SI",Inicial!I52,"N/A")</f>
        <v>N/A</v>
      </c>
      <c r="J90" s="87"/>
      <c r="K90" s="87"/>
      <c r="L90" s="87"/>
      <c r="M90" s="87"/>
      <c r="N90" s="87"/>
      <c r="O90" s="87"/>
      <c r="P90" s="87"/>
      <c r="Q90" s="87"/>
    </row>
    <row r="91" spans="1:17">
      <c r="A91" s="63">
        <f>Inicial!A53</f>
        <v>0</v>
      </c>
      <c r="B91" s="64">
        <f>Inicial!B53</f>
        <v>0</v>
      </c>
      <c r="C91" s="64">
        <f>Inicial!C53</f>
        <v>0</v>
      </c>
      <c r="D91" s="65">
        <f>Inicial!D53</f>
        <v>0</v>
      </c>
      <c r="E91" s="63" t="str">
        <f>IF(Inicial!P53="SI",Inicial!E53,"N/A")</f>
        <v>N/A</v>
      </c>
      <c r="F91" s="64" t="str">
        <f>IF(Inicial!P53="SI",Inicial!F53,"N/A")</f>
        <v>N/A</v>
      </c>
      <c r="G91" s="64" t="str">
        <f>IF(Inicial!P53="SI",Inicial!G53,"N/A")</f>
        <v>N/A</v>
      </c>
      <c r="H91" s="64" t="str">
        <f>IF(Inicial!P53="SI",Inicial!H53,"N/A")</f>
        <v>N/A</v>
      </c>
      <c r="I91" s="75" t="str">
        <f>IF(Inicial!P53="SI",Inicial!I53,"N/A")</f>
        <v>N/A</v>
      </c>
      <c r="J91" s="87"/>
      <c r="K91" s="87"/>
      <c r="L91" s="87"/>
      <c r="M91" s="87"/>
      <c r="N91" s="87"/>
      <c r="O91" s="87"/>
      <c r="P91" s="87"/>
      <c r="Q91" s="87"/>
    </row>
    <row r="92" spans="1:17">
      <c r="A92" s="63">
        <f>Inicial!A54</f>
        <v>0</v>
      </c>
      <c r="B92" s="64">
        <f>Inicial!B54</f>
        <v>0</v>
      </c>
      <c r="C92" s="64">
        <f>Inicial!C54</f>
        <v>0</v>
      </c>
      <c r="D92" s="65">
        <f>Inicial!D54</f>
        <v>0</v>
      </c>
      <c r="E92" s="63" t="str">
        <f>IF(Inicial!P54="SI",Inicial!E54,"N/A")</f>
        <v>N/A</v>
      </c>
      <c r="F92" s="64" t="str">
        <f>IF(Inicial!P54="SI",Inicial!F54,"N/A")</f>
        <v>N/A</v>
      </c>
      <c r="G92" s="64" t="str">
        <f>IF(Inicial!P54="SI",Inicial!G54,"N/A")</f>
        <v>N/A</v>
      </c>
      <c r="H92" s="64" t="str">
        <f>IF(Inicial!P54="SI",Inicial!H54,"N/A")</f>
        <v>N/A</v>
      </c>
      <c r="I92" s="75" t="str">
        <f>IF(Inicial!P54="SI",Inicial!I54,"N/A")</f>
        <v>N/A</v>
      </c>
      <c r="J92" s="87"/>
      <c r="K92" s="87"/>
      <c r="L92" s="87"/>
      <c r="M92" s="87"/>
      <c r="N92" s="87"/>
      <c r="O92" s="87"/>
      <c r="P92" s="87"/>
      <c r="Q92" s="87"/>
    </row>
    <row r="93" spans="1:17">
      <c r="A93" s="63">
        <f>Inicial!A55</f>
        <v>0</v>
      </c>
      <c r="B93" s="64">
        <f>Inicial!B55</f>
        <v>0</v>
      </c>
      <c r="C93" s="64">
        <f>Inicial!C55</f>
        <v>0</v>
      </c>
      <c r="D93" s="65">
        <f>Inicial!D55</f>
        <v>0</v>
      </c>
      <c r="E93" s="63" t="str">
        <f>IF(Inicial!P55="SI",Inicial!E55,"N/A")</f>
        <v>N/A</v>
      </c>
      <c r="F93" s="64" t="str">
        <f>IF(Inicial!P55="SI",Inicial!F55,"N/A")</f>
        <v>N/A</v>
      </c>
      <c r="G93" s="64" t="str">
        <f>IF(Inicial!P55="SI",Inicial!G55,"N/A")</f>
        <v>N/A</v>
      </c>
      <c r="H93" s="64" t="str">
        <f>IF(Inicial!P55="SI",Inicial!H55,"N/A")</f>
        <v>N/A</v>
      </c>
      <c r="I93" s="75" t="str">
        <f>IF(Inicial!P55="SI",Inicial!I55,"N/A")</f>
        <v>N/A</v>
      </c>
      <c r="J93" s="87"/>
      <c r="K93" s="87"/>
      <c r="L93" s="87"/>
      <c r="M93" s="87"/>
      <c r="N93" s="87"/>
      <c r="O93" s="87"/>
      <c r="P93" s="87"/>
      <c r="Q93" s="87"/>
    </row>
    <row r="94" spans="1:17">
      <c r="A94" s="63">
        <f>Inicial!A56</f>
        <v>0</v>
      </c>
      <c r="B94" s="64">
        <f>Inicial!B56</f>
        <v>0</v>
      </c>
      <c r="C94" s="64">
        <f>Inicial!C56</f>
        <v>0</v>
      </c>
      <c r="D94" s="65">
        <f>Inicial!D56</f>
        <v>0</v>
      </c>
      <c r="E94" s="63" t="str">
        <f>IF(Inicial!P56="SI",Inicial!E56,"N/A")</f>
        <v>N/A</v>
      </c>
      <c r="F94" s="64" t="str">
        <f>IF(Inicial!P56="SI",Inicial!F56,"N/A")</f>
        <v>N/A</v>
      </c>
      <c r="G94" s="64" t="str">
        <f>IF(Inicial!P56="SI",Inicial!G56,"N/A")</f>
        <v>N/A</v>
      </c>
      <c r="H94" s="64" t="str">
        <f>IF(Inicial!P56="SI",Inicial!H56,"N/A")</f>
        <v>N/A</v>
      </c>
      <c r="I94" s="75" t="str">
        <f>IF(Inicial!P56="SI",Inicial!I56,"N/A")</f>
        <v>N/A</v>
      </c>
      <c r="J94" s="87"/>
      <c r="K94" s="87"/>
      <c r="L94" s="87"/>
      <c r="M94" s="87"/>
      <c r="N94" s="87"/>
      <c r="O94" s="87"/>
      <c r="P94" s="87"/>
      <c r="Q94" s="87"/>
    </row>
    <row r="95" spans="1:17">
      <c r="A95" s="63">
        <f>Inicial!A57</f>
        <v>0</v>
      </c>
      <c r="B95" s="64">
        <f>Inicial!B57</f>
        <v>0</v>
      </c>
      <c r="C95" s="64">
        <f>Inicial!C57</f>
        <v>0</v>
      </c>
      <c r="D95" s="65">
        <f>Inicial!D57</f>
        <v>0</v>
      </c>
      <c r="E95" s="63" t="str">
        <f>IF(Inicial!P57="SI",Inicial!E57,"N/A")</f>
        <v>N/A</v>
      </c>
      <c r="F95" s="64" t="str">
        <f>IF(Inicial!P57="SI",Inicial!F57,"N/A")</f>
        <v>N/A</v>
      </c>
      <c r="G95" s="64" t="str">
        <f>IF(Inicial!P57="SI",Inicial!G57,"N/A")</f>
        <v>N/A</v>
      </c>
      <c r="H95" s="64" t="str">
        <f>IF(Inicial!P57="SI",Inicial!H57,"N/A")</f>
        <v>N/A</v>
      </c>
      <c r="I95" s="75" t="str">
        <f>IF(Inicial!P57="SI",Inicial!I57,"N/A")</f>
        <v>N/A</v>
      </c>
      <c r="J95" s="87"/>
      <c r="K95" s="87"/>
      <c r="L95" s="87"/>
      <c r="M95" s="87"/>
      <c r="N95" s="87"/>
      <c r="O95" s="87"/>
      <c r="P95" s="87"/>
      <c r="Q95" s="87"/>
    </row>
    <row r="96" spans="1:17">
      <c r="A96" s="63">
        <f>Inicial!A58</f>
        <v>0</v>
      </c>
      <c r="B96" s="64">
        <f>Inicial!B58</f>
        <v>0</v>
      </c>
      <c r="C96" s="64">
        <f>Inicial!C58</f>
        <v>0</v>
      </c>
      <c r="D96" s="65">
        <f>Inicial!D58</f>
        <v>0</v>
      </c>
      <c r="E96" s="63" t="str">
        <f>IF(Inicial!P58="SI",Inicial!E58,"N/A")</f>
        <v>N/A</v>
      </c>
      <c r="F96" s="64" t="str">
        <f>IF(Inicial!P58="SI",Inicial!F58,"N/A")</f>
        <v>N/A</v>
      </c>
      <c r="G96" s="64" t="str">
        <f>IF(Inicial!P58="SI",Inicial!G58,"N/A")</f>
        <v>N/A</v>
      </c>
      <c r="H96" s="64" t="str">
        <f>IF(Inicial!P58="SI",Inicial!H58,"N/A")</f>
        <v>N/A</v>
      </c>
      <c r="I96" s="75" t="str">
        <f>IF(Inicial!P58="SI",Inicial!I58,"N/A")</f>
        <v>N/A</v>
      </c>
      <c r="J96" s="87"/>
      <c r="K96" s="87"/>
      <c r="L96" s="87"/>
      <c r="M96" s="87"/>
      <c r="N96" s="87"/>
      <c r="O96" s="87"/>
      <c r="P96" s="87"/>
      <c r="Q96" s="87"/>
    </row>
    <row r="97" spans="1:17">
      <c r="A97" s="63">
        <f>Inicial!A59</f>
        <v>0</v>
      </c>
      <c r="B97" s="64">
        <f>Inicial!B59</f>
        <v>0</v>
      </c>
      <c r="C97" s="64">
        <f>Inicial!C59</f>
        <v>0</v>
      </c>
      <c r="D97" s="65">
        <f>Inicial!D59</f>
        <v>0</v>
      </c>
      <c r="E97" s="63" t="str">
        <f>IF(Inicial!P59="SI",Inicial!E59,"N/A")</f>
        <v>N/A</v>
      </c>
      <c r="F97" s="64" t="str">
        <f>IF(Inicial!P59="SI",Inicial!F59,"N/A")</f>
        <v>N/A</v>
      </c>
      <c r="G97" s="64" t="str">
        <f>IF(Inicial!P59="SI",Inicial!G59,"N/A")</f>
        <v>N/A</v>
      </c>
      <c r="H97" s="64" t="str">
        <f>IF(Inicial!P59="SI",Inicial!H59,"N/A")</f>
        <v>N/A</v>
      </c>
      <c r="I97" s="75" t="str">
        <f>IF(Inicial!P59="SI",Inicial!I59,"N/A")</f>
        <v>N/A</v>
      </c>
      <c r="J97" s="87"/>
      <c r="K97" s="87"/>
      <c r="L97" s="87"/>
      <c r="M97" s="87"/>
      <c r="N97" s="87"/>
      <c r="O97" s="87"/>
      <c r="P97" s="87"/>
      <c r="Q97" s="87"/>
    </row>
    <row r="98" spans="1:17">
      <c r="A98" s="63">
        <f>Inicial!A60</f>
        <v>0</v>
      </c>
      <c r="B98" s="64">
        <f>Inicial!B60</f>
        <v>0</v>
      </c>
      <c r="C98" s="64">
        <f>Inicial!C60</f>
        <v>0</v>
      </c>
      <c r="D98" s="65">
        <f>Inicial!D60</f>
        <v>0</v>
      </c>
      <c r="E98" s="63" t="str">
        <f>IF(Inicial!P60="SI",Inicial!E60,"N/A")</f>
        <v>N/A</v>
      </c>
      <c r="F98" s="64" t="str">
        <f>IF(Inicial!P60="SI",Inicial!F60,"N/A")</f>
        <v>N/A</v>
      </c>
      <c r="G98" s="64" t="str">
        <f>IF(Inicial!P60="SI",Inicial!G60,"N/A")</f>
        <v>N/A</v>
      </c>
      <c r="H98" s="64" t="str">
        <f>IF(Inicial!P60="SI",Inicial!H60,"N/A")</f>
        <v>N/A</v>
      </c>
      <c r="I98" s="75" t="str">
        <f>IF(Inicial!P60="SI",Inicial!I60,"N/A")</f>
        <v>N/A</v>
      </c>
      <c r="J98" s="87"/>
      <c r="K98" s="87"/>
      <c r="L98" s="87"/>
      <c r="M98" s="87"/>
      <c r="N98" s="87"/>
      <c r="O98" s="87"/>
      <c r="P98" s="87"/>
      <c r="Q98" s="87"/>
    </row>
    <row r="99" spans="1:17">
      <c r="A99" s="63">
        <f>Inicial!A61</f>
        <v>0</v>
      </c>
      <c r="B99" s="64">
        <f>Inicial!B61</f>
        <v>0</v>
      </c>
      <c r="C99" s="64">
        <f>Inicial!C61</f>
        <v>0</v>
      </c>
      <c r="D99" s="65">
        <f>Inicial!D61</f>
        <v>0</v>
      </c>
      <c r="E99" s="63" t="str">
        <f>IF(Inicial!P61="SI",Inicial!E61,"N/A")</f>
        <v>N/A</v>
      </c>
      <c r="F99" s="64" t="str">
        <f>IF(Inicial!P61="SI",Inicial!F61,"N/A")</f>
        <v>N/A</v>
      </c>
      <c r="G99" s="64" t="str">
        <f>IF(Inicial!P61="SI",Inicial!G61,"N/A")</f>
        <v>N/A</v>
      </c>
      <c r="H99" s="64" t="str">
        <f>IF(Inicial!P61="SI",Inicial!H61,"N/A")</f>
        <v>N/A</v>
      </c>
      <c r="I99" s="75" t="str">
        <f>IF(Inicial!P61="SI",Inicial!I61,"N/A")</f>
        <v>N/A</v>
      </c>
      <c r="J99" s="87"/>
      <c r="K99" s="87"/>
      <c r="L99" s="87"/>
      <c r="M99" s="87"/>
      <c r="N99" s="87"/>
      <c r="O99" s="87"/>
      <c r="P99" s="87"/>
      <c r="Q99" s="87"/>
    </row>
    <row r="100" spans="1:17">
      <c r="A100" s="63">
        <f>Inicial!A62</f>
        <v>0</v>
      </c>
      <c r="B100" s="64">
        <f>Inicial!B62</f>
        <v>0</v>
      </c>
      <c r="C100" s="64">
        <f>Inicial!C62</f>
        <v>0</v>
      </c>
      <c r="D100" s="65">
        <f>Inicial!D62</f>
        <v>0</v>
      </c>
      <c r="E100" s="63" t="str">
        <f>IF(Inicial!P62="SI",Inicial!E62,"N/A")</f>
        <v>N/A</v>
      </c>
      <c r="F100" s="64" t="str">
        <f>IF(Inicial!P62="SI",Inicial!F62,"N/A")</f>
        <v>N/A</v>
      </c>
      <c r="G100" s="64" t="str">
        <f>IF(Inicial!P62="SI",Inicial!G62,"N/A")</f>
        <v>N/A</v>
      </c>
      <c r="H100" s="64" t="str">
        <f>IF(Inicial!P62="SI",Inicial!H62,"N/A")</f>
        <v>N/A</v>
      </c>
      <c r="I100" s="75" t="str">
        <f>IF(Inicial!P62="SI",Inicial!I62,"N/A")</f>
        <v>N/A</v>
      </c>
      <c r="J100" s="87"/>
      <c r="K100" s="87"/>
      <c r="L100" s="87"/>
      <c r="M100" s="87"/>
      <c r="N100" s="87"/>
      <c r="O100" s="87"/>
      <c r="P100" s="87"/>
      <c r="Q100" s="87"/>
    </row>
    <row r="101" spans="1:17">
      <c r="A101" s="63">
        <f>Inicial!A63</f>
        <v>0</v>
      </c>
      <c r="B101" s="64">
        <f>Inicial!B63</f>
        <v>0</v>
      </c>
      <c r="C101" s="64">
        <f>Inicial!C63</f>
        <v>0</v>
      </c>
      <c r="D101" s="65">
        <f>Inicial!D63</f>
        <v>0</v>
      </c>
      <c r="E101" s="63" t="str">
        <f>IF(Inicial!P63="SI",Inicial!E63,"N/A")</f>
        <v>N/A</v>
      </c>
      <c r="F101" s="64" t="str">
        <f>IF(Inicial!P63="SI",Inicial!F63,"N/A")</f>
        <v>N/A</v>
      </c>
      <c r="G101" s="64" t="str">
        <f>IF(Inicial!P63="SI",Inicial!G63,"N/A")</f>
        <v>N/A</v>
      </c>
      <c r="H101" s="64" t="str">
        <f>IF(Inicial!P63="SI",Inicial!H63,"N/A")</f>
        <v>N/A</v>
      </c>
      <c r="I101" s="75" t="str">
        <f>IF(Inicial!P63="SI",Inicial!I63,"N/A")</f>
        <v>N/A</v>
      </c>
      <c r="J101" s="87"/>
      <c r="K101" s="87"/>
      <c r="L101" s="87"/>
      <c r="M101" s="87"/>
      <c r="N101" s="87"/>
      <c r="O101" s="87"/>
      <c r="P101" s="87"/>
      <c r="Q101" s="87"/>
    </row>
    <row r="102" spans="1:17">
      <c r="A102" s="63">
        <f>Inicial!A64</f>
        <v>0</v>
      </c>
      <c r="B102" s="64">
        <f>Inicial!B64</f>
        <v>0</v>
      </c>
      <c r="C102" s="64">
        <f>Inicial!C64</f>
        <v>0</v>
      </c>
      <c r="D102" s="65">
        <f>Inicial!D64</f>
        <v>0</v>
      </c>
      <c r="E102" s="63" t="str">
        <f>IF(Inicial!P64="SI",Inicial!E64,"N/A")</f>
        <v>N/A</v>
      </c>
      <c r="F102" s="64" t="str">
        <f>IF(Inicial!P64="SI",Inicial!F64,"N/A")</f>
        <v>N/A</v>
      </c>
      <c r="G102" s="64" t="str">
        <f>IF(Inicial!P64="SI",Inicial!G64,"N/A")</f>
        <v>N/A</v>
      </c>
      <c r="H102" s="64" t="str">
        <f>IF(Inicial!P64="SI",Inicial!H64,"N/A")</f>
        <v>N/A</v>
      </c>
      <c r="I102" s="75" t="str">
        <f>IF(Inicial!P64="SI",Inicial!I64,"N/A")</f>
        <v>N/A</v>
      </c>
      <c r="J102" s="87"/>
      <c r="K102" s="87"/>
      <c r="L102" s="87"/>
      <c r="M102" s="87"/>
      <c r="N102" s="87"/>
      <c r="O102" s="87"/>
      <c r="P102" s="87"/>
      <c r="Q102" s="87"/>
    </row>
    <row r="103" spans="1:17">
      <c r="A103" s="63">
        <f>Inicial!A65</f>
        <v>0</v>
      </c>
      <c r="B103" s="64">
        <f>Inicial!B65</f>
        <v>0</v>
      </c>
      <c r="C103" s="64">
        <f>Inicial!C65</f>
        <v>0</v>
      </c>
      <c r="D103" s="65">
        <f>Inicial!D65</f>
        <v>0</v>
      </c>
      <c r="E103" s="63" t="str">
        <f>IF(Inicial!P65="SI",Inicial!E65,"N/A")</f>
        <v>N/A</v>
      </c>
      <c r="F103" s="64" t="str">
        <f>IF(Inicial!P65="SI",Inicial!F65,"N/A")</f>
        <v>N/A</v>
      </c>
      <c r="G103" s="64" t="str">
        <f>IF(Inicial!P65="SI",Inicial!G65,"N/A")</f>
        <v>N/A</v>
      </c>
      <c r="H103" s="64" t="str">
        <f>IF(Inicial!P65="SI",Inicial!H65,"N/A")</f>
        <v>N/A</v>
      </c>
      <c r="I103" s="75" t="str">
        <f>IF(Inicial!P65="SI",Inicial!I65,"N/A")</f>
        <v>N/A</v>
      </c>
      <c r="J103" s="87"/>
      <c r="K103" s="87"/>
      <c r="L103" s="87"/>
      <c r="M103" s="87"/>
      <c r="N103" s="87"/>
      <c r="O103" s="87"/>
      <c r="P103" s="87"/>
      <c r="Q103" s="87"/>
    </row>
    <row r="104" spans="1:17">
      <c r="A104" s="63">
        <f>Inicial!A66</f>
        <v>0</v>
      </c>
      <c r="B104" s="64">
        <f>Inicial!B66</f>
        <v>0</v>
      </c>
      <c r="C104" s="64">
        <f>Inicial!C66</f>
        <v>0</v>
      </c>
      <c r="D104" s="65">
        <f>Inicial!D66</f>
        <v>0</v>
      </c>
      <c r="E104" s="63" t="str">
        <f>IF(Inicial!P66="SI",Inicial!E66,"N/A")</f>
        <v>N/A</v>
      </c>
      <c r="F104" s="64" t="str">
        <f>IF(Inicial!P66="SI",Inicial!F66,"N/A")</f>
        <v>N/A</v>
      </c>
      <c r="G104" s="64" t="str">
        <f>IF(Inicial!P66="SI",Inicial!G66,"N/A")</f>
        <v>N/A</v>
      </c>
      <c r="H104" s="64" t="str">
        <f>IF(Inicial!P66="SI",Inicial!H66,"N/A")</f>
        <v>N/A</v>
      </c>
      <c r="I104" s="75" t="str">
        <f>IF(Inicial!P66="SI",Inicial!I66,"N/A")</f>
        <v>N/A</v>
      </c>
      <c r="J104" s="87"/>
      <c r="K104" s="87"/>
      <c r="L104" s="87"/>
      <c r="M104" s="87"/>
      <c r="N104" s="87"/>
      <c r="O104" s="87"/>
      <c r="P104" s="87"/>
      <c r="Q104" s="87"/>
    </row>
    <row r="105" spans="1:17">
      <c r="A105" s="63"/>
      <c r="B105" s="64"/>
      <c r="C105" s="64"/>
      <c r="D105" s="65"/>
      <c r="E105" s="63"/>
      <c r="F105" s="64"/>
      <c r="G105" s="64"/>
      <c r="H105" s="64"/>
      <c r="I105" s="75"/>
      <c r="J105" s="87"/>
      <c r="K105" s="87"/>
      <c r="L105" s="87"/>
      <c r="M105" s="87"/>
      <c r="N105" s="87"/>
      <c r="O105" s="87"/>
      <c r="P105" s="87"/>
      <c r="Q105" s="87"/>
    </row>
    <row r="106" spans="1:17">
      <c r="A106" s="63"/>
      <c r="B106" s="64"/>
      <c r="C106" s="64"/>
      <c r="D106" s="65"/>
      <c r="E106" s="63"/>
      <c r="F106" s="64"/>
      <c r="G106" s="64"/>
      <c r="H106" s="64"/>
      <c r="I106" s="75"/>
      <c r="J106" s="87"/>
      <c r="K106" s="87"/>
      <c r="L106" s="87"/>
      <c r="M106" s="87"/>
      <c r="N106" s="87"/>
      <c r="O106" s="87"/>
      <c r="P106" s="87"/>
      <c r="Q106" s="87"/>
    </row>
    <row r="107" spans="1:17">
      <c r="A107" s="63"/>
      <c r="B107" s="64"/>
      <c r="C107" s="64"/>
      <c r="D107" s="65"/>
      <c r="E107" s="63"/>
      <c r="F107" s="64"/>
      <c r="G107" s="64"/>
      <c r="H107" s="64"/>
      <c r="I107" s="75"/>
      <c r="J107" s="87"/>
      <c r="K107" s="87"/>
      <c r="L107" s="87"/>
      <c r="M107" s="87"/>
      <c r="N107" s="87"/>
      <c r="O107" s="87"/>
      <c r="P107" s="87"/>
      <c r="Q107" s="87"/>
    </row>
    <row r="108" spans="1:17">
      <c r="A108" s="63"/>
      <c r="B108" s="64"/>
      <c r="C108" s="64"/>
      <c r="D108" s="65"/>
      <c r="E108" s="63"/>
      <c r="F108" s="64"/>
      <c r="G108" s="64"/>
      <c r="H108" s="64"/>
      <c r="I108" s="75"/>
      <c r="J108" s="87"/>
      <c r="K108" s="87"/>
      <c r="L108" s="87"/>
      <c r="M108" s="87"/>
      <c r="N108" s="87"/>
      <c r="O108" s="87"/>
      <c r="P108" s="87"/>
      <c r="Q108" s="87"/>
    </row>
    <row r="109" spans="1:17">
      <c r="A109" s="63"/>
      <c r="B109" s="64"/>
      <c r="C109" s="64"/>
      <c r="D109" s="65"/>
      <c r="E109" s="63"/>
      <c r="F109" s="64"/>
      <c r="G109" s="64"/>
      <c r="H109" s="64"/>
      <c r="I109" s="75"/>
    </row>
    <row r="110" spans="1:17">
      <c r="A110" s="63"/>
      <c r="B110" s="64"/>
      <c r="C110" s="64"/>
      <c r="D110" s="65"/>
      <c r="E110" s="63"/>
      <c r="F110" s="64"/>
      <c r="G110" s="64"/>
      <c r="H110" s="64"/>
      <c r="I110" s="75"/>
    </row>
    <row r="111" spans="1:17">
      <c r="A111" s="63"/>
      <c r="B111" s="64"/>
      <c r="C111" s="64"/>
      <c r="D111" s="65"/>
      <c r="E111" s="63"/>
      <c r="F111" s="64"/>
      <c r="G111" s="64"/>
      <c r="H111" s="64"/>
      <c r="I111" s="75"/>
    </row>
    <row r="112" spans="1:17">
      <c r="A112" s="63"/>
      <c r="B112" s="64"/>
      <c r="C112" s="64"/>
      <c r="D112" s="65"/>
      <c r="E112" s="63"/>
      <c r="F112" s="64"/>
      <c r="G112" s="64"/>
      <c r="H112" s="64"/>
      <c r="I112" s="75"/>
    </row>
    <row r="113" spans="1:9">
      <c r="A113" s="63"/>
      <c r="B113" s="64"/>
      <c r="C113" s="64"/>
      <c r="D113" s="65"/>
      <c r="E113" s="63"/>
      <c r="F113" s="64"/>
      <c r="G113" s="64"/>
      <c r="H113" s="64"/>
      <c r="I113" s="75"/>
    </row>
    <row r="114" spans="1:9">
      <c r="A114" s="63"/>
      <c r="B114" s="64"/>
      <c r="C114" s="64"/>
      <c r="D114" s="65"/>
      <c r="E114" s="63"/>
      <c r="F114" s="64"/>
      <c r="G114" s="64"/>
      <c r="H114" s="64"/>
      <c r="I114" s="75"/>
    </row>
    <row r="115" spans="1:9">
      <c r="A115" s="63"/>
      <c r="B115" s="64"/>
      <c r="C115" s="64"/>
      <c r="D115" s="65"/>
      <c r="E115" s="63"/>
      <c r="F115" s="64"/>
      <c r="G115" s="64"/>
      <c r="H115" s="64"/>
      <c r="I115" s="75"/>
    </row>
    <row r="116" spans="1:9">
      <c r="A116" s="63"/>
      <c r="B116" s="64"/>
      <c r="C116" s="64"/>
      <c r="D116" s="65"/>
      <c r="E116" s="63"/>
      <c r="F116" s="64"/>
      <c r="G116" s="64"/>
      <c r="H116" s="64"/>
      <c r="I116" s="75"/>
    </row>
  </sheetData>
  <mergeCells count="5">
    <mergeCell ref="S1:X1"/>
    <mergeCell ref="J1:Q1"/>
    <mergeCell ref="F1:G1"/>
    <mergeCell ref="H1:I1"/>
    <mergeCell ref="A1:E1"/>
  </mergeCells>
  <conditionalFormatting sqref="J3:Q1048576">
    <cfRule type="cellIs" dxfId="9" priority="3" operator="equal">
      <formula>"SI"</formula>
    </cfRule>
    <cfRule type="cellIs" dxfId="8" priority="4" operator="equal">
      <formula>"NO"</formula>
    </cfRule>
  </conditionalFormatting>
  <conditionalFormatting sqref="R3">
    <cfRule type="cellIs" dxfId="7" priority="1" operator="equal">
      <formula>"No Aceptable"</formula>
    </cfRule>
  </conditionalFormatting>
  <conditionalFormatting sqref="R3:R21">
    <cfRule type="cellIs" dxfId="6" priority="2" operator="equal">
      <formula>"Aceptable"</formula>
    </cfRule>
  </conditionalFormatting>
  <conditionalFormatting sqref="R3:U3 W3 R4:R21">
    <cfRule type="cellIs" dxfId="5" priority="11" operator="equal">
      <formula>"NO"</formula>
    </cfRule>
    <cfRule type="cellIs" dxfId="4" priority="12" operator="equal">
      <formula>"SI"</formula>
    </cfRule>
  </conditionalFormatting>
  <conditionalFormatting sqref="X3:AM3">
    <cfRule type="cellIs" dxfId="3" priority="7" operator="equal">
      <formula>"No Aceptable"</formula>
    </cfRule>
    <cfRule type="cellIs" dxfId="2" priority="8" operator="equal">
      <formula>"Aceptable"</formula>
    </cfRule>
  </conditionalFormatting>
  <conditionalFormatting sqref="AN3">
    <cfRule type="cellIs" dxfId="1" priority="5" operator="equal">
      <formula>"No Critico"</formula>
    </cfRule>
    <cfRule type="cellIs" dxfId="0" priority="6" operator="equal">
      <formula>"Critico"</formula>
    </cfRule>
  </conditionalFormatting>
  <dataValidations count="3"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R1:R2" xr:uid="{E816C092-8A96-46E5-8C34-5E4D08DD2648}"/>
    <dataValidation type="list" allowBlank="1" showInputMessage="1" showErrorMessage="1" sqref="J3:Q108" xr:uid="{02453FFD-BED0-4508-9166-D0FB768CAC83}">
      <formula1>"SI,NO"</formula1>
    </dataValidation>
    <dataValidation type="list" allowBlank="1" showInputMessage="1" showErrorMessage="1" sqref="R22:R41" xr:uid="{51208079-784F-4A32-9422-114CBF3532A6}">
      <formula1>"SI,NO,N/A"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629559-840b-4680-a89a-6355f80480c4">
      <Terms xmlns="http://schemas.microsoft.com/office/infopath/2007/PartnerControls"/>
    </lcf76f155ced4ddcb4097134ff3c332f>
    <TaxCatchAll xmlns="74ae39a6-6b1c-4785-be20-fccf9998ae6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A200D136FEB4F82683A1A9277427A" ma:contentTypeVersion="16" ma:contentTypeDescription="Crear nuevo documento." ma:contentTypeScope="" ma:versionID="b32ca0fbe19887ea81a70f378febf468">
  <xsd:schema xmlns:xsd="http://www.w3.org/2001/XMLSchema" xmlns:xs="http://www.w3.org/2001/XMLSchema" xmlns:p="http://schemas.microsoft.com/office/2006/metadata/properties" xmlns:ns2="5e629559-840b-4680-a89a-6355f80480c4" xmlns:ns3="74ae39a6-6b1c-4785-be20-fccf9998ae64" targetNamespace="http://schemas.microsoft.com/office/2006/metadata/properties" ma:root="true" ma:fieldsID="5d564b122133f7996285fd458b338472" ns2:_="" ns3:_="">
    <xsd:import namespace="5e629559-840b-4680-a89a-6355f80480c4"/>
    <xsd:import namespace="74ae39a6-6b1c-4785-be20-fccf9998a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29559-840b-4680-a89a-6355f8048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b7f2c42-eca8-4751-a0e7-787ac8eb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e39a6-6b1c-4785-be20-fccf9998a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e92edb3-e942-43fb-ab45-b03aed33fc24}" ma:internalName="TaxCatchAll" ma:showField="CatchAllData" ma:web="74ae39a6-6b1c-4785-be20-fccf9998ae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8C351F-88B7-4E96-A3B1-E1E36226E770}"/>
</file>

<file path=customXml/itemProps2.xml><?xml version="1.0" encoding="utf-8"?>
<ds:datastoreItem xmlns:ds="http://schemas.openxmlformats.org/officeDocument/2006/customXml" ds:itemID="{E8F9F1AB-8FB2-4DBF-9A29-80C142D18171}"/>
</file>

<file path=customXml/itemProps3.xml><?xml version="1.0" encoding="utf-8"?>
<ds:datastoreItem xmlns:ds="http://schemas.openxmlformats.org/officeDocument/2006/customXml" ds:itemID="{F344C4AF-84EB-4204-BDF7-84EA965AC5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Muñoz Caro, Constanza Andrea</dc:creator>
  <cp:keywords/>
  <dc:description/>
  <cp:lastModifiedBy>Muñoz Caro, Constanza Andrea</cp:lastModifiedBy>
  <cp:revision/>
  <dcterms:created xsi:type="dcterms:W3CDTF">2024-10-16T13:46:28Z</dcterms:created>
  <dcterms:modified xsi:type="dcterms:W3CDTF">2025-05-19T19:36:30Z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0x010100973A200D136FEB4F82683A1A9277427A</vt:lpwstr>
  </property>
  <property fmtid="{D5CDD505-2E9C-101B-9397-08002B2CF9AE}" pid="3" name="MediaServiceImageTags">
    <vt:lpwstr/>
  </property>
</Properties>
</file>