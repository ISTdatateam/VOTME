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PRODAS\"/>
    </mc:Choice>
  </mc:AlternateContent>
  <workbookProtection lockStructure="1"/>
  <bookViews>
    <workbookView xWindow="28680" yWindow="-120" windowWidth="29040" windowHeight="15720" tabRatio="828" activeTab="1"/>
  </bookViews>
  <sheets>
    <sheet name="Portada" sheetId="10" r:id="rId1"/>
    <sheet name="Datos" sheetId="3" r:id="rId2"/>
    <sheet name="Inicial" sheetId="1" r:id="rId3"/>
    <sheet name="Mov. Rep." sheetId="2" r:id="rId4"/>
    <sheet name="Postura estatica" sheetId="4" r:id="rId5"/>
    <sheet name="MMC Levantamiento-Descenso" sheetId="5" r:id="rId6"/>
    <sheet name="MMC Empuje-Arrastre " sheetId="6" r:id="rId7"/>
    <sheet name="Manejo manual PCTS" sheetId="7" r:id="rId8"/>
    <sheet name="Vibración Cuerpo completo" sheetId="9" r:id="rId9"/>
    <sheet name="Vibración Mano-Brazo" sheetId="8" r:id="rId10"/>
  </sheets>
  <definedNames>
    <definedName name="_xlnm._FilterDatabase" localSheetId="6" hidden="1">'MMC Empuje-Arrastre '!$A$2:$AT$178</definedName>
    <definedName name="_xlnm._FilterDatabase" localSheetId="5" hidden="1">'MMC Levantamiento-Descenso'!$A$2:$BI$178</definedName>
    <definedName name="_xlnm._FilterDatabase" localSheetId="3" hidden="1">'Mov. Rep.'!$A$2:$AC$251</definedName>
    <definedName name="_xlnm._FilterDatabase" localSheetId="9" hidden="1">'Vibración Mano-Brazo'!$A$2:$X$104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3" i="8" l="1" a="1"/>
  <c r="R103" i="8" s="1"/>
  <c r="R102" i="8" a="1"/>
  <c r="R102" i="8" s="1"/>
  <c r="R69" i="8" a="1"/>
  <c r="R69" i="8" s="1"/>
  <c r="R63" i="8" a="1"/>
  <c r="R63" i="8" s="1"/>
  <c r="R59" i="8" a="1"/>
  <c r="R59" i="8" s="1"/>
  <c r="R53" i="8" a="1"/>
  <c r="R53" i="8" s="1"/>
  <c r="R50" i="8" a="1"/>
  <c r="R50" i="8" s="1"/>
  <c r="R44" i="8" a="1"/>
  <c r="R44" i="8" s="1"/>
  <c r="R31" i="8" a="1"/>
  <c r="R31" i="8" s="1"/>
  <c r="R30" i="8" a="1"/>
  <c r="R30" i="8" s="1"/>
  <c r="R19" i="8" a="1"/>
  <c r="R19" i="8" s="1"/>
  <c r="R27" i="8" a="1"/>
  <c r="R27" i="8" s="1"/>
  <c r="R22" i="8" a="1"/>
  <c r="R22" i="8" s="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A48" i="1" l="1"/>
  <c r="B48" i="1"/>
  <c r="C48" i="1"/>
  <c r="D48" i="1"/>
  <c r="E48" i="1"/>
  <c r="F48" i="1"/>
  <c r="G48" i="1"/>
  <c r="H48" i="1"/>
  <c r="I48" i="1"/>
  <c r="Q48" i="1"/>
  <c r="A49" i="1"/>
  <c r="B49" i="1"/>
  <c r="C49" i="1"/>
  <c r="D49" i="1"/>
  <c r="E49" i="1"/>
  <c r="F49" i="1"/>
  <c r="G49" i="1"/>
  <c r="H49" i="1"/>
  <c r="I49" i="1"/>
  <c r="Q49" i="1"/>
  <c r="A50" i="1"/>
  <c r="B50" i="1"/>
  <c r="C50" i="1"/>
  <c r="D50" i="1"/>
  <c r="E50" i="1"/>
  <c r="F50" i="1"/>
  <c r="G50" i="1"/>
  <c r="H50" i="1"/>
  <c r="I50" i="1"/>
  <c r="Q50" i="1"/>
  <c r="A51" i="1"/>
  <c r="B51" i="1"/>
  <c r="C51" i="1"/>
  <c r="D51" i="1"/>
  <c r="E51" i="1"/>
  <c r="F51" i="1"/>
  <c r="G51" i="1"/>
  <c r="H51" i="1"/>
  <c r="I51" i="1"/>
  <c r="Q51" i="1"/>
  <c r="A52" i="1"/>
  <c r="B52" i="1"/>
  <c r="C52" i="1"/>
  <c r="D52" i="1"/>
  <c r="E52" i="1"/>
  <c r="F52" i="1"/>
  <c r="G52" i="1"/>
  <c r="H52" i="1"/>
  <c r="I52" i="1"/>
  <c r="Q52" i="1"/>
  <c r="A53" i="1"/>
  <c r="B53" i="1"/>
  <c r="C53" i="1"/>
  <c r="D53" i="1"/>
  <c r="E53" i="1"/>
  <c r="F53" i="1"/>
  <c r="G53" i="1"/>
  <c r="H53" i="1"/>
  <c r="I53" i="1"/>
  <c r="Q53" i="1"/>
  <c r="A54" i="1"/>
  <c r="B54" i="1"/>
  <c r="C54" i="1"/>
  <c r="D54" i="1"/>
  <c r="E54" i="1"/>
  <c r="F54" i="1"/>
  <c r="G54" i="1"/>
  <c r="H54" i="1"/>
  <c r="I54" i="1"/>
  <c r="Q54" i="1"/>
  <c r="A55" i="1"/>
  <c r="B55" i="1"/>
  <c r="C55" i="1"/>
  <c r="D55" i="1"/>
  <c r="E55" i="1"/>
  <c r="F55" i="1"/>
  <c r="G55" i="1"/>
  <c r="H55" i="1"/>
  <c r="I55" i="1"/>
  <c r="Q55" i="1"/>
  <c r="A56" i="1"/>
  <c r="B56" i="1"/>
  <c r="C56" i="1"/>
  <c r="D56" i="1"/>
  <c r="E56" i="1"/>
  <c r="F56" i="1"/>
  <c r="G56" i="1"/>
  <c r="H56" i="1"/>
  <c r="I56" i="1"/>
  <c r="Q56" i="1"/>
  <c r="A57" i="1"/>
  <c r="B57" i="1"/>
  <c r="C57" i="1"/>
  <c r="D57" i="1"/>
  <c r="E57" i="1"/>
  <c r="F57" i="1"/>
  <c r="G57" i="1"/>
  <c r="H57" i="1"/>
  <c r="I57" i="1"/>
  <c r="Q57" i="1"/>
  <c r="A58" i="1"/>
  <c r="B58" i="1"/>
  <c r="C58" i="1"/>
  <c r="D58" i="1"/>
  <c r="E58" i="1"/>
  <c r="F58" i="1"/>
  <c r="G58" i="1"/>
  <c r="H58" i="1"/>
  <c r="I58" i="1"/>
  <c r="Q58" i="1"/>
  <c r="A59" i="1"/>
  <c r="B59" i="1"/>
  <c r="C59" i="1"/>
  <c r="D59" i="1"/>
  <c r="E59" i="1"/>
  <c r="F59" i="1"/>
  <c r="G59" i="1"/>
  <c r="H59" i="1"/>
  <c r="I59" i="1"/>
  <c r="Q59" i="1"/>
  <c r="A60" i="1"/>
  <c r="B60" i="1"/>
  <c r="C60" i="1"/>
  <c r="D60" i="1"/>
  <c r="E60" i="1"/>
  <c r="F60" i="1"/>
  <c r="G60" i="1"/>
  <c r="H60" i="1"/>
  <c r="I60" i="1"/>
  <c r="Q60" i="1"/>
  <c r="A61" i="1"/>
  <c r="B61" i="1"/>
  <c r="C61" i="1"/>
  <c r="D61" i="1"/>
  <c r="E61" i="1"/>
  <c r="F61" i="1"/>
  <c r="G61" i="1"/>
  <c r="H61" i="1"/>
  <c r="I61" i="1"/>
  <c r="Q61" i="1"/>
  <c r="A62" i="1"/>
  <c r="B62" i="1"/>
  <c r="C62" i="1"/>
  <c r="D62" i="1"/>
  <c r="E62" i="1"/>
  <c r="F62" i="1"/>
  <c r="G62" i="1"/>
  <c r="H62" i="1"/>
  <c r="I62" i="1"/>
  <c r="Q62" i="1"/>
  <c r="A63" i="1"/>
  <c r="B63" i="1"/>
  <c r="C63" i="1"/>
  <c r="D63" i="1"/>
  <c r="E63" i="1"/>
  <c r="F63" i="1"/>
  <c r="G63" i="1"/>
  <c r="H63" i="1"/>
  <c r="I63" i="1"/>
  <c r="Q63" i="1"/>
  <c r="A64" i="1"/>
  <c r="B64" i="1"/>
  <c r="C64" i="1"/>
  <c r="D64" i="1"/>
  <c r="E64" i="1"/>
  <c r="F64" i="1"/>
  <c r="G64" i="1"/>
  <c r="H64" i="1"/>
  <c r="I64" i="1"/>
  <c r="Q64" i="1"/>
  <c r="A65" i="1"/>
  <c r="B65" i="1"/>
  <c r="C65" i="1"/>
  <c r="D65" i="1"/>
  <c r="E65" i="1"/>
  <c r="F65" i="1"/>
  <c r="G65" i="1"/>
  <c r="H65" i="1"/>
  <c r="I65" i="1"/>
  <c r="Q65" i="1"/>
  <c r="A66" i="1"/>
  <c r="B66" i="1"/>
  <c r="C66" i="1"/>
  <c r="D66" i="1"/>
  <c r="E66" i="1"/>
  <c r="F66" i="1"/>
  <c r="G66" i="1"/>
  <c r="H66" i="1"/>
  <c r="I66" i="1"/>
  <c r="Q66" i="1"/>
  <c r="A67" i="1"/>
  <c r="B67" i="1"/>
  <c r="C67" i="1"/>
  <c r="D67" i="1"/>
  <c r="E67" i="1"/>
  <c r="F67" i="1"/>
  <c r="G67" i="1"/>
  <c r="H67" i="1"/>
  <c r="I67" i="1"/>
  <c r="Q67" i="1"/>
  <c r="A68" i="1"/>
  <c r="B68" i="1"/>
  <c r="C68" i="1"/>
  <c r="D68" i="1"/>
  <c r="E68" i="1"/>
  <c r="F68" i="1"/>
  <c r="G68" i="1"/>
  <c r="H68" i="1"/>
  <c r="I68" i="1"/>
  <c r="Q68" i="1"/>
  <c r="A69" i="1"/>
  <c r="B69" i="1"/>
  <c r="C69" i="1"/>
  <c r="D69" i="1"/>
  <c r="E69" i="1"/>
  <c r="F69" i="1"/>
  <c r="G69" i="1"/>
  <c r="H69" i="1"/>
  <c r="I69" i="1"/>
  <c r="Q69" i="1"/>
  <c r="A70" i="1"/>
  <c r="B70" i="1"/>
  <c r="C70" i="1"/>
  <c r="D70" i="1"/>
  <c r="E70" i="1"/>
  <c r="F70" i="1"/>
  <c r="G70" i="1"/>
  <c r="H70" i="1"/>
  <c r="I70" i="1"/>
  <c r="Q70" i="1"/>
  <c r="A71" i="1"/>
  <c r="B71" i="1"/>
  <c r="C71" i="1"/>
  <c r="D71" i="1"/>
  <c r="E71" i="1"/>
  <c r="F71" i="1"/>
  <c r="G71" i="1"/>
  <c r="H71" i="1"/>
  <c r="I71" i="1"/>
  <c r="Q71" i="1"/>
  <c r="A72" i="1"/>
  <c r="B72" i="1"/>
  <c r="C72" i="1"/>
  <c r="D72" i="1"/>
  <c r="E72" i="1"/>
  <c r="F72" i="1"/>
  <c r="G72" i="1"/>
  <c r="H72" i="1"/>
  <c r="I72" i="1"/>
  <c r="Q72" i="1"/>
  <c r="A73" i="1"/>
  <c r="B73" i="1"/>
  <c r="C73" i="1"/>
  <c r="D73" i="1"/>
  <c r="E73" i="1"/>
  <c r="F73" i="1"/>
  <c r="G73" i="1"/>
  <c r="H73" i="1"/>
  <c r="I73" i="1"/>
  <c r="Q73" i="1"/>
  <c r="A74" i="1"/>
  <c r="B74" i="1"/>
  <c r="C74" i="1"/>
  <c r="D74" i="1"/>
  <c r="E74" i="1"/>
  <c r="F74" i="1"/>
  <c r="G74" i="1"/>
  <c r="H74" i="1"/>
  <c r="I74" i="1"/>
  <c r="Q74" i="1"/>
  <c r="A75" i="1"/>
  <c r="B75" i="1"/>
  <c r="C75" i="1"/>
  <c r="D75" i="1"/>
  <c r="E75" i="1"/>
  <c r="F75" i="1"/>
  <c r="G75" i="1"/>
  <c r="H75" i="1"/>
  <c r="I75" i="1"/>
  <c r="Q75" i="1"/>
  <c r="A76" i="1"/>
  <c r="B76" i="1"/>
  <c r="C76" i="1"/>
  <c r="D76" i="1"/>
  <c r="E76" i="1"/>
  <c r="F76" i="1"/>
  <c r="G76" i="1"/>
  <c r="H76" i="1"/>
  <c r="I76" i="1"/>
  <c r="Q76" i="1"/>
  <c r="A77" i="1"/>
  <c r="B77" i="1"/>
  <c r="C77" i="1"/>
  <c r="D77" i="1"/>
  <c r="E77" i="1"/>
  <c r="F77" i="1"/>
  <c r="G77" i="1"/>
  <c r="H77" i="1"/>
  <c r="I77" i="1"/>
  <c r="Q77" i="1"/>
  <c r="A78" i="1"/>
  <c r="B78" i="1"/>
  <c r="C78" i="1"/>
  <c r="D78" i="1"/>
  <c r="E78" i="1"/>
  <c r="F78" i="1"/>
  <c r="G78" i="1"/>
  <c r="H78" i="1"/>
  <c r="I78" i="1"/>
  <c r="Q78" i="1"/>
  <c r="A79" i="1"/>
  <c r="B79" i="1"/>
  <c r="C79" i="1"/>
  <c r="D79" i="1"/>
  <c r="E79" i="1"/>
  <c r="F79" i="1"/>
  <c r="G79" i="1"/>
  <c r="H79" i="1"/>
  <c r="I79" i="1"/>
  <c r="Q79" i="1"/>
  <c r="A80" i="1"/>
  <c r="B80" i="1"/>
  <c r="C80" i="1"/>
  <c r="D80" i="1"/>
  <c r="E80" i="1"/>
  <c r="F80" i="1"/>
  <c r="G80" i="1"/>
  <c r="H80" i="1"/>
  <c r="I80" i="1"/>
  <c r="Q80" i="1"/>
  <c r="A81" i="1"/>
  <c r="B81" i="1"/>
  <c r="C81" i="1"/>
  <c r="D81" i="1"/>
  <c r="E81" i="1"/>
  <c r="F81" i="1"/>
  <c r="G81" i="1"/>
  <c r="H81" i="1"/>
  <c r="I81" i="1"/>
  <c r="Q81" i="1"/>
  <c r="A82" i="1"/>
  <c r="B82" i="1"/>
  <c r="C82" i="1"/>
  <c r="D82" i="1"/>
  <c r="E82" i="1"/>
  <c r="F82" i="1"/>
  <c r="G82" i="1"/>
  <c r="H82" i="1"/>
  <c r="I82" i="1"/>
  <c r="Q82" i="1"/>
  <c r="A83" i="1"/>
  <c r="B83" i="1"/>
  <c r="C83" i="1"/>
  <c r="D83" i="1"/>
  <c r="E83" i="1"/>
  <c r="F83" i="1"/>
  <c r="G83" i="1"/>
  <c r="H83" i="1"/>
  <c r="I83" i="1"/>
  <c r="Q83" i="1"/>
  <c r="A84" i="1"/>
  <c r="B84" i="1"/>
  <c r="C84" i="1"/>
  <c r="D84" i="1"/>
  <c r="E84" i="1"/>
  <c r="F84" i="1"/>
  <c r="G84" i="1"/>
  <c r="H84" i="1"/>
  <c r="I84" i="1"/>
  <c r="Q84" i="1"/>
  <c r="A85" i="1"/>
  <c r="B85" i="1"/>
  <c r="C85" i="1"/>
  <c r="D85" i="1"/>
  <c r="E85" i="1"/>
  <c r="F85" i="1"/>
  <c r="G85" i="1"/>
  <c r="H85" i="1"/>
  <c r="I85" i="1"/>
  <c r="Q85" i="1"/>
  <c r="A86" i="1"/>
  <c r="B86" i="1"/>
  <c r="C86" i="1"/>
  <c r="D86" i="1"/>
  <c r="E86" i="1"/>
  <c r="F86" i="1"/>
  <c r="G86" i="1"/>
  <c r="H86" i="1"/>
  <c r="I86" i="1"/>
  <c r="Q86" i="1"/>
  <c r="A87" i="1"/>
  <c r="B87" i="1"/>
  <c r="C87" i="1"/>
  <c r="D87" i="1"/>
  <c r="E87" i="1"/>
  <c r="F87" i="1"/>
  <c r="G87" i="1"/>
  <c r="H87" i="1"/>
  <c r="I87" i="1"/>
  <c r="Q87" i="1"/>
  <c r="A88" i="1"/>
  <c r="B88" i="1"/>
  <c r="C88" i="1"/>
  <c r="D88" i="1"/>
  <c r="E88" i="1"/>
  <c r="F88" i="1"/>
  <c r="G88" i="1"/>
  <c r="H88" i="1"/>
  <c r="I88" i="1"/>
  <c r="Q88" i="1"/>
  <c r="A89" i="1"/>
  <c r="B89" i="1"/>
  <c r="C89" i="1"/>
  <c r="D89" i="1"/>
  <c r="E89" i="1"/>
  <c r="F89" i="1"/>
  <c r="G89" i="1"/>
  <c r="H89" i="1"/>
  <c r="I89" i="1"/>
  <c r="Q89" i="1"/>
  <c r="A90" i="1"/>
  <c r="B90" i="1"/>
  <c r="C90" i="1"/>
  <c r="D90" i="1"/>
  <c r="E90" i="1"/>
  <c r="F90" i="1"/>
  <c r="G90" i="1"/>
  <c r="H90" i="1"/>
  <c r="I90" i="1"/>
  <c r="Q90" i="1"/>
  <c r="A91" i="1"/>
  <c r="B91" i="1"/>
  <c r="C91" i="1"/>
  <c r="D91" i="1"/>
  <c r="E91" i="1"/>
  <c r="F91" i="1"/>
  <c r="G91" i="1"/>
  <c r="H91" i="1"/>
  <c r="I91" i="1"/>
  <c r="Q91" i="1"/>
  <c r="A92" i="1"/>
  <c r="B92" i="1"/>
  <c r="C92" i="1"/>
  <c r="D92" i="1"/>
  <c r="E92" i="1"/>
  <c r="F92" i="1"/>
  <c r="G92" i="1"/>
  <c r="H92" i="1"/>
  <c r="I92" i="1"/>
  <c r="Q92" i="1"/>
  <c r="A93" i="1"/>
  <c r="B93" i="1"/>
  <c r="C93" i="1"/>
  <c r="D93" i="1"/>
  <c r="E93" i="1"/>
  <c r="F93" i="1"/>
  <c r="G93" i="1"/>
  <c r="H93" i="1"/>
  <c r="I93" i="1"/>
  <c r="Q93" i="1"/>
  <c r="A94" i="1"/>
  <c r="B94" i="1"/>
  <c r="C94" i="1"/>
  <c r="D94" i="1"/>
  <c r="E94" i="1"/>
  <c r="F94" i="1"/>
  <c r="G94" i="1"/>
  <c r="H94" i="1"/>
  <c r="I94" i="1"/>
  <c r="Q94" i="1"/>
  <c r="A95" i="1"/>
  <c r="B95" i="1"/>
  <c r="C95" i="1"/>
  <c r="D95" i="1"/>
  <c r="E95" i="1"/>
  <c r="F95" i="1"/>
  <c r="G95" i="1"/>
  <c r="H95" i="1"/>
  <c r="I95" i="1"/>
  <c r="Q95" i="1"/>
  <c r="A96" i="1"/>
  <c r="B96" i="1"/>
  <c r="C96" i="1"/>
  <c r="D96" i="1"/>
  <c r="E96" i="1"/>
  <c r="F96" i="1"/>
  <c r="G96" i="1"/>
  <c r="H96" i="1"/>
  <c r="I96" i="1"/>
  <c r="Q96" i="1"/>
  <c r="A97" i="1"/>
  <c r="B97" i="1"/>
  <c r="C97" i="1"/>
  <c r="D97" i="1"/>
  <c r="E97" i="1"/>
  <c r="F97" i="1"/>
  <c r="G97" i="1"/>
  <c r="H97" i="1"/>
  <c r="I97" i="1"/>
  <c r="Q97" i="1"/>
  <c r="A98" i="1"/>
  <c r="B98" i="1"/>
  <c r="C98" i="1"/>
  <c r="D98" i="1"/>
  <c r="E98" i="1"/>
  <c r="F98" i="1"/>
  <c r="G98" i="1"/>
  <c r="H98" i="1"/>
  <c r="I98" i="1"/>
  <c r="Q98" i="1"/>
  <c r="A99" i="1"/>
  <c r="B99" i="1"/>
  <c r="C99" i="1"/>
  <c r="D99" i="1"/>
  <c r="E99" i="1"/>
  <c r="F99" i="1"/>
  <c r="G99" i="1"/>
  <c r="H99" i="1"/>
  <c r="I99" i="1"/>
  <c r="Q99" i="1"/>
  <c r="A100" i="1"/>
  <c r="B100" i="1"/>
  <c r="C100" i="1"/>
  <c r="D100" i="1"/>
  <c r="E100" i="1"/>
  <c r="F100" i="1"/>
  <c r="G100" i="1"/>
  <c r="H100" i="1"/>
  <c r="I100" i="1"/>
  <c r="Q100" i="1"/>
  <c r="A101" i="1"/>
  <c r="B101" i="1"/>
  <c r="C101" i="1"/>
  <c r="D101" i="1"/>
  <c r="E101" i="1"/>
  <c r="F101" i="1"/>
  <c r="G101" i="1"/>
  <c r="H101" i="1"/>
  <c r="I101" i="1"/>
  <c r="Q101" i="1"/>
  <c r="A102" i="1"/>
  <c r="B102" i="1"/>
  <c r="C102" i="1"/>
  <c r="D102" i="1"/>
  <c r="E102" i="1"/>
  <c r="F102" i="1"/>
  <c r="G102" i="1"/>
  <c r="H102" i="1"/>
  <c r="I102" i="1"/>
  <c r="Q102" i="1"/>
  <c r="A103" i="1"/>
  <c r="B103" i="1"/>
  <c r="C103" i="1"/>
  <c r="D103" i="1"/>
  <c r="E103" i="1"/>
  <c r="F103" i="1"/>
  <c r="G103" i="1"/>
  <c r="H103" i="1"/>
  <c r="I103" i="1"/>
  <c r="Q103" i="1"/>
  <c r="A104" i="1"/>
  <c r="B104" i="1"/>
  <c r="C104" i="1"/>
  <c r="D104" i="1"/>
  <c r="E104" i="1"/>
  <c r="F104" i="1"/>
  <c r="G104" i="1"/>
  <c r="H104" i="1"/>
  <c r="I104" i="1"/>
  <c r="Q104" i="1"/>
  <c r="A105" i="1"/>
  <c r="B105" i="1"/>
  <c r="C105" i="1"/>
  <c r="D105" i="1"/>
  <c r="E105" i="1"/>
  <c r="F105" i="1"/>
  <c r="G105" i="1"/>
  <c r="H105" i="1"/>
  <c r="I105" i="1"/>
  <c r="Q105" i="1"/>
  <c r="A106" i="1"/>
  <c r="B106" i="1"/>
  <c r="C106" i="1"/>
  <c r="D106" i="1"/>
  <c r="E106" i="1"/>
  <c r="F106" i="1"/>
  <c r="G106" i="1"/>
  <c r="H106" i="1"/>
  <c r="I106" i="1"/>
  <c r="Q106" i="1"/>
  <c r="A107" i="1"/>
  <c r="B107" i="1"/>
  <c r="C107" i="1"/>
  <c r="D107" i="1"/>
  <c r="E107" i="1"/>
  <c r="F107" i="1"/>
  <c r="G107" i="1"/>
  <c r="H107" i="1"/>
  <c r="I107" i="1"/>
  <c r="Q107" i="1"/>
  <c r="A108" i="1"/>
  <c r="B108" i="1"/>
  <c r="C108" i="1"/>
  <c r="D108" i="1"/>
  <c r="E108" i="1"/>
  <c r="F108" i="1"/>
  <c r="G108" i="1"/>
  <c r="H108" i="1"/>
  <c r="I108" i="1"/>
  <c r="Q108" i="1"/>
  <c r="A109" i="1"/>
  <c r="B109" i="1"/>
  <c r="C109" i="1"/>
  <c r="D109" i="1"/>
  <c r="E109" i="1"/>
  <c r="F109" i="1"/>
  <c r="G109" i="1"/>
  <c r="H109" i="1"/>
  <c r="I109" i="1"/>
  <c r="Q109" i="1"/>
  <c r="A110" i="1"/>
  <c r="B110" i="1"/>
  <c r="C110" i="1"/>
  <c r="D110" i="1"/>
  <c r="E110" i="1"/>
  <c r="F110" i="1"/>
  <c r="G110" i="1"/>
  <c r="H110" i="1"/>
  <c r="I110" i="1"/>
  <c r="Q110" i="1"/>
  <c r="A111" i="1"/>
  <c r="B111" i="1"/>
  <c r="C111" i="1"/>
  <c r="D111" i="1"/>
  <c r="E111" i="1"/>
  <c r="F111" i="1"/>
  <c r="G111" i="1"/>
  <c r="H111" i="1"/>
  <c r="I111" i="1"/>
  <c r="Q111" i="1"/>
  <c r="A112" i="1"/>
  <c r="B112" i="1"/>
  <c r="C112" i="1"/>
  <c r="D112" i="1"/>
  <c r="E112" i="1"/>
  <c r="F112" i="1"/>
  <c r="G112" i="1"/>
  <c r="H112" i="1"/>
  <c r="I112" i="1"/>
  <c r="Q112" i="1"/>
  <c r="A113" i="1"/>
  <c r="B113" i="1"/>
  <c r="C113" i="1"/>
  <c r="D113" i="1"/>
  <c r="E113" i="1"/>
  <c r="F113" i="1"/>
  <c r="G113" i="1"/>
  <c r="H113" i="1"/>
  <c r="I113" i="1"/>
  <c r="Q113" i="1"/>
  <c r="A114" i="1"/>
  <c r="B114" i="1"/>
  <c r="C114" i="1"/>
  <c r="D114" i="1"/>
  <c r="E114" i="1"/>
  <c r="F114" i="1"/>
  <c r="G114" i="1"/>
  <c r="H114" i="1"/>
  <c r="I114" i="1"/>
  <c r="Q114" i="1"/>
  <c r="A115" i="1"/>
  <c r="B115" i="1"/>
  <c r="C115" i="1"/>
  <c r="D115" i="1"/>
  <c r="E115" i="1"/>
  <c r="F115" i="1"/>
  <c r="G115" i="1"/>
  <c r="H115" i="1"/>
  <c r="I115" i="1"/>
  <c r="Q115" i="1"/>
  <c r="A116" i="1"/>
  <c r="B116" i="1"/>
  <c r="C116" i="1"/>
  <c r="D116" i="1"/>
  <c r="E116" i="1"/>
  <c r="F116" i="1"/>
  <c r="G116" i="1"/>
  <c r="H116" i="1"/>
  <c r="I116" i="1"/>
  <c r="Q116" i="1"/>
  <c r="A117" i="1"/>
  <c r="B117" i="1"/>
  <c r="C117" i="1"/>
  <c r="D117" i="1"/>
  <c r="E117" i="1"/>
  <c r="F117" i="1"/>
  <c r="G117" i="1"/>
  <c r="H117" i="1"/>
  <c r="I117" i="1"/>
  <c r="Q117" i="1"/>
  <c r="A118" i="1"/>
  <c r="B118" i="1"/>
  <c r="C118" i="1"/>
  <c r="D118" i="1"/>
  <c r="E118" i="1"/>
  <c r="F118" i="1"/>
  <c r="G118" i="1"/>
  <c r="H118" i="1"/>
  <c r="I118" i="1"/>
  <c r="Q118" i="1"/>
  <c r="A119" i="1"/>
  <c r="B119" i="1"/>
  <c r="C119" i="1"/>
  <c r="D119" i="1"/>
  <c r="E119" i="1"/>
  <c r="F119" i="1"/>
  <c r="G119" i="1"/>
  <c r="H119" i="1"/>
  <c r="I119" i="1"/>
  <c r="Q119" i="1"/>
  <c r="A120" i="1"/>
  <c r="B120" i="1"/>
  <c r="C120" i="1"/>
  <c r="D120" i="1"/>
  <c r="E120" i="1"/>
  <c r="F120" i="1"/>
  <c r="G120" i="1"/>
  <c r="H120" i="1"/>
  <c r="I120" i="1"/>
  <c r="Q120" i="1"/>
  <c r="A121" i="1"/>
  <c r="B121" i="1"/>
  <c r="C121" i="1"/>
  <c r="D121" i="1"/>
  <c r="E121" i="1"/>
  <c r="F121" i="1"/>
  <c r="G121" i="1"/>
  <c r="H121" i="1"/>
  <c r="I121" i="1"/>
  <c r="Q121" i="1"/>
  <c r="A122" i="1"/>
  <c r="B122" i="1"/>
  <c r="C122" i="1"/>
  <c r="D122" i="1"/>
  <c r="E122" i="1"/>
  <c r="F122" i="1"/>
  <c r="G122" i="1"/>
  <c r="H122" i="1"/>
  <c r="I122" i="1"/>
  <c r="Q122" i="1"/>
  <c r="A123" i="1"/>
  <c r="B123" i="1"/>
  <c r="C123" i="1"/>
  <c r="D123" i="1"/>
  <c r="E123" i="1"/>
  <c r="F123" i="1"/>
  <c r="G123" i="1"/>
  <c r="H123" i="1"/>
  <c r="I123" i="1"/>
  <c r="Q123" i="1"/>
  <c r="A124" i="1"/>
  <c r="B124" i="1"/>
  <c r="C124" i="1"/>
  <c r="D124" i="1"/>
  <c r="E124" i="1"/>
  <c r="F124" i="1"/>
  <c r="G124" i="1"/>
  <c r="H124" i="1"/>
  <c r="I124" i="1"/>
  <c r="Q124" i="1"/>
  <c r="A125" i="1"/>
  <c r="B125" i="1"/>
  <c r="C125" i="1"/>
  <c r="D125" i="1"/>
  <c r="E125" i="1"/>
  <c r="F125" i="1"/>
  <c r="G125" i="1"/>
  <c r="H125" i="1"/>
  <c r="I125" i="1"/>
  <c r="Q125" i="1"/>
  <c r="A126" i="1"/>
  <c r="B126" i="1"/>
  <c r="C126" i="1"/>
  <c r="D126" i="1"/>
  <c r="E126" i="1"/>
  <c r="F126" i="1"/>
  <c r="G126" i="1"/>
  <c r="H126" i="1"/>
  <c r="I126" i="1"/>
  <c r="Q126" i="1"/>
  <c r="A127" i="1"/>
  <c r="B127" i="1"/>
  <c r="C127" i="1"/>
  <c r="D127" i="1"/>
  <c r="E127" i="1"/>
  <c r="F127" i="1"/>
  <c r="G127" i="1"/>
  <c r="H127" i="1"/>
  <c r="I127" i="1"/>
  <c r="Q127" i="1"/>
  <c r="A128" i="1"/>
  <c r="B128" i="1"/>
  <c r="C128" i="1"/>
  <c r="D128" i="1"/>
  <c r="E128" i="1"/>
  <c r="F128" i="1"/>
  <c r="G128" i="1"/>
  <c r="H128" i="1"/>
  <c r="I128" i="1"/>
  <c r="Q128" i="1"/>
  <c r="A129" i="1"/>
  <c r="B129" i="1"/>
  <c r="C129" i="1"/>
  <c r="D129" i="1"/>
  <c r="E129" i="1"/>
  <c r="F129" i="1"/>
  <c r="G129" i="1"/>
  <c r="H129" i="1"/>
  <c r="I129" i="1"/>
  <c r="Q129" i="1"/>
  <c r="A130" i="1"/>
  <c r="B130" i="1"/>
  <c r="C130" i="1"/>
  <c r="D130" i="1"/>
  <c r="E130" i="1"/>
  <c r="F130" i="1"/>
  <c r="G130" i="1"/>
  <c r="H130" i="1"/>
  <c r="I130" i="1"/>
  <c r="Q130" i="1"/>
  <c r="A131" i="1"/>
  <c r="B131" i="1"/>
  <c r="C131" i="1"/>
  <c r="D131" i="1"/>
  <c r="E131" i="1"/>
  <c r="F131" i="1"/>
  <c r="G131" i="1"/>
  <c r="H131" i="1"/>
  <c r="I131" i="1"/>
  <c r="Q131" i="1"/>
  <c r="A132" i="1"/>
  <c r="B132" i="1"/>
  <c r="C132" i="1"/>
  <c r="D132" i="1"/>
  <c r="E132" i="1"/>
  <c r="F132" i="1"/>
  <c r="G132" i="1"/>
  <c r="H132" i="1"/>
  <c r="I132" i="1"/>
  <c r="Q132" i="1"/>
  <c r="A133" i="1"/>
  <c r="B133" i="1"/>
  <c r="C133" i="1"/>
  <c r="D133" i="1"/>
  <c r="E133" i="1"/>
  <c r="F133" i="1"/>
  <c r="G133" i="1"/>
  <c r="H133" i="1"/>
  <c r="I133" i="1"/>
  <c r="Q133" i="1"/>
  <c r="A134" i="1"/>
  <c r="B134" i="1"/>
  <c r="C134" i="1"/>
  <c r="D134" i="1"/>
  <c r="E134" i="1"/>
  <c r="F134" i="1"/>
  <c r="G134" i="1"/>
  <c r="H134" i="1"/>
  <c r="I134" i="1"/>
  <c r="Q134" i="1"/>
  <c r="A135" i="1"/>
  <c r="B135" i="1"/>
  <c r="C135" i="1"/>
  <c r="D135" i="1"/>
  <c r="E135" i="1"/>
  <c r="F135" i="1"/>
  <c r="G135" i="1"/>
  <c r="H135" i="1"/>
  <c r="I135" i="1"/>
  <c r="Q135" i="1"/>
  <c r="A136" i="1"/>
  <c r="B136" i="1"/>
  <c r="C136" i="1"/>
  <c r="D136" i="1"/>
  <c r="E136" i="1"/>
  <c r="F136" i="1"/>
  <c r="G136" i="1"/>
  <c r="H136" i="1"/>
  <c r="I136" i="1"/>
  <c r="Q136" i="1"/>
  <c r="A137" i="1"/>
  <c r="B137" i="1"/>
  <c r="C137" i="1"/>
  <c r="D137" i="1"/>
  <c r="E137" i="1"/>
  <c r="F137" i="1"/>
  <c r="G137" i="1"/>
  <c r="H137" i="1"/>
  <c r="I137" i="1"/>
  <c r="Q137" i="1"/>
  <c r="A138" i="1"/>
  <c r="B138" i="1"/>
  <c r="C138" i="1"/>
  <c r="D138" i="1"/>
  <c r="E138" i="1"/>
  <c r="F138" i="1"/>
  <c r="G138" i="1"/>
  <c r="H138" i="1"/>
  <c r="I138" i="1"/>
  <c r="Q138" i="1"/>
  <c r="A139" i="1"/>
  <c r="B139" i="1"/>
  <c r="C139" i="1"/>
  <c r="D139" i="1"/>
  <c r="E139" i="1"/>
  <c r="F139" i="1"/>
  <c r="G139" i="1"/>
  <c r="H139" i="1"/>
  <c r="I139" i="1"/>
  <c r="Q139" i="1"/>
  <c r="A140" i="1"/>
  <c r="B140" i="1"/>
  <c r="C140" i="1"/>
  <c r="D140" i="1"/>
  <c r="E140" i="1"/>
  <c r="F140" i="1"/>
  <c r="G140" i="1"/>
  <c r="H140" i="1"/>
  <c r="I140" i="1"/>
  <c r="Q140" i="1"/>
  <c r="A141" i="1"/>
  <c r="B141" i="1"/>
  <c r="C141" i="1"/>
  <c r="D141" i="1"/>
  <c r="E141" i="1"/>
  <c r="F141" i="1"/>
  <c r="G141" i="1"/>
  <c r="H141" i="1"/>
  <c r="I141" i="1"/>
  <c r="Q141" i="1"/>
  <c r="A142" i="1"/>
  <c r="B142" i="1"/>
  <c r="C142" i="1"/>
  <c r="D142" i="1"/>
  <c r="E142" i="1"/>
  <c r="F142" i="1"/>
  <c r="G142" i="1"/>
  <c r="H142" i="1"/>
  <c r="I142" i="1"/>
  <c r="Q142" i="1"/>
  <c r="A143" i="1"/>
  <c r="B143" i="1"/>
  <c r="C143" i="1"/>
  <c r="D143" i="1"/>
  <c r="E143" i="1"/>
  <c r="F143" i="1"/>
  <c r="G143" i="1"/>
  <c r="H143" i="1"/>
  <c r="I143" i="1"/>
  <c r="Q143" i="1"/>
  <c r="A144" i="1"/>
  <c r="B144" i="1"/>
  <c r="C144" i="1"/>
  <c r="D144" i="1"/>
  <c r="E144" i="1"/>
  <c r="F144" i="1"/>
  <c r="G144" i="1"/>
  <c r="H144" i="1"/>
  <c r="I144" i="1"/>
  <c r="Q144" i="1"/>
  <c r="A145" i="1"/>
  <c r="B145" i="1"/>
  <c r="C145" i="1"/>
  <c r="D145" i="1"/>
  <c r="E145" i="1"/>
  <c r="F145" i="1"/>
  <c r="G145" i="1"/>
  <c r="H145" i="1"/>
  <c r="I145" i="1"/>
  <c r="Q145" i="1"/>
  <c r="A146" i="1"/>
  <c r="B146" i="1"/>
  <c r="C146" i="1"/>
  <c r="D146" i="1"/>
  <c r="E146" i="1"/>
  <c r="F146" i="1"/>
  <c r="G146" i="1"/>
  <c r="H146" i="1"/>
  <c r="I146" i="1"/>
  <c r="Q146" i="1"/>
  <c r="A147" i="1"/>
  <c r="B147" i="1"/>
  <c r="C147" i="1"/>
  <c r="D147" i="1"/>
  <c r="E147" i="1"/>
  <c r="F147" i="1"/>
  <c r="G147" i="1"/>
  <c r="H147" i="1"/>
  <c r="I147" i="1"/>
  <c r="Q147" i="1"/>
  <c r="A148" i="1"/>
  <c r="B148" i="1"/>
  <c r="C148" i="1"/>
  <c r="D148" i="1"/>
  <c r="E148" i="1"/>
  <c r="F148" i="1"/>
  <c r="G148" i="1"/>
  <c r="H148" i="1"/>
  <c r="I148" i="1"/>
  <c r="Q148" i="1"/>
  <c r="A149" i="1"/>
  <c r="B149" i="1"/>
  <c r="C149" i="1"/>
  <c r="D149" i="1"/>
  <c r="E149" i="1"/>
  <c r="F149" i="1"/>
  <c r="G149" i="1"/>
  <c r="H149" i="1"/>
  <c r="I149" i="1"/>
  <c r="Q149" i="1"/>
  <c r="A150" i="1"/>
  <c r="B150" i="1"/>
  <c r="C150" i="1"/>
  <c r="D150" i="1"/>
  <c r="E150" i="1"/>
  <c r="F150" i="1"/>
  <c r="G150" i="1"/>
  <c r="H150" i="1"/>
  <c r="I150" i="1"/>
  <c r="Q150" i="1"/>
  <c r="A151" i="1"/>
  <c r="B151" i="1"/>
  <c r="C151" i="1"/>
  <c r="D151" i="1"/>
  <c r="E151" i="1"/>
  <c r="F151" i="1"/>
  <c r="G151" i="1"/>
  <c r="H151" i="1"/>
  <c r="I151" i="1"/>
  <c r="Q151" i="1"/>
  <c r="A152" i="1"/>
  <c r="B152" i="1"/>
  <c r="C152" i="1"/>
  <c r="D152" i="1"/>
  <c r="E152" i="1"/>
  <c r="F152" i="1"/>
  <c r="G152" i="1"/>
  <c r="H152" i="1"/>
  <c r="I152" i="1"/>
  <c r="Q152" i="1"/>
  <c r="A153" i="1"/>
  <c r="B153" i="1"/>
  <c r="C153" i="1"/>
  <c r="D153" i="1"/>
  <c r="E153" i="1"/>
  <c r="F153" i="1"/>
  <c r="G153" i="1"/>
  <c r="H153" i="1"/>
  <c r="I153" i="1"/>
  <c r="Q153" i="1"/>
  <c r="A154" i="1"/>
  <c r="B154" i="1"/>
  <c r="C154" i="1"/>
  <c r="D154" i="1"/>
  <c r="E154" i="1"/>
  <c r="F154" i="1"/>
  <c r="G154" i="1"/>
  <c r="H154" i="1"/>
  <c r="I154" i="1"/>
  <c r="Q154" i="1"/>
  <c r="A155" i="1"/>
  <c r="B155" i="1"/>
  <c r="C155" i="1"/>
  <c r="D155" i="1"/>
  <c r="E155" i="1"/>
  <c r="F155" i="1"/>
  <c r="G155" i="1"/>
  <c r="H155" i="1"/>
  <c r="I155" i="1"/>
  <c r="Q155" i="1"/>
  <c r="A156" i="1"/>
  <c r="B156" i="1"/>
  <c r="C156" i="1"/>
  <c r="D156" i="1"/>
  <c r="E156" i="1"/>
  <c r="F156" i="1"/>
  <c r="G156" i="1"/>
  <c r="H156" i="1"/>
  <c r="I156" i="1"/>
  <c r="Q156" i="1"/>
  <c r="A157" i="1"/>
  <c r="B157" i="1"/>
  <c r="C157" i="1"/>
  <c r="D157" i="1"/>
  <c r="E157" i="1"/>
  <c r="F157" i="1"/>
  <c r="G157" i="1"/>
  <c r="H157" i="1"/>
  <c r="I157" i="1"/>
  <c r="Q157" i="1"/>
  <c r="A158" i="1"/>
  <c r="B158" i="1"/>
  <c r="C158" i="1"/>
  <c r="D158" i="1"/>
  <c r="E158" i="1"/>
  <c r="F158" i="1"/>
  <c r="G158" i="1"/>
  <c r="H158" i="1"/>
  <c r="I158" i="1"/>
  <c r="Q158" i="1"/>
  <c r="A159" i="1"/>
  <c r="B159" i="1"/>
  <c r="C159" i="1"/>
  <c r="D159" i="1"/>
  <c r="E159" i="1"/>
  <c r="F159" i="1"/>
  <c r="G159" i="1"/>
  <c r="H159" i="1"/>
  <c r="I159" i="1"/>
  <c r="Q159" i="1"/>
  <c r="A160" i="1"/>
  <c r="B160" i="1"/>
  <c r="C160" i="1"/>
  <c r="D160" i="1"/>
  <c r="E160" i="1"/>
  <c r="F160" i="1"/>
  <c r="G160" i="1"/>
  <c r="H160" i="1"/>
  <c r="I160" i="1"/>
  <c r="Q160" i="1"/>
  <c r="A161" i="1"/>
  <c r="B161" i="1"/>
  <c r="C161" i="1"/>
  <c r="D161" i="1"/>
  <c r="E161" i="1"/>
  <c r="F161" i="1"/>
  <c r="G161" i="1"/>
  <c r="H161" i="1"/>
  <c r="I161" i="1"/>
  <c r="Q161" i="1"/>
  <c r="A162" i="1"/>
  <c r="B162" i="1"/>
  <c r="C162" i="1"/>
  <c r="D162" i="1"/>
  <c r="E162" i="1"/>
  <c r="F162" i="1"/>
  <c r="G162" i="1"/>
  <c r="H162" i="1"/>
  <c r="I162" i="1"/>
  <c r="Q162" i="1"/>
  <c r="A163" i="1"/>
  <c r="B163" i="1"/>
  <c r="C163" i="1"/>
  <c r="D163" i="1"/>
  <c r="E163" i="1"/>
  <c r="F163" i="1"/>
  <c r="G163" i="1"/>
  <c r="H163" i="1"/>
  <c r="I163" i="1"/>
  <c r="Q163" i="1"/>
  <c r="A164" i="1"/>
  <c r="B164" i="1"/>
  <c r="C164" i="1"/>
  <c r="D164" i="1"/>
  <c r="E164" i="1"/>
  <c r="F164" i="1"/>
  <c r="G164" i="1"/>
  <c r="H164" i="1"/>
  <c r="I164" i="1"/>
  <c r="Q164" i="1"/>
  <c r="A165" i="1"/>
  <c r="B165" i="1"/>
  <c r="C165" i="1"/>
  <c r="D165" i="1"/>
  <c r="E165" i="1"/>
  <c r="F165" i="1"/>
  <c r="G165" i="1"/>
  <c r="H165" i="1"/>
  <c r="I165" i="1"/>
  <c r="Q165" i="1"/>
  <c r="A166" i="1"/>
  <c r="B166" i="1"/>
  <c r="C166" i="1"/>
  <c r="D166" i="1"/>
  <c r="E166" i="1"/>
  <c r="F166" i="1"/>
  <c r="G166" i="1"/>
  <c r="H166" i="1"/>
  <c r="I166" i="1"/>
  <c r="Q166" i="1"/>
  <c r="A167" i="1"/>
  <c r="B167" i="1"/>
  <c r="C167" i="1"/>
  <c r="D167" i="1"/>
  <c r="E167" i="1"/>
  <c r="F167" i="1"/>
  <c r="G167" i="1"/>
  <c r="H167" i="1"/>
  <c r="I167" i="1"/>
  <c r="Q167" i="1"/>
  <c r="A168" i="1"/>
  <c r="B168" i="1"/>
  <c r="C168" i="1"/>
  <c r="D168" i="1"/>
  <c r="E168" i="1"/>
  <c r="F168" i="1"/>
  <c r="G168" i="1"/>
  <c r="H168" i="1"/>
  <c r="I168" i="1"/>
  <c r="Q168" i="1"/>
  <c r="A169" i="1"/>
  <c r="B169" i="1"/>
  <c r="C169" i="1"/>
  <c r="D169" i="1"/>
  <c r="E169" i="1"/>
  <c r="F169" i="1"/>
  <c r="G169" i="1"/>
  <c r="H169" i="1"/>
  <c r="I169" i="1"/>
  <c r="Q169" i="1"/>
  <c r="A170" i="1"/>
  <c r="B170" i="1"/>
  <c r="C170" i="1"/>
  <c r="D170" i="1"/>
  <c r="E170" i="1"/>
  <c r="F170" i="1"/>
  <c r="G170" i="1"/>
  <c r="H170" i="1"/>
  <c r="I170" i="1"/>
  <c r="Q170" i="1"/>
  <c r="A171" i="1"/>
  <c r="B171" i="1"/>
  <c r="C171" i="1"/>
  <c r="D171" i="1"/>
  <c r="E171" i="1"/>
  <c r="F171" i="1"/>
  <c r="G171" i="1"/>
  <c r="H171" i="1"/>
  <c r="I171" i="1"/>
  <c r="Q171" i="1"/>
  <c r="A172" i="1"/>
  <c r="B172" i="1"/>
  <c r="C172" i="1"/>
  <c r="D172" i="1"/>
  <c r="E172" i="1"/>
  <c r="F172" i="1"/>
  <c r="G172" i="1"/>
  <c r="H172" i="1"/>
  <c r="I172" i="1"/>
  <c r="Q172" i="1"/>
  <c r="A173" i="1"/>
  <c r="B173" i="1"/>
  <c r="C173" i="1"/>
  <c r="D173" i="1"/>
  <c r="E173" i="1"/>
  <c r="F173" i="1"/>
  <c r="G173" i="1"/>
  <c r="H173" i="1"/>
  <c r="I173" i="1"/>
  <c r="Q173" i="1"/>
  <c r="A174" i="1"/>
  <c r="B174" i="1"/>
  <c r="C174" i="1"/>
  <c r="D174" i="1"/>
  <c r="E174" i="1"/>
  <c r="F174" i="1"/>
  <c r="G174" i="1"/>
  <c r="H174" i="1"/>
  <c r="I174" i="1"/>
  <c r="Q174" i="1"/>
  <c r="A175" i="1"/>
  <c r="B175" i="1"/>
  <c r="C175" i="1"/>
  <c r="D175" i="1"/>
  <c r="E175" i="1"/>
  <c r="F175" i="1"/>
  <c r="G175" i="1"/>
  <c r="H175" i="1"/>
  <c r="I175" i="1"/>
  <c r="Q175" i="1"/>
  <c r="A176" i="1"/>
  <c r="B176" i="1"/>
  <c r="C176" i="1"/>
  <c r="D176" i="1"/>
  <c r="E176" i="1"/>
  <c r="F176" i="1"/>
  <c r="G176" i="1"/>
  <c r="H176" i="1"/>
  <c r="I176" i="1"/>
  <c r="Q176" i="1"/>
  <c r="A177" i="1"/>
  <c r="B177" i="1"/>
  <c r="C177" i="1"/>
  <c r="D177" i="1"/>
  <c r="E177" i="1"/>
  <c r="F177" i="1"/>
  <c r="G177" i="1"/>
  <c r="H177" i="1"/>
  <c r="I177" i="1"/>
  <c r="Q177" i="1"/>
  <c r="A178" i="1"/>
  <c r="B178" i="1"/>
  <c r="C178" i="1"/>
  <c r="D178" i="1"/>
  <c r="E178" i="1"/>
  <c r="F178" i="1"/>
  <c r="G178" i="1"/>
  <c r="H178" i="1"/>
  <c r="I178" i="1"/>
  <c r="Q178" i="1"/>
  <c r="A179" i="1"/>
  <c r="B179" i="1"/>
  <c r="C179" i="1"/>
  <c r="D179" i="1"/>
  <c r="E179" i="1"/>
  <c r="F179" i="1"/>
  <c r="G179" i="1"/>
  <c r="H179" i="1"/>
  <c r="I179" i="1"/>
  <c r="Q179" i="1"/>
  <c r="A180" i="1"/>
  <c r="B180" i="1"/>
  <c r="C180" i="1"/>
  <c r="D180" i="1"/>
  <c r="E180" i="1"/>
  <c r="F180" i="1"/>
  <c r="G180" i="1"/>
  <c r="H180" i="1"/>
  <c r="I180" i="1"/>
  <c r="Q180" i="1"/>
  <c r="A181" i="1"/>
  <c r="B181" i="1"/>
  <c r="C181" i="1"/>
  <c r="D181" i="1"/>
  <c r="E181" i="1"/>
  <c r="F181" i="1"/>
  <c r="G181" i="1"/>
  <c r="H181" i="1"/>
  <c r="I181" i="1"/>
  <c r="Q181" i="1"/>
  <c r="A182" i="1"/>
  <c r="B182" i="1"/>
  <c r="C182" i="1"/>
  <c r="D182" i="1"/>
  <c r="E182" i="1"/>
  <c r="F182" i="1"/>
  <c r="G182" i="1"/>
  <c r="H182" i="1"/>
  <c r="I182" i="1"/>
  <c r="Q182" i="1"/>
  <c r="A183" i="1"/>
  <c r="B183" i="1"/>
  <c r="C183" i="1"/>
  <c r="D183" i="1"/>
  <c r="E183" i="1"/>
  <c r="F183" i="1"/>
  <c r="G183" i="1"/>
  <c r="H183" i="1"/>
  <c r="I183" i="1"/>
  <c r="Q183" i="1"/>
  <c r="A184" i="1"/>
  <c r="B184" i="1"/>
  <c r="C184" i="1"/>
  <c r="D184" i="1"/>
  <c r="E184" i="1"/>
  <c r="F184" i="1"/>
  <c r="G184" i="1"/>
  <c r="H184" i="1"/>
  <c r="I184" i="1"/>
  <c r="Q184" i="1"/>
  <c r="A185" i="1"/>
  <c r="B185" i="1"/>
  <c r="C185" i="1"/>
  <c r="D185" i="1"/>
  <c r="E185" i="1"/>
  <c r="F185" i="1"/>
  <c r="G185" i="1"/>
  <c r="H185" i="1"/>
  <c r="I185" i="1"/>
  <c r="Q185" i="1"/>
  <c r="A186" i="1"/>
  <c r="B186" i="1"/>
  <c r="C186" i="1"/>
  <c r="D186" i="1"/>
  <c r="E186" i="1"/>
  <c r="F186" i="1"/>
  <c r="G186" i="1"/>
  <c r="H186" i="1"/>
  <c r="I186" i="1"/>
  <c r="Q186" i="1"/>
  <c r="A187" i="1"/>
  <c r="B187" i="1"/>
  <c r="C187" i="1"/>
  <c r="D187" i="1"/>
  <c r="E187" i="1"/>
  <c r="F187" i="1"/>
  <c r="G187" i="1"/>
  <c r="H187" i="1"/>
  <c r="I187" i="1"/>
  <c r="Q187" i="1"/>
  <c r="A188" i="1"/>
  <c r="B188" i="1"/>
  <c r="C188" i="1"/>
  <c r="D188" i="1"/>
  <c r="E188" i="1"/>
  <c r="F188" i="1"/>
  <c r="G188" i="1"/>
  <c r="H188" i="1"/>
  <c r="I188" i="1"/>
  <c r="Q188" i="1"/>
  <c r="A189" i="1"/>
  <c r="B189" i="1"/>
  <c r="C189" i="1"/>
  <c r="D189" i="1"/>
  <c r="E189" i="1"/>
  <c r="F189" i="1"/>
  <c r="G189" i="1"/>
  <c r="H189" i="1"/>
  <c r="I189" i="1"/>
  <c r="Q189" i="1"/>
  <c r="A190" i="1"/>
  <c r="B190" i="1"/>
  <c r="C190" i="1"/>
  <c r="D190" i="1"/>
  <c r="E190" i="1"/>
  <c r="F190" i="1"/>
  <c r="G190" i="1"/>
  <c r="H190" i="1"/>
  <c r="I190" i="1"/>
  <c r="Q190" i="1"/>
  <c r="A191" i="1"/>
  <c r="B191" i="1"/>
  <c r="C191" i="1"/>
  <c r="D191" i="1"/>
  <c r="E191" i="1"/>
  <c r="F191" i="1"/>
  <c r="G191" i="1"/>
  <c r="H191" i="1"/>
  <c r="I191" i="1"/>
  <c r="Q191" i="1"/>
  <c r="A192" i="1"/>
  <c r="B192" i="1"/>
  <c r="C192" i="1"/>
  <c r="D192" i="1"/>
  <c r="E192" i="1"/>
  <c r="F192" i="1"/>
  <c r="G192" i="1"/>
  <c r="H192" i="1"/>
  <c r="I192" i="1"/>
  <c r="Q192" i="1"/>
  <c r="A193" i="1"/>
  <c r="B193" i="1"/>
  <c r="C193" i="1"/>
  <c r="D193" i="1"/>
  <c r="E193" i="1"/>
  <c r="F193" i="1"/>
  <c r="G193" i="1"/>
  <c r="H193" i="1"/>
  <c r="I193" i="1"/>
  <c r="Q193" i="1"/>
  <c r="A194" i="1"/>
  <c r="B194" i="1"/>
  <c r="C194" i="1"/>
  <c r="D194" i="1"/>
  <c r="E194" i="1"/>
  <c r="F194" i="1"/>
  <c r="G194" i="1"/>
  <c r="H194" i="1"/>
  <c r="I194" i="1"/>
  <c r="Q194" i="1"/>
  <c r="A195" i="1"/>
  <c r="B195" i="1"/>
  <c r="C195" i="1"/>
  <c r="D195" i="1"/>
  <c r="E195" i="1"/>
  <c r="F195" i="1"/>
  <c r="G195" i="1"/>
  <c r="H195" i="1"/>
  <c r="I195" i="1"/>
  <c r="Q195" i="1"/>
  <c r="A196" i="1"/>
  <c r="B196" i="1"/>
  <c r="C196" i="1"/>
  <c r="D196" i="1"/>
  <c r="E196" i="1"/>
  <c r="F196" i="1"/>
  <c r="G196" i="1"/>
  <c r="H196" i="1"/>
  <c r="I196" i="1"/>
  <c r="Q196" i="1"/>
  <c r="A197" i="1"/>
  <c r="B197" i="1"/>
  <c r="C197" i="1"/>
  <c r="D197" i="1"/>
  <c r="E197" i="1"/>
  <c r="F197" i="1"/>
  <c r="G197" i="1"/>
  <c r="H197" i="1"/>
  <c r="I197" i="1"/>
  <c r="Q197" i="1"/>
  <c r="A198" i="1"/>
  <c r="B198" i="1"/>
  <c r="C198" i="1"/>
  <c r="D198" i="1"/>
  <c r="E198" i="1"/>
  <c r="F198" i="1"/>
  <c r="G198" i="1"/>
  <c r="H198" i="1"/>
  <c r="I198" i="1"/>
  <c r="Q198" i="1"/>
  <c r="A199" i="1"/>
  <c r="B199" i="1"/>
  <c r="C199" i="1"/>
  <c r="D199" i="1"/>
  <c r="E199" i="1"/>
  <c r="F199" i="1"/>
  <c r="G199" i="1"/>
  <c r="H199" i="1"/>
  <c r="I199" i="1"/>
  <c r="Q199" i="1"/>
  <c r="A200" i="1"/>
  <c r="B200" i="1"/>
  <c r="C200" i="1"/>
  <c r="D200" i="1"/>
  <c r="E200" i="1"/>
  <c r="F200" i="1"/>
  <c r="G200" i="1"/>
  <c r="H200" i="1"/>
  <c r="I200" i="1"/>
  <c r="Q200" i="1"/>
  <c r="A201" i="1"/>
  <c r="B201" i="1"/>
  <c r="C201" i="1"/>
  <c r="D201" i="1"/>
  <c r="E201" i="1"/>
  <c r="F201" i="1"/>
  <c r="G201" i="1"/>
  <c r="H201" i="1"/>
  <c r="I201" i="1"/>
  <c r="Q201" i="1"/>
  <c r="A202" i="1"/>
  <c r="B202" i="1"/>
  <c r="C202" i="1"/>
  <c r="D202" i="1"/>
  <c r="E202" i="1"/>
  <c r="F202" i="1"/>
  <c r="G202" i="1"/>
  <c r="H202" i="1"/>
  <c r="I202" i="1"/>
  <c r="Q202" i="1"/>
  <c r="A203" i="1"/>
  <c r="B203" i="1"/>
  <c r="C203" i="1"/>
  <c r="D203" i="1"/>
  <c r="E203" i="1"/>
  <c r="F203" i="1"/>
  <c r="G203" i="1"/>
  <c r="H203" i="1"/>
  <c r="I203" i="1"/>
  <c r="Q203" i="1"/>
  <c r="A204" i="1"/>
  <c r="B204" i="1"/>
  <c r="C204" i="1"/>
  <c r="D204" i="1"/>
  <c r="E204" i="1"/>
  <c r="F204" i="1"/>
  <c r="G204" i="1"/>
  <c r="H204" i="1"/>
  <c r="I204" i="1"/>
  <c r="Q204" i="1"/>
  <c r="A205" i="1"/>
  <c r="B205" i="1"/>
  <c r="C205" i="1"/>
  <c r="D205" i="1"/>
  <c r="E205" i="1"/>
  <c r="F205" i="1"/>
  <c r="G205" i="1"/>
  <c r="H205" i="1"/>
  <c r="I205" i="1"/>
  <c r="Q205" i="1"/>
  <c r="A206" i="1"/>
  <c r="B206" i="1"/>
  <c r="C206" i="1"/>
  <c r="D206" i="1"/>
  <c r="E206" i="1"/>
  <c r="F206" i="1"/>
  <c r="G206" i="1"/>
  <c r="H206" i="1"/>
  <c r="I206" i="1"/>
  <c r="Q206" i="1"/>
  <c r="A207" i="1"/>
  <c r="B207" i="1"/>
  <c r="C207" i="1"/>
  <c r="D207" i="1"/>
  <c r="E207" i="1"/>
  <c r="F207" i="1"/>
  <c r="G207" i="1"/>
  <c r="H207" i="1"/>
  <c r="I207" i="1"/>
  <c r="Q207" i="1"/>
  <c r="A208" i="1"/>
  <c r="B208" i="1"/>
  <c r="C208" i="1"/>
  <c r="D208" i="1"/>
  <c r="E208" i="1"/>
  <c r="F208" i="1"/>
  <c r="G208" i="1"/>
  <c r="H208" i="1"/>
  <c r="I208" i="1"/>
  <c r="Q208" i="1"/>
  <c r="A209" i="1"/>
  <c r="B209" i="1"/>
  <c r="C209" i="1"/>
  <c r="D209" i="1"/>
  <c r="E209" i="1"/>
  <c r="F209" i="1"/>
  <c r="G209" i="1"/>
  <c r="H209" i="1"/>
  <c r="I209" i="1"/>
  <c r="Q209" i="1"/>
  <c r="A210" i="1"/>
  <c r="B210" i="1"/>
  <c r="C210" i="1"/>
  <c r="D210" i="1"/>
  <c r="E210" i="1"/>
  <c r="F210" i="1"/>
  <c r="G210" i="1"/>
  <c r="H210" i="1"/>
  <c r="I210" i="1"/>
  <c r="Q210" i="1"/>
  <c r="A211" i="1"/>
  <c r="B211" i="1"/>
  <c r="C211" i="1"/>
  <c r="D211" i="1"/>
  <c r="E211" i="1"/>
  <c r="F211" i="1"/>
  <c r="G211" i="1"/>
  <c r="H211" i="1"/>
  <c r="I211" i="1"/>
  <c r="Q211" i="1"/>
  <c r="A212" i="1"/>
  <c r="B212" i="1"/>
  <c r="C212" i="1"/>
  <c r="D212" i="1"/>
  <c r="E212" i="1"/>
  <c r="F212" i="1"/>
  <c r="G212" i="1"/>
  <c r="H212" i="1"/>
  <c r="I212" i="1"/>
  <c r="Q212" i="1"/>
  <c r="A213" i="1"/>
  <c r="B213" i="1"/>
  <c r="C213" i="1"/>
  <c r="D213" i="1"/>
  <c r="E213" i="1"/>
  <c r="F213" i="1"/>
  <c r="G213" i="1"/>
  <c r="H213" i="1"/>
  <c r="I213" i="1"/>
  <c r="Q213" i="1"/>
  <c r="A214" i="1"/>
  <c r="B214" i="1"/>
  <c r="C214" i="1"/>
  <c r="D214" i="1"/>
  <c r="E214" i="1"/>
  <c r="F214" i="1"/>
  <c r="G214" i="1"/>
  <c r="H214" i="1"/>
  <c r="I214" i="1"/>
  <c r="Q214" i="1"/>
  <c r="A215" i="1"/>
  <c r="B215" i="1"/>
  <c r="C215" i="1"/>
  <c r="D215" i="1"/>
  <c r="E215" i="1"/>
  <c r="F215" i="1"/>
  <c r="G215" i="1"/>
  <c r="H215" i="1"/>
  <c r="I215" i="1"/>
  <c r="Q215" i="1"/>
  <c r="A216" i="1"/>
  <c r="B216" i="1"/>
  <c r="C216" i="1"/>
  <c r="D216" i="1"/>
  <c r="E216" i="1"/>
  <c r="F216" i="1"/>
  <c r="G216" i="1"/>
  <c r="H216" i="1"/>
  <c r="I216" i="1"/>
  <c r="Q216" i="1"/>
  <c r="A217" i="1"/>
  <c r="B217" i="1"/>
  <c r="C217" i="1"/>
  <c r="D217" i="1"/>
  <c r="E217" i="1"/>
  <c r="F217" i="1"/>
  <c r="G217" i="1"/>
  <c r="H217" i="1"/>
  <c r="I217" i="1"/>
  <c r="Q217" i="1"/>
  <c r="A218" i="1"/>
  <c r="B218" i="1"/>
  <c r="C218" i="1"/>
  <c r="D218" i="1"/>
  <c r="E218" i="1"/>
  <c r="F218" i="1"/>
  <c r="G218" i="1"/>
  <c r="H218" i="1"/>
  <c r="I218" i="1"/>
  <c r="Q218" i="1"/>
  <c r="A219" i="1"/>
  <c r="B219" i="1"/>
  <c r="C219" i="1"/>
  <c r="D219" i="1"/>
  <c r="E219" i="1"/>
  <c r="F219" i="1"/>
  <c r="G219" i="1"/>
  <c r="H219" i="1"/>
  <c r="I219" i="1"/>
  <c r="Q219" i="1"/>
  <c r="A220" i="1"/>
  <c r="B220" i="1"/>
  <c r="C220" i="1"/>
  <c r="D220" i="1"/>
  <c r="E220" i="1"/>
  <c r="F220" i="1"/>
  <c r="G220" i="1"/>
  <c r="H220" i="1"/>
  <c r="I220" i="1"/>
  <c r="Q220" i="1"/>
  <c r="A221" i="1"/>
  <c r="B221" i="1"/>
  <c r="C221" i="1"/>
  <c r="D221" i="1"/>
  <c r="E221" i="1"/>
  <c r="F221" i="1"/>
  <c r="G221" i="1"/>
  <c r="H221" i="1"/>
  <c r="I221" i="1"/>
  <c r="Q221" i="1"/>
  <c r="A222" i="1"/>
  <c r="B222" i="1"/>
  <c r="C222" i="1"/>
  <c r="D222" i="1"/>
  <c r="E222" i="1"/>
  <c r="F222" i="1"/>
  <c r="G222" i="1"/>
  <c r="H222" i="1"/>
  <c r="I222" i="1"/>
  <c r="Q222" i="1"/>
  <c r="A223" i="1"/>
  <c r="B223" i="1"/>
  <c r="C223" i="1"/>
  <c r="D223" i="1"/>
  <c r="E223" i="1"/>
  <c r="F223" i="1"/>
  <c r="G223" i="1"/>
  <c r="H223" i="1"/>
  <c r="I223" i="1"/>
  <c r="Q223" i="1"/>
  <c r="A224" i="1"/>
  <c r="B224" i="1"/>
  <c r="C224" i="1"/>
  <c r="D224" i="1"/>
  <c r="E224" i="1"/>
  <c r="F224" i="1"/>
  <c r="G224" i="1"/>
  <c r="H224" i="1"/>
  <c r="I224" i="1"/>
  <c r="Q224" i="1"/>
  <c r="A225" i="1"/>
  <c r="B225" i="1"/>
  <c r="C225" i="1"/>
  <c r="D225" i="1"/>
  <c r="E225" i="1"/>
  <c r="F225" i="1"/>
  <c r="G225" i="1"/>
  <c r="H225" i="1"/>
  <c r="I225" i="1"/>
  <c r="Q225" i="1"/>
  <c r="A226" i="1"/>
  <c r="B226" i="1"/>
  <c r="C226" i="1"/>
  <c r="D226" i="1"/>
  <c r="E226" i="1"/>
  <c r="F226" i="1"/>
  <c r="G226" i="1"/>
  <c r="H226" i="1"/>
  <c r="I226" i="1"/>
  <c r="Q226" i="1"/>
  <c r="A227" i="1"/>
  <c r="B227" i="1"/>
  <c r="C227" i="1"/>
  <c r="D227" i="1"/>
  <c r="E227" i="1"/>
  <c r="F227" i="1"/>
  <c r="G227" i="1"/>
  <c r="H227" i="1"/>
  <c r="I227" i="1"/>
  <c r="Q227" i="1"/>
  <c r="A228" i="1"/>
  <c r="B228" i="1"/>
  <c r="C228" i="1"/>
  <c r="D228" i="1"/>
  <c r="E228" i="1"/>
  <c r="F228" i="1"/>
  <c r="G228" i="1"/>
  <c r="H228" i="1"/>
  <c r="I228" i="1"/>
  <c r="Q228" i="1"/>
  <c r="A229" i="1"/>
  <c r="B229" i="1"/>
  <c r="C229" i="1"/>
  <c r="D229" i="1"/>
  <c r="E229" i="1"/>
  <c r="F229" i="1"/>
  <c r="G229" i="1"/>
  <c r="H229" i="1"/>
  <c r="I229" i="1"/>
  <c r="Q229" i="1"/>
  <c r="A230" i="1"/>
  <c r="B230" i="1"/>
  <c r="C230" i="1"/>
  <c r="D230" i="1"/>
  <c r="E230" i="1"/>
  <c r="F230" i="1"/>
  <c r="G230" i="1"/>
  <c r="H230" i="1"/>
  <c r="I230" i="1"/>
  <c r="Q230" i="1"/>
  <c r="A231" i="1"/>
  <c r="B231" i="1"/>
  <c r="C231" i="1"/>
  <c r="D231" i="1"/>
  <c r="E231" i="1"/>
  <c r="F231" i="1"/>
  <c r="G231" i="1"/>
  <c r="H231" i="1"/>
  <c r="I231" i="1"/>
  <c r="Q231" i="1"/>
  <c r="A232" i="1"/>
  <c r="B232" i="1"/>
  <c r="C232" i="1"/>
  <c r="D232" i="1"/>
  <c r="E232" i="1"/>
  <c r="F232" i="1"/>
  <c r="G232" i="1"/>
  <c r="H232" i="1"/>
  <c r="I232" i="1"/>
  <c r="Q232" i="1"/>
  <c r="A233" i="1"/>
  <c r="B233" i="1"/>
  <c r="C233" i="1"/>
  <c r="D233" i="1"/>
  <c r="E233" i="1"/>
  <c r="F233" i="1"/>
  <c r="G233" i="1"/>
  <c r="H233" i="1"/>
  <c r="I233" i="1"/>
  <c r="Q233" i="1"/>
  <c r="A234" i="1"/>
  <c r="B234" i="1"/>
  <c r="C234" i="1"/>
  <c r="D234" i="1"/>
  <c r="E234" i="1"/>
  <c r="F234" i="1"/>
  <c r="G234" i="1"/>
  <c r="H234" i="1"/>
  <c r="I234" i="1"/>
  <c r="Q234" i="1"/>
  <c r="A235" i="1"/>
  <c r="B235" i="1"/>
  <c r="C235" i="1"/>
  <c r="D235" i="1"/>
  <c r="E235" i="1"/>
  <c r="F235" i="1"/>
  <c r="G235" i="1"/>
  <c r="H235" i="1"/>
  <c r="I235" i="1"/>
  <c r="Q235" i="1"/>
  <c r="A236" i="1"/>
  <c r="B236" i="1"/>
  <c r="C236" i="1"/>
  <c r="D236" i="1"/>
  <c r="E236" i="1"/>
  <c r="F236" i="1"/>
  <c r="G236" i="1"/>
  <c r="H236" i="1"/>
  <c r="I236" i="1"/>
  <c r="Q236" i="1"/>
  <c r="A237" i="1"/>
  <c r="B237" i="1"/>
  <c r="C237" i="1"/>
  <c r="D237" i="1"/>
  <c r="E237" i="1"/>
  <c r="F237" i="1"/>
  <c r="G237" i="1"/>
  <c r="H237" i="1"/>
  <c r="I237" i="1"/>
  <c r="Q237" i="1"/>
  <c r="A238" i="1"/>
  <c r="B238" i="1"/>
  <c r="C238" i="1"/>
  <c r="D238" i="1"/>
  <c r="E238" i="1"/>
  <c r="F238" i="1"/>
  <c r="G238" i="1"/>
  <c r="H238" i="1"/>
  <c r="I238" i="1"/>
  <c r="Q238" i="1"/>
  <c r="A239" i="1"/>
  <c r="B239" i="1"/>
  <c r="C239" i="1"/>
  <c r="D239" i="1"/>
  <c r="E239" i="1"/>
  <c r="F239" i="1"/>
  <c r="G239" i="1"/>
  <c r="H239" i="1"/>
  <c r="I239" i="1"/>
  <c r="Q239" i="1"/>
  <c r="A240" i="1"/>
  <c r="B240" i="1"/>
  <c r="C240" i="1"/>
  <c r="D240" i="1"/>
  <c r="E240" i="1"/>
  <c r="F240" i="1"/>
  <c r="G240" i="1"/>
  <c r="H240" i="1"/>
  <c r="I240" i="1"/>
  <c r="Q240" i="1"/>
  <c r="A241" i="1"/>
  <c r="B241" i="1"/>
  <c r="C241" i="1"/>
  <c r="D241" i="1"/>
  <c r="E241" i="1"/>
  <c r="F241" i="1"/>
  <c r="G241" i="1"/>
  <c r="H241" i="1"/>
  <c r="I241" i="1"/>
  <c r="Q241" i="1"/>
  <c r="A242" i="1"/>
  <c r="B242" i="1"/>
  <c r="C242" i="1"/>
  <c r="D242" i="1"/>
  <c r="E242" i="1"/>
  <c r="F242" i="1"/>
  <c r="G242" i="1"/>
  <c r="H242" i="1"/>
  <c r="I242" i="1"/>
  <c r="Q242" i="1"/>
  <c r="A243" i="1"/>
  <c r="B243" i="1"/>
  <c r="C243" i="1"/>
  <c r="D243" i="1"/>
  <c r="E243" i="1"/>
  <c r="F243" i="1"/>
  <c r="G243" i="1"/>
  <c r="H243" i="1"/>
  <c r="I243" i="1"/>
  <c r="Q243" i="1"/>
  <c r="A244" i="1"/>
  <c r="B244" i="1"/>
  <c r="C244" i="1"/>
  <c r="D244" i="1"/>
  <c r="E244" i="1"/>
  <c r="F244" i="1"/>
  <c r="G244" i="1"/>
  <c r="H244" i="1"/>
  <c r="I244" i="1"/>
  <c r="Q244" i="1"/>
  <c r="A245" i="1"/>
  <c r="B245" i="1"/>
  <c r="C245" i="1"/>
  <c r="D245" i="1"/>
  <c r="E245" i="1"/>
  <c r="F245" i="1"/>
  <c r="G245" i="1"/>
  <c r="H245" i="1"/>
  <c r="I245" i="1"/>
  <c r="Q245" i="1"/>
  <c r="A246" i="1"/>
  <c r="B246" i="1"/>
  <c r="C246" i="1"/>
  <c r="D246" i="1"/>
  <c r="E246" i="1"/>
  <c r="F246" i="1"/>
  <c r="G246" i="1"/>
  <c r="H246" i="1"/>
  <c r="I246" i="1"/>
  <c r="Q246" i="1"/>
  <c r="A247" i="1"/>
  <c r="B247" i="1"/>
  <c r="C247" i="1"/>
  <c r="D247" i="1"/>
  <c r="E247" i="1"/>
  <c r="F247" i="1"/>
  <c r="G247" i="1"/>
  <c r="H247" i="1"/>
  <c r="I247" i="1"/>
  <c r="Q247" i="1"/>
  <c r="A248" i="1"/>
  <c r="B248" i="1"/>
  <c r="C248" i="1"/>
  <c r="D248" i="1"/>
  <c r="E248" i="1"/>
  <c r="F248" i="1"/>
  <c r="G248" i="1"/>
  <c r="H248" i="1"/>
  <c r="I248" i="1"/>
  <c r="Q248" i="1"/>
  <c r="A249" i="1"/>
  <c r="B249" i="1"/>
  <c r="C249" i="1"/>
  <c r="D249" i="1"/>
  <c r="E249" i="1"/>
  <c r="F249" i="1"/>
  <c r="G249" i="1"/>
  <c r="H249" i="1"/>
  <c r="I249" i="1"/>
  <c r="Q249" i="1"/>
  <c r="A250" i="1"/>
  <c r="B250" i="1"/>
  <c r="C250" i="1"/>
  <c r="D250" i="1"/>
  <c r="E250" i="1"/>
  <c r="F250" i="1"/>
  <c r="G250" i="1"/>
  <c r="H250" i="1"/>
  <c r="I250" i="1"/>
  <c r="Q250" i="1"/>
  <c r="A251" i="1"/>
  <c r="B251" i="1"/>
  <c r="C251" i="1"/>
  <c r="D251" i="1"/>
  <c r="E251" i="1"/>
  <c r="F251" i="1"/>
  <c r="G251" i="1"/>
  <c r="H251" i="1"/>
  <c r="I251" i="1"/>
  <c r="Q251" i="1"/>
  <c r="A252" i="1"/>
  <c r="B252" i="1"/>
  <c r="C252" i="1"/>
  <c r="D252" i="1"/>
  <c r="E252" i="1"/>
  <c r="F252" i="1"/>
  <c r="G252" i="1"/>
  <c r="H252" i="1"/>
  <c r="I252" i="1"/>
  <c r="Q252" i="1"/>
  <c r="A253" i="1"/>
  <c r="B253" i="1"/>
  <c r="C253" i="1"/>
  <c r="D253" i="1"/>
  <c r="E253" i="1"/>
  <c r="F253" i="1"/>
  <c r="G253" i="1"/>
  <c r="H253" i="1"/>
  <c r="I253" i="1"/>
  <c r="Q253" i="1"/>
  <c r="A254" i="1"/>
  <c r="B254" i="1"/>
  <c r="C254" i="1"/>
  <c r="D254" i="1"/>
  <c r="E254" i="1"/>
  <c r="F254" i="1"/>
  <c r="G254" i="1"/>
  <c r="H254" i="1"/>
  <c r="I254" i="1"/>
  <c r="Q254" i="1"/>
  <c r="A255" i="1"/>
  <c r="B255" i="1"/>
  <c r="C255" i="1"/>
  <c r="D255" i="1"/>
  <c r="E255" i="1"/>
  <c r="F255" i="1"/>
  <c r="G255" i="1"/>
  <c r="H255" i="1"/>
  <c r="I255" i="1"/>
  <c r="Q255" i="1"/>
  <c r="A256" i="1"/>
  <c r="B256" i="1"/>
  <c r="C256" i="1"/>
  <c r="D256" i="1"/>
  <c r="E256" i="1"/>
  <c r="F256" i="1"/>
  <c r="G256" i="1"/>
  <c r="H256" i="1"/>
  <c r="I256" i="1"/>
  <c r="Q256" i="1"/>
  <c r="A257" i="1"/>
  <c r="B257" i="1"/>
  <c r="C257" i="1"/>
  <c r="D257" i="1"/>
  <c r="E257" i="1"/>
  <c r="F257" i="1"/>
  <c r="G257" i="1"/>
  <c r="H257" i="1"/>
  <c r="I257" i="1"/>
  <c r="Q257" i="1"/>
  <c r="A258" i="1"/>
  <c r="B258" i="1"/>
  <c r="C258" i="1"/>
  <c r="D258" i="1"/>
  <c r="E258" i="1"/>
  <c r="F258" i="1"/>
  <c r="G258" i="1"/>
  <c r="H258" i="1"/>
  <c r="I258" i="1"/>
  <c r="Q258" i="1"/>
  <c r="A259" i="1"/>
  <c r="B259" i="1"/>
  <c r="C259" i="1"/>
  <c r="D259" i="1"/>
  <c r="E259" i="1"/>
  <c r="F259" i="1"/>
  <c r="G259" i="1"/>
  <c r="H259" i="1"/>
  <c r="I259" i="1"/>
  <c r="Q259" i="1"/>
  <c r="A260" i="1"/>
  <c r="B260" i="1"/>
  <c r="C260" i="1"/>
  <c r="D260" i="1"/>
  <c r="E260" i="1"/>
  <c r="F260" i="1"/>
  <c r="G260" i="1"/>
  <c r="H260" i="1"/>
  <c r="I260" i="1"/>
  <c r="Q260" i="1"/>
  <c r="A261" i="1"/>
  <c r="B261" i="1"/>
  <c r="C261" i="1"/>
  <c r="D261" i="1"/>
  <c r="E261" i="1"/>
  <c r="F261" i="1"/>
  <c r="G261" i="1"/>
  <c r="H261" i="1"/>
  <c r="I261" i="1"/>
  <c r="Q261" i="1"/>
  <c r="A262" i="1"/>
  <c r="B262" i="1"/>
  <c r="C262" i="1"/>
  <c r="D262" i="1"/>
  <c r="E262" i="1"/>
  <c r="F262" i="1"/>
  <c r="G262" i="1"/>
  <c r="H262" i="1"/>
  <c r="I262" i="1"/>
  <c r="Q262" i="1"/>
  <c r="A263" i="1"/>
  <c r="B263" i="1"/>
  <c r="C263" i="1"/>
  <c r="D263" i="1"/>
  <c r="E263" i="1"/>
  <c r="F263" i="1"/>
  <c r="G263" i="1"/>
  <c r="H263" i="1"/>
  <c r="I263" i="1"/>
  <c r="Q263" i="1"/>
  <c r="A264" i="1"/>
  <c r="B264" i="1"/>
  <c r="C264" i="1"/>
  <c r="D264" i="1"/>
  <c r="E264" i="1"/>
  <c r="F264" i="1"/>
  <c r="G264" i="1"/>
  <c r="H264" i="1"/>
  <c r="I264" i="1"/>
  <c r="Q264" i="1"/>
  <c r="A265" i="1"/>
  <c r="B265" i="1"/>
  <c r="C265" i="1"/>
  <c r="D265" i="1"/>
  <c r="E265" i="1"/>
  <c r="F265" i="1"/>
  <c r="G265" i="1"/>
  <c r="H265" i="1"/>
  <c r="I265" i="1"/>
  <c r="Q265" i="1"/>
  <c r="A266" i="1"/>
  <c r="B266" i="1"/>
  <c r="C266" i="1"/>
  <c r="D266" i="1"/>
  <c r="E266" i="1"/>
  <c r="F266" i="1"/>
  <c r="G266" i="1"/>
  <c r="H266" i="1"/>
  <c r="I266" i="1"/>
  <c r="Q266" i="1"/>
  <c r="A267" i="1"/>
  <c r="B267" i="1"/>
  <c r="C267" i="1"/>
  <c r="D267" i="1"/>
  <c r="E267" i="1"/>
  <c r="F267" i="1"/>
  <c r="G267" i="1"/>
  <c r="H267" i="1"/>
  <c r="I267" i="1"/>
  <c r="Q267" i="1"/>
  <c r="A268" i="1"/>
  <c r="B268" i="1"/>
  <c r="C268" i="1"/>
  <c r="D268" i="1"/>
  <c r="E268" i="1"/>
  <c r="F268" i="1"/>
  <c r="G268" i="1"/>
  <c r="H268" i="1"/>
  <c r="I268" i="1"/>
  <c r="Q268" i="1"/>
  <c r="A269" i="1"/>
  <c r="B269" i="1"/>
  <c r="C269" i="1"/>
  <c r="D269" i="1"/>
  <c r="E269" i="1"/>
  <c r="F269" i="1"/>
  <c r="G269" i="1"/>
  <c r="H269" i="1"/>
  <c r="I269" i="1"/>
  <c r="Q269" i="1"/>
  <c r="A270" i="1"/>
  <c r="B270" i="1"/>
  <c r="C270" i="1"/>
  <c r="D270" i="1"/>
  <c r="E270" i="1"/>
  <c r="F270" i="1"/>
  <c r="G270" i="1"/>
  <c r="H270" i="1"/>
  <c r="I270" i="1"/>
  <c r="Q270" i="1"/>
  <c r="A271" i="1"/>
  <c r="B271" i="1"/>
  <c r="C271" i="1"/>
  <c r="D271" i="1"/>
  <c r="E271" i="1"/>
  <c r="F271" i="1"/>
  <c r="G271" i="1"/>
  <c r="H271" i="1"/>
  <c r="I271" i="1"/>
  <c r="Q271" i="1"/>
  <c r="A272" i="1"/>
  <c r="B272" i="1"/>
  <c r="C272" i="1"/>
  <c r="D272" i="1"/>
  <c r="E272" i="1"/>
  <c r="F272" i="1"/>
  <c r="G272" i="1"/>
  <c r="H272" i="1"/>
  <c r="I272" i="1"/>
  <c r="Q272" i="1"/>
  <c r="A273" i="1"/>
  <c r="B273" i="1"/>
  <c r="C273" i="1"/>
  <c r="D273" i="1"/>
  <c r="E273" i="1"/>
  <c r="F273" i="1"/>
  <c r="G273" i="1"/>
  <c r="H273" i="1"/>
  <c r="I273" i="1"/>
  <c r="Q273" i="1"/>
  <c r="A274" i="1"/>
  <c r="B274" i="1"/>
  <c r="C274" i="1"/>
  <c r="D274" i="1"/>
  <c r="E274" i="1"/>
  <c r="F274" i="1"/>
  <c r="G274" i="1"/>
  <c r="H274" i="1"/>
  <c r="I274" i="1"/>
  <c r="Q274" i="1"/>
  <c r="A275" i="1"/>
  <c r="B275" i="1"/>
  <c r="C275" i="1"/>
  <c r="D275" i="1"/>
  <c r="E275" i="1"/>
  <c r="F275" i="1"/>
  <c r="G275" i="1"/>
  <c r="H275" i="1"/>
  <c r="I275" i="1"/>
  <c r="Q275" i="1"/>
  <c r="A276" i="1"/>
  <c r="B276" i="1"/>
  <c r="C276" i="1"/>
  <c r="D276" i="1"/>
  <c r="E276" i="1"/>
  <c r="F276" i="1"/>
  <c r="G276" i="1"/>
  <c r="H276" i="1"/>
  <c r="I276" i="1"/>
  <c r="Q276" i="1"/>
  <c r="A277" i="1"/>
  <c r="B277" i="1"/>
  <c r="C277" i="1"/>
  <c r="D277" i="1"/>
  <c r="E277" i="1"/>
  <c r="F277" i="1"/>
  <c r="G277" i="1"/>
  <c r="H277" i="1"/>
  <c r="I277" i="1"/>
  <c r="Q277" i="1"/>
  <c r="A278" i="1"/>
  <c r="B278" i="1"/>
  <c r="C278" i="1"/>
  <c r="D278" i="1"/>
  <c r="E278" i="1"/>
  <c r="F278" i="1"/>
  <c r="G278" i="1"/>
  <c r="H278" i="1"/>
  <c r="I278" i="1"/>
  <c r="Q278" i="1"/>
  <c r="A279" i="1"/>
  <c r="B279" i="1"/>
  <c r="C279" i="1"/>
  <c r="D279" i="1"/>
  <c r="E279" i="1"/>
  <c r="F279" i="1"/>
  <c r="G279" i="1"/>
  <c r="H279" i="1"/>
  <c r="I279" i="1"/>
  <c r="Q279" i="1"/>
  <c r="A280" i="1"/>
  <c r="B280" i="1"/>
  <c r="C280" i="1"/>
  <c r="D280" i="1"/>
  <c r="E280" i="1"/>
  <c r="F280" i="1"/>
  <c r="G280" i="1"/>
  <c r="H280" i="1"/>
  <c r="I280" i="1"/>
  <c r="Q280" i="1"/>
  <c r="A281" i="1"/>
  <c r="B281" i="1"/>
  <c r="C281" i="1"/>
  <c r="D281" i="1"/>
  <c r="E281" i="1"/>
  <c r="F281" i="1"/>
  <c r="G281" i="1"/>
  <c r="H281" i="1"/>
  <c r="I281" i="1"/>
  <c r="Q281" i="1"/>
  <c r="A282" i="1"/>
  <c r="B282" i="1"/>
  <c r="C282" i="1"/>
  <c r="D282" i="1"/>
  <c r="E282" i="1"/>
  <c r="F282" i="1"/>
  <c r="G282" i="1"/>
  <c r="H282" i="1"/>
  <c r="I282" i="1"/>
  <c r="Q282" i="1"/>
  <c r="A283" i="1"/>
  <c r="B283" i="1"/>
  <c r="C283" i="1"/>
  <c r="D283" i="1"/>
  <c r="E283" i="1"/>
  <c r="F283" i="1"/>
  <c r="G283" i="1"/>
  <c r="H283" i="1"/>
  <c r="I283" i="1"/>
  <c r="Q283" i="1"/>
  <c r="A284" i="1"/>
  <c r="B284" i="1"/>
  <c r="C284" i="1"/>
  <c r="D284" i="1"/>
  <c r="E284" i="1"/>
  <c r="F284" i="1"/>
  <c r="G284" i="1"/>
  <c r="H284" i="1"/>
  <c r="I284" i="1"/>
  <c r="Q284" i="1"/>
  <c r="A285" i="1"/>
  <c r="B285" i="1"/>
  <c r="C285" i="1"/>
  <c r="D285" i="1"/>
  <c r="E285" i="1"/>
  <c r="F285" i="1"/>
  <c r="G285" i="1"/>
  <c r="H285" i="1"/>
  <c r="I285" i="1"/>
  <c r="Q285" i="1"/>
  <c r="A286" i="1"/>
  <c r="B286" i="1"/>
  <c r="C286" i="1"/>
  <c r="D286" i="1"/>
  <c r="E286" i="1"/>
  <c r="F286" i="1"/>
  <c r="G286" i="1"/>
  <c r="H286" i="1"/>
  <c r="I286" i="1"/>
  <c r="Q286" i="1"/>
  <c r="A287" i="1"/>
  <c r="B287" i="1"/>
  <c r="C287" i="1"/>
  <c r="D287" i="1"/>
  <c r="E287" i="1"/>
  <c r="F287" i="1"/>
  <c r="G287" i="1"/>
  <c r="H287" i="1"/>
  <c r="I287" i="1"/>
  <c r="Q287" i="1"/>
  <c r="A288" i="1"/>
  <c r="B288" i="1"/>
  <c r="C288" i="1"/>
  <c r="D288" i="1"/>
  <c r="E288" i="1"/>
  <c r="F288" i="1"/>
  <c r="G288" i="1"/>
  <c r="H288" i="1"/>
  <c r="I288" i="1"/>
  <c r="Q288" i="1"/>
  <c r="A289" i="1"/>
  <c r="B289" i="1"/>
  <c r="C289" i="1"/>
  <c r="D289" i="1"/>
  <c r="E289" i="1"/>
  <c r="F289" i="1"/>
  <c r="G289" i="1"/>
  <c r="H289" i="1"/>
  <c r="I289" i="1"/>
  <c r="Q289" i="1"/>
  <c r="A290" i="1"/>
  <c r="B290" i="1"/>
  <c r="C290" i="1"/>
  <c r="D290" i="1"/>
  <c r="E290" i="1"/>
  <c r="F290" i="1"/>
  <c r="G290" i="1"/>
  <c r="H290" i="1"/>
  <c r="I290" i="1"/>
  <c r="Q290" i="1"/>
  <c r="A291" i="1"/>
  <c r="B291" i="1"/>
  <c r="C291" i="1"/>
  <c r="D291" i="1"/>
  <c r="E291" i="1"/>
  <c r="F291" i="1"/>
  <c r="G291" i="1"/>
  <c r="H291" i="1"/>
  <c r="I291" i="1"/>
  <c r="Q291" i="1"/>
  <c r="A292" i="1"/>
  <c r="B292" i="1"/>
  <c r="C292" i="1"/>
  <c r="D292" i="1"/>
  <c r="E292" i="1"/>
  <c r="F292" i="1"/>
  <c r="G292" i="1"/>
  <c r="H292" i="1"/>
  <c r="I292" i="1"/>
  <c r="Q292" i="1"/>
  <c r="A293" i="1"/>
  <c r="B293" i="1"/>
  <c r="C293" i="1"/>
  <c r="D293" i="1"/>
  <c r="E293" i="1"/>
  <c r="F293" i="1"/>
  <c r="G293" i="1"/>
  <c r="H293" i="1"/>
  <c r="I293" i="1"/>
  <c r="Q293" i="1"/>
  <c r="A294" i="1"/>
  <c r="B294" i="1"/>
  <c r="C294" i="1"/>
  <c r="D294" i="1"/>
  <c r="E294" i="1"/>
  <c r="F294" i="1"/>
  <c r="G294" i="1"/>
  <c r="H294" i="1"/>
  <c r="I294" i="1"/>
  <c r="Q294" i="1"/>
  <c r="A295" i="1"/>
  <c r="B295" i="1"/>
  <c r="C295" i="1"/>
  <c r="D295" i="1"/>
  <c r="E295" i="1"/>
  <c r="F295" i="1"/>
  <c r="G295" i="1"/>
  <c r="H295" i="1"/>
  <c r="I295" i="1"/>
  <c r="Q295" i="1"/>
  <c r="A296" i="1"/>
  <c r="B296" i="1"/>
  <c r="C296" i="1"/>
  <c r="D296" i="1"/>
  <c r="E296" i="1"/>
  <c r="F296" i="1"/>
  <c r="G296" i="1"/>
  <c r="H296" i="1"/>
  <c r="I296" i="1"/>
  <c r="Q296" i="1"/>
  <c r="A297" i="1"/>
  <c r="B297" i="1"/>
  <c r="C297" i="1"/>
  <c r="D297" i="1"/>
  <c r="E297" i="1"/>
  <c r="F297" i="1"/>
  <c r="G297" i="1"/>
  <c r="H297" i="1"/>
  <c r="I297" i="1"/>
  <c r="Q297" i="1"/>
  <c r="A298" i="1"/>
  <c r="B298" i="1"/>
  <c r="C298" i="1"/>
  <c r="D298" i="1"/>
  <c r="E298" i="1"/>
  <c r="F298" i="1"/>
  <c r="G298" i="1"/>
  <c r="H298" i="1"/>
  <c r="I298" i="1"/>
  <c r="Q298" i="1"/>
  <c r="A299" i="1"/>
  <c r="B299" i="1"/>
  <c r="C299" i="1"/>
  <c r="D299" i="1"/>
  <c r="E299" i="1"/>
  <c r="F299" i="1"/>
  <c r="G299" i="1"/>
  <c r="H299" i="1"/>
  <c r="I299" i="1"/>
  <c r="Q299" i="1"/>
  <c r="A300" i="1"/>
  <c r="B300" i="1"/>
  <c r="C300" i="1"/>
  <c r="D300" i="1"/>
  <c r="E300" i="1"/>
  <c r="F300" i="1"/>
  <c r="G300" i="1"/>
  <c r="H300" i="1"/>
  <c r="I300" i="1"/>
  <c r="Q300" i="1"/>
  <c r="A301" i="1"/>
  <c r="B301" i="1"/>
  <c r="C301" i="1"/>
  <c r="D301" i="1"/>
  <c r="E301" i="1"/>
  <c r="F301" i="1"/>
  <c r="G301" i="1"/>
  <c r="H301" i="1"/>
  <c r="I301" i="1"/>
  <c r="Q301" i="1"/>
  <c r="A302" i="1"/>
  <c r="B302" i="1"/>
  <c r="C302" i="1"/>
  <c r="D302" i="1"/>
  <c r="E302" i="1"/>
  <c r="F302" i="1"/>
  <c r="G302" i="1"/>
  <c r="H302" i="1"/>
  <c r="I302" i="1"/>
  <c r="Q302" i="1"/>
  <c r="A303" i="1"/>
  <c r="B303" i="1"/>
  <c r="C303" i="1"/>
  <c r="D303" i="1"/>
  <c r="E303" i="1"/>
  <c r="F303" i="1"/>
  <c r="G303" i="1"/>
  <c r="H303" i="1"/>
  <c r="I303" i="1"/>
  <c r="Q303" i="1"/>
  <c r="A304" i="1"/>
  <c r="B304" i="1"/>
  <c r="C304" i="1"/>
  <c r="D304" i="1"/>
  <c r="E304" i="1"/>
  <c r="F304" i="1"/>
  <c r="G304" i="1"/>
  <c r="H304" i="1"/>
  <c r="I304" i="1"/>
  <c r="Q304" i="1"/>
  <c r="A305" i="1"/>
  <c r="B305" i="1"/>
  <c r="C305" i="1"/>
  <c r="D305" i="1"/>
  <c r="E305" i="1"/>
  <c r="F305" i="1"/>
  <c r="G305" i="1"/>
  <c r="H305" i="1"/>
  <c r="I305" i="1"/>
  <c r="Q305" i="1"/>
  <c r="A306" i="1"/>
  <c r="B306" i="1"/>
  <c r="C306" i="1"/>
  <c r="D306" i="1"/>
  <c r="E306" i="1"/>
  <c r="F306" i="1"/>
  <c r="G306" i="1"/>
  <c r="H306" i="1"/>
  <c r="I306" i="1"/>
  <c r="Q306" i="1"/>
  <c r="A307" i="1"/>
  <c r="B307" i="1"/>
  <c r="C307" i="1"/>
  <c r="D307" i="1"/>
  <c r="E307" i="1"/>
  <c r="F307" i="1"/>
  <c r="G307" i="1"/>
  <c r="H307" i="1"/>
  <c r="I307" i="1"/>
  <c r="Q307" i="1"/>
  <c r="A308" i="1"/>
  <c r="B308" i="1"/>
  <c r="C308" i="1"/>
  <c r="D308" i="1"/>
  <c r="E308" i="1"/>
  <c r="F308" i="1"/>
  <c r="G308" i="1"/>
  <c r="H308" i="1"/>
  <c r="I308" i="1"/>
  <c r="Q308" i="1"/>
  <c r="A309" i="1"/>
  <c r="B309" i="1"/>
  <c r="C309" i="1"/>
  <c r="D309" i="1"/>
  <c r="E309" i="1"/>
  <c r="F309" i="1"/>
  <c r="G309" i="1"/>
  <c r="H309" i="1"/>
  <c r="I309" i="1"/>
  <c r="Q309" i="1"/>
  <c r="A310" i="1"/>
  <c r="B310" i="1"/>
  <c r="C310" i="1"/>
  <c r="D310" i="1"/>
  <c r="E310" i="1"/>
  <c r="F310" i="1"/>
  <c r="G310" i="1"/>
  <c r="H310" i="1"/>
  <c r="I310" i="1"/>
  <c r="Q310" i="1"/>
  <c r="A311" i="1"/>
  <c r="B311" i="1"/>
  <c r="C311" i="1"/>
  <c r="D311" i="1"/>
  <c r="E311" i="1"/>
  <c r="F311" i="1"/>
  <c r="G311" i="1"/>
  <c r="H311" i="1"/>
  <c r="I311" i="1"/>
  <c r="Q311" i="1"/>
  <c r="A312" i="1"/>
  <c r="B312" i="1"/>
  <c r="C312" i="1"/>
  <c r="D312" i="1"/>
  <c r="E312" i="1"/>
  <c r="F312" i="1"/>
  <c r="G312" i="1"/>
  <c r="H312" i="1"/>
  <c r="I312" i="1"/>
  <c r="Q312" i="1"/>
  <c r="A313" i="1"/>
  <c r="B313" i="1"/>
  <c r="C313" i="1"/>
  <c r="D313" i="1"/>
  <c r="E313" i="1"/>
  <c r="F313" i="1"/>
  <c r="G313" i="1"/>
  <c r="H313" i="1"/>
  <c r="I313" i="1"/>
  <c r="Q313" i="1"/>
  <c r="A314" i="1"/>
  <c r="B314" i="1"/>
  <c r="C314" i="1"/>
  <c r="D314" i="1"/>
  <c r="E314" i="1"/>
  <c r="F314" i="1"/>
  <c r="G314" i="1"/>
  <c r="H314" i="1"/>
  <c r="I314" i="1"/>
  <c r="Q314" i="1"/>
  <c r="A315" i="1"/>
  <c r="B315" i="1"/>
  <c r="C315" i="1"/>
  <c r="D315" i="1"/>
  <c r="E315" i="1"/>
  <c r="F315" i="1"/>
  <c r="G315" i="1"/>
  <c r="H315" i="1"/>
  <c r="I315" i="1"/>
  <c r="Q315" i="1"/>
  <c r="A316" i="1"/>
  <c r="B316" i="1"/>
  <c r="C316" i="1"/>
  <c r="D316" i="1"/>
  <c r="E316" i="1"/>
  <c r="F316" i="1"/>
  <c r="G316" i="1"/>
  <c r="H316" i="1"/>
  <c r="I316" i="1"/>
  <c r="Q316" i="1"/>
  <c r="A317" i="1"/>
  <c r="B317" i="1"/>
  <c r="C317" i="1"/>
  <c r="D317" i="1"/>
  <c r="E317" i="1"/>
  <c r="F317" i="1"/>
  <c r="G317" i="1"/>
  <c r="H317" i="1"/>
  <c r="I317" i="1"/>
  <c r="Q317" i="1"/>
  <c r="A318" i="1"/>
  <c r="B318" i="1"/>
  <c r="C318" i="1"/>
  <c r="D318" i="1"/>
  <c r="E318" i="1"/>
  <c r="F318" i="1"/>
  <c r="G318" i="1"/>
  <c r="H318" i="1"/>
  <c r="I318" i="1"/>
  <c r="Q318" i="1"/>
  <c r="A319" i="1"/>
  <c r="B319" i="1"/>
  <c r="C319" i="1"/>
  <c r="D319" i="1"/>
  <c r="E319" i="1"/>
  <c r="F319" i="1"/>
  <c r="G319" i="1"/>
  <c r="H319" i="1"/>
  <c r="I319" i="1"/>
  <c r="Q319" i="1"/>
  <c r="A320" i="1"/>
  <c r="B320" i="1"/>
  <c r="C320" i="1"/>
  <c r="D320" i="1"/>
  <c r="E320" i="1"/>
  <c r="F320" i="1"/>
  <c r="G320" i="1"/>
  <c r="H320" i="1"/>
  <c r="I320" i="1"/>
  <c r="Q320" i="1"/>
  <c r="A321" i="1"/>
  <c r="B321" i="1"/>
  <c r="C321" i="1"/>
  <c r="D321" i="1"/>
  <c r="E321" i="1"/>
  <c r="F321" i="1"/>
  <c r="G321" i="1"/>
  <c r="H321" i="1"/>
  <c r="I321" i="1"/>
  <c r="Q321" i="1"/>
  <c r="A322" i="1"/>
  <c r="B322" i="1"/>
  <c r="C322" i="1"/>
  <c r="D322" i="1"/>
  <c r="E322" i="1"/>
  <c r="F322" i="1"/>
  <c r="G322" i="1"/>
  <c r="H322" i="1"/>
  <c r="I322" i="1"/>
  <c r="Q322" i="1"/>
  <c r="A323" i="1"/>
  <c r="B323" i="1"/>
  <c r="C323" i="1"/>
  <c r="D323" i="1"/>
  <c r="E323" i="1"/>
  <c r="F323" i="1"/>
  <c r="G323" i="1"/>
  <c r="H323" i="1"/>
  <c r="I323" i="1"/>
  <c r="Q323" i="1"/>
  <c r="A324" i="1"/>
  <c r="B324" i="1"/>
  <c r="C324" i="1"/>
  <c r="D324" i="1"/>
  <c r="E324" i="1"/>
  <c r="F324" i="1"/>
  <c r="G324" i="1"/>
  <c r="H324" i="1"/>
  <c r="I324" i="1"/>
  <c r="Q324" i="1"/>
  <c r="A325" i="1"/>
  <c r="B325" i="1"/>
  <c r="C325" i="1"/>
  <c r="D325" i="1"/>
  <c r="E325" i="1"/>
  <c r="F325" i="1"/>
  <c r="G325" i="1"/>
  <c r="H325" i="1"/>
  <c r="I325" i="1"/>
  <c r="Q325" i="1"/>
  <c r="A326" i="1"/>
  <c r="B326" i="1"/>
  <c r="C326" i="1"/>
  <c r="D326" i="1"/>
  <c r="E326" i="1"/>
  <c r="F326" i="1"/>
  <c r="G326" i="1"/>
  <c r="H326" i="1"/>
  <c r="I326" i="1"/>
  <c r="Q326" i="1"/>
  <c r="A327" i="1"/>
  <c r="B327" i="1"/>
  <c r="C327" i="1"/>
  <c r="D327" i="1"/>
  <c r="E327" i="1"/>
  <c r="F327" i="1"/>
  <c r="G327" i="1"/>
  <c r="H327" i="1"/>
  <c r="I327" i="1"/>
  <c r="Q327" i="1"/>
  <c r="A328" i="1"/>
  <c r="B328" i="1"/>
  <c r="C328" i="1"/>
  <c r="D328" i="1"/>
  <c r="E328" i="1"/>
  <c r="F328" i="1"/>
  <c r="G328" i="1"/>
  <c r="H328" i="1"/>
  <c r="I328" i="1"/>
  <c r="Q328" i="1"/>
  <c r="A329" i="1"/>
  <c r="B329" i="1"/>
  <c r="C329" i="1"/>
  <c r="D329" i="1"/>
  <c r="E329" i="1"/>
  <c r="F329" i="1"/>
  <c r="G329" i="1"/>
  <c r="H329" i="1"/>
  <c r="I329" i="1"/>
  <c r="Q329" i="1"/>
  <c r="A330" i="1"/>
  <c r="B330" i="1"/>
  <c r="C330" i="1"/>
  <c r="D330" i="1"/>
  <c r="E330" i="1"/>
  <c r="F330" i="1"/>
  <c r="G330" i="1"/>
  <c r="H330" i="1"/>
  <c r="I330" i="1"/>
  <c r="Q330" i="1"/>
  <c r="A331" i="1"/>
  <c r="B331" i="1"/>
  <c r="C331" i="1"/>
  <c r="D331" i="1"/>
  <c r="E331" i="1"/>
  <c r="F331" i="1"/>
  <c r="G331" i="1"/>
  <c r="H331" i="1"/>
  <c r="I331" i="1"/>
  <c r="Q331" i="1"/>
  <c r="A332" i="1"/>
  <c r="B332" i="1"/>
  <c r="C332" i="1"/>
  <c r="D332" i="1"/>
  <c r="E332" i="1"/>
  <c r="F332" i="1"/>
  <c r="G332" i="1"/>
  <c r="H332" i="1"/>
  <c r="I332" i="1"/>
  <c r="Q332" i="1"/>
  <c r="A333" i="1"/>
  <c r="B333" i="1"/>
  <c r="C333" i="1"/>
  <c r="D333" i="1"/>
  <c r="E333" i="1"/>
  <c r="F333" i="1"/>
  <c r="G333" i="1"/>
  <c r="H333" i="1"/>
  <c r="I333" i="1"/>
  <c r="Q333" i="1"/>
  <c r="A334" i="1"/>
  <c r="B334" i="1"/>
  <c r="C334" i="1"/>
  <c r="D334" i="1"/>
  <c r="E334" i="1"/>
  <c r="F334" i="1"/>
  <c r="G334" i="1"/>
  <c r="H334" i="1"/>
  <c r="I334" i="1"/>
  <c r="Q334" i="1"/>
  <c r="A335" i="1"/>
  <c r="B335" i="1"/>
  <c r="C335" i="1"/>
  <c r="D335" i="1"/>
  <c r="E335" i="1"/>
  <c r="F335" i="1"/>
  <c r="G335" i="1"/>
  <c r="H335" i="1"/>
  <c r="I335" i="1"/>
  <c r="Q335" i="1"/>
  <c r="A336" i="1"/>
  <c r="B336" i="1"/>
  <c r="C336" i="1"/>
  <c r="D336" i="1"/>
  <c r="E336" i="1"/>
  <c r="F336" i="1"/>
  <c r="G336" i="1"/>
  <c r="H336" i="1"/>
  <c r="I336" i="1"/>
  <c r="Q336" i="1"/>
  <c r="A337" i="1"/>
  <c r="B337" i="1"/>
  <c r="C337" i="1"/>
  <c r="D337" i="1"/>
  <c r="E337" i="1"/>
  <c r="F337" i="1"/>
  <c r="G337" i="1"/>
  <c r="H337" i="1"/>
  <c r="I337" i="1"/>
  <c r="Q337" i="1"/>
  <c r="A338" i="1"/>
  <c r="B338" i="1"/>
  <c r="C338" i="1"/>
  <c r="D338" i="1"/>
  <c r="E338" i="1"/>
  <c r="F338" i="1"/>
  <c r="G338" i="1"/>
  <c r="H338" i="1"/>
  <c r="I338" i="1"/>
  <c r="Q338" i="1"/>
  <c r="A339" i="1"/>
  <c r="B339" i="1"/>
  <c r="C339" i="1"/>
  <c r="D339" i="1"/>
  <c r="E339" i="1"/>
  <c r="F339" i="1"/>
  <c r="G339" i="1"/>
  <c r="H339" i="1"/>
  <c r="I339" i="1"/>
  <c r="Q339" i="1"/>
  <c r="A340" i="1"/>
  <c r="B340" i="1"/>
  <c r="C340" i="1"/>
  <c r="D340" i="1"/>
  <c r="E340" i="1"/>
  <c r="F340" i="1"/>
  <c r="G340" i="1"/>
  <c r="H340" i="1"/>
  <c r="I340" i="1"/>
  <c r="Q340" i="1"/>
  <c r="A341" i="1"/>
  <c r="B341" i="1"/>
  <c r="C341" i="1"/>
  <c r="D341" i="1"/>
  <c r="E341" i="1"/>
  <c r="F341" i="1"/>
  <c r="G341" i="1"/>
  <c r="H341" i="1"/>
  <c r="I341" i="1"/>
  <c r="Q341" i="1"/>
  <c r="A342" i="1"/>
  <c r="B342" i="1"/>
  <c r="C342" i="1"/>
  <c r="D342" i="1"/>
  <c r="E342" i="1"/>
  <c r="F342" i="1"/>
  <c r="G342" i="1"/>
  <c r="H342" i="1"/>
  <c r="I342" i="1"/>
  <c r="Q342" i="1"/>
  <c r="A343" i="1"/>
  <c r="B343" i="1"/>
  <c r="C343" i="1"/>
  <c r="D343" i="1"/>
  <c r="E343" i="1"/>
  <c r="F343" i="1"/>
  <c r="G343" i="1"/>
  <c r="H343" i="1"/>
  <c r="I343" i="1"/>
  <c r="Q343" i="1"/>
  <c r="A344" i="1"/>
  <c r="B344" i="1"/>
  <c r="C344" i="1"/>
  <c r="D344" i="1"/>
  <c r="E344" i="1"/>
  <c r="F344" i="1"/>
  <c r="G344" i="1"/>
  <c r="H344" i="1"/>
  <c r="I344" i="1"/>
  <c r="Q344" i="1"/>
  <c r="A345" i="1"/>
  <c r="B345" i="1"/>
  <c r="C345" i="1"/>
  <c r="D345" i="1"/>
  <c r="E345" i="1"/>
  <c r="F345" i="1"/>
  <c r="G345" i="1"/>
  <c r="H345" i="1"/>
  <c r="I345" i="1"/>
  <c r="Q345" i="1"/>
  <c r="A346" i="1"/>
  <c r="B346" i="1"/>
  <c r="C346" i="1"/>
  <c r="D346" i="1"/>
  <c r="E346" i="1"/>
  <c r="F346" i="1"/>
  <c r="G346" i="1"/>
  <c r="H346" i="1"/>
  <c r="I346" i="1"/>
  <c r="Q346" i="1"/>
  <c r="A347" i="1"/>
  <c r="B347" i="1"/>
  <c r="C347" i="1"/>
  <c r="D347" i="1"/>
  <c r="E347" i="1"/>
  <c r="F347" i="1"/>
  <c r="G347" i="1"/>
  <c r="H347" i="1"/>
  <c r="I347" i="1"/>
  <c r="Q347" i="1"/>
  <c r="A348" i="1"/>
  <c r="B348" i="1"/>
  <c r="C348" i="1"/>
  <c r="D348" i="1"/>
  <c r="E348" i="1"/>
  <c r="F348" i="1"/>
  <c r="G348" i="1"/>
  <c r="H348" i="1"/>
  <c r="I348" i="1"/>
  <c r="Q348" i="1"/>
  <c r="A349" i="1"/>
  <c r="B349" i="1"/>
  <c r="C349" i="1"/>
  <c r="D349" i="1"/>
  <c r="E349" i="1"/>
  <c r="F349" i="1"/>
  <c r="G349" i="1"/>
  <c r="H349" i="1"/>
  <c r="I349" i="1"/>
  <c r="Q349" i="1"/>
  <c r="A350" i="1"/>
  <c r="B350" i="1"/>
  <c r="C350" i="1"/>
  <c r="D350" i="1"/>
  <c r="E350" i="1"/>
  <c r="F350" i="1"/>
  <c r="G350" i="1"/>
  <c r="H350" i="1"/>
  <c r="I350" i="1"/>
  <c r="Q350" i="1"/>
  <c r="A351" i="1"/>
  <c r="B351" i="1"/>
  <c r="C351" i="1"/>
  <c r="D351" i="1"/>
  <c r="E351" i="1"/>
  <c r="F351" i="1"/>
  <c r="G351" i="1"/>
  <c r="H351" i="1"/>
  <c r="I351" i="1"/>
  <c r="Q351" i="1"/>
  <c r="A352" i="1"/>
  <c r="B352" i="1"/>
  <c r="C352" i="1"/>
  <c r="D352" i="1"/>
  <c r="E352" i="1"/>
  <c r="F352" i="1"/>
  <c r="G352" i="1"/>
  <c r="H352" i="1"/>
  <c r="I352" i="1"/>
  <c r="Q352" i="1"/>
  <c r="A353" i="1"/>
  <c r="B353" i="1"/>
  <c r="C353" i="1"/>
  <c r="D353" i="1"/>
  <c r="E353" i="1"/>
  <c r="F353" i="1"/>
  <c r="G353" i="1"/>
  <c r="H353" i="1"/>
  <c r="I353" i="1"/>
  <c r="Q353" i="1"/>
  <c r="A354" i="1"/>
  <c r="B354" i="1"/>
  <c r="C354" i="1"/>
  <c r="D354" i="1"/>
  <c r="E354" i="1"/>
  <c r="F354" i="1"/>
  <c r="G354" i="1"/>
  <c r="H354" i="1"/>
  <c r="I354" i="1"/>
  <c r="Q354" i="1"/>
  <c r="A355" i="1"/>
  <c r="B355" i="1"/>
  <c r="C355" i="1"/>
  <c r="D355" i="1"/>
  <c r="E355" i="1"/>
  <c r="F355" i="1"/>
  <c r="G355" i="1"/>
  <c r="H355" i="1"/>
  <c r="I355" i="1"/>
  <c r="Q355" i="1"/>
  <c r="A356" i="1"/>
  <c r="B356" i="1"/>
  <c r="C356" i="1"/>
  <c r="D356" i="1"/>
  <c r="E356" i="1"/>
  <c r="F356" i="1"/>
  <c r="G356" i="1"/>
  <c r="H356" i="1"/>
  <c r="I356" i="1"/>
  <c r="Q356" i="1"/>
  <c r="A357" i="1"/>
  <c r="B357" i="1"/>
  <c r="C357" i="1"/>
  <c r="D357" i="1"/>
  <c r="E357" i="1"/>
  <c r="F357" i="1"/>
  <c r="G357" i="1"/>
  <c r="H357" i="1"/>
  <c r="I357" i="1"/>
  <c r="Q357" i="1"/>
  <c r="A358" i="1"/>
  <c r="B358" i="1"/>
  <c r="C358" i="1"/>
  <c r="D358" i="1"/>
  <c r="E358" i="1"/>
  <c r="F358" i="1"/>
  <c r="G358" i="1"/>
  <c r="H358" i="1"/>
  <c r="I358" i="1"/>
  <c r="Q358" i="1"/>
  <c r="A359" i="1"/>
  <c r="B359" i="1"/>
  <c r="C359" i="1"/>
  <c r="D359" i="1"/>
  <c r="E359" i="1"/>
  <c r="F359" i="1"/>
  <c r="G359" i="1"/>
  <c r="H359" i="1"/>
  <c r="I359" i="1"/>
  <c r="Q359" i="1"/>
  <c r="A360" i="1"/>
  <c r="B360" i="1"/>
  <c r="C360" i="1"/>
  <c r="D360" i="1"/>
  <c r="E360" i="1"/>
  <c r="F360" i="1"/>
  <c r="G360" i="1"/>
  <c r="H360" i="1"/>
  <c r="I360" i="1"/>
  <c r="Q360" i="1"/>
  <c r="A361" i="1"/>
  <c r="B361" i="1"/>
  <c r="C361" i="1"/>
  <c r="D361" i="1"/>
  <c r="E361" i="1"/>
  <c r="F361" i="1"/>
  <c r="G361" i="1"/>
  <c r="H361" i="1"/>
  <c r="I361" i="1"/>
  <c r="Q361" i="1"/>
  <c r="A362" i="1"/>
  <c r="B362" i="1"/>
  <c r="C362" i="1"/>
  <c r="D362" i="1"/>
  <c r="E362" i="1"/>
  <c r="F362" i="1"/>
  <c r="G362" i="1"/>
  <c r="H362" i="1"/>
  <c r="I362" i="1"/>
  <c r="Q362" i="1"/>
  <c r="A363" i="1"/>
  <c r="B363" i="1"/>
  <c r="C363" i="1"/>
  <c r="D363" i="1"/>
  <c r="E363" i="1"/>
  <c r="F363" i="1"/>
  <c r="G363" i="1"/>
  <c r="H363" i="1"/>
  <c r="I363" i="1"/>
  <c r="Q363" i="1"/>
  <c r="A364" i="1"/>
  <c r="B364" i="1"/>
  <c r="C364" i="1"/>
  <c r="D364" i="1"/>
  <c r="E364" i="1"/>
  <c r="F364" i="1"/>
  <c r="G364" i="1"/>
  <c r="H364" i="1"/>
  <c r="I364" i="1"/>
  <c r="Q364" i="1"/>
  <c r="A365" i="1"/>
  <c r="B365" i="1"/>
  <c r="C365" i="1"/>
  <c r="D365" i="1"/>
  <c r="E365" i="1"/>
  <c r="F365" i="1"/>
  <c r="G365" i="1"/>
  <c r="H365" i="1"/>
  <c r="I365" i="1"/>
  <c r="Q365" i="1"/>
  <c r="A366" i="1"/>
  <c r="B366" i="1"/>
  <c r="C366" i="1"/>
  <c r="D366" i="1"/>
  <c r="E366" i="1"/>
  <c r="F366" i="1"/>
  <c r="G366" i="1"/>
  <c r="H366" i="1"/>
  <c r="I366" i="1"/>
  <c r="Q366" i="1"/>
  <c r="U8" i="9" l="1" a="1"/>
  <c r="U8" i="9" s="1"/>
  <c r="U9" i="9" a="1"/>
  <c r="U9" i="9" s="1"/>
  <c r="U10" i="9" a="1"/>
  <c r="U10" i="9"/>
  <c r="U11" i="9" a="1"/>
  <c r="U11" i="9" s="1"/>
  <c r="U12" i="9" a="1"/>
  <c r="U12" i="9" s="1"/>
  <c r="U13" i="9" a="1"/>
  <c r="U13" i="9" s="1"/>
  <c r="U14" i="9" a="1"/>
  <c r="U14" i="9"/>
  <c r="U15" i="9" a="1"/>
  <c r="U15" i="9" s="1"/>
  <c r="U16" i="9" a="1"/>
  <c r="U16" i="9" s="1"/>
  <c r="U17" i="9" a="1"/>
  <c r="U17" i="9" s="1"/>
  <c r="U18" i="9" a="1"/>
  <c r="U18" i="9"/>
  <c r="U19" i="9" a="1"/>
  <c r="U19" i="9" s="1"/>
  <c r="U20" i="9" a="1"/>
  <c r="U20" i="9" s="1"/>
  <c r="U21" i="9" a="1"/>
  <c r="U21" i="9" s="1"/>
  <c r="U22" i="9" a="1"/>
  <c r="U22" i="9"/>
  <c r="U23" i="9" a="1"/>
  <c r="U23" i="9" s="1"/>
  <c r="U24" i="9" a="1"/>
  <c r="U24" i="9" s="1"/>
  <c r="U25" i="9" a="1"/>
  <c r="U25" i="9" s="1"/>
  <c r="U26" i="9" a="1"/>
  <c r="U26" i="9"/>
  <c r="U27" i="9" a="1"/>
  <c r="U27" i="9" s="1"/>
  <c r="U28" i="9" a="1"/>
  <c r="U28" i="9" s="1"/>
  <c r="U29" i="9" a="1"/>
  <c r="U29" i="9" s="1"/>
  <c r="U30" i="9" a="1"/>
  <c r="U30" i="9"/>
  <c r="U31" i="9" a="1"/>
  <c r="U31" i="9" s="1"/>
  <c r="U32" i="9" a="1"/>
  <c r="U32" i="9" s="1"/>
  <c r="U33" i="9" a="1"/>
  <c r="U33" i="9" s="1"/>
  <c r="U34" i="9" a="1"/>
  <c r="U34" i="9"/>
  <c r="U35" i="9" a="1"/>
  <c r="U35" i="9" s="1"/>
  <c r="U36" i="9" a="1"/>
  <c r="U36" i="9" s="1"/>
  <c r="U37" i="9" a="1"/>
  <c r="U37" i="9" s="1"/>
  <c r="U38" i="9" a="1"/>
  <c r="U38" i="9"/>
  <c r="U39" i="9" a="1"/>
  <c r="U39" i="9" s="1"/>
  <c r="AF4" i="5" a="1"/>
  <c r="AF4" i="5" s="1"/>
  <c r="AF5" i="5" a="1"/>
  <c r="AF5" i="5" s="1"/>
  <c r="AF6" i="5" a="1"/>
  <c r="AF6" i="5" s="1"/>
  <c r="AF7" i="5" a="1"/>
  <c r="AF7" i="5"/>
  <c r="AF8" i="5" a="1"/>
  <c r="AF8" i="5" s="1"/>
  <c r="AF9" i="5" a="1"/>
  <c r="AF9" i="5" s="1"/>
  <c r="AF10" i="5" a="1"/>
  <c r="AF10" i="5" s="1"/>
  <c r="AF11" i="5" a="1"/>
  <c r="AF11" i="5" s="1"/>
  <c r="AF12" i="5" a="1"/>
  <c r="AF12" i="5" s="1"/>
  <c r="AF13" i="5" a="1"/>
  <c r="AF13" i="5" s="1"/>
  <c r="AF14" i="5" a="1"/>
  <c r="AF14" i="5" s="1"/>
  <c r="AF15" i="5" a="1"/>
  <c r="AF15" i="5" s="1"/>
  <c r="AF16" i="5" a="1"/>
  <c r="AF16" i="5" s="1"/>
  <c r="AF17" i="5" a="1"/>
  <c r="AF17" i="5" s="1"/>
  <c r="AF18" i="5" a="1"/>
  <c r="AF18" i="5" s="1"/>
  <c r="AF19" i="5" a="1"/>
  <c r="AF19" i="5" s="1"/>
  <c r="AF20" i="5" a="1"/>
  <c r="AF20" i="5" s="1"/>
  <c r="AF21" i="5" a="1"/>
  <c r="AF21" i="5" s="1"/>
  <c r="AF22" i="5" a="1"/>
  <c r="AF22" i="5" s="1"/>
  <c r="AF23" i="5" a="1"/>
  <c r="AF23" i="5" s="1"/>
  <c r="AF24" i="5" a="1"/>
  <c r="AF24" i="5" s="1"/>
  <c r="AF25" i="5" a="1"/>
  <c r="AF25" i="5" s="1"/>
  <c r="AF26" i="5" a="1"/>
  <c r="AF26" i="5" s="1"/>
  <c r="AF27" i="5" a="1"/>
  <c r="AF27" i="5" s="1"/>
  <c r="AF28" i="5" a="1"/>
  <c r="AF28" i="5" s="1"/>
  <c r="AF29" i="5" a="1"/>
  <c r="AF29" i="5" s="1"/>
  <c r="AF30" i="5" a="1"/>
  <c r="AF30" i="5" s="1"/>
  <c r="AF31" i="5" a="1"/>
  <c r="AF31" i="5" s="1"/>
  <c r="AF32" i="5" a="1"/>
  <c r="AF32" i="5" s="1"/>
  <c r="AF33" i="5" a="1"/>
  <c r="AF33" i="5" s="1"/>
  <c r="AF34" i="5" a="1"/>
  <c r="AF34" i="5" s="1"/>
  <c r="AF35" i="5" a="1"/>
  <c r="AF35" i="5" s="1"/>
  <c r="AF36" i="5" a="1"/>
  <c r="AF36" i="5" s="1"/>
  <c r="AF37" i="5" a="1"/>
  <c r="AF37" i="5" s="1"/>
  <c r="AF38" i="5" a="1"/>
  <c r="AF38" i="5" s="1"/>
  <c r="AF39" i="5" a="1"/>
  <c r="AF39" i="5" s="1"/>
  <c r="AF40" i="5" a="1"/>
  <c r="AF40" i="5" s="1"/>
  <c r="AF41" i="5" a="1"/>
  <c r="AF41" i="5" s="1"/>
  <c r="AF42" i="5" a="1"/>
  <c r="AF42" i="5" s="1"/>
  <c r="AF43" i="5" a="1"/>
  <c r="AF43" i="5" s="1"/>
  <c r="AF44" i="5" a="1"/>
  <c r="AF44" i="5" s="1"/>
  <c r="AF45" i="5" a="1"/>
  <c r="AF45" i="5" s="1"/>
  <c r="AF46" i="5" a="1"/>
  <c r="AF46" i="5" s="1"/>
  <c r="AF47" i="5" a="1"/>
  <c r="AF47" i="5" s="1"/>
  <c r="AF48" i="5" a="1"/>
  <c r="AF48" i="5" s="1"/>
  <c r="AF49" i="5" a="1"/>
  <c r="AF49" i="5" s="1"/>
  <c r="AF50" i="5" a="1"/>
  <c r="AF50" i="5" s="1"/>
  <c r="AF51" i="5" a="1"/>
  <c r="AF51" i="5" s="1"/>
  <c r="AF52" i="5" a="1"/>
  <c r="AF52" i="5" s="1"/>
  <c r="AF53" i="5" a="1"/>
  <c r="AF53" i="5" s="1"/>
  <c r="AF54" i="5" a="1"/>
  <c r="AF54" i="5" s="1"/>
  <c r="AF55" i="5" a="1"/>
  <c r="AF55" i="5" s="1"/>
  <c r="AF56" i="5" a="1"/>
  <c r="AF56" i="5" s="1"/>
  <c r="AF57" i="5" a="1"/>
  <c r="AF57" i="5" s="1"/>
  <c r="AF58" i="5" a="1"/>
  <c r="AF58" i="5" s="1"/>
  <c r="AF59" i="5" a="1"/>
  <c r="AF59" i="5" s="1"/>
  <c r="AF60" i="5" a="1"/>
  <c r="AF60" i="5" s="1"/>
  <c r="AF61" i="5" a="1"/>
  <c r="AF61" i="5" s="1"/>
  <c r="AF62" i="5" a="1"/>
  <c r="AF62" i="5" s="1"/>
  <c r="AF63" i="5" a="1"/>
  <c r="AF63" i="5"/>
  <c r="AF64" i="5" a="1"/>
  <c r="AF64" i="5" s="1"/>
  <c r="AF65" i="5" a="1"/>
  <c r="AF65" i="5" s="1"/>
  <c r="AF66" i="5" a="1"/>
  <c r="AF66" i="5" s="1"/>
  <c r="AF67" i="5" a="1"/>
  <c r="AF67" i="5"/>
  <c r="AF68" i="5" a="1"/>
  <c r="AF68" i="5" s="1"/>
  <c r="AF69" i="5" a="1"/>
  <c r="AF69" i="5" s="1"/>
  <c r="AF70" i="5" a="1"/>
  <c r="AF70" i="5" s="1"/>
  <c r="AF71" i="5" a="1"/>
  <c r="AF71" i="5" s="1"/>
  <c r="AF72" i="5" a="1"/>
  <c r="AF72" i="5" s="1"/>
  <c r="AF73" i="5" a="1"/>
  <c r="AF73" i="5" s="1"/>
  <c r="AF74" i="5" a="1"/>
  <c r="AF74" i="5" s="1"/>
  <c r="AF75" i="5" a="1"/>
  <c r="AF75" i="5" s="1"/>
  <c r="AF76" i="5" a="1"/>
  <c r="AF76" i="5" s="1"/>
  <c r="AF77" i="5" a="1"/>
  <c r="AF77" i="5" s="1"/>
  <c r="AF78" i="5" a="1"/>
  <c r="AF78" i="5" s="1"/>
  <c r="AF79" i="5" a="1"/>
  <c r="AF79" i="5" s="1"/>
  <c r="AF80" i="5" a="1"/>
  <c r="AF80" i="5" s="1"/>
  <c r="AF81" i="5" a="1"/>
  <c r="AF81" i="5" s="1"/>
  <c r="AF82" i="5" a="1"/>
  <c r="AF82" i="5" s="1"/>
  <c r="AF83" i="5" a="1"/>
  <c r="AF83" i="5" s="1"/>
  <c r="AF84" i="5" a="1"/>
  <c r="AF84" i="5" s="1"/>
  <c r="AF85" i="5" a="1"/>
  <c r="AF85" i="5" s="1"/>
  <c r="AF86" i="5" a="1"/>
  <c r="AF86" i="5" s="1"/>
  <c r="AF87" i="5" a="1"/>
  <c r="AF87" i="5" s="1"/>
  <c r="AF88" i="5" a="1"/>
  <c r="AF88" i="5" s="1"/>
  <c r="AF89" i="5" a="1"/>
  <c r="AF89" i="5" s="1"/>
  <c r="AF90" i="5" a="1"/>
  <c r="AF90" i="5" s="1"/>
  <c r="AF91" i="5" a="1"/>
  <c r="AF91" i="5" s="1"/>
  <c r="AF92" i="5" a="1"/>
  <c r="AF92" i="5" s="1"/>
  <c r="AF93" i="5" a="1"/>
  <c r="AF93" i="5" s="1"/>
  <c r="AF94" i="5" a="1"/>
  <c r="AF94" i="5" s="1"/>
  <c r="AF95" i="5" a="1"/>
  <c r="AF95" i="5" s="1"/>
  <c r="AF96" i="5" a="1"/>
  <c r="AF96" i="5" s="1"/>
  <c r="AF97" i="5" a="1"/>
  <c r="AF97" i="5" s="1"/>
  <c r="AF98" i="5" a="1"/>
  <c r="AF98" i="5" s="1"/>
  <c r="AF99" i="5" a="1"/>
  <c r="AF99" i="5"/>
  <c r="AF100" i="5" a="1"/>
  <c r="AF100" i="5" s="1"/>
  <c r="AF101" i="5" a="1"/>
  <c r="AF101" i="5" s="1"/>
  <c r="AF102" i="5" a="1"/>
  <c r="AF102" i="5" s="1"/>
  <c r="AF103" i="5" a="1"/>
  <c r="AF103" i="5"/>
  <c r="AF104" i="5" a="1"/>
  <c r="AF104" i="5" s="1"/>
  <c r="AF105" i="5" a="1"/>
  <c r="AF105" i="5" s="1"/>
  <c r="AF106" i="5" a="1"/>
  <c r="AF106" i="5" s="1"/>
  <c r="AF107" i="5" a="1"/>
  <c r="AF107" i="5" s="1"/>
  <c r="AF108" i="5" a="1"/>
  <c r="AF108" i="5" s="1"/>
  <c r="AF109" i="5" a="1"/>
  <c r="AF109" i="5" s="1"/>
  <c r="AF110" i="5" a="1"/>
  <c r="AF110" i="5" s="1"/>
  <c r="AF111" i="5" a="1"/>
  <c r="AF111" i="5" s="1"/>
  <c r="AF112" i="5" a="1"/>
  <c r="AF112" i="5" s="1"/>
  <c r="AF113" i="5" a="1"/>
  <c r="AF113" i="5" s="1"/>
  <c r="AF114" i="5" a="1"/>
  <c r="AF114" i="5" s="1"/>
  <c r="AF115" i="5" a="1"/>
  <c r="AF115" i="5" s="1"/>
  <c r="AF116" i="5" a="1"/>
  <c r="AF116" i="5" s="1"/>
  <c r="AF117" i="5" a="1"/>
  <c r="AF117" i="5" s="1"/>
  <c r="AF118" i="5" a="1"/>
  <c r="AF118" i="5" s="1"/>
  <c r="AF119" i="5" a="1"/>
  <c r="AF119" i="5" s="1"/>
  <c r="AF120" i="5" a="1"/>
  <c r="AF120" i="5" s="1"/>
  <c r="AF121" i="5" a="1"/>
  <c r="AF121" i="5" s="1"/>
  <c r="AF122" i="5" a="1"/>
  <c r="AF122" i="5" s="1"/>
  <c r="AF123" i="5" a="1"/>
  <c r="AF123" i="5" s="1"/>
  <c r="AF124" i="5" a="1"/>
  <c r="AF124" i="5" s="1"/>
  <c r="AF125" i="5" a="1"/>
  <c r="AF125" i="5" s="1"/>
  <c r="AF126" i="5" a="1"/>
  <c r="AF126" i="5" s="1"/>
  <c r="AF127" i="5" a="1"/>
  <c r="AF127" i="5" s="1"/>
  <c r="AF128" i="5" a="1"/>
  <c r="AF128" i="5" s="1"/>
  <c r="AF129" i="5" a="1"/>
  <c r="AF129" i="5" s="1"/>
  <c r="AF130" i="5" a="1"/>
  <c r="AF130" i="5" s="1"/>
  <c r="AF131" i="5" a="1"/>
  <c r="AF131" i="5" s="1"/>
  <c r="AF132" i="5" a="1"/>
  <c r="AF132" i="5" s="1"/>
  <c r="AF133" i="5" a="1"/>
  <c r="AF133" i="5" s="1"/>
  <c r="AF134" i="5" a="1"/>
  <c r="AF134" i="5" s="1"/>
  <c r="AF135" i="5" a="1"/>
  <c r="AF135" i="5"/>
  <c r="AF136" i="5" a="1"/>
  <c r="AF136" i="5" s="1"/>
  <c r="AF137" i="5" a="1"/>
  <c r="AF137" i="5" s="1"/>
  <c r="AF138" i="5" a="1"/>
  <c r="AF138" i="5" s="1"/>
  <c r="AF139" i="5" a="1"/>
  <c r="AF139" i="5" s="1"/>
  <c r="AF140" i="5" a="1"/>
  <c r="AF140" i="5" s="1"/>
  <c r="AF141" i="5" a="1"/>
  <c r="AF141" i="5" s="1"/>
  <c r="AF142" i="5" a="1"/>
  <c r="AF142" i="5" s="1"/>
  <c r="AF143" i="5" a="1"/>
  <c r="AF143" i="5" s="1"/>
  <c r="AF144" i="5" a="1"/>
  <c r="AF144" i="5" s="1"/>
  <c r="AF145" i="5" a="1"/>
  <c r="AF145" i="5" s="1"/>
  <c r="AF146" i="5" a="1"/>
  <c r="AF146" i="5" s="1"/>
  <c r="AF147" i="5" a="1"/>
  <c r="AF147" i="5" s="1"/>
  <c r="AF148" i="5" a="1"/>
  <c r="AF148" i="5" s="1"/>
  <c r="AF149" i="5" a="1"/>
  <c r="AF149" i="5" s="1"/>
  <c r="AF150" i="5" a="1"/>
  <c r="AF150" i="5" s="1"/>
  <c r="AF151" i="5" a="1"/>
  <c r="AF151" i="5" s="1"/>
  <c r="AF152" i="5" a="1"/>
  <c r="AF152" i="5" s="1"/>
  <c r="AF153" i="5" a="1"/>
  <c r="AF153" i="5" s="1"/>
  <c r="AF154" i="5" a="1"/>
  <c r="AF154" i="5" s="1"/>
  <c r="AF155" i="5" a="1"/>
  <c r="AF155" i="5"/>
  <c r="AF156" i="5" a="1"/>
  <c r="AF156" i="5" s="1"/>
  <c r="AF157" i="5" a="1"/>
  <c r="AF157" i="5" s="1"/>
  <c r="AF158" i="5" a="1"/>
  <c r="AF158" i="5" s="1"/>
  <c r="AF159" i="5" a="1"/>
  <c r="AF159" i="5" s="1"/>
  <c r="AF160" i="5" a="1"/>
  <c r="AF160" i="5" s="1"/>
  <c r="AF161" i="5" a="1"/>
  <c r="AF161" i="5" s="1"/>
  <c r="AF162" i="5" a="1"/>
  <c r="AF162" i="5" s="1"/>
  <c r="AF163" i="5" a="1"/>
  <c r="AF163" i="5"/>
  <c r="AF164" i="5" a="1"/>
  <c r="AF164" i="5" s="1"/>
  <c r="AF165" i="5" a="1"/>
  <c r="AF165" i="5" s="1"/>
  <c r="AF166" i="5" a="1"/>
  <c r="AF166" i="5" s="1"/>
  <c r="AF167" i="5" a="1"/>
  <c r="AF167" i="5" s="1"/>
  <c r="AF168" i="5" a="1"/>
  <c r="AF168" i="5" s="1"/>
  <c r="AF169" i="5" a="1"/>
  <c r="AF169" i="5" s="1"/>
  <c r="AF170" i="5" a="1"/>
  <c r="AF170" i="5" s="1"/>
  <c r="AF171" i="5" a="1"/>
  <c r="AF171" i="5"/>
  <c r="AF172" i="5" a="1"/>
  <c r="AF172" i="5" s="1"/>
  <c r="AF173" i="5" a="1"/>
  <c r="AF173" i="5" s="1"/>
  <c r="AF174" i="5" a="1"/>
  <c r="AF174" i="5" s="1"/>
  <c r="AV15" i="4" a="1"/>
  <c r="AV15" i="4" s="1"/>
  <c r="AV16" i="4" a="1"/>
  <c r="AV16" i="4" s="1"/>
  <c r="AV17" i="4" a="1"/>
  <c r="AV17" i="4" s="1"/>
  <c r="AV18" i="4" a="1"/>
  <c r="AV18" i="4" s="1"/>
  <c r="AV19" i="4" a="1"/>
  <c r="AV19" i="4" s="1"/>
  <c r="AV20" i="4" a="1"/>
  <c r="AV20" i="4" s="1"/>
  <c r="AV21" i="4" a="1"/>
  <c r="AV21" i="4" s="1"/>
  <c r="AV22" i="4" a="1"/>
  <c r="AV22" i="4" s="1"/>
  <c r="AV23" i="4" a="1"/>
  <c r="AV23" i="4" s="1"/>
  <c r="AV24" i="4" a="1"/>
  <c r="AV24" i="4" s="1"/>
  <c r="AV25" i="4" a="1"/>
  <c r="AV25" i="4" s="1"/>
  <c r="AV26" i="4" a="1"/>
  <c r="AV26" i="4" s="1"/>
  <c r="AV27" i="4" a="1"/>
  <c r="AV27" i="4" s="1"/>
  <c r="AV28" i="4" a="1"/>
  <c r="AV28" i="4" s="1"/>
  <c r="AV29" i="4" a="1"/>
  <c r="AV29" i="4" s="1"/>
  <c r="AV30" i="4" a="1"/>
  <c r="AV30" i="4" s="1"/>
  <c r="AV31" i="4" a="1"/>
  <c r="AV31" i="4" s="1"/>
  <c r="AV32" i="4" a="1"/>
  <c r="AV32" i="4" s="1"/>
  <c r="AV33" i="4" a="1"/>
  <c r="AV33" i="4" s="1"/>
  <c r="AV34" i="4" a="1"/>
  <c r="AV34" i="4" s="1"/>
  <c r="AV35" i="4" a="1"/>
  <c r="AV35" i="4" s="1"/>
  <c r="AV36" i="4" a="1"/>
  <c r="AV36" i="4" s="1"/>
  <c r="AV37" i="4" a="1"/>
  <c r="AV37" i="4" s="1"/>
  <c r="AV38" i="4" a="1"/>
  <c r="AV38" i="4" s="1"/>
  <c r="AV39" i="4" a="1"/>
  <c r="AV39" i="4" s="1"/>
  <c r="AV40" i="4" a="1"/>
  <c r="AV40" i="4" s="1"/>
  <c r="AV41" i="4" a="1"/>
  <c r="AV41" i="4" s="1"/>
  <c r="AV42" i="4" a="1"/>
  <c r="AV42" i="4" s="1"/>
  <c r="AV43" i="4" a="1"/>
  <c r="AV43" i="4" s="1"/>
  <c r="AV44" i="4" a="1"/>
  <c r="AV44" i="4" s="1"/>
  <c r="AV45" i="4" a="1"/>
  <c r="AV45" i="4" s="1"/>
  <c r="AV46" i="4" a="1"/>
  <c r="AV46" i="4" s="1"/>
  <c r="AV47" i="4" a="1"/>
  <c r="AV47" i="4" s="1"/>
  <c r="AV48" i="4" a="1"/>
  <c r="AV48" i="4" s="1"/>
  <c r="AV49" i="4" a="1"/>
  <c r="AV49" i="4" s="1"/>
  <c r="AV50" i="4" a="1"/>
  <c r="AV50" i="4" s="1"/>
  <c r="AV51" i="4" a="1"/>
  <c r="AV51" i="4" s="1"/>
  <c r="AV52" i="4" a="1"/>
  <c r="AV52" i="4" s="1"/>
  <c r="AV53" i="4" a="1"/>
  <c r="AV53" i="4" s="1"/>
  <c r="AV54" i="4" a="1"/>
  <c r="AV54" i="4" s="1"/>
  <c r="AV55" i="4" a="1"/>
  <c r="AV55" i="4" s="1"/>
  <c r="AV56" i="4" a="1"/>
  <c r="AV56" i="4" s="1"/>
  <c r="AV57" i="4" a="1"/>
  <c r="AV57" i="4" s="1"/>
  <c r="AV58" i="4" a="1"/>
  <c r="AV58" i="4" s="1"/>
  <c r="AV59" i="4" a="1"/>
  <c r="AV59" i="4" s="1"/>
  <c r="AV60" i="4" a="1"/>
  <c r="AV60" i="4" s="1"/>
  <c r="AV61" i="4" a="1"/>
  <c r="AV61" i="4" s="1"/>
  <c r="AV62" i="4" a="1"/>
  <c r="AV62" i="4" s="1"/>
  <c r="AV63" i="4" a="1"/>
  <c r="AV63" i="4" s="1"/>
  <c r="AV64" i="4" a="1"/>
  <c r="AV64" i="4" s="1"/>
  <c r="AV65" i="4" a="1"/>
  <c r="AV65" i="4" s="1"/>
  <c r="AV66" i="4" a="1"/>
  <c r="AV66" i="4" s="1"/>
  <c r="AV67" i="4" a="1"/>
  <c r="AV67" i="4" s="1"/>
  <c r="AV68" i="4" a="1"/>
  <c r="AV68" i="4" s="1"/>
  <c r="AV69" i="4" a="1"/>
  <c r="AV69" i="4" s="1"/>
  <c r="AV70" i="4" a="1"/>
  <c r="AV70" i="4" s="1"/>
  <c r="AV71" i="4" a="1"/>
  <c r="AV71" i="4" s="1"/>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E4" i="8"/>
  <c r="F4" i="8"/>
  <c r="G4" i="8"/>
  <c r="H4" i="8"/>
  <c r="I4" i="8"/>
  <c r="E5" i="8"/>
  <c r="F5" i="8"/>
  <c r="G5" i="8"/>
  <c r="H5" i="8"/>
  <c r="I5" i="8"/>
  <c r="E6" i="8"/>
  <c r="F6" i="8"/>
  <c r="G6" i="8"/>
  <c r="H6" i="8"/>
  <c r="I6" i="8"/>
  <c r="E7" i="8"/>
  <c r="F7" i="8"/>
  <c r="G7" i="8"/>
  <c r="H7" i="8"/>
  <c r="I7" i="8"/>
  <c r="E8" i="8"/>
  <c r="F8" i="8"/>
  <c r="G8" i="8"/>
  <c r="H8" i="8"/>
  <c r="I8" i="8"/>
  <c r="E9" i="8"/>
  <c r="F9" i="8"/>
  <c r="G9" i="8"/>
  <c r="H9" i="8"/>
  <c r="I9" i="8"/>
  <c r="E10" i="8"/>
  <c r="F10" i="8"/>
  <c r="G10" i="8"/>
  <c r="H10" i="8"/>
  <c r="I10" i="8"/>
  <c r="E11" i="8"/>
  <c r="F11" i="8"/>
  <c r="G11" i="8"/>
  <c r="H11" i="8"/>
  <c r="I11" i="8"/>
  <c r="E12" i="8"/>
  <c r="F12" i="8"/>
  <c r="G12" i="8"/>
  <c r="H12" i="8"/>
  <c r="I12" i="8"/>
  <c r="E13" i="8"/>
  <c r="F13" i="8"/>
  <c r="G13" i="8"/>
  <c r="H13" i="8"/>
  <c r="I13" i="8"/>
  <c r="E14" i="8"/>
  <c r="F14" i="8"/>
  <c r="G14" i="8"/>
  <c r="H14" i="8"/>
  <c r="I14" i="8"/>
  <c r="E15" i="8"/>
  <c r="F15" i="8"/>
  <c r="G15" i="8"/>
  <c r="H15" i="8"/>
  <c r="I15" i="8"/>
  <c r="E16" i="8"/>
  <c r="F16" i="8"/>
  <c r="G16" i="8"/>
  <c r="H16" i="8"/>
  <c r="I16" i="8"/>
  <c r="E17" i="8"/>
  <c r="F17" i="8"/>
  <c r="G17" i="8"/>
  <c r="H17" i="8"/>
  <c r="I17" i="8"/>
  <c r="E18" i="8"/>
  <c r="F18" i="8"/>
  <c r="G18" i="8"/>
  <c r="H18" i="8"/>
  <c r="I18" i="8"/>
  <c r="E20" i="8"/>
  <c r="F20" i="8"/>
  <c r="G20" i="8"/>
  <c r="H20" i="8"/>
  <c r="I20" i="8"/>
  <c r="E25" i="8"/>
  <c r="F25" i="8"/>
  <c r="G25" i="8"/>
  <c r="H25" i="8"/>
  <c r="I25" i="8"/>
  <c r="E26" i="8"/>
  <c r="F26" i="8"/>
  <c r="G26" i="8"/>
  <c r="H26" i="8"/>
  <c r="I26" i="8"/>
  <c r="E27" i="8"/>
  <c r="F27" i="8"/>
  <c r="G27" i="8"/>
  <c r="H27" i="8"/>
  <c r="I27" i="8"/>
  <c r="E29" i="8"/>
  <c r="F29" i="8"/>
  <c r="G29" i="8"/>
  <c r="H29" i="8"/>
  <c r="I29" i="8"/>
  <c r="E30" i="8"/>
  <c r="F30" i="8"/>
  <c r="G30" i="8"/>
  <c r="H30" i="8"/>
  <c r="I30" i="8"/>
  <c r="E31" i="8"/>
  <c r="F31" i="8"/>
  <c r="G31" i="8"/>
  <c r="H31" i="8"/>
  <c r="I31" i="8"/>
  <c r="E32" i="8"/>
  <c r="F32" i="8"/>
  <c r="G32" i="8"/>
  <c r="H32" i="8"/>
  <c r="I32" i="8"/>
  <c r="E34" i="8"/>
  <c r="F34" i="8"/>
  <c r="G34" i="8"/>
  <c r="H34" i="8"/>
  <c r="I34" i="8"/>
  <c r="E35" i="8"/>
  <c r="F35" i="8"/>
  <c r="G35" i="8"/>
  <c r="H35" i="8"/>
  <c r="I35" i="8"/>
  <c r="E38" i="8"/>
  <c r="F38" i="8"/>
  <c r="G38" i="8"/>
  <c r="H38" i="8"/>
  <c r="I38" i="8"/>
  <c r="E39" i="8"/>
  <c r="F39" i="8"/>
  <c r="G39" i="8"/>
  <c r="H39" i="8"/>
  <c r="I39" i="8"/>
  <c r="E40" i="8"/>
  <c r="F40" i="8"/>
  <c r="G40" i="8"/>
  <c r="H40" i="8"/>
  <c r="I40" i="8"/>
  <c r="E41" i="8"/>
  <c r="F41" i="8"/>
  <c r="G41" i="8"/>
  <c r="H41" i="8"/>
  <c r="I41" i="8"/>
  <c r="E42" i="8"/>
  <c r="F42" i="8"/>
  <c r="G42" i="8"/>
  <c r="H42" i="8"/>
  <c r="I42" i="8"/>
  <c r="E44" i="8"/>
  <c r="F44" i="8"/>
  <c r="G44" i="8"/>
  <c r="H44" i="8"/>
  <c r="I44" i="8"/>
  <c r="E47" i="8"/>
  <c r="F47" i="8"/>
  <c r="G47" i="8"/>
  <c r="H47" i="8"/>
  <c r="I47" i="8"/>
  <c r="A48" i="8"/>
  <c r="B48" i="8"/>
  <c r="C48" i="8"/>
  <c r="D48" i="8"/>
  <c r="E48" i="8"/>
  <c r="F48" i="8"/>
  <c r="G48" i="8"/>
  <c r="H48" i="8"/>
  <c r="I48" i="8"/>
  <c r="A49" i="8"/>
  <c r="B49" i="8"/>
  <c r="C49" i="8"/>
  <c r="D49" i="8"/>
  <c r="E49" i="8"/>
  <c r="F49" i="8"/>
  <c r="G49" i="8"/>
  <c r="H49" i="8"/>
  <c r="I49" i="8"/>
  <c r="A50" i="8"/>
  <c r="B50" i="8"/>
  <c r="C50" i="8"/>
  <c r="D50" i="8"/>
  <c r="E50" i="8"/>
  <c r="F50" i="8"/>
  <c r="G50" i="8"/>
  <c r="H50" i="8"/>
  <c r="I50" i="8"/>
  <c r="A51" i="8"/>
  <c r="B51" i="8"/>
  <c r="C51" i="8"/>
  <c r="D51" i="8"/>
  <c r="E51" i="8"/>
  <c r="F51" i="8"/>
  <c r="G51" i="8"/>
  <c r="H51" i="8"/>
  <c r="I51" i="8"/>
  <c r="A52" i="8"/>
  <c r="B52" i="8"/>
  <c r="C52" i="8"/>
  <c r="D52" i="8"/>
  <c r="E52" i="8"/>
  <c r="F52" i="8"/>
  <c r="G52" i="8"/>
  <c r="H52" i="8"/>
  <c r="I52" i="8"/>
  <c r="A53" i="8"/>
  <c r="B53" i="8"/>
  <c r="C53" i="8"/>
  <c r="D53" i="8"/>
  <c r="E53" i="8"/>
  <c r="F53" i="8"/>
  <c r="G53" i="8"/>
  <c r="H53" i="8"/>
  <c r="I53" i="8"/>
  <c r="A54" i="8"/>
  <c r="B54" i="8"/>
  <c r="C54" i="8"/>
  <c r="D54" i="8"/>
  <c r="E54" i="8"/>
  <c r="F54" i="8"/>
  <c r="G54" i="8"/>
  <c r="H54" i="8"/>
  <c r="I54" i="8"/>
  <c r="A55" i="8"/>
  <c r="B55" i="8"/>
  <c r="C55" i="8"/>
  <c r="D55" i="8"/>
  <c r="E55" i="8"/>
  <c r="F55" i="8"/>
  <c r="G55" i="8"/>
  <c r="H55" i="8"/>
  <c r="I55" i="8"/>
  <c r="A56" i="8"/>
  <c r="B56" i="8"/>
  <c r="C56" i="8"/>
  <c r="D56" i="8"/>
  <c r="E56" i="8"/>
  <c r="F56" i="8"/>
  <c r="G56" i="8"/>
  <c r="H56" i="8"/>
  <c r="I56" i="8"/>
  <c r="A57" i="8"/>
  <c r="B57" i="8"/>
  <c r="C57" i="8"/>
  <c r="D57" i="8"/>
  <c r="E57" i="8"/>
  <c r="F57" i="8"/>
  <c r="G57" i="8"/>
  <c r="H57" i="8"/>
  <c r="I57" i="8"/>
  <c r="A58" i="8"/>
  <c r="B58" i="8"/>
  <c r="C58" i="8"/>
  <c r="D58" i="8"/>
  <c r="E58" i="8"/>
  <c r="F58" i="8"/>
  <c r="G58" i="8"/>
  <c r="H58" i="8"/>
  <c r="I58" i="8"/>
  <c r="A59" i="8"/>
  <c r="B59" i="8"/>
  <c r="C59" i="8"/>
  <c r="D59" i="8"/>
  <c r="E59" i="8"/>
  <c r="F59" i="8"/>
  <c r="G59" i="8"/>
  <c r="H59" i="8"/>
  <c r="I59" i="8"/>
  <c r="A60" i="8"/>
  <c r="B60" i="8"/>
  <c r="C60" i="8"/>
  <c r="D60" i="8"/>
  <c r="E60" i="8"/>
  <c r="F60" i="8"/>
  <c r="G60" i="8"/>
  <c r="H60" i="8"/>
  <c r="I60" i="8"/>
  <c r="A61" i="8"/>
  <c r="B61" i="8"/>
  <c r="C61" i="8"/>
  <c r="D61" i="8"/>
  <c r="E61" i="8"/>
  <c r="F61" i="8"/>
  <c r="G61" i="8"/>
  <c r="H61" i="8"/>
  <c r="I61" i="8"/>
  <c r="A62" i="8"/>
  <c r="B62" i="8"/>
  <c r="C62" i="8"/>
  <c r="D62" i="8"/>
  <c r="E62" i="8"/>
  <c r="F62" i="8"/>
  <c r="G62" i="8"/>
  <c r="H62" i="8"/>
  <c r="I62" i="8"/>
  <c r="A63" i="8"/>
  <c r="B63" i="8"/>
  <c r="C63" i="8"/>
  <c r="D63" i="8"/>
  <c r="E63" i="8"/>
  <c r="F63" i="8"/>
  <c r="G63" i="8"/>
  <c r="H63" i="8"/>
  <c r="I63" i="8"/>
  <c r="A64" i="8"/>
  <c r="B64" i="8"/>
  <c r="C64" i="8"/>
  <c r="D64" i="8"/>
  <c r="E64" i="8"/>
  <c r="F64" i="8"/>
  <c r="G64" i="8"/>
  <c r="H64" i="8"/>
  <c r="I64" i="8"/>
  <c r="A65" i="8"/>
  <c r="B65" i="8"/>
  <c r="C65" i="8"/>
  <c r="D65" i="8"/>
  <c r="E65" i="8"/>
  <c r="F65" i="8"/>
  <c r="G65" i="8"/>
  <c r="H65" i="8"/>
  <c r="I65" i="8"/>
  <c r="A66" i="8"/>
  <c r="B66" i="8"/>
  <c r="C66" i="8"/>
  <c r="D66" i="8"/>
  <c r="E66" i="8"/>
  <c r="F66" i="8"/>
  <c r="G66" i="8"/>
  <c r="H66" i="8"/>
  <c r="I66" i="8"/>
  <c r="A67" i="8"/>
  <c r="B67" i="8"/>
  <c r="C67" i="8"/>
  <c r="D67" i="8"/>
  <c r="E67" i="8"/>
  <c r="F67" i="8"/>
  <c r="G67" i="8"/>
  <c r="H67" i="8"/>
  <c r="I67" i="8"/>
  <c r="A68" i="8"/>
  <c r="B68" i="8"/>
  <c r="C68" i="8"/>
  <c r="D68" i="8"/>
  <c r="E68" i="8"/>
  <c r="F68" i="8"/>
  <c r="G68" i="8"/>
  <c r="H68" i="8"/>
  <c r="I68" i="8"/>
  <c r="A69" i="8"/>
  <c r="B69" i="8"/>
  <c r="C69" i="8"/>
  <c r="D69" i="8"/>
  <c r="E69" i="8"/>
  <c r="F69" i="8"/>
  <c r="G69" i="8"/>
  <c r="H69" i="8"/>
  <c r="I69" i="8"/>
  <c r="A70" i="8"/>
  <c r="B70" i="8"/>
  <c r="C70" i="8"/>
  <c r="D70" i="8"/>
  <c r="E70" i="8"/>
  <c r="F70" i="8"/>
  <c r="G70" i="8"/>
  <c r="H70" i="8"/>
  <c r="I70" i="8"/>
  <c r="A71" i="8"/>
  <c r="B71" i="8"/>
  <c r="C71" i="8"/>
  <c r="D71" i="8"/>
  <c r="E71" i="8"/>
  <c r="F71" i="8"/>
  <c r="G71" i="8"/>
  <c r="H71" i="8"/>
  <c r="I71" i="8"/>
  <c r="A72" i="8"/>
  <c r="B72" i="8"/>
  <c r="C72" i="8"/>
  <c r="D72" i="8"/>
  <c r="E72" i="8"/>
  <c r="F72" i="8"/>
  <c r="G72" i="8"/>
  <c r="H72" i="8"/>
  <c r="I72" i="8"/>
  <c r="A73" i="8"/>
  <c r="B73" i="8"/>
  <c r="C73" i="8"/>
  <c r="D73" i="8"/>
  <c r="E73" i="8"/>
  <c r="F73" i="8"/>
  <c r="G73" i="8"/>
  <c r="H73" i="8"/>
  <c r="I73" i="8"/>
  <c r="A74" i="8"/>
  <c r="B74" i="8"/>
  <c r="C74" i="8"/>
  <c r="D74" i="8"/>
  <c r="E74" i="8"/>
  <c r="F74" i="8"/>
  <c r="G74" i="8"/>
  <c r="H74" i="8"/>
  <c r="I74" i="8"/>
  <c r="A75" i="8"/>
  <c r="B75" i="8"/>
  <c r="C75" i="8"/>
  <c r="D75" i="8"/>
  <c r="E75" i="8"/>
  <c r="F75" i="8"/>
  <c r="G75" i="8"/>
  <c r="H75" i="8"/>
  <c r="I75" i="8"/>
  <c r="A76" i="8"/>
  <c r="B76" i="8"/>
  <c r="C76" i="8"/>
  <c r="D76" i="8"/>
  <c r="E76" i="8"/>
  <c r="F76" i="8"/>
  <c r="G76" i="8"/>
  <c r="H76" i="8"/>
  <c r="I76" i="8"/>
  <c r="A77" i="8"/>
  <c r="B77" i="8"/>
  <c r="C77" i="8"/>
  <c r="D77" i="8"/>
  <c r="E77" i="8"/>
  <c r="F77" i="8"/>
  <c r="G77" i="8"/>
  <c r="H77" i="8"/>
  <c r="I77" i="8"/>
  <c r="A78" i="8"/>
  <c r="B78" i="8"/>
  <c r="C78" i="8"/>
  <c r="D78" i="8"/>
  <c r="E78" i="8"/>
  <c r="F78" i="8"/>
  <c r="G78" i="8"/>
  <c r="H78" i="8"/>
  <c r="I78" i="8"/>
  <c r="A79" i="8"/>
  <c r="B79" i="8"/>
  <c r="C79" i="8"/>
  <c r="D79" i="8"/>
  <c r="E79" i="8"/>
  <c r="F79" i="8"/>
  <c r="G79" i="8"/>
  <c r="H79" i="8"/>
  <c r="I79" i="8"/>
  <c r="A80" i="8"/>
  <c r="B80" i="8"/>
  <c r="C80" i="8"/>
  <c r="D80" i="8"/>
  <c r="E80" i="8"/>
  <c r="F80" i="8"/>
  <c r="G80" i="8"/>
  <c r="H80" i="8"/>
  <c r="I80" i="8"/>
  <c r="A81" i="8"/>
  <c r="B81" i="8"/>
  <c r="C81" i="8"/>
  <c r="D81" i="8"/>
  <c r="E81" i="8"/>
  <c r="F81" i="8"/>
  <c r="G81" i="8"/>
  <c r="H81" i="8"/>
  <c r="I81" i="8"/>
  <c r="A82" i="8"/>
  <c r="B82" i="8"/>
  <c r="C82" i="8"/>
  <c r="D82" i="8"/>
  <c r="E82" i="8"/>
  <c r="F82" i="8"/>
  <c r="G82" i="8"/>
  <c r="H82" i="8"/>
  <c r="I82" i="8"/>
  <c r="A83" i="8"/>
  <c r="B83" i="8"/>
  <c r="C83" i="8"/>
  <c r="D83" i="8"/>
  <c r="E83" i="8"/>
  <c r="F83" i="8"/>
  <c r="G83" i="8"/>
  <c r="H83" i="8"/>
  <c r="I83" i="8"/>
  <c r="A84" i="8"/>
  <c r="B84" i="8"/>
  <c r="C84" i="8"/>
  <c r="D84" i="8"/>
  <c r="E84" i="8"/>
  <c r="F84" i="8"/>
  <c r="G84" i="8"/>
  <c r="H84" i="8"/>
  <c r="I84" i="8"/>
  <c r="A85" i="8"/>
  <c r="B85" i="8"/>
  <c r="C85" i="8"/>
  <c r="D85" i="8"/>
  <c r="E85" i="8"/>
  <c r="F85" i="8"/>
  <c r="G85" i="8"/>
  <c r="H85" i="8"/>
  <c r="I85" i="8"/>
  <c r="A86" i="8"/>
  <c r="B86" i="8"/>
  <c r="C86" i="8"/>
  <c r="D86" i="8"/>
  <c r="E86" i="8"/>
  <c r="F86" i="8"/>
  <c r="G86" i="8"/>
  <c r="H86" i="8"/>
  <c r="I86" i="8"/>
  <c r="A87" i="8"/>
  <c r="B87" i="8"/>
  <c r="C87" i="8"/>
  <c r="D87" i="8"/>
  <c r="E87" i="8"/>
  <c r="F87" i="8"/>
  <c r="G87" i="8"/>
  <c r="H87" i="8"/>
  <c r="I87" i="8"/>
  <c r="A88" i="8"/>
  <c r="B88" i="8"/>
  <c r="C88" i="8"/>
  <c r="D88" i="8"/>
  <c r="E88" i="8"/>
  <c r="F88" i="8"/>
  <c r="G88" i="8"/>
  <c r="H88" i="8"/>
  <c r="I88" i="8"/>
  <c r="A89" i="8"/>
  <c r="B89" i="8"/>
  <c r="C89" i="8"/>
  <c r="D89" i="8"/>
  <c r="E89" i="8"/>
  <c r="F89" i="8"/>
  <c r="G89" i="8"/>
  <c r="H89" i="8"/>
  <c r="I89" i="8"/>
  <c r="A90" i="8"/>
  <c r="B90" i="8"/>
  <c r="C90" i="8"/>
  <c r="D90" i="8"/>
  <c r="E90" i="8"/>
  <c r="F90" i="8"/>
  <c r="G90" i="8"/>
  <c r="H90" i="8"/>
  <c r="I90" i="8"/>
  <c r="A91" i="8"/>
  <c r="B91" i="8"/>
  <c r="C91" i="8"/>
  <c r="D91" i="8"/>
  <c r="E91" i="8"/>
  <c r="F91" i="8"/>
  <c r="G91" i="8"/>
  <c r="H91" i="8"/>
  <c r="I91" i="8"/>
  <c r="A92" i="8"/>
  <c r="B92" i="8"/>
  <c r="C92" i="8"/>
  <c r="D92" i="8"/>
  <c r="E92" i="8"/>
  <c r="F92" i="8"/>
  <c r="G92" i="8"/>
  <c r="H92" i="8"/>
  <c r="I92" i="8"/>
  <c r="A93" i="8"/>
  <c r="B93" i="8"/>
  <c r="C93" i="8"/>
  <c r="D93" i="8"/>
  <c r="E93" i="8"/>
  <c r="F93" i="8"/>
  <c r="G93" i="8"/>
  <c r="H93" i="8"/>
  <c r="I93" i="8"/>
  <c r="A94" i="8"/>
  <c r="B94" i="8"/>
  <c r="C94" i="8"/>
  <c r="D94" i="8"/>
  <c r="E94" i="8"/>
  <c r="F94" i="8"/>
  <c r="G94" i="8"/>
  <c r="H94" i="8"/>
  <c r="I94" i="8"/>
  <c r="A95" i="8"/>
  <c r="B95" i="8"/>
  <c r="C95" i="8"/>
  <c r="D95" i="8"/>
  <c r="E95" i="8"/>
  <c r="F95" i="8"/>
  <c r="G95" i="8"/>
  <c r="H95" i="8"/>
  <c r="I95" i="8"/>
  <c r="A96" i="8"/>
  <c r="B96" i="8"/>
  <c r="C96" i="8"/>
  <c r="D96" i="8"/>
  <c r="E96" i="8"/>
  <c r="F96" i="8"/>
  <c r="G96" i="8"/>
  <c r="H96" i="8"/>
  <c r="I96" i="8"/>
  <c r="A97" i="8"/>
  <c r="B97" i="8"/>
  <c r="C97" i="8"/>
  <c r="D97" i="8"/>
  <c r="E97" i="8"/>
  <c r="F97" i="8"/>
  <c r="G97" i="8"/>
  <c r="H97" i="8"/>
  <c r="I97" i="8"/>
  <c r="A98" i="8"/>
  <c r="B98" i="8"/>
  <c r="C98" i="8"/>
  <c r="D98" i="8"/>
  <c r="E98" i="8"/>
  <c r="F98" i="8"/>
  <c r="G98" i="8"/>
  <c r="H98" i="8"/>
  <c r="I98" i="8"/>
  <c r="A99" i="8"/>
  <c r="B99" i="8"/>
  <c r="C99" i="8"/>
  <c r="D99" i="8"/>
  <c r="E99" i="8"/>
  <c r="F99" i="8"/>
  <c r="G99" i="8"/>
  <c r="H99" i="8"/>
  <c r="I99" i="8"/>
  <c r="A100" i="8"/>
  <c r="B100" i="8"/>
  <c r="C100" i="8"/>
  <c r="D100" i="8"/>
  <c r="E100" i="8"/>
  <c r="F100" i="8"/>
  <c r="G100" i="8"/>
  <c r="H100" i="8"/>
  <c r="I100" i="8"/>
  <c r="A101" i="8"/>
  <c r="B101" i="8"/>
  <c r="C101" i="8"/>
  <c r="D101" i="8"/>
  <c r="E101" i="8"/>
  <c r="F101" i="8"/>
  <c r="G101" i="8"/>
  <c r="H101" i="8"/>
  <c r="I101" i="8"/>
  <c r="A102" i="8"/>
  <c r="B102" i="8"/>
  <c r="C102" i="8"/>
  <c r="D102" i="8"/>
  <c r="E102" i="8"/>
  <c r="F102" i="8"/>
  <c r="G102" i="8"/>
  <c r="H102" i="8"/>
  <c r="I102" i="8"/>
  <c r="A103" i="8"/>
  <c r="B103" i="8"/>
  <c r="C103" i="8"/>
  <c r="D103" i="8"/>
  <c r="E103" i="8"/>
  <c r="F103" i="8"/>
  <c r="G103" i="8"/>
  <c r="H103" i="8"/>
  <c r="I103" i="8"/>
  <c r="A104" i="8"/>
  <c r="B104" i="8"/>
  <c r="C104" i="8"/>
  <c r="D104" i="8"/>
  <c r="E104" i="8"/>
  <c r="F104" i="8"/>
  <c r="G104" i="8"/>
  <c r="H104" i="8"/>
  <c r="I104" i="8"/>
  <c r="E14" i="9"/>
  <c r="F14" i="9"/>
  <c r="G14" i="9"/>
  <c r="H14" i="9"/>
  <c r="I14" i="9"/>
  <c r="E15" i="9"/>
  <c r="F15" i="9"/>
  <c r="G15" i="9"/>
  <c r="H15" i="9"/>
  <c r="I15" i="9"/>
  <c r="E16" i="9"/>
  <c r="F16" i="9"/>
  <c r="G16" i="9"/>
  <c r="H16" i="9"/>
  <c r="I16" i="9"/>
  <c r="E17" i="9"/>
  <c r="F17" i="9"/>
  <c r="G17" i="9"/>
  <c r="H17" i="9"/>
  <c r="I17" i="9"/>
  <c r="E18" i="9"/>
  <c r="F18" i="9"/>
  <c r="G18" i="9"/>
  <c r="H18" i="9"/>
  <c r="I18" i="9"/>
  <c r="E19" i="9"/>
  <c r="F19" i="9"/>
  <c r="G19" i="9"/>
  <c r="H19" i="9"/>
  <c r="I19" i="9"/>
  <c r="E20" i="9"/>
  <c r="F20" i="9"/>
  <c r="G20" i="9"/>
  <c r="H20" i="9"/>
  <c r="I20" i="9"/>
  <c r="E21" i="9"/>
  <c r="F21" i="9"/>
  <c r="G21" i="9"/>
  <c r="H21" i="9"/>
  <c r="I21" i="9"/>
  <c r="E22" i="9"/>
  <c r="F22" i="9"/>
  <c r="G22" i="9"/>
  <c r="H22" i="9"/>
  <c r="I22" i="9"/>
  <c r="E23" i="9"/>
  <c r="F23" i="9"/>
  <c r="G23" i="9"/>
  <c r="H23" i="9"/>
  <c r="I23" i="9"/>
  <c r="E24" i="9"/>
  <c r="F24" i="9"/>
  <c r="G24" i="9"/>
  <c r="H24" i="9"/>
  <c r="I24" i="9"/>
  <c r="E25" i="9"/>
  <c r="F25" i="9"/>
  <c r="G25" i="9"/>
  <c r="H25" i="9"/>
  <c r="I25" i="9"/>
  <c r="E26" i="9"/>
  <c r="F26" i="9"/>
  <c r="G26" i="9"/>
  <c r="H26" i="9"/>
  <c r="I26" i="9"/>
  <c r="E27" i="9"/>
  <c r="F27" i="9"/>
  <c r="G27" i="9"/>
  <c r="H27" i="9"/>
  <c r="I27" i="9"/>
  <c r="E28" i="9"/>
  <c r="F28" i="9"/>
  <c r="G28" i="9"/>
  <c r="H28" i="9"/>
  <c r="I28" i="9"/>
  <c r="E29" i="9"/>
  <c r="F29" i="9"/>
  <c r="G29" i="9"/>
  <c r="H29" i="9"/>
  <c r="I29" i="9"/>
  <c r="E30" i="9"/>
  <c r="F30" i="9"/>
  <c r="G30" i="9"/>
  <c r="H30" i="9"/>
  <c r="I30" i="9"/>
  <c r="E31" i="9"/>
  <c r="F31" i="9"/>
  <c r="G31" i="9"/>
  <c r="H31" i="9"/>
  <c r="I31" i="9"/>
  <c r="E32" i="9"/>
  <c r="F32" i="9"/>
  <c r="G32" i="9"/>
  <c r="H32" i="9"/>
  <c r="I32" i="9"/>
  <c r="E33" i="9"/>
  <c r="F33" i="9"/>
  <c r="G33" i="9"/>
  <c r="H33" i="9"/>
  <c r="I33" i="9"/>
  <c r="E34" i="9"/>
  <c r="F34" i="9"/>
  <c r="G34" i="9"/>
  <c r="H34" i="9"/>
  <c r="I34" i="9"/>
  <c r="E35" i="9"/>
  <c r="F35" i="9"/>
  <c r="G35" i="9"/>
  <c r="H35" i="9"/>
  <c r="I35" i="9"/>
  <c r="E36" i="9"/>
  <c r="F36" i="9"/>
  <c r="G36" i="9"/>
  <c r="H36" i="9"/>
  <c r="I36" i="9"/>
  <c r="E37" i="9"/>
  <c r="F37" i="9"/>
  <c r="G37" i="9"/>
  <c r="H37" i="9"/>
  <c r="I37" i="9"/>
  <c r="E38" i="9"/>
  <c r="F38" i="9"/>
  <c r="G38" i="9"/>
  <c r="H38" i="9"/>
  <c r="I38" i="9"/>
  <c r="E39" i="9"/>
  <c r="F39" i="9"/>
  <c r="G39" i="9"/>
  <c r="H39" i="9"/>
  <c r="I39" i="9"/>
  <c r="E9" i="9"/>
  <c r="F9" i="9"/>
  <c r="G9" i="9"/>
  <c r="H9" i="9"/>
  <c r="I9" i="9"/>
  <c r="E10" i="9"/>
  <c r="F10" i="9"/>
  <c r="G10" i="9"/>
  <c r="H10" i="9"/>
  <c r="I10" i="9"/>
  <c r="E11" i="9"/>
  <c r="F11" i="9"/>
  <c r="G11" i="9"/>
  <c r="H11" i="9"/>
  <c r="I11" i="9"/>
  <c r="E12" i="9"/>
  <c r="F12" i="9"/>
  <c r="G12" i="9"/>
  <c r="H12" i="9"/>
  <c r="I12" i="9"/>
  <c r="E13" i="9"/>
  <c r="F13" i="9"/>
  <c r="G13" i="9"/>
  <c r="H13" i="9"/>
  <c r="I13" i="9"/>
  <c r="E4" i="9"/>
  <c r="F4" i="9"/>
  <c r="G4" i="9"/>
  <c r="H4" i="9"/>
  <c r="I4" i="9"/>
  <c r="E5" i="9"/>
  <c r="F5" i="9"/>
  <c r="G5" i="9"/>
  <c r="H5" i="9"/>
  <c r="I5" i="9"/>
  <c r="E6" i="9"/>
  <c r="F6" i="9"/>
  <c r="G6" i="9"/>
  <c r="H6" i="9"/>
  <c r="I6" i="9"/>
  <c r="E7" i="9"/>
  <c r="F7" i="9"/>
  <c r="G7" i="9"/>
  <c r="H7" i="9"/>
  <c r="I7" i="9"/>
  <c r="E8" i="9"/>
  <c r="F8" i="9"/>
  <c r="G8" i="9"/>
  <c r="H8" i="9"/>
  <c r="I8" i="9"/>
  <c r="X22" i="7" a="1"/>
  <c r="X22" i="7" s="1"/>
  <c r="X23" i="7" a="1"/>
  <c r="X23" i="7"/>
  <c r="X24" i="7" a="1"/>
  <c r="X24" i="7" s="1"/>
  <c r="X25" i="7" a="1"/>
  <c r="X25" i="7" s="1"/>
  <c r="X26" i="7" a="1"/>
  <c r="X26" i="7" s="1"/>
  <c r="X27" i="7" a="1"/>
  <c r="X27" i="7"/>
  <c r="X28" i="7" a="1"/>
  <c r="X28" i="7" s="1"/>
  <c r="X29" i="7" a="1"/>
  <c r="X29" i="7" s="1"/>
  <c r="X30" i="7" a="1"/>
  <c r="X30" i="7" s="1"/>
  <c r="X31" i="7" a="1"/>
  <c r="X31" i="7"/>
  <c r="X32" i="7" a="1"/>
  <c r="X32" i="7" s="1"/>
  <c r="X33" i="7" a="1"/>
  <c r="X33" i="7" s="1"/>
  <c r="X34" i="7" a="1"/>
  <c r="X34" i="7" s="1"/>
  <c r="X35" i="7" a="1"/>
  <c r="X35" i="7"/>
  <c r="X36" i="7" a="1"/>
  <c r="X36" i="7" s="1"/>
  <c r="X37" i="7" a="1"/>
  <c r="X37" i="7" s="1"/>
  <c r="X38" i="7" a="1"/>
  <c r="X38" i="7" s="1"/>
  <c r="X39" i="7" a="1"/>
  <c r="X39" i="7"/>
  <c r="X40" i="7" a="1"/>
  <c r="X40" i="7" s="1"/>
  <c r="X41" i="7" a="1"/>
  <c r="X41" i="7" s="1"/>
  <c r="X42" i="7" a="1"/>
  <c r="X42" i="7" s="1"/>
  <c r="X43" i="7" a="1"/>
  <c r="X43" i="7"/>
  <c r="X44" i="7" a="1"/>
  <c r="X44" i="7" s="1"/>
  <c r="X45" i="7" a="1"/>
  <c r="X45" i="7" s="1"/>
  <c r="X46" i="7" a="1"/>
  <c r="X46" i="7" s="1"/>
  <c r="X47" i="7" a="1"/>
  <c r="X47" i="7"/>
  <c r="X48" i="7" a="1"/>
  <c r="X48" i="7" s="1"/>
  <c r="X49" i="7" a="1"/>
  <c r="X49" i="7" s="1"/>
  <c r="X50" i="7" a="1"/>
  <c r="X50" i="7" s="1"/>
  <c r="X51" i="7" a="1"/>
  <c r="X51" i="7"/>
  <c r="X52" i="7" a="1"/>
  <c r="X52" i="7" s="1"/>
  <c r="X53" i="7" a="1"/>
  <c r="X53" i="7" s="1"/>
  <c r="X54" i="7" a="1"/>
  <c r="X54" i="7" s="1"/>
  <c r="X55" i="7" a="1"/>
  <c r="X55" i="7"/>
  <c r="X56" i="7" a="1"/>
  <c r="X56" i="7" s="1"/>
  <c r="X57" i="7" a="1"/>
  <c r="X57" i="7" s="1"/>
  <c r="X58" i="7" a="1"/>
  <c r="X58" i="7" s="1"/>
  <c r="X59" i="7" a="1"/>
  <c r="X59" i="7"/>
  <c r="X60" i="7" a="1"/>
  <c r="X60" i="7" s="1"/>
  <c r="X61" i="7" a="1"/>
  <c r="X61" i="7" s="1"/>
  <c r="X62" i="7" a="1"/>
  <c r="X62" i="7" s="1"/>
  <c r="X63" i="7" a="1"/>
  <c r="X63" i="7"/>
  <c r="X64" i="7" a="1"/>
  <c r="X64" i="7" s="1"/>
  <c r="X65" i="7" a="1"/>
  <c r="X65" i="7" s="1"/>
  <c r="X66" i="7" a="1"/>
  <c r="X66" i="7" s="1"/>
  <c r="X67" i="7" a="1"/>
  <c r="X67" i="7"/>
  <c r="X68" i="7" a="1"/>
  <c r="X68" i="7" s="1"/>
  <c r="X69" i="7" a="1"/>
  <c r="X69" i="7" s="1"/>
  <c r="X70" i="7" a="1"/>
  <c r="X70" i="7" s="1"/>
  <c r="X71" i="7" a="1"/>
  <c r="X71" i="7"/>
  <c r="X72" i="7" a="1"/>
  <c r="X72" i="7" s="1"/>
  <c r="X73" i="7" a="1"/>
  <c r="X73" i="7" s="1"/>
  <c r="X74" i="7" a="1"/>
  <c r="X74" i="7" s="1"/>
  <c r="X75" i="7" a="1"/>
  <c r="X75" i="7"/>
  <c r="X76" i="7" a="1"/>
  <c r="X76" i="7" s="1"/>
  <c r="X77" i="7" a="1"/>
  <c r="X77" i="7" s="1"/>
  <c r="X78" i="7" a="1"/>
  <c r="X78" i="7" s="1"/>
  <c r="X79" i="7" a="1"/>
  <c r="X79" i="7"/>
  <c r="X80" i="7" a="1"/>
  <c r="X80" i="7" s="1"/>
  <c r="X81" i="7" a="1"/>
  <c r="X81" i="7" s="1"/>
  <c r="X82" i="7" a="1"/>
  <c r="X82" i="7" s="1"/>
  <c r="X83" i="7" a="1"/>
  <c r="X83" i="7"/>
  <c r="X84" i="7" a="1"/>
  <c r="X84" i="7" s="1"/>
  <c r="X85" i="7" a="1"/>
  <c r="X85" i="7" s="1"/>
  <c r="X86" i="7" a="1"/>
  <c r="X86" i="7" s="1"/>
  <c r="X87" i="7" a="1"/>
  <c r="X87" i="7"/>
  <c r="X88" i="7" a="1"/>
  <c r="X88" i="7" s="1"/>
  <c r="X89" i="7" a="1"/>
  <c r="X89" i="7" s="1"/>
  <c r="X90" i="7" a="1"/>
  <c r="X90" i="7" s="1"/>
  <c r="X91" i="7" a="1"/>
  <c r="X91" i="7"/>
  <c r="X92" i="7" a="1"/>
  <c r="X92" i="7" s="1"/>
  <c r="X93" i="7" a="1"/>
  <c r="X93" i="7" s="1"/>
  <c r="X94" i="7" a="1"/>
  <c r="X94" i="7" s="1"/>
  <c r="X95" i="7" a="1"/>
  <c r="X95" i="7"/>
  <c r="X96" i="7" a="1"/>
  <c r="X96" i="7" s="1"/>
  <c r="X97" i="7" a="1"/>
  <c r="X97" i="7" s="1"/>
  <c r="X98" i="7" a="1"/>
  <c r="X98" i="7" s="1"/>
  <c r="X99" i="7" a="1"/>
  <c r="X99" i="7"/>
  <c r="X100" i="7" a="1"/>
  <c r="X100" i="7" s="1"/>
  <c r="X101" i="7" a="1"/>
  <c r="X101" i="7" s="1"/>
  <c r="X102" i="7" a="1"/>
  <c r="X102" i="7" s="1"/>
  <c r="X103" i="7" a="1"/>
  <c r="X103" i="7"/>
  <c r="X104" i="7" a="1"/>
  <c r="X104" i="7" s="1"/>
  <c r="X105" i="7" a="1"/>
  <c r="X105" i="7" s="1"/>
  <c r="X106" i="7" a="1"/>
  <c r="X106" i="7" s="1"/>
  <c r="X107" i="7" a="1"/>
  <c r="X107" i="7"/>
  <c r="X108" i="7" a="1"/>
  <c r="X108" i="7" s="1"/>
  <c r="X109" i="7" a="1"/>
  <c r="X109" i="7" s="1"/>
  <c r="X110" i="7" a="1"/>
  <c r="X110" i="7" s="1"/>
  <c r="X111" i="7" a="1"/>
  <c r="X111" i="7"/>
  <c r="X112" i="7" a="1"/>
  <c r="X112" i="7" s="1"/>
  <c r="X113" i="7" a="1"/>
  <c r="X113" i="7" s="1"/>
  <c r="X114" i="7" a="1"/>
  <c r="X114" i="7" s="1"/>
  <c r="X115" i="7" a="1"/>
  <c r="X115" i="7" s="1"/>
  <c r="X116" i="7" a="1"/>
  <c r="X116" i="7" s="1"/>
  <c r="X117" i="7" a="1"/>
  <c r="X117" i="7" s="1"/>
  <c r="X118" i="7" a="1"/>
  <c r="X118" i="7" s="1"/>
  <c r="X119" i="7" a="1"/>
  <c r="X119" i="7" s="1"/>
  <c r="X120" i="7" a="1"/>
  <c r="X120" i="7" s="1"/>
  <c r="X121" i="7" a="1"/>
  <c r="X121" i="7" s="1"/>
  <c r="X122" i="7" a="1"/>
  <c r="X122" i="7" s="1"/>
  <c r="X123" i="7" a="1"/>
  <c r="X123" i="7" s="1"/>
  <c r="X124" i="7" a="1"/>
  <c r="X124" i="7" s="1"/>
  <c r="X125" i="7" a="1"/>
  <c r="X125" i="7" s="1"/>
  <c r="X126" i="7" a="1"/>
  <c r="X126" i="7" s="1"/>
  <c r="X127" i="7" a="1"/>
  <c r="X127" i="7" s="1"/>
  <c r="X128" i="7" a="1"/>
  <c r="X128" i="7" s="1"/>
  <c r="X129" i="7" a="1"/>
  <c r="X129" i="7" s="1"/>
  <c r="X130" i="7" a="1"/>
  <c r="X130" i="7" s="1"/>
  <c r="X131" i="7" a="1"/>
  <c r="X131" i="7" s="1"/>
  <c r="X132" i="7" a="1"/>
  <c r="X132" i="7" s="1"/>
  <c r="X133" i="7" a="1"/>
  <c r="X133" i="7" s="1"/>
  <c r="X134" i="7" a="1"/>
  <c r="X134" i="7" s="1"/>
  <c r="X135" i="7" a="1"/>
  <c r="X135" i="7" s="1"/>
  <c r="X136" i="7" a="1"/>
  <c r="X136" i="7" s="1"/>
  <c r="X137" i="7" a="1"/>
  <c r="X137" i="7" s="1"/>
  <c r="X138" i="7" a="1"/>
  <c r="X138" i="7" s="1"/>
  <c r="X139" i="7" a="1"/>
  <c r="X139" i="7" s="1"/>
  <c r="X140" i="7" a="1"/>
  <c r="X140" i="7" s="1"/>
  <c r="X141" i="7" a="1"/>
  <c r="X141" i="7" s="1"/>
  <c r="X142" i="7" a="1"/>
  <c r="X142" i="7" s="1"/>
  <c r="X143" i="7" a="1"/>
  <c r="X143" i="7" s="1"/>
  <c r="X144" i="7" a="1"/>
  <c r="X144" i="7" s="1"/>
  <c r="X145" i="7" a="1"/>
  <c r="X145" i="7" s="1"/>
  <c r="X146" i="7" a="1"/>
  <c r="X146" i="7" s="1"/>
  <c r="X147" i="7" a="1"/>
  <c r="X147" i="7" s="1"/>
  <c r="X148" i="7" a="1"/>
  <c r="X148" i="7" s="1"/>
  <c r="X149" i="7" a="1"/>
  <c r="X149" i="7" s="1"/>
  <c r="X150" i="7" a="1"/>
  <c r="X150" i="7" s="1"/>
  <c r="X151" i="7" a="1"/>
  <c r="X151" i="7" s="1"/>
  <c r="X152" i="7" a="1"/>
  <c r="X152" i="7" s="1"/>
  <c r="X153" i="7" a="1"/>
  <c r="X153" i="7" s="1"/>
  <c r="X154" i="7" a="1"/>
  <c r="X154" i="7" s="1"/>
  <c r="X155" i="7" a="1"/>
  <c r="X155" i="7" s="1"/>
  <c r="X156" i="7" a="1"/>
  <c r="X156" i="7" s="1"/>
  <c r="X157" i="7" a="1"/>
  <c r="X157" i="7" s="1"/>
  <c r="X158" i="7" a="1"/>
  <c r="X158" i="7" s="1"/>
  <c r="X159" i="7" a="1"/>
  <c r="X159" i="7" s="1"/>
  <c r="X160" i="7" a="1"/>
  <c r="X160" i="7" s="1"/>
  <c r="X161" i="7" a="1"/>
  <c r="X161" i="7" s="1"/>
  <c r="X162" i="7" a="1"/>
  <c r="X162" i="7" s="1"/>
  <c r="X163" i="7" a="1"/>
  <c r="X163" i="7" s="1"/>
  <c r="X164" i="7" a="1"/>
  <c r="X164" i="7" s="1"/>
  <c r="X165" i="7" a="1"/>
  <c r="X165" i="7" s="1"/>
  <c r="X166" i="7" a="1"/>
  <c r="X166" i="7" s="1"/>
  <c r="X167" i="7" a="1"/>
  <c r="X167" i="7" s="1"/>
  <c r="X168" i="7" a="1"/>
  <c r="X168" i="7" s="1"/>
  <c r="X169" i="7" a="1"/>
  <c r="X169" i="7" s="1"/>
  <c r="X170" i="7" a="1"/>
  <c r="X170" i="7" s="1"/>
  <c r="X171" i="7" a="1"/>
  <c r="X171" i="7" s="1"/>
  <c r="X172" i="7" a="1"/>
  <c r="X172" i="7" s="1"/>
  <c r="X173" i="7" a="1"/>
  <c r="X173" i="7" s="1"/>
  <c r="X174" i="7" a="1"/>
  <c r="X174" i="7" s="1"/>
  <c r="X175" i="7" a="1"/>
  <c r="X175" i="7" s="1"/>
  <c r="X176" i="7" a="1"/>
  <c r="X176" i="7" s="1"/>
  <c r="X177" i="7" a="1"/>
  <c r="X177" i="7" s="1"/>
  <c r="X178" i="7" a="1"/>
  <c r="X178" i="7" s="1"/>
  <c r="X4" i="7" a="1"/>
  <c r="X4" i="7" s="1"/>
  <c r="X5" i="7" a="1"/>
  <c r="X5" i="7"/>
  <c r="X6" i="7" a="1"/>
  <c r="X6" i="7" s="1"/>
  <c r="X7" i="7" a="1"/>
  <c r="X7" i="7"/>
  <c r="X8" i="7" a="1"/>
  <c r="X8" i="7" s="1"/>
  <c r="X9" i="7" a="1"/>
  <c r="X9" i="7"/>
  <c r="X10" i="7" a="1"/>
  <c r="X10" i="7" s="1"/>
  <c r="X11" i="7" a="1"/>
  <c r="X11" i="7"/>
  <c r="X12" i="7" a="1"/>
  <c r="X12" i="7" s="1"/>
  <c r="X13" i="7" a="1"/>
  <c r="X13" i="7"/>
  <c r="X14" i="7" a="1"/>
  <c r="X14" i="7" s="1"/>
  <c r="X15" i="7" a="1"/>
  <c r="X15" i="7"/>
  <c r="X16" i="7" a="1"/>
  <c r="X16" i="7" s="1"/>
  <c r="X17" i="7" a="1"/>
  <c r="X17" i="7"/>
  <c r="X18" i="7" a="1"/>
  <c r="X18" i="7" s="1"/>
  <c r="X19" i="7" a="1"/>
  <c r="X19" i="7"/>
  <c r="X20" i="7" a="1"/>
  <c r="X20" i="7" s="1"/>
  <c r="X21" i="7" a="1"/>
  <c r="X21" i="7"/>
  <c r="E9" i="7"/>
  <c r="F9" i="7"/>
  <c r="G9" i="7"/>
  <c r="H9" i="7"/>
  <c r="I9" i="7"/>
  <c r="E10" i="7"/>
  <c r="F10" i="7"/>
  <c r="G10" i="7"/>
  <c r="H10" i="7"/>
  <c r="I10" i="7"/>
  <c r="E11" i="7"/>
  <c r="F11" i="7"/>
  <c r="G11" i="7"/>
  <c r="H11" i="7"/>
  <c r="I11" i="7"/>
  <c r="E12" i="7"/>
  <c r="F12" i="7"/>
  <c r="G12" i="7"/>
  <c r="H12" i="7"/>
  <c r="I12" i="7"/>
  <c r="E13" i="7"/>
  <c r="F13" i="7"/>
  <c r="G13" i="7"/>
  <c r="H13" i="7"/>
  <c r="I13" i="7"/>
  <c r="E14" i="7"/>
  <c r="F14" i="7"/>
  <c r="G14" i="7"/>
  <c r="H14" i="7"/>
  <c r="I14" i="7"/>
  <c r="E15" i="7"/>
  <c r="F15" i="7"/>
  <c r="G15" i="7"/>
  <c r="H15" i="7"/>
  <c r="I15" i="7"/>
  <c r="E16" i="7"/>
  <c r="F16" i="7"/>
  <c r="G16" i="7"/>
  <c r="H16" i="7"/>
  <c r="I16" i="7"/>
  <c r="E17" i="7"/>
  <c r="F17" i="7"/>
  <c r="G17" i="7"/>
  <c r="H17" i="7"/>
  <c r="I17" i="7"/>
  <c r="E18" i="7"/>
  <c r="F18" i="7"/>
  <c r="G18" i="7"/>
  <c r="H18" i="7"/>
  <c r="I18" i="7"/>
  <c r="E19" i="7"/>
  <c r="F19" i="7"/>
  <c r="G19" i="7"/>
  <c r="H19" i="7"/>
  <c r="I19" i="7"/>
  <c r="E20" i="7"/>
  <c r="F20" i="7"/>
  <c r="G20" i="7"/>
  <c r="H20" i="7"/>
  <c r="I20" i="7"/>
  <c r="E21" i="7"/>
  <c r="F21" i="7"/>
  <c r="G21" i="7"/>
  <c r="H21" i="7"/>
  <c r="I21" i="7"/>
  <c r="E22" i="7"/>
  <c r="F22" i="7"/>
  <c r="G22" i="7"/>
  <c r="H22" i="7"/>
  <c r="I22" i="7"/>
  <c r="E23" i="7"/>
  <c r="F23" i="7"/>
  <c r="G23" i="7"/>
  <c r="H23" i="7"/>
  <c r="I23" i="7"/>
  <c r="E24" i="7"/>
  <c r="F24" i="7"/>
  <c r="G24" i="7"/>
  <c r="H24" i="7"/>
  <c r="I24" i="7"/>
  <c r="E25" i="7"/>
  <c r="F25" i="7"/>
  <c r="G25" i="7"/>
  <c r="H25" i="7"/>
  <c r="I25" i="7"/>
  <c r="E26" i="7"/>
  <c r="F26" i="7"/>
  <c r="G26" i="7"/>
  <c r="H26" i="7"/>
  <c r="I26" i="7"/>
  <c r="E27" i="7"/>
  <c r="F27" i="7"/>
  <c r="G27" i="7"/>
  <c r="H27" i="7"/>
  <c r="I27" i="7"/>
  <c r="E28" i="7"/>
  <c r="F28" i="7"/>
  <c r="G28" i="7"/>
  <c r="H28" i="7"/>
  <c r="I28" i="7"/>
  <c r="E29" i="7"/>
  <c r="F29" i="7"/>
  <c r="G29" i="7"/>
  <c r="H29" i="7"/>
  <c r="I29" i="7"/>
  <c r="E30" i="7"/>
  <c r="F30" i="7"/>
  <c r="G30" i="7"/>
  <c r="H30" i="7"/>
  <c r="I30" i="7"/>
  <c r="E31" i="7"/>
  <c r="F31" i="7"/>
  <c r="G31" i="7"/>
  <c r="H31" i="7"/>
  <c r="I31" i="7"/>
  <c r="E32" i="7"/>
  <c r="F32" i="7"/>
  <c r="G32" i="7"/>
  <c r="H32" i="7"/>
  <c r="I32" i="7"/>
  <c r="E33" i="7"/>
  <c r="F33" i="7"/>
  <c r="G33" i="7"/>
  <c r="H33" i="7"/>
  <c r="I33" i="7"/>
  <c r="E34" i="7"/>
  <c r="F34" i="7"/>
  <c r="G34" i="7"/>
  <c r="H34" i="7"/>
  <c r="I34" i="7"/>
  <c r="E35" i="7"/>
  <c r="F35" i="7"/>
  <c r="G35" i="7"/>
  <c r="H35" i="7"/>
  <c r="I35" i="7"/>
  <c r="E36" i="7"/>
  <c r="F36" i="7"/>
  <c r="G36" i="7"/>
  <c r="H36" i="7"/>
  <c r="I36" i="7"/>
  <c r="E37" i="7"/>
  <c r="F37" i="7"/>
  <c r="G37" i="7"/>
  <c r="H37" i="7"/>
  <c r="I37" i="7"/>
  <c r="E38" i="7"/>
  <c r="F38" i="7"/>
  <c r="G38" i="7"/>
  <c r="H38" i="7"/>
  <c r="I38" i="7"/>
  <c r="E39" i="7"/>
  <c r="F39" i="7"/>
  <c r="G39" i="7"/>
  <c r="H39" i="7"/>
  <c r="I39" i="7"/>
  <c r="E40" i="7"/>
  <c r="F40" i="7"/>
  <c r="G40" i="7"/>
  <c r="H40" i="7"/>
  <c r="I40" i="7"/>
  <c r="E41" i="7"/>
  <c r="F41" i="7"/>
  <c r="G41" i="7"/>
  <c r="H41" i="7"/>
  <c r="I41" i="7"/>
  <c r="E42" i="7"/>
  <c r="F42" i="7"/>
  <c r="G42" i="7"/>
  <c r="H42" i="7"/>
  <c r="I42" i="7"/>
  <c r="E43" i="7"/>
  <c r="F43" i="7"/>
  <c r="G43" i="7"/>
  <c r="H43" i="7"/>
  <c r="I43" i="7"/>
  <c r="E44" i="7"/>
  <c r="F44" i="7"/>
  <c r="G44" i="7"/>
  <c r="H44" i="7"/>
  <c r="I44" i="7"/>
  <c r="E45" i="7"/>
  <c r="F45" i="7"/>
  <c r="G45" i="7"/>
  <c r="H45" i="7"/>
  <c r="I45" i="7"/>
  <c r="E46" i="7"/>
  <c r="F46" i="7"/>
  <c r="G46" i="7"/>
  <c r="H46" i="7"/>
  <c r="I46" i="7"/>
  <c r="E47" i="7"/>
  <c r="F47" i="7"/>
  <c r="G47" i="7"/>
  <c r="H47" i="7"/>
  <c r="I47" i="7"/>
  <c r="B48" i="7"/>
  <c r="C48" i="7"/>
  <c r="D48" i="7"/>
  <c r="E48" i="7"/>
  <c r="F48" i="7"/>
  <c r="G48" i="7"/>
  <c r="H48" i="7"/>
  <c r="I48" i="7"/>
  <c r="B49" i="7"/>
  <c r="C49" i="7"/>
  <c r="D49" i="7"/>
  <c r="E49" i="7"/>
  <c r="F49" i="7"/>
  <c r="G49" i="7"/>
  <c r="H49" i="7"/>
  <c r="I49" i="7"/>
  <c r="B50" i="7"/>
  <c r="C50" i="7"/>
  <c r="D50" i="7"/>
  <c r="E50" i="7"/>
  <c r="F50" i="7"/>
  <c r="G50" i="7"/>
  <c r="H50" i="7"/>
  <c r="I50" i="7"/>
  <c r="B51" i="7"/>
  <c r="C51" i="7"/>
  <c r="D51" i="7"/>
  <c r="E51" i="7"/>
  <c r="F51" i="7"/>
  <c r="G51" i="7"/>
  <c r="H51" i="7"/>
  <c r="I51" i="7"/>
  <c r="B52" i="7"/>
  <c r="C52" i="7"/>
  <c r="D52" i="7"/>
  <c r="E52" i="7"/>
  <c r="F52" i="7"/>
  <c r="G52" i="7"/>
  <c r="H52" i="7"/>
  <c r="I52" i="7"/>
  <c r="B53" i="7"/>
  <c r="C53" i="7"/>
  <c r="D53" i="7"/>
  <c r="E53" i="7"/>
  <c r="F53" i="7"/>
  <c r="G53" i="7"/>
  <c r="H53" i="7"/>
  <c r="I53" i="7"/>
  <c r="B54" i="7"/>
  <c r="C54" i="7"/>
  <c r="D54" i="7"/>
  <c r="E54" i="7"/>
  <c r="F54" i="7"/>
  <c r="G54" i="7"/>
  <c r="H54" i="7"/>
  <c r="I54" i="7"/>
  <c r="B55" i="7"/>
  <c r="C55" i="7"/>
  <c r="D55" i="7"/>
  <c r="E55" i="7"/>
  <c r="F55" i="7"/>
  <c r="G55" i="7"/>
  <c r="H55" i="7"/>
  <c r="I55" i="7"/>
  <c r="B56" i="7"/>
  <c r="C56" i="7"/>
  <c r="D56" i="7"/>
  <c r="E56" i="7"/>
  <c r="F56" i="7"/>
  <c r="G56" i="7"/>
  <c r="H56" i="7"/>
  <c r="I56" i="7"/>
  <c r="B57" i="7"/>
  <c r="C57" i="7"/>
  <c r="D57" i="7"/>
  <c r="E57" i="7"/>
  <c r="F57" i="7"/>
  <c r="G57" i="7"/>
  <c r="H57" i="7"/>
  <c r="I57" i="7"/>
  <c r="B58" i="7"/>
  <c r="C58" i="7"/>
  <c r="D58" i="7"/>
  <c r="E58" i="7"/>
  <c r="F58" i="7"/>
  <c r="G58" i="7"/>
  <c r="H58" i="7"/>
  <c r="I58" i="7"/>
  <c r="B59" i="7"/>
  <c r="C59" i="7"/>
  <c r="D59" i="7"/>
  <c r="E59" i="7"/>
  <c r="F59" i="7"/>
  <c r="G59" i="7"/>
  <c r="H59" i="7"/>
  <c r="I59" i="7"/>
  <c r="B60" i="7"/>
  <c r="C60" i="7"/>
  <c r="D60" i="7"/>
  <c r="E60" i="7"/>
  <c r="F60" i="7"/>
  <c r="G60" i="7"/>
  <c r="H60" i="7"/>
  <c r="I60" i="7"/>
  <c r="B61" i="7"/>
  <c r="C61" i="7"/>
  <c r="D61" i="7"/>
  <c r="E61" i="7"/>
  <c r="F61" i="7"/>
  <c r="G61" i="7"/>
  <c r="H61" i="7"/>
  <c r="I61" i="7"/>
  <c r="B62" i="7"/>
  <c r="C62" i="7"/>
  <c r="D62" i="7"/>
  <c r="E62" i="7"/>
  <c r="F62" i="7"/>
  <c r="G62" i="7"/>
  <c r="H62" i="7"/>
  <c r="I62" i="7"/>
  <c r="B63" i="7"/>
  <c r="C63" i="7"/>
  <c r="D63" i="7"/>
  <c r="E63" i="7"/>
  <c r="F63" i="7"/>
  <c r="G63" i="7"/>
  <c r="H63" i="7"/>
  <c r="I63" i="7"/>
  <c r="B64" i="7"/>
  <c r="C64" i="7"/>
  <c r="D64" i="7"/>
  <c r="E64" i="7"/>
  <c r="F64" i="7"/>
  <c r="G64" i="7"/>
  <c r="H64" i="7"/>
  <c r="I64" i="7"/>
  <c r="B65" i="7"/>
  <c r="C65" i="7"/>
  <c r="D65" i="7"/>
  <c r="E65" i="7"/>
  <c r="F65" i="7"/>
  <c r="G65" i="7"/>
  <c r="H65" i="7"/>
  <c r="I65" i="7"/>
  <c r="B66" i="7"/>
  <c r="C66" i="7"/>
  <c r="D66" i="7"/>
  <c r="E66" i="7"/>
  <c r="F66" i="7"/>
  <c r="G66" i="7"/>
  <c r="H66" i="7"/>
  <c r="I66" i="7"/>
  <c r="B67" i="7"/>
  <c r="C67" i="7"/>
  <c r="D67" i="7"/>
  <c r="E67" i="7"/>
  <c r="F67" i="7"/>
  <c r="G67" i="7"/>
  <c r="H67" i="7"/>
  <c r="I67" i="7"/>
  <c r="B68" i="7"/>
  <c r="C68" i="7"/>
  <c r="D68" i="7"/>
  <c r="E68" i="7"/>
  <c r="F68" i="7"/>
  <c r="G68" i="7"/>
  <c r="H68" i="7"/>
  <c r="I68" i="7"/>
  <c r="B69" i="7"/>
  <c r="C69" i="7"/>
  <c r="D69" i="7"/>
  <c r="E69" i="7"/>
  <c r="F69" i="7"/>
  <c r="G69" i="7"/>
  <c r="H69" i="7"/>
  <c r="I69" i="7"/>
  <c r="B70" i="7"/>
  <c r="C70" i="7"/>
  <c r="D70" i="7"/>
  <c r="E70" i="7"/>
  <c r="F70" i="7"/>
  <c r="G70" i="7"/>
  <c r="H70" i="7"/>
  <c r="I70" i="7"/>
  <c r="B71" i="7"/>
  <c r="C71" i="7"/>
  <c r="D71" i="7"/>
  <c r="E71" i="7"/>
  <c r="F71" i="7"/>
  <c r="G71" i="7"/>
  <c r="H71" i="7"/>
  <c r="I71" i="7"/>
  <c r="B72" i="7"/>
  <c r="C72" i="7"/>
  <c r="D72" i="7"/>
  <c r="E72" i="7"/>
  <c r="F72" i="7"/>
  <c r="G72" i="7"/>
  <c r="H72" i="7"/>
  <c r="I72" i="7"/>
  <c r="B73" i="7"/>
  <c r="C73" i="7"/>
  <c r="D73" i="7"/>
  <c r="E73" i="7"/>
  <c r="F73" i="7"/>
  <c r="G73" i="7"/>
  <c r="H73" i="7"/>
  <c r="I73" i="7"/>
  <c r="B74" i="7"/>
  <c r="C74" i="7"/>
  <c r="D74" i="7"/>
  <c r="E74" i="7"/>
  <c r="F74" i="7"/>
  <c r="G74" i="7"/>
  <c r="H74" i="7"/>
  <c r="I74" i="7"/>
  <c r="B75" i="7"/>
  <c r="C75" i="7"/>
  <c r="D75" i="7"/>
  <c r="E75" i="7"/>
  <c r="F75" i="7"/>
  <c r="G75" i="7"/>
  <c r="H75" i="7"/>
  <c r="I75" i="7"/>
  <c r="B76" i="7"/>
  <c r="C76" i="7"/>
  <c r="D76" i="7"/>
  <c r="E76" i="7"/>
  <c r="F76" i="7"/>
  <c r="G76" i="7"/>
  <c r="H76" i="7"/>
  <c r="I76" i="7"/>
  <c r="B77" i="7"/>
  <c r="C77" i="7"/>
  <c r="D77" i="7"/>
  <c r="E77" i="7"/>
  <c r="F77" i="7"/>
  <c r="G77" i="7"/>
  <c r="H77" i="7"/>
  <c r="I77" i="7"/>
  <c r="B78" i="7"/>
  <c r="C78" i="7"/>
  <c r="D78" i="7"/>
  <c r="E78" i="7"/>
  <c r="F78" i="7"/>
  <c r="G78" i="7"/>
  <c r="H78" i="7"/>
  <c r="I78" i="7"/>
  <c r="B79" i="7"/>
  <c r="C79" i="7"/>
  <c r="D79" i="7"/>
  <c r="E79" i="7"/>
  <c r="F79" i="7"/>
  <c r="G79" i="7"/>
  <c r="H79" i="7"/>
  <c r="I79" i="7"/>
  <c r="B80" i="7"/>
  <c r="C80" i="7"/>
  <c r="D80" i="7"/>
  <c r="E80" i="7"/>
  <c r="F80" i="7"/>
  <c r="G80" i="7"/>
  <c r="H80" i="7"/>
  <c r="I80" i="7"/>
  <c r="B81" i="7"/>
  <c r="C81" i="7"/>
  <c r="D81" i="7"/>
  <c r="E81" i="7"/>
  <c r="F81" i="7"/>
  <c r="G81" i="7"/>
  <c r="H81" i="7"/>
  <c r="I81" i="7"/>
  <c r="B82" i="7"/>
  <c r="C82" i="7"/>
  <c r="D82" i="7"/>
  <c r="E82" i="7"/>
  <c r="F82" i="7"/>
  <c r="G82" i="7"/>
  <c r="H82" i="7"/>
  <c r="I82" i="7"/>
  <c r="B83" i="7"/>
  <c r="C83" i="7"/>
  <c r="D83" i="7"/>
  <c r="E83" i="7"/>
  <c r="F83" i="7"/>
  <c r="G83" i="7"/>
  <c r="H83" i="7"/>
  <c r="I83" i="7"/>
  <c r="B84" i="7"/>
  <c r="C84" i="7"/>
  <c r="D84" i="7"/>
  <c r="E84" i="7"/>
  <c r="F84" i="7"/>
  <c r="G84" i="7"/>
  <c r="H84" i="7"/>
  <c r="I84" i="7"/>
  <c r="B85" i="7"/>
  <c r="C85" i="7"/>
  <c r="D85" i="7"/>
  <c r="E85" i="7"/>
  <c r="F85" i="7"/>
  <c r="G85" i="7"/>
  <c r="H85" i="7"/>
  <c r="I85" i="7"/>
  <c r="B86" i="7"/>
  <c r="C86" i="7"/>
  <c r="D86" i="7"/>
  <c r="E86" i="7"/>
  <c r="F86" i="7"/>
  <c r="G86" i="7"/>
  <c r="H86" i="7"/>
  <c r="I86" i="7"/>
  <c r="B87" i="7"/>
  <c r="C87" i="7"/>
  <c r="D87" i="7"/>
  <c r="E87" i="7"/>
  <c r="F87" i="7"/>
  <c r="G87" i="7"/>
  <c r="H87" i="7"/>
  <c r="I87" i="7"/>
  <c r="B88" i="7"/>
  <c r="C88" i="7"/>
  <c r="D88" i="7"/>
  <c r="E88" i="7"/>
  <c r="F88" i="7"/>
  <c r="G88" i="7"/>
  <c r="H88" i="7"/>
  <c r="I88" i="7"/>
  <c r="B89" i="7"/>
  <c r="C89" i="7"/>
  <c r="D89" i="7"/>
  <c r="E89" i="7"/>
  <c r="F89" i="7"/>
  <c r="G89" i="7"/>
  <c r="H89" i="7"/>
  <c r="I89" i="7"/>
  <c r="B90" i="7"/>
  <c r="C90" i="7"/>
  <c r="D90" i="7"/>
  <c r="E90" i="7"/>
  <c r="F90" i="7"/>
  <c r="G90" i="7"/>
  <c r="H90" i="7"/>
  <c r="I90" i="7"/>
  <c r="B91" i="7"/>
  <c r="C91" i="7"/>
  <c r="D91" i="7"/>
  <c r="E91" i="7"/>
  <c r="F91" i="7"/>
  <c r="G91" i="7"/>
  <c r="H91" i="7"/>
  <c r="I91" i="7"/>
  <c r="B92" i="7"/>
  <c r="C92" i="7"/>
  <c r="D92" i="7"/>
  <c r="E92" i="7"/>
  <c r="F92" i="7"/>
  <c r="G92" i="7"/>
  <c r="H92" i="7"/>
  <c r="I92" i="7"/>
  <c r="B93" i="7"/>
  <c r="C93" i="7"/>
  <c r="D93" i="7"/>
  <c r="E93" i="7"/>
  <c r="F93" i="7"/>
  <c r="G93" i="7"/>
  <c r="H93" i="7"/>
  <c r="I93" i="7"/>
  <c r="B94" i="7"/>
  <c r="C94" i="7"/>
  <c r="D94" i="7"/>
  <c r="E94" i="7"/>
  <c r="F94" i="7"/>
  <c r="G94" i="7"/>
  <c r="H94" i="7"/>
  <c r="I94" i="7"/>
  <c r="B95" i="7"/>
  <c r="C95" i="7"/>
  <c r="D95" i="7"/>
  <c r="E95" i="7"/>
  <c r="F95" i="7"/>
  <c r="G95" i="7"/>
  <c r="H95" i="7"/>
  <c r="I95" i="7"/>
  <c r="B96" i="7"/>
  <c r="C96" i="7"/>
  <c r="D96" i="7"/>
  <c r="E96" i="7"/>
  <c r="F96" i="7"/>
  <c r="G96" i="7"/>
  <c r="H96" i="7"/>
  <c r="I96" i="7"/>
  <c r="B97" i="7"/>
  <c r="C97" i="7"/>
  <c r="D97" i="7"/>
  <c r="E97" i="7"/>
  <c r="F97" i="7"/>
  <c r="G97" i="7"/>
  <c r="H97" i="7"/>
  <c r="I97" i="7"/>
  <c r="B98" i="7"/>
  <c r="C98" i="7"/>
  <c r="D98" i="7"/>
  <c r="E98" i="7"/>
  <c r="F98" i="7"/>
  <c r="G98" i="7"/>
  <c r="H98" i="7"/>
  <c r="I98" i="7"/>
  <c r="B99" i="7"/>
  <c r="C99" i="7"/>
  <c r="D99" i="7"/>
  <c r="E99" i="7"/>
  <c r="F99" i="7"/>
  <c r="G99" i="7"/>
  <c r="H99" i="7"/>
  <c r="I99" i="7"/>
  <c r="B100" i="7"/>
  <c r="C100" i="7"/>
  <c r="D100" i="7"/>
  <c r="E100" i="7"/>
  <c r="F100" i="7"/>
  <c r="G100" i="7"/>
  <c r="H100" i="7"/>
  <c r="I100" i="7"/>
  <c r="B101" i="7"/>
  <c r="C101" i="7"/>
  <c r="D101" i="7"/>
  <c r="E101" i="7"/>
  <c r="F101" i="7"/>
  <c r="G101" i="7"/>
  <c r="H101" i="7"/>
  <c r="I101" i="7"/>
  <c r="B102" i="7"/>
  <c r="C102" i="7"/>
  <c r="D102" i="7"/>
  <c r="E102" i="7"/>
  <c r="F102" i="7"/>
  <c r="G102" i="7"/>
  <c r="H102" i="7"/>
  <c r="I102" i="7"/>
  <c r="B103" i="7"/>
  <c r="C103" i="7"/>
  <c r="D103" i="7"/>
  <c r="E103" i="7"/>
  <c r="F103" i="7"/>
  <c r="G103" i="7"/>
  <c r="H103" i="7"/>
  <c r="I103" i="7"/>
  <c r="B104" i="7"/>
  <c r="C104" i="7"/>
  <c r="D104" i="7"/>
  <c r="E104" i="7"/>
  <c r="F104" i="7"/>
  <c r="G104" i="7"/>
  <c r="H104" i="7"/>
  <c r="I104" i="7"/>
  <c r="B105" i="7"/>
  <c r="C105" i="7"/>
  <c r="D105" i="7"/>
  <c r="E105" i="7"/>
  <c r="F105" i="7"/>
  <c r="G105" i="7"/>
  <c r="H105" i="7"/>
  <c r="I105" i="7"/>
  <c r="B106" i="7"/>
  <c r="C106" i="7"/>
  <c r="D106" i="7"/>
  <c r="E106" i="7"/>
  <c r="F106" i="7"/>
  <c r="G106" i="7"/>
  <c r="H106" i="7"/>
  <c r="I106" i="7"/>
  <c r="B107" i="7"/>
  <c r="C107" i="7"/>
  <c r="D107" i="7"/>
  <c r="E107" i="7"/>
  <c r="F107" i="7"/>
  <c r="G107" i="7"/>
  <c r="H107" i="7"/>
  <c r="I107" i="7"/>
  <c r="B108" i="7"/>
  <c r="C108" i="7"/>
  <c r="D108" i="7"/>
  <c r="E108" i="7"/>
  <c r="F108" i="7"/>
  <c r="G108" i="7"/>
  <c r="H108" i="7"/>
  <c r="I108" i="7"/>
  <c r="B109" i="7"/>
  <c r="C109" i="7"/>
  <c r="D109" i="7"/>
  <c r="E109" i="7"/>
  <c r="F109" i="7"/>
  <c r="G109" i="7"/>
  <c r="H109" i="7"/>
  <c r="I109" i="7"/>
  <c r="B110" i="7"/>
  <c r="C110" i="7"/>
  <c r="D110" i="7"/>
  <c r="E110" i="7"/>
  <c r="F110" i="7"/>
  <c r="G110" i="7"/>
  <c r="H110" i="7"/>
  <c r="I110" i="7"/>
  <c r="B111" i="7"/>
  <c r="C111" i="7"/>
  <c r="D111" i="7"/>
  <c r="E111" i="7"/>
  <c r="F111" i="7"/>
  <c r="G111" i="7"/>
  <c r="H111" i="7"/>
  <c r="I111" i="7"/>
  <c r="B112" i="7"/>
  <c r="C112" i="7"/>
  <c r="D112" i="7"/>
  <c r="E112" i="7"/>
  <c r="F112" i="7"/>
  <c r="G112" i="7"/>
  <c r="H112" i="7"/>
  <c r="I112" i="7"/>
  <c r="B113" i="7"/>
  <c r="C113" i="7"/>
  <c r="D113" i="7"/>
  <c r="E113" i="7"/>
  <c r="F113" i="7"/>
  <c r="G113" i="7"/>
  <c r="H113" i="7"/>
  <c r="I113" i="7"/>
  <c r="B114" i="7"/>
  <c r="C114" i="7"/>
  <c r="D114" i="7"/>
  <c r="E114" i="7"/>
  <c r="F114" i="7"/>
  <c r="G114" i="7"/>
  <c r="H114" i="7"/>
  <c r="I114" i="7"/>
  <c r="B115" i="7"/>
  <c r="C115" i="7"/>
  <c r="D115" i="7"/>
  <c r="E115" i="7"/>
  <c r="F115" i="7"/>
  <c r="G115" i="7"/>
  <c r="H115" i="7"/>
  <c r="I115" i="7"/>
  <c r="B116" i="7"/>
  <c r="C116" i="7"/>
  <c r="D116" i="7"/>
  <c r="E116" i="7"/>
  <c r="F116" i="7"/>
  <c r="G116" i="7"/>
  <c r="H116" i="7"/>
  <c r="I116" i="7"/>
  <c r="B117" i="7"/>
  <c r="C117" i="7"/>
  <c r="D117" i="7"/>
  <c r="E117" i="7"/>
  <c r="F117" i="7"/>
  <c r="G117" i="7"/>
  <c r="H117" i="7"/>
  <c r="I117" i="7"/>
  <c r="B118" i="7"/>
  <c r="C118" i="7"/>
  <c r="D118" i="7"/>
  <c r="E118" i="7"/>
  <c r="F118" i="7"/>
  <c r="G118" i="7"/>
  <c r="H118" i="7"/>
  <c r="I118" i="7"/>
  <c r="B119" i="7"/>
  <c r="C119" i="7"/>
  <c r="D119" i="7"/>
  <c r="E119" i="7"/>
  <c r="F119" i="7"/>
  <c r="G119" i="7"/>
  <c r="H119" i="7"/>
  <c r="I119" i="7"/>
  <c r="B120" i="7"/>
  <c r="C120" i="7"/>
  <c r="D120" i="7"/>
  <c r="E120" i="7"/>
  <c r="F120" i="7"/>
  <c r="G120" i="7"/>
  <c r="H120" i="7"/>
  <c r="I120" i="7"/>
  <c r="B121" i="7"/>
  <c r="C121" i="7"/>
  <c r="D121" i="7"/>
  <c r="E121" i="7"/>
  <c r="F121" i="7"/>
  <c r="G121" i="7"/>
  <c r="H121" i="7"/>
  <c r="I121" i="7"/>
  <c r="B122" i="7"/>
  <c r="C122" i="7"/>
  <c r="D122" i="7"/>
  <c r="E122" i="7"/>
  <c r="F122" i="7"/>
  <c r="G122" i="7"/>
  <c r="H122" i="7"/>
  <c r="I122" i="7"/>
  <c r="B123" i="7"/>
  <c r="C123" i="7"/>
  <c r="D123" i="7"/>
  <c r="E123" i="7"/>
  <c r="F123" i="7"/>
  <c r="G123" i="7"/>
  <c r="H123" i="7"/>
  <c r="I123" i="7"/>
  <c r="B124" i="7"/>
  <c r="C124" i="7"/>
  <c r="D124" i="7"/>
  <c r="E124" i="7"/>
  <c r="F124" i="7"/>
  <c r="G124" i="7"/>
  <c r="H124" i="7"/>
  <c r="I124" i="7"/>
  <c r="B125" i="7"/>
  <c r="C125" i="7"/>
  <c r="D125" i="7"/>
  <c r="E125" i="7"/>
  <c r="F125" i="7"/>
  <c r="G125" i="7"/>
  <c r="H125" i="7"/>
  <c r="I125" i="7"/>
  <c r="B126" i="7"/>
  <c r="C126" i="7"/>
  <c r="D126" i="7"/>
  <c r="E126" i="7"/>
  <c r="F126" i="7"/>
  <c r="G126" i="7"/>
  <c r="H126" i="7"/>
  <c r="I126" i="7"/>
  <c r="B127" i="7"/>
  <c r="C127" i="7"/>
  <c r="D127" i="7"/>
  <c r="E127" i="7"/>
  <c r="F127" i="7"/>
  <c r="G127" i="7"/>
  <c r="H127" i="7"/>
  <c r="I127" i="7"/>
  <c r="B128" i="7"/>
  <c r="C128" i="7"/>
  <c r="D128" i="7"/>
  <c r="E128" i="7"/>
  <c r="F128" i="7"/>
  <c r="G128" i="7"/>
  <c r="H128" i="7"/>
  <c r="I128" i="7"/>
  <c r="B129" i="7"/>
  <c r="C129" i="7"/>
  <c r="D129" i="7"/>
  <c r="E129" i="7"/>
  <c r="F129" i="7"/>
  <c r="G129" i="7"/>
  <c r="H129" i="7"/>
  <c r="I129" i="7"/>
  <c r="B130" i="7"/>
  <c r="C130" i="7"/>
  <c r="D130" i="7"/>
  <c r="E130" i="7"/>
  <c r="F130" i="7"/>
  <c r="G130" i="7"/>
  <c r="H130" i="7"/>
  <c r="I130" i="7"/>
  <c r="B131" i="7"/>
  <c r="C131" i="7"/>
  <c r="D131" i="7"/>
  <c r="E131" i="7"/>
  <c r="F131" i="7"/>
  <c r="G131" i="7"/>
  <c r="H131" i="7"/>
  <c r="I131" i="7"/>
  <c r="B132" i="7"/>
  <c r="C132" i="7"/>
  <c r="D132" i="7"/>
  <c r="E132" i="7"/>
  <c r="F132" i="7"/>
  <c r="G132" i="7"/>
  <c r="H132" i="7"/>
  <c r="I132" i="7"/>
  <c r="B133" i="7"/>
  <c r="C133" i="7"/>
  <c r="D133" i="7"/>
  <c r="E133" i="7"/>
  <c r="F133" i="7"/>
  <c r="G133" i="7"/>
  <c r="H133" i="7"/>
  <c r="I133" i="7"/>
  <c r="B134" i="7"/>
  <c r="C134" i="7"/>
  <c r="D134" i="7"/>
  <c r="E134" i="7"/>
  <c r="F134" i="7"/>
  <c r="G134" i="7"/>
  <c r="H134" i="7"/>
  <c r="I134" i="7"/>
  <c r="B135" i="7"/>
  <c r="C135" i="7"/>
  <c r="D135" i="7"/>
  <c r="E135" i="7"/>
  <c r="F135" i="7"/>
  <c r="G135" i="7"/>
  <c r="H135" i="7"/>
  <c r="I135" i="7"/>
  <c r="B136" i="7"/>
  <c r="C136" i="7"/>
  <c r="D136" i="7"/>
  <c r="E136" i="7"/>
  <c r="F136" i="7"/>
  <c r="G136" i="7"/>
  <c r="H136" i="7"/>
  <c r="I136" i="7"/>
  <c r="B137" i="7"/>
  <c r="C137" i="7"/>
  <c r="D137" i="7"/>
  <c r="E137" i="7"/>
  <c r="F137" i="7"/>
  <c r="G137" i="7"/>
  <c r="H137" i="7"/>
  <c r="I137" i="7"/>
  <c r="B138" i="7"/>
  <c r="C138" i="7"/>
  <c r="D138" i="7"/>
  <c r="E138" i="7"/>
  <c r="F138" i="7"/>
  <c r="G138" i="7"/>
  <c r="H138" i="7"/>
  <c r="I138" i="7"/>
  <c r="B139" i="7"/>
  <c r="C139" i="7"/>
  <c r="D139" i="7"/>
  <c r="E139" i="7"/>
  <c r="F139" i="7"/>
  <c r="G139" i="7"/>
  <c r="H139" i="7"/>
  <c r="I139" i="7"/>
  <c r="B140" i="7"/>
  <c r="C140" i="7"/>
  <c r="D140" i="7"/>
  <c r="E140" i="7"/>
  <c r="F140" i="7"/>
  <c r="G140" i="7"/>
  <c r="H140" i="7"/>
  <c r="I140" i="7"/>
  <c r="B141" i="7"/>
  <c r="C141" i="7"/>
  <c r="D141" i="7"/>
  <c r="E141" i="7"/>
  <c r="F141" i="7"/>
  <c r="G141" i="7"/>
  <c r="H141" i="7"/>
  <c r="I141" i="7"/>
  <c r="B142" i="7"/>
  <c r="C142" i="7"/>
  <c r="D142" i="7"/>
  <c r="E142" i="7"/>
  <c r="F142" i="7"/>
  <c r="G142" i="7"/>
  <c r="H142" i="7"/>
  <c r="I142" i="7"/>
  <c r="B143" i="7"/>
  <c r="C143" i="7"/>
  <c r="D143" i="7"/>
  <c r="E143" i="7"/>
  <c r="F143" i="7"/>
  <c r="G143" i="7"/>
  <c r="H143" i="7"/>
  <c r="I143" i="7"/>
  <c r="B144" i="7"/>
  <c r="C144" i="7"/>
  <c r="D144" i="7"/>
  <c r="E144" i="7"/>
  <c r="F144" i="7"/>
  <c r="G144" i="7"/>
  <c r="H144" i="7"/>
  <c r="I144" i="7"/>
  <c r="B145" i="7"/>
  <c r="C145" i="7"/>
  <c r="D145" i="7"/>
  <c r="E145" i="7"/>
  <c r="F145" i="7"/>
  <c r="G145" i="7"/>
  <c r="H145" i="7"/>
  <c r="I145" i="7"/>
  <c r="B146" i="7"/>
  <c r="C146" i="7"/>
  <c r="D146" i="7"/>
  <c r="E146" i="7"/>
  <c r="F146" i="7"/>
  <c r="G146" i="7"/>
  <c r="H146" i="7"/>
  <c r="I146" i="7"/>
  <c r="B147" i="7"/>
  <c r="C147" i="7"/>
  <c r="D147" i="7"/>
  <c r="E147" i="7"/>
  <c r="F147" i="7"/>
  <c r="G147" i="7"/>
  <c r="H147" i="7"/>
  <c r="I147" i="7"/>
  <c r="B148" i="7"/>
  <c r="C148" i="7"/>
  <c r="D148" i="7"/>
  <c r="E148" i="7"/>
  <c r="F148" i="7"/>
  <c r="G148" i="7"/>
  <c r="H148" i="7"/>
  <c r="I148" i="7"/>
  <c r="B149" i="7"/>
  <c r="C149" i="7"/>
  <c r="D149" i="7"/>
  <c r="E149" i="7"/>
  <c r="F149" i="7"/>
  <c r="G149" i="7"/>
  <c r="H149" i="7"/>
  <c r="I149" i="7"/>
  <c r="B150" i="7"/>
  <c r="C150" i="7"/>
  <c r="D150" i="7"/>
  <c r="E150" i="7"/>
  <c r="F150" i="7"/>
  <c r="G150" i="7"/>
  <c r="H150" i="7"/>
  <c r="I150" i="7"/>
  <c r="B151" i="7"/>
  <c r="C151" i="7"/>
  <c r="D151" i="7"/>
  <c r="E151" i="7"/>
  <c r="F151" i="7"/>
  <c r="G151" i="7"/>
  <c r="H151" i="7"/>
  <c r="I151" i="7"/>
  <c r="B152" i="7"/>
  <c r="C152" i="7"/>
  <c r="D152" i="7"/>
  <c r="E152" i="7"/>
  <c r="F152" i="7"/>
  <c r="G152" i="7"/>
  <c r="H152" i="7"/>
  <c r="I152" i="7"/>
  <c r="B153" i="7"/>
  <c r="C153" i="7"/>
  <c r="D153" i="7"/>
  <c r="E153" i="7"/>
  <c r="F153" i="7"/>
  <c r="G153" i="7"/>
  <c r="H153" i="7"/>
  <c r="I153" i="7"/>
  <c r="B154" i="7"/>
  <c r="C154" i="7"/>
  <c r="D154" i="7"/>
  <c r="E154" i="7"/>
  <c r="F154" i="7"/>
  <c r="G154" i="7"/>
  <c r="H154" i="7"/>
  <c r="I154" i="7"/>
  <c r="B155" i="7"/>
  <c r="C155" i="7"/>
  <c r="D155" i="7"/>
  <c r="E155" i="7"/>
  <c r="F155" i="7"/>
  <c r="G155" i="7"/>
  <c r="H155" i="7"/>
  <c r="I155" i="7"/>
  <c r="B156" i="7"/>
  <c r="C156" i="7"/>
  <c r="D156" i="7"/>
  <c r="E156" i="7"/>
  <c r="F156" i="7"/>
  <c r="G156" i="7"/>
  <c r="H156" i="7"/>
  <c r="I156" i="7"/>
  <c r="B157" i="7"/>
  <c r="C157" i="7"/>
  <c r="D157" i="7"/>
  <c r="E157" i="7"/>
  <c r="F157" i="7"/>
  <c r="G157" i="7"/>
  <c r="H157" i="7"/>
  <c r="I157" i="7"/>
  <c r="B158" i="7"/>
  <c r="C158" i="7"/>
  <c r="D158" i="7"/>
  <c r="E158" i="7"/>
  <c r="F158" i="7"/>
  <c r="G158" i="7"/>
  <c r="H158" i="7"/>
  <c r="I158" i="7"/>
  <c r="B159" i="7"/>
  <c r="C159" i="7"/>
  <c r="D159" i="7"/>
  <c r="E159" i="7"/>
  <c r="F159" i="7"/>
  <c r="G159" i="7"/>
  <c r="H159" i="7"/>
  <c r="I159" i="7"/>
  <c r="B160" i="7"/>
  <c r="C160" i="7"/>
  <c r="D160" i="7"/>
  <c r="E160" i="7"/>
  <c r="F160" i="7"/>
  <c r="G160" i="7"/>
  <c r="H160" i="7"/>
  <c r="I160" i="7"/>
  <c r="B161" i="7"/>
  <c r="C161" i="7"/>
  <c r="D161" i="7"/>
  <c r="E161" i="7"/>
  <c r="F161" i="7"/>
  <c r="G161" i="7"/>
  <c r="H161" i="7"/>
  <c r="I161" i="7"/>
  <c r="B162" i="7"/>
  <c r="C162" i="7"/>
  <c r="D162" i="7"/>
  <c r="E162" i="7"/>
  <c r="F162" i="7"/>
  <c r="G162" i="7"/>
  <c r="H162" i="7"/>
  <c r="I162" i="7"/>
  <c r="B163" i="7"/>
  <c r="C163" i="7"/>
  <c r="D163" i="7"/>
  <c r="E163" i="7"/>
  <c r="F163" i="7"/>
  <c r="G163" i="7"/>
  <c r="H163" i="7"/>
  <c r="I163" i="7"/>
  <c r="B164" i="7"/>
  <c r="C164" i="7"/>
  <c r="D164" i="7"/>
  <c r="E164" i="7"/>
  <c r="F164" i="7"/>
  <c r="G164" i="7"/>
  <c r="H164" i="7"/>
  <c r="I164" i="7"/>
  <c r="B165" i="7"/>
  <c r="C165" i="7"/>
  <c r="D165" i="7"/>
  <c r="E165" i="7"/>
  <c r="F165" i="7"/>
  <c r="G165" i="7"/>
  <c r="H165" i="7"/>
  <c r="I165" i="7"/>
  <c r="B166" i="7"/>
  <c r="C166" i="7"/>
  <c r="D166" i="7"/>
  <c r="E166" i="7"/>
  <c r="F166" i="7"/>
  <c r="G166" i="7"/>
  <c r="H166" i="7"/>
  <c r="I166" i="7"/>
  <c r="B167" i="7"/>
  <c r="C167" i="7"/>
  <c r="D167" i="7"/>
  <c r="E167" i="7"/>
  <c r="F167" i="7"/>
  <c r="G167" i="7"/>
  <c r="H167" i="7"/>
  <c r="I167" i="7"/>
  <c r="B168" i="7"/>
  <c r="C168" i="7"/>
  <c r="D168" i="7"/>
  <c r="E168" i="7"/>
  <c r="F168" i="7"/>
  <c r="G168" i="7"/>
  <c r="H168" i="7"/>
  <c r="I168" i="7"/>
  <c r="B169" i="7"/>
  <c r="C169" i="7"/>
  <c r="D169" i="7"/>
  <c r="E169" i="7"/>
  <c r="F169" i="7"/>
  <c r="G169" i="7"/>
  <c r="H169" i="7"/>
  <c r="I169" i="7"/>
  <c r="B170" i="7"/>
  <c r="C170" i="7"/>
  <c r="D170" i="7"/>
  <c r="E170" i="7"/>
  <c r="F170" i="7"/>
  <c r="G170" i="7"/>
  <c r="H170" i="7"/>
  <c r="I170" i="7"/>
  <c r="B171" i="7"/>
  <c r="C171" i="7"/>
  <c r="D171" i="7"/>
  <c r="E171" i="7"/>
  <c r="F171" i="7"/>
  <c r="G171" i="7"/>
  <c r="H171" i="7"/>
  <c r="I171" i="7"/>
  <c r="B172" i="7"/>
  <c r="C172" i="7"/>
  <c r="D172" i="7"/>
  <c r="E172" i="7"/>
  <c r="F172" i="7"/>
  <c r="G172" i="7"/>
  <c r="H172" i="7"/>
  <c r="I172" i="7"/>
  <c r="B173" i="7"/>
  <c r="C173" i="7"/>
  <c r="D173" i="7"/>
  <c r="E173" i="7"/>
  <c r="F173" i="7"/>
  <c r="G173" i="7"/>
  <c r="H173" i="7"/>
  <c r="I173" i="7"/>
  <c r="B174" i="7"/>
  <c r="C174" i="7"/>
  <c r="D174" i="7"/>
  <c r="E174" i="7"/>
  <c r="F174" i="7"/>
  <c r="G174" i="7"/>
  <c r="H174" i="7"/>
  <c r="I174" i="7"/>
  <c r="B175" i="7"/>
  <c r="C175" i="7"/>
  <c r="D175" i="7"/>
  <c r="E175" i="7"/>
  <c r="F175" i="7"/>
  <c r="G175" i="7"/>
  <c r="H175" i="7"/>
  <c r="I175" i="7"/>
  <c r="B176" i="7"/>
  <c r="C176" i="7"/>
  <c r="D176" i="7"/>
  <c r="E176" i="7"/>
  <c r="F176" i="7"/>
  <c r="G176" i="7"/>
  <c r="H176" i="7"/>
  <c r="I176" i="7"/>
  <c r="E4" i="7"/>
  <c r="F4" i="7"/>
  <c r="G4" i="7"/>
  <c r="H4" i="7"/>
  <c r="I4" i="7"/>
  <c r="E5" i="7"/>
  <c r="F5" i="7"/>
  <c r="G5" i="7"/>
  <c r="H5" i="7"/>
  <c r="I5" i="7"/>
  <c r="E6" i="7"/>
  <c r="F6" i="7"/>
  <c r="G6" i="7"/>
  <c r="H6" i="7"/>
  <c r="I6" i="7"/>
  <c r="E7" i="7"/>
  <c r="F7" i="7"/>
  <c r="G7" i="7"/>
  <c r="H7" i="7"/>
  <c r="I7" i="7"/>
  <c r="E8" i="7"/>
  <c r="F8" i="7"/>
  <c r="G8" i="7"/>
  <c r="H8" i="7"/>
  <c r="I8"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F9" i="6"/>
  <c r="G9" i="6"/>
  <c r="H9" i="6"/>
  <c r="I9" i="6"/>
  <c r="F10" i="6"/>
  <c r="G10" i="6"/>
  <c r="H10" i="6"/>
  <c r="I10" i="6"/>
  <c r="F11" i="6"/>
  <c r="G11" i="6"/>
  <c r="H11" i="6"/>
  <c r="I11" i="6"/>
  <c r="F12" i="6"/>
  <c r="G12" i="6"/>
  <c r="H12" i="6"/>
  <c r="I12" i="6"/>
  <c r="F13" i="6"/>
  <c r="G13" i="6"/>
  <c r="H13" i="6"/>
  <c r="I13" i="6"/>
  <c r="F14" i="6"/>
  <c r="G14" i="6"/>
  <c r="H14" i="6"/>
  <c r="I14" i="6"/>
  <c r="F15" i="6"/>
  <c r="G15" i="6"/>
  <c r="H15" i="6"/>
  <c r="I15" i="6"/>
  <c r="F16" i="6"/>
  <c r="G16" i="6"/>
  <c r="H16" i="6"/>
  <c r="I16" i="6"/>
  <c r="F17" i="6"/>
  <c r="G17" i="6"/>
  <c r="H17" i="6"/>
  <c r="I17" i="6"/>
  <c r="F18" i="6"/>
  <c r="G18" i="6"/>
  <c r="H18" i="6"/>
  <c r="I18" i="6"/>
  <c r="F19" i="6"/>
  <c r="G19" i="6"/>
  <c r="H19" i="6"/>
  <c r="I19" i="6"/>
  <c r="F20" i="6"/>
  <c r="G20" i="6"/>
  <c r="H20" i="6"/>
  <c r="I20" i="6"/>
  <c r="F21" i="6"/>
  <c r="G21" i="6"/>
  <c r="H21" i="6"/>
  <c r="I21" i="6"/>
  <c r="F22" i="6"/>
  <c r="G22" i="6"/>
  <c r="H22" i="6"/>
  <c r="I22" i="6"/>
  <c r="F23" i="6"/>
  <c r="G23" i="6"/>
  <c r="H23" i="6"/>
  <c r="I23" i="6"/>
  <c r="F24" i="6"/>
  <c r="G24" i="6"/>
  <c r="H24" i="6"/>
  <c r="I24" i="6"/>
  <c r="F25" i="6"/>
  <c r="G25" i="6"/>
  <c r="H25" i="6"/>
  <c r="I25" i="6"/>
  <c r="F26" i="6"/>
  <c r="G26" i="6"/>
  <c r="H26" i="6"/>
  <c r="I26" i="6"/>
  <c r="F27" i="6"/>
  <c r="G27" i="6"/>
  <c r="H27" i="6"/>
  <c r="I27" i="6"/>
  <c r="F28" i="6"/>
  <c r="G28" i="6"/>
  <c r="H28" i="6"/>
  <c r="I28" i="6"/>
  <c r="F29" i="6"/>
  <c r="G29" i="6"/>
  <c r="H29" i="6"/>
  <c r="I29" i="6"/>
  <c r="F30" i="6"/>
  <c r="G30" i="6"/>
  <c r="H30" i="6"/>
  <c r="I30" i="6"/>
  <c r="F31" i="6"/>
  <c r="G31" i="6"/>
  <c r="H31" i="6"/>
  <c r="I31" i="6"/>
  <c r="F32" i="6"/>
  <c r="G32" i="6"/>
  <c r="H32" i="6"/>
  <c r="I32" i="6"/>
  <c r="F33" i="6"/>
  <c r="G33" i="6"/>
  <c r="H33" i="6"/>
  <c r="I33" i="6"/>
  <c r="F34" i="6"/>
  <c r="G34" i="6"/>
  <c r="H34" i="6"/>
  <c r="I34" i="6"/>
  <c r="F35" i="6"/>
  <c r="G35" i="6"/>
  <c r="H35" i="6"/>
  <c r="I35" i="6"/>
  <c r="F36" i="6"/>
  <c r="G36" i="6"/>
  <c r="H36" i="6"/>
  <c r="I36" i="6"/>
  <c r="F37" i="6"/>
  <c r="G37" i="6"/>
  <c r="H37" i="6"/>
  <c r="I37" i="6"/>
  <c r="F39" i="6"/>
  <c r="G39" i="6"/>
  <c r="H39" i="6"/>
  <c r="I39" i="6"/>
  <c r="F40" i="6"/>
  <c r="G40" i="6"/>
  <c r="H40" i="6"/>
  <c r="I40" i="6"/>
  <c r="F41" i="6"/>
  <c r="G41" i="6"/>
  <c r="H41" i="6"/>
  <c r="I41" i="6"/>
  <c r="F42" i="6"/>
  <c r="G42" i="6"/>
  <c r="H42" i="6"/>
  <c r="I42" i="6"/>
  <c r="F43" i="6"/>
  <c r="G43" i="6"/>
  <c r="H43" i="6"/>
  <c r="I43" i="6"/>
  <c r="F44" i="6"/>
  <c r="G44" i="6"/>
  <c r="H44" i="6"/>
  <c r="I44" i="6"/>
  <c r="F45" i="6"/>
  <c r="G45" i="6"/>
  <c r="H45" i="6"/>
  <c r="I45" i="6"/>
  <c r="F46" i="6"/>
  <c r="G46" i="6"/>
  <c r="H46" i="6"/>
  <c r="I46" i="6"/>
  <c r="F47" i="6"/>
  <c r="G47" i="6"/>
  <c r="H47" i="6"/>
  <c r="I47" i="6"/>
  <c r="B48" i="6"/>
  <c r="C48" i="6"/>
  <c r="D48" i="6"/>
  <c r="F48" i="6"/>
  <c r="G48" i="6"/>
  <c r="H48" i="6"/>
  <c r="I48" i="6"/>
  <c r="B49" i="6"/>
  <c r="C49" i="6"/>
  <c r="D49" i="6"/>
  <c r="F49" i="6"/>
  <c r="G49" i="6"/>
  <c r="H49" i="6"/>
  <c r="I49" i="6"/>
  <c r="B50" i="6"/>
  <c r="C50" i="6"/>
  <c r="D50" i="6"/>
  <c r="F50" i="6"/>
  <c r="G50" i="6"/>
  <c r="H50" i="6"/>
  <c r="I50" i="6"/>
  <c r="B51" i="6"/>
  <c r="C51" i="6"/>
  <c r="D51" i="6"/>
  <c r="F51" i="6"/>
  <c r="G51" i="6"/>
  <c r="H51" i="6"/>
  <c r="I51" i="6"/>
  <c r="B52" i="6"/>
  <c r="C52" i="6"/>
  <c r="D52" i="6"/>
  <c r="F52" i="6"/>
  <c r="G52" i="6"/>
  <c r="H52" i="6"/>
  <c r="I52" i="6"/>
  <c r="B53" i="6"/>
  <c r="C53" i="6"/>
  <c r="D53" i="6"/>
  <c r="F53" i="6"/>
  <c r="G53" i="6"/>
  <c r="H53" i="6"/>
  <c r="I53" i="6"/>
  <c r="B54" i="6"/>
  <c r="C54" i="6"/>
  <c r="D54" i="6"/>
  <c r="F54" i="6"/>
  <c r="G54" i="6"/>
  <c r="H54" i="6"/>
  <c r="I54" i="6"/>
  <c r="B55" i="6"/>
  <c r="C55" i="6"/>
  <c r="D55" i="6"/>
  <c r="F55" i="6"/>
  <c r="G55" i="6"/>
  <c r="H55" i="6"/>
  <c r="I55" i="6"/>
  <c r="B56" i="6"/>
  <c r="C56" i="6"/>
  <c r="D56" i="6"/>
  <c r="F56" i="6"/>
  <c r="G56" i="6"/>
  <c r="H56" i="6"/>
  <c r="I56" i="6"/>
  <c r="B57" i="6"/>
  <c r="C57" i="6"/>
  <c r="D57" i="6"/>
  <c r="F57" i="6"/>
  <c r="G57" i="6"/>
  <c r="H57" i="6"/>
  <c r="I57" i="6"/>
  <c r="B58" i="6"/>
  <c r="C58" i="6"/>
  <c r="D58" i="6"/>
  <c r="F58" i="6"/>
  <c r="G58" i="6"/>
  <c r="H58" i="6"/>
  <c r="I58" i="6"/>
  <c r="B59" i="6"/>
  <c r="C59" i="6"/>
  <c r="D59" i="6"/>
  <c r="F59" i="6"/>
  <c r="G59" i="6"/>
  <c r="H59" i="6"/>
  <c r="I59" i="6"/>
  <c r="B60" i="6"/>
  <c r="C60" i="6"/>
  <c r="D60" i="6"/>
  <c r="F60" i="6"/>
  <c r="G60" i="6"/>
  <c r="H60" i="6"/>
  <c r="I60" i="6"/>
  <c r="B61" i="6"/>
  <c r="C61" i="6"/>
  <c r="D61" i="6"/>
  <c r="F61" i="6"/>
  <c r="G61" i="6"/>
  <c r="H61" i="6"/>
  <c r="I61" i="6"/>
  <c r="B62" i="6"/>
  <c r="C62" i="6"/>
  <c r="D62" i="6"/>
  <c r="F62" i="6"/>
  <c r="G62" i="6"/>
  <c r="H62" i="6"/>
  <c r="I62" i="6"/>
  <c r="B63" i="6"/>
  <c r="C63" i="6"/>
  <c r="D63" i="6"/>
  <c r="F63" i="6"/>
  <c r="G63" i="6"/>
  <c r="H63" i="6"/>
  <c r="I63" i="6"/>
  <c r="B64" i="6"/>
  <c r="C64" i="6"/>
  <c r="D64" i="6"/>
  <c r="F64" i="6"/>
  <c r="G64" i="6"/>
  <c r="H64" i="6"/>
  <c r="I64" i="6"/>
  <c r="B65" i="6"/>
  <c r="C65" i="6"/>
  <c r="D65" i="6"/>
  <c r="F65" i="6"/>
  <c r="G65" i="6"/>
  <c r="H65" i="6"/>
  <c r="I65" i="6"/>
  <c r="B66" i="6"/>
  <c r="C66" i="6"/>
  <c r="D66" i="6"/>
  <c r="F66" i="6"/>
  <c r="G66" i="6"/>
  <c r="H66" i="6"/>
  <c r="I66" i="6"/>
  <c r="B67" i="6"/>
  <c r="C67" i="6"/>
  <c r="D67" i="6"/>
  <c r="F67" i="6"/>
  <c r="G67" i="6"/>
  <c r="H67" i="6"/>
  <c r="I67" i="6"/>
  <c r="B68" i="6"/>
  <c r="C68" i="6"/>
  <c r="D68" i="6"/>
  <c r="F68" i="6"/>
  <c r="G68" i="6"/>
  <c r="H68" i="6"/>
  <c r="I68" i="6"/>
  <c r="B69" i="6"/>
  <c r="C69" i="6"/>
  <c r="D69" i="6"/>
  <c r="F69" i="6"/>
  <c r="G69" i="6"/>
  <c r="H69" i="6"/>
  <c r="I69" i="6"/>
  <c r="B70" i="6"/>
  <c r="C70" i="6"/>
  <c r="D70" i="6"/>
  <c r="F70" i="6"/>
  <c r="G70" i="6"/>
  <c r="H70" i="6"/>
  <c r="I70" i="6"/>
  <c r="B71" i="6"/>
  <c r="C71" i="6"/>
  <c r="D71" i="6"/>
  <c r="F71" i="6"/>
  <c r="G71" i="6"/>
  <c r="H71" i="6"/>
  <c r="I71" i="6"/>
  <c r="B72" i="6"/>
  <c r="C72" i="6"/>
  <c r="D72" i="6"/>
  <c r="F72" i="6"/>
  <c r="G72" i="6"/>
  <c r="H72" i="6"/>
  <c r="I72" i="6"/>
  <c r="B73" i="6"/>
  <c r="C73" i="6"/>
  <c r="D73" i="6"/>
  <c r="F73" i="6"/>
  <c r="G73" i="6"/>
  <c r="H73" i="6"/>
  <c r="I73" i="6"/>
  <c r="B74" i="6"/>
  <c r="C74" i="6"/>
  <c r="D74" i="6"/>
  <c r="F74" i="6"/>
  <c r="G74" i="6"/>
  <c r="H74" i="6"/>
  <c r="I74" i="6"/>
  <c r="B75" i="6"/>
  <c r="C75" i="6"/>
  <c r="D75" i="6"/>
  <c r="F75" i="6"/>
  <c r="G75" i="6"/>
  <c r="H75" i="6"/>
  <c r="I75" i="6"/>
  <c r="B76" i="6"/>
  <c r="C76" i="6"/>
  <c r="D76" i="6"/>
  <c r="F76" i="6"/>
  <c r="G76" i="6"/>
  <c r="H76" i="6"/>
  <c r="I76" i="6"/>
  <c r="B77" i="6"/>
  <c r="C77" i="6"/>
  <c r="D77" i="6"/>
  <c r="F77" i="6"/>
  <c r="G77" i="6"/>
  <c r="H77" i="6"/>
  <c r="I77" i="6"/>
  <c r="B78" i="6"/>
  <c r="C78" i="6"/>
  <c r="D78" i="6"/>
  <c r="F78" i="6"/>
  <c r="G78" i="6"/>
  <c r="H78" i="6"/>
  <c r="I78" i="6"/>
  <c r="B79" i="6"/>
  <c r="C79" i="6"/>
  <c r="D79" i="6"/>
  <c r="F79" i="6"/>
  <c r="G79" i="6"/>
  <c r="H79" i="6"/>
  <c r="I79" i="6"/>
  <c r="B80" i="6"/>
  <c r="C80" i="6"/>
  <c r="D80" i="6"/>
  <c r="F80" i="6"/>
  <c r="G80" i="6"/>
  <c r="H80" i="6"/>
  <c r="I80" i="6"/>
  <c r="B81" i="6"/>
  <c r="C81" i="6"/>
  <c r="D81" i="6"/>
  <c r="F81" i="6"/>
  <c r="G81" i="6"/>
  <c r="H81" i="6"/>
  <c r="I81" i="6"/>
  <c r="B82" i="6"/>
  <c r="C82" i="6"/>
  <c r="D82" i="6"/>
  <c r="F82" i="6"/>
  <c r="G82" i="6"/>
  <c r="H82" i="6"/>
  <c r="I82" i="6"/>
  <c r="B83" i="6"/>
  <c r="C83" i="6"/>
  <c r="D83" i="6"/>
  <c r="F83" i="6"/>
  <c r="G83" i="6"/>
  <c r="H83" i="6"/>
  <c r="I83" i="6"/>
  <c r="B84" i="6"/>
  <c r="C84" i="6"/>
  <c r="D84" i="6"/>
  <c r="F84" i="6"/>
  <c r="G84" i="6"/>
  <c r="H84" i="6"/>
  <c r="I84" i="6"/>
  <c r="B85" i="6"/>
  <c r="C85" i="6"/>
  <c r="D85" i="6"/>
  <c r="F85" i="6"/>
  <c r="G85" i="6"/>
  <c r="H85" i="6"/>
  <c r="I85" i="6"/>
  <c r="B86" i="6"/>
  <c r="C86" i="6"/>
  <c r="D86" i="6"/>
  <c r="F86" i="6"/>
  <c r="G86" i="6"/>
  <c r="H86" i="6"/>
  <c r="I86" i="6"/>
  <c r="B87" i="6"/>
  <c r="C87" i="6"/>
  <c r="D87" i="6"/>
  <c r="F87" i="6"/>
  <c r="G87" i="6"/>
  <c r="H87" i="6"/>
  <c r="I87" i="6"/>
  <c r="B88" i="6"/>
  <c r="C88" i="6"/>
  <c r="D88" i="6"/>
  <c r="F88" i="6"/>
  <c r="G88" i="6"/>
  <c r="H88" i="6"/>
  <c r="I88" i="6"/>
  <c r="B89" i="6"/>
  <c r="C89" i="6"/>
  <c r="D89" i="6"/>
  <c r="F89" i="6"/>
  <c r="G89" i="6"/>
  <c r="H89" i="6"/>
  <c r="I89" i="6"/>
  <c r="B90" i="6"/>
  <c r="C90" i="6"/>
  <c r="D90" i="6"/>
  <c r="F90" i="6"/>
  <c r="G90" i="6"/>
  <c r="H90" i="6"/>
  <c r="I90" i="6"/>
  <c r="B91" i="6"/>
  <c r="C91" i="6"/>
  <c r="D91" i="6"/>
  <c r="F91" i="6"/>
  <c r="G91" i="6"/>
  <c r="H91" i="6"/>
  <c r="I91" i="6"/>
  <c r="B92" i="6"/>
  <c r="C92" i="6"/>
  <c r="D92" i="6"/>
  <c r="F92" i="6"/>
  <c r="G92" i="6"/>
  <c r="H92" i="6"/>
  <c r="I92" i="6"/>
  <c r="B93" i="6"/>
  <c r="C93" i="6"/>
  <c r="D93" i="6"/>
  <c r="F93" i="6"/>
  <c r="G93" i="6"/>
  <c r="H93" i="6"/>
  <c r="I93" i="6"/>
  <c r="B94" i="6"/>
  <c r="C94" i="6"/>
  <c r="D94" i="6"/>
  <c r="F94" i="6"/>
  <c r="G94" i="6"/>
  <c r="H94" i="6"/>
  <c r="I94" i="6"/>
  <c r="B95" i="6"/>
  <c r="C95" i="6"/>
  <c r="D95" i="6"/>
  <c r="F95" i="6"/>
  <c r="G95" i="6"/>
  <c r="H95" i="6"/>
  <c r="I95" i="6"/>
  <c r="B96" i="6"/>
  <c r="C96" i="6"/>
  <c r="D96" i="6"/>
  <c r="F96" i="6"/>
  <c r="G96" i="6"/>
  <c r="H96" i="6"/>
  <c r="I96" i="6"/>
  <c r="B97" i="6"/>
  <c r="C97" i="6"/>
  <c r="D97" i="6"/>
  <c r="F97" i="6"/>
  <c r="G97" i="6"/>
  <c r="H97" i="6"/>
  <c r="I97" i="6"/>
  <c r="B98" i="6"/>
  <c r="C98" i="6"/>
  <c r="D98" i="6"/>
  <c r="F98" i="6"/>
  <c r="G98" i="6"/>
  <c r="H98" i="6"/>
  <c r="I98" i="6"/>
  <c r="B99" i="6"/>
  <c r="C99" i="6"/>
  <c r="D99" i="6"/>
  <c r="F99" i="6"/>
  <c r="G99" i="6"/>
  <c r="H99" i="6"/>
  <c r="I99" i="6"/>
  <c r="B100" i="6"/>
  <c r="C100" i="6"/>
  <c r="D100" i="6"/>
  <c r="F100" i="6"/>
  <c r="G100" i="6"/>
  <c r="H100" i="6"/>
  <c r="I100" i="6"/>
  <c r="B101" i="6"/>
  <c r="C101" i="6"/>
  <c r="D101" i="6"/>
  <c r="F101" i="6"/>
  <c r="G101" i="6"/>
  <c r="H101" i="6"/>
  <c r="I101" i="6"/>
  <c r="B102" i="6"/>
  <c r="C102" i="6"/>
  <c r="D102" i="6"/>
  <c r="F102" i="6"/>
  <c r="G102" i="6"/>
  <c r="H102" i="6"/>
  <c r="I102" i="6"/>
  <c r="B103" i="6"/>
  <c r="C103" i="6"/>
  <c r="D103" i="6"/>
  <c r="F103" i="6"/>
  <c r="G103" i="6"/>
  <c r="H103" i="6"/>
  <c r="I103" i="6"/>
  <c r="B104" i="6"/>
  <c r="C104" i="6"/>
  <c r="D104" i="6"/>
  <c r="F104" i="6"/>
  <c r="G104" i="6"/>
  <c r="H104" i="6"/>
  <c r="I104" i="6"/>
  <c r="B105" i="6"/>
  <c r="C105" i="6"/>
  <c r="D105" i="6"/>
  <c r="F105" i="6"/>
  <c r="G105" i="6"/>
  <c r="H105" i="6"/>
  <c r="I105" i="6"/>
  <c r="B106" i="6"/>
  <c r="C106" i="6"/>
  <c r="D106" i="6"/>
  <c r="F106" i="6"/>
  <c r="G106" i="6"/>
  <c r="H106" i="6"/>
  <c r="I106" i="6"/>
  <c r="B107" i="6"/>
  <c r="C107" i="6"/>
  <c r="D107" i="6"/>
  <c r="F107" i="6"/>
  <c r="G107" i="6"/>
  <c r="H107" i="6"/>
  <c r="I107" i="6"/>
  <c r="B108" i="6"/>
  <c r="C108" i="6"/>
  <c r="D108" i="6"/>
  <c r="F108" i="6"/>
  <c r="G108" i="6"/>
  <c r="H108" i="6"/>
  <c r="I108" i="6"/>
  <c r="B109" i="6"/>
  <c r="C109" i="6"/>
  <c r="D109" i="6"/>
  <c r="F109" i="6"/>
  <c r="G109" i="6"/>
  <c r="H109" i="6"/>
  <c r="I109" i="6"/>
  <c r="B110" i="6"/>
  <c r="C110" i="6"/>
  <c r="D110" i="6"/>
  <c r="F110" i="6"/>
  <c r="G110" i="6"/>
  <c r="H110" i="6"/>
  <c r="I110" i="6"/>
  <c r="B111" i="6"/>
  <c r="C111" i="6"/>
  <c r="D111" i="6"/>
  <c r="F111" i="6"/>
  <c r="G111" i="6"/>
  <c r="H111" i="6"/>
  <c r="I111" i="6"/>
  <c r="B112" i="6"/>
  <c r="C112" i="6"/>
  <c r="D112" i="6"/>
  <c r="F112" i="6"/>
  <c r="G112" i="6"/>
  <c r="H112" i="6"/>
  <c r="I112" i="6"/>
  <c r="B113" i="6"/>
  <c r="C113" i="6"/>
  <c r="D113" i="6"/>
  <c r="F113" i="6"/>
  <c r="G113" i="6"/>
  <c r="H113" i="6"/>
  <c r="I113" i="6"/>
  <c r="B114" i="6"/>
  <c r="C114" i="6"/>
  <c r="D114" i="6"/>
  <c r="F114" i="6"/>
  <c r="G114" i="6"/>
  <c r="H114" i="6"/>
  <c r="I114" i="6"/>
  <c r="B115" i="6"/>
  <c r="C115" i="6"/>
  <c r="D115" i="6"/>
  <c r="F115" i="6"/>
  <c r="G115" i="6"/>
  <c r="H115" i="6"/>
  <c r="I115" i="6"/>
  <c r="B116" i="6"/>
  <c r="C116" i="6"/>
  <c r="D116" i="6"/>
  <c r="F116" i="6"/>
  <c r="G116" i="6"/>
  <c r="H116" i="6"/>
  <c r="I116" i="6"/>
  <c r="B117" i="6"/>
  <c r="C117" i="6"/>
  <c r="D117" i="6"/>
  <c r="F117" i="6"/>
  <c r="G117" i="6"/>
  <c r="H117" i="6"/>
  <c r="I117" i="6"/>
  <c r="B118" i="6"/>
  <c r="C118" i="6"/>
  <c r="D118" i="6"/>
  <c r="F118" i="6"/>
  <c r="G118" i="6"/>
  <c r="H118" i="6"/>
  <c r="I118" i="6"/>
  <c r="B119" i="6"/>
  <c r="C119" i="6"/>
  <c r="D119" i="6"/>
  <c r="F119" i="6"/>
  <c r="G119" i="6"/>
  <c r="H119" i="6"/>
  <c r="I119" i="6"/>
  <c r="B120" i="6"/>
  <c r="C120" i="6"/>
  <c r="D120" i="6"/>
  <c r="F120" i="6"/>
  <c r="G120" i="6"/>
  <c r="H120" i="6"/>
  <c r="I120" i="6"/>
  <c r="B121" i="6"/>
  <c r="C121" i="6"/>
  <c r="D121" i="6"/>
  <c r="F121" i="6"/>
  <c r="G121" i="6"/>
  <c r="H121" i="6"/>
  <c r="I121" i="6"/>
  <c r="B122" i="6"/>
  <c r="C122" i="6"/>
  <c r="D122" i="6"/>
  <c r="F122" i="6"/>
  <c r="G122" i="6"/>
  <c r="H122" i="6"/>
  <c r="I122" i="6"/>
  <c r="B123" i="6"/>
  <c r="C123" i="6"/>
  <c r="D123" i="6"/>
  <c r="F123" i="6"/>
  <c r="G123" i="6"/>
  <c r="H123" i="6"/>
  <c r="I123" i="6"/>
  <c r="B124" i="6"/>
  <c r="C124" i="6"/>
  <c r="D124" i="6"/>
  <c r="F124" i="6"/>
  <c r="G124" i="6"/>
  <c r="H124" i="6"/>
  <c r="I124" i="6"/>
  <c r="B125" i="6"/>
  <c r="C125" i="6"/>
  <c r="D125" i="6"/>
  <c r="F125" i="6"/>
  <c r="G125" i="6"/>
  <c r="H125" i="6"/>
  <c r="I125" i="6"/>
  <c r="B126" i="6"/>
  <c r="C126" i="6"/>
  <c r="D126" i="6"/>
  <c r="F126" i="6"/>
  <c r="G126" i="6"/>
  <c r="H126" i="6"/>
  <c r="I126" i="6"/>
  <c r="B127" i="6"/>
  <c r="C127" i="6"/>
  <c r="D127" i="6"/>
  <c r="F127" i="6"/>
  <c r="G127" i="6"/>
  <c r="H127" i="6"/>
  <c r="I127" i="6"/>
  <c r="B128" i="6"/>
  <c r="C128" i="6"/>
  <c r="D128" i="6"/>
  <c r="F128" i="6"/>
  <c r="G128" i="6"/>
  <c r="H128" i="6"/>
  <c r="I128" i="6"/>
  <c r="B129" i="6"/>
  <c r="C129" i="6"/>
  <c r="D129" i="6"/>
  <c r="F129" i="6"/>
  <c r="G129" i="6"/>
  <c r="H129" i="6"/>
  <c r="I129" i="6"/>
  <c r="B130" i="6"/>
  <c r="C130" i="6"/>
  <c r="D130" i="6"/>
  <c r="F130" i="6"/>
  <c r="G130" i="6"/>
  <c r="H130" i="6"/>
  <c r="I130" i="6"/>
  <c r="B131" i="6"/>
  <c r="C131" i="6"/>
  <c r="D131" i="6"/>
  <c r="F131" i="6"/>
  <c r="G131" i="6"/>
  <c r="H131" i="6"/>
  <c r="I131" i="6"/>
  <c r="B132" i="6"/>
  <c r="C132" i="6"/>
  <c r="D132" i="6"/>
  <c r="F132" i="6"/>
  <c r="G132" i="6"/>
  <c r="H132" i="6"/>
  <c r="I132" i="6"/>
  <c r="B133" i="6"/>
  <c r="C133" i="6"/>
  <c r="D133" i="6"/>
  <c r="F133" i="6"/>
  <c r="G133" i="6"/>
  <c r="H133" i="6"/>
  <c r="I133" i="6"/>
  <c r="B134" i="6"/>
  <c r="C134" i="6"/>
  <c r="D134" i="6"/>
  <c r="F134" i="6"/>
  <c r="G134" i="6"/>
  <c r="H134" i="6"/>
  <c r="I134" i="6"/>
  <c r="B135" i="6"/>
  <c r="C135" i="6"/>
  <c r="D135" i="6"/>
  <c r="F135" i="6"/>
  <c r="G135" i="6"/>
  <c r="H135" i="6"/>
  <c r="I135" i="6"/>
  <c r="B136" i="6"/>
  <c r="C136" i="6"/>
  <c r="D136" i="6"/>
  <c r="F136" i="6"/>
  <c r="G136" i="6"/>
  <c r="H136" i="6"/>
  <c r="I136" i="6"/>
  <c r="B137" i="6"/>
  <c r="C137" i="6"/>
  <c r="D137" i="6"/>
  <c r="F137" i="6"/>
  <c r="G137" i="6"/>
  <c r="H137" i="6"/>
  <c r="I137" i="6"/>
  <c r="B138" i="6"/>
  <c r="C138" i="6"/>
  <c r="D138" i="6"/>
  <c r="F138" i="6"/>
  <c r="G138" i="6"/>
  <c r="H138" i="6"/>
  <c r="I138" i="6"/>
  <c r="B139" i="6"/>
  <c r="C139" i="6"/>
  <c r="D139" i="6"/>
  <c r="F139" i="6"/>
  <c r="G139" i="6"/>
  <c r="H139" i="6"/>
  <c r="I139" i="6"/>
  <c r="B140" i="6"/>
  <c r="C140" i="6"/>
  <c r="D140" i="6"/>
  <c r="F140" i="6"/>
  <c r="G140" i="6"/>
  <c r="H140" i="6"/>
  <c r="I140" i="6"/>
  <c r="B141" i="6"/>
  <c r="C141" i="6"/>
  <c r="D141" i="6"/>
  <c r="F141" i="6"/>
  <c r="G141" i="6"/>
  <c r="H141" i="6"/>
  <c r="I141" i="6"/>
  <c r="B142" i="6"/>
  <c r="C142" i="6"/>
  <c r="D142" i="6"/>
  <c r="F142" i="6"/>
  <c r="G142" i="6"/>
  <c r="H142" i="6"/>
  <c r="I142" i="6"/>
  <c r="B143" i="6"/>
  <c r="C143" i="6"/>
  <c r="D143" i="6"/>
  <c r="F143" i="6"/>
  <c r="G143" i="6"/>
  <c r="H143" i="6"/>
  <c r="I143" i="6"/>
  <c r="B144" i="6"/>
  <c r="C144" i="6"/>
  <c r="D144" i="6"/>
  <c r="F144" i="6"/>
  <c r="G144" i="6"/>
  <c r="H144" i="6"/>
  <c r="I144" i="6"/>
  <c r="B145" i="6"/>
  <c r="C145" i="6"/>
  <c r="D145" i="6"/>
  <c r="F145" i="6"/>
  <c r="G145" i="6"/>
  <c r="H145" i="6"/>
  <c r="I145" i="6"/>
  <c r="B146" i="6"/>
  <c r="C146" i="6"/>
  <c r="D146" i="6"/>
  <c r="F146" i="6"/>
  <c r="G146" i="6"/>
  <c r="H146" i="6"/>
  <c r="I146" i="6"/>
  <c r="B147" i="6"/>
  <c r="C147" i="6"/>
  <c r="D147" i="6"/>
  <c r="F147" i="6"/>
  <c r="G147" i="6"/>
  <c r="H147" i="6"/>
  <c r="I147" i="6"/>
  <c r="B148" i="6"/>
  <c r="C148" i="6"/>
  <c r="D148" i="6"/>
  <c r="F148" i="6"/>
  <c r="G148" i="6"/>
  <c r="H148" i="6"/>
  <c r="I148" i="6"/>
  <c r="B149" i="6"/>
  <c r="C149" i="6"/>
  <c r="D149" i="6"/>
  <c r="F149" i="6"/>
  <c r="G149" i="6"/>
  <c r="H149" i="6"/>
  <c r="I149" i="6"/>
  <c r="B150" i="6"/>
  <c r="C150" i="6"/>
  <c r="D150" i="6"/>
  <c r="F150" i="6"/>
  <c r="G150" i="6"/>
  <c r="H150" i="6"/>
  <c r="I150" i="6"/>
  <c r="B151" i="6"/>
  <c r="C151" i="6"/>
  <c r="D151" i="6"/>
  <c r="F151" i="6"/>
  <c r="G151" i="6"/>
  <c r="H151" i="6"/>
  <c r="I151" i="6"/>
  <c r="B152" i="6"/>
  <c r="C152" i="6"/>
  <c r="D152" i="6"/>
  <c r="F152" i="6"/>
  <c r="G152" i="6"/>
  <c r="H152" i="6"/>
  <c r="I152" i="6"/>
  <c r="B153" i="6"/>
  <c r="C153" i="6"/>
  <c r="D153" i="6"/>
  <c r="F153" i="6"/>
  <c r="G153" i="6"/>
  <c r="H153" i="6"/>
  <c r="I153" i="6"/>
  <c r="B154" i="6"/>
  <c r="C154" i="6"/>
  <c r="D154" i="6"/>
  <c r="F154" i="6"/>
  <c r="G154" i="6"/>
  <c r="H154" i="6"/>
  <c r="I154" i="6"/>
  <c r="B155" i="6"/>
  <c r="C155" i="6"/>
  <c r="D155" i="6"/>
  <c r="F155" i="6"/>
  <c r="G155" i="6"/>
  <c r="H155" i="6"/>
  <c r="I155" i="6"/>
  <c r="B156" i="6"/>
  <c r="C156" i="6"/>
  <c r="D156" i="6"/>
  <c r="F156" i="6"/>
  <c r="G156" i="6"/>
  <c r="H156" i="6"/>
  <c r="I156" i="6"/>
  <c r="B157" i="6"/>
  <c r="C157" i="6"/>
  <c r="D157" i="6"/>
  <c r="F157" i="6"/>
  <c r="G157" i="6"/>
  <c r="H157" i="6"/>
  <c r="I157" i="6"/>
  <c r="B158" i="6"/>
  <c r="C158" i="6"/>
  <c r="D158" i="6"/>
  <c r="F158" i="6"/>
  <c r="G158" i="6"/>
  <c r="H158" i="6"/>
  <c r="I158" i="6"/>
  <c r="B159" i="6"/>
  <c r="C159" i="6"/>
  <c r="D159" i="6"/>
  <c r="F159" i="6"/>
  <c r="G159" i="6"/>
  <c r="H159" i="6"/>
  <c r="I159" i="6"/>
  <c r="B160" i="6"/>
  <c r="C160" i="6"/>
  <c r="D160" i="6"/>
  <c r="F160" i="6"/>
  <c r="G160" i="6"/>
  <c r="H160" i="6"/>
  <c r="I160" i="6"/>
  <c r="B161" i="6"/>
  <c r="C161" i="6"/>
  <c r="D161" i="6"/>
  <c r="F161" i="6"/>
  <c r="G161" i="6"/>
  <c r="H161" i="6"/>
  <c r="I161" i="6"/>
  <c r="B162" i="6"/>
  <c r="C162" i="6"/>
  <c r="D162" i="6"/>
  <c r="F162" i="6"/>
  <c r="G162" i="6"/>
  <c r="H162" i="6"/>
  <c r="I162" i="6"/>
  <c r="B163" i="6"/>
  <c r="C163" i="6"/>
  <c r="D163" i="6"/>
  <c r="F163" i="6"/>
  <c r="G163" i="6"/>
  <c r="H163" i="6"/>
  <c r="I163" i="6"/>
  <c r="B164" i="6"/>
  <c r="C164" i="6"/>
  <c r="D164" i="6"/>
  <c r="F164" i="6"/>
  <c r="G164" i="6"/>
  <c r="H164" i="6"/>
  <c r="I164" i="6"/>
  <c r="B165" i="6"/>
  <c r="C165" i="6"/>
  <c r="D165" i="6"/>
  <c r="F165" i="6"/>
  <c r="G165" i="6"/>
  <c r="H165" i="6"/>
  <c r="I165" i="6"/>
  <c r="B166" i="6"/>
  <c r="C166" i="6"/>
  <c r="D166" i="6"/>
  <c r="F166" i="6"/>
  <c r="G166" i="6"/>
  <c r="H166" i="6"/>
  <c r="I166" i="6"/>
  <c r="B167" i="6"/>
  <c r="C167" i="6"/>
  <c r="D167" i="6"/>
  <c r="F167" i="6"/>
  <c r="G167" i="6"/>
  <c r="H167" i="6"/>
  <c r="I167" i="6"/>
  <c r="B168" i="6"/>
  <c r="C168" i="6"/>
  <c r="D168" i="6"/>
  <c r="F168" i="6"/>
  <c r="G168" i="6"/>
  <c r="H168" i="6"/>
  <c r="I168" i="6"/>
  <c r="B169" i="6"/>
  <c r="C169" i="6"/>
  <c r="D169" i="6"/>
  <c r="F169" i="6"/>
  <c r="G169" i="6"/>
  <c r="H169" i="6"/>
  <c r="I169" i="6"/>
  <c r="B170" i="6"/>
  <c r="C170" i="6"/>
  <c r="D170" i="6"/>
  <c r="F170" i="6"/>
  <c r="G170" i="6"/>
  <c r="H170" i="6"/>
  <c r="I170" i="6"/>
  <c r="B171" i="6"/>
  <c r="C171" i="6"/>
  <c r="D171" i="6"/>
  <c r="F171" i="6"/>
  <c r="G171" i="6"/>
  <c r="H171" i="6"/>
  <c r="I171" i="6"/>
  <c r="B172" i="6"/>
  <c r="C172" i="6"/>
  <c r="D172" i="6"/>
  <c r="F172" i="6"/>
  <c r="G172" i="6"/>
  <c r="H172" i="6"/>
  <c r="I172" i="6"/>
  <c r="F4" i="6"/>
  <c r="G4" i="6"/>
  <c r="H4" i="6"/>
  <c r="I4" i="6"/>
  <c r="F5" i="6"/>
  <c r="G5" i="6"/>
  <c r="H5" i="6"/>
  <c r="I5" i="6"/>
  <c r="F6" i="6"/>
  <c r="G6" i="6"/>
  <c r="H6" i="6"/>
  <c r="I6" i="6"/>
  <c r="F7" i="6"/>
  <c r="G7" i="6"/>
  <c r="H7" i="6"/>
  <c r="I7" i="6"/>
  <c r="F8" i="6"/>
  <c r="G8" i="6"/>
  <c r="H8" i="6"/>
  <c r="I8"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E9" i="5"/>
  <c r="F9" i="5"/>
  <c r="G9" i="5"/>
  <c r="H9" i="5"/>
  <c r="I9" i="5"/>
  <c r="E13" i="5"/>
  <c r="F13" i="5"/>
  <c r="G13" i="5"/>
  <c r="H13" i="5"/>
  <c r="I13" i="5"/>
  <c r="E19" i="5"/>
  <c r="F19" i="5"/>
  <c r="G19" i="5"/>
  <c r="H19" i="5"/>
  <c r="I19" i="5"/>
  <c r="E20" i="5"/>
  <c r="F20" i="5"/>
  <c r="G20" i="5"/>
  <c r="H20" i="5"/>
  <c r="I20" i="5"/>
  <c r="E21" i="5"/>
  <c r="F21" i="5"/>
  <c r="G21" i="5"/>
  <c r="H21" i="5"/>
  <c r="I21" i="5"/>
  <c r="E22" i="5"/>
  <c r="F22" i="5"/>
  <c r="G22" i="5"/>
  <c r="H22" i="5"/>
  <c r="I22" i="5"/>
  <c r="E23" i="5"/>
  <c r="F23" i="5"/>
  <c r="G23" i="5"/>
  <c r="H23" i="5"/>
  <c r="I23" i="5"/>
  <c r="E24" i="5"/>
  <c r="F24" i="5"/>
  <c r="G24" i="5"/>
  <c r="H24" i="5"/>
  <c r="I24" i="5"/>
  <c r="E26" i="5"/>
  <c r="F26" i="5"/>
  <c r="G26" i="5"/>
  <c r="H26" i="5"/>
  <c r="I26" i="5"/>
  <c r="E27" i="5"/>
  <c r="F27" i="5"/>
  <c r="G27" i="5"/>
  <c r="H27" i="5"/>
  <c r="I27" i="5"/>
  <c r="E28" i="5"/>
  <c r="F28" i="5"/>
  <c r="G28" i="5"/>
  <c r="H28" i="5"/>
  <c r="I28" i="5"/>
  <c r="E29" i="5"/>
  <c r="F29" i="5"/>
  <c r="G29" i="5"/>
  <c r="H29" i="5"/>
  <c r="I29" i="5"/>
  <c r="E30" i="5"/>
  <c r="F30" i="5"/>
  <c r="G30" i="5"/>
  <c r="H30" i="5"/>
  <c r="I30" i="5"/>
  <c r="E32" i="5"/>
  <c r="F32" i="5"/>
  <c r="G32" i="5"/>
  <c r="H32" i="5"/>
  <c r="I32" i="5"/>
  <c r="E33" i="5"/>
  <c r="F33" i="5"/>
  <c r="G33" i="5"/>
  <c r="H33" i="5"/>
  <c r="I33" i="5"/>
  <c r="E34" i="5"/>
  <c r="F34" i="5"/>
  <c r="G34" i="5"/>
  <c r="H34" i="5"/>
  <c r="I34" i="5"/>
  <c r="E35" i="5"/>
  <c r="F35" i="5"/>
  <c r="G35" i="5"/>
  <c r="H35" i="5"/>
  <c r="I35" i="5"/>
  <c r="E36" i="5"/>
  <c r="F36" i="5"/>
  <c r="G36" i="5"/>
  <c r="H36" i="5"/>
  <c r="I36" i="5"/>
  <c r="E37" i="5"/>
  <c r="F37" i="5"/>
  <c r="G37" i="5"/>
  <c r="H37" i="5"/>
  <c r="I37" i="5"/>
  <c r="E39" i="5"/>
  <c r="F39" i="5"/>
  <c r="G39" i="5"/>
  <c r="H39" i="5"/>
  <c r="I39" i="5"/>
  <c r="E40" i="5"/>
  <c r="F40" i="5"/>
  <c r="G40" i="5"/>
  <c r="H40" i="5"/>
  <c r="I40" i="5"/>
  <c r="E41" i="5"/>
  <c r="F41" i="5"/>
  <c r="G41" i="5"/>
  <c r="H41" i="5"/>
  <c r="I41" i="5"/>
  <c r="E42" i="5"/>
  <c r="F42" i="5"/>
  <c r="G42" i="5"/>
  <c r="H42" i="5"/>
  <c r="I42" i="5"/>
  <c r="E43" i="5"/>
  <c r="F43" i="5"/>
  <c r="G43" i="5"/>
  <c r="H43" i="5"/>
  <c r="I43" i="5"/>
  <c r="E44" i="5"/>
  <c r="F44" i="5"/>
  <c r="G44" i="5"/>
  <c r="H44" i="5"/>
  <c r="I44" i="5"/>
  <c r="E45" i="5"/>
  <c r="F45" i="5"/>
  <c r="G45" i="5"/>
  <c r="H45" i="5"/>
  <c r="I45" i="5"/>
  <c r="E46" i="5"/>
  <c r="F46" i="5"/>
  <c r="G46" i="5"/>
  <c r="H46" i="5"/>
  <c r="I46" i="5"/>
  <c r="E47" i="5"/>
  <c r="F47" i="5"/>
  <c r="G47" i="5"/>
  <c r="H47" i="5"/>
  <c r="I47" i="5"/>
  <c r="B48" i="5"/>
  <c r="C48" i="5"/>
  <c r="D48" i="5"/>
  <c r="E48" i="5"/>
  <c r="F48" i="5"/>
  <c r="G48" i="5"/>
  <c r="H48" i="5"/>
  <c r="I48" i="5"/>
  <c r="B49" i="5"/>
  <c r="C49" i="5"/>
  <c r="D49" i="5"/>
  <c r="E49" i="5"/>
  <c r="F49" i="5"/>
  <c r="G49" i="5"/>
  <c r="H49" i="5"/>
  <c r="I49" i="5"/>
  <c r="B50" i="5"/>
  <c r="C50" i="5"/>
  <c r="D50" i="5"/>
  <c r="E50" i="5"/>
  <c r="F50" i="5"/>
  <c r="G50" i="5"/>
  <c r="H50" i="5"/>
  <c r="I50" i="5"/>
  <c r="B51" i="5"/>
  <c r="C51" i="5"/>
  <c r="D51" i="5"/>
  <c r="E51" i="5"/>
  <c r="F51" i="5"/>
  <c r="G51" i="5"/>
  <c r="H51" i="5"/>
  <c r="I51" i="5"/>
  <c r="B52" i="5"/>
  <c r="C52" i="5"/>
  <c r="D52" i="5"/>
  <c r="E52" i="5"/>
  <c r="F52" i="5"/>
  <c r="G52" i="5"/>
  <c r="H52" i="5"/>
  <c r="I52" i="5"/>
  <c r="B53" i="5"/>
  <c r="C53" i="5"/>
  <c r="D53" i="5"/>
  <c r="E53" i="5"/>
  <c r="F53" i="5"/>
  <c r="G53" i="5"/>
  <c r="H53" i="5"/>
  <c r="I53" i="5"/>
  <c r="B54" i="5"/>
  <c r="C54" i="5"/>
  <c r="D54" i="5"/>
  <c r="E54" i="5"/>
  <c r="F54" i="5"/>
  <c r="G54" i="5"/>
  <c r="H54" i="5"/>
  <c r="I54" i="5"/>
  <c r="B55" i="5"/>
  <c r="C55" i="5"/>
  <c r="D55" i="5"/>
  <c r="E55" i="5"/>
  <c r="F55" i="5"/>
  <c r="G55" i="5"/>
  <c r="H55" i="5"/>
  <c r="I55" i="5"/>
  <c r="B56" i="5"/>
  <c r="C56" i="5"/>
  <c r="D56" i="5"/>
  <c r="E56" i="5"/>
  <c r="F56" i="5"/>
  <c r="G56" i="5"/>
  <c r="H56" i="5"/>
  <c r="I56" i="5"/>
  <c r="B57" i="5"/>
  <c r="C57" i="5"/>
  <c r="D57" i="5"/>
  <c r="E57" i="5"/>
  <c r="F57" i="5"/>
  <c r="G57" i="5"/>
  <c r="H57" i="5"/>
  <c r="I57" i="5"/>
  <c r="B58" i="5"/>
  <c r="C58" i="5"/>
  <c r="D58" i="5"/>
  <c r="E58" i="5"/>
  <c r="F58" i="5"/>
  <c r="G58" i="5"/>
  <c r="H58" i="5"/>
  <c r="I58" i="5"/>
  <c r="B59" i="5"/>
  <c r="C59" i="5"/>
  <c r="D59" i="5"/>
  <c r="E59" i="5"/>
  <c r="F59" i="5"/>
  <c r="G59" i="5"/>
  <c r="H59" i="5"/>
  <c r="I59" i="5"/>
  <c r="B60" i="5"/>
  <c r="C60" i="5"/>
  <c r="D60" i="5"/>
  <c r="E60" i="5"/>
  <c r="F60" i="5"/>
  <c r="G60" i="5"/>
  <c r="H60" i="5"/>
  <c r="I60" i="5"/>
  <c r="B61" i="5"/>
  <c r="C61" i="5"/>
  <c r="D61" i="5"/>
  <c r="E61" i="5"/>
  <c r="F61" i="5"/>
  <c r="G61" i="5"/>
  <c r="H61" i="5"/>
  <c r="I61" i="5"/>
  <c r="B62" i="5"/>
  <c r="C62" i="5"/>
  <c r="D62" i="5"/>
  <c r="E62" i="5"/>
  <c r="F62" i="5"/>
  <c r="G62" i="5"/>
  <c r="H62" i="5"/>
  <c r="I62" i="5"/>
  <c r="B63" i="5"/>
  <c r="C63" i="5"/>
  <c r="D63" i="5"/>
  <c r="E63" i="5"/>
  <c r="F63" i="5"/>
  <c r="G63" i="5"/>
  <c r="H63" i="5"/>
  <c r="I63" i="5"/>
  <c r="B64" i="5"/>
  <c r="C64" i="5"/>
  <c r="D64" i="5"/>
  <c r="E64" i="5"/>
  <c r="F64" i="5"/>
  <c r="G64" i="5"/>
  <c r="H64" i="5"/>
  <c r="I64" i="5"/>
  <c r="B65" i="5"/>
  <c r="C65" i="5"/>
  <c r="D65" i="5"/>
  <c r="E65" i="5"/>
  <c r="F65" i="5"/>
  <c r="G65" i="5"/>
  <c r="H65" i="5"/>
  <c r="I65" i="5"/>
  <c r="B66" i="5"/>
  <c r="C66" i="5"/>
  <c r="D66" i="5"/>
  <c r="E66" i="5"/>
  <c r="F66" i="5"/>
  <c r="G66" i="5"/>
  <c r="H66" i="5"/>
  <c r="I66" i="5"/>
  <c r="B67" i="5"/>
  <c r="C67" i="5"/>
  <c r="D67" i="5"/>
  <c r="E67" i="5"/>
  <c r="F67" i="5"/>
  <c r="G67" i="5"/>
  <c r="H67" i="5"/>
  <c r="I67" i="5"/>
  <c r="B68" i="5"/>
  <c r="C68" i="5"/>
  <c r="D68" i="5"/>
  <c r="E68" i="5"/>
  <c r="F68" i="5"/>
  <c r="G68" i="5"/>
  <c r="H68" i="5"/>
  <c r="I68" i="5"/>
  <c r="B69" i="5"/>
  <c r="C69" i="5"/>
  <c r="D69" i="5"/>
  <c r="E69" i="5"/>
  <c r="F69" i="5"/>
  <c r="G69" i="5"/>
  <c r="H69" i="5"/>
  <c r="I69" i="5"/>
  <c r="B70" i="5"/>
  <c r="C70" i="5"/>
  <c r="D70" i="5"/>
  <c r="E70" i="5"/>
  <c r="F70" i="5"/>
  <c r="G70" i="5"/>
  <c r="H70" i="5"/>
  <c r="I70" i="5"/>
  <c r="B71" i="5"/>
  <c r="C71" i="5"/>
  <c r="D71" i="5"/>
  <c r="E71" i="5"/>
  <c r="F71" i="5"/>
  <c r="G71" i="5"/>
  <c r="H71" i="5"/>
  <c r="I71" i="5"/>
  <c r="B72" i="5"/>
  <c r="C72" i="5"/>
  <c r="D72" i="5"/>
  <c r="E72" i="5"/>
  <c r="F72" i="5"/>
  <c r="G72" i="5"/>
  <c r="H72" i="5"/>
  <c r="I72" i="5"/>
  <c r="B73" i="5"/>
  <c r="C73" i="5"/>
  <c r="D73" i="5"/>
  <c r="E73" i="5"/>
  <c r="F73" i="5"/>
  <c r="G73" i="5"/>
  <c r="H73" i="5"/>
  <c r="I73" i="5"/>
  <c r="B74" i="5"/>
  <c r="C74" i="5"/>
  <c r="D74" i="5"/>
  <c r="E74" i="5"/>
  <c r="F74" i="5"/>
  <c r="G74" i="5"/>
  <c r="H74" i="5"/>
  <c r="I74" i="5"/>
  <c r="B75" i="5"/>
  <c r="C75" i="5"/>
  <c r="D75" i="5"/>
  <c r="E75" i="5"/>
  <c r="F75" i="5"/>
  <c r="G75" i="5"/>
  <c r="H75" i="5"/>
  <c r="I75" i="5"/>
  <c r="B76" i="5"/>
  <c r="C76" i="5"/>
  <c r="D76" i="5"/>
  <c r="E76" i="5"/>
  <c r="F76" i="5"/>
  <c r="G76" i="5"/>
  <c r="H76" i="5"/>
  <c r="I76" i="5"/>
  <c r="B77" i="5"/>
  <c r="C77" i="5"/>
  <c r="D77" i="5"/>
  <c r="E77" i="5"/>
  <c r="F77" i="5"/>
  <c r="G77" i="5"/>
  <c r="H77" i="5"/>
  <c r="I77" i="5"/>
  <c r="B78" i="5"/>
  <c r="C78" i="5"/>
  <c r="D78" i="5"/>
  <c r="E78" i="5"/>
  <c r="F78" i="5"/>
  <c r="G78" i="5"/>
  <c r="H78" i="5"/>
  <c r="I78" i="5"/>
  <c r="B79" i="5"/>
  <c r="C79" i="5"/>
  <c r="D79" i="5"/>
  <c r="E79" i="5"/>
  <c r="F79" i="5"/>
  <c r="G79" i="5"/>
  <c r="H79" i="5"/>
  <c r="I79" i="5"/>
  <c r="B80" i="5"/>
  <c r="C80" i="5"/>
  <c r="D80" i="5"/>
  <c r="E80" i="5"/>
  <c r="F80" i="5"/>
  <c r="G80" i="5"/>
  <c r="H80" i="5"/>
  <c r="I80" i="5"/>
  <c r="B81" i="5"/>
  <c r="C81" i="5"/>
  <c r="D81" i="5"/>
  <c r="E81" i="5"/>
  <c r="F81" i="5"/>
  <c r="G81" i="5"/>
  <c r="H81" i="5"/>
  <c r="I81" i="5"/>
  <c r="B82" i="5"/>
  <c r="C82" i="5"/>
  <c r="D82" i="5"/>
  <c r="E82" i="5"/>
  <c r="F82" i="5"/>
  <c r="G82" i="5"/>
  <c r="H82" i="5"/>
  <c r="I82" i="5"/>
  <c r="B83" i="5"/>
  <c r="C83" i="5"/>
  <c r="D83" i="5"/>
  <c r="E83" i="5"/>
  <c r="F83" i="5"/>
  <c r="G83" i="5"/>
  <c r="H83" i="5"/>
  <c r="I83" i="5"/>
  <c r="B84" i="5"/>
  <c r="C84" i="5"/>
  <c r="D84" i="5"/>
  <c r="E84" i="5"/>
  <c r="F84" i="5"/>
  <c r="G84" i="5"/>
  <c r="H84" i="5"/>
  <c r="I84" i="5"/>
  <c r="B85" i="5"/>
  <c r="C85" i="5"/>
  <c r="D85" i="5"/>
  <c r="E85" i="5"/>
  <c r="F85" i="5"/>
  <c r="G85" i="5"/>
  <c r="H85" i="5"/>
  <c r="I85" i="5"/>
  <c r="B86" i="5"/>
  <c r="C86" i="5"/>
  <c r="D86" i="5"/>
  <c r="E86" i="5"/>
  <c r="F86" i="5"/>
  <c r="G86" i="5"/>
  <c r="H86" i="5"/>
  <c r="I86" i="5"/>
  <c r="B87" i="5"/>
  <c r="C87" i="5"/>
  <c r="D87" i="5"/>
  <c r="E87" i="5"/>
  <c r="F87" i="5"/>
  <c r="G87" i="5"/>
  <c r="H87" i="5"/>
  <c r="I87" i="5"/>
  <c r="B88" i="5"/>
  <c r="C88" i="5"/>
  <c r="D88" i="5"/>
  <c r="E88" i="5"/>
  <c r="F88" i="5"/>
  <c r="G88" i="5"/>
  <c r="H88" i="5"/>
  <c r="I88" i="5"/>
  <c r="B89" i="5"/>
  <c r="C89" i="5"/>
  <c r="D89" i="5"/>
  <c r="E89" i="5"/>
  <c r="F89" i="5"/>
  <c r="G89" i="5"/>
  <c r="H89" i="5"/>
  <c r="I89" i="5"/>
  <c r="B90" i="5"/>
  <c r="C90" i="5"/>
  <c r="D90" i="5"/>
  <c r="E90" i="5"/>
  <c r="F90" i="5"/>
  <c r="G90" i="5"/>
  <c r="H90" i="5"/>
  <c r="I90" i="5"/>
  <c r="B91" i="5"/>
  <c r="C91" i="5"/>
  <c r="D91" i="5"/>
  <c r="E91" i="5"/>
  <c r="F91" i="5"/>
  <c r="G91" i="5"/>
  <c r="H91" i="5"/>
  <c r="I91" i="5"/>
  <c r="B92" i="5"/>
  <c r="C92" i="5"/>
  <c r="D92" i="5"/>
  <c r="E92" i="5"/>
  <c r="F92" i="5"/>
  <c r="G92" i="5"/>
  <c r="H92" i="5"/>
  <c r="I92" i="5"/>
  <c r="B93" i="5"/>
  <c r="C93" i="5"/>
  <c r="D93" i="5"/>
  <c r="E93" i="5"/>
  <c r="F93" i="5"/>
  <c r="G93" i="5"/>
  <c r="H93" i="5"/>
  <c r="I93" i="5"/>
  <c r="B94" i="5"/>
  <c r="C94" i="5"/>
  <c r="D94" i="5"/>
  <c r="E94" i="5"/>
  <c r="F94" i="5"/>
  <c r="G94" i="5"/>
  <c r="H94" i="5"/>
  <c r="I94" i="5"/>
  <c r="B95" i="5"/>
  <c r="C95" i="5"/>
  <c r="D95" i="5"/>
  <c r="E95" i="5"/>
  <c r="F95" i="5"/>
  <c r="G95" i="5"/>
  <c r="H95" i="5"/>
  <c r="I95" i="5"/>
  <c r="B96" i="5"/>
  <c r="C96" i="5"/>
  <c r="D96" i="5"/>
  <c r="E96" i="5"/>
  <c r="F96" i="5"/>
  <c r="G96" i="5"/>
  <c r="H96" i="5"/>
  <c r="I96" i="5"/>
  <c r="B97" i="5"/>
  <c r="C97" i="5"/>
  <c r="D97" i="5"/>
  <c r="E97" i="5"/>
  <c r="F97" i="5"/>
  <c r="G97" i="5"/>
  <c r="H97" i="5"/>
  <c r="I97" i="5"/>
  <c r="B98" i="5"/>
  <c r="C98" i="5"/>
  <c r="D98" i="5"/>
  <c r="E98" i="5"/>
  <c r="F98" i="5"/>
  <c r="G98" i="5"/>
  <c r="H98" i="5"/>
  <c r="I98" i="5"/>
  <c r="B99" i="5"/>
  <c r="C99" i="5"/>
  <c r="D99" i="5"/>
  <c r="E99" i="5"/>
  <c r="F99" i="5"/>
  <c r="G99" i="5"/>
  <c r="H99" i="5"/>
  <c r="I99" i="5"/>
  <c r="B100" i="5"/>
  <c r="C100" i="5"/>
  <c r="D100" i="5"/>
  <c r="E100" i="5"/>
  <c r="F100" i="5"/>
  <c r="G100" i="5"/>
  <c r="H100" i="5"/>
  <c r="I100" i="5"/>
  <c r="B101" i="5"/>
  <c r="C101" i="5"/>
  <c r="D101" i="5"/>
  <c r="E101" i="5"/>
  <c r="F101" i="5"/>
  <c r="G101" i="5"/>
  <c r="H101" i="5"/>
  <c r="I101" i="5"/>
  <c r="B102" i="5"/>
  <c r="C102" i="5"/>
  <c r="D102" i="5"/>
  <c r="E102" i="5"/>
  <c r="F102" i="5"/>
  <c r="G102" i="5"/>
  <c r="H102" i="5"/>
  <c r="I102" i="5"/>
  <c r="B103" i="5"/>
  <c r="C103" i="5"/>
  <c r="D103" i="5"/>
  <c r="E103" i="5"/>
  <c r="F103" i="5"/>
  <c r="G103" i="5"/>
  <c r="H103" i="5"/>
  <c r="I103" i="5"/>
  <c r="B104" i="5"/>
  <c r="C104" i="5"/>
  <c r="D104" i="5"/>
  <c r="E104" i="5"/>
  <c r="F104" i="5"/>
  <c r="G104" i="5"/>
  <c r="H104" i="5"/>
  <c r="I104" i="5"/>
  <c r="B105" i="5"/>
  <c r="C105" i="5"/>
  <c r="D105" i="5"/>
  <c r="E105" i="5"/>
  <c r="F105" i="5"/>
  <c r="G105" i="5"/>
  <c r="H105" i="5"/>
  <c r="I105" i="5"/>
  <c r="B106" i="5"/>
  <c r="C106" i="5"/>
  <c r="D106" i="5"/>
  <c r="E106" i="5"/>
  <c r="F106" i="5"/>
  <c r="G106" i="5"/>
  <c r="H106" i="5"/>
  <c r="I106" i="5"/>
  <c r="B107" i="5"/>
  <c r="C107" i="5"/>
  <c r="D107" i="5"/>
  <c r="E107" i="5"/>
  <c r="F107" i="5"/>
  <c r="G107" i="5"/>
  <c r="H107" i="5"/>
  <c r="I107" i="5"/>
  <c r="B108" i="5"/>
  <c r="C108" i="5"/>
  <c r="D108" i="5"/>
  <c r="E108" i="5"/>
  <c r="F108" i="5"/>
  <c r="G108" i="5"/>
  <c r="H108" i="5"/>
  <c r="I108" i="5"/>
  <c r="B109" i="5"/>
  <c r="C109" i="5"/>
  <c r="D109" i="5"/>
  <c r="E109" i="5"/>
  <c r="F109" i="5"/>
  <c r="G109" i="5"/>
  <c r="H109" i="5"/>
  <c r="I109" i="5"/>
  <c r="B110" i="5"/>
  <c r="C110" i="5"/>
  <c r="D110" i="5"/>
  <c r="E110" i="5"/>
  <c r="F110" i="5"/>
  <c r="G110" i="5"/>
  <c r="H110" i="5"/>
  <c r="I110" i="5"/>
  <c r="B111" i="5"/>
  <c r="C111" i="5"/>
  <c r="D111" i="5"/>
  <c r="E111" i="5"/>
  <c r="F111" i="5"/>
  <c r="G111" i="5"/>
  <c r="H111" i="5"/>
  <c r="I111" i="5"/>
  <c r="B112" i="5"/>
  <c r="C112" i="5"/>
  <c r="D112" i="5"/>
  <c r="E112" i="5"/>
  <c r="F112" i="5"/>
  <c r="G112" i="5"/>
  <c r="H112" i="5"/>
  <c r="I112" i="5"/>
  <c r="B113" i="5"/>
  <c r="C113" i="5"/>
  <c r="D113" i="5"/>
  <c r="E113" i="5"/>
  <c r="F113" i="5"/>
  <c r="G113" i="5"/>
  <c r="H113" i="5"/>
  <c r="I113" i="5"/>
  <c r="B114" i="5"/>
  <c r="C114" i="5"/>
  <c r="D114" i="5"/>
  <c r="E114" i="5"/>
  <c r="F114" i="5"/>
  <c r="G114" i="5"/>
  <c r="H114" i="5"/>
  <c r="I114" i="5"/>
  <c r="B115" i="5"/>
  <c r="C115" i="5"/>
  <c r="D115" i="5"/>
  <c r="E115" i="5"/>
  <c r="F115" i="5"/>
  <c r="G115" i="5"/>
  <c r="H115" i="5"/>
  <c r="I115" i="5"/>
  <c r="B116" i="5"/>
  <c r="C116" i="5"/>
  <c r="D116" i="5"/>
  <c r="E116" i="5"/>
  <c r="F116" i="5"/>
  <c r="G116" i="5"/>
  <c r="H116" i="5"/>
  <c r="I116" i="5"/>
  <c r="B117" i="5"/>
  <c r="C117" i="5"/>
  <c r="D117" i="5"/>
  <c r="E117" i="5"/>
  <c r="F117" i="5"/>
  <c r="G117" i="5"/>
  <c r="H117" i="5"/>
  <c r="I117" i="5"/>
  <c r="B118" i="5"/>
  <c r="C118" i="5"/>
  <c r="D118" i="5"/>
  <c r="E118" i="5"/>
  <c r="F118" i="5"/>
  <c r="G118" i="5"/>
  <c r="H118" i="5"/>
  <c r="I118" i="5"/>
  <c r="B119" i="5"/>
  <c r="C119" i="5"/>
  <c r="D119" i="5"/>
  <c r="E119" i="5"/>
  <c r="F119" i="5"/>
  <c r="G119" i="5"/>
  <c r="H119" i="5"/>
  <c r="I119" i="5"/>
  <c r="B120" i="5"/>
  <c r="C120" i="5"/>
  <c r="D120" i="5"/>
  <c r="E120" i="5"/>
  <c r="F120" i="5"/>
  <c r="G120" i="5"/>
  <c r="H120" i="5"/>
  <c r="I120" i="5"/>
  <c r="B121" i="5"/>
  <c r="C121" i="5"/>
  <c r="D121" i="5"/>
  <c r="E121" i="5"/>
  <c r="F121" i="5"/>
  <c r="G121" i="5"/>
  <c r="H121" i="5"/>
  <c r="I121" i="5"/>
  <c r="B122" i="5"/>
  <c r="C122" i="5"/>
  <c r="D122" i="5"/>
  <c r="E122" i="5"/>
  <c r="F122" i="5"/>
  <c r="G122" i="5"/>
  <c r="H122" i="5"/>
  <c r="I122" i="5"/>
  <c r="B123" i="5"/>
  <c r="C123" i="5"/>
  <c r="D123" i="5"/>
  <c r="E123" i="5"/>
  <c r="F123" i="5"/>
  <c r="G123" i="5"/>
  <c r="H123" i="5"/>
  <c r="I123" i="5"/>
  <c r="B124" i="5"/>
  <c r="C124" i="5"/>
  <c r="D124" i="5"/>
  <c r="E124" i="5"/>
  <c r="F124" i="5"/>
  <c r="G124" i="5"/>
  <c r="H124" i="5"/>
  <c r="I124" i="5"/>
  <c r="B125" i="5"/>
  <c r="C125" i="5"/>
  <c r="D125" i="5"/>
  <c r="E125" i="5"/>
  <c r="F125" i="5"/>
  <c r="G125" i="5"/>
  <c r="H125" i="5"/>
  <c r="I125" i="5"/>
  <c r="B126" i="5"/>
  <c r="C126" i="5"/>
  <c r="D126" i="5"/>
  <c r="E126" i="5"/>
  <c r="F126" i="5"/>
  <c r="G126" i="5"/>
  <c r="H126" i="5"/>
  <c r="I126" i="5"/>
  <c r="B127" i="5"/>
  <c r="C127" i="5"/>
  <c r="D127" i="5"/>
  <c r="E127" i="5"/>
  <c r="F127" i="5"/>
  <c r="G127" i="5"/>
  <c r="H127" i="5"/>
  <c r="I127" i="5"/>
  <c r="B128" i="5"/>
  <c r="C128" i="5"/>
  <c r="D128" i="5"/>
  <c r="E128" i="5"/>
  <c r="F128" i="5"/>
  <c r="G128" i="5"/>
  <c r="H128" i="5"/>
  <c r="I128" i="5"/>
  <c r="B129" i="5"/>
  <c r="C129" i="5"/>
  <c r="D129" i="5"/>
  <c r="E129" i="5"/>
  <c r="F129" i="5"/>
  <c r="G129" i="5"/>
  <c r="H129" i="5"/>
  <c r="I129" i="5"/>
  <c r="B130" i="5"/>
  <c r="C130" i="5"/>
  <c r="D130" i="5"/>
  <c r="E130" i="5"/>
  <c r="F130" i="5"/>
  <c r="G130" i="5"/>
  <c r="H130" i="5"/>
  <c r="I130" i="5"/>
  <c r="B131" i="5"/>
  <c r="C131" i="5"/>
  <c r="D131" i="5"/>
  <c r="E131" i="5"/>
  <c r="F131" i="5"/>
  <c r="G131" i="5"/>
  <c r="H131" i="5"/>
  <c r="I131" i="5"/>
  <c r="B132" i="5"/>
  <c r="C132" i="5"/>
  <c r="D132" i="5"/>
  <c r="E132" i="5"/>
  <c r="F132" i="5"/>
  <c r="G132" i="5"/>
  <c r="H132" i="5"/>
  <c r="I132" i="5"/>
  <c r="B133" i="5"/>
  <c r="C133" i="5"/>
  <c r="D133" i="5"/>
  <c r="E133" i="5"/>
  <c r="F133" i="5"/>
  <c r="G133" i="5"/>
  <c r="H133" i="5"/>
  <c r="I133" i="5"/>
  <c r="B134" i="5"/>
  <c r="C134" i="5"/>
  <c r="D134" i="5"/>
  <c r="E134" i="5"/>
  <c r="F134" i="5"/>
  <c r="G134" i="5"/>
  <c r="H134" i="5"/>
  <c r="I134" i="5"/>
  <c r="B135" i="5"/>
  <c r="C135" i="5"/>
  <c r="D135" i="5"/>
  <c r="E135" i="5"/>
  <c r="F135" i="5"/>
  <c r="G135" i="5"/>
  <c r="H135" i="5"/>
  <c r="I135" i="5"/>
  <c r="B136" i="5"/>
  <c r="C136" i="5"/>
  <c r="D136" i="5"/>
  <c r="E136" i="5"/>
  <c r="F136" i="5"/>
  <c r="G136" i="5"/>
  <c r="H136" i="5"/>
  <c r="I136" i="5"/>
  <c r="B137" i="5"/>
  <c r="C137" i="5"/>
  <c r="D137" i="5"/>
  <c r="E137" i="5"/>
  <c r="F137" i="5"/>
  <c r="G137" i="5"/>
  <c r="H137" i="5"/>
  <c r="I137" i="5"/>
  <c r="B138" i="5"/>
  <c r="C138" i="5"/>
  <c r="D138" i="5"/>
  <c r="E138" i="5"/>
  <c r="F138" i="5"/>
  <c r="G138" i="5"/>
  <c r="H138" i="5"/>
  <c r="I138" i="5"/>
  <c r="B139" i="5"/>
  <c r="C139" i="5"/>
  <c r="D139" i="5"/>
  <c r="E139" i="5"/>
  <c r="F139" i="5"/>
  <c r="G139" i="5"/>
  <c r="H139" i="5"/>
  <c r="I139" i="5"/>
  <c r="B140" i="5"/>
  <c r="C140" i="5"/>
  <c r="D140" i="5"/>
  <c r="E140" i="5"/>
  <c r="F140" i="5"/>
  <c r="G140" i="5"/>
  <c r="H140" i="5"/>
  <c r="I140" i="5"/>
  <c r="B141" i="5"/>
  <c r="C141" i="5"/>
  <c r="D141" i="5"/>
  <c r="E141" i="5"/>
  <c r="F141" i="5"/>
  <c r="G141" i="5"/>
  <c r="H141" i="5"/>
  <c r="I141" i="5"/>
  <c r="B142" i="5"/>
  <c r="C142" i="5"/>
  <c r="D142" i="5"/>
  <c r="E142" i="5"/>
  <c r="F142" i="5"/>
  <c r="G142" i="5"/>
  <c r="H142" i="5"/>
  <c r="I142" i="5"/>
  <c r="B143" i="5"/>
  <c r="C143" i="5"/>
  <c r="D143" i="5"/>
  <c r="E143" i="5"/>
  <c r="F143" i="5"/>
  <c r="G143" i="5"/>
  <c r="H143" i="5"/>
  <c r="I143" i="5"/>
  <c r="B144" i="5"/>
  <c r="C144" i="5"/>
  <c r="D144" i="5"/>
  <c r="E144" i="5"/>
  <c r="F144" i="5"/>
  <c r="G144" i="5"/>
  <c r="H144" i="5"/>
  <c r="I144" i="5"/>
  <c r="B145" i="5"/>
  <c r="C145" i="5"/>
  <c r="D145" i="5"/>
  <c r="E145" i="5"/>
  <c r="F145" i="5"/>
  <c r="G145" i="5"/>
  <c r="H145" i="5"/>
  <c r="I145" i="5"/>
  <c r="B146" i="5"/>
  <c r="C146" i="5"/>
  <c r="D146" i="5"/>
  <c r="E146" i="5"/>
  <c r="F146" i="5"/>
  <c r="G146" i="5"/>
  <c r="H146" i="5"/>
  <c r="I146" i="5"/>
  <c r="B147" i="5"/>
  <c r="C147" i="5"/>
  <c r="D147" i="5"/>
  <c r="E147" i="5"/>
  <c r="F147" i="5"/>
  <c r="G147" i="5"/>
  <c r="H147" i="5"/>
  <c r="I147" i="5"/>
  <c r="B148" i="5"/>
  <c r="C148" i="5"/>
  <c r="D148" i="5"/>
  <c r="E148" i="5"/>
  <c r="F148" i="5"/>
  <c r="G148" i="5"/>
  <c r="H148" i="5"/>
  <c r="I148" i="5"/>
  <c r="B149" i="5"/>
  <c r="C149" i="5"/>
  <c r="D149" i="5"/>
  <c r="E149" i="5"/>
  <c r="F149" i="5"/>
  <c r="G149" i="5"/>
  <c r="H149" i="5"/>
  <c r="I149" i="5"/>
  <c r="B150" i="5"/>
  <c r="C150" i="5"/>
  <c r="D150" i="5"/>
  <c r="E150" i="5"/>
  <c r="F150" i="5"/>
  <c r="G150" i="5"/>
  <c r="H150" i="5"/>
  <c r="I150" i="5"/>
  <c r="B151" i="5"/>
  <c r="C151" i="5"/>
  <c r="D151" i="5"/>
  <c r="E151" i="5"/>
  <c r="F151" i="5"/>
  <c r="G151" i="5"/>
  <c r="H151" i="5"/>
  <c r="I151" i="5"/>
  <c r="B152" i="5"/>
  <c r="C152" i="5"/>
  <c r="D152" i="5"/>
  <c r="E152" i="5"/>
  <c r="F152" i="5"/>
  <c r="G152" i="5"/>
  <c r="H152" i="5"/>
  <c r="I152" i="5"/>
  <c r="B153" i="5"/>
  <c r="C153" i="5"/>
  <c r="D153" i="5"/>
  <c r="E153" i="5"/>
  <c r="F153" i="5"/>
  <c r="G153" i="5"/>
  <c r="H153" i="5"/>
  <c r="I153" i="5"/>
  <c r="B154" i="5"/>
  <c r="C154" i="5"/>
  <c r="D154" i="5"/>
  <c r="E154" i="5"/>
  <c r="F154" i="5"/>
  <c r="G154" i="5"/>
  <c r="H154" i="5"/>
  <c r="I154" i="5"/>
  <c r="B155" i="5"/>
  <c r="C155" i="5"/>
  <c r="D155" i="5"/>
  <c r="E155" i="5"/>
  <c r="F155" i="5"/>
  <c r="G155" i="5"/>
  <c r="H155" i="5"/>
  <c r="I155" i="5"/>
  <c r="B156" i="5"/>
  <c r="C156" i="5"/>
  <c r="D156" i="5"/>
  <c r="E156" i="5"/>
  <c r="F156" i="5"/>
  <c r="G156" i="5"/>
  <c r="H156" i="5"/>
  <c r="I156" i="5"/>
  <c r="B157" i="5"/>
  <c r="C157" i="5"/>
  <c r="D157" i="5"/>
  <c r="E157" i="5"/>
  <c r="F157" i="5"/>
  <c r="G157" i="5"/>
  <c r="H157" i="5"/>
  <c r="I157" i="5"/>
  <c r="B158" i="5"/>
  <c r="C158" i="5"/>
  <c r="D158" i="5"/>
  <c r="E158" i="5"/>
  <c r="F158" i="5"/>
  <c r="G158" i="5"/>
  <c r="H158" i="5"/>
  <c r="I158" i="5"/>
  <c r="B159" i="5"/>
  <c r="C159" i="5"/>
  <c r="D159" i="5"/>
  <c r="E159" i="5"/>
  <c r="F159" i="5"/>
  <c r="G159" i="5"/>
  <c r="H159" i="5"/>
  <c r="I159" i="5"/>
  <c r="B160" i="5"/>
  <c r="C160" i="5"/>
  <c r="D160" i="5"/>
  <c r="E160" i="5"/>
  <c r="F160" i="5"/>
  <c r="G160" i="5"/>
  <c r="H160" i="5"/>
  <c r="I160" i="5"/>
  <c r="B161" i="5"/>
  <c r="C161" i="5"/>
  <c r="D161" i="5"/>
  <c r="E161" i="5"/>
  <c r="F161" i="5"/>
  <c r="G161" i="5"/>
  <c r="H161" i="5"/>
  <c r="I161" i="5"/>
  <c r="B162" i="5"/>
  <c r="C162" i="5"/>
  <c r="D162" i="5"/>
  <c r="E162" i="5"/>
  <c r="F162" i="5"/>
  <c r="G162" i="5"/>
  <c r="H162" i="5"/>
  <c r="I162" i="5"/>
  <c r="B163" i="5"/>
  <c r="C163" i="5"/>
  <c r="D163" i="5"/>
  <c r="E163" i="5"/>
  <c r="F163" i="5"/>
  <c r="G163" i="5"/>
  <c r="H163" i="5"/>
  <c r="I163" i="5"/>
  <c r="B164" i="5"/>
  <c r="C164" i="5"/>
  <c r="D164" i="5"/>
  <c r="E164" i="5"/>
  <c r="F164" i="5"/>
  <c r="G164" i="5"/>
  <c r="H164" i="5"/>
  <c r="I164" i="5"/>
  <c r="B165" i="5"/>
  <c r="C165" i="5"/>
  <c r="D165" i="5"/>
  <c r="E165" i="5"/>
  <c r="F165" i="5"/>
  <c r="G165" i="5"/>
  <c r="H165" i="5"/>
  <c r="I165" i="5"/>
  <c r="B166" i="5"/>
  <c r="C166" i="5"/>
  <c r="D166" i="5"/>
  <c r="E166" i="5"/>
  <c r="F166" i="5"/>
  <c r="G166" i="5"/>
  <c r="H166" i="5"/>
  <c r="I166" i="5"/>
  <c r="B167" i="5"/>
  <c r="C167" i="5"/>
  <c r="D167" i="5"/>
  <c r="E167" i="5"/>
  <c r="F167" i="5"/>
  <c r="G167" i="5"/>
  <c r="H167" i="5"/>
  <c r="I167" i="5"/>
  <c r="B168" i="5"/>
  <c r="C168" i="5"/>
  <c r="D168" i="5"/>
  <c r="E168" i="5"/>
  <c r="F168" i="5"/>
  <c r="G168" i="5"/>
  <c r="H168" i="5"/>
  <c r="I168" i="5"/>
  <c r="B169" i="5"/>
  <c r="C169" i="5"/>
  <c r="D169" i="5"/>
  <c r="E169" i="5"/>
  <c r="F169" i="5"/>
  <c r="G169" i="5"/>
  <c r="H169" i="5"/>
  <c r="I169" i="5"/>
  <c r="B170" i="5"/>
  <c r="C170" i="5"/>
  <c r="D170" i="5"/>
  <c r="E170" i="5"/>
  <c r="F170" i="5"/>
  <c r="G170" i="5"/>
  <c r="H170" i="5"/>
  <c r="I170" i="5"/>
  <c r="B171" i="5"/>
  <c r="C171" i="5"/>
  <c r="D171" i="5"/>
  <c r="E171" i="5"/>
  <c r="F171" i="5"/>
  <c r="G171" i="5"/>
  <c r="H171" i="5"/>
  <c r="I171" i="5"/>
  <c r="B172" i="5"/>
  <c r="C172" i="5"/>
  <c r="D172" i="5"/>
  <c r="E172" i="5"/>
  <c r="F172" i="5"/>
  <c r="G172" i="5"/>
  <c r="H172" i="5"/>
  <c r="I172" i="5"/>
  <c r="E4" i="5"/>
  <c r="F4" i="5"/>
  <c r="G4" i="5"/>
  <c r="H4" i="5"/>
  <c r="I4" i="5"/>
  <c r="E7" i="5"/>
  <c r="F7" i="5"/>
  <c r="G7" i="5"/>
  <c r="H7" i="5"/>
  <c r="I7" i="5"/>
  <c r="E8" i="5"/>
  <c r="F8" i="5"/>
  <c r="G8" i="5"/>
  <c r="H8" i="5"/>
  <c r="I8"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E9" i="4"/>
  <c r="F9" i="4"/>
  <c r="G9" i="4"/>
  <c r="H9" i="4"/>
  <c r="I9" i="4"/>
  <c r="E10" i="4"/>
  <c r="F10" i="4"/>
  <c r="G10" i="4"/>
  <c r="H10" i="4"/>
  <c r="I10" i="4"/>
  <c r="E11" i="4"/>
  <c r="F11" i="4"/>
  <c r="G11" i="4"/>
  <c r="H11" i="4"/>
  <c r="I11" i="4"/>
  <c r="E12" i="4"/>
  <c r="F12" i="4"/>
  <c r="G12" i="4"/>
  <c r="H12" i="4"/>
  <c r="I12" i="4"/>
  <c r="E13" i="4"/>
  <c r="F13" i="4"/>
  <c r="G13" i="4"/>
  <c r="H13" i="4"/>
  <c r="I13" i="4"/>
  <c r="E14" i="4"/>
  <c r="F14" i="4"/>
  <c r="G14" i="4"/>
  <c r="H14" i="4"/>
  <c r="I14" i="4"/>
  <c r="E15" i="4"/>
  <c r="F15" i="4"/>
  <c r="G15" i="4"/>
  <c r="H15" i="4"/>
  <c r="I15" i="4"/>
  <c r="E16" i="4"/>
  <c r="F16" i="4"/>
  <c r="G16" i="4"/>
  <c r="H16" i="4"/>
  <c r="I16" i="4"/>
  <c r="E17" i="4"/>
  <c r="F17" i="4"/>
  <c r="G17" i="4"/>
  <c r="H17" i="4"/>
  <c r="I17" i="4"/>
  <c r="E18" i="4"/>
  <c r="F18" i="4"/>
  <c r="G18" i="4"/>
  <c r="H18" i="4"/>
  <c r="I18" i="4"/>
  <c r="E19" i="4"/>
  <c r="F19" i="4"/>
  <c r="G19" i="4"/>
  <c r="H19" i="4"/>
  <c r="I19" i="4"/>
  <c r="E20" i="4"/>
  <c r="F20" i="4"/>
  <c r="G20" i="4"/>
  <c r="H20" i="4"/>
  <c r="I20" i="4"/>
  <c r="E21" i="4"/>
  <c r="F21" i="4"/>
  <c r="G21" i="4"/>
  <c r="H21" i="4"/>
  <c r="I21" i="4"/>
  <c r="E22" i="4"/>
  <c r="F22" i="4"/>
  <c r="G22" i="4"/>
  <c r="H22" i="4"/>
  <c r="I22" i="4"/>
  <c r="E23" i="4"/>
  <c r="F23" i="4"/>
  <c r="G23" i="4"/>
  <c r="H23" i="4"/>
  <c r="I23" i="4"/>
  <c r="E24" i="4"/>
  <c r="F24" i="4"/>
  <c r="G24" i="4"/>
  <c r="H24" i="4"/>
  <c r="I24" i="4"/>
  <c r="E25" i="4"/>
  <c r="F25" i="4"/>
  <c r="G25" i="4"/>
  <c r="H25" i="4"/>
  <c r="I25" i="4"/>
  <c r="E26" i="4"/>
  <c r="F26" i="4"/>
  <c r="G26" i="4"/>
  <c r="H26" i="4"/>
  <c r="I26" i="4"/>
  <c r="E27" i="4"/>
  <c r="F27" i="4"/>
  <c r="G27" i="4"/>
  <c r="H27" i="4"/>
  <c r="I27" i="4"/>
  <c r="E28" i="4"/>
  <c r="F28" i="4"/>
  <c r="G28" i="4"/>
  <c r="H28" i="4"/>
  <c r="I28" i="4"/>
  <c r="E29" i="4"/>
  <c r="F29" i="4"/>
  <c r="G29" i="4"/>
  <c r="H29" i="4"/>
  <c r="I29" i="4"/>
  <c r="E30" i="4"/>
  <c r="F30" i="4"/>
  <c r="G30" i="4"/>
  <c r="H30" i="4"/>
  <c r="I30" i="4"/>
  <c r="E31" i="4"/>
  <c r="F31" i="4"/>
  <c r="G31" i="4"/>
  <c r="H31" i="4"/>
  <c r="I31" i="4"/>
  <c r="E32" i="4"/>
  <c r="F32" i="4"/>
  <c r="G32" i="4"/>
  <c r="H32" i="4"/>
  <c r="I32" i="4"/>
  <c r="E33" i="4"/>
  <c r="F33" i="4"/>
  <c r="G33" i="4"/>
  <c r="H33" i="4"/>
  <c r="I33" i="4"/>
  <c r="E34" i="4"/>
  <c r="F34" i="4"/>
  <c r="G34" i="4"/>
  <c r="H34" i="4"/>
  <c r="I34" i="4"/>
  <c r="E35" i="4"/>
  <c r="F35" i="4"/>
  <c r="G35" i="4"/>
  <c r="H35" i="4"/>
  <c r="I35" i="4"/>
  <c r="E36" i="4"/>
  <c r="F36" i="4"/>
  <c r="G36" i="4"/>
  <c r="H36" i="4"/>
  <c r="I36" i="4"/>
  <c r="E37" i="4"/>
  <c r="F37" i="4"/>
  <c r="G37" i="4"/>
  <c r="H37" i="4"/>
  <c r="I37" i="4"/>
  <c r="E38" i="4"/>
  <c r="F38" i="4"/>
  <c r="G38" i="4"/>
  <c r="H38" i="4"/>
  <c r="I38" i="4"/>
  <c r="E39" i="4"/>
  <c r="F39" i="4"/>
  <c r="G39" i="4"/>
  <c r="H39" i="4"/>
  <c r="I39" i="4"/>
  <c r="E40" i="4"/>
  <c r="F40" i="4"/>
  <c r="G40" i="4"/>
  <c r="H40" i="4"/>
  <c r="I40" i="4"/>
  <c r="E41" i="4"/>
  <c r="F41" i="4"/>
  <c r="G41" i="4"/>
  <c r="H41" i="4"/>
  <c r="I41" i="4"/>
  <c r="E42" i="4"/>
  <c r="F42" i="4"/>
  <c r="G42" i="4"/>
  <c r="H42" i="4"/>
  <c r="I42" i="4"/>
  <c r="E43" i="4"/>
  <c r="F43" i="4"/>
  <c r="G43" i="4"/>
  <c r="H43" i="4"/>
  <c r="I43" i="4"/>
  <c r="E44" i="4"/>
  <c r="F44" i="4"/>
  <c r="G44" i="4"/>
  <c r="H44" i="4"/>
  <c r="I44" i="4"/>
  <c r="E45" i="4"/>
  <c r="F45" i="4"/>
  <c r="G45" i="4"/>
  <c r="H45" i="4"/>
  <c r="I45" i="4"/>
  <c r="E46" i="4"/>
  <c r="F46" i="4"/>
  <c r="G46" i="4"/>
  <c r="H46" i="4"/>
  <c r="I46" i="4"/>
  <c r="E47" i="4"/>
  <c r="F47" i="4"/>
  <c r="G47" i="4"/>
  <c r="H47" i="4"/>
  <c r="I47" i="4"/>
  <c r="B48" i="4"/>
  <c r="C48" i="4"/>
  <c r="D48" i="4"/>
  <c r="E48" i="4"/>
  <c r="F48" i="4"/>
  <c r="G48" i="4"/>
  <c r="H48" i="4"/>
  <c r="I48" i="4"/>
  <c r="B49" i="4"/>
  <c r="C49" i="4"/>
  <c r="D49" i="4"/>
  <c r="E49" i="4"/>
  <c r="F49" i="4"/>
  <c r="G49" i="4"/>
  <c r="H49" i="4"/>
  <c r="I49" i="4"/>
  <c r="B50" i="4"/>
  <c r="C50" i="4"/>
  <c r="D50" i="4"/>
  <c r="E50" i="4"/>
  <c r="F50" i="4"/>
  <c r="G50" i="4"/>
  <c r="H50" i="4"/>
  <c r="I50" i="4"/>
  <c r="B51" i="4"/>
  <c r="C51" i="4"/>
  <c r="D51" i="4"/>
  <c r="E51" i="4"/>
  <c r="F51" i="4"/>
  <c r="G51" i="4"/>
  <c r="H51" i="4"/>
  <c r="I51" i="4"/>
  <c r="B52" i="4"/>
  <c r="C52" i="4"/>
  <c r="D52" i="4"/>
  <c r="E52" i="4"/>
  <c r="F52" i="4"/>
  <c r="G52" i="4"/>
  <c r="H52" i="4"/>
  <c r="I52" i="4"/>
  <c r="B53" i="4"/>
  <c r="C53" i="4"/>
  <c r="D53" i="4"/>
  <c r="E53" i="4"/>
  <c r="F53" i="4"/>
  <c r="G53" i="4"/>
  <c r="H53" i="4"/>
  <c r="I53" i="4"/>
  <c r="B54" i="4"/>
  <c r="C54" i="4"/>
  <c r="D54" i="4"/>
  <c r="E54" i="4"/>
  <c r="F54" i="4"/>
  <c r="G54" i="4"/>
  <c r="H54" i="4"/>
  <c r="I54" i="4"/>
  <c r="B55" i="4"/>
  <c r="C55" i="4"/>
  <c r="D55" i="4"/>
  <c r="E55" i="4"/>
  <c r="F55" i="4"/>
  <c r="G55" i="4"/>
  <c r="H55" i="4"/>
  <c r="I55" i="4"/>
  <c r="B56" i="4"/>
  <c r="C56" i="4"/>
  <c r="D56" i="4"/>
  <c r="E56" i="4"/>
  <c r="F56" i="4"/>
  <c r="G56" i="4"/>
  <c r="H56" i="4"/>
  <c r="I56" i="4"/>
  <c r="B57" i="4"/>
  <c r="C57" i="4"/>
  <c r="D57" i="4"/>
  <c r="E57" i="4"/>
  <c r="F57" i="4"/>
  <c r="G57" i="4"/>
  <c r="H57" i="4"/>
  <c r="I57" i="4"/>
  <c r="B58" i="4"/>
  <c r="C58" i="4"/>
  <c r="D58" i="4"/>
  <c r="E58" i="4"/>
  <c r="F58" i="4"/>
  <c r="G58" i="4"/>
  <c r="H58" i="4"/>
  <c r="I58" i="4"/>
  <c r="B59" i="4"/>
  <c r="C59" i="4"/>
  <c r="D59" i="4"/>
  <c r="E59" i="4"/>
  <c r="F59" i="4"/>
  <c r="G59" i="4"/>
  <c r="H59" i="4"/>
  <c r="I59" i="4"/>
  <c r="B60" i="4"/>
  <c r="C60" i="4"/>
  <c r="D60" i="4"/>
  <c r="E60" i="4"/>
  <c r="F60" i="4"/>
  <c r="G60" i="4"/>
  <c r="H60" i="4"/>
  <c r="I60" i="4"/>
  <c r="B61" i="4"/>
  <c r="C61" i="4"/>
  <c r="D61" i="4"/>
  <c r="E61" i="4"/>
  <c r="F61" i="4"/>
  <c r="G61" i="4"/>
  <c r="H61" i="4"/>
  <c r="I61" i="4"/>
  <c r="B62" i="4"/>
  <c r="C62" i="4"/>
  <c r="D62" i="4"/>
  <c r="E62" i="4"/>
  <c r="F62" i="4"/>
  <c r="G62" i="4"/>
  <c r="H62" i="4"/>
  <c r="I62" i="4"/>
  <c r="B63" i="4"/>
  <c r="C63" i="4"/>
  <c r="D63" i="4"/>
  <c r="E63" i="4"/>
  <c r="F63" i="4"/>
  <c r="G63" i="4"/>
  <c r="H63" i="4"/>
  <c r="I63" i="4"/>
  <c r="B64" i="4"/>
  <c r="C64" i="4"/>
  <c r="D64" i="4"/>
  <c r="E64" i="4"/>
  <c r="F64" i="4"/>
  <c r="G64" i="4"/>
  <c r="H64" i="4"/>
  <c r="I64" i="4"/>
  <c r="B65" i="4"/>
  <c r="C65" i="4"/>
  <c r="D65" i="4"/>
  <c r="E65" i="4"/>
  <c r="F65" i="4"/>
  <c r="G65" i="4"/>
  <c r="H65" i="4"/>
  <c r="I65" i="4"/>
  <c r="B66" i="4"/>
  <c r="C66" i="4"/>
  <c r="D66" i="4"/>
  <c r="E66" i="4"/>
  <c r="F66" i="4"/>
  <c r="G66" i="4"/>
  <c r="H66" i="4"/>
  <c r="I66" i="4"/>
  <c r="B67" i="4"/>
  <c r="C67" i="4"/>
  <c r="D67" i="4"/>
  <c r="E67" i="4"/>
  <c r="F67" i="4"/>
  <c r="G67" i="4"/>
  <c r="H67" i="4"/>
  <c r="I67" i="4"/>
  <c r="B68" i="4"/>
  <c r="C68" i="4"/>
  <c r="D68" i="4"/>
  <c r="E68" i="4"/>
  <c r="F68" i="4"/>
  <c r="G68" i="4"/>
  <c r="H68" i="4"/>
  <c r="I68" i="4"/>
  <c r="B69" i="4"/>
  <c r="C69" i="4"/>
  <c r="D69" i="4"/>
  <c r="E69" i="4"/>
  <c r="F69" i="4"/>
  <c r="G69" i="4"/>
  <c r="H69" i="4"/>
  <c r="I69" i="4"/>
  <c r="B70" i="4"/>
  <c r="C70" i="4"/>
  <c r="D70" i="4"/>
  <c r="E70" i="4"/>
  <c r="F70" i="4"/>
  <c r="G70" i="4"/>
  <c r="H70" i="4"/>
  <c r="I70" i="4"/>
  <c r="B71" i="4"/>
  <c r="C71" i="4"/>
  <c r="D71" i="4"/>
  <c r="E71" i="4"/>
  <c r="F71" i="4"/>
  <c r="G71" i="4"/>
  <c r="H71" i="4"/>
  <c r="I71" i="4"/>
  <c r="B72" i="4"/>
  <c r="C72" i="4"/>
  <c r="D72" i="4"/>
  <c r="E72" i="4"/>
  <c r="F72" i="4"/>
  <c r="G72" i="4"/>
  <c r="H72" i="4"/>
  <c r="I72" i="4"/>
  <c r="B73" i="4"/>
  <c r="C73" i="4"/>
  <c r="D73" i="4"/>
  <c r="E73" i="4"/>
  <c r="F73" i="4"/>
  <c r="G73" i="4"/>
  <c r="H73" i="4"/>
  <c r="I73" i="4"/>
  <c r="B74" i="4"/>
  <c r="C74" i="4"/>
  <c r="D74" i="4"/>
  <c r="E74" i="4"/>
  <c r="F74" i="4"/>
  <c r="G74" i="4"/>
  <c r="H74" i="4"/>
  <c r="I74" i="4"/>
  <c r="B75" i="4"/>
  <c r="C75" i="4"/>
  <c r="D75" i="4"/>
  <c r="E75" i="4"/>
  <c r="F75" i="4"/>
  <c r="G75" i="4"/>
  <c r="H75" i="4"/>
  <c r="I75" i="4"/>
  <c r="B76" i="4"/>
  <c r="C76" i="4"/>
  <c r="D76" i="4"/>
  <c r="E76" i="4"/>
  <c r="F76" i="4"/>
  <c r="G76" i="4"/>
  <c r="H76" i="4"/>
  <c r="I76" i="4"/>
  <c r="B77" i="4"/>
  <c r="C77" i="4"/>
  <c r="D77" i="4"/>
  <c r="E77" i="4"/>
  <c r="F77" i="4"/>
  <c r="G77" i="4"/>
  <c r="H77" i="4"/>
  <c r="I77" i="4"/>
  <c r="B78" i="4"/>
  <c r="C78" i="4"/>
  <c r="D78" i="4"/>
  <c r="E78" i="4"/>
  <c r="F78" i="4"/>
  <c r="G78" i="4"/>
  <c r="H78" i="4"/>
  <c r="I78" i="4"/>
  <c r="B79" i="4"/>
  <c r="C79" i="4"/>
  <c r="D79" i="4"/>
  <c r="E79" i="4"/>
  <c r="F79" i="4"/>
  <c r="G79" i="4"/>
  <c r="H79" i="4"/>
  <c r="I79" i="4"/>
  <c r="B80" i="4"/>
  <c r="C80" i="4"/>
  <c r="D80" i="4"/>
  <c r="E80" i="4"/>
  <c r="F80" i="4"/>
  <c r="G80" i="4"/>
  <c r="H80" i="4"/>
  <c r="I80" i="4"/>
  <c r="B81" i="4"/>
  <c r="C81" i="4"/>
  <c r="D81" i="4"/>
  <c r="E81" i="4"/>
  <c r="F81" i="4"/>
  <c r="G81" i="4"/>
  <c r="H81" i="4"/>
  <c r="I81" i="4"/>
  <c r="B82" i="4"/>
  <c r="C82" i="4"/>
  <c r="D82" i="4"/>
  <c r="E82" i="4"/>
  <c r="F82" i="4"/>
  <c r="G82" i="4"/>
  <c r="H82" i="4"/>
  <c r="I82" i="4"/>
  <c r="B83" i="4"/>
  <c r="C83" i="4"/>
  <c r="D83" i="4"/>
  <c r="E83" i="4"/>
  <c r="F83" i="4"/>
  <c r="G83" i="4"/>
  <c r="H83" i="4"/>
  <c r="I83" i="4"/>
  <c r="B84" i="4"/>
  <c r="C84" i="4"/>
  <c r="D84" i="4"/>
  <c r="E84" i="4"/>
  <c r="F84" i="4"/>
  <c r="G84" i="4"/>
  <c r="H84" i="4"/>
  <c r="I84" i="4"/>
  <c r="B85" i="4"/>
  <c r="C85" i="4"/>
  <c r="D85" i="4"/>
  <c r="E85" i="4"/>
  <c r="F85" i="4"/>
  <c r="G85" i="4"/>
  <c r="H85" i="4"/>
  <c r="I85" i="4"/>
  <c r="B86" i="4"/>
  <c r="C86" i="4"/>
  <c r="D86" i="4"/>
  <c r="E86" i="4"/>
  <c r="F86" i="4"/>
  <c r="G86" i="4"/>
  <c r="H86" i="4"/>
  <c r="I86" i="4"/>
  <c r="B87" i="4"/>
  <c r="C87" i="4"/>
  <c r="D87" i="4"/>
  <c r="E87" i="4"/>
  <c r="F87" i="4"/>
  <c r="G87" i="4"/>
  <c r="H87" i="4"/>
  <c r="I87" i="4"/>
  <c r="B88" i="4"/>
  <c r="C88" i="4"/>
  <c r="D88" i="4"/>
  <c r="E88" i="4"/>
  <c r="F88" i="4"/>
  <c r="G88" i="4"/>
  <c r="H88" i="4"/>
  <c r="I88" i="4"/>
  <c r="B89" i="4"/>
  <c r="C89" i="4"/>
  <c r="D89" i="4"/>
  <c r="E89" i="4"/>
  <c r="F89" i="4"/>
  <c r="G89" i="4"/>
  <c r="H89" i="4"/>
  <c r="I89" i="4"/>
  <c r="B90" i="4"/>
  <c r="C90" i="4"/>
  <c r="D90" i="4"/>
  <c r="E90" i="4"/>
  <c r="F90" i="4"/>
  <c r="G90" i="4"/>
  <c r="H90" i="4"/>
  <c r="I90" i="4"/>
  <c r="B91" i="4"/>
  <c r="C91" i="4"/>
  <c r="D91" i="4"/>
  <c r="E91" i="4"/>
  <c r="F91" i="4"/>
  <c r="G91" i="4"/>
  <c r="H91" i="4"/>
  <c r="I91" i="4"/>
  <c r="B92" i="4"/>
  <c r="C92" i="4"/>
  <c r="D92" i="4"/>
  <c r="E92" i="4"/>
  <c r="F92" i="4"/>
  <c r="G92" i="4"/>
  <c r="H92" i="4"/>
  <c r="I92" i="4"/>
  <c r="B93" i="4"/>
  <c r="C93" i="4"/>
  <c r="D93" i="4"/>
  <c r="E93" i="4"/>
  <c r="F93" i="4"/>
  <c r="G93" i="4"/>
  <c r="H93" i="4"/>
  <c r="I93" i="4"/>
  <c r="B94" i="4"/>
  <c r="C94" i="4"/>
  <c r="D94" i="4"/>
  <c r="E94" i="4"/>
  <c r="F94" i="4"/>
  <c r="G94" i="4"/>
  <c r="H94" i="4"/>
  <c r="I94" i="4"/>
  <c r="B95" i="4"/>
  <c r="C95" i="4"/>
  <c r="D95" i="4"/>
  <c r="E95" i="4"/>
  <c r="F95" i="4"/>
  <c r="G95" i="4"/>
  <c r="H95" i="4"/>
  <c r="I95" i="4"/>
  <c r="B96" i="4"/>
  <c r="C96" i="4"/>
  <c r="D96" i="4"/>
  <c r="E96" i="4"/>
  <c r="F96" i="4"/>
  <c r="G96" i="4"/>
  <c r="H96" i="4"/>
  <c r="I96" i="4"/>
  <c r="B97" i="4"/>
  <c r="C97" i="4"/>
  <c r="D97" i="4"/>
  <c r="E97" i="4"/>
  <c r="F97" i="4"/>
  <c r="G97" i="4"/>
  <c r="H97" i="4"/>
  <c r="I97" i="4"/>
  <c r="B98" i="4"/>
  <c r="C98" i="4"/>
  <c r="D98" i="4"/>
  <c r="E98" i="4"/>
  <c r="F98" i="4"/>
  <c r="G98" i="4"/>
  <c r="H98" i="4"/>
  <c r="I98" i="4"/>
  <c r="B99" i="4"/>
  <c r="C99" i="4"/>
  <c r="D99" i="4"/>
  <c r="E99" i="4"/>
  <c r="F99" i="4"/>
  <c r="G99" i="4"/>
  <c r="H99" i="4"/>
  <c r="I99" i="4"/>
  <c r="B100" i="4"/>
  <c r="C100" i="4"/>
  <c r="D100" i="4"/>
  <c r="E100" i="4"/>
  <c r="F100" i="4"/>
  <c r="G100" i="4"/>
  <c r="H100" i="4"/>
  <c r="I100" i="4"/>
  <c r="B101" i="4"/>
  <c r="C101" i="4"/>
  <c r="D101" i="4"/>
  <c r="E101" i="4"/>
  <c r="F101" i="4"/>
  <c r="G101" i="4"/>
  <c r="H101" i="4"/>
  <c r="I101" i="4"/>
  <c r="B102" i="4"/>
  <c r="C102" i="4"/>
  <c r="D102" i="4"/>
  <c r="E102" i="4"/>
  <c r="F102" i="4"/>
  <c r="G102" i="4"/>
  <c r="H102" i="4"/>
  <c r="I102" i="4"/>
  <c r="B103" i="4"/>
  <c r="C103" i="4"/>
  <c r="D103" i="4"/>
  <c r="E103" i="4"/>
  <c r="F103" i="4"/>
  <c r="G103" i="4"/>
  <c r="H103" i="4"/>
  <c r="I103" i="4"/>
  <c r="B104" i="4"/>
  <c r="C104" i="4"/>
  <c r="D104" i="4"/>
  <c r="E104" i="4"/>
  <c r="F104" i="4"/>
  <c r="G104" i="4"/>
  <c r="H104" i="4"/>
  <c r="I104" i="4"/>
  <c r="B105" i="4"/>
  <c r="C105" i="4"/>
  <c r="D105" i="4"/>
  <c r="E105" i="4"/>
  <c r="F105" i="4"/>
  <c r="G105" i="4"/>
  <c r="H105" i="4"/>
  <c r="I105" i="4"/>
  <c r="B106" i="4"/>
  <c r="C106" i="4"/>
  <c r="D106" i="4"/>
  <c r="E106" i="4"/>
  <c r="F106" i="4"/>
  <c r="G106" i="4"/>
  <c r="H106" i="4"/>
  <c r="I106" i="4"/>
  <c r="B107" i="4"/>
  <c r="C107" i="4"/>
  <c r="D107" i="4"/>
  <c r="E107" i="4"/>
  <c r="F107" i="4"/>
  <c r="G107" i="4"/>
  <c r="H107" i="4"/>
  <c r="I107" i="4"/>
  <c r="B108" i="4"/>
  <c r="C108" i="4"/>
  <c r="D108" i="4"/>
  <c r="E108" i="4"/>
  <c r="F108" i="4"/>
  <c r="G108" i="4"/>
  <c r="H108" i="4"/>
  <c r="I108" i="4"/>
  <c r="B109" i="4"/>
  <c r="C109" i="4"/>
  <c r="D109" i="4"/>
  <c r="E109" i="4"/>
  <c r="F109" i="4"/>
  <c r="G109" i="4"/>
  <c r="H109" i="4"/>
  <c r="I109" i="4"/>
  <c r="B110" i="4"/>
  <c r="C110" i="4"/>
  <c r="D110" i="4"/>
  <c r="E110" i="4"/>
  <c r="F110" i="4"/>
  <c r="G110" i="4"/>
  <c r="H110" i="4"/>
  <c r="I110" i="4"/>
  <c r="B111" i="4"/>
  <c r="C111" i="4"/>
  <c r="D111" i="4"/>
  <c r="E111" i="4"/>
  <c r="F111" i="4"/>
  <c r="G111" i="4"/>
  <c r="H111" i="4"/>
  <c r="I111" i="4"/>
  <c r="B112" i="4"/>
  <c r="C112" i="4"/>
  <c r="D112" i="4"/>
  <c r="E112" i="4"/>
  <c r="F112" i="4"/>
  <c r="G112" i="4"/>
  <c r="H112" i="4"/>
  <c r="I112" i="4"/>
  <c r="B113" i="4"/>
  <c r="C113" i="4"/>
  <c r="D113" i="4"/>
  <c r="E113" i="4"/>
  <c r="F113" i="4"/>
  <c r="G113" i="4"/>
  <c r="H113" i="4"/>
  <c r="I113" i="4"/>
  <c r="B114" i="4"/>
  <c r="C114" i="4"/>
  <c r="D114" i="4"/>
  <c r="E114" i="4"/>
  <c r="F114" i="4"/>
  <c r="G114" i="4"/>
  <c r="H114" i="4"/>
  <c r="I114" i="4"/>
  <c r="B115" i="4"/>
  <c r="C115" i="4"/>
  <c r="D115" i="4"/>
  <c r="E115" i="4"/>
  <c r="F115" i="4"/>
  <c r="G115" i="4"/>
  <c r="H115" i="4"/>
  <c r="I115" i="4"/>
  <c r="B116" i="4"/>
  <c r="C116" i="4"/>
  <c r="D116" i="4"/>
  <c r="E116" i="4"/>
  <c r="F116" i="4"/>
  <c r="G116" i="4"/>
  <c r="H116" i="4"/>
  <c r="I116" i="4"/>
  <c r="B117" i="4"/>
  <c r="C117" i="4"/>
  <c r="D117" i="4"/>
  <c r="E117" i="4"/>
  <c r="F117" i="4"/>
  <c r="G117" i="4"/>
  <c r="H117" i="4"/>
  <c r="I117" i="4"/>
  <c r="B118" i="4"/>
  <c r="C118" i="4"/>
  <c r="D118" i="4"/>
  <c r="E118" i="4"/>
  <c r="F118" i="4"/>
  <c r="G118" i="4"/>
  <c r="H118" i="4"/>
  <c r="I118" i="4"/>
  <c r="B119" i="4"/>
  <c r="C119" i="4"/>
  <c r="D119" i="4"/>
  <c r="E119" i="4"/>
  <c r="F119" i="4"/>
  <c r="G119" i="4"/>
  <c r="H119" i="4"/>
  <c r="I119" i="4"/>
  <c r="B120" i="4"/>
  <c r="C120" i="4"/>
  <c r="D120" i="4"/>
  <c r="E120" i="4"/>
  <c r="F120" i="4"/>
  <c r="G120" i="4"/>
  <c r="H120" i="4"/>
  <c r="I120" i="4"/>
  <c r="B121" i="4"/>
  <c r="C121" i="4"/>
  <c r="D121" i="4"/>
  <c r="E121" i="4"/>
  <c r="F121" i="4"/>
  <c r="G121" i="4"/>
  <c r="H121" i="4"/>
  <c r="I121" i="4"/>
  <c r="B122" i="4"/>
  <c r="C122" i="4"/>
  <c r="D122" i="4"/>
  <c r="E122" i="4"/>
  <c r="F122" i="4"/>
  <c r="G122" i="4"/>
  <c r="H122" i="4"/>
  <c r="I122" i="4"/>
  <c r="B123" i="4"/>
  <c r="C123" i="4"/>
  <c r="D123" i="4"/>
  <c r="E123" i="4"/>
  <c r="F123" i="4"/>
  <c r="G123" i="4"/>
  <c r="H123" i="4"/>
  <c r="I123" i="4"/>
  <c r="B124" i="4"/>
  <c r="C124" i="4"/>
  <c r="D124" i="4"/>
  <c r="E124" i="4"/>
  <c r="F124" i="4"/>
  <c r="G124" i="4"/>
  <c r="H124" i="4"/>
  <c r="I124" i="4"/>
  <c r="B125" i="4"/>
  <c r="C125" i="4"/>
  <c r="D125" i="4"/>
  <c r="E125" i="4"/>
  <c r="F125" i="4"/>
  <c r="G125" i="4"/>
  <c r="H125" i="4"/>
  <c r="I125" i="4"/>
  <c r="B126" i="4"/>
  <c r="C126" i="4"/>
  <c r="D126" i="4"/>
  <c r="E126" i="4"/>
  <c r="F126" i="4"/>
  <c r="G126" i="4"/>
  <c r="H126" i="4"/>
  <c r="I126" i="4"/>
  <c r="B127" i="4"/>
  <c r="C127" i="4"/>
  <c r="D127" i="4"/>
  <c r="E127" i="4"/>
  <c r="F127" i="4"/>
  <c r="G127" i="4"/>
  <c r="H127" i="4"/>
  <c r="I127" i="4"/>
  <c r="E4" i="4"/>
  <c r="F4" i="4"/>
  <c r="G4" i="4"/>
  <c r="H4" i="4"/>
  <c r="I4" i="4"/>
  <c r="E5" i="4"/>
  <c r="F5" i="4"/>
  <c r="G5" i="4"/>
  <c r="H5" i="4"/>
  <c r="I5" i="4"/>
  <c r="E6" i="4"/>
  <c r="F6" i="4"/>
  <c r="G6" i="4"/>
  <c r="H6" i="4"/>
  <c r="I6" i="4"/>
  <c r="E7" i="4"/>
  <c r="F7" i="4"/>
  <c r="G7" i="4"/>
  <c r="H7" i="4"/>
  <c r="I7" i="4"/>
  <c r="E8" i="4"/>
  <c r="F8" i="4"/>
  <c r="G8" i="4"/>
  <c r="H8" i="4"/>
  <c r="I8" i="4"/>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4" i="2"/>
  <c r="W5" i="2"/>
  <c r="W6" i="2"/>
  <c r="W7" i="2"/>
  <c r="W8" i="2"/>
  <c r="W9" i="2"/>
  <c r="W10" i="2"/>
  <c r="W11" i="2"/>
  <c r="W12" i="2"/>
  <c r="W13" i="2"/>
  <c r="W14" i="2"/>
  <c r="E39" i="2"/>
  <c r="F39" i="2"/>
  <c r="G39" i="2"/>
  <c r="H39" i="2"/>
  <c r="I39" i="2"/>
  <c r="E40" i="2"/>
  <c r="F40" i="2"/>
  <c r="G40" i="2"/>
  <c r="H40" i="2"/>
  <c r="I40" i="2"/>
  <c r="B48" i="2"/>
  <c r="C48" i="2"/>
  <c r="D48" i="2"/>
  <c r="E48" i="2"/>
  <c r="F48" i="2"/>
  <c r="G48" i="2"/>
  <c r="H48" i="2"/>
  <c r="I48" i="2"/>
  <c r="B49" i="2"/>
  <c r="C49" i="2"/>
  <c r="D49" i="2"/>
  <c r="E49" i="2"/>
  <c r="F49" i="2"/>
  <c r="G49" i="2"/>
  <c r="H49" i="2"/>
  <c r="I49" i="2"/>
  <c r="B50" i="2"/>
  <c r="C50" i="2"/>
  <c r="D50" i="2"/>
  <c r="E50" i="2"/>
  <c r="F50" i="2"/>
  <c r="G50" i="2"/>
  <c r="H50" i="2"/>
  <c r="I50" i="2"/>
  <c r="B51" i="2"/>
  <c r="C51" i="2"/>
  <c r="D51" i="2"/>
  <c r="E51" i="2"/>
  <c r="F51" i="2"/>
  <c r="G51" i="2"/>
  <c r="H51" i="2"/>
  <c r="I51" i="2"/>
  <c r="B52" i="2"/>
  <c r="C52" i="2"/>
  <c r="D52" i="2"/>
  <c r="E52" i="2"/>
  <c r="F52" i="2"/>
  <c r="G52" i="2"/>
  <c r="H52" i="2"/>
  <c r="I52" i="2"/>
  <c r="B53" i="2"/>
  <c r="C53" i="2"/>
  <c r="D53" i="2"/>
  <c r="E53" i="2"/>
  <c r="F53" i="2"/>
  <c r="G53" i="2"/>
  <c r="H53" i="2"/>
  <c r="I53" i="2"/>
  <c r="B54" i="2"/>
  <c r="C54" i="2"/>
  <c r="D54" i="2"/>
  <c r="E54" i="2"/>
  <c r="F54" i="2"/>
  <c r="G54" i="2"/>
  <c r="H54" i="2"/>
  <c r="I54" i="2"/>
  <c r="B55" i="2"/>
  <c r="C55" i="2"/>
  <c r="D55" i="2"/>
  <c r="E55" i="2"/>
  <c r="F55" i="2"/>
  <c r="G55" i="2"/>
  <c r="H55" i="2"/>
  <c r="I55" i="2"/>
  <c r="B56" i="2"/>
  <c r="C56" i="2"/>
  <c r="D56" i="2"/>
  <c r="E56" i="2"/>
  <c r="F56" i="2"/>
  <c r="G56" i="2"/>
  <c r="H56" i="2"/>
  <c r="I56" i="2"/>
  <c r="B57" i="2"/>
  <c r="C57" i="2"/>
  <c r="D57" i="2"/>
  <c r="E57" i="2"/>
  <c r="F57" i="2"/>
  <c r="G57" i="2"/>
  <c r="H57" i="2"/>
  <c r="I57" i="2"/>
  <c r="B58" i="2"/>
  <c r="C58" i="2"/>
  <c r="D58" i="2"/>
  <c r="E58" i="2"/>
  <c r="F58" i="2"/>
  <c r="G58" i="2"/>
  <c r="H58" i="2"/>
  <c r="I58" i="2"/>
  <c r="B59" i="2"/>
  <c r="C59" i="2"/>
  <c r="D59" i="2"/>
  <c r="E59" i="2"/>
  <c r="F59" i="2"/>
  <c r="G59" i="2"/>
  <c r="H59" i="2"/>
  <c r="I59" i="2"/>
  <c r="B60" i="2"/>
  <c r="C60" i="2"/>
  <c r="D60" i="2"/>
  <c r="E60" i="2"/>
  <c r="F60" i="2"/>
  <c r="G60" i="2"/>
  <c r="H60" i="2"/>
  <c r="I60" i="2"/>
  <c r="B61" i="2"/>
  <c r="C61" i="2"/>
  <c r="D61" i="2"/>
  <c r="E61" i="2"/>
  <c r="F61" i="2"/>
  <c r="G61" i="2"/>
  <c r="H61" i="2"/>
  <c r="I61" i="2"/>
  <c r="B62" i="2"/>
  <c r="C62" i="2"/>
  <c r="D62" i="2"/>
  <c r="E62" i="2"/>
  <c r="F62" i="2"/>
  <c r="G62" i="2"/>
  <c r="H62" i="2"/>
  <c r="I62" i="2"/>
  <c r="B63" i="2"/>
  <c r="C63" i="2"/>
  <c r="D63" i="2"/>
  <c r="E63" i="2"/>
  <c r="F63" i="2"/>
  <c r="G63" i="2"/>
  <c r="H63" i="2"/>
  <c r="I63" i="2"/>
  <c r="B64" i="2"/>
  <c r="C64" i="2"/>
  <c r="D64" i="2"/>
  <c r="E64" i="2"/>
  <c r="F64" i="2"/>
  <c r="G64" i="2"/>
  <c r="H64" i="2"/>
  <c r="I64" i="2"/>
  <c r="B65" i="2"/>
  <c r="C65" i="2"/>
  <c r="D65" i="2"/>
  <c r="E65" i="2"/>
  <c r="F65" i="2"/>
  <c r="G65" i="2"/>
  <c r="H65" i="2"/>
  <c r="I65" i="2"/>
  <c r="B66" i="2"/>
  <c r="C66" i="2"/>
  <c r="D66" i="2"/>
  <c r="E66" i="2"/>
  <c r="F66" i="2"/>
  <c r="G66" i="2"/>
  <c r="H66" i="2"/>
  <c r="I66" i="2"/>
  <c r="B67" i="2"/>
  <c r="C67" i="2"/>
  <c r="D67" i="2"/>
  <c r="E67" i="2"/>
  <c r="F67" i="2"/>
  <c r="G67" i="2"/>
  <c r="H67" i="2"/>
  <c r="I67" i="2"/>
  <c r="B68" i="2"/>
  <c r="C68" i="2"/>
  <c r="D68" i="2"/>
  <c r="E68" i="2"/>
  <c r="F68" i="2"/>
  <c r="G68" i="2"/>
  <c r="H68" i="2"/>
  <c r="I68" i="2"/>
  <c r="B69" i="2"/>
  <c r="C69" i="2"/>
  <c r="D69" i="2"/>
  <c r="E69" i="2"/>
  <c r="F69" i="2"/>
  <c r="G69" i="2"/>
  <c r="H69" i="2"/>
  <c r="I69" i="2"/>
  <c r="B70" i="2"/>
  <c r="C70" i="2"/>
  <c r="D70" i="2"/>
  <c r="E70" i="2"/>
  <c r="F70" i="2"/>
  <c r="G70" i="2"/>
  <c r="H70" i="2"/>
  <c r="I70" i="2"/>
  <c r="B71" i="2"/>
  <c r="C71" i="2"/>
  <c r="D71" i="2"/>
  <c r="E71" i="2"/>
  <c r="F71" i="2"/>
  <c r="G71" i="2"/>
  <c r="H71" i="2"/>
  <c r="I71" i="2"/>
  <c r="B72" i="2"/>
  <c r="C72" i="2"/>
  <c r="D72" i="2"/>
  <c r="E72" i="2"/>
  <c r="F72" i="2"/>
  <c r="G72" i="2"/>
  <c r="H72" i="2"/>
  <c r="I72" i="2"/>
  <c r="B73" i="2"/>
  <c r="C73" i="2"/>
  <c r="D73" i="2"/>
  <c r="E73" i="2"/>
  <c r="F73" i="2"/>
  <c r="G73" i="2"/>
  <c r="H73" i="2"/>
  <c r="I73" i="2"/>
  <c r="B74" i="2"/>
  <c r="C74" i="2"/>
  <c r="D74" i="2"/>
  <c r="E74" i="2"/>
  <c r="F74" i="2"/>
  <c r="G74" i="2"/>
  <c r="H74" i="2"/>
  <c r="I74" i="2"/>
  <c r="B75" i="2"/>
  <c r="C75" i="2"/>
  <c r="D75" i="2"/>
  <c r="E75" i="2"/>
  <c r="F75" i="2"/>
  <c r="G75" i="2"/>
  <c r="H75" i="2"/>
  <c r="I75" i="2"/>
  <c r="B76" i="2"/>
  <c r="C76" i="2"/>
  <c r="D76" i="2"/>
  <c r="E76" i="2"/>
  <c r="F76" i="2"/>
  <c r="G76" i="2"/>
  <c r="H76" i="2"/>
  <c r="I76" i="2"/>
  <c r="B77" i="2"/>
  <c r="C77" i="2"/>
  <c r="D77" i="2"/>
  <c r="E77" i="2"/>
  <c r="F77" i="2"/>
  <c r="G77" i="2"/>
  <c r="H77" i="2"/>
  <c r="I77" i="2"/>
  <c r="B78" i="2"/>
  <c r="C78" i="2"/>
  <c r="D78" i="2"/>
  <c r="E78" i="2"/>
  <c r="F78" i="2"/>
  <c r="G78" i="2"/>
  <c r="H78" i="2"/>
  <c r="I78" i="2"/>
  <c r="B79" i="2"/>
  <c r="C79" i="2"/>
  <c r="D79" i="2"/>
  <c r="E79" i="2"/>
  <c r="F79" i="2"/>
  <c r="G79" i="2"/>
  <c r="H79" i="2"/>
  <c r="I79" i="2"/>
  <c r="B80" i="2"/>
  <c r="C80" i="2"/>
  <c r="D80" i="2"/>
  <c r="E80" i="2"/>
  <c r="F80" i="2"/>
  <c r="G80" i="2"/>
  <c r="H80" i="2"/>
  <c r="I80" i="2"/>
  <c r="B81" i="2"/>
  <c r="C81" i="2"/>
  <c r="D81" i="2"/>
  <c r="E81" i="2"/>
  <c r="F81" i="2"/>
  <c r="G81" i="2"/>
  <c r="H81" i="2"/>
  <c r="I81" i="2"/>
  <c r="B82" i="2"/>
  <c r="C82" i="2"/>
  <c r="D82" i="2"/>
  <c r="E82" i="2"/>
  <c r="F82" i="2"/>
  <c r="G82" i="2"/>
  <c r="H82" i="2"/>
  <c r="I82" i="2"/>
  <c r="B83" i="2"/>
  <c r="C83" i="2"/>
  <c r="D83" i="2"/>
  <c r="E83" i="2"/>
  <c r="F83" i="2"/>
  <c r="G83" i="2"/>
  <c r="H83" i="2"/>
  <c r="I83" i="2"/>
  <c r="B84" i="2"/>
  <c r="C84" i="2"/>
  <c r="D84" i="2"/>
  <c r="E84" i="2"/>
  <c r="F84" i="2"/>
  <c r="G84" i="2"/>
  <c r="H84" i="2"/>
  <c r="I84" i="2"/>
  <c r="B85" i="2"/>
  <c r="C85" i="2"/>
  <c r="D85" i="2"/>
  <c r="E85" i="2"/>
  <c r="F85" i="2"/>
  <c r="G85" i="2"/>
  <c r="H85" i="2"/>
  <c r="I85" i="2"/>
  <c r="B86" i="2"/>
  <c r="C86" i="2"/>
  <c r="D86" i="2"/>
  <c r="E86" i="2"/>
  <c r="F86" i="2"/>
  <c r="G86" i="2"/>
  <c r="H86" i="2"/>
  <c r="I86" i="2"/>
  <c r="B87" i="2"/>
  <c r="C87" i="2"/>
  <c r="D87" i="2"/>
  <c r="E87" i="2"/>
  <c r="F87" i="2"/>
  <c r="G87" i="2"/>
  <c r="H87" i="2"/>
  <c r="I87" i="2"/>
  <c r="B88" i="2"/>
  <c r="C88" i="2"/>
  <c r="D88" i="2"/>
  <c r="E88" i="2"/>
  <c r="F88" i="2"/>
  <c r="G88" i="2"/>
  <c r="H88" i="2"/>
  <c r="I88" i="2"/>
  <c r="B89" i="2"/>
  <c r="C89" i="2"/>
  <c r="D89" i="2"/>
  <c r="E89" i="2"/>
  <c r="F89" i="2"/>
  <c r="G89" i="2"/>
  <c r="H89" i="2"/>
  <c r="I89" i="2"/>
  <c r="B90" i="2"/>
  <c r="C90" i="2"/>
  <c r="D90" i="2"/>
  <c r="E90" i="2"/>
  <c r="F90" i="2"/>
  <c r="G90" i="2"/>
  <c r="H90" i="2"/>
  <c r="I90" i="2"/>
  <c r="B91" i="2"/>
  <c r="C91" i="2"/>
  <c r="D91" i="2"/>
  <c r="E91" i="2"/>
  <c r="F91" i="2"/>
  <c r="G91" i="2"/>
  <c r="H91" i="2"/>
  <c r="I91" i="2"/>
  <c r="B92" i="2"/>
  <c r="C92" i="2"/>
  <c r="D92" i="2"/>
  <c r="E92" i="2"/>
  <c r="F92" i="2"/>
  <c r="G92" i="2"/>
  <c r="H92" i="2"/>
  <c r="I92" i="2"/>
  <c r="B93" i="2"/>
  <c r="C93" i="2"/>
  <c r="D93" i="2"/>
  <c r="E93" i="2"/>
  <c r="F93" i="2"/>
  <c r="G93" i="2"/>
  <c r="H93" i="2"/>
  <c r="I93" i="2"/>
  <c r="B94" i="2"/>
  <c r="C94" i="2"/>
  <c r="D94" i="2"/>
  <c r="E94" i="2"/>
  <c r="F94" i="2"/>
  <c r="G94" i="2"/>
  <c r="H94" i="2"/>
  <c r="I94" i="2"/>
  <c r="B95" i="2"/>
  <c r="C95" i="2"/>
  <c r="D95" i="2"/>
  <c r="E95" i="2"/>
  <c r="F95" i="2"/>
  <c r="G95" i="2"/>
  <c r="H95" i="2"/>
  <c r="I95" i="2"/>
  <c r="B96" i="2"/>
  <c r="C96" i="2"/>
  <c r="D96" i="2"/>
  <c r="E96" i="2"/>
  <c r="F96" i="2"/>
  <c r="G96" i="2"/>
  <c r="H96" i="2"/>
  <c r="I96" i="2"/>
  <c r="B97" i="2"/>
  <c r="C97" i="2"/>
  <c r="D97" i="2"/>
  <c r="E97" i="2"/>
  <c r="F97" i="2"/>
  <c r="G97" i="2"/>
  <c r="H97" i="2"/>
  <c r="I97" i="2"/>
  <c r="B98" i="2"/>
  <c r="C98" i="2"/>
  <c r="D98" i="2"/>
  <c r="E98" i="2"/>
  <c r="F98" i="2"/>
  <c r="G98" i="2"/>
  <c r="H98" i="2"/>
  <c r="I98" i="2"/>
  <c r="B99" i="2"/>
  <c r="C99" i="2"/>
  <c r="D99" i="2"/>
  <c r="E99" i="2"/>
  <c r="F99" i="2"/>
  <c r="G99" i="2"/>
  <c r="H99" i="2"/>
  <c r="I99" i="2"/>
  <c r="B100" i="2"/>
  <c r="C100" i="2"/>
  <c r="D100" i="2"/>
  <c r="E100" i="2"/>
  <c r="F100" i="2"/>
  <c r="G100" i="2"/>
  <c r="H100" i="2"/>
  <c r="I100" i="2"/>
  <c r="B101" i="2"/>
  <c r="C101" i="2"/>
  <c r="D101" i="2"/>
  <c r="E101" i="2"/>
  <c r="F101" i="2"/>
  <c r="G101" i="2"/>
  <c r="H101" i="2"/>
  <c r="I101" i="2"/>
  <c r="B102" i="2"/>
  <c r="C102" i="2"/>
  <c r="D102" i="2"/>
  <c r="E102" i="2"/>
  <c r="F102" i="2"/>
  <c r="G102" i="2"/>
  <c r="H102" i="2"/>
  <c r="I102" i="2"/>
  <c r="B103" i="2"/>
  <c r="C103" i="2"/>
  <c r="D103" i="2"/>
  <c r="E103" i="2"/>
  <c r="F103" i="2"/>
  <c r="G103" i="2"/>
  <c r="H103" i="2"/>
  <c r="I103" i="2"/>
  <c r="B104" i="2"/>
  <c r="C104" i="2"/>
  <c r="D104" i="2"/>
  <c r="E104" i="2"/>
  <c r="F104" i="2"/>
  <c r="G104" i="2"/>
  <c r="H104" i="2"/>
  <c r="I104" i="2"/>
  <c r="B105" i="2"/>
  <c r="C105" i="2"/>
  <c r="D105" i="2"/>
  <c r="E105" i="2"/>
  <c r="F105" i="2"/>
  <c r="G105" i="2"/>
  <c r="H105" i="2"/>
  <c r="I105" i="2"/>
  <c r="B106" i="2"/>
  <c r="C106" i="2"/>
  <c r="D106" i="2"/>
  <c r="E106" i="2"/>
  <c r="F106" i="2"/>
  <c r="G106" i="2"/>
  <c r="H106" i="2"/>
  <c r="I106" i="2"/>
  <c r="B107" i="2"/>
  <c r="C107" i="2"/>
  <c r="D107" i="2"/>
  <c r="E107" i="2"/>
  <c r="F107" i="2"/>
  <c r="G107" i="2"/>
  <c r="H107" i="2"/>
  <c r="I107" i="2"/>
  <c r="B108" i="2"/>
  <c r="C108" i="2"/>
  <c r="D108" i="2"/>
  <c r="E108" i="2"/>
  <c r="F108" i="2"/>
  <c r="G108" i="2"/>
  <c r="H108" i="2"/>
  <c r="I108" i="2"/>
  <c r="B109" i="2"/>
  <c r="C109" i="2"/>
  <c r="D109" i="2"/>
  <c r="E109" i="2"/>
  <c r="F109" i="2"/>
  <c r="G109" i="2"/>
  <c r="H109" i="2"/>
  <c r="I109" i="2"/>
  <c r="B110" i="2"/>
  <c r="C110" i="2"/>
  <c r="D110" i="2"/>
  <c r="E110" i="2"/>
  <c r="F110" i="2"/>
  <c r="G110" i="2"/>
  <c r="H110" i="2"/>
  <c r="I110" i="2"/>
  <c r="B111" i="2"/>
  <c r="C111" i="2"/>
  <c r="D111" i="2"/>
  <c r="E111" i="2"/>
  <c r="F111" i="2"/>
  <c r="G111" i="2"/>
  <c r="H111" i="2"/>
  <c r="I111" i="2"/>
  <c r="B112" i="2"/>
  <c r="C112" i="2"/>
  <c r="D112" i="2"/>
  <c r="E112" i="2"/>
  <c r="F112" i="2"/>
  <c r="G112" i="2"/>
  <c r="H112" i="2"/>
  <c r="I112" i="2"/>
  <c r="B113" i="2"/>
  <c r="C113" i="2"/>
  <c r="D113" i="2"/>
  <c r="E113" i="2"/>
  <c r="F113" i="2"/>
  <c r="G113" i="2"/>
  <c r="H113" i="2"/>
  <c r="I113" i="2"/>
  <c r="B114" i="2"/>
  <c r="C114" i="2"/>
  <c r="D114" i="2"/>
  <c r="E114" i="2"/>
  <c r="F114" i="2"/>
  <c r="G114" i="2"/>
  <c r="H114" i="2"/>
  <c r="I114" i="2"/>
  <c r="B115" i="2"/>
  <c r="C115" i="2"/>
  <c r="D115" i="2"/>
  <c r="E115" i="2"/>
  <c r="F115" i="2"/>
  <c r="G115" i="2"/>
  <c r="H115" i="2"/>
  <c r="I115" i="2"/>
  <c r="B116" i="2"/>
  <c r="C116" i="2"/>
  <c r="D116" i="2"/>
  <c r="E116" i="2"/>
  <c r="F116" i="2"/>
  <c r="G116" i="2"/>
  <c r="H116" i="2"/>
  <c r="I116" i="2"/>
  <c r="B117" i="2"/>
  <c r="C117" i="2"/>
  <c r="D117" i="2"/>
  <c r="E117" i="2"/>
  <c r="F117" i="2"/>
  <c r="G117" i="2"/>
  <c r="H117" i="2"/>
  <c r="I117" i="2"/>
  <c r="B118" i="2"/>
  <c r="C118" i="2"/>
  <c r="D118" i="2"/>
  <c r="E118" i="2"/>
  <c r="F118" i="2"/>
  <c r="G118" i="2"/>
  <c r="H118" i="2"/>
  <c r="I118" i="2"/>
  <c r="B119" i="2"/>
  <c r="C119" i="2"/>
  <c r="D119" i="2"/>
  <c r="E119" i="2"/>
  <c r="F119" i="2"/>
  <c r="G119" i="2"/>
  <c r="H119" i="2"/>
  <c r="I119" i="2"/>
  <c r="B120" i="2"/>
  <c r="C120" i="2"/>
  <c r="D120" i="2"/>
  <c r="E120" i="2"/>
  <c r="F120" i="2"/>
  <c r="G120" i="2"/>
  <c r="H120" i="2"/>
  <c r="I120" i="2"/>
  <c r="B121" i="2"/>
  <c r="C121" i="2"/>
  <c r="D121" i="2"/>
  <c r="E121" i="2"/>
  <c r="F121" i="2"/>
  <c r="G121" i="2"/>
  <c r="H121" i="2"/>
  <c r="I121" i="2"/>
  <c r="B122" i="2"/>
  <c r="C122" i="2"/>
  <c r="D122" i="2"/>
  <c r="E122" i="2"/>
  <c r="F122" i="2"/>
  <c r="G122" i="2"/>
  <c r="H122" i="2"/>
  <c r="I122" i="2"/>
  <c r="B123" i="2"/>
  <c r="C123" i="2"/>
  <c r="D123" i="2"/>
  <c r="E123" i="2"/>
  <c r="F123" i="2"/>
  <c r="G123" i="2"/>
  <c r="H123" i="2"/>
  <c r="I123" i="2"/>
  <c r="B124" i="2"/>
  <c r="C124" i="2"/>
  <c r="D124" i="2"/>
  <c r="E124" i="2"/>
  <c r="F124" i="2"/>
  <c r="G124" i="2"/>
  <c r="H124" i="2"/>
  <c r="I124" i="2"/>
  <c r="B125" i="2"/>
  <c r="C125" i="2"/>
  <c r="D125" i="2"/>
  <c r="E125" i="2"/>
  <c r="F125" i="2"/>
  <c r="G125" i="2"/>
  <c r="H125" i="2"/>
  <c r="I125" i="2"/>
  <c r="B126" i="2"/>
  <c r="C126" i="2"/>
  <c r="D126" i="2"/>
  <c r="E126" i="2"/>
  <c r="F126" i="2"/>
  <c r="G126" i="2"/>
  <c r="H126" i="2"/>
  <c r="I126" i="2"/>
  <c r="B127" i="2"/>
  <c r="C127" i="2"/>
  <c r="D127" i="2"/>
  <c r="E127" i="2"/>
  <c r="F127" i="2"/>
  <c r="G127" i="2"/>
  <c r="H127" i="2"/>
  <c r="I127" i="2"/>
  <c r="B128" i="2"/>
  <c r="C128" i="2"/>
  <c r="D128" i="2"/>
  <c r="E128" i="2"/>
  <c r="F128" i="2"/>
  <c r="G128" i="2"/>
  <c r="H128" i="2"/>
  <c r="I128" i="2"/>
  <c r="B129" i="2"/>
  <c r="C129" i="2"/>
  <c r="D129" i="2"/>
  <c r="E129" i="2"/>
  <c r="F129" i="2"/>
  <c r="G129" i="2"/>
  <c r="H129" i="2"/>
  <c r="I129" i="2"/>
  <c r="B130" i="2"/>
  <c r="C130" i="2"/>
  <c r="D130" i="2"/>
  <c r="E130" i="2"/>
  <c r="F130" i="2"/>
  <c r="G130" i="2"/>
  <c r="H130" i="2"/>
  <c r="I130" i="2"/>
  <c r="B131" i="2"/>
  <c r="C131" i="2"/>
  <c r="D131" i="2"/>
  <c r="E131" i="2"/>
  <c r="F131" i="2"/>
  <c r="G131" i="2"/>
  <c r="H131" i="2"/>
  <c r="I131" i="2"/>
  <c r="B132" i="2"/>
  <c r="C132" i="2"/>
  <c r="D132" i="2"/>
  <c r="E132" i="2"/>
  <c r="F132" i="2"/>
  <c r="G132" i="2"/>
  <c r="H132" i="2"/>
  <c r="I132" i="2"/>
  <c r="B133" i="2"/>
  <c r="C133" i="2"/>
  <c r="D133" i="2"/>
  <c r="E133" i="2"/>
  <c r="F133" i="2"/>
  <c r="G133" i="2"/>
  <c r="H133" i="2"/>
  <c r="I133" i="2"/>
  <c r="B134" i="2"/>
  <c r="C134" i="2"/>
  <c r="D134" i="2"/>
  <c r="E134" i="2"/>
  <c r="F134" i="2"/>
  <c r="G134" i="2"/>
  <c r="H134" i="2"/>
  <c r="I134" i="2"/>
  <c r="B135" i="2"/>
  <c r="C135" i="2"/>
  <c r="D135" i="2"/>
  <c r="E135" i="2"/>
  <c r="F135" i="2"/>
  <c r="G135" i="2"/>
  <c r="H135" i="2"/>
  <c r="I135" i="2"/>
  <c r="B136" i="2"/>
  <c r="C136" i="2"/>
  <c r="D136" i="2"/>
  <c r="E136" i="2"/>
  <c r="F136" i="2"/>
  <c r="G136" i="2"/>
  <c r="H136" i="2"/>
  <c r="I136" i="2"/>
  <c r="B137" i="2"/>
  <c r="C137" i="2"/>
  <c r="D137" i="2"/>
  <c r="E137" i="2"/>
  <c r="F137" i="2"/>
  <c r="G137" i="2"/>
  <c r="H137" i="2"/>
  <c r="I137" i="2"/>
  <c r="B138" i="2"/>
  <c r="C138" i="2"/>
  <c r="D138" i="2"/>
  <c r="E138" i="2"/>
  <c r="F138" i="2"/>
  <c r="G138" i="2"/>
  <c r="H138" i="2"/>
  <c r="I138" i="2"/>
  <c r="B139" i="2"/>
  <c r="C139" i="2"/>
  <c r="D139" i="2"/>
  <c r="E139" i="2"/>
  <c r="F139" i="2"/>
  <c r="G139" i="2"/>
  <c r="H139" i="2"/>
  <c r="I139" i="2"/>
  <c r="B140" i="2"/>
  <c r="C140" i="2"/>
  <c r="D140" i="2"/>
  <c r="E140" i="2"/>
  <c r="F140" i="2"/>
  <c r="G140" i="2"/>
  <c r="H140" i="2"/>
  <c r="I140" i="2"/>
  <c r="B141" i="2"/>
  <c r="C141" i="2"/>
  <c r="D141" i="2"/>
  <c r="E141" i="2"/>
  <c r="F141" i="2"/>
  <c r="G141" i="2"/>
  <c r="H141" i="2"/>
  <c r="I141" i="2"/>
  <c r="B142" i="2"/>
  <c r="C142" i="2"/>
  <c r="D142" i="2"/>
  <c r="E142" i="2"/>
  <c r="F142" i="2"/>
  <c r="G142" i="2"/>
  <c r="H142" i="2"/>
  <c r="I142" i="2"/>
  <c r="B143" i="2"/>
  <c r="C143" i="2"/>
  <c r="D143" i="2"/>
  <c r="E143" i="2"/>
  <c r="F143" i="2"/>
  <c r="G143" i="2"/>
  <c r="H143" i="2"/>
  <c r="I143" i="2"/>
  <c r="B144" i="2"/>
  <c r="C144" i="2"/>
  <c r="D144" i="2"/>
  <c r="E144" i="2"/>
  <c r="F144" i="2"/>
  <c r="G144" i="2"/>
  <c r="H144" i="2"/>
  <c r="I144" i="2"/>
  <c r="B145" i="2"/>
  <c r="C145" i="2"/>
  <c r="D145" i="2"/>
  <c r="E145" i="2"/>
  <c r="F145" i="2"/>
  <c r="G145" i="2"/>
  <c r="H145" i="2"/>
  <c r="I145" i="2"/>
  <c r="B146" i="2"/>
  <c r="C146" i="2"/>
  <c r="D146" i="2"/>
  <c r="E146" i="2"/>
  <c r="F146" i="2"/>
  <c r="G146" i="2"/>
  <c r="H146" i="2"/>
  <c r="I146" i="2"/>
  <c r="B147" i="2"/>
  <c r="C147" i="2"/>
  <c r="D147" i="2"/>
  <c r="E147" i="2"/>
  <c r="F147" i="2"/>
  <c r="G147" i="2"/>
  <c r="H147" i="2"/>
  <c r="I147" i="2"/>
  <c r="B148" i="2"/>
  <c r="C148" i="2"/>
  <c r="D148" i="2"/>
  <c r="E148" i="2"/>
  <c r="F148" i="2"/>
  <c r="G148" i="2"/>
  <c r="H148" i="2"/>
  <c r="I148" i="2"/>
  <c r="B149" i="2"/>
  <c r="C149" i="2"/>
  <c r="D149" i="2"/>
  <c r="E149" i="2"/>
  <c r="F149" i="2"/>
  <c r="G149" i="2"/>
  <c r="H149" i="2"/>
  <c r="I149" i="2"/>
  <c r="B150" i="2"/>
  <c r="C150" i="2"/>
  <c r="D150" i="2"/>
  <c r="E150" i="2"/>
  <c r="F150" i="2"/>
  <c r="G150" i="2"/>
  <c r="H150" i="2"/>
  <c r="I150" i="2"/>
  <c r="B151" i="2"/>
  <c r="C151" i="2"/>
  <c r="D151" i="2"/>
  <c r="E151" i="2"/>
  <c r="F151" i="2"/>
  <c r="G151" i="2"/>
  <c r="H151" i="2"/>
  <c r="I151" i="2"/>
  <c r="B152" i="2"/>
  <c r="C152" i="2"/>
  <c r="D152" i="2"/>
  <c r="E152" i="2"/>
  <c r="F152" i="2"/>
  <c r="G152" i="2"/>
  <c r="H152" i="2"/>
  <c r="I152" i="2"/>
  <c r="B153" i="2"/>
  <c r="C153" i="2"/>
  <c r="D153" i="2"/>
  <c r="E153" i="2"/>
  <c r="F153" i="2"/>
  <c r="G153" i="2"/>
  <c r="H153" i="2"/>
  <c r="I153" i="2"/>
  <c r="B154" i="2"/>
  <c r="C154" i="2"/>
  <c r="D154" i="2"/>
  <c r="E154" i="2"/>
  <c r="F154" i="2"/>
  <c r="G154" i="2"/>
  <c r="H154" i="2"/>
  <c r="I154" i="2"/>
  <c r="B155" i="2"/>
  <c r="C155" i="2"/>
  <c r="D155" i="2"/>
  <c r="E155" i="2"/>
  <c r="F155" i="2"/>
  <c r="G155" i="2"/>
  <c r="H155" i="2"/>
  <c r="I155" i="2"/>
  <c r="B156" i="2"/>
  <c r="C156" i="2"/>
  <c r="D156" i="2"/>
  <c r="E156" i="2"/>
  <c r="F156" i="2"/>
  <c r="G156" i="2"/>
  <c r="H156" i="2"/>
  <c r="I156" i="2"/>
  <c r="B157" i="2"/>
  <c r="C157" i="2"/>
  <c r="D157" i="2"/>
  <c r="E157" i="2"/>
  <c r="F157" i="2"/>
  <c r="G157" i="2"/>
  <c r="H157" i="2"/>
  <c r="I157" i="2"/>
  <c r="B158" i="2"/>
  <c r="C158" i="2"/>
  <c r="D158" i="2"/>
  <c r="E158" i="2"/>
  <c r="F158" i="2"/>
  <c r="G158" i="2"/>
  <c r="H158" i="2"/>
  <c r="I158" i="2"/>
  <c r="B159" i="2"/>
  <c r="C159" i="2"/>
  <c r="D159" i="2"/>
  <c r="E159" i="2"/>
  <c r="F159" i="2"/>
  <c r="G159" i="2"/>
  <c r="H159" i="2"/>
  <c r="I159" i="2"/>
  <c r="B160" i="2"/>
  <c r="C160" i="2"/>
  <c r="D160" i="2"/>
  <c r="E160" i="2"/>
  <c r="F160" i="2"/>
  <c r="G160" i="2"/>
  <c r="H160" i="2"/>
  <c r="I160" i="2"/>
  <c r="B161" i="2"/>
  <c r="C161" i="2"/>
  <c r="D161" i="2"/>
  <c r="E161" i="2"/>
  <c r="F161" i="2"/>
  <c r="G161" i="2"/>
  <c r="H161" i="2"/>
  <c r="I161" i="2"/>
  <c r="B162" i="2"/>
  <c r="C162" i="2"/>
  <c r="D162" i="2"/>
  <c r="E162" i="2"/>
  <c r="F162" i="2"/>
  <c r="G162" i="2"/>
  <c r="H162" i="2"/>
  <c r="I162" i="2"/>
  <c r="B163" i="2"/>
  <c r="C163" i="2"/>
  <c r="D163" i="2"/>
  <c r="E163" i="2"/>
  <c r="F163" i="2"/>
  <c r="G163" i="2"/>
  <c r="H163" i="2"/>
  <c r="I163" i="2"/>
  <c r="B164" i="2"/>
  <c r="C164" i="2"/>
  <c r="D164" i="2"/>
  <c r="E164" i="2"/>
  <c r="F164" i="2"/>
  <c r="G164" i="2"/>
  <c r="H164" i="2"/>
  <c r="I164" i="2"/>
  <c r="B165" i="2"/>
  <c r="C165" i="2"/>
  <c r="D165" i="2"/>
  <c r="E165" i="2"/>
  <c r="F165" i="2"/>
  <c r="G165" i="2"/>
  <c r="H165" i="2"/>
  <c r="I165" i="2"/>
  <c r="B166" i="2"/>
  <c r="C166" i="2"/>
  <c r="D166" i="2"/>
  <c r="E166" i="2"/>
  <c r="F166" i="2"/>
  <c r="G166" i="2"/>
  <c r="H166" i="2"/>
  <c r="I166" i="2"/>
  <c r="B167" i="2"/>
  <c r="C167" i="2"/>
  <c r="D167" i="2"/>
  <c r="E167" i="2"/>
  <c r="F167" i="2"/>
  <c r="G167" i="2"/>
  <c r="H167" i="2"/>
  <c r="I167" i="2"/>
  <c r="B168" i="2"/>
  <c r="C168" i="2"/>
  <c r="D168" i="2"/>
  <c r="E168" i="2"/>
  <c r="F168" i="2"/>
  <c r="G168" i="2"/>
  <c r="H168" i="2"/>
  <c r="I168" i="2"/>
  <c r="B169" i="2"/>
  <c r="C169" i="2"/>
  <c r="D169" i="2"/>
  <c r="E169" i="2"/>
  <c r="F169" i="2"/>
  <c r="G169" i="2"/>
  <c r="H169" i="2"/>
  <c r="I169" i="2"/>
  <c r="B170" i="2"/>
  <c r="C170" i="2"/>
  <c r="D170" i="2"/>
  <c r="E170" i="2"/>
  <c r="F170" i="2"/>
  <c r="G170" i="2"/>
  <c r="H170" i="2"/>
  <c r="I170" i="2"/>
  <c r="B171" i="2"/>
  <c r="C171" i="2"/>
  <c r="D171" i="2"/>
  <c r="E171" i="2"/>
  <c r="F171" i="2"/>
  <c r="G171" i="2"/>
  <c r="H171" i="2"/>
  <c r="I171" i="2"/>
  <c r="B172" i="2"/>
  <c r="C172" i="2"/>
  <c r="D172" i="2"/>
  <c r="E172" i="2"/>
  <c r="F172" i="2"/>
  <c r="G172" i="2"/>
  <c r="H172" i="2"/>
  <c r="I172" i="2"/>
  <c r="B173" i="2"/>
  <c r="C173" i="2"/>
  <c r="D173" i="2"/>
  <c r="E173" i="2"/>
  <c r="F173" i="2"/>
  <c r="G173" i="2"/>
  <c r="H173" i="2"/>
  <c r="I173" i="2"/>
  <c r="B174" i="2"/>
  <c r="C174" i="2"/>
  <c r="D174" i="2"/>
  <c r="E174" i="2"/>
  <c r="F174" i="2"/>
  <c r="G174" i="2"/>
  <c r="H174" i="2"/>
  <c r="I174" i="2"/>
  <c r="B175" i="2"/>
  <c r="C175" i="2"/>
  <c r="D175" i="2"/>
  <c r="E175" i="2"/>
  <c r="F175" i="2"/>
  <c r="G175" i="2"/>
  <c r="H175" i="2"/>
  <c r="I175" i="2"/>
  <c r="B176" i="2"/>
  <c r="C176" i="2"/>
  <c r="D176" i="2"/>
  <c r="E176" i="2"/>
  <c r="F176" i="2"/>
  <c r="G176" i="2"/>
  <c r="H176" i="2"/>
  <c r="I176" i="2"/>
  <c r="B177" i="2"/>
  <c r="C177" i="2"/>
  <c r="D177" i="2"/>
  <c r="E177" i="2"/>
  <c r="F177" i="2"/>
  <c r="G177" i="2"/>
  <c r="H177" i="2"/>
  <c r="I177" i="2"/>
  <c r="B178" i="2"/>
  <c r="C178" i="2"/>
  <c r="D178" i="2"/>
  <c r="E178" i="2"/>
  <c r="F178" i="2"/>
  <c r="G178" i="2"/>
  <c r="H178" i="2"/>
  <c r="I178" i="2"/>
  <c r="B179" i="2"/>
  <c r="C179" i="2"/>
  <c r="D179" i="2"/>
  <c r="E179" i="2"/>
  <c r="F179" i="2"/>
  <c r="G179" i="2"/>
  <c r="H179" i="2"/>
  <c r="I179" i="2"/>
  <c r="B180" i="2"/>
  <c r="C180" i="2"/>
  <c r="D180" i="2"/>
  <c r="E180" i="2"/>
  <c r="F180" i="2"/>
  <c r="G180" i="2"/>
  <c r="H180" i="2"/>
  <c r="I180" i="2"/>
  <c r="B181" i="2"/>
  <c r="C181" i="2"/>
  <c r="D181" i="2"/>
  <c r="E181" i="2"/>
  <c r="F181" i="2"/>
  <c r="G181" i="2"/>
  <c r="H181" i="2"/>
  <c r="I181" i="2"/>
  <c r="B182" i="2"/>
  <c r="C182" i="2"/>
  <c r="D182" i="2"/>
  <c r="E182" i="2"/>
  <c r="F182" i="2"/>
  <c r="G182" i="2"/>
  <c r="H182" i="2"/>
  <c r="I182" i="2"/>
  <c r="B183" i="2"/>
  <c r="C183" i="2"/>
  <c r="D183" i="2"/>
  <c r="E183" i="2"/>
  <c r="F183" i="2"/>
  <c r="G183" i="2"/>
  <c r="H183" i="2"/>
  <c r="I183" i="2"/>
  <c r="B184" i="2"/>
  <c r="C184" i="2"/>
  <c r="D184" i="2"/>
  <c r="E184" i="2"/>
  <c r="F184" i="2"/>
  <c r="G184" i="2"/>
  <c r="H184" i="2"/>
  <c r="I184" i="2"/>
  <c r="B185" i="2"/>
  <c r="C185" i="2"/>
  <c r="D185" i="2"/>
  <c r="E185" i="2"/>
  <c r="F185" i="2"/>
  <c r="G185" i="2"/>
  <c r="H185" i="2"/>
  <c r="I185" i="2"/>
  <c r="B186" i="2"/>
  <c r="C186" i="2"/>
  <c r="D186" i="2"/>
  <c r="E186" i="2"/>
  <c r="F186" i="2"/>
  <c r="G186" i="2"/>
  <c r="H186" i="2"/>
  <c r="I186" i="2"/>
  <c r="B187" i="2"/>
  <c r="C187" i="2"/>
  <c r="D187" i="2"/>
  <c r="E187" i="2"/>
  <c r="F187" i="2"/>
  <c r="G187" i="2"/>
  <c r="H187" i="2"/>
  <c r="I187" i="2"/>
  <c r="B188" i="2"/>
  <c r="C188" i="2"/>
  <c r="D188" i="2"/>
  <c r="E188" i="2"/>
  <c r="F188" i="2"/>
  <c r="G188" i="2"/>
  <c r="H188" i="2"/>
  <c r="I188" i="2"/>
  <c r="B189" i="2"/>
  <c r="C189" i="2"/>
  <c r="D189" i="2"/>
  <c r="E189" i="2"/>
  <c r="F189" i="2"/>
  <c r="G189" i="2"/>
  <c r="H189" i="2"/>
  <c r="I189" i="2"/>
  <c r="B190" i="2"/>
  <c r="C190" i="2"/>
  <c r="D190" i="2"/>
  <c r="E190" i="2"/>
  <c r="F190" i="2"/>
  <c r="G190" i="2"/>
  <c r="H190" i="2"/>
  <c r="I190" i="2"/>
  <c r="B191" i="2"/>
  <c r="C191" i="2"/>
  <c r="D191" i="2"/>
  <c r="E191" i="2"/>
  <c r="F191" i="2"/>
  <c r="G191" i="2"/>
  <c r="H191" i="2"/>
  <c r="I191" i="2"/>
  <c r="B192" i="2"/>
  <c r="C192" i="2"/>
  <c r="D192" i="2"/>
  <c r="E192" i="2"/>
  <c r="F192" i="2"/>
  <c r="G192" i="2"/>
  <c r="H192" i="2"/>
  <c r="I192" i="2"/>
  <c r="B193" i="2"/>
  <c r="C193" i="2"/>
  <c r="D193" i="2"/>
  <c r="E193" i="2"/>
  <c r="F193" i="2"/>
  <c r="G193" i="2"/>
  <c r="H193" i="2"/>
  <c r="I193" i="2"/>
  <c r="B194" i="2"/>
  <c r="C194" i="2"/>
  <c r="D194" i="2"/>
  <c r="E194" i="2"/>
  <c r="F194" i="2"/>
  <c r="G194" i="2"/>
  <c r="H194" i="2"/>
  <c r="I194" i="2"/>
  <c r="B195" i="2"/>
  <c r="C195" i="2"/>
  <c r="D195" i="2"/>
  <c r="E195" i="2"/>
  <c r="F195" i="2"/>
  <c r="G195" i="2"/>
  <c r="H195" i="2"/>
  <c r="I195" i="2"/>
  <c r="B196" i="2"/>
  <c r="C196" i="2"/>
  <c r="D196" i="2"/>
  <c r="E196" i="2"/>
  <c r="F196" i="2"/>
  <c r="G196" i="2"/>
  <c r="H196" i="2"/>
  <c r="I196" i="2"/>
  <c r="B197" i="2"/>
  <c r="C197" i="2"/>
  <c r="D197" i="2"/>
  <c r="E197" i="2"/>
  <c r="F197" i="2"/>
  <c r="G197" i="2"/>
  <c r="H197" i="2"/>
  <c r="I197" i="2"/>
  <c r="B198" i="2"/>
  <c r="C198" i="2"/>
  <c r="D198" i="2"/>
  <c r="E198" i="2"/>
  <c r="F198" i="2"/>
  <c r="G198" i="2"/>
  <c r="H198" i="2"/>
  <c r="I198" i="2"/>
  <c r="B199" i="2"/>
  <c r="C199" i="2"/>
  <c r="D199" i="2"/>
  <c r="E199" i="2"/>
  <c r="F199" i="2"/>
  <c r="G199" i="2"/>
  <c r="H199" i="2"/>
  <c r="I199" i="2"/>
  <c r="B200" i="2"/>
  <c r="C200" i="2"/>
  <c r="D200" i="2"/>
  <c r="E200" i="2"/>
  <c r="F200" i="2"/>
  <c r="G200" i="2"/>
  <c r="H200" i="2"/>
  <c r="I200" i="2"/>
  <c r="B201" i="2"/>
  <c r="C201" i="2"/>
  <c r="D201" i="2"/>
  <c r="E201" i="2"/>
  <c r="F201" i="2"/>
  <c r="G201" i="2"/>
  <c r="H201" i="2"/>
  <c r="I201" i="2"/>
  <c r="B202" i="2"/>
  <c r="C202" i="2"/>
  <c r="D202" i="2"/>
  <c r="E202" i="2"/>
  <c r="F202" i="2"/>
  <c r="G202" i="2"/>
  <c r="H202" i="2"/>
  <c r="I202" i="2"/>
  <c r="B203" i="2"/>
  <c r="C203" i="2"/>
  <c r="D203" i="2"/>
  <c r="E203" i="2"/>
  <c r="F203" i="2"/>
  <c r="G203" i="2"/>
  <c r="H203" i="2"/>
  <c r="I203" i="2"/>
  <c r="B204" i="2"/>
  <c r="C204" i="2"/>
  <c r="D204" i="2"/>
  <c r="E204" i="2"/>
  <c r="F204" i="2"/>
  <c r="G204" i="2"/>
  <c r="H204" i="2"/>
  <c r="I204" i="2"/>
  <c r="B205" i="2"/>
  <c r="C205" i="2"/>
  <c r="D205" i="2"/>
  <c r="E205" i="2"/>
  <c r="F205" i="2"/>
  <c r="G205" i="2"/>
  <c r="H205" i="2"/>
  <c r="I205" i="2"/>
  <c r="B206" i="2"/>
  <c r="C206" i="2"/>
  <c r="D206" i="2"/>
  <c r="E206" i="2"/>
  <c r="F206" i="2"/>
  <c r="G206" i="2"/>
  <c r="H206" i="2"/>
  <c r="I206" i="2"/>
  <c r="B207" i="2"/>
  <c r="C207" i="2"/>
  <c r="D207" i="2"/>
  <c r="E207" i="2"/>
  <c r="F207" i="2"/>
  <c r="G207" i="2"/>
  <c r="H207" i="2"/>
  <c r="I207" i="2"/>
  <c r="B208" i="2"/>
  <c r="C208" i="2"/>
  <c r="D208" i="2"/>
  <c r="E208" i="2"/>
  <c r="F208" i="2"/>
  <c r="G208" i="2"/>
  <c r="H208" i="2"/>
  <c r="I208" i="2"/>
  <c r="B209" i="2"/>
  <c r="C209" i="2"/>
  <c r="D209" i="2"/>
  <c r="E209" i="2"/>
  <c r="F209" i="2"/>
  <c r="G209" i="2"/>
  <c r="H209" i="2"/>
  <c r="I209" i="2"/>
  <c r="B210" i="2"/>
  <c r="C210" i="2"/>
  <c r="D210" i="2"/>
  <c r="E210" i="2"/>
  <c r="F210" i="2"/>
  <c r="G210" i="2"/>
  <c r="H210" i="2"/>
  <c r="I210" i="2"/>
  <c r="B211" i="2"/>
  <c r="C211" i="2"/>
  <c r="D211" i="2"/>
  <c r="E211" i="2"/>
  <c r="F211" i="2"/>
  <c r="G211" i="2"/>
  <c r="H211" i="2"/>
  <c r="I211" i="2"/>
  <c r="B212" i="2"/>
  <c r="C212" i="2"/>
  <c r="D212" i="2"/>
  <c r="E212" i="2"/>
  <c r="F212" i="2"/>
  <c r="G212" i="2"/>
  <c r="H212" i="2"/>
  <c r="I212" i="2"/>
  <c r="B213" i="2"/>
  <c r="C213" i="2"/>
  <c r="D213" i="2"/>
  <c r="E213" i="2"/>
  <c r="F213" i="2"/>
  <c r="G213" i="2"/>
  <c r="H213" i="2"/>
  <c r="I213" i="2"/>
  <c r="B214" i="2"/>
  <c r="C214" i="2"/>
  <c r="D214" i="2"/>
  <c r="E214" i="2"/>
  <c r="F214" i="2"/>
  <c r="G214" i="2"/>
  <c r="H214" i="2"/>
  <c r="I214" i="2"/>
  <c r="B215" i="2"/>
  <c r="C215" i="2"/>
  <c r="D215" i="2"/>
  <c r="E215" i="2"/>
  <c r="F215" i="2"/>
  <c r="G215" i="2"/>
  <c r="H215" i="2"/>
  <c r="I215" i="2"/>
  <c r="B216" i="2"/>
  <c r="C216" i="2"/>
  <c r="D216" i="2"/>
  <c r="E216" i="2"/>
  <c r="F216" i="2"/>
  <c r="G216" i="2"/>
  <c r="H216" i="2"/>
  <c r="I216" i="2"/>
  <c r="B217" i="2"/>
  <c r="C217" i="2"/>
  <c r="D217" i="2"/>
  <c r="E217" i="2"/>
  <c r="F217" i="2"/>
  <c r="G217" i="2"/>
  <c r="H217" i="2"/>
  <c r="I217" i="2"/>
  <c r="B218" i="2"/>
  <c r="C218" i="2"/>
  <c r="D218" i="2"/>
  <c r="E218" i="2"/>
  <c r="F218" i="2"/>
  <c r="G218" i="2"/>
  <c r="H218" i="2"/>
  <c r="I218" i="2"/>
  <c r="B219" i="2"/>
  <c r="C219" i="2"/>
  <c r="D219" i="2"/>
  <c r="E219" i="2"/>
  <c r="F219" i="2"/>
  <c r="G219" i="2"/>
  <c r="H219" i="2"/>
  <c r="I219"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B4" i="1" l="1"/>
  <c r="C4" i="1"/>
  <c r="D4" i="1"/>
  <c r="E4" i="1"/>
  <c r="E4" i="2" s="1"/>
  <c r="F4" i="1"/>
  <c r="F4" i="2" s="1"/>
  <c r="G4" i="1"/>
  <c r="G4" i="2" s="1"/>
  <c r="H4" i="1"/>
  <c r="H4" i="2" s="1"/>
  <c r="I4" i="1"/>
  <c r="I4" i="2" s="1"/>
  <c r="B5" i="1"/>
  <c r="C5" i="1"/>
  <c r="D5" i="1"/>
  <c r="E5" i="1"/>
  <c r="F5" i="1"/>
  <c r="G5" i="1"/>
  <c r="H5" i="1"/>
  <c r="I5" i="1"/>
  <c r="B6" i="1"/>
  <c r="C6" i="1"/>
  <c r="D6" i="1"/>
  <c r="E6" i="1"/>
  <c r="F6" i="1"/>
  <c r="G6" i="1"/>
  <c r="H6" i="1"/>
  <c r="I6" i="1"/>
  <c r="B7" i="1"/>
  <c r="C7" i="1"/>
  <c r="D7" i="1"/>
  <c r="E7" i="1"/>
  <c r="E7" i="2" s="1"/>
  <c r="F7" i="1"/>
  <c r="F7" i="2" s="1"/>
  <c r="G7" i="1"/>
  <c r="G7" i="2" s="1"/>
  <c r="H7" i="1"/>
  <c r="H7" i="2" s="1"/>
  <c r="I7" i="1"/>
  <c r="I7" i="2" s="1"/>
  <c r="B8" i="1"/>
  <c r="C8" i="1"/>
  <c r="D8" i="1"/>
  <c r="E8" i="1"/>
  <c r="E8" i="2" s="1"/>
  <c r="F8" i="1"/>
  <c r="F8" i="2" s="1"/>
  <c r="G8" i="1"/>
  <c r="G8" i="2" s="1"/>
  <c r="H8" i="1"/>
  <c r="H8" i="2" s="1"/>
  <c r="I8" i="1"/>
  <c r="I8" i="2" s="1"/>
  <c r="B9" i="1"/>
  <c r="C9" i="1"/>
  <c r="D9" i="1"/>
  <c r="E9" i="1"/>
  <c r="E9" i="2" s="1"/>
  <c r="F9" i="1"/>
  <c r="F9" i="2" s="1"/>
  <c r="G9" i="1"/>
  <c r="G9" i="2" s="1"/>
  <c r="H9" i="1"/>
  <c r="H9" i="2" s="1"/>
  <c r="I9" i="1"/>
  <c r="I9" i="2" s="1"/>
  <c r="B10" i="1"/>
  <c r="C10" i="1"/>
  <c r="D10" i="1"/>
  <c r="E10" i="1"/>
  <c r="F10" i="1"/>
  <c r="G10" i="1"/>
  <c r="H10" i="1"/>
  <c r="I10" i="1"/>
  <c r="B11" i="1"/>
  <c r="C11" i="1"/>
  <c r="D11" i="1"/>
  <c r="E11" i="1"/>
  <c r="F11" i="1"/>
  <c r="G11" i="1"/>
  <c r="H11" i="1"/>
  <c r="I11" i="1"/>
  <c r="B12" i="1"/>
  <c r="C12" i="1"/>
  <c r="D12" i="1"/>
  <c r="E12" i="1"/>
  <c r="F12" i="1"/>
  <c r="G12" i="1"/>
  <c r="H12" i="1"/>
  <c r="I12" i="1"/>
  <c r="B13" i="1"/>
  <c r="C13" i="1"/>
  <c r="D13" i="1"/>
  <c r="E13" i="1"/>
  <c r="E13" i="2" s="1"/>
  <c r="F13" i="1"/>
  <c r="F13" i="2" s="1"/>
  <c r="G13" i="1"/>
  <c r="G13" i="2" s="1"/>
  <c r="H13" i="1"/>
  <c r="H13" i="2" s="1"/>
  <c r="I13" i="1"/>
  <c r="I13" i="2" s="1"/>
  <c r="B14" i="1"/>
  <c r="C14" i="1"/>
  <c r="D14" i="1"/>
  <c r="E14" i="1"/>
  <c r="F14" i="1"/>
  <c r="G14" i="1"/>
  <c r="H14" i="1"/>
  <c r="I14" i="1"/>
  <c r="B15" i="1"/>
  <c r="C15" i="1"/>
  <c r="D15" i="1"/>
  <c r="E15" i="1"/>
  <c r="F15" i="1"/>
  <c r="G15" i="1"/>
  <c r="H15" i="1"/>
  <c r="I15" i="1"/>
  <c r="B16" i="1"/>
  <c r="C16" i="1"/>
  <c r="D16" i="1"/>
  <c r="E16" i="1"/>
  <c r="F16" i="1"/>
  <c r="G16" i="1"/>
  <c r="H16" i="1"/>
  <c r="I16" i="1"/>
  <c r="B17" i="1"/>
  <c r="C17" i="1"/>
  <c r="D17" i="1"/>
  <c r="E17" i="1"/>
  <c r="F17" i="1"/>
  <c r="G17" i="1"/>
  <c r="H17" i="1"/>
  <c r="I17" i="1"/>
  <c r="B18" i="1"/>
  <c r="C18" i="1"/>
  <c r="D18" i="1"/>
  <c r="E18" i="1"/>
  <c r="F18" i="1"/>
  <c r="G18" i="1"/>
  <c r="H18" i="1"/>
  <c r="I18" i="1"/>
  <c r="B19" i="1"/>
  <c r="C19" i="1"/>
  <c r="D19" i="1"/>
  <c r="E19" i="1"/>
  <c r="F19" i="1"/>
  <c r="G19" i="1"/>
  <c r="H19" i="1"/>
  <c r="I19" i="1"/>
  <c r="B20" i="1"/>
  <c r="C20" i="1"/>
  <c r="D20" i="1"/>
  <c r="E20" i="1"/>
  <c r="E20" i="2" s="1"/>
  <c r="F20" i="1"/>
  <c r="F20" i="2" s="1"/>
  <c r="G20" i="1"/>
  <c r="G20" i="2" s="1"/>
  <c r="H20" i="1"/>
  <c r="H20" i="2" s="1"/>
  <c r="I20" i="1"/>
  <c r="I20" i="2" s="1"/>
  <c r="B21" i="1"/>
  <c r="C21" i="1"/>
  <c r="D21" i="1"/>
  <c r="E21" i="1"/>
  <c r="F21" i="1"/>
  <c r="G21" i="1"/>
  <c r="H21" i="1"/>
  <c r="I21" i="1"/>
  <c r="B22" i="1"/>
  <c r="C22" i="1"/>
  <c r="D22" i="1"/>
  <c r="E22" i="1"/>
  <c r="F22" i="1"/>
  <c r="G22" i="1"/>
  <c r="H22" i="1"/>
  <c r="I22" i="1"/>
  <c r="B23" i="1"/>
  <c r="C23" i="1"/>
  <c r="D23" i="1"/>
  <c r="E23" i="1"/>
  <c r="F23" i="1"/>
  <c r="G23" i="1"/>
  <c r="H23" i="1"/>
  <c r="I23" i="1"/>
  <c r="B24" i="1"/>
  <c r="C24" i="1"/>
  <c r="D24" i="1"/>
  <c r="E24" i="1"/>
  <c r="F24" i="1"/>
  <c r="G24" i="1"/>
  <c r="H24" i="1"/>
  <c r="I24" i="1"/>
  <c r="B25" i="1"/>
  <c r="C25" i="1"/>
  <c r="D25" i="1"/>
  <c r="E25" i="1"/>
  <c r="F25" i="1"/>
  <c r="G25" i="1"/>
  <c r="H25" i="1"/>
  <c r="I25" i="1"/>
  <c r="B26" i="1"/>
  <c r="C26" i="1"/>
  <c r="D26" i="1"/>
  <c r="E26" i="1"/>
  <c r="E26" i="2" s="1"/>
  <c r="F26" i="1"/>
  <c r="F26" i="2" s="1"/>
  <c r="G26" i="1"/>
  <c r="G26" i="2" s="1"/>
  <c r="H26" i="1"/>
  <c r="H26" i="2" s="1"/>
  <c r="I26" i="1"/>
  <c r="I26" i="2" s="1"/>
  <c r="B27" i="1"/>
  <c r="C27" i="1"/>
  <c r="D27" i="1"/>
  <c r="E27" i="1"/>
  <c r="E27" i="2" s="1"/>
  <c r="F27" i="1"/>
  <c r="F27" i="2" s="1"/>
  <c r="G27" i="1"/>
  <c r="G27" i="2" s="1"/>
  <c r="H27" i="1"/>
  <c r="H27" i="2" s="1"/>
  <c r="I27" i="1"/>
  <c r="I27" i="2" s="1"/>
  <c r="B28" i="1"/>
  <c r="C28" i="1"/>
  <c r="D28" i="1"/>
  <c r="E28" i="1"/>
  <c r="F28" i="1"/>
  <c r="G28" i="1"/>
  <c r="H28" i="1"/>
  <c r="I28" i="1"/>
  <c r="B29" i="1"/>
  <c r="C29" i="1"/>
  <c r="D29" i="1"/>
  <c r="E29" i="1"/>
  <c r="E29" i="2" s="1"/>
  <c r="F29" i="1"/>
  <c r="F29" i="2" s="1"/>
  <c r="G29" i="1"/>
  <c r="G29" i="2" s="1"/>
  <c r="H29" i="1"/>
  <c r="H29" i="2" s="1"/>
  <c r="I29" i="1"/>
  <c r="I29" i="2" s="1"/>
  <c r="B30" i="1"/>
  <c r="C30" i="1"/>
  <c r="D30" i="1"/>
  <c r="E30" i="1"/>
  <c r="E30" i="2" s="1"/>
  <c r="F30" i="1"/>
  <c r="F30" i="2" s="1"/>
  <c r="G30" i="1"/>
  <c r="G30" i="2" s="1"/>
  <c r="H30" i="1"/>
  <c r="H30" i="2" s="1"/>
  <c r="I30" i="1"/>
  <c r="I30" i="2" s="1"/>
  <c r="B31" i="1"/>
  <c r="C31" i="1"/>
  <c r="D31" i="1"/>
  <c r="E31" i="1"/>
  <c r="F31" i="1"/>
  <c r="G31" i="1"/>
  <c r="H31" i="1"/>
  <c r="I31" i="1"/>
  <c r="B32" i="1"/>
  <c r="C32" i="1"/>
  <c r="D32" i="1"/>
  <c r="E32" i="1"/>
  <c r="E32" i="2" s="1"/>
  <c r="F32" i="1"/>
  <c r="F32" i="2" s="1"/>
  <c r="G32" i="1"/>
  <c r="G32" i="2" s="1"/>
  <c r="H32" i="1"/>
  <c r="H32" i="2" s="1"/>
  <c r="I32" i="1"/>
  <c r="I32" i="2" s="1"/>
  <c r="B33" i="1"/>
  <c r="C33" i="1"/>
  <c r="D33" i="1"/>
  <c r="E33" i="1"/>
  <c r="F33" i="1"/>
  <c r="G33" i="1"/>
  <c r="H33" i="1"/>
  <c r="I33" i="1"/>
  <c r="B34" i="1"/>
  <c r="C34" i="1"/>
  <c r="D34" i="1"/>
  <c r="E34" i="1"/>
  <c r="E34" i="2" s="1"/>
  <c r="F34" i="1"/>
  <c r="F34" i="2" s="1"/>
  <c r="G34" i="1"/>
  <c r="G34" i="2" s="1"/>
  <c r="H34" i="1"/>
  <c r="H34" i="2" s="1"/>
  <c r="I34" i="1"/>
  <c r="I34" i="2" s="1"/>
  <c r="B35" i="1"/>
  <c r="C35" i="1"/>
  <c r="D35" i="1"/>
  <c r="E35" i="1"/>
  <c r="E35" i="2" s="1"/>
  <c r="F35" i="1"/>
  <c r="F35" i="2" s="1"/>
  <c r="G35" i="1"/>
  <c r="G35" i="2" s="1"/>
  <c r="H35" i="1"/>
  <c r="H35" i="2" s="1"/>
  <c r="I35" i="1"/>
  <c r="I35" i="2" s="1"/>
  <c r="B36" i="1"/>
  <c r="C36" i="1"/>
  <c r="D36" i="1"/>
  <c r="E36" i="1"/>
  <c r="F36" i="1"/>
  <c r="G36" i="1"/>
  <c r="H36" i="1"/>
  <c r="I36" i="1"/>
  <c r="B37" i="1"/>
  <c r="C37" i="1"/>
  <c r="D37" i="1"/>
  <c r="E37" i="1"/>
  <c r="F37" i="1"/>
  <c r="G37" i="1"/>
  <c r="H37" i="1"/>
  <c r="I37" i="1"/>
  <c r="B38" i="1"/>
  <c r="C38" i="1"/>
  <c r="D38" i="1"/>
  <c r="E38" i="1"/>
  <c r="F38" i="1"/>
  <c r="G38" i="1"/>
  <c r="H38" i="1"/>
  <c r="I38" i="1"/>
  <c r="B39" i="1"/>
  <c r="C39" i="1"/>
  <c r="D39" i="1"/>
  <c r="E39" i="1"/>
  <c r="F39" i="1"/>
  <c r="G39" i="1"/>
  <c r="H39" i="1"/>
  <c r="I39" i="1"/>
  <c r="B40" i="1"/>
  <c r="C40" i="1"/>
  <c r="D40" i="1"/>
  <c r="E40" i="1"/>
  <c r="F40" i="1"/>
  <c r="G40" i="1"/>
  <c r="H40" i="1"/>
  <c r="I40" i="1"/>
  <c r="B41" i="1"/>
  <c r="C41" i="1"/>
  <c r="D41" i="1"/>
  <c r="E41" i="1"/>
  <c r="E41" i="2" s="1"/>
  <c r="F41" i="1"/>
  <c r="F41" i="2" s="1"/>
  <c r="G41" i="1"/>
  <c r="G41" i="2" s="1"/>
  <c r="H41" i="1"/>
  <c r="H41" i="2" s="1"/>
  <c r="I41" i="1"/>
  <c r="I41" i="2" s="1"/>
  <c r="B42" i="1"/>
  <c r="C42" i="1"/>
  <c r="D42" i="1"/>
  <c r="E42" i="1"/>
  <c r="E42" i="2" s="1"/>
  <c r="F42" i="1"/>
  <c r="F42" i="2" s="1"/>
  <c r="G42" i="1"/>
  <c r="G42" i="2" s="1"/>
  <c r="H42" i="1"/>
  <c r="H42" i="2" s="1"/>
  <c r="I42" i="1"/>
  <c r="I42" i="2" s="1"/>
  <c r="B43" i="1"/>
  <c r="C43" i="1"/>
  <c r="D43" i="1"/>
  <c r="E43" i="1"/>
  <c r="F43" i="1"/>
  <c r="G43" i="1"/>
  <c r="H43" i="1"/>
  <c r="I43" i="1"/>
  <c r="B44" i="1"/>
  <c r="C44" i="1"/>
  <c r="D44" i="1"/>
  <c r="E44" i="1"/>
  <c r="E44" i="2" s="1"/>
  <c r="F44" i="1"/>
  <c r="F44" i="2" s="1"/>
  <c r="G44" i="1"/>
  <c r="G44" i="2" s="1"/>
  <c r="H44" i="1"/>
  <c r="H44" i="2" s="1"/>
  <c r="I44" i="1"/>
  <c r="I44" i="2" s="1"/>
  <c r="B45" i="1"/>
  <c r="C45" i="1"/>
  <c r="D45" i="1"/>
  <c r="E45" i="1"/>
  <c r="F45" i="1"/>
  <c r="G45" i="1"/>
  <c r="H45" i="1"/>
  <c r="I45" i="1"/>
  <c r="B46" i="1"/>
  <c r="C46" i="1"/>
  <c r="D46" i="1"/>
  <c r="E46" i="1"/>
  <c r="F46" i="1"/>
  <c r="G46" i="1"/>
  <c r="H46" i="1"/>
  <c r="I46" i="1"/>
  <c r="B47" i="1"/>
  <c r="C47" i="1"/>
  <c r="D47" i="1"/>
  <c r="E47" i="1"/>
  <c r="E47" i="2" s="1"/>
  <c r="F47" i="1"/>
  <c r="F47" i="2" s="1"/>
  <c r="G47" i="1"/>
  <c r="G47" i="2" s="1"/>
  <c r="H47" i="1"/>
  <c r="H47" i="2" s="1"/>
  <c r="I47" i="1"/>
  <c r="I47" i="2" s="1"/>
  <c r="R4" i="8" a="1"/>
  <c r="R4" i="8" s="1"/>
  <c r="R5" i="8" a="1"/>
  <c r="R5" i="8" s="1"/>
  <c r="R6" i="8" a="1"/>
  <c r="R6" i="8" s="1"/>
  <c r="R7" i="8" a="1"/>
  <c r="R7" i="8" s="1"/>
  <c r="R8" i="8" a="1"/>
  <c r="R8" i="8" s="1"/>
  <c r="R9" i="8" a="1"/>
  <c r="R9" i="8" s="1"/>
  <c r="R10" i="8" a="1"/>
  <c r="R10" i="8" s="1"/>
  <c r="R11" i="8" a="1"/>
  <c r="R11" i="8" s="1"/>
  <c r="R12" i="8" a="1"/>
  <c r="R12" i="8" s="1"/>
  <c r="R13" i="8" a="1"/>
  <c r="R13" i="8" s="1"/>
  <c r="R14" i="8" a="1"/>
  <c r="R14" i="8" s="1"/>
  <c r="R15" i="8" a="1"/>
  <c r="R15" i="8" s="1"/>
  <c r="R16" i="8" a="1"/>
  <c r="R16" i="8" s="1"/>
  <c r="R17" i="8" a="1"/>
  <c r="R17" i="8" s="1"/>
  <c r="R18" i="8" a="1"/>
  <c r="R18" i="8" s="1"/>
  <c r="R20" i="8" a="1"/>
  <c r="R20" i="8" s="1"/>
  <c r="R21" i="8" a="1"/>
  <c r="R21" i="8" s="1"/>
  <c r="R3" i="8" a="1"/>
  <c r="R3" i="8" s="1"/>
  <c r="AN4" i="6" a="1"/>
  <c r="AN4" i="6" s="1"/>
  <c r="AN5" i="6" a="1"/>
  <c r="AN5" i="6" s="1"/>
  <c r="AN6" i="6" a="1"/>
  <c r="AN6" i="6" s="1"/>
  <c r="AN7" i="6" a="1"/>
  <c r="AN7" i="6" s="1"/>
  <c r="AN8" i="6" a="1"/>
  <c r="AN8" i="6" s="1"/>
  <c r="AN9" i="6" a="1"/>
  <c r="AN9" i="6" s="1"/>
  <c r="AN10" i="6" a="1"/>
  <c r="AN10" i="6" s="1"/>
  <c r="AN11" i="6" a="1"/>
  <c r="AN11" i="6" s="1"/>
  <c r="AN12" i="6" a="1"/>
  <c r="AN12" i="6" s="1"/>
  <c r="AN13" i="6" a="1"/>
  <c r="AN13" i="6" s="1"/>
  <c r="AN14" i="6" a="1"/>
  <c r="AN14" i="6" s="1"/>
  <c r="AN15" i="6" a="1"/>
  <c r="AN15" i="6" s="1"/>
  <c r="AN16" i="6" a="1"/>
  <c r="AN16" i="6" s="1"/>
  <c r="AN17" i="6" a="1"/>
  <c r="AN17" i="6" s="1"/>
  <c r="AN18" i="6" a="1"/>
  <c r="AN18" i="6" s="1"/>
  <c r="AN19" i="6" a="1"/>
  <c r="AN19" i="6" s="1"/>
  <c r="AN20" i="6" a="1"/>
  <c r="AN20" i="6" s="1"/>
  <c r="AN21" i="6" a="1"/>
  <c r="AN21" i="6" s="1"/>
  <c r="AN22" i="6" a="1"/>
  <c r="AN22" i="6" s="1"/>
  <c r="AN23" i="6" a="1"/>
  <c r="AN23" i="6" s="1"/>
  <c r="AN24" i="6" a="1"/>
  <c r="AN24" i="6" s="1"/>
  <c r="AN25" i="6" a="1"/>
  <c r="AN25" i="6" s="1"/>
  <c r="AN26" i="6" a="1"/>
  <c r="AN26" i="6" s="1"/>
  <c r="AN27" i="6" a="1"/>
  <c r="AN27" i="6" s="1"/>
  <c r="AN28" i="6" a="1"/>
  <c r="AN28" i="6" s="1"/>
  <c r="AN29" i="6" a="1"/>
  <c r="AN29" i="6" s="1"/>
  <c r="AN30" i="6" a="1"/>
  <c r="AN30" i="6" s="1"/>
  <c r="AN31" i="6" a="1"/>
  <c r="AN31" i="6" s="1"/>
  <c r="AN32" i="6" a="1"/>
  <c r="AN32" i="6" s="1"/>
  <c r="AN33" i="6" a="1"/>
  <c r="AN33" i="6" s="1"/>
  <c r="AN34" i="6" a="1"/>
  <c r="AN34" i="6" s="1"/>
  <c r="AN35" i="6" a="1"/>
  <c r="AN35" i="6" s="1"/>
  <c r="AN36" i="6" a="1"/>
  <c r="AN36" i="6" s="1"/>
  <c r="AN37" i="6" a="1"/>
  <c r="AN37" i="6" s="1"/>
  <c r="AN38" i="6" a="1"/>
  <c r="AN38" i="6" s="1"/>
  <c r="AN39" i="6" a="1"/>
  <c r="AN39" i="6" s="1"/>
  <c r="AN40" i="6" a="1"/>
  <c r="AN40" i="6" s="1"/>
  <c r="AN41" i="6" a="1"/>
  <c r="AN41" i="6" s="1"/>
  <c r="AN42" i="6" a="1"/>
  <c r="AN42" i="6" s="1"/>
  <c r="AN43" i="6" a="1"/>
  <c r="AN43" i="6" s="1"/>
  <c r="AN44" i="6" a="1"/>
  <c r="AN44" i="6" s="1"/>
  <c r="AN45" i="6" a="1"/>
  <c r="AN45" i="6" s="1"/>
  <c r="AN46" i="6" a="1"/>
  <c r="AN46" i="6" s="1"/>
  <c r="AN47" i="6" a="1"/>
  <c r="AN47" i="6" s="1"/>
  <c r="AN48" i="6" a="1"/>
  <c r="AN48" i="6" s="1"/>
  <c r="AN49" i="6" a="1"/>
  <c r="AN49" i="6" s="1"/>
  <c r="AN50" i="6" a="1"/>
  <c r="AN50" i="6" s="1"/>
  <c r="AN51" i="6" a="1"/>
  <c r="AN51" i="6" s="1"/>
  <c r="AN52" i="6" a="1"/>
  <c r="AN52" i="6" s="1"/>
  <c r="AN53" i="6" a="1"/>
  <c r="AN53" i="6" s="1"/>
  <c r="AN54" i="6" a="1"/>
  <c r="AN54" i="6" s="1"/>
  <c r="AN55" i="6" a="1"/>
  <c r="AN55" i="6" s="1"/>
  <c r="AN56" i="6" a="1"/>
  <c r="AN56" i="6" s="1"/>
  <c r="AN57" i="6" a="1"/>
  <c r="AN57" i="6" s="1"/>
  <c r="AN58" i="6" a="1"/>
  <c r="AN58" i="6" s="1"/>
  <c r="AN59" i="6" a="1"/>
  <c r="AN59" i="6" s="1"/>
  <c r="AN60" i="6" a="1"/>
  <c r="AN60" i="6" s="1"/>
  <c r="AN61" i="6" a="1"/>
  <c r="AN61" i="6" s="1"/>
  <c r="AN62" i="6" a="1"/>
  <c r="AN62" i="6" s="1"/>
  <c r="AN63" i="6" a="1"/>
  <c r="AN63" i="6" s="1"/>
  <c r="AN64" i="6" a="1"/>
  <c r="AN64" i="6" s="1"/>
  <c r="AN65" i="6" a="1"/>
  <c r="AN65" i="6" s="1"/>
  <c r="AN66" i="6" a="1"/>
  <c r="AN66" i="6" s="1"/>
  <c r="AN67" i="6" a="1"/>
  <c r="AN67" i="6" s="1"/>
  <c r="AN68" i="6" a="1"/>
  <c r="AN68" i="6" s="1"/>
  <c r="AN69" i="6" a="1"/>
  <c r="AN69" i="6" s="1"/>
  <c r="AN70" i="6" a="1"/>
  <c r="AN70" i="6" s="1"/>
  <c r="AN71" i="6" a="1"/>
  <c r="AN71" i="6" s="1"/>
  <c r="AN72" i="6" a="1"/>
  <c r="AN72" i="6" s="1"/>
  <c r="AN73" i="6" a="1"/>
  <c r="AN73" i="6" s="1"/>
  <c r="AN74" i="6" a="1"/>
  <c r="AN74" i="6" s="1"/>
  <c r="AN75" i="6" a="1"/>
  <c r="AN75" i="6" s="1"/>
  <c r="AN76" i="6" a="1"/>
  <c r="AN76" i="6" s="1"/>
  <c r="AN77" i="6" a="1"/>
  <c r="AN77" i="6" s="1"/>
  <c r="AN78" i="6" a="1"/>
  <c r="AN78" i="6" s="1"/>
  <c r="AN79" i="6" a="1"/>
  <c r="AN79" i="6" s="1"/>
  <c r="AN80" i="6" a="1"/>
  <c r="AN80" i="6" s="1"/>
  <c r="AN81" i="6" a="1"/>
  <c r="AN81" i="6" s="1"/>
  <c r="AN82" i="6" a="1"/>
  <c r="AN82" i="6" s="1"/>
  <c r="AN83" i="6" a="1"/>
  <c r="AN83" i="6" s="1"/>
  <c r="AN84" i="6" a="1"/>
  <c r="AN84" i="6" s="1"/>
  <c r="AN85" i="6" a="1"/>
  <c r="AN85" i="6" s="1"/>
  <c r="AN86" i="6" a="1"/>
  <c r="AN86" i="6" s="1"/>
  <c r="AN87" i="6" a="1"/>
  <c r="AN87" i="6" s="1"/>
  <c r="AN88" i="6" a="1"/>
  <c r="AN88" i="6" s="1"/>
  <c r="AN89" i="6" a="1"/>
  <c r="AN89" i="6" s="1"/>
  <c r="AN90" i="6" a="1"/>
  <c r="AN90" i="6" s="1"/>
  <c r="AN91" i="6" a="1"/>
  <c r="AN91" i="6" s="1"/>
  <c r="AN92" i="6" a="1"/>
  <c r="AN92" i="6" s="1"/>
  <c r="AN93" i="6" a="1"/>
  <c r="AN93" i="6" s="1"/>
  <c r="AN94" i="6" a="1"/>
  <c r="AN94" i="6" s="1"/>
  <c r="AN95" i="6" a="1"/>
  <c r="AN95" i="6" s="1"/>
  <c r="AN96" i="6" a="1"/>
  <c r="AN96" i="6" s="1"/>
  <c r="AN97" i="6" a="1"/>
  <c r="AN97" i="6" s="1"/>
  <c r="AN98" i="6" a="1"/>
  <c r="AN98" i="6" s="1"/>
  <c r="AN99" i="6" a="1"/>
  <c r="AN99" i="6" s="1"/>
  <c r="AN100" i="6" a="1"/>
  <c r="AN100" i="6" s="1"/>
  <c r="AN101" i="6" a="1"/>
  <c r="AN101" i="6" s="1"/>
  <c r="AN102" i="6" a="1"/>
  <c r="AN102" i="6" s="1"/>
  <c r="AN103" i="6" a="1"/>
  <c r="AN103" i="6" s="1"/>
  <c r="AN104" i="6" a="1"/>
  <c r="AN104" i="6" s="1"/>
  <c r="AN105" i="6" a="1"/>
  <c r="AN105" i="6" s="1"/>
  <c r="AN106" i="6" a="1"/>
  <c r="AN106" i="6" s="1"/>
  <c r="AN107" i="6" a="1"/>
  <c r="AN107" i="6" s="1"/>
  <c r="AN108" i="6" a="1"/>
  <c r="AN108" i="6" s="1"/>
  <c r="AN109" i="6" a="1"/>
  <c r="AN109" i="6" s="1"/>
  <c r="AN110" i="6" a="1"/>
  <c r="AN110" i="6" s="1"/>
  <c r="AN111" i="6" a="1"/>
  <c r="AN111" i="6" s="1"/>
  <c r="AN112" i="6" a="1"/>
  <c r="AN112" i="6" s="1"/>
  <c r="AN113" i="6" a="1"/>
  <c r="AN113" i="6" s="1"/>
  <c r="AN114" i="6" a="1"/>
  <c r="AN114" i="6" s="1"/>
  <c r="AN115" i="6" a="1"/>
  <c r="AN115" i="6" s="1"/>
  <c r="AN116" i="6" a="1"/>
  <c r="AN116" i="6" s="1"/>
  <c r="AN117" i="6" a="1"/>
  <c r="AN117" i="6" s="1"/>
  <c r="AN118" i="6" a="1"/>
  <c r="AN118" i="6" s="1"/>
  <c r="AN119" i="6" a="1"/>
  <c r="AN119" i="6" s="1"/>
  <c r="AN120" i="6" a="1"/>
  <c r="AN120" i="6" s="1"/>
  <c r="AN121" i="6" a="1"/>
  <c r="AN121" i="6" s="1"/>
  <c r="AN122" i="6" a="1"/>
  <c r="AN122" i="6" s="1"/>
  <c r="AN123" i="6" a="1"/>
  <c r="AN123" i="6" s="1"/>
  <c r="AN124" i="6" a="1"/>
  <c r="AN124" i="6" s="1"/>
  <c r="AN125" i="6" a="1"/>
  <c r="AN125" i="6" s="1"/>
  <c r="AN126" i="6" a="1"/>
  <c r="AN126" i="6" s="1"/>
  <c r="AN127" i="6" a="1"/>
  <c r="AN127" i="6" s="1"/>
  <c r="AN128" i="6" a="1"/>
  <c r="AN128" i="6" s="1"/>
  <c r="AN129" i="6" a="1"/>
  <c r="AN129" i="6" s="1"/>
  <c r="AN130" i="6" a="1"/>
  <c r="AN130" i="6" s="1"/>
  <c r="AN131" i="6" a="1"/>
  <c r="AN131" i="6" s="1"/>
  <c r="AN132" i="6" a="1"/>
  <c r="AN132" i="6" s="1"/>
  <c r="AN133" i="6" a="1"/>
  <c r="AN133" i="6" s="1"/>
  <c r="AN134" i="6" a="1"/>
  <c r="AN134" i="6" s="1"/>
  <c r="AN135" i="6" a="1"/>
  <c r="AN135" i="6" s="1"/>
  <c r="AN136" i="6" a="1"/>
  <c r="AN136" i="6" s="1"/>
  <c r="AN137" i="6" a="1"/>
  <c r="AN137" i="6" s="1"/>
  <c r="AN138" i="6" a="1"/>
  <c r="AN138" i="6" s="1"/>
  <c r="AN139" i="6" a="1"/>
  <c r="AN139" i="6" s="1"/>
  <c r="AN140" i="6" a="1"/>
  <c r="AN140" i="6" s="1"/>
  <c r="AN141" i="6" a="1"/>
  <c r="AN141" i="6" s="1"/>
  <c r="AN142" i="6" a="1"/>
  <c r="AN142" i="6" s="1"/>
  <c r="AN143" i="6" a="1"/>
  <c r="AN143" i="6" s="1"/>
  <c r="AN144" i="6" a="1"/>
  <c r="AN144" i="6" s="1"/>
  <c r="AN145" i="6" a="1"/>
  <c r="AN145" i="6" s="1"/>
  <c r="AN146" i="6" a="1"/>
  <c r="AN146" i="6" s="1"/>
  <c r="AN147" i="6" a="1"/>
  <c r="AN147" i="6" s="1"/>
  <c r="AN148" i="6" a="1"/>
  <c r="AN148" i="6" s="1"/>
  <c r="AN149" i="6" a="1"/>
  <c r="AN149" i="6" s="1"/>
  <c r="AN150" i="6" a="1"/>
  <c r="AN150" i="6" s="1"/>
  <c r="AN151" i="6" a="1"/>
  <c r="AN151" i="6" s="1"/>
  <c r="AN152" i="6" a="1"/>
  <c r="AN152" i="6" s="1"/>
  <c r="AN153" i="6" a="1"/>
  <c r="AN153" i="6" s="1"/>
  <c r="AN154" i="6" a="1"/>
  <c r="AN154" i="6" s="1"/>
  <c r="AN155" i="6" a="1"/>
  <c r="AN155" i="6" s="1"/>
  <c r="AN156" i="6" a="1"/>
  <c r="AN156" i="6" s="1"/>
  <c r="AN157" i="6" a="1"/>
  <c r="AN157" i="6" s="1"/>
  <c r="AN158" i="6" a="1"/>
  <c r="AN158" i="6" s="1"/>
  <c r="AN159" i="6" a="1"/>
  <c r="AN159" i="6" s="1"/>
  <c r="AN160" i="6" a="1"/>
  <c r="AN160" i="6" s="1"/>
  <c r="AN161" i="6" a="1"/>
  <c r="AN161" i="6" s="1"/>
  <c r="AN162" i="6" a="1"/>
  <c r="AN162" i="6" s="1"/>
  <c r="AN163" i="6" a="1"/>
  <c r="AN163" i="6" s="1"/>
  <c r="AN164" i="6" a="1"/>
  <c r="AN164" i="6" s="1"/>
  <c r="AN165" i="6" a="1"/>
  <c r="AN165" i="6" s="1"/>
  <c r="AN166" i="6" a="1"/>
  <c r="AN166" i="6" s="1"/>
  <c r="AN167" i="6" a="1"/>
  <c r="AN167" i="6" s="1"/>
  <c r="AN168" i="6" a="1"/>
  <c r="AN168" i="6" s="1"/>
  <c r="AN169" i="6" a="1"/>
  <c r="AN169" i="6" s="1"/>
  <c r="AN170" i="6" a="1"/>
  <c r="AN170" i="6" s="1"/>
  <c r="AN171" i="6" a="1"/>
  <c r="AN171" i="6" s="1"/>
  <c r="AN172" i="6" a="1"/>
  <c r="AN172" i="6" s="1"/>
  <c r="AN173" i="6" a="1"/>
  <c r="AN173" i="6" s="1"/>
  <c r="AN174" i="6" a="1"/>
  <c r="AN174" i="6" s="1"/>
  <c r="AN175" i="6" a="1"/>
  <c r="AN175" i="6" s="1"/>
  <c r="AN176" i="6" a="1"/>
  <c r="AN176" i="6" s="1"/>
  <c r="AN177" i="6" a="1"/>
  <c r="AN177" i="6" s="1"/>
  <c r="AN178" i="6" a="1"/>
  <c r="AN178" i="6" s="1"/>
  <c r="W12" i="6" a="1"/>
  <c r="W12" i="6" s="1"/>
  <c r="W13" i="6" a="1"/>
  <c r="W13" i="6" s="1"/>
  <c r="W14" i="6" a="1"/>
  <c r="W14" i="6" s="1"/>
  <c r="W15" i="6" a="1"/>
  <c r="W15" i="6" s="1"/>
  <c r="W16" i="6" a="1"/>
  <c r="W16" i="6" s="1"/>
  <c r="W17" i="6" a="1"/>
  <c r="W17" i="6" s="1"/>
  <c r="W18" i="6" a="1"/>
  <c r="W18" i="6" s="1"/>
  <c r="W19" i="6" a="1"/>
  <c r="W19" i="6" s="1"/>
  <c r="W20" i="6" a="1"/>
  <c r="W20" i="6" s="1"/>
  <c r="W21" i="6" a="1"/>
  <c r="W21" i="6"/>
  <c r="W22" i="6" a="1"/>
  <c r="W22" i="6" s="1"/>
  <c r="W23" i="6" a="1"/>
  <c r="W23" i="6"/>
  <c r="W24" i="6" a="1"/>
  <c r="W24" i="6" s="1"/>
  <c r="W25" i="6" a="1"/>
  <c r="W25" i="6"/>
  <c r="W26" i="6" a="1"/>
  <c r="W26" i="6" s="1"/>
  <c r="W27" i="6" a="1"/>
  <c r="W27" i="6"/>
  <c r="W28" i="6" a="1"/>
  <c r="W28" i="6" s="1"/>
  <c r="W29" i="6" a="1"/>
  <c r="W29" i="6" s="1"/>
  <c r="W30" i="6" a="1"/>
  <c r="W30" i="6" s="1"/>
  <c r="W31" i="6" a="1"/>
  <c r="W31" i="6" s="1"/>
  <c r="W32" i="6" a="1"/>
  <c r="W32" i="6" s="1"/>
  <c r="W33" i="6" a="1"/>
  <c r="W33" i="6"/>
  <c r="W34" i="6" a="1"/>
  <c r="W34" i="6" s="1"/>
  <c r="W35" i="6" a="1"/>
  <c r="W35" i="6" s="1"/>
  <c r="W36" i="6" a="1"/>
  <c r="W36" i="6" s="1"/>
  <c r="W37" i="6" a="1"/>
  <c r="W37" i="6"/>
  <c r="W38" i="6" a="1"/>
  <c r="W38" i="6"/>
  <c r="W39" i="6" a="1"/>
  <c r="W39" i="6" s="1"/>
  <c r="W40" i="6" a="1"/>
  <c r="W40" i="6" s="1"/>
  <c r="W41" i="6" a="1"/>
  <c r="W41" i="6" s="1"/>
  <c r="W42" i="6" a="1"/>
  <c r="W42" i="6" s="1"/>
  <c r="W43" i="6" a="1"/>
  <c r="W43" i="6" s="1"/>
  <c r="W44" i="6" a="1"/>
  <c r="W44" i="6" s="1"/>
  <c r="W45" i="6" a="1"/>
  <c r="W45" i="6" s="1"/>
  <c r="W46" i="6" a="1"/>
  <c r="W46" i="6" s="1"/>
  <c r="W47" i="6" a="1"/>
  <c r="W47" i="6" s="1"/>
  <c r="W48" i="6" a="1"/>
  <c r="W48" i="6" s="1"/>
  <c r="W49" i="6" a="1"/>
  <c r="W49" i="6" s="1"/>
  <c r="W50" i="6" a="1"/>
  <c r="W50" i="6" s="1"/>
  <c r="W51" i="6" a="1"/>
  <c r="W51" i="6"/>
  <c r="W52" i="6" a="1"/>
  <c r="W52" i="6" s="1"/>
  <c r="W53" i="6" a="1"/>
  <c r="W53" i="6" s="1"/>
  <c r="W54" i="6" a="1"/>
  <c r="W54" i="6" s="1"/>
  <c r="W55" i="6" a="1"/>
  <c r="W55" i="6" s="1"/>
  <c r="W56" i="6" a="1"/>
  <c r="W56" i="6" s="1"/>
  <c r="W57" i="6" a="1"/>
  <c r="W57" i="6"/>
  <c r="W58" i="6" a="1"/>
  <c r="W58" i="6" s="1"/>
  <c r="W59" i="6" a="1"/>
  <c r="W59" i="6" s="1"/>
  <c r="W60" i="6" a="1"/>
  <c r="W60" i="6" s="1"/>
  <c r="W61" i="6" a="1"/>
  <c r="W61" i="6" s="1"/>
  <c r="W62" i="6" a="1"/>
  <c r="W62" i="6" s="1"/>
  <c r="W63" i="6" a="1"/>
  <c r="W63" i="6" s="1"/>
  <c r="W64" i="6" a="1"/>
  <c r="W64" i="6" s="1"/>
  <c r="W65" i="6" a="1"/>
  <c r="W65" i="6" s="1"/>
  <c r="W66" i="6" a="1"/>
  <c r="W66" i="6" s="1"/>
  <c r="W67" i="6" a="1"/>
  <c r="W67" i="6" s="1"/>
  <c r="W68" i="6" a="1"/>
  <c r="W68" i="6" s="1"/>
  <c r="W69" i="6" a="1"/>
  <c r="W69" i="6" s="1"/>
  <c r="W70" i="6" a="1"/>
  <c r="W70" i="6" s="1"/>
  <c r="W71" i="6" a="1"/>
  <c r="W71" i="6" s="1"/>
  <c r="W72" i="6" a="1"/>
  <c r="W72" i="6" s="1"/>
  <c r="W73" i="6" a="1"/>
  <c r="W73" i="6" s="1"/>
  <c r="W74" i="6" a="1"/>
  <c r="W74" i="6" s="1"/>
  <c r="W75" i="6" a="1"/>
  <c r="W75" i="6" s="1"/>
  <c r="W76" i="6" a="1"/>
  <c r="W76" i="6" s="1"/>
  <c r="W77" i="6" a="1"/>
  <c r="W77" i="6" s="1"/>
  <c r="W78" i="6" a="1"/>
  <c r="W78" i="6" s="1"/>
  <c r="W79" i="6" a="1"/>
  <c r="W79" i="6" s="1"/>
  <c r="W80" i="6" a="1"/>
  <c r="W80" i="6" s="1"/>
  <c r="W81" i="6" a="1"/>
  <c r="W81" i="6" s="1"/>
  <c r="W82" i="6" a="1"/>
  <c r="W82" i="6" s="1"/>
  <c r="W83" i="6" a="1"/>
  <c r="W83" i="6"/>
  <c r="W84" i="6" a="1"/>
  <c r="W84" i="6" s="1"/>
  <c r="W85" i="6" a="1"/>
  <c r="W85" i="6" s="1"/>
  <c r="W86" i="6" a="1"/>
  <c r="W86" i="6" s="1"/>
  <c r="W87" i="6" a="1"/>
  <c r="W87" i="6" s="1"/>
  <c r="W88" i="6" a="1"/>
  <c r="W88" i="6" s="1"/>
  <c r="W89" i="6" a="1"/>
  <c r="W89" i="6" s="1"/>
  <c r="W90" i="6" a="1"/>
  <c r="W90" i="6" s="1"/>
  <c r="W91" i="6" a="1"/>
  <c r="W91" i="6" s="1"/>
  <c r="W92" i="6" a="1"/>
  <c r="W92" i="6" s="1"/>
  <c r="W93" i="6" a="1"/>
  <c r="W93" i="6" s="1"/>
  <c r="W94" i="6" a="1"/>
  <c r="W94" i="6" s="1"/>
  <c r="W95" i="6" a="1"/>
  <c r="W95" i="6" s="1"/>
  <c r="W96" i="6" a="1"/>
  <c r="W96" i="6" s="1"/>
  <c r="W97" i="6" a="1"/>
  <c r="W97" i="6" s="1"/>
  <c r="W98" i="6" a="1"/>
  <c r="W98" i="6" s="1"/>
  <c r="W99" i="6" a="1"/>
  <c r="W99" i="6"/>
  <c r="W100" i="6" a="1"/>
  <c r="W100" i="6" s="1"/>
  <c r="W101" i="6" a="1"/>
  <c r="W101" i="6" s="1"/>
  <c r="W102" i="6" a="1"/>
  <c r="W102" i="6" s="1"/>
  <c r="W103" i="6" a="1"/>
  <c r="W103" i="6" s="1"/>
  <c r="W104" i="6" a="1"/>
  <c r="W104" i="6" s="1"/>
  <c r="W105" i="6" a="1"/>
  <c r="W105" i="6" s="1"/>
  <c r="W106" i="6" a="1"/>
  <c r="W106" i="6" s="1"/>
  <c r="W107" i="6" a="1"/>
  <c r="W107" i="6" s="1"/>
  <c r="W108" i="6" a="1"/>
  <c r="W108" i="6" s="1"/>
  <c r="W109" i="6" a="1"/>
  <c r="W109" i="6" s="1"/>
  <c r="W110" i="6" a="1"/>
  <c r="W110" i="6" s="1"/>
  <c r="W111" i="6" a="1"/>
  <c r="W111" i="6" s="1"/>
  <c r="W112" i="6" a="1"/>
  <c r="W112" i="6" s="1"/>
  <c r="W113" i="6" a="1"/>
  <c r="W113" i="6" s="1"/>
  <c r="W114" i="6" a="1"/>
  <c r="W114" i="6" s="1"/>
  <c r="W115" i="6" a="1"/>
  <c r="W115" i="6"/>
  <c r="W116" i="6" a="1"/>
  <c r="W116" i="6" s="1"/>
  <c r="W117" i="6" a="1"/>
  <c r="W117" i="6" s="1"/>
  <c r="W118" i="6" a="1"/>
  <c r="W118" i="6" s="1"/>
  <c r="W119" i="6" a="1"/>
  <c r="W119" i="6"/>
  <c r="W120" i="6" a="1"/>
  <c r="W120" i="6" s="1"/>
  <c r="W121" i="6" a="1"/>
  <c r="W121" i="6" s="1"/>
  <c r="W122" i="6" a="1"/>
  <c r="W122" i="6" s="1"/>
  <c r="W123" i="6" a="1"/>
  <c r="W123" i="6" s="1"/>
  <c r="W124" i="6" a="1"/>
  <c r="W124" i="6" s="1"/>
  <c r="W125" i="6" a="1"/>
  <c r="W125" i="6" s="1"/>
  <c r="W126" i="6" a="1"/>
  <c r="W126" i="6" s="1"/>
  <c r="W127" i="6" a="1"/>
  <c r="W127" i="6"/>
  <c r="W128" i="6" a="1"/>
  <c r="W128" i="6" s="1"/>
  <c r="W129" i="6" a="1"/>
  <c r="W129" i="6" s="1"/>
  <c r="W130" i="6" a="1"/>
  <c r="W130" i="6" s="1"/>
  <c r="W131" i="6" a="1"/>
  <c r="W131" i="6"/>
  <c r="W132" i="6" a="1"/>
  <c r="W132" i="6" s="1"/>
  <c r="W133" i="6" a="1"/>
  <c r="W133" i="6" s="1"/>
  <c r="W134" i="6" a="1"/>
  <c r="W134" i="6" s="1"/>
  <c r="W135" i="6" a="1"/>
  <c r="W135" i="6"/>
  <c r="W136" i="6" a="1"/>
  <c r="W136" i="6" s="1"/>
  <c r="W137" i="6" a="1"/>
  <c r="W137" i="6" s="1"/>
  <c r="W138" i="6" a="1"/>
  <c r="W138" i="6" s="1"/>
  <c r="W139" i="6" a="1"/>
  <c r="W139" i="6"/>
  <c r="W140" i="6" a="1"/>
  <c r="W140" i="6" s="1"/>
  <c r="W141" i="6" a="1"/>
  <c r="W141" i="6" s="1"/>
  <c r="W142" i="6" a="1"/>
  <c r="W142" i="6" s="1"/>
  <c r="W143" i="6" a="1"/>
  <c r="W143" i="6" s="1"/>
  <c r="W144" i="6" a="1"/>
  <c r="W144" i="6" s="1"/>
  <c r="W145" i="6" a="1"/>
  <c r="W145" i="6" s="1"/>
  <c r="W146" i="6" a="1"/>
  <c r="W146" i="6" s="1"/>
  <c r="W147" i="6" a="1"/>
  <c r="W147" i="6"/>
  <c r="W148" i="6" a="1"/>
  <c r="W148" i="6" s="1"/>
  <c r="W149" i="6" a="1"/>
  <c r="W149" i="6" s="1"/>
  <c r="W150" i="6" a="1"/>
  <c r="W150" i="6" s="1"/>
  <c r="W151" i="6" a="1"/>
  <c r="W151" i="6"/>
  <c r="W152" i="6" a="1"/>
  <c r="W152" i="6" s="1"/>
  <c r="W153" i="6" a="1"/>
  <c r="W153" i="6" s="1"/>
  <c r="W154" i="6" a="1"/>
  <c r="W154" i="6" s="1"/>
  <c r="W155" i="6" a="1"/>
  <c r="W155" i="6" s="1"/>
  <c r="W156" i="6" a="1"/>
  <c r="W156" i="6" s="1"/>
  <c r="W157" i="6" a="1"/>
  <c r="W157" i="6" s="1"/>
  <c r="W158" i="6" a="1"/>
  <c r="W158" i="6" s="1"/>
  <c r="W159" i="6" a="1"/>
  <c r="W159" i="6" s="1"/>
  <c r="W160" i="6" a="1"/>
  <c r="W160" i="6" s="1"/>
  <c r="W161" i="6" a="1"/>
  <c r="W161" i="6" s="1"/>
  <c r="W162" i="6" a="1"/>
  <c r="W162" i="6" s="1"/>
  <c r="W163" i="6" a="1"/>
  <c r="W163" i="6" s="1"/>
  <c r="W164" i="6" a="1"/>
  <c r="W164" i="6" s="1"/>
  <c r="W165" i="6" a="1"/>
  <c r="W165" i="6" s="1"/>
  <c r="W166" i="6" a="1"/>
  <c r="W166" i="6" s="1"/>
  <c r="W167" i="6" a="1"/>
  <c r="W167" i="6" s="1"/>
  <c r="W168" i="6" a="1"/>
  <c r="W168" i="6" s="1"/>
  <c r="W169" i="6" a="1"/>
  <c r="W169" i="6" s="1"/>
  <c r="W170" i="6" a="1"/>
  <c r="W170" i="6" s="1"/>
  <c r="W171" i="6" a="1"/>
  <c r="W171" i="6" s="1"/>
  <c r="W172" i="6" a="1"/>
  <c r="W172" i="6" s="1"/>
  <c r="W173" i="6" a="1"/>
  <c r="W173" i="6" s="1"/>
  <c r="W174" i="6" a="1"/>
  <c r="W174" i="6" s="1"/>
  <c r="W175" i="6" a="1"/>
  <c r="W175" i="6" s="1"/>
  <c r="W176" i="6" a="1"/>
  <c r="W176" i="6" s="1"/>
  <c r="W177" i="6" a="1"/>
  <c r="W177" i="6" s="1"/>
  <c r="W178" i="6" a="1"/>
  <c r="W178" i="6" s="1"/>
  <c r="W4" i="6" a="1"/>
  <c r="W4" i="6" s="1"/>
  <c r="W5" i="6" a="1"/>
  <c r="W5" i="6"/>
  <c r="W6" i="6" a="1"/>
  <c r="W6" i="6" s="1"/>
  <c r="W7" i="6" a="1"/>
  <c r="W7" i="6"/>
  <c r="W8" i="6" a="1"/>
  <c r="W8" i="6" s="1"/>
  <c r="W9" i="6" a="1"/>
  <c r="W9" i="6" s="1"/>
  <c r="W10" i="6" a="1"/>
  <c r="W10" i="6" s="1"/>
  <c r="W11" i="6" a="1"/>
  <c r="W11" i="6" s="1"/>
  <c r="AV4" i="4" a="1"/>
  <c r="AV4" i="4" s="1"/>
  <c r="AV5" i="4" a="1"/>
  <c r="AV5" i="4"/>
  <c r="AV6" i="4" a="1"/>
  <c r="AV6" i="4"/>
  <c r="AV7" i="4" a="1"/>
  <c r="AV7" i="4"/>
  <c r="AV8" i="4" a="1"/>
  <c r="AV8" i="4" s="1"/>
  <c r="AV9" i="4" a="1"/>
  <c r="AV9" i="4"/>
  <c r="AV10" i="4" a="1"/>
  <c r="AV10" i="4"/>
  <c r="AV11" i="4" a="1"/>
  <c r="AV11" i="4"/>
  <c r="AV12" i="4" a="1"/>
  <c r="AV12" i="4" s="1"/>
  <c r="AV13" i="4" a="1"/>
  <c r="AV13" i="4"/>
  <c r="AV14" i="4" a="1"/>
  <c r="AV14" i="4"/>
  <c r="AV3" i="4" a="1"/>
  <c r="AV3" i="4" s="1"/>
  <c r="P3" i="2"/>
  <c r="H2" i="10"/>
  <c r="G2" i="10"/>
  <c r="F2" i="10"/>
  <c r="W3" i="2"/>
  <c r="U3" i="9" a="1"/>
  <c r="U3" i="9" s="1"/>
  <c r="U7" i="9" a="1"/>
  <c r="U7" i="9" s="1"/>
  <c r="U6" i="9" a="1"/>
  <c r="U6" i="9" s="1"/>
  <c r="U5" i="9" a="1"/>
  <c r="U5" i="9" s="1"/>
  <c r="U4" i="9" a="1"/>
  <c r="U4" i="9" s="1"/>
  <c r="AN4" i="7" a="1"/>
  <c r="AN4" i="7" s="1"/>
  <c r="AN5" i="7" a="1"/>
  <c r="AN5" i="7"/>
  <c r="AN6" i="7" a="1"/>
  <c r="AN6" i="7" s="1"/>
  <c r="AN7" i="7" a="1"/>
  <c r="AN7" i="7"/>
  <c r="AN8" i="7" a="1"/>
  <c r="AN8" i="7" s="1"/>
  <c r="AN9" i="7" a="1"/>
  <c r="AN9" i="7"/>
  <c r="AN10" i="7" a="1"/>
  <c r="AN10" i="7" s="1"/>
  <c r="AN11" i="7" a="1"/>
  <c r="AN11" i="7"/>
  <c r="AN12" i="7" a="1"/>
  <c r="AN12" i="7" s="1"/>
  <c r="AN13" i="7" a="1"/>
  <c r="AN13" i="7"/>
  <c r="AN14" i="7" a="1"/>
  <c r="AN14" i="7" s="1"/>
  <c r="AN15" i="7" a="1"/>
  <c r="AN15" i="7"/>
  <c r="AN16" i="7" a="1"/>
  <c r="AN16" i="7" s="1"/>
  <c r="AN17" i="7" a="1"/>
  <c r="AN17" i="7"/>
  <c r="AN18" i="7" a="1"/>
  <c r="AN18" i="7" s="1"/>
  <c r="AN19" i="7" a="1"/>
  <c r="AN19" i="7"/>
  <c r="AN20" i="7" a="1"/>
  <c r="AN20" i="7" s="1"/>
  <c r="AN21" i="7" a="1"/>
  <c r="AN21" i="7"/>
  <c r="AN22" i="7" a="1"/>
  <c r="AN22" i="7" s="1"/>
  <c r="AN23" i="7" a="1"/>
  <c r="AN23" i="7"/>
  <c r="AN24" i="7" a="1"/>
  <c r="AN24" i="7" s="1"/>
  <c r="AN25" i="7" a="1"/>
  <c r="AN25" i="7"/>
  <c r="AN26" i="7" a="1"/>
  <c r="AN26" i="7" s="1"/>
  <c r="AN27" i="7" a="1"/>
  <c r="AN27" i="7"/>
  <c r="AN28" i="7" a="1"/>
  <c r="AN28" i="7" s="1"/>
  <c r="AN29" i="7" a="1"/>
  <c r="AN29" i="7"/>
  <c r="AN30" i="7" a="1"/>
  <c r="AN30" i="7" s="1"/>
  <c r="AN31" i="7" a="1"/>
  <c r="AN31" i="7"/>
  <c r="AN32" i="7" a="1"/>
  <c r="AN32" i="7" s="1"/>
  <c r="AN33" i="7" a="1"/>
  <c r="AN33" i="7"/>
  <c r="AN34" i="7" a="1"/>
  <c r="AN34" i="7" s="1"/>
  <c r="AN35" i="7" a="1"/>
  <c r="AN35" i="7"/>
  <c r="AN36" i="7" a="1"/>
  <c r="AN36" i="7" s="1"/>
  <c r="AN37" i="7" a="1"/>
  <c r="AN37" i="7"/>
  <c r="AN38" i="7" a="1"/>
  <c r="AN38" i="7" s="1"/>
  <c r="AN39" i="7" a="1"/>
  <c r="AN39" i="7"/>
  <c r="AN40" i="7" a="1"/>
  <c r="AN40" i="7" s="1"/>
  <c r="AN41" i="7" a="1"/>
  <c r="AN41" i="7"/>
  <c r="AN42" i="7" a="1"/>
  <c r="AN42" i="7" s="1"/>
  <c r="AN43" i="7" a="1"/>
  <c r="AN43" i="7"/>
  <c r="AN44" i="7" a="1"/>
  <c r="AN44" i="7" s="1"/>
  <c r="AN45" i="7" a="1"/>
  <c r="AN45" i="7"/>
  <c r="AN46" i="7" a="1"/>
  <c r="AN46" i="7" s="1"/>
  <c r="AN47" i="7" a="1"/>
  <c r="AN47" i="7"/>
  <c r="AN48" i="7" a="1"/>
  <c r="AN48" i="7" s="1"/>
  <c r="AN49" i="7" a="1"/>
  <c r="AN49" i="7"/>
  <c r="AN50" i="7" a="1"/>
  <c r="AN50" i="7" s="1"/>
  <c r="AN51" i="7" a="1"/>
  <c r="AN51" i="7"/>
  <c r="AN52" i="7" a="1"/>
  <c r="AN52" i="7" s="1"/>
  <c r="AN53" i="7" a="1"/>
  <c r="AN53" i="7"/>
  <c r="AN54" i="7" a="1"/>
  <c r="AN54" i="7" s="1"/>
  <c r="AN55" i="7" a="1"/>
  <c r="AN55" i="7"/>
  <c r="AN56" i="7" a="1"/>
  <c r="AN56" i="7" s="1"/>
  <c r="AN57" i="7" a="1"/>
  <c r="AN57" i="7"/>
  <c r="AN58" i="7" a="1"/>
  <c r="AN58" i="7" s="1"/>
  <c r="AN59" i="7" a="1"/>
  <c r="AN59" i="7"/>
  <c r="AN60" i="7" a="1"/>
  <c r="AN60" i="7" s="1"/>
  <c r="AN61" i="7" a="1"/>
  <c r="AN61" i="7"/>
  <c r="AN62" i="7" a="1"/>
  <c r="AN62" i="7" s="1"/>
  <c r="AN63" i="7" a="1"/>
  <c r="AN63" i="7"/>
  <c r="AN64" i="7" a="1"/>
  <c r="AN64" i="7" s="1"/>
  <c r="AN65" i="7" a="1"/>
  <c r="AN65" i="7"/>
  <c r="AN66" i="7" a="1"/>
  <c r="AN66" i="7" s="1"/>
  <c r="AN67" i="7" a="1"/>
  <c r="AN67" i="7"/>
  <c r="AN68" i="7" a="1"/>
  <c r="AN68" i="7" s="1"/>
  <c r="AN69" i="7" a="1"/>
  <c r="AN69" i="7"/>
  <c r="AN70" i="7" a="1"/>
  <c r="AN70" i="7" s="1"/>
  <c r="AN71" i="7" a="1"/>
  <c r="AN71" i="7"/>
  <c r="AN72" i="7" a="1"/>
  <c r="AN72" i="7" s="1"/>
  <c r="AN73" i="7" a="1"/>
  <c r="AN73" i="7"/>
  <c r="AN74" i="7" a="1"/>
  <c r="AN74" i="7" s="1"/>
  <c r="AN75" i="7" a="1"/>
  <c r="AN75" i="7"/>
  <c r="AN76" i="7" a="1"/>
  <c r="AN76" i="7" s="1"/>
  <c r="AN77" i="7" a="1"/>
  <c r="AN77" i="7"/>
  <c r="AN78" i="7" a="1"/>
  <c r="AN78" i="7" s="1"/>
  <c r="AN79" i="7" a="1"/>
  <c r="AN79" i="7"/>
  <c r="AN80" i="7" a="1"/>
  <c r="AN80" i="7" s="1"/>
  <c r="AN81" i="7" a="1"/>
  <c r="AN81" i="7" s="1"/>
  <c r="AN82" i="7" a="1"/>
  <c r="AN82" i="7" s="1"/>
  <c r="AN83" i="7" a="1"/>
  <c r="AN83" i="7"/>
  <c r="AN84" i="7" a="1"/>
  <c r="AN84" i="7" s="1"/>
  <c r="AN85" i="7" a="1"/>
  <c r="AN85" i="7" s="1"/>
  <c r="AN86" i="7" a="1"/>
  <c r="AN86" i="7" s="1"/>
  <c r="AN87" i="7" a="1"/>
  <c r="AN87" i="7"/>
  <c r="AN88" i="7" a="1"/>
  <c r="AN88" i="7" s="1"/>
  <c r="AN89" i="7" a="1"/>
  <c r="AN89" i="7" s="1"/>
  <c r="AN90" i="7" a="1"/>
  <c r="AN90" i="7" s="1"/>
  <c r="AN91" i="7" a="1"/>
  <c r="AN91" i="7"/>
  <c r="AN92" i="7" a="1"/>
  <c r="AN92" i="7" s="1"/>
  <c r="AN93" i="7" a="1"/>
  <c r="AN93" i="7" s="1"/>
  <c r="AN94" i="7" a="1"/>
  <c r="AN94" i="7" s="1"/>
  <c r="AN95" i="7" a="1"/>
  <c r="AN95" i="7"/>
  <c r="AN96" i="7" a="1"/>
  <c r="AN96" i="7" s="1"/>
  <c r="AN97" i="7" a="1"/>
  <c r="AN97" i="7" s="1"/>
  <c r="AN98" i="7" a="1"/>
  <c r="AN98" i="7" s="1"/>
  <c r="AN99" i="7" a="1"/>
  <c r="AN99" i="7"/>
  <c r="AN100" i="7" a="1"/>
  <c r="AN100" i="7" s="1"/>
  <c r="AN101" i="7" a="1"/>
  <c r="AN101" i="7" s="1"/>
  <c r="AN102" i="7" a="1"/>
  <c r="AN102" i="7" s="1"/>
  <c r="AN103" i="7" a="1"/>
  <c r="AN103" i="7"/>
  <c r="AN104" i="7" a="1"/>
  <c r="AN104" i="7" s="1"/>
  <c r="AN105" i="7" a="1"/>
  <c r="AN105" i="7" s="1"/>
  <c r="AN106" i="7" a="1"/>
  <c r="AN106" i="7" s="1"/>
  <c r="AN107" i="7" a="1"/>
  <c r="AN107" i="7"/>
  <c r="AN108" i="7" a="1"/>
  <c r="AN108" i="7" s="1"/>
  <c r="AN109" i="7" a="1"/>
  <c r="AN109" i="7" s="1"/>
  <c r="AN110" i="7" a="1"/>
  <c r="AN110" i="7" s="1"/>
  <c r="AN111" i="7" a="1"/>
  <c r="AN111" i="7"/>
  <c r="AN112" i="7" a="1"/>
  <c r="AN112" i="7" s="1"/>
  <c r="AN113" i="7" a="1"/>
  <c r="AN113" i="7" s="1"/>
  <c r="AN114" i="7" a="1"/>
  <c r="AN114" i="7" s="1"/>
  <c r="AN115" i="7" a="1"/>
  <c r="AN115" i="7"/>
  <c r="AN116" i="7" a="1"/>
  <c r="AN116" i="7" s="1"/>
  <c r="AN117" i="7" a="1"/>
  <c r="AN117" i="7" s="1"/>
  <c r="AN118" i="7" a="1"/>
  <c r="AN118" i="7" s="1"/>
  <c r="AN119" i="7" a="1"/>
  <c r="AN119" i="7"/>
  <c r="AN120" i="7" a="1"/>
  <c r="AN120" i="7" s="1"/>
  <c r="AN121" i="7" a="1"/>
  <c r="AN121" i="7" s="1"/>
  <c r="AN122" i="7" a="1"/>
  <c r="AN122" i="7" s="1"/>
  <c r="AN123" i="7" a="1"/>
  <c r="AN123" i="7"/>
  <c r="AN124" i="7" a="1"/>
  <c r="AN124" i="7" s="1"/>
  <c r="AN125" i="7" a="1"/>
  <c r="AN125" i="7" s="1"/>
  <c r="AN126" i="7" a="1"/>
  <c r="AN126" i="7" s="1"/>
  <c r="AN127" i="7" a="1"/>
  <c r="AN127" i="7"/>
  <c r="AN128" i="7" a="1"/>
  <c r="AN128" i="7" s="1"/>
  <c r="AN129" i="7" a="1"/>
  <c r="AN129" i="7" s="1"/>
  <c r="AN130" i="7" a="1"/>
  <c r="AN130" i="7" s="1"/>
  <c r="AN131" i="7" a="1"/>
  <c r="AN131" i="7"/>
  <c r="AN132" i="7" a="1"/>
  <c r="AN132" i="7" s="1"/>
  <c r="AN133" i="7" a="1"/>
  <c r="AN133" i="7" s="1"/>
  <c r="AN134" i="7" a="1"/>
  <c r="AN134" i="7" s="1"/>
  <c r="AN135" i="7" a="1"/>
  <c r="AN135" i="7"/>
  <c r="AN136" i="7" a="1"/>
  <c r="AN136" i="7" s="1"/>
  <c r="AN137" i="7" a="1"/>
  <c r="AN137" i="7" s="1"/>
  <c r="AN138" i="7" a="1"/>
  <c r="AN138" i="7" s="1"/>
  <c r="AN139" i="7" a="1"/>
  <c r="AN139" i="7"/>
  <c r="AN140" i="7" a="1"/>
  <c r="AN140" i="7" s="1"/>
  <c r="AN141" i="7" a="1"/>
  <c r="AN141" i="7" s="1"/>
  <c r="AN142" i="7" a="1"/>
  <c r="AN142" i="7" s="1"/>
  <c r="AN143" i="7" a="1"/>
  <c r="AN143" i="7"/>
  <c r="AN144" i="7" a="1"/>
  <c r="AN144" i="7" s="1"/>
  <c r="AN145" i="7" a="1"/>
  <c r="AN145" i="7" s="1"/>
  <c r="AN146" i="7" a="1"/>
  <c r="AN146" i="7" s="1"/>
  <c r="AN147" i="7" a="1"/>
  <c r="AN147" i="7"/>
  <c r="AN148" i="7" a="1"/>
  <c r="AN148" i="7" s="1"/>
  <c r="AN149" i="7" a="1"/>
  <c r="AN149" i="7" s="1"/>
  <c r="AN150" i="7" a="1"/>
  <c r="AN150" i="7" s="1"/>
  <c r="AN151" i="7" a="1"/>
  <c r="AN151" i="7"/>
  <c r="AN152" i="7" a="1"/>
  <c r="AN152" i="7" s="1"/>
  <c r="AN153" i="7" a="1"/>
  <c r="AN153" i="7" s="1"/>
  <c r="AN154" i="7" a="1"/>
  <c r="AN154" i="7" s="1"/>
  <c r="AN155" i="7" a="1"/>
  <c r="AN155" i="7"/>
  <c r="AN156" i="7" a="1"/>
  <c r="AN156" i="7" s="1"/>
  <c r="AN157" i="7" a="1"/>
  <c r="AN157" i="7" s="1"/>
  <c r="AN158" i="7" a="1"/>
  <c r="AN158" i="7" s="1"/>
  <c r="AN159" i="7" a="1"/>
  <c r="AN159" i="7"/>
  <c r="AN160" i="7" a="1"/>
  <c r="AN160" i="7" s="1"/>
  <c r="AN161" i="7" a="1"/>
  <c r="AN161" i="7" s="1"/>
  <c r="AN162" i="7" a="1"/>
  <c r="AN162" i="7" s="1"/>
  <c r="AN163" i="7" a="1"/>
  <c r="AN163" i="7"/>
  <c r="AN164" i="7" a="1"/>
  <c r="AN164" i="7" s="1"/>
  <c r="AN165" i="7" a="1"/>
  <c r="AN165" i="7" s="1"/>
  <c r="AN166" i="7" a="1"/>
  <c r="AN166" i="7" s="1"/>
  <c r="AN167" i="7" a="1"/>
  <c r="AN167" i="7"/>
  <c r="AN168" i="7" a="1"/>
  <c r="AN168" i="7" s="1"/>
  <c r="AN169" i="7" a="1"/>
  <c r="AN169" i="7" s="1"/>
  <c r="AN170" i="7" a="1"/>
  <c r="AN170" i="7" s="1"/>
  <c r="AN171" i="7" a="1"/>
  <c r="AN171" i="7"/>
  <c r="AN172" i="7" a="1"/>
  <c r="AN172" i="7" s="1"/>
  <c r="AN173" i="7" a="1"/>
  <c r="AN173" i="7" s="1"/>
  <c r="AN174" i="7" a="1"/>
  <c r="AN174" i="7" s="1"/>
  <c r="AN175" i="7" a="1"/>
  <c r="AN175" i="7"/>
  <c r="AN176" i="7" a="1"/>
  <c r="AN176" i="7" s="1"/>
  <c r="AN177" i="7" a="1"/>
  <c r="AN177" i="7" s="1"/>
  <c r="AN178" i="7" a="1"/>
  <c r="AN178" i="7" s="1"/>
  <c r="AN3" i="7" a="1"/>
  <c r="AN3" i="7" s="1"/>
  <c r="AN3" i="6" a="1"/>
  <c r="AN3" i="6" s="1"/>
  <c r="BC4" i="5" a="1"/>
  <c r="BC4" i="5" s="1"/>
  <c r="BC5" i="5" a="1"/>
  <c r="BC5" i="5"/>
  <c r="BC6" i="5" a="1"/>
  <c r="BC6" i="5"/>
  <c r="BC7" i="5" a="1"/>
  <c r="BC7" i="5" s="1"/>
  <c r="BC8" i="5" a="1"/>
  <c r="BC8" i="5" s="1"/>
  <c r="BC9" i="5" a="1"/>
  <c r="BC9" i="5" s="1"/>
  <c r="BC10" i="5" a="1"/>
  <c r="BC10" i="5" s="1"/>
  <c r="BC11" i="5" a="1"/>
  <c r="BC11" i="5" s="1"/>
  <c r="BC12" i="5" a="1"/>
  <c r="BC12" i="5" s="1"/>
  <c r="BC13" i="5" a="1"/>
  <c r="BC13" i="5" s="1"/>
  <c r="BC14" i="5" a="1"/>
  <c r="BC14" i="5" s="1"/>
  <c r="BC15" i="5" a="1"/>
  <c r="BC15" i="5" s="1"/>
  <c r="BC16" i="5" a="1"/>
  <c r="BC16" i="5" s="1"/>
  <c r="BC17" i="5" a="1"/>
  <c r="BC17" i="5" s="1"/>
  <c r="BC18" i="5" a="1"/>
  <c r="BC18" i="5" s="1"/>
  <c r="BC19" i="5" a="1"/>
  <c r="BC19" i="5" s="1"/>
  <c r="BC20" i="5" a="1"/>
  <c r="BC20" i="5" s="1"/>
  <c r="BC21" i="5" a="1"/>
  <c r="BC21" i="5" s="1"/>
  <c r="BC22" i="5" a="1"/>
  <c r="BC22" i="5" s="1"/>
  <c r="BC23" i="5" a="1"/>
  <c r="BC23" i="5" s="1"/>
  <c r="BC24" i="5" a="1"/>
  <c r="BC24" i="5" s="1"/>
  <c r="BC25" i="5" a="1"/>
  <c r="BC25" i="5" s="1"/>
  <c r="BC26" i="5" a="1"/>
  <c r="BC26" i="5" s="1"/>
  <c r="BC27" i="5" a="1"/>
  <c r="BC27" i="5" s="1"/>
  <c r="BC28" i="5" a="1"/>
  <c r="BC28" i="5" s="1"/>
  <c r="BC29" i="5" a="1"/>
  <c r="BC29" i="5"/>
  <c r="BC30" i="5" a="1"/>
  <c r="BC30" i="5" s="1"/>
  <c r="BC31" i="5" a="1"/>
  <c r="BC31" i="5" s="1"/>
  <c r="BC32" i="5" a="1"/>
  <c r="BC32" i="5" s="1"/>
  <c r="BC33" i="5" a="1"/>
  <c r="BC33" i="5"/>
  <c r="BC34" i="5" a="1"/>
  <c r="BC34" i="5" s="1"/>
  <c r="BC35" i="5" a="1"/>
  <c r="BC35" i="5" s="1"/>
  <c r="BC36" i="5" a="1"/>
  <c r="BC36" i="5" s="1"/>
  <c r="BC37" i="5" a="1"/>
  <c r="BC37" i="5" s="1"/>
  <c r="BC38" i="5" a="1"/>
  <c r="BC38" i="5" s="1"/>
  <c r="BC39" i="5" a="1"/>
  <c r="BC39" i="5" s="1"/>
  <c r="BC40" i="5" a="1"/>
  <c r="BC40" i="5" s="1"/>
  <c r="BC41" i="5" a="1"/>
  <c r="BC41" i="5" s="1"/>
  <c r="BC42" i="5" a="1"/>
  <c r="BC42" i="5" s="1"/>
  <c r="BC43" i="5" a="1"/>
  <c r="BC43" i="5" s="1"/>
  <c r="BC44" i="5" a="1"/>
  <c r="BC44" i="5" s="1"/>
  <c r="BC45" i="5" a="1"/>
  <c r="BC45" i="5" s="1"/>
  <c r="BC46" i="5" a="1"/>
  <c r="BC46" i="5" s="1"/>
  <c r="BC47" i="5" a="1"/>
  <c r="BC47" i="5" s="1"/>
  <c r="BC48" i="5" a="1"/>
  <c r="BC48" i="5" s="1"/>
  <c r="BC49" i="5" a="1"/>
  <c r="BC49" i="5" s="1"/>
  <c r="BC50" i="5" a="1"/>
  <c r="BC50" i="5" s="1"/>
  <c r="BC51" i="5" a="1"/>
  <c r="BC51" i="5" s="1"/>
  <c r="BC52" i="5" a="1"/>
  <c r="BC52" i="5" s="1"/>
  <c r="BC53" i="5" a="1"/>
  <c r="BC53" i="5" s="1"/>
  <c r="BC54" i="5" a="1"/>
  <c r="BC54" i="5" s="1"/>
  <c r="BC55" i="5" a="1"/>
  <c r="BC55" i="5"/>
  <c r="BC56" i="5" a="1"/>
  <c r="BC56" i="5" s="1"/>
  <c r="BC57" i="5" a="1"/>
  <c r="BC57" i="5" s="1"/>
  <c r="BC58" i="5" a="1"/>
  <c r="BC58" i="5" s="1"/>
  <c r="BC59" i="5" a="1"/>
  <c r="BC59" i="5" s="1"/>
  <c r="BC60" i="5" a="1"/>
  <c r="BC60" i="5" s="1"/>
  <c r="BC61" i="5" a="1"/>
  <c r="BC61" i="5" s="1"/>
  <c r="BC62" i="5" a="1"/>
  <c r="BC62" i="5" s="1"/>
  <c r="BC63" i="5" a="1"/>
  <c r="BC63" i="5"/>
  <c r="BC64" i="5" a="1"/>
  <c r="BC64" i="5" s="1"/>
  <c r="BC65" i="5" a="1"/>
  <c r="BC65" i="5" s="1"/>
  <c r="BC66" i="5" a="1"/>
  <c r="BC66" i="5" s="1"/>
  <c r="BC67" i="5" a="1"/>
  <c r="BC67" i="5" s="1"/>
  <c r="BC68" i="5" a="1"/>
  <c r="BC68" i="5" s="1"/>
  <c r="BC69" i="5" a="1"/>
  <c r="BC69" i="5" s="1"/>
  <c r="BC70" i="5" a="1"/>
  <c r="BC70" i="5"/>
  <c r="BC71" i="5" a="1"/>
  <c r="BC71" i="5" s="1"/>
  <c r="BC72" i="5" a="1"/>
  <c r="BC72" i="5" s="1"/>
  <c r="BC73" i="5" a="1"/>
  <c r="BC73" i="5" s="1"/>
  <c r="BC74" i="5" a="1"/>
  <c r="BC74" i="5" s="1"/>
  <c r="BC75" i="5" a="1"/>
  <c r="BC75" i="5" s="1"/>
  <c r="BC76" i="5" a="1"/>
  <c r="BC76" i="5" s="1"/>
  <c r="BC77" i="5" a="1"/>
  <c r="BC77" i="5" s="1"/>
  <c r="BC78" i="5" a="1"/>
  <c r="BC78" i="5" s="1"/>
  <c r="BC79" i="5" a="1"/>
  <c r="BC79" i="5" s="1"/>
  <c r="BC80" i="5" a="1"/>
  <c r="BC80" i="5" s="1"/>
  <c r="BC81" i="5" a="1"/>
  <c r="BC81" i="5" s="1"/>
  <c r="BC82" i="5" a="1"/>
  <c r="BC82" i="5" s="1"/>
  <c r="BC83" i="5" a="1"/>
  <c r="BC83" i="5"/>
  <c r="BC84" i="5" a="1"/>
  <c r="BC84" i="5" s="1"/>
  <c r="BC85" i="5" a="1"/>
  <c r="BC85" i="5" s="1"/>
  <c r="BC86" i="5" a="1"/>
  <c r="BC86" i="5" s="1"/>
  <c r="BC87" i="5" a="1"/>
  <c r="BC87" i="5" s="1"/>
  <c r="BC88" i="5" a="1"/>
  <c r="BC88" i="5" s="1"/>
  <c r="BC89" i="5" a="1"/>
  <c r="BC89" i="5" s="1"/>
  <c r="BC90" i="5" a="1"/>
  <c r="BC90" i="5" s="1"/>
  <c r="BC91" i="5" a="1"/>
  <c r="BC91" i="5" s="1"/>
  <c r="BC92" i="5" a="1"/>
  <c r="BC92" i="5" s="1"/>
  <c r="BC93" i="5" a="1"/>
  <c r="BC93" i="5" s="1"/>
  <c r="BC94" i="5" a="1"/>
  <c r="BC94" i="5" s="1"/>
  <c r="BC95" i="5" a="1"/>
  <c r="BC95" i="5" s="1"/>
  <c r="BC96" i="5" a="1"/>
  <c r="BC96" i="5" s="1"/>
  <c r="BC97" i="5" a="1"/>
  <c r="BC97" i="5" s="1"/>
  <c r="BC98" i="5" a="1"/>
  <c r="BC98" i="5" s="1"/>
  <c r="BC99" i="5" a="1"/>
  <c r="BC99" i="5" s="1"/>
  <c r="BC100" i="5" a="1"/>
  <c r="BC100" i="5" s="1"/>
  <c r="BC101" i="5" a="1"/>
  <c r="BC101" i="5" s="1"/>
  <c r="BC102" i="5" a="1"/>
  <c r="BC102" i="5" s="1"/>
  <c r="BC103" i="5" a="1"/>
  <c r="BC103" i="5" s="1"/>
  <c r="BC104" i="5" a="1"/>
  <c r="BC104" i="5" s="1"/>
  <c r="BC105" i="5" a="1"/>
  <c r="BC105" i="5"/>
  <c r="BC106" i="5" a="1"/>
  <c r="BC106" i="5" s="1"/>
  <c r="BC107" i="5" a="1"/>
  <c r="BC107" i="5" s="1"/>
  <c r="BC108" i="5" a="1"/>
  <c r="BC108" i="5" s="1"/>
  <c r="BC109" i="5" a="1"/>
  <c r="BC109" i="5" s="1"/>
  <c r="BC110" i="5" a="1"/>
  <c r="BC110" i="5" s="1"/>
  <c r="BC111" i="5" a="1"/>
  <c r="BC111" i="5" s="1"/>
  <c r="BC112" i="5" a="1"/>
  <c r="BC112" i="5" s="1"/>
  <c r="BC113" i="5" a="1"/>
  <c r="BC113" i="5" s="1"/>
  <c r="BC114" i="5" a="1"/>
  <c r="BC114" i="5" s="1"/>
  <c r="BC115" i="5" a="1"/>
  <c r="BC115" i="5"/>
  <c r="BC116" i="5" a="1"/>
  <c r="BC116" i="5" s="1"/>
  <c r="BC117" i="5" a="1"/>
  <c r="BC117" i="5" s="1"/>
  <c r="BC118" i="5" a="1"/>
  <c r="BC118" i="5" s="1"/>
  <c r="BC119" i="5" a="1"/>
  <c r="BC119" i="5" s="1"/>
  <c r="BC120" i="5" a="1"/>
  <c r="BC120" i="5" s="1"/>
  <c r="BC121" i="5" a="1"/>
  <c r="BC121" i="5"/>
  <c r="BC122" i="5" a="1"/>
  <c r="BC122" i="5" s="1"/>
  <c r="BC123" i="5" a="1"/>
  <c r="BC123" i="5" s="1"/>
  <c r="BC124" i="5" a="1"/>
  <c r="BC124" i="5" s="1"/>
  <c r="BC125" i="5" a="1"/>
  <c r="BC125" i="5" s="1"/>
  <c r="BC126" i="5" a="1"/>
  <c r="BC126" i="5" s="1"/>
  <c r="BC127" i="5" a="1"/>
  <c r="BC127" i="5" s="1"/>
  <c r="BC128" i="5" a="1"/>
  <c r="BC128" i="5" s="1"/>
  <c r="BC129" i="5" a="1"/>
  <c r="BC129" i="5" s="1"/>
  <c r="BC130" i="5" a="1"/>
  <c r="BC130" i="5" s="1"/>
  <c r="BC131" i="5" a="1"/>
  <c r="BC131" i="5" s="1"/>
  <c r="BC132" i="5" a="1"/>
  <c r="BC132" i="5" s="1"/>
  <c r="BC133" i="5" a="1"/>
  <c r="BC133" i="5" s="1"/>
  <c r="BC134" i="5" a="1"/>
  <c r="BC134" i="5" s="1"/>
  <c r="BC135" i="5" a="1"/>
  <c r="BC135" i="5" s="1"/>
  <c r="BC136" i="5" a="1"/>
  <c r="BC136" i="5" s="1"/>
  <c r="BC137" i="5" a="1"/>
  <c r="BC137" i="5" s="1"/>
  <c r="BC138" i="5" a="1"/>
  <c r="BC138" i="5" s="1"/>
  <c r="BC139" i="5" a="1"/>
  <c r="BC139" i="5" s="1"/>
  <c r="BC140" i="5" a="1"/>
  <c r="BC140" i="5" s="1"/>
  <c r="BC141" i="5" a="1"/>
  <c r="BC141" i="5" s="1"/>
  <c r="BC142" i="5" a="1"/>
  <c r="BC142" i="5" s="1"/>
  <c r="BC143" i="5" a="1"/>
  <c r="BC143" i="5" s="1"/>
  <c r="BC144" i="5" a="1"/>
  <c r="BC144" i="5" s="1"/>
  <c r="BC145" i="5" a="1"/>
  <c r="BC145" i="5" s="1"/>
  <c r="BC146" i="5" a="1"/>
  <c r="BC146" i="5" s="1"/>
  <c r="BC147" i="5" a="1"/>
  <c r="BC147" i="5" s="1"/>
  <c r="BC148" i="5" a="1"/>
  <c r="BC148" i="5" s="1"/>
  <c r="BC149" i="5" a="1"/>
  <c r="BC149" i="5" s="1"/>
  <c r="BC150" i="5" a="1"/>
  <c r="BC150" i="5" s="1"/>
  <c r="BC151" i="5" a="1"/>
  <c r="BC151" i="5"/>
  <c r="BC152" i="5" a="1"/>
  <c r="BC152" i="5" s="1"/>
  <c r="BC153" i="5" a="1"/>
  <c r="BC153" i="5" s="1"/>
  <c r="BC154" i="5" a="1"/>
  <c r="BC154" i="5" s="1"/>
  <c r="BC155" i="5" a="1"/>
  <c r="BC155" i="5" s="1"/>
  <c r="BC156" i="5" a="1"/>
  <c r="BC156" i="5" s="1"/>
  <c r="BC157" i="5" a="1"/>
  <c r="BC157" i="5" s="1"/>
  <c r="BC158" i="5" a="1"/>
  <c r="BC158" i="5"/>
  <c r="BC159" i="5" a="1"/>
  <c r="BC159" i="5" s="1"/>
  <c r="BC160" i="5" a="1"/>
  <c r="BC160" i="5" s="1"/>
  <c r="BC161" i="5" a="1"/>
  <c r="BC161" i="5" s="1"/>
  <c r="BC162" i="5" a="1"/>
  <c r="BC162" i="5"/>
  <c r="BC163" i="5" a="1"/>
  <c r="BC163" i="5"/>
  <c r="BC164" i="5" a="1"/>
  <c r="BC164" i="5" s="1"/>
  <c r="BC165" i="5" a="1"/>
  <c r="BC165" i="5" s="1"/>
  <c r="BC166" i="5" a="1"/>
  <c r="BC166" i="5" s="1"/>
  <c r="BC167" i="5" a="1"/>
  <c r="BC167" i="5"/>
  <c r="BC168" i="5" a="1"/>
  <c r="BC168" i="5" s="1"/>
  <c r="BC169" i="5" a="1"/>
  <c r="BC169" i="5" s="1"/>
  <c r="BC170" i="5" a="1"/>
  <c r="BC170" i="5" s="1"/>
  <c r="BC171" i="5" a="1"/>
  <c r="BC171" i="5" s="1"/>
  <c r="BC172" i="5" a="1"/>
  <c r="BC172" i="5" s="1"/>
  <c r="BC173" i="5" a="1"/>
  <c r="BC173" i="5" s="1"/>
  <c r="BC174" i="5" a="1"/>
  <c r="BC174" i="5" s="1"/>
  <c r="BC175" i="5" a="1"/>
  <c r="BC175" i="5" s="1"/>
  <c r="BC176" i="5" a="1"/>
  <c r="BC176" i="5" s="1"/>
  <c r="BC177" i="5" a="1"/>
  <c r="BC177" i="5" s="1"/>
  <c r="BC178" i="5" a="1"/>
  <c r="BC178" i="5" s="1"/>
  <c r="BC3" i="5" a="1"/>
  <c r="BC3" i="5" s="1"/>
  <c r="X3" i="7" a="1"/>
  <c r="X3" i="7" s="1"/>
  <c r="I46" i="8" l="1"/>
  <c r="I46" i="2"/>
  <c r="I45" i="8"/>
  <c r="I45" i="2"/>
  <c r="I43" i="8"/>
  <c r="I43" i="2"/>
  <c r="I38" i="2"/>
  <c r="I38" i="6"/>
  <c r="I38" i="5"/>
  <c r="I37" i="8"/>
  <c r="I37" i="2"/>
  <c r="I36" i="8"/>
  <c r="I36" i="2"/>
  <c r="I33" i="2"/>
  <c r="I33" i="8"/>
  <c r="I28" i="8"/>
  <c r="I28" i="2"/>
  <c r="I25" i="2"/>
  <c r="I25" i="5"/>
  <c r="I24" i="8"/>
  <c r="I24" i="2"/>
  <c r="I23" i="2"/>
  <c r="I23" i="8"/>
  <c r="I22" i="8"/>
  <c r="I22" i="2"/>
  <c r="I21" i="8"/>
  <c r="I21" i="2"/>
  <c r="I19" i="8"/>
  <c r="I19" i="2"/>
  <c r="I18" i="5"/>
  <c r="I18" i="2"/>
  <c r="I17" i="2"/>
  <c r="I17" i="5"/>
  <c r="I16" i="5"/>
  <c r="I16" i="2"/>
  <c r="I15" i="5"/>
  <c r="I15" i="2"/>
  <c r="I14" i="2"/>
  <c r="I14" i="5"/>
  <c r="I12" i="2"/>
  <c r="I12" i="5"/>
  <c r="I11" i="2"/>
  <c r="I11" i="5"/>
  <c r="I10" i="5"/>
  <c r="I10" i="2"/>
  <c r="I6" i="5"/>
  <c r="I6" i="2"/>
  <c r="I5" i="5"/>
  <c r="I5" i="2"/>
  <c r="H46" i="2"/>
  <c r="H46" i="8"/>
  <c r="H45" i="8"/>
  <c r="H45" i="2"/>
  <c r="H43" i="8"/>
  <c r="H43" i="2"/>
  <c r="H38" i="2"/>
  <c r="H38" i="5"/>
  <c r="H38" i="6"/>
  <c r="H37" i="8"/>
  <c r="H37" i="2"/>
  <c r="H36" i="8"/>
  <c r="H36" i="2"/>
  <c r="H33" i="2"/>
  <c r="H33" i="8"/>
  <c r="H31" i="5"/>
  <c r="H31" i="2"/>
  <c r="H28" i="2"/>
  <c r="H28" i="8"/>
  <c r="H25" i="2"/>
  <c r="H25" i="5"/>
  <c r="H24" i="8"/>
  <c r="H24" i="2"/>
  <c r="H23" i="8"/>
  <c r="H23" i="2"/>
  <c r="H22" i="2"/>
  <c r="H22" i="8"/>
  <c r="H21" i="8"/>
  <c r="H21" i="2"/>
  <c r="H19" i="8"/>
  <c r="H19" i="2"/>
  <c r="H18" i="5"/>
  <c r="H18" i="2"/>
  <c r="H17" i="2"/>
  <c r="H17" i="5"/>
  <c r="H16" i="2"/>
  <c r="H16" i="5"/>
  <c r="H15" i="5"/>
  <c r="H15" i="2"/>
  <c r="H14" i="2"/>
  <c r="H14" i="5"/>
  <c r="H12" i="5"/>
  <c r="H12" i="2"/>
  <c r="H11" i="2"/>
  <c r="H11" i="5"/>
  <c r="H10" i="5"/>
  <c r="H10" i="2"/>
  <c r="H6" i="5"/>
  <c r="H6" i="2"/>
  <c r="H5" i="5"/>
  <c r="H5" i="2"/>
  <c r="G46" i="8"/>
  <c r="G46" i="2"/>
  <c r="G45" i="8"/>
  <c r="G45" i="2"/>
  <c r="G43" i="2"/>
  <c r="G43" i="8"/>
  <c r="G38" i="2"/>
  <c r="G38" i="5"/>
  <c r="G38" i="6"/>
  <c r="G37" i="8"/>
  <c r="G37" i="2"/>
  <c r="G36" i="8"/>
  <c r="G36" i="2"/>
  <c r="G33" i="2"/>
  <c r="G33" i="8"/>
  <c r="G31" i="5"/>
  <c r="G31" i="2"/>
  <c r="G28" i="8"/>
  <c r="G28" i="2"/>
  <c r="G25" i="2"/>
  <c r="G25" i="5"/>
  <c r="G24" i="8"/>
  <c r="G24" i="2"/>
  <c r="G23" i="8"/>
  <c r="G23" i="2"/>
  <c r="G22" i="2"/>
  <c r="G22" i="8"/>
  <c r="G21" i="8"/>
  <c r="G21" i="2"/>
  <c r="G19" i="2"/>
  <c r="G19" i="8"/>
  <c r="G18" i="2"/>
  <c r="G18" i="5"/>
  <c r="G17" i="2"/>
  <c r="G17" i="5"/>
  <c r="G16" i="2"/>
  <c r="G16" i="5"/>
  <c r="G15" i="5"/>
  <c r="G15" i="2"/>
  <c r="G14" i="5"/>
  <c r="G14" i="2"/>
  <c r="G12" i="5"/>
  <c r="G12" i="2"/>
  <c r="G11" i="2"/>
  <c r="G11" i="5"/>
  <c r="G10" i="5"/>
  <c r="G10" i="2"/>
  <c r="G6" i="5"/>
  <c r="G6" i="2"/>
  <c r="G5" i="5"/>
  <c r="G5" i="2"/>
  <c r="F25" i="5"/>
  <c r="F25" i="2"/>
  <c r="F23" i="8"/>
  <c r="F23" i="2"/>
  <c r="F21" i="8"/>
  <c r="F21" i="2"/>
  <c r="F18" i="2"/>
  <c r="F18" i="5"/>
  <c r="F14" i="5"/>
  <c r="F14" i="2"/>
  <c r="F12" i="5"/>
  <c r="F12" i="2"/>
  <c r="F10" i="5"/>
  <c r="F10" i="2"/>
  <c r="F6" i="2"/>
  <c r="F6" i="5"/>
  <c r="E46" i="8"/>
  <c r="E46" i="2"/>
  <c r="E45" i="2"/>
  <c r="E45" i="8"/>
  <c r="E38" i="5"/>
  <c r="E38" i="2"/>
  <c r="E37" i="2"/>
  <c r="E37" i="8"/>
  <c r="E36" i="8"/>
  <c r="E36" i="2"/>
  <c r="E33" i="8"/>
  <c r="E33" i="2"/>
  <c r="E31" i="2"/>
  <c r="E31" i="5"/>
  <c r="E28" i="8"/>
  <c r="E28" i="2"/>
  <c r="E25" i="5"/>
  <c r="E25" i="2"/>
  <c r="E24" i="2"/>
  <c r="E24" i="8"/>
  <c r="E23" i="8"/>
  <c r="E23" i="2"/>
  <c r="E22" i="8"/>
  <c r="E22" i="2"/>
  <c r="E21" i="2"/>
  <c r="E21" i="8"/>
  <c r="E19" i="2"/>
  <c r="E19" i="8"/>
  <c r="E18" i="2"/>
  <c r="E18" i="5"/>
  <c r="E17" i="5"/>
  <c r="E17" i="2"/>
  <c r="E16" i="5"/>
  <c r="E16" i="2"/>
  <c r="E15" i="5"/>
  <c r="E15" i="2"/>
  <c r="E14" i="5"/>
  <c r="E14" i="2"/>
  <c r="E12" i="5"/>
  <c r="E12" i="2"/>
  <c r="E11" i="2"/>
  <c r="E11" i="5"/>
  <c r="E10" i="2"/>
  <c r="E10" i="5"/>
  <c r="E6" i="5"/>
  <c r="E6" i="2"/>
  <c r="E5" i="5"/>
  <c r="E5" i="2"/>
  <c r="F24" i="2"/>
  <c r="F24" i="8"/>
  <c r="F22" i="2"/>
  <c r="F22" i="8"/>
  <c r="F19" i="2"/>
  <c r="F19" i="8"/>
  <c r="F15" i="2"/>
  <c r="F15" i="5"/>
  <c r="F5" i="5"/>
  <c r="F5" i="2"/>
  <c r="I31" i="5"/>
  <c r="I31" i="2"/>
  <c r="F46" i="8"/>
  <c r="F46" i="2"/>
  <c r="F45" i="8"/>
  <c r="F45" i="2"/>
  <c r="F43" i="8"/>
  <c r="F43" i="2"/>
  <c r="F38" i="5"/>
  <c r="F38" i="6"/>
  <c r="F38" i="2"/>
  <c r="F37" i="8"/>
  <c r="F37" i="2"/>
  <c r="F36" i="8"/>
  <c r="F36" i="2"/>
  <c r="F33" i="8"/>
  <c r="F33" i="2"/>
  <c r="F31" i="5"/>
  <c r="F31" i="2"/>
  <c r="F28" i="8"/>
  <c r="F28" i="2"/>
  <c r="F17" i="5"/>
  <c r="F17" i="2"/>
  <c r="F16" i="2"/>
  <c r="F16" i="5"/>
  <c r="F11" i="2"/>
  <c r="F11" i="5"/>
  <c r="E43" i="2"/>
  <c r="E43" i="8"/>
  <c r="D47" i="7"/>
  <c r="D47" i="6"/>
  <c r="D47" i="4"/>
  <c r="D47" i="2"/>
  <c r="D47" i="5"/>
  <c r="D47" i="8"/>
  <c r="D46" i="7"/>
  <c r="D46" i="8"/>
  <c r="D46" i="6"/>
  <c r="D46" i="4"/>
  <c r="D46" i="2"/>
  <c r="D46" i="5"/>
  <c r="D45" i="7"/>
  <c r="D45" i="8"/>
  <c r="D45" i="6"/>
  <c r="D45" i="4"/>
  <c r="D45" i="2"/>
  <c r="D45" i="5"/>
  <c r="D44" i="7"/>
  <c r="D44" i="6"/>
  <c r="D44" i="8"/>
  <c r="D44" i="5"/>
  <c r="D44" i="4"/>
  <c r="D44" i="2"/>
  <c r="D43" i="8"/>
  <c r="D43" i="7"/>
  <c r="D43" i="6"/>
  <c r="D43" i="4"/>
  <c r="D43" i="2"/>
  <c r="D43" i="5"/>
  <c r="D42" i="8"/>
  <c r="D42" i="7"/>
  <c r="D42" i="6"/>
  <c r="D42" i="4"/>
  <c r="D42" i="2"/>
  <c r="D42" i="5"/>
  <c r="D41" i="8"/>
  <c r="D41" i="7"/>
  <c r="D41" i="6"/>
  <c r="D41" i="4"/>
  <c r="D41" i="2"/>
  <c r="D41" i="5"/>
  <c r="D40" i="7"/>
  <c r="D40" i="8"/>
  <c r="D40" i="6"/>
  <c r="D40" i="5"/>
  <c r="D40" i="4"/>
  <c r="D40" i="2"/>
  <c r="D39" i="9"/>
  <c r="D39" i="7"/>
  <c r="D39" i="6"/>
  <c r="D39" i="8"/>
  <c r="D39" i="4"/>
  <c r="D39" i="2"/>
  <c r="D39" i="5"/>
  <c r="D38" i="9"/>
  <c r="D38" i="7"/>
  <c r="D38" i="8"/>
  <c r="D38" i="6"/>
  <c r="D38" i="4"/>
  <c r="D38" i="2"/>
  <c r="D38" i="5"/>
  <c r="D37" i="7"/>
  <c r="D37" i="8"/>
  <c r="D37" i="6"/>
  <c r="D37" i="9"/>
  <c r="D37" i="4"/>
  <c r="D37" i="2"/>
  <c r="D37" i="5"/>
  <c r="D36" i="7"/>
  <c r="D36" i="8"/>
  <c r="D36" i="6"/>
  <c r="D36" i="9"/>
  <c r="D36" i="5"/>
  <c r="D36" i="4"/>
  <c r="D36" i="2"/>
  <c r="D35" i="8"/>
  <c r="D35" i="7"/>
  <c r="D35" i="9"/>
  <c r="D35" i="6"/>
  <c r="D35" i="4"/>
  <c r="D35" i="2"/>
  <c r="D35" i="5"/>
  <c r="D34" i="8"/>
  <c r="D34" i="7"/>
  <c r="D34" i="9"/>
  <c r="D34" i="6"/>
  <c r="D34" i="4"/>
  <c r="D34" i="2"/>
  <c r="D34" i="5"/>
  <c r="D33" i="8"/>
  <c r="D33" i="7"/>
  <c r="D33" i="9"/>
  <c r="D33" i="6"/>
  <c r="D33" i="4"/>
  <c r="D33" i="2"/>
  <c r="D33" i="5"/>
  <c r="D32" i="9"/>
  <c r="D32" i="7"/>
  <c r="D32" i="6"/>
  <c r="D32" i="5"/>
  <c r="D32" i="4"/>
  <c r="D32" i="8"/>
  <c r="D32" i="2"/>
  <c r="D31" i="9"/>
  <c r="D31" i="7"/>
  <c r="D31" i="6"/>
  <c r="D31" i="4"/>
  <c r="D31" i="2"/>
  <c r="D31" i="5"/>
  <c r="D31" i="8"/>
  <c r="D30" i="9"/>
  <c r="D30" i="7"/>
  <c r="D30" i="8"/>
  <c r="D30" i="6"/>
  <c r="D30" i="4"/>
  <c r="D30" i="2"/>
  <c r="D30" i="5"/>
  <c r="D29" i="7"/>
  <c r="D29" i="8"/>
  <c r="D29" i="9"/>
  <c r="D29" i="6"/>
  <c r="D29" i="4"/>
  <c r="D29" i="2"/>
  <c r="D29" i="5"/>
  <c r="D28" i="7"/>
  <c r="D28" i="9"/>
  <c r="D28" i="6"/>
  <c r="D28" i="8"/>
  <c r="D28" i="5"/>
  <c r="D28" i="4"/>
  <c r="D28" i="2"/>
  <c r="D27" i="8"/>
  <c r="D27" i="7"/>
  <c r="D27" i="9"/>
  <c r="D27" i="6"/>
  <c r="D27" i="4"/>
  <c r="D27" i="2"/>
  <c r="D27" i="5"/>
  <c r="D26" i="8"/>
  <c r="D26" i="7"/>
  <c r="D26" i="9"/>
  <c r="D26" i="6"/>
  <c r="D26" i="4"/>
  <c r="D26" i="2"/>
  <c r="D26" i="5"/>
  <c r="D25" i="8"/>
  <c r="D25" i="7"/>
  <c r="D25" i="6"/>
  <c r="D25" i="9"/>
  <c r="D25" i="5"/>
  <c r="D25" i="4"/>
  <c r="D25" i="2"/>
  <c r="D24" i="9"/>
  <c r="D24" i="7"/>
  <c r="D24" i="8"/>
  <c r="D24" i="6"/>
  <c r="D24" i="5"/>
  <c r="D24" i="4"/>
  <c r="D24" i="2"/>
  <c r="D23" i="9"/>
  <c r="D23" i="7"/>
  <c r="D23" i="6"/>
  <c r="D23" i="8"/>
  <c r="D23" i="2"/>
  <c r="D23" i="4"/>
  <c r="D23" i="5"/>
  <c r="D22" i="9"/>
  <c r="D22" i="7"/>
  <c r="D22" i="8"/>
  <c r="D22" i="6"/>
  <c r="D22" i="4"/>
  <c r="D22" i="2"/>
  <c r="D22" i="5"/>
  <c r="D21" i="7"/>
  <c r="D21" i="8"/>
  <c r="D21" i="6"/>
  <c r="D21" i="9"/>
  <c r="D21" i="4"/>
  <c r="D21" i="2"/>
  <c r="D21" i="5"/>
  <c r="D20" i="7"/>
  <c r="D20" i="8"/>
  <c r="D20" i="6"/>
  <c r="D20" i="9"/>
  <c r="D20" i="5"/>
  <c r="D20" i="4"/>
  <c r="D20" i="2"/>
  <c r="D19" i="8"/>
  <c r="D19" i="7"/>
  <c r="D19" i="9"/>
  <c r="D19" i="6"/>
  <c r="D19" i="4"/>
  <c r="D19" i="2"/>
  <c r="D19" i="5"/>
  <c r="D18" i="8"/>
  <c r="D18" i="7"/>
  <c r="D18" i="9"/>
  <c r="D18" i="6"/>
  <c r="D18" i="4"/>
  <c r="D18" i="2"/>
  <c r="D18" i="5"/>
  <c r="D17" i="8"/>
  <c r="D17" i="7"/>
  <c r="D17" i="9"/>
  <c r="D17" i="6"/>
  <c r="D17" i="4"/>
  <c r="D17" i="5"/>
  <c r="D17" i="2"/>
  <c r="D16" i="9"/>
  <c r="D16" i="7"/>
  <c r="D16" i="6"/>
  <c r="D16" i="5"/>
  <c r="D16" i="4"/>
  <c r="D16" i="8"/>
  <c r="D16" i="2"/>
  <c r="D15" i="9"/>
  <c r="D15" i="7"/>
  <c r="D15" i="6"/>
  <c r="D15" i="4"/>
  <c r="D15" i="2"/>
  <c r="D15" i="5"/>
  <c r="D15" i="8"/>
  <c r="D14" i="9"/>
  <c r="D14" i="7"/>
  <c r="D14" i="8"/>
  <c r="D14" i="6"/>
  <c r="D14" i="4"/>
  <c r="D14" i="2"/>
  <c r="D14" i="5"/>
  <c r="D13" i="7"/>
  <c r="D13" i="8"/>
  <c r="D13" i="9"/>
  <c r="D13" i="6"/>
  <c r="D13" i="4"/>
  <c r="D13" i="2"/>
  <c r="D13" i="5"/>
  <c r="D12" i="7"/>
  <c r="D12" i="9"/>
  <c r="D12" i="6"/>
  <c r="D12" i="8"/>
  <c r="D12" i="5"/>
  <c r="D12" i="4"/>
  <c r="D12" i="2"/>
  <c r="D11" i="8"/>
  <c r="D11" i="7"/>
  <c r="D11" i="9"/>
  <c r="D11" i="6"/>
  <c r="D11" i="2"/>
  <c r="D11" i="5"/>
  <c r="D11" i="4"/>
  <c r="D10" i="8"/>
  <c r="D10" i="7"/>
  <c r="D10" i="6"/>
  <c r="D10" i="9"/>
  <c r="D10" i="2"/>
  <c r="D10" i="5"/>
  <c r="D10" i="4"/>
  <c r="D9" i="8"/>
  <c r="D9" i="9"/>
  <c r="D9" i="7"/>
  <c r="D9" i="6"/>
  <c r="D9" i="2"/>
  <c r="D9" i="5"/>
  <c r="D9" i="4"/>
  <c r="D8" i="7"/>
  <c r="D8" i="8"/>
  <c r="D8" i="9"/>
  <c r="D8" i="6"/>
  <c r="D8" i="5"/>
  <c r="D8" i="4"/>
  <c r="D8" i="2"/>
  <c r="D7" i="9"/>
  <c r="D7" i="7"/>
  <c r="D7" i="6"/>
  <c r="D7" i="8"/>
  <c r="D7" i="4"/>
  <c r="D7" i="2"/>
  <c r="D7" i="5"/>
  <c r="D6" i="9"/>
  <c r="D6" i="7"/>
  <c r="D6" i="8"/>
  <c r="D6" i="6"/>
  <c r="D6" i="4"/>
  <c r="D6" i="2"/>
  <c r="D6" i="5"/>
  <c r="D5" i="9"/>
  <c r="D5" i="7"/>
  <c r="D5" i="8"/>
  <c r="D5" i="6"/>
  <c r="D5" i="4"/>
  <c r="D5" i="2"/>
  <c r="D5" i="5"/>
  <c r="D4" i="7"/>
  <c r="D4" i="8"/>
  <c r="D4" i="9"/>
  <c r="D4" i="6"/>
  <c r="D4" i="5"/>
  <c r="D4" i="4"/>
  <c r="D4" i="2"/>
  <c r="C47" i="7"/>
  <c r="C47" i="8"/>
  <c r="C47" i="6"/>
  <c r="C47" i="5"/>
  <c r="C47" i="4"/>
  <c r="C47" i="2"/>
  <c r="C46" i="7"/>
  <c r="C46" i="8"/>
  <c r="C46" i="6"/>
  <c r="C46" i="5"/>
  <c r="C46" i="4"/>
  <c r="C46" i="2"/>
  <c r="C45" i="7"/>
  <c r="C45" i="6"/>
  <c r="C45" i="8"/>
  <c r="C45" i="5"/>
  <c r="C45" i="4"/>
  <c r="C45" i="2"/>
  <c r="C44" i="7"/>
  <c r="C44" i="8"/>
  <c r="C44" i="6"/>
  <c r="C44" i="5"/>
  <c r="C44" i="4"/>
  <c r="C44" i="2"/>
  <c r="C43" i="8"/>
  <c r="C43" i="7"/>
  <c r="C43" i="6"/>
  <c r="C43" i="5"/>
  <c r="C43" i="4"/>
  <c r="C43" i="2"/>
  <c r="C42" i="8"/>
  <c r="C42" i="7"/>
  <c r="C42" i="6"/>
  <c r="C42" i="5"/>
  <c r="C42" i="4"/>
  <c r="C42" i="2"/>
  <c r="C41" i="7"/>
  <c r="C41" i="8"/>
  <c r="C41" i="6"/>
  <c r="C41" i="5"/>
  <c r="C41" i="4"/>
  <c r="C41" i="2"/>
  <c r="C40" i="7"/>
  <c r="C40" i="8"/>
  <c r="C40" i="6"/>
  <c r="C40" i="5"/>
  <c r="C40" i="4"/>
  <c r="C40" i="2"/>
  <c r="C39" i="9"/>
  <c r="C39" i="7"/>
  <c r="C39" i="8"/>
  <c r="C39" i="6"/>
  <c r="C39" i="5"/>
  <c r="C39" i="4"/>
  <c r="C39" i="2"/>
  <c r="C38" i="7"/>
  <c r="C38" i="8"/>
  <c r="C38" i="6"/>
  <c r="C38" i="5"/>
  <c r="C38" i="9"/>
  <c r="C38" i="4"/>
  <c r="C38" i="2"/>
  <c r="C37" i="7"/>
  <c r="C37" i="6"/>
  <c r="C37" i="5"/>
  <c r="C37" i="4"/>
  <c r="C37" i="2"/>
  <c r="C37" i="9"/>
  <c r="C37" i="8"/>
  <c r="C36" i="7"/>
  <c r="C36" i="8"/>
  <c r="C36" i="9"/>
  <c r="C36" i="6"/>
  <c r="C36" i="5"/>
  <c r="C36" i="4"/>
  <c r="C36" i="2"/>
  <c r="C35" i="8"/>
  <c r="C35" i="7"/>
  <c r="C35" i="9"/>
  <c r="C35" i="6"/>
  <c r="C35" i="5"/>
  <c r="C35" i="4"/>
  <c r="C35" i="2"/>
  <c r="C34" i="8"/>
  <c r="C34" i="7"/>
  <c r="C34" i="9"/>
  <c r="C34" i="6"/>
  <c r="C34" i="5"/>
  <c r="C34" i="4"/>
  <c r="C34" i="2"/>
  <c r="C33" i="7"/>
  <c r="C33" i="9"/>
  <c r="C33" i="6"/>
  <c r="C33" i="8"/>
  <c r="C33" i="5"/>
  <c r="C33" i="4"/>
  <c r="C33" i="2"/>
  <c r="C32" i="9"/>
  <c r="C32" i="7"/>
  <c r="C32" i="6"/>
  <c r="C32" i="8"/>
  <c r="C32" i="5"/>
  <c r="C32" i="4"/>
  <c r="C32" i="2"/>
  <c r="C31" i="9"/>
  <c r="C31" i="7"/>
  <c r="C31" i="8"/>
  <c r="C31" i="6"/>
  <c r="C31" i="5"/>
  <c r="C31" i="4"/>
  <c r="C31" i="2"/>
  <c r="C30" i="7"/>
  <c r="C30" i="8"/>
  <c r="C30" i="6"/>
  <c r="C30" i="5"/>
  <c r="C30" i="4"/>
  <c r="C30" i="2"/>
  <c r="C30" i="9"/>
  <c r="C29" i="7"/>
  <c r="C29" i="6"/>
  <c r="C29" i="8"/>
  <c r="C29" i="5"/>
  <c r="C29" i="4"/>
  <c r="C29" i="2"/>
  <c r="C29" i="9"/>
  <c r="C28" i="7"/>
  <c r="C28" i="8"/>
  <c r="C28" i="9"/>
  <c r="C28" i="6"/>
  <c r="C28" i="5"/>
  <c r="C28" i="4"/>
  <c r="C28" i="2"/>
  <c r="C27" i="8"/>
  <c r="C27" i="7"/>
  <c r="C27" i="9"/>
  <c r="C27" i="6"/>
  <c r="C27" i="5"/>
  <c r="C27" i="4"/>
  <c r="C27" i="2"/>
  <c r="C26" i="8"/>
  <c r="C26" i="7"/>
  <c r="C26" i="6"/>
  <c r="C26" i="9"/>
  <c r="C26" i="5"/>
  <c r="C26" i="4"/>
  <c r="C26" i="2"/>
  <c r="C25" i="7"/>
  <c r="C25" i="9"/>
  <c r="C25" i="8"/>
  <c r="C25" i="6"/>
  <c r="C25" i="5"/>
  <c r="C25" i="4"/>
  <c r="C25" i="2"/>
  <c r="C24" i="9"/>
  <c r="C24" i="7"/>
  <c r="C24" i="8"/>
  <c r="C24" i="6"/>
  <c r="C24" i="5"/>
  <c r="C24" i="4"/>
  <c r="C24" i="2"/>
  <c r="C23" i="9"/>
  <c r="C23" i="7"/>
  <c r="C23" i="8"/>
  <c r="C23" i="6"/>
  <c r="C23" i="5"/>
  <c r="C23" i="4"/>
  <c r="C23" i="2"/>
  <c r="C22" i="7"/>
  <c r="C22" i="8"/>
  <c r="C22" i="6"/>
  <c r="C22" i="5"/>
  <c r="C22" i="9"/>
  <c r="C22" i="4"/>
  <c r="C22" i="2"/>
  <c r="C21" i="7"/>
  <c r="C21" i="6"/>
  <c r="C21" i="5"/>
  <c r="C21" i="4"/>
  <c r="C21" i="2"/>
  <c r="C21" i="9"/>
  <c r="C21" i="8"/>
  <c r="C20" i="7"/>
  <c r="C20" i="8"/>
  <c r="C20" i="9"/>
  <c r="C20" i="6"/>
  <c r="C20" i="5"/>
  <c r="C20" i="4"/>
  <c r="C20" i="2"/>
  <c r="C19" i="8"/>
  <c r="C19" i="7"/>
  <c r="C19" i="9"/>
  <c r="C19" i="6"/>
  <c r="C19" i="5"/>
  <c r="C19" i="4"/>
  <c r="C19" i="2"/>
  <c r="C18" i="8"/>
  <c r="C18" i="7"/>
  <c r="C18" i="9"/>
  <c r="C18" i="6"/>
  <c r="C18" i="5"/>
  <c r="C18" i="4"/>
  <c r="C18" i="2"/>
  <c r="C17" i="7"/>
  <c r="C17" i="9"/>
  <c r="C17" i="6"/>
  <c r="C17" i="8"/>
  <c r="C17" i="5"/>
  <c r="C17" i="4"/>
  <c r="C17" i="2"/>
  <c r="C16" i="9"/>
  <c r="C16" i="7"/>
  <c r="C16" i="6"/>
  <c r="C16" i="8"/>
  <c r="C16" i="5"/>
  <c r="C16" i="4"/>
  <c r="C16" i="2"/>
  <c r="C15" i="9"/>
  <c r="C15" i="7"/>
  <c r="C15" i="8"/>
  <c r="C15" i="6"/>
  <c r="C15" i="5"/>
  <c r="C15" i="4"/>
  <c r="C15" i="2"/>
  <c r="C14" i="7"/>
  <c r="C14" i="8"/>
  <c r="C14" i="6"/>
  <c r="C14" i="5"/>
  <c r="C14" i="4"/>
  <c r="C14" i="2"/>
  <c r="C14" i="9"/>
  <c r="C13" i="7"/>
  <c r="C13" i="9"/>
  <c r="C13" i="6"/>
  <c r="C13" i="8"/>
  <c r="C13" i="5"/>
  <c r="C13" i="4"/>
  <c r="C13" i="2"/>
  <c r="C12" i="7"/>
  <c r="C12" i="8"/>
  <c r="C12" i="9"/>
  <c r="C12" i="6"/>
  <c r="C12" i="5"/>
  <c r="C12" i="4"/>
  <c r="C12" i="2"/>
  <c r="C11" i="8"/>
  <c r="C11" i="7"/>
  <c r="C11" i="6"/>
  <c r="C11" i="9"/>
  <c r="C11" i="5"/>
  <c r="C11" i="4"/>
  <c r="C11" i="2"/>
  <c r="C10" i="8"/>
  <c r="C10" i="7"/>
  <c r="C10" i="9"/>
  <c r="C10" i="6"/>
  <c r="C10" i="5"/>
  <c r="C10" i="4"/>
  <c r="C10" i="2"/>
  <c r="C9" i="9"/>
  <c r="C9" i="7"/>
  <c r="C9" i="8"/>
  <c r="C9" i="6"/>
  <c r="C9" i="5"/>
  <c r="C9" i="4"/>
  <c r="C9" i="2"/>
  <c r="C8" i="7"/>
  <c r="C8" i="9"/>
  <c r="C8" i="8"/>
  <c r="C8" i="6"/>
  <c r="C8" i="5"/>
  <c r="C8" i="4"/>
  <c r="C8" i="2"/>
  <c r="C7" i="9"/>
  <c r="C7" i="7"/>
  <c r="C7" i="8"/>
  <c r="C7" i="6"/>
  <c r="C7" i="5"/>
  <c r="C7" i="4"/>
  <c r="C7" i="2"/>
  <c r="C6" i="9"/>
  <c r="C6" i="7"/>
  <c r="C6" i="8"/>
  <c r="C6" i="6"/>
  <c r="C6" i="5"/>
  <c r="C6" i="4"/>
  <c r="C6" i="2"/>
  <c r="C5" i="7"/>
  <c r="C5" i="6"/>
  <c r="C5" i="5"/>
  <c r="C5" i="4"/>
  <c r="C5" i="2"/>
  <c r="C5" i="9"/>
  <c r="C5" i="8"/>
  <c r="C4" i="7"/>
  <c r="C4" i="8"/>
  <c r="C4" i="6"/>
  <c r="C4" i="5"/>
  <c r="C4" i="4"/>
  <c r="C4" i="2"/>
  <c r="C4" i="9"/>
  <c r="B47" i="7"/>
  <c r="B47" i="8"/>
  <c r="B47" i="6"/>
  <c r="B47" i="5"/>
  <c r="B47" i="2"/>
  <c r="B47" i="4"/>
  <c r="B46" i="7"/>
  <c r="B46" i="8"/>
  <c r="B46" i="6"/>
  <c r="B46" i="5"/>
  <c r="B46" i="2"/>
  <c r="B46" i="4"/>
  <c r="B45" i="7"/>
  <c r="B45" i="8"/>
  <c r="B45" i="6"/>
  <c r="B45" i="5"/>
  <c r="B45" i="2"/>
  <c r="B45" i="4"/>
  <c r="B44" i="7"/>
  <c r="B44" i="8"/>
  <c r="B44" i="6"/>
  <c r="B44" i="5"/>
  <c r="B44" i="2"/>
  <c r="B44" i="4"/>
  <c r="B43" i="8"/>
  <c r="B43" i="7"/>
  <c r="B43" i="6"/>
  <c r="B43" i="5"/>
  <c r="B43" i="2"/>
  <c r="B43" i="4"/>
  <c r="B42" i="7"/>
  <c r="B42" i="8"/>
  <c r="B42" i="6"/>
  <c r="B42" i="5"/>
  <c r="B42" i="2"/>
  <c r="B42" i="4"/>
  <c r="B41" i="7"/>
  <c r="B41" i="8"/>
  <c r="B41" i="6"/>
  <c r="B41" i="5"/>
  <c r="B41" i="2"/>
  <c r="B41" i="4"/>
  <c r="B40" i="7"/>
  <c r="B40" i="8"/>
  <c r="B40" i="6"/>
  <c r="B40" i="5"/>
  <c r="B40" i="2"/>
  <c r="B40" i="4"/>
  <c r="B39" i="7"/>
  <c r="B39" i="8"/>
  <c r="B39" i="6"/>
  <c r="B39" i="9"/>
  <c r="B39" i="5"/>
  <c r="B39" i="2"/>
  <c r="B39" i="4"/>
  <c r="B38" i="7"/>
  <c r="B38" i="6"/>
  <c r="B38" i="9"/>
  <c r="B38" i="8"/>
  <c r="B38" i="5"/>
  <c r="B38" i="2"/>
  <c r="B38" i="4"/>
  <c r="B37" i="7"/>
  <c r="B37" i="8"/>
  <c r="B37" i="9"/>
  <c r="B37" i="6"/>
  <c r="B37" i="5"/>
  <c r="B37" i="2"/>
  <c r="B37" i="4"/>
  <c r="B36" i="7"/>
  <c r="B36" i="8"/>
  <c r="B36" i="9"/>
  <c r="B36" i="6"/>
  <c r="B36" i="5"/>
  <c r="B36" i="2"/>
  <c r="B36" i="4"/>
  <c r="B35" i="8"/>
  <c r="B35" i="7"/>
  <c r="B35" i="6"/>
  <c r="B35" i="5"/>
  <c r="B35" i="2"/>
  <c r="B35" i="4"/>
  <c r="B35" i="9"/>
  <c r="B34" i="7"/>
  <c r="B34" i="9"/>
  <c r="B34" i="6"/>
  <c r="B34" i="8"/>
  <c r="B34" i="5"/>
  <c r="B34" i="2"/>
  <c r="B34" i="4"/>
  <c r="B33" i="7"/>
  <c r="B33" i="9"/>
  <c r="B33" i="6"/>
  <c r="B33" i="8"/>
  <c r="B33" i="5"/>
  <c r="B33" i="2"/>
  <c r="B33" i="4"/>
  <c r="B32" i="9"/>
  <c r="B32" i="7"/>
  <c r="B32" i="8"/>
  <c r="B32" i="6"/>
  <c r="B32" i="5"/>
  <c r="B32" i="2"/>
  <c r="B32" i="4"/>
  <c r="B31" i="7"/>
  <c r="B31" i="8"/>
  <c r="B31" i="6"/>
  <c r="B31" i="5"/>
  <c r="B31" i="2"/>
  <c r="B31" i="9"/>
  <c r="B31" i="4"/>
  <c r="B30" i="7"/>
  <c r="B30" i="8"/>
  <c r="B30" i="6"/>
  <c r="B30" i="5"/>
  <c r="B30" i="2"/>
  <c r="B30" i="9"/>
  <c r="B30" i="4"/>
  <c r="B29" i="7"/>
  <c r="B29" i="8"/>
  <c r="B29" i="9"/>
  <c r="B29" i="6"/>
  <c r="B29" i="5"/>
  <c r="B29" i="2"/>
  <c r="B29" i="4"/>
  <c r="B28" i="7"/>
  <c r="B28" i="8"/>
  <c r="B28" i="9"/>
  <c r="B28" i="6"/>
  <c r="B28" i="5"/>
  <c r="B28" i="2"/>
  <c r="B28" i="4"/>
  <c r="B27" i="8"/>
  <c r="B27" i="7"/>
  <c r="B27" i="6"/>
  <c r="B27" i="9"/>
  <c r="B27" i="5"/>
  <c r="B27" i="2"/>
  <c r="B27" i="4"/>
  <c r="B26" i="7"/>
  <c r="B26" i="9"/>
  <c r="B26" i="8"/>
  <c r="B26" i="6"/>
  <c r="B26" i="5"/>
  <c r="B26" i="2"/>
  <c r="B26" i="4"/>
  <c r="B25" i="7"/>
  <c r="B25" i="9"/>
  <c r="B25" i="8"/>
  <c r="B25" i="6"/>
  <c r="B25" i="5"/>
  <c r="B25" i="2"/>
  <c r="B25" i="4"/>
  <c r="B24" i="9"/>
  <c r="B24" i="7"/>
  <c r="B24" i="8"/>
  <c r="B24" i="6"/>
  <c r="B24" i="5"/>
  <c r="B24" i="2"/>
  <c r="B24" i="4"/>
  <c r="B23" i="7"/>
  <c r="B23" i="8"/>
  <c r="B23" i="6"/>
  <c r="B23" i="9"/>
  <c r="B23" i="5"/>
  <c r="B23" i="2"/>
  <c r="B23" i="4"/>
  <c r="B22" i="7"/>
  <c r="B22" i="6"/>
  <c r="B22" i="9"/>
  <c r="B22" i="8"/>
  <c r="B22" i="5"/>
  <c r="B22" i="2"/>
  <c r="B22" i="4"/>
  <c r="B21" i="7"/>
  <c r="B21" i="8"/>
  <c r="B21" i="9"/>
  <c r="B21" i="6"/>
  <c r="B21" i="5"/>
  <c r="B21" i="2"/>
  <c r="B21" i="4"/>
  <c r="B20" i="7"/>
  <c r="B20" i="8"/>
  <c r="B20" i="9"/>
  <c r="B20" i="6"/>
  <c r="B20" i="5"/>
  <c r="B20" i="2"/>
  <c r="B20" i="4"/>
  <c r="B19" i="8"/>
  <c r="B19" i="7"/>
  <c r="B19" i="6"/>
  <c r="B19" i="5"/>
  <c r="B19" i="2"/>
  <c r="B19" i="9"/>
  <c r="B19" i="4"/>
  <c r="B18" i="7"/>
  <c r="B18" i="9"/>
  <c r="B18" i="6"/>
  <c r="B18" i="8"/>
  <c r="B18" i="5"/>
  <c r="B18" i="2"/>
  <c r="B18" i="4"/>
  <c r="B17" i="7"/>
  <c r="B17" i="9"/>
  <c r="B17" i="6"/>
  <c r="B17" i="8"/>
  <c r="B17" i="5"/>
  <c r="B17" i="2"/>
  <c r="B17" i="4"/>
  <c r="B16" i="9"/>
  <c r="B16" i="7"/>
  <c r="B16" i="8"/>
  <c r="B16" i="6"/>
  <c r="B16" i="5"/>
  <c r="B16" i="2"/>
  <c r="B16" i="4"/>
  <c r="B15" i="7"/>
  <c r="B15" i="8"/>
  <c r="B15" i="6"/>
  <c r="B15" i="5"/>
  <c r="B15" i="2"/>
  <c r="B15" i="9"/>
  <c r="B15" i="4"/>
  <c r="B14" i="7"/>
  <c r="B14" i="8"/>
  <c r="B14" i="6"/>
  <c r="B14" i="5"/>
  <c r="B14" i="2"/>
  <c r="B14" i="9"/>
  <c r="B14" i="4"/>
  <c r="B13" i="7"/>
  <c r="B13" i="8"/>
  <c r="B13" i="9"/>
  <c r="B13" i="6"/>
  <c r="B13" i="5"/>
  <c r="B13" i="4"/>
  <c r="B13" i="2"/>
  <c r="B12" i="7"/>
  <c r="B12" i="8"/>
  <c r="B12" i="6"/>
  <c r="B12" i="9"/>
  <c r="B12" i="5"/>
  <c r="B12" i="2"/>
  <c r="B12" i="4"/>
  <c r="B11" i="8"/>
  <c r="B11" i="7"/>
  <c r="B11" i="9"/>
  <c r="B11" i="6"/>
  <c r="B11" i="5"/>
  <c r="B11" i="4"/>
  <c r="B11" i="2"/>
  <c r="B10" i="7"/>
  <c r="B10" i="9"/>
  <c r="B10" i="8"/>
  <c r="B10" i="6"/>
  <c r="B10" i="5"/>
  <c r="B10" i="4"/>
  <c r="B10" i="2"/>
  <c r="B9" i="9"/>
  <c r="B9" i="7"/>
  <c r="B9" i="8"/>
  <c r="B9" i="6"/>
  <c r="B9" i="5"/>
  <c r="B9" i="4"/>
  <c r="B9" i="2"/>
  <c r="B8" i="7"/>
  <c r="B8" i="9"/>
  <c r="B8" i="8"/>
  <c r="B8" i="6"/>
  <c r="B8" i="5"/>
  <c r="B8" i="2"/>
  <c r="B8" i="4"/>
  <c r="B7" i="9"/>
  <c r="B7" i="7"/>
  <c r="B7" i="8"/>
  <c r="B7" i="6"/>
  <c r="B7" i="5"/>
  <c r="B7" i="2"/>
  <c r="B7" i="4"/>
  <c r="B6" i="7"/>
  <c r="B6" i="6"/>
  <c r="B6" i="8"/>
  <c r="B6" i="5"/>
  <c r="B6" i="2"/>
  <c r="B6" i="9"/>
  <c r="B6" i="4"/>
  <c r="B5" i="7"/>
  <c r="B5" i="8"/>
  <c r="B5" i="6"/>
  <c r="B5" i="5"/>
  <c r="B5" i="2"/>
  <c r="B5" i="9"/>
  <c r="B5" i="4"/>
  <c r="B4" i="7"/>
  <c r="B4" i="8"/>
  <c r="B4" i="9"/>
  <c r="B4" i="6"/>
  <c r="B4" i="5"/>
  <c r="B4" i="2"/>
  <c r="B4" i="4"/>
  <c r="W3" i="6" a="1"/>
  <c r="W3" i="6" s="1"/>
  <c r="AF3" i="5" a="1"/>
  <c r="AF3" i="5" s="1"/>
  <c r="G3" i="5"/>
  <c r="H3" i="4"/>
  <c r="G3" i="4"/>
  <c r="F3" i="4"/>
  <c r="E3" i="4"/>
  <c r="AD3" i="4"/>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B3" i="1"/>
  <c r="B3" i="5" s="1"/>
  <c r="I3" i="1"/>
  <c r="I3" i="5" s="1"/>
  <c r="H3" i="1"/>
  <c r="H3" i="5" s="1"/>
  <c r="G3" i="1"/>
  <c r="G3" i="6" s="1"/>
  <c r="F3" i="1"/>
  <c r="E3" i="1"/>
  <c r="E3" i="8" l="1"/>
  <c r="E3" i="7"/>
  <c r="E3" i="9"/>
  <c r="F3" i="8"/>
  <c r="F3" i="9"/>
  <c r="F3" i="7"/>
  <c r="B3" i="2"/>
  <c r="I3" i="4"/>
  <c r="B3" i="6"/>
  <c r="F3" i="6"/>
  <c r="E3" i="6"/>
  <c r="E3" i="2"/>
  <c r="E3" i="5"/>
  <c r="F3" i="5"/>
  <c r="G3" i="2"/>
  <c r="G3" i="8"/>
  <c r="G3" i="9"/>
  <c r="G3" i="7"/>
  <c r="H3" i="2"/>
  <c r="H3" i="8"/>
  <c r="H3" i="9"/>
  <c r="H3" i="7"/>
  <c r="F3" i="2"/>
  <c r="H3" i="6"/>
  <c r="I3" i="2"/>
  <c r="I3" i="9"/>
  <c r="I3" i="7"/>
  <c r="I3" i="8"/>
  <c r="B3" i="8"/>
  <c r="B3" i="7"/>
  <c r="B3" i="9"/>
  <c r="B3" i="4"/>
  <c r="I3" i="6"/>
  <c r="D3" i="1"/>
  <c r="C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3" i="1"/>
  <c r="A10" i="9" l="1"/>
  <c r="A10" i="6"/>
  <c r="A10" i="7"/>
  <c r="A10" i="5"/>
  <c r="A10" i="8"/>
  <c r="A10" i="2"/>
  <c r="A10" i="4"/>
  <c r="A41" i="8"/>
  <c r="A41" i="6"/>
  <c r="A41" i="4"/>
  <c r="A41" i="5"/>
  <c r="A41" i="2"/>
  <c r="A41" i="7"/>
  <c r="A25" i="9"/>
  <c r="A25" i="8"/>
  <c r="A25" i="6"/>
  <c r="A25" i="4"/>
  <c r="A25" i="5"/>
  <c r="A25" i="2"/>
  <c r="A25" i="7"/>
  <c r="A17" i="9"/>
  <c r="A17" i="8"/>
  <c r="A17" i="6"/>
  <c r="A17" i="4"/>
  <c r="A17" i="5"/>
  <c r="A17" i="7"/>
  <c r="A17" i="2"/>
  <c r="A9" i="8"/>
  <c r="A9" i="9"/>
  <c r="A9" i="6"/>
  <c r="A9" i="5"/>
  <c r="A9" i="2"/>
  <c r="A9" i="7"/>
  <c r="A9" i="4"/>
  <c r="A16" i="8"/>
  <c r="A16" i="7"/>
  <c r="A16" i="9"/>
  <c r="A16" i="5"/>
  <c r="A16" i="4"/>
  <c r="A16" i="6"/>
  <c r="A16" i="2"/>
  <c r="A31" i="7"/>
  <c r="A31" i="5"/>
  <c r="A31" i="9"/>
  <c r="A31" i="8"/>
  <c r="A31" i="6"/>
  <c r="A31" i="4"/>
  <c r="A31" i="2"/>
  <c r="A7" i="8"/>
  <c r="A7" i="6"/>
  <c r="A7" i="9"/>
  <c r="A7" i="7"/>
  <c r="A7" i="4"/>
  <c r="A14" i="8"/>
  <c r="A14" i="9"/>
  <c r="A14" i="7"/>
  <c r="A14" i="5"/>
  <c r="A14" i="6"/>
  <c r="A14" i="4"/>
  <c r="A14" i="2"/>
  <c r="A42" i="6"/>
  <c r="A42" i="4"/>
  <c r="A42" i="7"/>
  <c r="A42" i="5"/>
  <c r="A42" i="8"/>
  <c r="A42" i="2"/>
  <c r="A34" i="9"/>
  <c r="A34" i="6"/>
  <c r="A34" i="4"/>
  <c r="A34" i="7"/>
  <c r="A34" i="5"/>
  <c r="A34" i="2"/>
  <c r="A34" i="8"/>
  <c r="A18" i="9"/>
  <c r="A18" i="6"/>
  <c r="A18" i="4"/>
  <c r="A18" i="7"/>
  <c r="A18" i="5"/>
  <c r="A18" i="2"/>
  <c r="A18" i="8"/>
  <c r="A24" i="8"/>
  <c r="A24" i="9"/>
  <c r="A24" i="7"/>
  <c r="A24" i="6"/>
  <c r="A24" i="5"/>
  <c r="A24" i="4"/>
  <c r="A24" i="2"/>
  <c r="A23" i="9"/>
  <c r="A23" i="7"/>
  <c r="A23" i="8"/>
  <c r="A23" i="5"/>
  <c r="A23" i="6"/>
  <c r="A23" i="4"/>
  <c r="A23" i="2"/>
  <c r="A30" i="8"/>
  <c r="A30" i="9"/>
  <c r="A30" i="7"/>
  <c r="A30" i="5"/>
  <c r="A30" i="6"/>
  <c r="A30" i="4"/>
  <c r="A30" i="2"/>
  <c r="A6" i="8"/>
  <c r="A6" i="9"/>
  <c r="A6" i="7"/>
  <c r="A6" i="4"/>
  <c r="A45" i="8"/>
  <c r="A45" i="5"/>
  <c r="A45" i="6"/>
  <c r="A45" i="4"/>
  <c r="A45" i="7"/>
  <c r="A45" i="2"/>
  <c r="A37" i="8"/>
  <c r="A37" i="9"/>
  <c r="A37" i="5"/>
  <c r="A37" i="6"/>
  <c r="A37" i="4"/>
  <c r="A37" i="7"/>
  <c r="A37" i="2"/>
  <c r="A29" i="8"/>
  <c r="A29" i="9"/>
  <c r="A29" i="5"/>
  <c r="A29" i="6"/>
  <c r="A29" i="4"/>
  <c r="A29" i="2"/>
  <c r="A29" i="7"/>
  <c r="A21" i="8"/>
  <c r="A21" i="9"/>
  <c r="A21" i="5"/>
  <c r="A21" i="6"/>
  <c r="A21" i="4"/>
  <c r="A21" i="7"/>
  <c r="A21" i="2"/>
  <c r="A13" i="8"/>
  <c r="A13" i="9"/>
  <c r="A13" i="5"/>
  <c r="A13" i="4"/>
  <c r="A13" i="6"/>
  <c r="A13" i="2"/>
  <c r="A13" i="7"/>
  <c r="A5" i="8"/>
  <c r="A5" i="9"/>
  <c r="A5" i="4"/>
  <c r="A33" i="9"/>
  <c r="A33" i="8"/>
  <c r="A33" i="6"/>
  <c r="A33" i="4"/>
  <c r="A33" i="5"/>
  <c r="A33" i="2"/>
  <c r="A33" i="7"/>
  <c r="A40" i="8"/>
  <c r="A40" i="7"/>
  <c r="A40" i="6"/>
  <c r="A40" i="5"/>
  <c r="A40" i="4"/>
  <c r="A40" i="2"/>
  <c r="A47" i="7"/>
  <c r="A47" i="5"/>
  <c r="A47" i="6"/>
  <c r="A47" i="8"/>
  <c r="A47" i="4"/>
  <c r="A47" i="2"/>
  <c r="A46" i="8"/>
  <c r="A46" i="7"/>
  <c r="A46" i="5"/>
  <c r="A46" i="6"/>
  <c r="A46" i="4"/>
  <c r="A46" i="2"/>
  <c r="A28" i="8"/>
  <c r="A28" i="9"/>
  <c r="A28" i="2"/>
  <c r="A28" i="6"/>
  <c r="A28" i="7"/>
  <c r="A28" i="4"/>
  <c r="A28" i="5"/>
  <c r="A12" i="8"/>
  <c r="A12" i="9"/>
  <c r="A12" i="4"/>
  <c r="A12" i="5"/>
  <c r="A12" i="2"/>
  <c r="A12" i="6"/>
  <c r="A12" i="7"/>
  <c r="A4" i="8"/>
  <c r="A4" i="9"/>
  <c r="A4" i="4"/>
  <c r="A26" i="9"/>
  <c r="A26" i="6"/>
  <c r="A26" i="4"/>
  <c r="A26" i="7"/>
  <c r="A26" i="5"/>
  <c r="A26" i="8"/>
  <c r="A26" i="2"/>
  <c r="A32" i="8"/>
  <c r="A32" i="7"/>
  <c r="A32" i="9"/>
  <c r="A32" i="2"/>
  <c r="A32" i="5"/>
  <c r="A32" i="4"/>
  <c r="A32" i="6"/>
  <c r="A8" i="9"/>
  <c r="A8" i="8"/>
  <c r="A8" i="7"/>
  <c r="A8" i="2"/>
  <c r="A8" i="6"/>
  <c r="A8" i="4"/>
  <c r="A39" i="9"/>
  <c r="A39" i="7"/>
  <c r="A39" i="8"/>
  <c r="A39" i="5"/>
  <c r="A39" i="4"/>
  <c r="A39" i="6"/>
  <c r="A39" i="2"/>
  <c r="A15" i="7"/>
  <c r="A15" i="5"/>
  <c r="A15" i="9"/>
  <c r="A15" i="4"/>
  <c r="A15" i="8"/>
  <c r="A15" i="6"/>
  <c r="A15" i="2"/>
  <c r="A38" i="8"/>
  <c r="A38" i="9"/>
  <c r="A38" i="7"/>
  <c r="A38" i="5"/>
  <c r="A38" i="6"/>
  <c r="A38" i="4"/>
  <c r="A38" i="2"/>
  <c r="A22" i="8"/>
  <c r="A22" i="9"/>
  <c r="A22" i="7"/>
  <c r="A22" i="5"/>
  <c r="A22" i="6"/>
  <c r="A22" i="4"/>
  <c r="A22" i="2"/>
  <c r="A44" i="8"/>
  <c r="A44" i="2"/>
  <c r="A44" i="6"/>
  <c r="A44" i="7"/>
  <c r="A44" i="4"/>
  <c r="A44" i="5"/>
  <c r="A36" i="8"/>
  <c r="A36" i="9"/>
  <c r="A36" i="4"/>
  <c r="A36" i="5"/>
  <c r="A36" i="2"/>
  <c r="A36" i="6"/>
  <c r="A36" i="7"/>
  <c r="A20" i="8"/>
  <c r="A20" i="9"/>
  <c r="A20" i="6"/>
  <c r="A20" i="7"/>
  <c r="A20" i="4"/>
  <c r="A20" i="2"/>
  <c r="A20" i="5"/>
  <c r="A43" i="6"/>
  <c r="A43" i="4"/>
  <c r="A43" i="7"/>
  <c r="A43" i="2"/>
  <c r="A43" i="5"/>
  <c r="A43" i="8"/>
  <c r="A35" i="9"/>
  <c r="A35" i="8"/>
  <c r="A35" i="6"/>
  <c r="A35" i="4"/>
  <c r="A35" i="7"/>
  <c r="A35" i="5"/>
  <c r="A35" i="2"/>
  <c r="A27" i="9"/>
  <c r="A27" i="6"/>
  <c r="A27" i="4"/>
  <c r="A27" i="7"/>
  <c r="A27" i="2"/>
  <c r="A27" i="5"/>
  <c r="A27" i="8"/>
  <c r="A19" i="9"/>
  <c r="A19" i="8"/>
  <c r="A19" i="6"/>
  <c r="A19" i="4"/>
  <c r="A19" i="7"/>
  <c r="A19" i="2"/>
  <c r="A19" i="5"/>
  <c r="A11" i="9"/>
  <c r="A11" i="4"/>
  <c r="A11" i="6"/>
  <c r="A11" i="7"/>
  <c r="A11" i="2"/>
  <c r="A11" i="8"/>
  <c r="A11" i="5"/>
  <c r="A6" i="6"/>
  <c r="A6" i="2"/>
  <c r="A6" i="5"/>
  <c r="D3" i="2"/>
  <c r="D3" i="9"/>
  <c r="D3" i="8"/>
  <c r="D3" i="7"/>
  <c r="D3" i="6"/>
  <c r="D3" i="4"/>
  <c r="D3" i="5"/>
  <c r="A4" i="7"/>
  <c r="A4" i="6"/>
  <c r="A4" i="2"/>
  <c r="A4" i="5"/>
  <c r="A3" i="7"/>
  <c r="A3" i="8"/>
  <c r="A3" i="9"/>
  <c r="A3" i="4"/>
  <c r="A3" i="5"/>
  <c r="A3" i="2"/>
  <c r="A3" i="6"/>
  <c r="A8" i="5"/>
  <c r="C3" i="2"/>
  <c r="C3" i="9"/>
  <c r="C3" i="7"/>
  <c r="C3" i="8"/>
  <c r="C3" i="5"/>
  <c r="C3" i="6"/>
  <c r="C3" i="4"/>
  <c r="A7" i="2"/>
  <c r="A7" i="5"/>
  <c r="A5" i="7"/>
  <c r="A5" i="6"/>
  <c r="A5" i="5"/>
  <c r="A5"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<sst xmlns="http://schemas.openxmlformats.org/spreadsheetml/2006/main" count="5959" uniqueCount="552">
  <si>
    <t>N°</t>
  </si>
  <si>
    <t>Puesto de trabajo</t>
  </si>
  <si>
    <t>Tareas del puesto de trabajo</t>
  </si>
  <si>
    <t>Trabajo repetitivo de miembros superiores.</t>
  </si>
  <si>
    <t>Postura de trabajo estática</t>
  </si>
  <si>
    <t>Manejo manual de pacientes / personas</t>
  </si>
  <si>
    <t>Vibración de cuerpo completo</t>
  </si>
  <si>
    <t>Vibración segmento mano – brazo</t>
  </si>
  <si>
    <t>Resultado identificación inicial</t>
  </si>
  <si>
    <r>
      <t>¿Existe una o más tareas donde utilice las manos y miembros superiores con una duración total de una hora o más durante la jornada laboral y con un tiempo total de 5 o más horas a la semana?</t>
    </r>
    <r>
      <rPr>
        <sz val="8"/>
        <color rgb="FF000000"/>
        <rFont val="ACHS Nueva Sans"/>
      </rPr>
      <t xml:space="preserve"> Donde tenga que movilizar, levantar, empujar, encajar, sostener, posicionar, armar, limpiar, apretar, lanzar, cortar, presionar, desarmar, atornillar, desatornillar, digitar con presión, comprimir, ubicar, moldear, traccionar.</t>
    </r>
  </si>
  <si>
    <r>
      <t>¿Existen posturas de trabajo estáticas de cabeza/cuello, tronco y/o miembros superiores e inferiores, mantenidas por más de 4 segundos consecutivamente?</t>
    </r>
    <r>
      <rPr>
        <sz val="8"/>
        <color rgb="FF000000"/>
        <rFont val="ACHS Nueva Sans"/>
      </rPr>
      <t xml:space="preserve"> Donde se observe estar sentado, cabeza inclinada hacia adelante o atrás, mirada situada en planos bajo nivel medio de tórax o pecho, cabeza rotada permanentemente hacia algún lado, mirada situada en planos sobre el nivel de cabeza, hombros situados por delante de las caderas de manera continua, tronco rotado o inclinado para sostener o movilizar objetos.</t>
    </r>
  </si>
  <si>
    <r>
      <t xml:space="preserve">Para el Levantamiento/Descenso/Transporte: </t>
    </r>
    <r>
      <rPr>
        <b/>
        <sz val="8"/>
        <color rgb="FF000000"/>
        <rFont val="ACHS Nueva Sans"/>
      </rPr>
      <t>¿Existe levantamiento, descenso o transporte manual de un objeto de 3kg o más?</t>
    </r>
    <r>
      <rPr>
        <sz val="8"/>
        <color rgb="FF000000"/>
        <rFont val="ACHS Nueva Sans"/>
      </rPr>
      <t xml:space="preserve"> Se observa que levanta, sostiene, trasporta, desplaza, moviliza, ubica con precisión ordenando, empuja, arrastra o tracciona, apila, paletiza.</t>
    </r>
  </si>
  <si>
    <r>
      <t xml:space="preserve">Tracción/Empuje </t>
    </r>
    <r>
      <rPr>
        <b/>
        <sz val="8"/>
        <color rgb="FF000000"/>
        <rFont val="ACHS Nueva Sans"/>
      </rPr>
      <t>¿Existe empuje o arrastre de una carga utilizando el cuerpo completo con 1 o 2 manos?</t>
    </r>
    <r>
      <rPr>
        <sz val="8"/>
        <color rgb="FF000000"/>
        <rFont val="ACHS Nueva Sans"/>
      </rPr>
      <t xml:space="preserve"> Se observa el empuje y/o arrastre de diferentes maneras carros, plataformas con rueda, superficies deslizantes, detención de objetos en movimiento, camillas, camas, sillas de rueda, paletizadores, grúas de uso manual mecanizadas, formas de tracción y empuje hechizas, carretillas. No se considera empuje y  arrastre carros motorizados y controlados manualmente (conducción)</t>
    </r>
  </si>
  <si>
    <r>
      <t xml:space="preserve">¿Se realiza alguna actividad que requiere fuerza para empujar, tirar, levantar, descender, transferir o de alguna manera mover o sostener una persona o parte del cuerpo de una persona? </t>
    </r>
    <r>
      <rPr>
        <sz val="8"/>
        <color rgb="FF000000"/>
        <rFont val="ACHS Nueva Sans"/>
      </rPr>
      <t>*NOTA: La condición a identificar debe incluir la actividad de manipulación, ya sea que se realice con o sin dispositivos de asistencia. Esta condición está determinada por el riesgo asociado a las características de la carga humana que requiere control sensible de la masa corporal por parte del operador.</t>
    </r>
  </si>
  <si>
    <r>
      <t>¿Están los trabajadores/as expuestos/as a vibraciones por una fuente de vibración de cuerpo entero perceptible por el trabajador/a?</t>
    </r>
    <r>
      <rPr>
        <sz val="8"/>
        <color rgb="FF000000"/>
        <rFont val="ACHS Nueva Sans"/>
      </rPr>
      <t xml:space="preserve"> Se presenta en cercanía de máquinas donde se percibe la vibración, superficies vibrantes donde se está de pie o sentado como en maquinaria pesada y de conducción sentados o de pie.</t>
    </r>
  </si>
  <si>
    <r>
      <t>¿Están los trabajadores/as en contacto con una fuente de vibración del segmento mano - brazo? Y ¿esta condición es frecuente o inherente a la tarea realizada?</t>
    </r>
    <r>
      <rPr>
        <sz val="8"/>
        <color rgb="FF000000"/>
        <rFont val="ACHS Nueva Sans"/>
      </rPr>
      <t>. Se presenta en situaciones de manejo de herramientas neumáticas o eléctricas, atornilladores o destornilladores neumáticos o eléctricos, uso de herramientas con impacto como martillos, cinceles, herramientas percutoras como taladros o grandes percutores</t>
    </r>
  </si>
  <si>
    <t>NO</t>
  </si>
  <si>
    <t>Tabla II. IDENTIFICACIÓN AVANZADA – Trabajo Repetitivo de Miembros Superiores– Condición Aceptable</t>
  </si>
  <si>
    <t>Tabla VI. IDENTIFICACIÓN AVANZADA – Tarea(s) Repetitiva(s) de miembros superiores –– Condición Crítica</t>
  </si>
  <si>
    <t>Plan de acción</t>
  </si>
  <si>
    <t>Área de trabajo</t>
  </si>
  <si>
    <t>Horario de funcionamiento</t>
  </si>
  <si>
    <t>¿Los miembros superiores trabajan por menos del 50% de la duración total de la tarea repetitiva?</t>
  </si>
  <si>
    <t>¿Los codos se mantienen por debajo del nivel de los hombros por al menos el 90% del total de la duración de la(s) tarea(s) repetitiva?</t>
  </si>
  <si>
    <t>¿Existe esfuerzo moderado ejercido por el trabajador (Percepción de Esfuerzo máximo 4 según Escala de Borg CR-10) ejercidas por el trabajador por no más de 1 hora mientras dura la(s) tarea(s) repetitiva?</t>
  </si>
  <si>
    <t>Ausencias de esfuerzo máximo (esfuerzo percibido = 5 o más en la Escala de Borg CR-10)</t>
  </si>
  <si>
    <t>Presencia de pausas (excluyendo la pausa para almuerzo) que al menos duren 8 minutos cada 2 horas.</t>
  </si>
  <si>
    <t>¿Se realiza la tarea repetitiva durante menos de 8 horas al día?</t>
  </si>
  <si>
    <t>Condición Aceptable</t>
  </si>
  <si>
    <t>¿Las acciones técnicas del miembro superior son tan rápidas que no se pueden contar con una simple observación directa?</t>
  </si>
  <si>
    <t>¿Se aplica fuerza máxima por el trabajador (esfuerzo percibido = 5 o más en la Escala de Borg CR-10) por 10% o más del tiempo total de la tarea repetitiva?</t>
  </si>
  <si>
    <t>¿No hay más de una pausa (Incluyendo el almuerzo) en un turno de 6 a 8 horas?</t>
  </si>
  <si>
    <t>¿La duración total de las tareas repetitivas excede 8 horas dentro de un turno?</t>
  </si>
  <si>
    <t>Condición Crítica</t>
  </si>
  <si>
    <t>Fecha aplicación identificación avanzada</t>
  </si>
  <si>
    <t>Medidas de control (administrativas)</t>
  </si>
  <si>
    <t>Medidas de control (Ingeniería)</t>
  </si>
  <si>
    <t>Responsable aplicación medida</t>
  </si>
  <si>
    <t>Fecha de implementación medidas                               (Max 90 días)</t>
  </si>
  <si>
    <t>Evidencia</t>
  </si>
  <si>
    <t>Por dia</t>
  </si>
  <si>
    <t>N° Trabajadores Expuestos HOMBRE</t>
  </si>
  <si>
    <t>N° Trabajadores Expuestos MUJER</t>
  </si>
  <si>
    <t>Horas extras POR DIA</t>
  </si>
  <si>
    <t>Horas extras POR SEMANA</t>
  </si>
  <si>
    <t>Uno o ambos brazos están realizando la tarea con el codo sobre el nivel del hombro por el 50% o más, del tiempo total de trabajo repetitivo</t>
  </si>
  <si>
    <t>¿Se utiliza agarre en “pinza" (o todo tipo de tomada usando las puntas de los dedos) por más del 80% de la duración total del trabajo repetitivo?</t>
  </si>
  <si>
    <t>Descripción de la tarea</t>
  </si>
  <si>
    <t>Tipo de contrato</t>
  </si>
  <si>
    <t xml:space="preserve">Tipo de remuneración </t>
  </si>
  <si>
    <t>Duración (min)</t>
  </si>
  <si>
    <t>Pausas de Trabajo</t>
  </si>
  <si>
    <t>Rotación de tarea</t>
  </si>
  <si>
    <t>Equipos y Herramienta</t>
  </si>
  <si>
    <t>Características de los ambientes y espacios de trabajo (Espacios, barreras arquitectónicas, flujo de tránsito)</t>
  </si>
  <si>
    <t>Características y disposición espacial del puesto de trabajo (Ubicación de los elementos de trabajo, disposición física del espacio de trabajo)</t>
  </si>
  <si>
    <t>Características y herramientas utilizadas (Descripción de equipos, herramientas utilizadas, herramientas vibrantes, uso de EPP)</t>
  </si>
  <si>
    <t xml:space="preserve">N° Trabajadores Expuestos </t>
  </si>
  <si>
    <t>HOMBRE</t>
  </si>
  <si>
    <t>MUJER</t>
  </si>
  <si>
    <t xml:space="preserve">Horas extras </t>
  </si>
  <si>
    <t>Por Semana</t>
  </si>
  <si>
    <t>¿Las posturas de tronco y cuello son simétricas?</t>
  </si>
  <si>
    <t>En caso de haber flexión de tronco (inclinación hacia delante), ¿es menor a 20º?, o en caso de existir extensión (inclinación hacia atrás), ¿el tronco está totalmente apoyado?</t>
  </si>
  <si>
    <t>Si existe flexión de tronco entre 20º y 60º, ¿este se encuentra totalmente apoyado?</t>
  </si>
  <si>
    <t>¿Está ausente la extensión de cuello?</t>
  </si>
  <si>
    <t>En caso de que exista flexión de cuello, ¿no supera los 25º?</t>
  </si>
  <si>
    <t>Estando la cabeza inclinada hacia atrás (extensión), ¿se encuentra totalmente apoyada?, o en caso de inclinación anterior (flexión), ¿está a menos de 25º?</t>
  </si>
  <si>
    <t>Si está sentado, ¿la curvatura de la espalda se mantiene no forzada?</t>
  </si>
  <si>
    <t>Miembro con mayor exigencia</t>
  </si>
  <si>
    <t>¿Los hombros no se encuentran levantados?</t>
  </si>
  <si>
    <t>Estando el brazo sin apoyo completo, ¿La elevación del miembro superior es menor a 20°?</t>
  </si>
  <si>
    <t>Con el brazo totalmente apoyado, ¿la elevación del miembro superior no supera los 60°?</t>
  </si>
  <si>
    <t>¿Están ausentes la flexión / extensión extrema de codo y la rotación extrema de antebrazo?</t>
  </si>
  <si>
    <t>¿Está ausente el giro extremo del antebrazo?</t>
  </si>
  <si>
    <t>¿Está ausente la flexión extrema de rodilla?</t>
  </si>
  <si>
    <t>En postura de pie ¿La rodilla no está en flexión?</t>
  </si>
  <si>
    <t>¿El tobillo está en posición neutra?</t>
  </si>
  <si>
    <t>¿Están ausentes las posiciones cuclillas y arrodillado?</t>
  </si>
  <si>
    <t>Cuando está sentado, ¿El ángulo de la rodilla está entre 90º y 135º?</t>
  </si>
  <si>
    <t>¿La postura de tronco o la postura de cuello están en rangos extremos?</t>
  </si>
  <si>
    <t>¿Existe flexión de tronco (inclinación hacia adelante) de 60° o más?</t>
  </si>
  <si>
    <t>¿Existe flexión de tronco (aun cuando sea levemente) durante más de 4 minutos?</t>
  </si>
  <si>
    <t>¿Está la cabeza extendida (inclinada hacia atrás) sin apoyo?</t>
  </si>
  <si>
    <t>¿Está la cabeza en flexión (inclinación hacia adelante) de 85° o más?</t>
  </si>
  <si>
    <t>¿Está la cabeza en flexión (aun cuando sea levemente) durante más de 8 minutos?</t>
  </si>
  <si>
    <t>Si está sentado, ¿la espalda (región lumbar) está forzada y no logra mantener la curvatura natural?</t>
  </si>
  <si>
    <t>¿Los hombros se encuentran levantados sobre los 60°?</t>
  </si>
  <si>
    <t>¿Los hombros se encuentran levantados (aún cuando sea levemente) durante más de 3 minutos?</t>
  </si>
  <si>
    <t>¿Hay flexión / extensión extrema de codo y rotación extrema de antebrazo?</t>
  </si>
  <si>
    <t>¿Hay giro extremo de muñeca?</t>
  </si>
  <si>
    <t>¿Hay flexión extrema de rodilla (posición de cuclillas o sentado en los talones)?</t>
  </si>
  <si>
    <t>Estando en postura de pie, ¿la rodilla se encuentra en flexión leve sostenida?</t>
  </si>
  <si>
    <t>¿El tobillo se encuentra en una posición extrema de flexión o extensión?</t>
  </si>
  <si>
    <t>¿Se adoptan posiciones en cuclillas y/o arrodillado de la rodilla?</t>
  </si>
  <si>
    <t>Estando sentado, ¿la angulación de rodilla es menor de 90° y mayor de 135°?</t>
  </si>
  <si>
    <t>Tabla III. IDENTIFICACIÓN AVANZADA – Tarea(s) con Posturas Estáticas e incómodas de Trabajo – Condición Aceptable (CABEZA Y TRONCO)</t>
  </si>
  <si>
    <t>Tabla III. IDENTIFICACIÓN AVANZADA – Tarea(s) con Posturas Estáticas e incómodas de Trabajo – Condición Aceptable Identificación de posturas de miembros superiores                                                                           (Evaluar miembro con mayor exigencia)</t>
  </si>
  <si>
    <t>¿Están ausentes las posturas de MMSS separadas del cuerpo, elevadas sobre nivel de hombro de manera sostenida y no apoyadas?</t>
  </si>
  <si>
    <t>Tabla III. IDENTIFICACIÓN AVANZADA – Tarea(s) con Posturas Estáticas e incómodas de Trabajo – Condición Aceptable Identificación de posturas de Miembros Inferiores    (Evaluar miembro con mayor exigencia)</t>
  </si>
  <si>
    <t>Tabla VII. IDENTIFICACIÓN AVANZADA – Tarea(s) con Posturas Estáticas de Trabajo – Condición Crítica (CABEZA Y TRONCO)</t>
  </si>
  <si>
    <t>¿Hay posturas de brazos que los trabajadores relaten como muy incomodas y que les impiden el normal desenvolvimiento?</t>
  </si>
  <si>
    <t>Identificación de posturas de miembros superiores (Evaluar miembro con mayor exigencia)</t>
  </si>
  <si>
    <t>Identificación de posturas de Miembros Inferiores  (Evaluar miembro con mayor exigencia)</t>
  </si>
  <si>
    <t>Plan Acción</t>
  </si>
  <si>
    <t>Levantamiento / descenso y transporte manual de carga</t>
  </si>
  <si>
    <t>Presencia de tarea de levantamiento/descenso y transporte de carga con condiciones de diseño y frecuencia que exceden los valores máximos sugeridos</t>
  </si>
  <si>
    <t>Condición crítica: presencia de tarea de levantamiento/descenso y transporte con peso de la carga que exceda los siguientes límites</t>
  </si>
  <si>
    <t>La temperatura en donde se realiza la tarea está entre los 18° y 26° (grados Celsius).</t>
  </si>
  <si>
    <t>El piso se encuentra en buenas condiciones (regular, seco y estable)</t>
  </si>
  <si>
    <t>El espacio de trabajo permite el normal movimiento de los trabajadores (sin generar posturas incómodas) durante el levantamiento/descenso y/o transporte</t>
  </si>
  <si>
    <t>El tamaño de la carga permite la visibilidad y movimientos normales del trabajador</t>
  </si>
  <si>
    <t>El centro de gravedad de la carga es estable</t>
  </si>
  <si>
    <t>La carga permite su agarre sin riesgo de cortes, compresión o quemaduras.</t>
  </si>
  <si>
    <t>La tarea de levantamiento/descenso o transporte de carga dura menos de 8 horas.</t>
  </si>
  <si>
    <t>Se observa ausencia de asimetría (Ej: cuerpo rotado, torsión y/o inclinación de tronco)</t>
  </si>
  <si>
    <t>La carga es mantenida cerca del cuerpo</t>
  </si>
  <si>
    <t>El desplazamiento vertical de la carga se realiza entre las caderas y los hombros</t>
  </si>
  <si>
    <t>Frecuencia máxima de MMC: el levantamiento/descenso es menor a 5 veces por minuto</t>
  </si>
  <si>
    <t>Frecuencia máxima de MMC: el levantamiento/descenso es menor a 1 vez por minuto</t>
  </si>
  <si>
    <t>Ausencia de cargas mayores a 10 kg</t>
  </si>
  <si>
    <t>8 hr = 10.000 kg</t>
  </si>
  <si>
    <t>1 hora = 1.500 kilos</t>
  </si>
  <si>
    <t>1 minuto = 30 kilos</t>
  </si>
  <si>
    <t>8 hr = 6.000 kg</t>
  </si>
  <si>
    <t>1 hora = 750 kilos</t>
  </si>
  <si>
    <t>1 minuto = 15 kilos</t>
  </si>
  <si>
    <t>Presencia de temperatura extrema (bajo 16° o superior a los 26° grados Celsius) y sin ropa adecuada que proteja de las temperaturas extremas</t>
  </si>
  <si>
    <t>Presencia de suelo resbaladizo, irregular o inestable</t>
  </si>
  <si>
    <t>Presencia de espacio insuficiente para el levantamiento/descenso y transporte de carga que genera posturas incómodas o restricción en el movimiento.</t>
  </si>
  <si>
    <t>El tamaño de la carga reduce la visión del trabajador y/o dificulta su movimiento</t>
  </si>
  <si>
    <t>El centro de gravedad de la carga no es estable (ej.: líquidos, elementos que se mueven dentro de la carga)</t>
  </si>
  <si>
    <t>La forma/configuración de la carga presenta bordes, superficies o protuberancias afiladas</t>
  </si>
  <si>
    <t>Las superficies de contacto son demasiado frías o demasiado calientes</t>
  </si>
  <si>
    <t>La tarea de levantamiento/descenso o transporte de carga dura más de 8 hrs.</t>
  </si>
  <si>
    <r>
      <t xml:space="preserve">IDENTIFICACIÓN AVANZADA – Tarea(s) con MMC: Levantamiento, Descenso y Transporte de cargas de 3kg o más – Condición Aceptable </t>
    </r>
    <r>
      <rPr>
        <b/>
        <sz val="11"/>
        <color rgb="FFFF0000"/>
        <rFont val="ACHS Nueva Sans"/>
      </rPr>
      <t>AMBIENTE TRABAJO</t>
    </r>
  </si>
  <si>
    <r>
      <t xml:space="preserve">IDENTIFICACIÓN AVANZADA – Tarea(s) con MMC: Levantamiento, Descenso y Transporte de cargas de 3kg o más – Condición Aceptable </t>
    </r>
    <r>
      <rPr>
        <b/>
        <sz val="11"/>
        <color rgb="FFFF0000"/>
        <rFont val="ACHS Nueva Sans"/>
      </rPr>
      <t>CARACTERITICA DE LA CARGA</t>
    </r>
  </si>
  <si>
    <r>
      <t xml:space="preserve">IDENTIFICACIÓN AVANZADA – Tarea(s) con MMC: Levantamiento, Descenso y Transporte de cargas de 3kg o más – Condición Aceptable PESO DE CARGA </t>
    </r>
    <r>
      <rPr>
        <b/>
        <sz val="11"/>
        <color rgb="FFFF0000"/>
        <rFont val="ACHS Nueva Sans"/>
      </rPr>
      <t xml:space="preserve">3KG A 5 KG </t>
    </r>
  </si>
  <si>
    <r>
      <t xml:space="preserve">IDENTIFICACIÓN AVANZADA – Tarea(s) con MMC: Levantamiento, Descenso y Transporte de cargas de 3kg o más – Condición Aceptable PESO DE CARGA </t>
    </r>
    <r>
      <rPr>
        <b/>
        <sz val="11"/>
        <color rgb="FFFF0000"/>
        <rFont val="ACHS Nueva Sans"/>
      </rPr>
      <t>5 KG A 10 KG</t>
    </r>
  </si>
  <si>
    <r>
      <t xml:space="preserve">IDENTIFICACIÓN AVANZADA – Tarea(s) con MMC: Levantamiento, Descenso y Transporte de cargas de 3kg o más – Condición Aceptable </t>
    </r>
    <r>
      <rPr>
        <b/>
        <sz val="11"/>
        <color rgb="FFFF0000"/>
        <rFont val="ACHS Nueva Sans"/>
      </rPr>
      <t>SOBRE 10 KG</t>
    </r>
  </si>
  <si>
    <r>
      <t>Transporte manual de carga. ¿El peso acumulado transportado* es menor a los valores recomendados?</t>
    </r>
    <r>
      <rPr>
        <b/>
        <sz val="11"/>
        <color rgb="FFFF0000"/>
        <rFont val="ACHS Nueva Sans"/>
      </rPr>
      <t xml:space="preserve"> Distancia &lt;= 10 metros</t>
    </r>
  </si>
  <si>
    <r>
      <t>Transporte manual de carga. ¿El peso acumulado transportado* es menor a los valores recomendados?</t>
    </r>
    <r>
      <rPr>
        <b/>
        <sz val="11"/>
        <color rgb="FFFF0000"/>
        <rFont val="ACHS Nueva Sans"/>
      </rPr>
      <t xml:space="preserve"> Distancia  &gt; = 10 metros</t>
    </r>
  </si>
  <si>
    <r>
      <t>IDENTIFICACIÓN AVANZADA – Tarea(s) con MMC: Levantamiento, Descenso y Transporte de cargas de 3kg o más – Condición Crítica</t>
    </r>
    <r>
      <rPr>
        <b/>
        <sz val="11"/>
        <color rgb="FFFF0000"/>
        <rFont val="ACHS Nueva Sans"/>
      </rPr>
      <t xml:space="preserve"> AMBIENTE TRABAJO</t>
    </r>
  </si>
  <si>
    <r>
      <t xml:space="preserve">IDENTIFICACIÓN AVANZADA – Tarea(s) con MMC: Levantamiento, Descenso y Transporte de cargas de 3kg o más – Condición Crítica </t>
    </r>
    <r>
      <rPr>
        <b/>
        <sz val="11"/>
        <color rgb="FFFF0000"/>
        <rFont val="ACHS Nueva Sans"/>
      </rPr>
      <t>CARACTERISTICA DE LA CARGA</t>
    </r>
  </si>
  <si>
    <r>
      <t xml:space="preserve">IDENTIFICACIÓN AVANZADA – Tarea(s) con MMC: Levantamiento, Descenso y Transporte de cargas de 3kg o más – Condición Crítica </t>
    </r>
    <r>
      <rPr>
        <b/>
        <sz val="11"/>
        <color rgb="FFFF0000"/>
        <rFont val="ACHS Nueva Sans"/>
      </rPr>
      <t>HORAS DE TRABAJO</t>
    </r>
  </si>
  <si>
    <r>
      <rPr>
        <b/>
        <sz val="11"/>
        <color theme="0"/>
        <rFont val="ACHS Nueva Sans"/>
      </rPr>
      <t>Posición vertical</t>
    </r>
    <r>
      <rPr>
        <sz val="11"/>
        <color theme="0"/>
        <rFont val="ACHS Nueva Sans"/>
      </rPr>
      <t xml:space="preserve"> La ubicación de las manos al inicio o final del levantamiento/descenso de una carga es superior a 155 cm o inferior a 20 cm</t>
    </r>
  </si>
  <si>
    <r>
      <t xml:space="preserve">Desplazamiento vertical </t>
    </r>
    <r>
      <rPr>
        <sz val="11"/>
        <color theme="0"/>
        <rFont val="ACHS Nueva Sans"/>
      </rPr>
      <t>La distancia vertical entre el origen y el destino del objeto manipulado es mayor a 135 cm</t>
    </r>
  </si>
  <si>
    <r>
      <t xml:space="preserve">Distancia horizontal </t>
    </r>
    <r>
      <rPr>
        <sz val="11"/>
        <color theme="0"/>
        <rFont val="ACHS Nueva Sans"/>
      </rPr>
      <t>La distancia horizontal entre el cuerpo y las manos (nudillos) es superior a 55 cm correspondiente a la zona de alcance máximo de brazos</t>
    </r>
  </si>
  <si>
    <r>
      <t xml:space="preserve">Asimetría </t>
    </r>
    <r>
      <rPr>
        <sz val="11"/>
        <color theme="0"/>
        <rFont val="ACHS Nueva Sans"/>
      </rPr>
      <t>Rotación o inclinación extrema del tronco sin movimientos de los pies</t>
    </r>
  </si>
  <si>
    <r>
      <t xml:space="preserve">Frecuencia </t>
    </r>
    <r>
      <rPr>
        <sz val="11"/>
        <color theme="0"/>
        <rFont val="ACHS Nueva Sans"/>
      </rPr>
      <t>Corta duración: más de 15 levant./desc. por min, en una tarea que no supere los 60 min seguidos en el turno de trabajo y seguida de al menos 60 min de desc. o tarea liviana (que no implique MMC)</t>
    </r>
  </si>
  <si>
    <r>
      <t xml:space="preserve">Frecuencia </t>
    </r>
    <r>
      <rPr>
        <sz val="11"/>
        <color theme="0"/>
        <rFont val="ACHS Nueva Sans"/>
      </rPr>
      <t>Media duración: + de 12 levant/desc por min, en una tarea que no supere los 120 min seguidos en el turno de trabajo y seguida de al menos 30 min de descanso o tarea liviana (que no implique MMC).</t>
    </r>
  </si>
  <si>
    <r>
      <t>Frecuencia</t>
    </r>
    <r>
      <rPr>
        <sz val="11"/>
        <color theme="0"/>
        <rFont val="ACHS Nueva Sans"/>
      </rPr>
      <t xml:space="preserve"> Larga duración: más de 8 levantamientos/descensos por minuto, en una tarea que supere los 120 minutos seguidos en el turno de trabajo</t>
    </r>
  </si>
  <si>
    <r>
      <t xml:space="preserve">Mujeres (18-45 años) </t>
    </r>
    <r>
      <rPr>
        <b/>
        <sz val="11"/>
        <color rgb="FFFF0000"/>
        <rFont val="ACHS Nueva Sans"/>
      </rPr>
      <t>20KG</t>
    </r>
  </si>
  <si>
    <r>
      <t xml:space="preserve">Hombres (&lt;18 o &gt;45 años) </t>
    </r>
    <r>
      <rPr>
        <b/>
        <sz val="11"/>
        <color rgb="FFFF0000"/>
        <rFont val="ACHS Nueva Sans"/>
      </rPr>
      <t>20KG</t>
    </r>
  </si>
  <si>
    <r>
      <t xml:space="preserve">Hombres (18-45 años) </t>
    </r>
    <r>
      <rPr>
        <b/>
        <sz val="11"/>
        <color rgb="FFFF0000"/>
        <rFont val="ACHS Nueva Sans"/>
      </rPr>
      <t>25KG</t>
    </r>
  </si>
  <si>
    <r>
      <t xml:space="preserve">Mujeres (&lt;18 o &gt;45 años) </t>
    </r>
    <r>
      <rPr>
        <b/>
        <sz val="11"/>
        <color rgb="FFFF0000"/>
        <rFont val="ACHS Nueva Sans"/>
      </rPr>
      <t>15KG</t>
    </r>
  </si>
  <si>
    <r>
      <t xml:space="preserve">Mujer embarazada             </t>
    </r>
    <r>
      <rPr>
        <b/>
        <sz val="11"/>
        <color rgb="FFFF0000"/>
        <rFont val="ACHS Nueva Sans"/>
      </rPr>
      <t>3KG</t>
    </r>
  </si>
  <si>
    <r>
      <t xml:space="preserve">Distancia de transporte de 20 mt o más </t>
    </r>
    <r>
      <rPr>
        <b/>
        <sz val="11"/>
        <color rgb="FFFF0000"/>
        <rFont val="ACHS Nueva Sans"/>
      </rPr>
      <t>6.000 kg en 8 hr</t>
    </r>
  </si>
  <si>
    <r>
      <t xml:space="preserve">Distancia de transporte menos de 20 mt </t>
    </r>
    <r>
      <rPr>
        <b/>
        <sz val="11"/>
        <color rgb="FFFF0000"/>
        <rFont val="ACHS Nueva Sans"/>
      </rPr>
      <t>10.000 kg en 8 hr</t>
    </r>
  </si>
  <si>
    <t>RESULTADO</t>
  </si>
  <si>
    <t>El piso  en buenas condiciones (regular, compacto, seco y estable) y sin pendiente.</t>
  </si>
  <si>
    <t>Presencia de vías/caminos donde se permite el normal desplazamiento
(espacio suficiente para el desplazamiento).</t>
  </si>
  <si>
    <r>
      <t xml:space="preserve">IDENTIFICACIÓN AVANZADA – Tarea(s) Empuje y arrastre de carga – Condición Aceptable </t>
    </r>
    <r>
      <rPr>
        <b/>
        <sz val="11"/>
        <color rgb="FFFF0000"/>
        <rFont val="ACHS Nueva Sans"/>
      </rPr>
      <t>AMBIENTE TRABAJO</t>
    </r>
  </si>
  <si>
    <t>El carro o transpaleta cargada permite la visibilidad y
movimientos normales del trabajador.</t>
  </si>
  <si>
    <t>El centro de gravedad de la carga es estable.</t>
  </si>
  <si>
    <t>El carro o transpaleta permite su agarre sin riesgo de
cortes, compresión o quemaduras.</t>
  </si>
  <si>
    <t>Presencia de ruedas grandes o pequeñas en buen estado.</t>
  </si>
  <si>
    <t>Presencia de ruedas grandes o pequeñas adecuadas al
tipo de carro, peso de la carga y vías de desplazamiento.</t>
  </si>
  <si>
    <r>
      <t xml:space="preserve">IDENTIFICACIÓN AVANZADA – Tarea(s) con MMC: Levantamiento, Descenso y Transporte de cargas de 3kg o más – Condición Aceptable </t>
    </r>
    <r>
      <rPr>
        <b/>
        <sz val="11"/>
        <color rgb="FFFF0000"/>
        <rFont val="ACHS Nueva Sans"/>
      </rPr>
      <t>CARACTERISTICA DEL CARRO O TRANSPALETA</t>
    </r>
  </si>
  <si>
    <r>
      <t>IDENTIFICACIÓN AVANZADA – Tarea(s) con MMC: Levantamiento, Descenso y Transporte de cargas de 3kg o más – Condición Aceptable</t>
    </r>
    <r>
      <rPr>
        <b/>
        <sz val="11"/>
        <color rgb="FFFF0000"/>
        <rFont val="ACHS Nueva Sans"/>
      </rPr>
      <t xml:space="preserve"> MAGNITUD DE LA FUERZA</t>
    </r>
  </si>
  <si>
    <t>Método dinamómetro (*): la fuerza inicial no supera los 10
kgs de fuerza y la fuerza de sustentación no supera los 5 kgs
de fuerza.
Método Escala de Borg: los trabajadores perciben leve
esfuerzo físico (valor 2 o menos en escala de Borg) durante
la tarea (s) de empuje y arrastre de carga</t>
  </si>
  <si>
    <r>
      <t>IDENTIFICACIÓN AVANZADA – Tarea(s) con MMC: Levantamiento, Descenso y Transporte de cargas de 3kg o más – Condición Aceptable</t>
    </r>
    <r>
      <rPr>
        <b/>
        <sz val="11"/>
        <color rgb="FFFF0000"/>
        <rFont val="ACHS Nueva Sans"/>
      </rPr>
      <t xml:space="preserve"> DURACIÓN</t>
    </r>
  </si>
  <si>
    <t>La(s) tarea(s) de empuje y arrastre de carga duran hasta 8 hrs. diaria.</t>
  </si>
  <si>
    <t>La fuerza se realiza entre las caderas y la zona media del tronco.</t>
  </si>
  <si>
    <r>
      <t>IDENTIFICACIÓN AVANZADA – Tarea(s) con MMC: Levantamiento, Descenso y Transporte de cargas de 3kg o más – Condición Aceptable</t>
    </r>
    <r>
      <rPr>
        <b/>
        <sz val="11"/>
        <color rgb="FFFF0000"/>
        <rFont val="ACHS Nueva Sans"/>
      </rPr>
      <t xml:space="preserve"> Altura aplicación de la Fuerza</t>
    </r>
  </si>
  <si>
    <t>La fuerza de empuje o arrastre es aplicada con el tronco recto (sin flexión o torsión).</t>
  </si>
  <si>
    <r>
      <t>IDENTIFICACIÓN AVANZADA – Tarea(s) con MMC: Levantamiento, Descenso y Transporte de cargas de 3kg o más – Condición Aceptable</t>
    </r>
    <r>
      <rPr>
        <b/>
        <sz val="11"/>
        <color rgb="FFFF0000"/>
        <rFont val="ACHS Nueva Sans"/>
      </rPr>
      <t xml:space="preserve"> POSTURA</t>
    </r>
  </si>
  <si>
    <t>Las manos están delante del cuerpo y entre los hombros
cuando se realiza la fuerza de empuje o arrastre.</t>
  </si>
  <si>
    <r>
      <t>IDENTIFICACIÓN AVANZADA – Tarea(s) con MMC: Levantamiento, Descenso y Transporte de cargas de 3kg o más – Condición Aceptable</t>
    </r>
    <r>
      <rPr>
        <b/>
        <sz val="11"/>
        <color rgb="FFFF0000"/>
        <rFont val="ACHS Nueva Sans"/>
      </rPr>
      <t xml:space="preserve"> </t>
    </r>
    <r>
      <rPr>
        <b/>
        <sz val="11"/>
        <color theme="0"/>
        <rFont val="ACHS Nueva Sans"/>
      </rPr>
      <t>ZONA DE AGARRE</t>
    </r>
  </si>
  <si>
    <r>
      <t>IDENTIFICACIÓN AVANZADA – Tarea(s) Empuje y arrastre de carga -Identificación avanzada – Condición Crítica</t>
    </r>
    <r>
      <rPr>
        <b/>
        <sz val="11"/>
        <color rgb="FFFF0000"/>
        <rFont val="ACHS Nueva Sans"/>
      </rPr>
      <t xml:space="preserve"> AMBIENTE TRABAJO</t>
    </r>
  </si>
  <si>
    <r>
      <t xml:space="preserve">IDENTIFICACIÓN AVANZADA – Tarea(s) Empuje y arrastre de carga -Identificación avanzada – Condición Crítica </t>
    </r>
    <r>
      <rPr>
        <b/>
        <sz val="11"/>
        <color rgb="FFFF0000"/>
        <rFont val="ACHS Nueva Sans"/>
      </rPr>
      <t xml:space="preserve">CARACTERISTICA DEL CARRO </t>
    </r>
  </si>
  <si>
    <t>El carro o transpaleta reduce la vista del operador y/o
dificulta su movimiento.</t>
  </si>
  <si>
    <t>La carga es inestable.</t>
  </si>
  <si>
    <t>Presencia de ruedas grandes o pequeñas inadecuadas al tipo de carro, peso de la carga y vías de desplazamiento.</t>
  </si>
  <si>
    <t>Presencia de ruedas grandes o pequeñas en mal estado, rotas, desgastadas o con poca mantención.</t>
  </si>
  <si>
    <t>El carro o transpaleta tienen condiciones peligrosas (bordes, superficies o protuberancias afiladas, etc) que pueden lesionar al trabajador.</t>
  </si>
  <si>
    <r>
      <t xml:space="preserve">IDENTIFICACIÓN AVANZADA – Tarea(s) Empuje y arrastre de carga -Identificación avanzada – Condición Crítica </t>
    </r>
    <r>
      <rPr>
        <b/>
        <sz val="11"/>
        <color rgb="FFFF0000"/>
        <rFont val="ACHS Nueva Sans"/>
      </rPr>
      <t>MAGNITUD DE LA FUERZA</t>
    </r>
  </si>
  <si>
    <t>Método dinamómetro (*): 1. Fuerza inicial es superior a 36 kgs. (Hombres) o 24 kgs. (Mujeres).
2. Fuerza de sustentación es superior a 25 kgs. (Hombres) y 15 kgs. (Mujeres). Método Escala de Borg: los trabajadores perciben alto nivel
de esfuerzo físico (valor 8 o más en escala de Borg) durante la (s) tarea (s) de empuje y arrastre de carga (Para obtener la información debe preguntar a los trabajadores utilizando la escala de Borg al final de este anexo).</t>
  </si>
  <si>
    <r>
      <t xml:space="preserve">IDENTIFICACIÓN AVANZADA – Tarea(s) Empuje y arrastre de carga -Identificación avanzada – Condición Crítica </t>
    </r>
    <r>
      <rPr>
        <b/>
        <sz val="11"/>
        <color rgb="FFFF0000"/>
        <rFont val="ACHS Nueva Sans"/>
      </rPr>
      <t>DIRECCION DE LA FUERZA</t>
    </r>
  </si>
  <si>
    <t>Durante el desplazamiento la carga requiere de un levantamiento parcial, mientras se empuja o arrastra.</t>
  </si>
  <si>
    <r>
      <t xml:space="preserve">IDENTIFICACIÓN AVANZADA – Tarea(s) Empuje y arrastre de carga -Identificación avanzada – Condición Crítica </t>
    </r>
    <r>
      <rPr>
        <b/>
        <sz val="11"/>
        <color rgb="FFFF0000"/>
        <rFont val="ACHS Nueva Sans"/>
      </rPr>
      <t>ESFUERZO FISICO</t>
    </r>
  </si>
  <si>
    <t>La fuerza de empuje o arrastre es realizada con movimientos bruscos o de manera poco controlada.</t>
  </si>
  <si>
    <r>
      <t>IDENTIFICACIÓN AVANZADA – Tarea(s) Empuje y arrastre de carga -Identificación avanzada – Condición Crítica</t>
    </r>
    <r>
      <rPr>
        <b/>
        <sz val="11"/>
        <color rgb="FFFF0000"/>
        <rFont val="ACHS Nueva Sans"/>
      </rPr>
      <t xml:space="preserve"> POSTURA</t>
    </r>
  </si>
  <si>
    <t>La fuerza de empuje o arrastre es aplicada con el tronco en flexión o torsión significativa</t>
  </si>
  <si>
    <t>Las manos no están delante del cuerpo o fuera del ancho de los hombros cuando se realiza la fuerza de empuje o arrastre.</t>
  </si>
  <si>
    <t>La fuerza de empuje o arrastre es aplicada sobre los 150 cm o bajo los 60 cm.</t>
  </si>
  <si>
    <r>
      <t>IDENTIFICACIÓN AVANZADA – Tarea(s) Empuje y arrastre de carga -Identificación avanzada – Condición Crítica</t>
    </r>
    <r>
      <rPr>
        <b/>
        <sz val="11"/>
        <color rgb="FFFF0000"/>
        <rFont val="ACHS Nueva Sans"/>
      </rPr>
      <t xml:space="preserve"> ALTURA APLICACIÓN DE FUERZA</t>
    </r>
  </si>
  <si>
    <r>
      <t xml:space="preserve">IDENTIFICACIÓN AVANZADA – Tarea(s) Empuje y arrastre de carga -Identificación avanzada – Condición Crítica </t>
    </r>
    <r>
      <rPr>
        <b/>
        <sz val="11"/>
        <color rgb="FFFF0000"/>
        <rFont val="ACHS Nueva Sans"/>
      </rPr>
      <t>ALTURA APLICACIÓN DE FUERZA</t>
    </r>
  </si>
  <si>
    <t>La(s) tarea(s) de empuje y arrastre de carga duran más de 8 hrs. diaria.</t>
  </si>
  <si>
    <t>En promedio, por turno, el trabajador realiza 6 o menos
MMP que superen los 15 kg. cada uno.</t>
  </si>
  <si>
    <t>Ausencia de asimetría (Ej: cuerpo rotado, torsión y/o inclinación
de tronco).</t>
  </si>
  <si>
    <t>El paciente es mantenido cerca del cuerpo del trabajador.</t>
  </si>
  <si>
    <t>El MMP se realiza entre la altura nudillo suelo y la altura
codo suelo (°).</t>
  </si>
  <si>
    <r>
      <t>IDENTIFICACIÓN AVANZADA – Tarea(s) Manejo manual de personas/pacientes – Condición Aceptable</t>
    </r>
    <r>
      <rPr>
        <b/>
        <sz val="11"/>
        <color rgb="FFFF0000"/>
        <rFont val="ACHS Nueva Sans"/>
      </rPr>
      <t>APLICACIÓN DE LA FUERZA</t>
    </r>
  </si>
  <si>
    <r>
      <t>IDENTIFICACIÓN AVANZADA – Tarea(s) Manejo manual de personas/pacientes – Condición Aceptable</t>
    </r>
    <r>
      <rPr>
        <b/>
        <sz val="11"/>
        <color rgb="FFFF0000"/>
        <rFont val="ACHS Nueva Sans"/>
      </rPr>
      <t xml:space="preserve"> EQUIPAMIENTO</t>
    </r>
  </si>
  <si>
    <t>Cuenta con camas regulables en altura.</t>
  </si>
  <si>
    <t>Existe y se utilizan de forma correcta las ayudas mecánicas.</t>
  </si>
  <si>
    <t>Existen programas de mantenimiento de las ayudas mecánicas,
de sillas de rueda y camillas.</t>
  </si>
  <si>
    <t>Existe suficiente espacio para moverse libremente y para
utilizar las ayudas mecánicas existentes.</t>
  </si>
  <si>
    <t>Presencia de suelo en salas, pasillos y otros que permiten el normal desplazamiento de sillas de rueda y camillas.</t>
  </si>
  <si>
    <r>
      <t>IDENTIFICACIÓN AVANZADA – Tarea(s) Manejo manual de personas/pacientes – Condición Aceptable</t>
    </r>
    <r>
      <rPr>
        <b/>
        <sz val="11"/>
        <color rgb="FFFF0000"/>
        <rFont val="ACHS Nueva Sans"/>
      </rPr>
      <t xml:space="preserve"> AMBIENTES Y ESPACIOS</t>
    </r>
  </si>
  <si>
    <r>
      <t>IDENTIFICACIÓN AVANZADA – Tarea(s) Manejo manual de personas/pacientes – Condición Aceptable</t>
    </r>
    <r>
      <rPr>
        <b/>
        <sz val="11"/>
        <color rgb="FFFF0000"/>
        <rFont val="ACHS Nueva Sans"/>
      </rPr>
      <t xml:space="preserve"> ORGANIZACIÓN</t>
    </r>
  </si>
  <si>
    <t>Existen procedimientos escritos e informados de MMP de
acuerdo con el peso y características del paciente.</t>
  </si>
  <si>
    <t>La organización del trabajo permite distribuir las tareas
de MMP a lo largo de la jornada e incluye periodos de
descanso dentro de ella.</t>
  </si>
  <si>
    <t>IDENTIFICACIÓN AVANZADA – Tarea(s) Manejo manual de personas/pacientes – Condición Aceptable ENTRENAMIENTO</t>
  </si>
  <si>
    <r>
      <t xml:space="preserve">IDENTIFICACIÓN AVANZADA – Tarea(s) Manejo manual de personas/pacientes – Condición Aceptable </t>
    </r>
    <r>
      <rPr>
        <b/>
        <sz val="11"/>
        <color rgb="FFFF0000"/>
        <rFont val="ACHS Nueva Sans"/>
      </rPr>
      <t>ENTRENAMIENTO</t>
    </r>
  </si>
  <si>
    <t>Al menos un 75 % de los trabajadores del servicio/unidad  recibieron capacitación teórico-práctico en MMP en los últimos 12 meses.</t>
  </si>
  <si>
    <t>La iluminación permite visualizar todos los elementos en el espacio de trabajo y la temperatura son adecuadas está entre 19° y 25° grados Celsius.</t>
  </si>
  <si>
    <t>Existe un programa institucional para la prevención del riego por MMP: evaluación de riesgo, clasificación de pacientes (según nivel de asistencia requerida, peso, etc.), monitoreo de
la salud de los trabajadores, etc.</t>
  </si>
  <si>
    <t>En promedio, por turno, el trabajador realiza 12 o más
MMP que superen los 15 kgs. cada uno.</t>
  </si>
  <si>
    <t>El MMP se realiza bajo las rodillas o sobre la altura codo suelo</t>
  </si>
  <si>
    <t>La distancia horizontal entre el cuerpo y el paciente manipulado es superior a 63 cm.</t>
  </si>
  <si>
    <t>Torsión extrema del tronco sin movimientos de los pies.</t>
  </si>
  <si>
    <r>
      <t xml:space="preserve">IDENTIFICACIÓN AVANZADA – Tarea(s) Manejo manual de personas/pacientes – Condición Aceptable </t>
    </r>
    <r>
      <rPr>
        <b/>
        <sz val="11"/>
        <color rgb="FFFF0000"/>
        <rFont val="ACHS Nueva Sans"/>
      </rPr>
      <t>EQUIPAMIENTO</t>
    </r>
  </si>
  <si>
    <t>Las camas no son regulables y tienen una altura inferior a 70 cm.</t>
  </si>
  <si>
    <t>Las camas tienen ninguna o solo 2 ruedas.</t>
  </si>
  <si>
    <t>El trabajador hace todo el esfuerzo en el manejo del paciente ya que no se utiliza ningún tipo de ayudas mecánicas.</t>
  </si>
  <si>
    <t>No existe programa de mantenimiento de las ayudas mecánicas ni de sillas de rueda o camillas.</t>
  </si>
  <si>
    <t>La temperatura ambiente es menor a 18° o superior a 26° grados Celsius y no se cuenta con ropa que proteja de las temperaturas extremas.</t>
  </si>
  <si>
    <t>Existe menos de 90 cm de espacio entre la cama y la pared o entre las camas, o menos de 120 cm. al final de la cama.</t>
  </si>
  <si>
    <t>Presencia de suelo resbaladizo, irregular o inestable en salas o pasillos.</t>
  </si>
  <si>
    <r>
      <t xml:space="preserve">IDENTIFICACIÓN AVANZADA – Tarea(s) Manejo manual de personas/pacientes – Condición Aceptable </t>
    </r>
    <r>
      <rPr>
        <b/>
        <sz val="11"/>
        <color rgb="FFFF0000"/>
        <rFont val="ACHS Nueva Sans"/>
      </rPr>
      <t>AMBIENTES Y ESPACIOS</t>
    </r>
  </si>
  <si>
    <r>
      <t xml:space="preserve">IDENTIFICACIÓN AVANZADA – Tarea(s) Manejo manual de personas/pacientes – Condición Aceptable </t>
    </r>
    <r>
      <rPr>
        <b/>
        <sz val="11"/>
        <color rgb="FFFF0000"/>
        <rFont val="ACHS Nueva Sans"/>
      </rPr>
      <t>ORGANIZACIÓN</t>
    </r>
  </si>
  <si>
    <t>La organización carece de un sistema de clasificación del paciente (según nivel de asistencia, peso, etc.).</t>
  </si>
  <si>
    <t>La organización no cuenta con procedimientos escritos e informados de MMP de acuerdo con el peso y características del paciente.</t>
  </si>
  <si>
    <t>La organización del trabajo genera concentración de tareas de MMP en ciertos horarios de trabajo y no cuenta con pausas de
descanso durante la jornada.</t>
  </si>
  <si>
    <t>Un 50 % o menos de los trabajadores del servicio/unidad recibieron capacitación teórico-práctico en MMP en los últimos 18 meses.</t>
  </si>
  <si>
    <t>Tabla IV. IDENTIFICACIÓN AVANZADA – Tarea(s) con vibraciones segmento mano-brazo  – Condición aceptable</t>
  </si>
  <si>
    <t>¿Se usan herramientas de acción rotatoria (con generación de torque)?</t>
  </si>
  <si>
    <t>¿Se usan herramientas percutoras o de impacto?</t>
  </si>
  <si>
    <t>Los fabricantes o suministradores de las herramientas no advierten que su uso presenta riesgo derivados de las vibraciones</t>
  </si>
  <si>
    <t>Si los fabricantes o proveedores de maquinaria que se utiliza indican las aceleraciones equivalentes para los ejes X, Y, Z ¿Se sobrepasa el límite de acción de 2,5 m/s2?</t>
  </si>
  <si>
    <t>¿Existe desconocimiento por parte de los trabajadores/as sobre la exposición a vibración de mano-brazo y sus consecuencias?</t>
  </si>
  <si>
    <t>¿Algunos de los trabajadores relata dolor, hormigueo, entumecimiento o alteraciones de la circulación de las manos después de utilizar las herramientas?</t>
  </si>
  <si>
    <t>¿Se debe operar maquinarias o herramientas vibrantes por periodos prolongados mayores a 30 minutos todos los días? Se define como límite inferior de 0,5 horas
según D.S 594.</t>
  </si>
  <si>
    <t>¿Las herramientas que se utilizan no están diseñadas para la tarea realizada? ¿Las herramientas son hechizas?</t>
  </si>
  <si>
    <t>Tabla V. IDENTIFICACIÓN AVANZADA – Tarea(s) con vibraciones de cuerpo completo  – Condición aceptable</t>
  </si>
  <si>
    <t>¿Se debe operar maquinaria vibrante por periodos prolongados de tiempo todos los días o gran parte de la jornada laboral? Se define como límite inferior de 0,5 horas según D.S 594</t>
  </si>
  <si>
    <t>En la conducción de vehículos, ¿Se está expuesto a choques o movimientos bruscos?</t>
  </si>
  <si>
    <t>¿Los vehículos o maquinarias vibrantes se encuentran sin mantención?</t>
  </si>
  <si>
    <t>¿Se conduce por vías poco o mal mantenidas?</t>
  </si>
  <si>
    <t>Junto con la presencia de vibración, ¿Se adoptan posturas forzadas o estáticas para realizar las tareas?</t>
  </si>
  <si>
    <t>Junto con la presencia de vibración, ¿Se realiza manejo manual de carga en la tarea realizada por el trabajador o trabajadora?</t>
  </si>
  <si>
    <t>Los fabricantes o suministradores de la maquinaria que se utiliza no advierten del riesgo de la exposición a vibración</t>
  </si>
  <si>
    <t>Si los fabricantes o proveedores de maquinaria que se utiliza indican las aceleraciones equivalentes en los Ejes X, Y, Z ¿Estos sobrepasan los siguientes valores: 0,35 m/s2 para el eje X; 0,35m/s2 para el eje Y; 0,50 para el eje Z?</t>
  </si>
  <si>
    <t>¿Existe desconocimiento por parte de los trabajadores sobre los riesgos relacionados con las vibraciones de cuerpo entero?</t>
  </si>
  <si>
    <t>¿No se han hecho capacitaciones a las y los trabajadores que se identifican realizando tareas expuesto a vibraciones de cuerpo entero?</t>
  </si>
  <si>
    <t>¿Hay reportes de dolores de espalda baja (lumbar), media (toráxica), alta (toráxica – cuello) de los trabajadores sometidos a vibración de cuerpo completo?</t>
  </si>
  <si>
    <t>MMP</t>
  </si>
  <si>
    <t>Area</t>
  </si>
  <si>
    <t>Evaluacion SI/NO</t>
  </si>
  <si>
    <t>1. ANTECEDENTES DE LA EMPRESA</t>
  </si>
  <si>
    <t>Razón Social</t>
  </si>
  <si>
    <t>RUT Empresa</t>
  </si>
  <si>
    <t>Actividad Económica</t>
  </si>
  <si>
    <t>Código CIIU</t>
  </si>
  <si>
    <t xml:space="preserve">Dirección </t>
  </si>
  <si>
    <t>Comuna</t>
  </si>
  <si>
    <t>Nombre Representante Legal</t>
  </si>
  <si>
    <t>Organismo administrador al que está adherido</t>
  </si>
  <si>
    <t>Fecha inicio</t>
  </si>
  <si>
    <t>2.- CENTRO DE TRABAJO O LUGAR DE TRABAJO</t>
  </si>
  <si>
    <t>Nombre del centro de trabajo</t>
  </si>
  <si>
    <t>Dirección</t>
  </si>
  <si>
    <t>Nº de trabajadores centro de trabajo</t>
  </si>
  <si>
    <t>Hombres</t>
  </si>
  <si>
    <t>Mujeres</t>
  </si>
  <si>
    <t>3.- RESPONSABLE IMPLEMENTACIÓN PROTOCOLO</t>
  </si>
  <si>
    <t>Nombre responsable</t>
  </si>
  <si>
    <t>Cargo</t>
  </si>
  <si>
    <t>Correo electrónico</t>
  </si>
  <si>
    <t>Teléfono</t>
  </si>
  <si>
    <t xml:space="preserve">N° de Puestos </t>
  </si>
  <si>
    <t>Evaluados</t>
  </si>
  <si>
    <t>Pendientes</t>
  </si>
  <si>
    <t>MOVIMIENTO REPETITIVO</t>
  </si>
  <si>
    <t>Postura Estatica</t>
  </si>
  <si>
    <t>Levantamiento y Descenso</t>
  </si>
  <si>
    <t>Empuje y Arrastre</t>
  </si>
  <si>
    <t>Vibración Mano- Brazo</t>
  </si>
  <si>
    <t>Vibración Cuerpo Completo</t>
  </si>
  <si>
    <t>MMC Levantamiento/Descenso</t>
  </si>
  <si>
    <t>MMC Empuje/Arrastre</t>
  </si>
  <si>
    <t>PROCESADORA DE ALIMENTOS DEL SUR LTDA.</t>
  </si>
  <si>
    <t>77.476.390-2</t>
  </si>
  <si>
    <t>Explotación de mataderos bovinos, ovinos, equinos, caprinos, porcinos y camélidos.</t>
  </si>
  <si>
    <t>Mauricio Zamorano Troncoso</t>
  </si>
  <si>
    <t>IST</t>
  </si>
  <si>
    <t>Planta Rosario</t>
  </si>
  <si>
    <t>Ruta H-50 KM 0,304 Camino a Quinta de Tilcoco</t>
  </si>
  <si>
    <t>RENGO</t>
  </si>
  <si>
    <t>SEBASTIÁN PÉREZ PEÑA</t>
  </si>
  <si>
    <t>SUPERVISOR ACTIVIDADES ERGONOMICAS</t>
  </si>
  <si>
    <t>sperezp@agrosuper.com</t>
  </si>
  <si>
    <t>Desposte</t>
  </si>
  <si>
    <t>Operario de producción línea Principal 1</t>
  </si>
  <si>
    <t>Extracción de membrana y cartilago</t>
  </si>
  <si>
    <t>Marcaje de pernil</t>
  </si>
  <si>
    <t>Apertura de falda derecha</t>
  </si>
  <si>
    <t>Apertura de falda izquierda</t>
  </si>
  <si>
    <t>Sierra cortadora de patas</t>
  </si>
  <si>
    <t>Tijera cortadora de manos</t>
  </si>
  <si>
    <t>Sierra EFA 86 corte de pernil</t>
  </si>
  <si>
    <t>RK 11 cuarto trasero</t>
  </si>
  <si>
    <t>RK 11 cuarto delantero</t>
  </si>
  <si>
    <t>Sierra EFA 86 Punta costilla</t>
  </si>
  <si>
    <t>Extracción de diafragma</t>
  </si>
  <si>
    <t>Corte de pernil</t>
  </si>
  <si>
    <t>Extracción de papada</t>
  </si>
  <si>
    <t>Extracción de punta costilla izquierda</t>
  </si>
  <si>
    <t>Extracción de punta costilla derecha</t>
  </si>
  <si>
    <t>Operación de MSS</t>
  </si>
  <si>
    <t>Extracción de hueso pecho</t>
  </si>
  <si>
    <t>Deshuesado de panceta</t>
  </si>
  <si>
    <t>Rayado de lomo</t>
  </si>
  <si>
    <t>Prolijado de plateada</t>
  </si>
  <si>
    <t>Ordenar cuero</t>
  </si>
  <si>
    <t>Operario de producción Línea Principal 1 debe utilizar cuchille de empuñadura en mano habil para ejecutar la labor, debe realizar corte descendiente bordeando el pernil del cerdo con el cuchillo.</t>
  </si>
  <si>
    <t xml:space="preserve">Operario de producción Línea Principal 1 debe realizar labor utilizando cuchillo de empuñadura en su mano habil, debe realizar un corte horizontal de izquierda a derecha en la falda del cerdo para asegurar la apertura de la falda, y con su mano no dominante debe tomar y separar la falda. </t>
  </si>
  <si>
    <t>Operario de producción Línea Principal 1 debe operar equipo sierra cortadora de patas, en donde con su mano habil debe manipular un gancho y arrastrar la vara con la finalidad de posicionar correctamente la pata en la sierra con su mano no habil</t>
  </si>
  <si>
    <t>Operario de producción Línea Principal 1 debe realizar labor con la ayuda de equipo tijera cortadora de manos, donde debe sostener dicho equipo que cuenta con sistema de sujeción con su mano habíl, tomar la mano con su mano no habil y presionar el gatillo de accionamiento del equipo para cortar la mano.</t>
  </si>
  <si>
    <t>Operario de producción Línea Principal 1 debe operar equipo EFA 86, el cual debe sujetar con ambas manos y presionar el gatillo de accionamiento con su mano izqueirda, una vez el equipo en funcionamiento debe realizar el corte en el pernil del cerdo.</t>
  </si>
  <si>
    <t>Operario de producción Línea Principal 1 debe realizar labor de posicionamiento de vara en equipo RK 11, donde debe arrastrar la vara con ambas manos para posicionarla en el punto especifico del equipo con la finalidad de cortar el cuarto trasero. Operario utiliza un gancho en su mano habil para facilitar el arrastre.</t>
  </si>
  <si>
    <t>Operario de producción Línea Principal 1 debe realizar labor de posicionamiento de vara en equipo RK 11, donde debe arrastrar la vara con ambas manos para posicionarla en el punto especifico del equipo con la finalidad de cortar el cuarto delantero. Operario utiliza un gancho en su mano habil para facilitar el arrastre.</t>
  </si>
  <si>
    <t>Operario de producción Línea Principal 1 debe operar equipo EFA 86, el cual debe sujetar con ambas manos y presionar el gatillo de accionamiento con su mano izqueirda, una vez el equipo en funcionamiento debe realizar el corte en la punta costilla del cerdo.</t>
  </si>
  <si>
    <t>Operario de producción Línea Principal 1 debe utilizar cuchillo de empuñadura en mano habil para realizar labor de extracción de diafragma, donde debe realizar corte de extracción y luego desprender el diafragma con la mano no habil, depositando el producto en una bandeja.</t>
  </si>
  <si>
    <t>Operario de producción Línea Principal 1 debe utilizar cuchillo de empuñadura en mano habil para realizar labor de corte de pernil, donde debe realizar un corte horinzontal para retirar el pernil del cuarto delantero.</t>
  </si>
  <si>
    <t>Operario de producción Línea Principal 1 debe realizar la labor de extracción de papada utilizando cuchillo de empuñadura en mano habil, realizando un corte descendiente en la papada presente en el cuarto delantero para posteriormente depositarla en la cinta de evacuación.</t>
  </si>
  <si>
    <t>Operario de producción Línea Principal 1 debe realizar extracción de punta costilla con cuchillo de empuñadura en mano habil, donde una vez llegue el producto a su puesto de trabajo, debe identificar la punta costilla y realizar los cortes para luego evacuar el producto con la mano no habil.</t>
  </si>
  <si>
    <t>Operario de producción Línea Principal 1 debe realizar labor de operación de MSS, donde debe acomodar y empujar el cuarto central para el ingreso en el equipo, utilizando ambas manos</t>
  </si>
  <si>
    <t>Operario de producción Línea Principal 1 debe realizar extracción de hueso pecho utilizando cuchillo de empuñadura en mano habil, donde debe realizar corte superficial retirando el hueso y depositandolo en bandeja</t>
  </si>
  <si>
    <t>operario de producción Línea Principal 1 debe realizar labor de deshuesado de panceta utilizando equipo cuchillo neumatico con mano habil, donde debe extraer los huesos de la panceta en su totalidad y depositarlos en cintas de evacuación.</t>
  </si>
  <si>
    <t>Am: 07:00 a 16:00 - PM: 17:15 a 02:45</t>
  </si>
  <si>
    <t>0.5</t>
  </si>
  <si>
    <t>Indefinido</t>
  </si>
  <si>
    <t>Fija</t>
  </si>
  <si>
    <t>SI</t>
  </si>
  <si>
    <t>Cuchillo circular</t>
  </si>
  <si>
    <t>Cuchillo de empuñadura</t>
  </si>
  <si>
    <t>N/A</t>
  </si>
  <si>
    <t>Equipo Descueradora Manual</t>
  </si>
  <si>
    <t>Equipo sierra cortadora de patas</t>
  </si>
  <si>
    <t>Equipo tijera cortadora de manos</t>
  </si>
  <si>
    <t>Equipo Sierra EFA 86</t>
  </si>
  <si>
    <t>Equipo RK 11 cuarto trasero</t>
  </si>
  <si>
    <t>Equipo RK 11 cuarto delantero</t>
  </si>
  <si>
    <t>Equipo Sierra EFA Punta Costilla</t>
  </si>
  <si>
    <t>Equipo MSS</t>
  </si>
  <si>
    <t>Equipo cuchillo neumatico</t>
  </si>
  <si>
    <t>Cinta de transporte de producto altura 90 cm. Mesa de trabajo de corte altura 90 cm. Distancia entre puestos de trabajo 100 cm. Temperatura 3 - 5 °C</t>
  </si>
  <si>
    <t>Rapido astil presente en los puestos de trabajo sobre cinta transportadora a una altura de 120 cm. Se dispone de un cuchillo por persona.</t>
  </si>
  <si>
    <t>Cuchillos Manuales, Cuchillo Circular, astil , cartuchera porta cuchillos.</t>
  </si>
  <si>
    <t>Operario de producción Línea Lomos</t>
  </si>
  <si>
    <t xml:space="preserve">Operador Descueradora Manual </t>
  </si>
  <si>
    <t>Operario de producción Línea Lomos debe realiza la operación de descueradora manual, tomando con ambas manos el producto y posicionandolo en el el rodillo del equipo, luego debe presionar el pedal para accionar el movimiento del rodillo y desprender el cuero, una vez descuerado el lomo, se lo entrega a su compañero.</t>
  </si>
  <si>
    <t>Posicionamiento de lomo tecla</t>
  </si>
  <si>
    <t>Operario de producción Línea Lomos debe realizar la labor de posicionamiento de lomo tecla, tomando el producto con ambas manos y depositandolo en la cinta transportadora.</t>
  </si>
  <si>
    <t>Prolijado de lomo tecla extracción de cordon</t>
  </si>
  <si>
    <t>Operario de producción Línea Lomos debe realizar la labor de prolijado de lomo tecla, utilizando equipo cuchillo circular, donde debe retirar el cordón de lomo.</t>
  </si>
  <si>
    <t>Extracción de cuero a tocino</t>
  </si>
  <si>
    <t>Operario de producción de Línea Lomos debe realizar labor de extracción de cuero a tocino utilizando cuchillo de empuñadura en mano habil, donde debe realizar cortes superficiales en el cuero con la finalidad de emparejar el producto.</t>
  </si>
  <si>
    <t xml:space="preserve">Rayado de lomo tecla </t>
  </si>
  <si>
    <t xml:space="preserve">Operario de producción de línea Lomos debe realizar rayado de lomo tecla utilizando cuchillo de empuñadura en mano habil, donde debe realizar cortes verticales descendientes para separar el cuero del lomo. </t>
  </si>
  <si>
    <t>Operario de producción de Línea Lomos debe realizar labor de rayado de lomo utilizando cuchillo de empuñadura en mano habil, donde debe realizar corte horizontal descendiente para extraer el lomo del cuero, luego de manera manual, realiza un poco de la separación.</t>
  </si>
  <si>
    <t>Operador de Desprendedora de Lomo</t>
  </si>
  <si>
    <t>Operario de producción de linea Lomos debe realizar operación de desprendedora de lomo, tomando el cuero del producto con ambas manos y posicionando el lomo en el interior del equipo, la cinta quitara el lomo y el operario deposita el cuero en la cinta transportadora.</t>
  </si>
  <si>
    <t>Equipo Desprendedora de Lomo</t>
  </si>
  <si>
    <t>Prolijado de lomo tocino</t>
  </si>
  <si>
    <t>Operario de producción de línea lomos debe realizar prolijado de lomo tocino utilizando equipo cuchillo circular, debe extraer el cuero superficial del producto.</t>
  </si>
  <si>
    <t>Cuadrado de lomo tecla</t>
  </si>
  <si>
    <t>Operario de producción de línea lomos debe realizar labor de cuadrado de lomo tecla utilizando cuchillo de empuñadura en mano habil, donde debe realizar ultimos cortes al producto, retirando los restos de grasa y cuero acorde a la ficha tecnica del producto.</t>
  </si>
  <si>
    <t>Distribuidor de lomos</t>
  </si>
  <si>
    <t>Operario de producción línea lomos debe realizar labor de distribución de lomos, utilizando ambas manos, donde debe tomar el lomo y posicionarlo en la cinta transportadora acorde al flujo productivo.</t>
  </si>
  <si>
    <t>Extraccion de cordon de lomo</t>
  </si>
  <si>
    <t>Operario de producción línea lomos debe realizar labor de extracción de cordon de lomo utilizando equipo cuchillo circular con mano habil, donde debe retirar la membrana del producto llamada cordon de lomo.</t>
  </si>
  <si>
    <t>Prolijado de lomo con cuchillo circular</t>
  </si>
  <si>
    <t>Operario de producción línea lomos debe realizar la labor de prolijado de lomo utilizando cuchillo circular en su mano habil, donde debe extraer el cuero y la grasa del producto acorde a la ficha tecnica.</t>
  </si>
  <si>
    <t>Cuadrado de lomo</t>
  </si>
  <si>
    <t>Operador de equipo Freund</t>
  </si>
  <si>
    <t xml:space="preserve">Operario de producción línea lomos debe realizar la actividad de operación de equipo Freund, donde debe tomar con ambas manos y posicionar el tira hueso en el ingreso del equipo </t>
  </si>
  <si>
    <t>Equipo Freund</t>
  </si>
  <si>
    <t>Operador de Tira Hueso</t>
  </si>
  <si>
    <t>Operario de producción línea lomos debe realizar la actividad de operación de equipo cortadora de tira hueso, donde debe tomar con ambas manos el resto tira hueso y posicionar en el ingreso del equipo, para posteriormente tomar la bandeja y posicionarla en la cinta de evacuación.</t>
  </si>
  <si>
    <t>Equipo cortador de tira hueso</t>
  </si>
  <si>
    <t>Operador de MA 100</t>
  </si>
  <si>
    <t>Operario de producción de línea lomos debe realiza labor de operación de equipo MA 100, presionando pedal de accionamiento del equipo, y posicionando la membrana del babybackribs en el ingreso del equipo, una vez desprendida la membrana, deposita el producto en la cinta transportadora.</t>
  </si>
  <si>
    <t>Equipo MA100</t>
  </si>
  <si>
    <t>Separación de resto tira hueso</t>
  </si>
  <si>
    <t>Operario de producción de línea lomos debe realizar labor de separación de resto tira hueso utilizando cuchillo de empuñadura en mano habil, donde debe realizar cortes verticales descendientes para separar el tira hueso del tailen</t>
  </si>
  <si>
    <t>Prolijado de tailen</t>
  </si>
  <si>
    <t>Operario de producción de línea lomos debe realizar labor de prolijado de tailen utilizando cuchillo de empuñadura en mano habil, donde debe realizar para extraer la grasa y la membrana del tailen</t>
  </si>
  <si>
    <t>Calibrado de tailen</t>
  </si>
  <si>
    <t>Operario de producción línea lomos debe realizar la actividad de calibrado de tailen utilizando cuchillo de empuñadura en mano habil, donde realiza la cuadratura final al producto.</t>
  </si>
  <si>
    <t>Calibrado de baby back ribs</t>
  </si>
  <si>
    <t>Operario de producción de Línea Lomos debe realizar la labor de calibrado de baby back ribs utilizando cuchillo de empuñadura, en donde debe tomar el producto y realizar cortes para dar el peso acorde a la ficha tecnica.</t>
  </si>
  <si>
    <t>Embalaje de baby back ribs</t>
  </si>
  <si>
    <t>Operario de producción de línea lomos debe realizar labor de embalaje de baby back ribs, introduciendo el producto en una bolsa acorde al mercado y dandole el formato manual para luego depositarlo en la cinta.</t>
  </si>
  <si>
    <t>Estuche</t>
  </si>
  <si>
    <t>Operario de producción línea Lomos debe realizar la actividad de estuche, donde debe depositar los baby back ribs de manera manual al interior de una bolsa acorde al mercado.</t>
  </si>
  <si>
    <t>Pegar fechas</t>
  </si>
  <si>
    <t>Operario de producción línea lomos debe realizar la actividad de pegar fechas, utilizando etiquetas, donde debe pegar la fecha a cada sachett de producto.</t>
  </si>
  <si>
    <t>Operador de equipo Selladora C-500</t>
  </si>
  <si>
    <t>Operario de producción Línea Lomos debe realizar la operación de equipo selladora c-500 posicionando las bolsas de producto al interior del equipo, para luego tomar la cubierta y cerrarla por un tiempo determinado. Posterior al ciclo del equipo, el colaborador debe retirar el producto ya sellado al vacio.</t>
  </si>
  <si>
    <t>Equipo Selladora C-500</t>
  </si>
  <si>
    <t>Operario de producción Línea Paletas</t>
  </si>
  <si>
    <t>Despunte Axilar</t>
  </si>
  <si>
    <t>Operario de producción línea Paletas debe realizar labor de Despunte Axilar utilizando equipo cuchillo circular en mano habil, donde debe realizar movimientos de muñeca para retirar el cuero del producto.</t>
  </si>
  <si>
    <t>Desforrado de Paleta</t>
  </si>
  <si>
    <t>Operario de producción línea Paletas debe realizar labor de Desforrado de paleta utilizando cuchillo de empuñadura en mano habil, donde debe introducir el cuchillo en el cuero y realizar cortes descendientes para separar el cuero del producto y extraerlo por completo.</t>
  </si>
  <si>
    <t>Extracción de ganglios paleta</t>
  </si>
  <si>
    <t>Operario de producción línea Paletas debe realizar labor de extracción de ganglios utilizando cuchillo de empuñadura en mano habil, donde debe realizar cortes para extraer los ganglios presentes en el producto.</t>
  </si>
  <si>
    <t>Extracción de plateada de paleta</t>
  </si>
  <si>
    <t>Operario de producción línea paletas debe realizar labor de extracción de plateada de paleta utilizando cuchillo de empuñadura en mano habil, donde debe realizar un corte horizontal en la parte superior de la paleta para realizar la extracción de la plateada.</t>
  </si>
  <si>
    <t>Operario de producción línea paletas debe realizar labor de prolijado de plateada utilizando cuchillo de empuñadura en mano habil, donde debe realizar cortes superficiales al producto para quitar la grasa y el cuero del producto.</t>
  </si>
  <si>
    <t>Revisión de paleta con cuchillo</t>
  </si>
  <si>
    <t>Operario de producción línea paletas debe realizar labor de revisión de paleta utilizando cuchillo de empuñadura en habil, donde debe realizar cuadratura de la paleta acorde a la ficha tecnica, retirando grasa y cuero.</t>
  </si>
  <si>
    <t>Prolijado de paleta</t>
  </si>
  <si>
    <t>Operario de producción línea paletas debe realizar labor de prolijado de paleta utilizando cuchillo circular en mano habil, donde debe retirar restos de cuero y grasa acorde a la ficha tecnica del producto.</t>
  </si>
  <si>
    <t>Operador de equipo cortador de pernil</t>
  </si>
  <si>
    <t>Operario de producción linea paletas debe realizar la operación de equipo cortador de pernil, operando el equipo y posicionando el pernil con ambas manos en las paletas de posicionamiento del equipo.</t>
  </si>
  <si>
    <t>Equipo sierra cortadora de pernil</t>
  </si>
  <si>
    <t>Acomodado de pernil y cambio de bandeja</t>
  </si>
  <si>
    <t>Operario de producción línea paletas debe realizar acomodado de pernil acomodando los perniles ya cortados en el bins, luego debe tomar la bandeja con producto y depositarla en la cinta de evacuación y posicionar una bandeja vacia.</t>
  </si>
  <si>
    <t>Operario de producción línea paletas debe realizar labor de extracción de ganglios utilizando cuchillo circular en mano habil, donde debe retirar el cuero y la grasa superficial presente en el producto.</t>
  </si>
  <si>
    <t>Abertura de pulpa paleta</t>
  </si>
  <si>
    <t xml:space="preserve">Operario de producción línea paletas debe realizar la abertura de pulpa paleta utilizando cuchillo de empuñadura en mano habil, donde debe realizar cortes verticales en el producto para realizar la abertura. </t>
  </si>
  <si>
    <t>Rayado de escapula</t>
  </si>
  <si>
    <t>Operario de producción de línea paletas debe realizar rayado de escapula utilizando cuchillo de empuñadura en mano habil, donde debe realizar cortes descendientes en el producto para exponer el hueso de la escapula.</t>
  </si>
  <si>
    <t>Extracción de escapula con pistola neumatica</t>
  </si>
  <si>
    <t>Operario de producción línea paletas debe realizar la extracción de escapula utilizando equipo pistola neumatica, equipo neumatico, donde debe posicionar la base del equipo en la escapula accionando el gatillo para extraer la escapula y dejarla expuesta.</t>
  </si>
  <si>
    <t>Equipo Pistola Neumatica</t>
  </si>
  <si>
    <t>Extracción de escapula</t>
  </si>
  <si>
    <t>Operario de producción de línea paletas debe realizar extracción de escapula utilizando cuchillo de empuñadura en mano habil, donde debe realizar cortes verticales descendientes en el hueso escapula con la finalidad de retirar por completo la escapula y posicionarla en una bandeja para la evacuación.</t>
  </si>
  <si>
    <t>Deshuesado de hueso humero</t>
  </si>
  <si>
    <t>Operario de producción línea paletas debe realizar labor de deshuesado de hueso humero con cuchillo de empuñadura en mano habil, donde el colaborador debe introducir el cuchillo entre el hueso y cartilago, para luego realizar cortes y generar la extracción del hueso.</t>
  </si>
  <si>
    <t>Extracción de cartilago de paleta</t>
  </si>
  <si>
    <t>Operario de producción línea paletas debe realizar labor de extracción de cartilago utilizando cuchillo circular en mano habil, donde debe extraer los cartilagos al pasar el equipo sobre el producto.</t>
  </si>
  <si>
    <t>Acomodado de pulpa y direccionamiento de pernil</t>
  </si>
  <si>
    <t>Operario de producción línea paletas debe realizar la labor de acomodade de pulpa, acomodando el producto en la cinta de ingreso a descueradora automatica y posteriormente debe tomar los perniles y posicionarlos en la cinta de transferencia hacia el equipo cortador de perniles.</t>
  </si>
  <si>
    <t>Operario de producción línea paletas debe realizar labor de extracción de membrana y cartilago utilizando cuchillo de empuñadura, donde debe realizar cortes superficiales al producto retirando la membrana.</t>
  </si>
  <si>
    <t>Operario de producción línea paletas debe realizar labor de ordenar cuero utilizando ambas manos, debe tomar cuero proveniente de cinta transportadora y acomodarlo en bandeja con producto. Una vez la bandeja llena se posiciona en la cinta de evacuación.</t>
  </si>
  <si>
    <t>Cinta transportadora</t>
  </si>
  <si>
    <t>Prolijado de paleta y extracción de cuero</t>
  </si>
  <si>
    <t>Operario de producción línea paletas debe realizar la labor de prolijado de paleta utilizando cuchillo circular en mano habil, donde debe realizar cortes superficiales en el cuero para dar la cuadratura final acorde a la ficha tecnica.</t>
  </si>
  <si>
    <t>Prolijado de pulpa paleta</t>
  </si>
  <si>
    <t>Operario de producción de línea paletas debe realizar labor de prolijado de pulpa paleta utilizando cuchillo de empuñadura en mano habil, debe realizar cortes en el producto para extraer el cuero y grasa restante acorde a la ficha tecnica.</t>
  </si>
  <si>
    <t>Aspiradora de pulpa paleta</t>
  </si>
  <si>
    <t>Operario de producción de línea paletas debe realizar labor de aspiradora de pulpa paleta, utilizando y tomando boquilla de aspiradora con mano habil para pasarla por la superficie del producto y extraer todos los restos carnicos y materia extraña que se pueden presentar.</t>
  </si>
  <si>
    <t>Aspiradora</t>
  </si>
  <si>
    <t>Operario de producción Línea Pulpa Piernas</t>
  </si>
  <si>
    <t>Direccionador de piernas</t>
  </si>
  <si>
    <t>Operario de producción Línea Pulpa Piernas, debe realizar el direccionamiento de piernas tomando con ambas manos y distribuyendo equitativamente las piernas hacia la izquierda y la derecha para suministrar producto a las lineas.</t>
  </si>
  <si>
    <t>Extracción de pernil</t>
  </si>
  <si>
    <t>Operario de producción de Línea Pulpa Piernas debe realizar corte descendiente con cuchillo de empuñadura en mano habil para extraer el pernil del producto y depositarlo en una bandeja limpia.</t>
  </si>
  <si>
    <t xml:space="preserve">Extracción Cazuela y cola </t>
  </si>
  <si>
    <t>Operario de producción de Línea Pulpa Piernas debe realizar cortes horizontales de derecha a izquierda utilizando cuchillo de empuñadura en mano habil para retirar la cazuela y cola y depositar el producto en una bandeja limpia.</t>
  </si>
  <si>
    <t>Prolijado de pierna</t>
  </si>
  <si>
    <t>Operario de producción Línea pulpa piernas debe realizar labor de prolijado de pierna utilizando cuchillo circular en mano habil, donde debe retirar restos de cuero y grasa acorde a la ficha tecnica del producto.</t>
  </si>
  <si>
    <t>Deshuesado coxal</t>
  </si>
  <si>
    <t>Operario de producción de Línea Pulpa Piernas debe realizar labor de deshuesado de coxal con cuchillo de empuñadura en mano habil, introduciendo el cuchillo entre el hueso y el cartilago, realizando cortes descendientes para extraer el huso coxal y luego depositarlo en una bandeja vacía.</t>
  </si>
  <si>
    <t>Deshuesado fémur</t>
  </si>
  <si>
    <t>Operario de producción de Línea Pulpa Piernas debe realizar labor de deshuesado de femur con cuchillo de empuñadura en mano habil, introduciendo el cuchillo entre el hueso y el cartilago, realizando cortes descendientes para extraer el hueso femurl y luego depositarlo en una bandeja vacía.</t>
  </si>
  <si>
    <t>Prolijado de cartilago</t>
  </si>
  <si>
    <t>Operario de producción de Línea pulpa piernas debe realizar extracción de cartilago utilizando cuchillo de empuñadura en mano habil, realizando cortes superficiales en el producto para retirar cartilago acorde a la ficha tecnica.</t>
  </si>
  <si>
    <t>Prolijado de pulpa</t>
  </si>
  <si>
    <t>Operario de producción de Línea pulpa piernas debe realizar prolijado de pierna utilizando cuchillo de empuñadura en mano habil, realizando cortes superficiales en el producto para retirar cartilago acorde a la ficha tecnica.</t>
  </si>
  <si>
    <t>Extracción de posta rosada</t>
  </si>
  <si>
    <t>Operario de producción de línea Pulpa Piernas debe realizar labor de extracción de posta rosada utilizando cuchillo de empuñadura en mano habil, donde debe identificar el musculo e introducir el cuchillo para realizar la separación.</t>
  </si>
  <si>
    <t>Extracción de posta negra</t>
  </si>
  <si>
    <t>Operario de producción de línea Pulpa Piernas debe realizar labor de extracción de posta negra utilizando cuchillo de empuñadura en mano habil, donde debe identificar el musculo e introducir el cuchillo para realizar la separación.</t>
  </si>
  <si>
    <t>Extracción de asiento</t>
  </si>
  <si>
    <t>Operario de producción de línea Pulpa Piernas debe realizar labor de extracción de asiento utilizando cuchillo de empuñadura en mano habil, donde debe identificar el musculo e introducir el cuchillo para realizar la separación.</t>
  </si>
  <si>
    <t xml:space="preserve">Extracción de abastero </t>
  </si>
  <si>
    <t>Operario de producción de línea Pulpa Piernas debe realizar labor de extracción de abastero utilizando cuchillo de empuñadura en mano habil, donde debe identificar el musculo e introducir el cuchillo para realizar la separación.</t>
  </si>
  <si>
    <t>Extracción de ganso</t>
  </si>
  <si>
    <t>Operario de producción de línea Pulpa Piernas debe realizar labor de extracción de ganso utilizando cuchillo de empuñadura en mano habil, donde debe identificar el musculo e introducir el cuchillo para realizar la separación.</t>
  </si>
  <si>
    <t>Operador desmenbranadora</t>
  </si>
  <si>
    <t>Operario de producción de Línea Pulpa Piernas debe operar equipo desmembranadora manual tomando con ambas manos el musculo correspondiente y depositandolo en los rodillos con la finalidad de extraer la membrana del producto.</t>
  </si>
  <si>
    <t>Desmembranadora Manual</t>
  </si>
  <si>
    <t xml:space="preserve">Embalaje </t>
  </si>
  <si>
    <t>Operario de producción de Línea pulpa piernas debe realizar embalaje de producto, tomando el producto con ambas manos y posicionadolo al interior de una bolsa para posteriormente depositarlo en las cinta de evacuación.</t>
  </si>
  <si>
    <t>Prolijado de Cueros</t>
  </si>
  <si>
    <t>Operario de producción de Línea pulpa piernas debe realizar prolijado y embalaje de cuero, donde debe tomar y almacenar los cueros en una bandeja, para posteriormente depositar dicha bandeja en la cinta de evacuación.</t>
  </si>
  <si>
    <t>Operador descueradora</t>
  </si>
  <si>
    <t>Operario de producción de Línea Piernas debe operar equipo descueradora manual tomando con ambas manos la pierna y posicionando el producto en los rodillos con la finalidad de extraer el cuero del producto.</t>
  </si>
  <si>
    <t>Descueradora Manual</t>
  </si>
  <si>
    <t>Operario de producción Línea Embolsado</t>
  </si>
  <si>
    <t>Revision de pancetas robot</t>
  </si>
  <si>
    <t>Operario de producción Línea Embolsado debe realizar revisión de pancetas que cumplan con la ficha tecnica para posteriormente posicionarlas en robot.</t>
  </si>
  <si>
    <t>Am: 07:30 a 16:15 - PM: 17:30 a 03:00</t>
  </si>
  <si>
    <t>Robot embolsador</t>
  </si>
  <si>
    <t>Cinta de transporte de producto altura 90 cm. Mesa de trabajo de embolsado altura 90 cm. Distancia entre puestos de trabajo 100 cm. Temperatura 3 - 5 °C</t>
  </si>
  <si>
    <t>Operador de robot</t>
  </si>
  <si>
    <t>Operario de producción Línea Embolsado debe realizar la operación del robot embolsador posicionando el producto en la cinta de ingreso al equipo con ambas manos.</t>
  </si>
  <si>
    <t>Operador de rotativa</t>
  </si>
  <si>
    <t>Operario de producción Línea Embolsado debe realizar la operación del robot rotativa posicionando el producto correspondiente en el receptaculo correspondiente.</t>
  </si>
  <si>
    <t>Rotativa</t>
  </si>
  <si>
    <t>Traspaso de productos</t>
  </si>
  <si>
    <t>Operario de producción Línea Embolsado debe realizar la actividad de traspaso tomando y posicionando los diversos productos en las cintas correspondientes.</t>
  </si>
  <si>
    <t>Operador Rayos X</t>
  </si>
  <si>
    <t>Operario de producción Línea Embolsado debe realizar la actividad de operación de equipo rayos x corrigiendo las desviaciones que arroje el equipo rayo x con ambas manos.</t>
  </si>
  <si>
    <t>Equipo Rayos X</t>
  </si>
  <si>
    <t>Termoformadora</t>
  </si>
  <si>
    <t>Operario de producción Línea Embolsado debe realizar la operación del equipo termoformadora posicionando el producto en el equipo con ambas manos.</t>
  </si>
  <si>
    <t>Multivac R-245</t>
  </si>
  <si>
    <t>Revision de pancetas termoformadora</t>
  </si>
  <si>
    <t>Operario de producción Línea Embolsado debe asegurar que el producto saliente de termoformadora se encuentre en optimas condiciones.</t>
  </si>
  <si>
    <t>Embolsado lomo mm loin</t>
  </si>
  <si>
    <t>Operario de producción Línea Embolsado debe realizar el embolsado de mm loin tomando el producto con ambas manos desde la cinta transportadora, depositarlo en la mesa de trabajo, extraer desde la estructura superior la bolsa correspondiente y embolsar el producto, realizar rotación de muñecas para darel embolsado final del producto.</t>
  </si>
  <si>
    <t>Embolsado  lomo  vetado</t>
  </si>
  <si>
    <t>Operario de producción Línea Embolsado debe realizar el embolsado de lomo vetado tomando el producto con ambas manos desde la cinta transportadora, depositarlo en la mesa de trabajo, extraer desde la estructura superior la bolsa correspondiente y embolsar el producto, realizar rotación de muñecas para darel embolsado final del producto.</t>
  </si>
  <si>
    <t>Embolsado de pancetas</t>
  </si>
  <si>
    <t>Operario de producción Línea Embolsado debe realizar el embolsado de pancetas tomando el producto con ambas manos desde la cinta transportadora, depositarlo en la mesa de trabajo, extraer desde la estructura superior la bolsa correspondiente y embolsar el producto, realizar rotación de muñecas para darel embolsado final del producto.</t>
  </si>
  <si>
    <t>Embolsado de lomo tecla</t>
  </si>
  <si>
    <t>Operario de producción Línea Embolsado debe realizar el embolsado de lomo tecla tomando el producto con ambas manos desde la cinta transportadora, depositarlo en la mesa de trabajo, extraer desde la estructura superior la bolsa correspondiente y embolsar el producto, realizar rotación de muñecas para darel embolsado final del producto.</t>
  </si>
  <si>
    <t>Reproceso</t>
  </si>
  <si>
    <t>Operario de producción Línea Embolsado debe realizar el reproceso del producto tomando con ambas manos desde la cinta transportadora el producto y almacenandolo en un carro, para posteriormente ubicarlo en la línea correspondiente.</t>
  </si>
  <si>
    <t>Acomodador de pancetas</t>
  </si>
  <si>
    <t>Operario de producción Línea Pancetas</t>
  </si>
  <si>
    <t>Biselado</t>
  </si>
  <si>
    <t>Operador de descueradora automatica (ABT)</t>
  </si>
  <si>
    <t xml:space="preserve">Separación de recortes falda y laterales </t>
  </si>
  <si>
    <t>Prolijado de tiras de panceta</t>
  </si>
  <si>
    <t>Prolijado de falda</t>
  </si>
  <si>
    <t>Acomodador de pancetas salida de ABT</t>
  </si>
  <si>
    <t>Prolijado de panceta / pecho</t>
  </si>
  <si>
    <t>Calibrado de panceta</t>
  </si>
  <si>
    <t>Revisión final de panceta</t>
  </si>
  <si>
    <t>Extracción de tetillas ABT</t>
  </si>
  <si>
    <t>Extracción de manteca</t>
  </si>
  <si>
    <t>Operario de producción Línea Pancetas debe realizar la actividad de operación de descueradora automatica utilizando ambas manos para acomodar Panceta en el ingreso de la cinta transportadora del equipo descueradora automatica.</t>
  </si>
  <si>
    <t>Operario de producción Línea Pancetas debe realizar la actividad de acomodar la panceta, asegurandose del correcto posicionamiento de esta en la cinta transportadora para el ingreso del equipo ABT</t>
  </si>
  <si>
    <t>Operario de producción Línea Pancetas debe realizar la actividad de separación de recortes de falda y laterales utilizando cuchillo de empuñadura, realizando cortes con mano habil al producto que sale del equipo ABT.</t>
  </si>
  <si>
    <t>Operario de producción Línea Pancetas debe realizar la actividad de prolijado de cueros utilizando ambas manos para ir ordenando y acomodando los cueros que llegan automaticamente desde la cinta transportadora de descueradora automatica, al momento de tenerlos ordenados, debe utilizar cuchillo de empuñadura para cuadrar el cuero.</t>
  </si>
  <si>
    <t>Operario de producción Línea Pancetas debe realizar la actividad de prolijado de tiras de panceta utilizando cuchillo de empuñadura en mano habil, donde debe realizar los cortes acorde al pedido y la ficha tecnica del producto, donde luego de realizar los cortes debe posicionar el producto en bandejas blancas.</t>
  </si>
  <si>
    <t>Operario de producción Línea Pancetas debe realizar la actividad de prolijado de falda de panceta utilizando cuchillo de empuñadura en mano habil, donde debe realizar los cortes acorde al pedido y la ficha tecnica del producto, donde luego de realizar los cortes debe posicionar el producto en bandejas blancas.</t>
  </si>
  <si>
    <t>Operario de producción Línea Pancetas debe realizar la actividad de acomodado de pancetas en la salida del equipo ABT, donde debe distribucir equitativamente las pancetas a las dos cintas de prolijado utilizando ambas manos .</t>
  </si>
  <si>
    <t>Operario de producción Línea Pancetas debe realizar la actividad de biselado de panceta utilizando cuchillo circular con mano habil, donde debe extraer el cuero superficial del producto.</t>
  </si>
  <si>
    <t>Operario de producción Línea Pancetas debe realizar la actividad de prolijado de panceta/pecho utilizando cuchillo circular con mano habil, donde debe extraer grasa y cuero del producto acorde al pedido y la ficha tecnica.</t>
  </si>
  <si>
    <t>Operario de producción Línea Pancetas debe realizar la actividad de calibrado de panceta utilizando cuchillo de empuñadura en mano habil, donde debe cortar la carne del producto para darle una cuadratura acorde a las dimensiones del pedido.</t>
  </si>
  <si>
    <t>Operario de producción Línea Pancetas debe realizar la actividad de extracción de tetillas utilizando cuchillo circular en mano habil, donde debe utilizar el equipo para extraer el cuero superior de la panceta.</t>
  </si>
  <si>
    <t>Operario de producción Línea Pacentas debe realizar la actividad de extracción de manteca utilizando cuchillo circular en mano habil, donde debe utilizar el equipo para extraer los restos de manteca adheridos a la panceta.</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</si>
</sst>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ACHS Nueva Sans"/>
    </font>
    <font>
      <b/>
      <sz val="9"/>
      <color rgb="FFFFFFFF"/>
      <name val="ACHS Nueva Sans"/>
    </font>
    <font>
      <b/>
      <sz val="8"/>
      <color rgb="FFFFFFFF"/>
      <name val="ACHS Nueva Sans"/>
    </font>
    <font>
      <b/>
      <sz val="8"/>
      <color rgb="FF000000"/>
      <name val="ACHS Nueva Sans"/>
    </font>
    <font>
      <sz val="8"/>
      <color rgb="FF000000"/>
      <name val="ACHS Nueva Sans"/>
    </font>
    <font>
      <b/>
      <sz val="10"/>
      <color rgb="FFFFFFFF"/>
      <name val="ACHS Nueva Sans"/>
    </font>
    <font>
      <sz val="9"/>
      <color theme="0"/>
      <name val="ACHS Nueva Sans"/>
    </font>
    <font>
      <b/>
      <sz val="11"/>
      <color theme="0"/>
      <name val="ACHS Nueva Sans"/>
    </font>
    <font>
      <b/>
      <sz val="14"/>
      <color theme="0"/>
      <name val="Aptos Narrow"/>
      <family val="2"/>
      <scheme val="minor"/>
    </font>
    <font>
      <sz val="11"/>
      <color theme="1"/>
      <name val="ACHS Nueva Sans"/>
    </font>
    <font>
      <b/>
      <sz val="11"/>
      <color rgb="FFFF0000"/>
      <name val="ACHS Nueva Sans"/>
    </font>
    <font>
      <sz val="11"/>
      <color theme="0"/>
      <name val="ACHS Nueva Sans"/>
    </font>
    <font>
      <sz val="22"/>
      <color theme="0"/>
      <name val="Aptos Narrow"/>
      <family val="2"/>
      <scheme val="minor"/>
    </font>
    <font>
      <b/>
      <sz val="11"/>
      <color rgb="FFFFFFFF"/>
      <name val="ACHS Nueva Sans"/>
    </font>
    <font>
      <b/>
      <sz val="10"/>
      <color theme="0"/>
      <name val="ACHS Nueva Sans"/>
    </font>
    <font>
      <u/>
      <sz val="11"/>
      <color theme="10"/>
      <name val="Aptos Narrow"/>
      <family val="2"/>
      <scheme val="minor"/>
    </font>
    <font>
      <sz val="10"/>
      <color theme="1"/>
      <name val="ACHS Nueva Sans"/>
    </font>
    <font>
      <b/>
      <sz val="10"/>
      <color theme="1"/>
      <name val="ACHS Nueva Sans"/>
    </font>
    <font>
      <sz val="10"/>
      <color rgb="FF002060"/>
      <name val="Calibri Light"/>
      <family val="2"/>
    </font>
    <font>
      <sz val="11"/>
      <color rgb="FF002060"/>
      <name val="Calibri"/>
      <family val="2"/>
    </font>
    <font>
      <b/>
      <sz val="11"/>
      <color theme="0" tint="-4.9989318521683403E-2"/>
      <name val="ACHS Nueva Sans"/>
    </font>
    <font>
      <sz val="10"/>
      <color theme="0"/>
      <name val="Aptos Narrow"/>
      <family val="2"/>
      <scheme val="minor"/>
    </font>
    <font>
      <b/>
      <sz val="10"/>
      <color theme="0"/>
      <name val="Aptos Narrow"/>
      <family val="2"/>
      <scheme val="minor"/>
    </font>
    <font>
      <sz val="8"/>
      <name val="Aptos Narrow"/>
      <family val="2"/>
      <scheme val="minor"/>
    </font>
  </fonts>
  <fills count="10">
    <fill>
      <patternFill patternType="none"/>
    </fill>
    <fill>
      <patternFill patternType="gray125"/>
    </fill>
    <fill>
      <patternFill patternType="solid">
        <fgColor rgb="FFF2F2F2"/>
        <bgColor rgb="FF000000"/>
      </patternFill>
    </fill>
    <fill>
      <patternFill patternType="solid">
        <fgColor theme="5" tint="-0.249977111117893"/>
        <bgColor indexed="64"/>
      </patternFill>
    </fill>
    <fill>
      <patternFill patternType="solid">
        <fgColor rgb="FF002060"/>
        <bgColor indexed="64"/>
      </patternFill>
    </fill>
    <fill>
      <patternFill patternType="solid">
        <fgColor rgb="FF002060"/>
        <bgColor rgb="FF000000"/>
      </patternFill>
    </fill>
    <fill>
      <patternFill patternType="solid">
        <fgColor theme="5" tint="-0.249977111117893"/>
        <bgColor rgb="FF000000"/>
      </patternFill>
    </fill>
    <fill>
      <patternFill patternType="solid">
        <fgColor rgb="FF15BF45"/>
        <bgColor indexed="64"/>
      </patternFill>
    </fill>
    <fill>
      <patternFill patternType="solid">
        <fgColor theme="0"/>
        <bgColor indexed="64"/>
      </patternFill>
    </fill>
    <fill>
      <patternFill patternType="solid">
        <fgColor rgb="FFE9EADD"/>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8" fillId="0" borderId="0" applyNumberFormat="0" applyFill="0" applyBorder="0" applyAlignment="0" applyProtection="0"/>
  </cellStyleXfs>
  <cellXfs count="14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vertical="center"/>
    </xf>
    <xf numFmtId="0" fontId="0" fillId="0" borderId="1" xfId="0" applyBorder="1" applyAlignment="1">
      <alignment horizontal="center" vertical="center" wrapText="1"/>
    </xf>
    <xf numFmtId="0" fontId="0" fillId="0" borderId="0" xfId="0"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10" fillId="7" borderId="2" xfId="0" applyFont="1" applyFill="1" applyBorder="1" applyAlignment="1">
      <alignment vertical="center" wrapText="1"/>
    </xf>
    <xf numFmtId="0" fontId="12" fillId="0" borderId="8" xfId="0" applyFont="1" applyBorder="1" applyAlignment="1" applyProtection="1">
      <alignment vertical="center" wrapText="1"/>
      <protection locked="0"/>
    </xf>
    <xf numFmtId="0" fontId="12" fillId="0" borderId="3" xfId="0" applyFont="1" applyBorder="1" applyAlignment="1" applyProtection="1">
      <alignment vertical="center" wrapText="1"/>
      <protection locked="0"/>
    </xf>
    <xf numFmtId="0" fontId="14" fillId="4" borderId="2" xfId="0" applyFont="1" applyFill="1" applyBorder="1" applyAlignment="1" applyProtection="1">
      <alignment vertical="center" wrapText="1"/>
      <protection locked="0"/>
    </xf>
    <xf numFmtId="0" fontId="12" fillId="0" borderId="0" xfId="0" applyFont="1" applyAlignment="1" applyProtection="1">
      <alignment vertical="center" wrapText="1"/>
      <protection locked="0"/>
    </xf>
    <xf numFmtId="0" fontId="10" fillId="3" borderId="1" xfId="0" applyFont="1" applyFill="1" applyBorder="1" applyAlignment="1">
      <alignment vertical="center" wrapText="1"/>
    </xf>
    <xf numFmtId="0" fontId="10" fillId="3" borderId="5" xfId="0" applyFont="1" applyFill="1" applyBorder="1" applyAlignment="1">
      <alignment vertical="center" wrapText="1"/>
    </xf>
    <xf numFmtId="0" fontId="10" fillId="3" borderId="2" xfId="0" applyFont="1" applyFill="1" applyBorder="1" applyAlignment="1">
      <alignment vertical="center" wrapText="1"/>
    </xf>
    <xf numFmtId="0" fontId="10" fillId="3" borderId="4" xfId="0" applyFont="1" applyFill="1" applyBorder="1" applyAlignment="1">
      <alignment vertical="center" wrapText="1"/>
    </xf>
    <xf numFmtId="0" fontId="14" fillId="4" borderId="2" xfId="0" applyFont="1" applyFill="1" applyBorder="1" applyAlignment="1" applyProtection="1">
      <alignment horizontal="center" vertical="center" wrapText="1"/>
      <protection locked="0"/>
    </xf>
    <xf numFmtId="0" fontId="10" fillId="4" borderId="2" xfId="0" applyFont="1" applyFill="1" applyBorder="1" applyAlignment="1">
      <alignment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2" fillId="4" borderId="0" xfId="0" applyFont="1" applyFill="1" applyAlignment="1">
      <alignment horizontal="center" vertical="center" textRotation="90" wrapText="1"/>
    </xf>
    <xf numFmtId="0" fontId="5" fillId="5" borderId="3"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20" fillId="9" borderId="1" xfId="0" applyFont="1" applyFill="1" applyBorder="1" applyAlignment="1">
      <alignment horizontal="left" vertical="center" wrapText="1"/>
    </xf>
    <xf numFmtId="0" fontId="18" fillId="8" borderId="1" xfId="1" applyFill="1" applyBorder="1" applyAlignment="1" applyProtection="1">
      <alignment vertical="center" wrapText="1"/>
      <protection locked="0"/>
    </xf>
    <xf numFmtId="0" fontId="19" fillId="8" borderId="1" xfId="0" applyFont="1" applyFill="1" applyBorder="1" applyAlignment="1" applyProtection="1">
      <alignment vertical="center" wrapText="1"/>
      <protection locked="0"/>
    </xf>
    <xf numFmtId="0" fontId="19" fillId="8" borderId="1" xfId="0" applyFont="1" applyFill="1" applyBorder="1" applyAlignment="1" applyProtection="1">
      <alignment horizontal="left" vertical="center" wrapText="1"/>
      <protection locked="0"/>
    </xf>
    <xf numFmtId="14" fontId="19" fillId="8" borderId="1" xfId="0" applyNumberFormat="1" applyFont="1" applyFill="1" applyBorder="1" applyAlignment="1" applyProtection="1">
      <alignment horizontal="left" vertical="center" wrapText="1"/>
      <protection locked="0"/>
    </xf>
    <xf numFmtId="0" fontId="0" fillId="0" borderId="0" xfId="0" applyAlignment="1">
      <alignment horizontal="left"/>
    </xf>
    <xf numFmtId="0" fontId="19" fillId="8" borderId="4" xfId="0" applyFont="1" applyFill="1" applyBorder="1" applyAlignment="1" applyProtection="1">
      <alignment vertical="center" wrapText="1"/>
      <protection locked="0"/>
    </xf>
    <xf numFmtId="0" fontId="19" fillId="8" borderId="0" xfId="0" applyFont="1" applyFill="1" applyAlignment="1" applyProtection="1">
      <alignment vertical="center" wrapText="1"/>
      <protection locked="0"/>
    </xf>
    <xf numFmtId="0" fontId="19" fillId="8" borderId="0" xfId="0" applyFont="1" applyFill="1" applyAlignment="1" applyProtection="1">
      <alignment horizontal="left" vertical="center" wrapText="1"/>
      <protection locked="0"/>
    </xf>
    <xf numFmtId="0" fontId="20" fillId="9" borderId="1" xfId="0" applyFont="1" applyFill="1" applyBorder="1" applyAlignment="1">
      <alignment vertical="center" wrapText="1"/>
    </xf>
    <xf numFmtId="0" fontId="2" fillId="4" borderId="0" xfId="0" applyFont="1" applyFill="1" applyAlignment="1">
      <alignmen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vertical="center"/>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2" fillId="4" borderId="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wrapText="1"/>
    </xf>
    <xf numFmtId="0" fontId="2" fillId="4" borderId="12"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1" xfId="0" applyBorder="1" applyAlignment="1">
      <alignment horizontal="center" vertical="center"/>
    </xf>
    <xf numFmtId="0" fontId="21" fillId="0" borderId="15"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4" xfId="0" applyFont="1" applyBorder="1" applyAlignment="1">
      <alignment horizontal="center" vertical="center" wrapText="1"/>
    </xf>
    <xf numFmtId="0" fontId="21" fillId="0" borderId="16" xfId="0" applyFont="1" applyBorder="1" applyAlignment="1">
      <alignment horizontal="center" vertical="center"/>
    </xf>
    <xf numFmtId="0" fontId="21" fillId="0" borderId="15" xfId="0" applyFont="1" applyBorder="1" applyAlignment="1">
      <alignment horizontal="center"/>
    </xf>
    <xf numFmtId="0" fontId="21" fillId="0" borderId="1" xfId="0" applyFont="1" applyBorder="1" applyAlignment="1">
      <alignment horizontal="center" wrapText="1"/>
    </xf>
    <xf numFmtId="0" fontId="21" fillId="0" borderId="1" xfId="0" applyFont="1" applyBorder="1" applyAlignment="1">
      <alignment horizontal="center"/>
    </xf>
    <xf numFmtId="0" fontId="21" fillId="0" borderId="4" xfId="0" applyFont="1" applyBorder="1" applyAlignment="1">
      <alignment horizontal="center" wrapText="1"/>
    </xf>
    <xf numFmtId="0" fontId="21" fillId="0" borderId="15" xfId="0" applyFont="1" applyBorder="1" applyAlignment="1">
      <alignment horizontal="center" wrapText="1"/>
    </xf>
    <xf numFmtId="0" fontId="21" fillId="0" borderId="16" xfId="0" applyFont="1" applyBorder="1" applyAlignment="1">
      <alignment horizontal="center"/>
    </xf>
    <xf numFmtId="0" fontId="22" fillId="0" borderId="1" xfId="0" applyFont="1" applyBorder="1" applyAlignment="1">
      <alignment horizontal="center" vertical="center"/>
    </xf>
    <xf numFmtId="0" fontId="22" fillId="0" borderId="1" xfId="0" applyFont="1" applyBorder="1" applyAlignment="1">
      <alignment horizontal="center" vertical="center" wrapText="1"/>
    </xf>
    <xf numFmtId="0" fontId="21" fillId="0" borderId="4" xfId="0" applyFont="1" applyBorder="1" applyAlignment="1">
      <alignment horizontal="center" vertical="center"/>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14" fillId="4" borderId="9" xfId="0" applyFont="1" applyFill="1" applyBorder="1" applyAlignment="1" applyProtection="1">
      <alignment vertical="center" wrapText="1"/>
      <protection locked="0"/>
    </xf>
    <xf numFmtId="0" fontId="0" fillId="0" borderId="21" xfId="0" applyBorder="1" applyAlignment="1">
      <alignment wrapText="1"/>
    </xf>
    <xf numFmtId="0" fontId="0" fillId="0" borderId="22" xfId="0" applyBorder="1"/>
    <xf numFmtId="0" fontId="10" fillId="7" borderId="2" xfId="0" applyFont="1" applyFill="1" applyBorder="1" applyAlignment="1">
      <alignment horizontal="center" vertical="center" wrapText="1"/>
    </xf>
    <xf numFmtId="0" fontId="12" fillId="0" borderId="3" xfId="0" applyFont="1" applyBorder="1" applyAlignment="1" applyProtection="1">
      <alignment horizontal="center" vertical="center" wrapText="1"/>
      <protection locked="0"/>
    </xf>
    <xf numFmtId="0" fontId="10" fillId="4" borderId="2" xfId="0" applyFont="1" applyFill="1" applyBorder="1" applyAlignment="1" applyProtection="1">
      <alignment horizontal="center" vertical="center" wrapText="1"/>
      <protection locked="0"/>
    </xf>
    <xf numFmtId="0" fontId="23" fillId="3" borderId="2" xfId="0" applyFont="1" applyFill="1" applyBorder="1" applyAlignment="1">
      <alignment vertical="center" wrapText="1"/>
    </xf>
    <xf numFmtId="0" fontId="23" fillId="3" borderId="2" xfId="0" applyFont="1" applyFill="1" applyBorder="1" applyAlignment="1">
      <alignment horizontal="center" vertical="center" wrapText="1"/>
    </xf>
    <xf numFmtId="0" fontId="12" fillId="0" borderId="1" xfId="0" applyFont="1" applyBorder="1" applyAlignment="1" applyProtection="1">
      <alignment vertical="center" wrapText="1"/>
      <protection locked="0"/>
    </xf>
    <xf numFmtId="0" fontId="12" fillId="0" borderId="1" xfId="0" applyFont="1" applyBorder="1" applyAlignment="1" applyProtection="1">
      <alignment horizontal="center" vertical="center" wrapText="1"/>
      <protection locked="0"/>
    </xf>
    <xf numFmtId="0" fontId="0" fillId="0" borderId="1" xfId="0" applyBorder="1" applyAlignment="1">
      <alignment wrapText="1"/>
    </xf>
    <xf numFmtId="0" fontId="0" fillId="0" borderId="1" xfId="0" applyBorder="1"/>
    <xf numFmtId="0" fontId="24" fillId="4" borderId="0" xfId="0" applyFont="1" applyFill="1" applyAlignment="1">
      <alignment horizontal="center" vertical="center" wrapText="1"/>
    </xf>
    <xf numFmtId="0" fontId="25" fillId="4" borderId="0" xfId="0" applyFont="1" applyFill="1" applyAlignment="1">
      <alignment horizontal="center" vertical="center" wrapText="1"/>
    </xf>
    <xf numFmtId="0" fontId="9" fillId="5" borderId="1"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9"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9"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9" fillId="5" borderId="6" xfId="0" applyFont="1" applyFill="1" applyBorder="1" applyAlignment="1">
      <alignment horizontal="center" vertical="center" wrapText="1"/>
    </xf>
    <xf numFmtId="0" fontId="0" fillId="0" borderId="6" xfId="0" applyBorder="1" applyAlignment="1">
      <alignment horizontal="center" vertical="center"/>
    </xf>
    <xf numFmtId="0" fontId="9" fillId="4" borderId="16" xfId="0" applyFont="1" applyFill="1" applyBorder="1" applyAlignment="1">
      <alignment horizontal="center" vertical="center" wrapText="1"/>
    </xf>
    <xf numFmtId="0" fontId="0" fillId="0" borderId="15" xfId="0" applyBorder="1" applyAlignment="1">
      <alignment horizontal="center" vertical="center"/>
    </xf>
    <xf numFmtId="0" fontId="19" fillId="0" borderId="1" xfId="0" applyFont="1" applyBorder="1" applyAlignment="1" applyProtection="1">
      <alignment horizontal="left" vertical="center" wrapText="1" indent="1"/>
      <protection locked="0"/>
    </xf>
    <xf numFmtId="0" fontId="0" fillId="8" borderId="4" xfId="0" applyFill="1" applyBorder="1" applyAlignment="1" applyProtection="1">
      <alignment vertical="center" wrapText="1"/>
      <protection locked="0"/>
    </xf>
    <xf numFmtId="0" fontId="19" fillId="0" borderId="1" xfId="0" applyFont="1" applyBorder="1" applyAlignment="1" applyProtection="1">
      <alignment horizontal="center" vertical="center" wrapText="1"/>
      <protection locked="0"/>
    </xf>
    <xf numFmtId="0" fontId="19" fillId="0" borderId="1" xfId="0" applyFont="1" applyBorder="1" applyAlignment="1" applyProtection="1">
      <alignment vertical="center" wrapText="1"/>
      <protection locked="0"/>
    </xf>
    <xf numFmtId="0" fontId="17" fillId="4" borderId="0" xfId="0" applyFont="1" applyFill="1" applyAlignment="1">
      <alignment horizontal="center" vertical="center" wrapText="1"/>
    </xf>
    <xf numFmtId="0" fontId="17" fillId="4" borderId="5" xfId="0" applyFont="1" applyFill="1" applyBorder="1" applyAlignment="1">
      <alignment horizontal="center" vertical="center" wrapText="1"/>
    </xf>
    <xf numFmtId="0" fontId="19" fillId="8" borderId="4" xfId="0" applyFont="1" applyFill="1" applyBorder="1" applyAlignment="1" applyProtection="1">
      <alignment horizontal="center" vertical="center" wrapText="1"/>
      <protection locked="0"/>
    </xf>
    <xf numFmtId="0" fontId="19" fillId="8" borderId="6" xfId="0" applyFont="1" applyFill="1" applyBorder="1" applyAlignment="1" applyProtection="1">
      <alignment horizontal="center" vertical="center" wrapText="1"/>
      <protection locked="0"/>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3"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2" fillId="4" borderId="7" xfId="0" applyFont="1" applyFill="1" applyBorder="1" applyAlignment="1">
      <alignment horizontal="center" vertical="center" textRotation="90" wrapText="1"/>
    </xf>
    <xf numFmtId="0" fontId="2" fillId="4" borderId="0" xfId="0" applyFont="1" applyFill="1" applyAlignment="1">
      <alignment horizontal="center" vertical="center" textRotation="90" wrapText="1"/>
    </xf>
    <xf numFmtId="0" fontId="2" fillId="4" borderId="8" xfId="0" applyFont="1" applyFill="1" applyBorder="1" applyAlignment="1">
      <alignment horizontal="center" vertical="center" textRotation="90" wrapText="1"/>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0" xfId="0" applyFont="1" applyFill="1" applyAlignment="1">
      <alignment horizontal="center" wrapText="1"/>
    </xf>
    <xf numFmtId="0" fontId="1" fillId="3" borderId="0" xfId="0" applyFont="1" applyFill="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5" fillId="3" borderId="0" xfId="0" applyFont="1" applyFill="1" applyAlignment="1">
      <alignment horizontal="center" vertical="center"/>
    </xf>
    <xf numFmtId="0" fontId="10" fillId="3" borderId="0" xfId="0" applyFont="1" applyFill="1" applyAlignment="1">
      <alignment horizontal="center" vertical="center" wrapText="1"/>
    </xf>
    <xf numFmtId="0" fontId="10" fillId="3" borderId="8" xfId="0" applyFont="1" applyFill="1" applyBorder="1" applyAlignment="1">
      <alignment horizontal="center" vertical="center" wrapText="1"/>
    </xf>
    <xf numFmtId="0" fontId="15" fillId="3" borderId="0" xfId="0" applyFont="1" applyFill="1" applyAlignment="1">
      <alignment horizontal="left" vertical="center"/>
    </xf>
  </cellXfs>
  <cellStyles count="2">
    <cellStyle name="Hipervínculo" xfId="1" builtinId="8"/>
    <cellStyle name="Normal" xfId="0" builtinId="0"/>
  </cellStyles>
  <dxfs count="71">
    <dxf>
      <font>
        <b/>
        <i val="0"/>
        <color theme="0"/>
      </font>
      <fill>
        <patternFill>
          <bgColor rgb="FFC00000"/>
        </patternFill>
      </fill>
    </dxf>
    <dxf>
      <font>
        <b/>
        <i val="0"/>
        <color theme="0"/>
      </font>
      <fill>
        <patternFill>
          <bgColor rgb="FFFFFF00"/>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b/>
        <i val="0"/>
        <color theme="0"/>
      </font>
      <fill>
        <patternFill>
          <bgColor rgb="FF00B050"/>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9" tint="-0.24994659260841701"/>
        </patternFill>
      </fill>
    </dxf>
    <dxf>
      <font>
        <b/>
        <i val="0"/>
        <color theme="0"/>
      </font>
      <fill>
        <patternFill>
          <bgColor rgb="FFC00000"/>
        </patternFill>
      </fill>
    </dxf>
    <dxf>
      <font>
        <color rgb="FF9C0006"/>
      </font>
      <fill>
        <patternFill>
          <bgColor rgb="FFFFC7CE"/>
        </patternFill>
      </fill>
    </dxf>
    <dxf>
      <font>
        <color rgb="FF006100"/>
      </font>
      <fill>
        <patternFill>
          <bgColor rgb="FFC6EFCE"/>
        </patternFill>
      </fill>
    </dxf>
    <dxf>
      <font>
        <b/>
        <i val="0"/>
        <color theme="0"/>
      </font>
      <fill>
        <patternFill>
          <bgColor rgb="FFC00000"/>
        </patternFill>
      </fill>
    </dxf>
    <dxf>
      <font>
        <b/>
        <i val="0"/>
        <color theme="0"/>
      </font>
      <fill>
        <patternFill>
          <bgColor rgb="FFFFFF00"/>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b/>
        <i val="0"/>
        <color theme="0"/>
      </font>
      <fill>
        <patternFill>
          <bgColor rgb="FFFFFF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color rgb="FF006100"/>
      </font>
      <fill>
        <patternFill>
          <bgColor rgb="FFC6EFCE"/>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rgb="FFFFFF00"/>
        </patternFill>
      </fill>
    </dxf>
    <dxf>
      <fill>
        <patternFill>
          <bgColor rgb="FFC00000"/>
        </patternFill>
      </fill>
    </dxf>
    <dxf>
      <font>
        <color theme="1"/>
      </font>
      <fill>
        <patternFill>
          <bgColor theme="9" tint="0.39994506668294322"/>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b/>
        <i val="0"/>
        <color theme="0"/>
      </font>
      <fill>
        <patternFill>
          <bgColor rgb="FFFFFF00"/>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60120682589094"/>
          <c:y val="0.16853335640737216"/>
          <c:w val="0.46783163732440419"/>
          <c:h val="0.61897724322921177"/>
        </c:manualLayout>
      </c:layout>
      <c:pieChart>
        <c:varyColors val="1"/>
        <c:ser>
          <c:idx val="0"/>
          <c:order val="0"/>
          <c:dPt>
            <c:idx val="0"/>
            <c:bubble3D val="0"/>
            <c:explosion val="7"/>
            <c:spPr>
              <a:solidFill>
                <a:srgbClr val="002060"/>
              </a:solidFill>
              <a:ln w="19050">
                <a:solidFill>
                  <a:schemeClr val="lt1"/>
                </a:solidFill>
              </a:ln>
              <a:effectLst/>
            </c:spPr>
            <c:extLst xmlns:c16r2="http://schemas.microsoft.com/office/drawing/2015/06/chart">
              <c:ext xmlns:c16="http://schemas.microsoft.com/office/drawing/2014/chart" uri="{C3380CC4-5D6E-409C-BE32-E72D297353CC}">
                <c16:uniqueId val="{00000001-5F96-4527-8419-3AF2DE42BE0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2-5F96-4527-8419-3AF2DE42BE02}"/>
              </c:ext>
            </c:extLst>
          </c:dPt>
          <c:dLbls>
            <c:dLbl>
              <c:idx val="0"/>
              <c:layout>
                <c:manualLayout>
                  <c:x val="0.18252413215789887"/>
                  <c:y val="-0.1819670618095815"/>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1-5F96-4527-8419-3AF2DE42BE02}"/>
                </c:ext>
                <c:ext xmlns:c15="http://schemas.microsoft.com/office/drawing/2012/chart" uri="{CE6537A1-D6FC-4f65-9D91-7224C49458BB}">
                  <c15:layout/>
                </c:ext>
              </c:extLst>
            </c:dLbl>
            <c:dLbl>
              <c:idx val="1"/>
              <c:layout>
                <c:manualLayout>
                  <c:x val="-4.3132689809122694E-2"/>
                  <c:y val="3.0353898070433503E-2"/>
                </c:manualLayout>
              </c:layout>
              <c:showLegendKey val="0"/>
              <c:showVal val="0"/>
              <c:showCatName val="0"/>
              <c:showSerName val="0"/>
              <c:showPercent val="1"/>
              <c:showBubbleSize val="0"/>
              <c:extLst xmlns:c16r2="http://schemas.microsoft.com/office/drawing/2015/06/chart">
                <c:ext xmlns:c16="http://schemas.microsoft.com/office/drawing/2014/chart" uri="{C3380CC4-5D6E-409C-BE32-E72D297353CC}">
                  <c16:uniqueId val="{00000002-5F96-4527-8419-3AF2DE42BE02}"/>
                </c:ex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s-CL"/>
              </a:p>
            </c:txPr>
            <c:showLegendKey val="0"/>
            <c:showVal val="0"/>
            <c:showCatName val="0"/>
            <c:showSerName val="0"/>
            <c:showPercent val="1"/>
            <c:showBubbleSize val="0"/>
            <c:showLeaderLines val="0"/>
            <c:extLst xmlns:c16r2="http://schemas.microsoft.com/office/drawing/2015/06/chart">
              <c:ext xmlns:c15="http://schemas.microsoft.com/office/drawing/2012/chart" uri="{CE6537A1-D6FC-4f65-9D91-7224C49458BB}"/>
            </c:extLst>
          </c:dLbls>
          <c:cat>
            <c:strRef>
              <c:f>Portada!$F$1:$G$1</c:f>
              <c:strCache>
                <c:ptCount val="2"/>
                <c:pt idx="0">
                  <c:v>N° de Puestos </c:v>
                </c:pt>
                <c:pt idx="1">
                  <c:v>Evaluados</c:v>
                </c:pt>
              </c:strCache>
            </c:strRef>
          </c:cat>
          <c:val>
            <c:numRef>
              <c:f>Portada!$F$2:$G$2</c:f>
              <c:numCache>
                <c:formatCode>General</c:formatCode>
                <c:ptCount val="2"/>
                <c:pt idx="0">
                  <c:v>0</c:v>
                </c:pt>
                <c:pt idx="1">
                  <c:v>1</c:v>
                </c:pt>
              </c:numCache>
            </c:numRef>
          </c:val>
          <c:extLst xmlns:c16r2="http://schemas.microsoft.com/office/drawing/2015/06/chart">
            <c:ext xmlns:c16="http://schemas.microsoft.com/office/drawing/2014/chart" uri="{C3380CC4-5D6E-409C-BE32-E72D297353CC}">
              <c16:uniqueId val="{00000000-5F96-4527-8419-3AF2DE42BE02}"/>
            </c:ext>
          </c:extLst>
        </c:ser>
        <c:dLbls>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10096179837985367"/>
          <c:y val="0.83791122263563222"/>
          <c:w val="0.82705592033553943"/>
          <c:h val="0.15934238989357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hyperlink" Target="#Inicial!A1"/></Relationships>
</file>

<file path=xl/drawings/_rels/drawing3.xml.rels><?xml version="1.0" encoding="UTF-8" standalone="yes"?>
<Relationships xmlns="http://schemas.openxmlformats.org/package/2006/relationships"><Relationship Id="rId1" Type="http://schemas.openxmlformats.org/officeDocument/2006/relationships/hyperlink" Target="#Inicial!A1"/></Relationships>
</file>

<file path=xl/drawings/_rels/drawing4.xml.rels><?xml version="1.0" encoding="UTF-8" standalone="yes"?>
<Relationships xmlns="http://schemas.openxmlformats.org/package/2006/relationships"><Relationship Id="rId1" Type="http://schemas.openxmlformats.org/officeDocument/2006/relationships/hyperlink" Target="#Inicial!A1"/></Relationships>
</file>

<file path=xl/drawings/_rels/drawing5.xml.rels><?xml version="1.0" encoding="UTF-8" standalone="yes"?>
<Relationships xmlns="http://schemas.openxmlformats.org/package/2006/relationships"><Relationship Id="rId1" Type="http://schemas.openxmlformats.org/officeDocument/2006/relationships/hyperlink" Target="#Inicial!A1"/></Relationships>
</file>

<file path=xl/drawings/_rels/drawing6.xml.rels><?xml version="1.0" encoding="UTF-8" standalone="yes"?>
<Relationships xmlns="http://schemas.openxmlformats.org/package/2006/relationships"><Relationship Id="rId1" Type="http://schemas.openxmlformats.org/officeDocument/2006/relationships/hyperlink" Target="#Inicial!A1"/></Relationships>
</file>

<file path=xl/drawings/_rels/drawing7.xml.rels><?xml version="1.0" encoding="UTF-8" standalone="yes"?>
<Relationships xmlns="http://schemas.openxmlformats.org/package/2006/relationships"><Relationship Id="rId1" Type="http://schemas.openxmlformats.org/officeDocument/2006/relationships/hyperlink" Target="#Inicial!A1"/></Relationships>
</file>

<file path=xl/drawings/_rels/drawing8.xml.rels><?xml version="1.0" encoding="UTF-8" standalone="yes"?>
<Relationships xmlns="http://schemas.openxmlformats.org/package/2006/relationships"><Relationship Id="rId1" Type="http://schemas.openxmlformats.org/officeDocument/2006/relationships/hyperlink" Target="#Inicial!A1"/></Relationships>
</file>

<file path=xl/drawings/drawing1.xml><?xml version="1.0" encoding="utf-8"?>
<xdr:wsDr xmlns:xdr="http://schemas.openxmlformats.org/drawingml/2006/spreadsheetDrawing" xmlns:a="http://schemas.openxmlformats.org/drawingml/2006/main">
  <xdr:twoCellAnchor>
    <xdr:from>
      <xdr:col>4</xdr:col>
      <xdr:colOff>723900</xdr:colOff>
      <xdr:row>2</xdr:row>
      <xdr:rowOff>95250</xdr:rowOff>
    </xdr:from>
    <xdr:to>
      <xdr:col>8</xdr:col>
      <xdr:colOff>53340</xdr:colOff>
      <xdr:row>7</xdr:row>
      <xdr:rowOff>251460</xdr:rowOff>
    </xdr:to>
    <xdr:graphicFrame macro="">
      <xdr:nvGraphicFramePr>
        <xdr:cNvPr id="2" name="Gráfico 1">
          <a:extLst>
            <a:ext uri="{FF2B5EF4-FFF2-40B4-BE49-F238E27FC236}">
              <a16:creationId xmlns="" xmlns:a16="http://schemas.microsoft.com/office/drawing/2014/main" id="{B4DCB850-9D63-17E8-6319-17097334F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883920</xdr:colOff>
      <xdr:row>1</xdr:row>
      <xdr:rowOff>7619</xdr:rowOff>
    </xdr:to>
    <xdr:sp macro="" textlink="">
      <xdr:nvSpPr>
        <xdr:cNvPr id="2" name="Flecha: hacia la izquierda 1">
          <a:hlinkClick xmlns:r="http://schemas.openxmlformats.org/officeDocument/2006/relationships" r:id="rId1"/>
          <a:extLst>
            <a:ext uri="{FF2B5EF4-FFF2-40B4-BE49-F238E27FC236}">
              <a16:creationId xmlns="" xmlns:a16="http://schemas.microsoft.com/office/drawing/2014/main" id="{26D03D38-A3CE-4878-965C-C2B3361F128D}"/>
            </a:ext>
          </a:extLst>
        </xdr:cNvPr>
        <xdr:cNvSpPr/>
      </xdr:nvSpPr>
      <xdr:spPr>
        <a:xfrm>
          <a:off x="2590800" y="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883920</xdr:colOff>
      <xdr:row>0</xdr:row>
      <xdr:rowOff>274319</xdr:rowOff>
    </xdr:to>
    <xdr:sp macro="" textlink="">
      <xdr:nvSpPr>
        <xdr:cNvPr id="2" name="Flecha: hacia la izquierda 1">
          <a:hlinkClick xmlns:r="http://schemas.openxmlformats.org/officeDocument/2006/relationships" r:id="rId1"/>
          <a:extLst>
            <a:ext uri="{FF2B5EF4-FFF2-40B4-BE49-F238E27FC236}">
              <a16:creationId xmlns="" xmlns:a16="http://schemas.microsoft.com/office/drawing/2014/main" id="{1A377E49-7AA8-4A61-BBD1-D1EC02D6E4D3}"/>
            </a:ext>
          </a:extLst>
        </xdr:cNvPr>
        <xdr:cNvSpPr/>
      </xdr:nvSpPr>
      <xdr:spPr>
        <a:xfrm>
          <a:off x="2781300" y="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0</xdr:row>
      <xdr:rowOff>167640</xdr:rowOff>
    </xdr:from>
    <xdr:to>
      <xdr:col>4</xdr:col>
      <xdr:colOff>891540</xdr:colOff>
      <xdr:row>0</xdr:row>
      <xdr:rowOff>441959</xdr:rowOff>
    </xdr:to>
    <xdr:sp macro="" textlink="">
      <xdr:nvSpPr>
        <xdr:cNvPr id="2" name="Flecha: hacia la izquierda 1">
          <a:hlinkClick xmlns:r="http://schemas.openxmlformats.org/officeDocument/2006/relationships" r:id="rId1"/>
          <a:extLst>
            <a:ext uri="{FF2B5EF4-FFF2-40B4-BE49-F238E27FC236}">
              <a16:creationId xmlns="" xmlns:a16="http://schemas.microsoft.com/office/drawing/2014/main" id="{DF77F912-A352-46ED-98C2-C4E2A66B4DEB}"/>
            </a:ext>
          </a:extLst>
        </xdr:cNvPr>
        <xdr:cNvSpPr/>
      </xdr:nvSpPr>
      <xdr:spPr>
        <a:xfrm>
          <a:off x="2788920" y="16764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0</xdr:row>
      <xdr:rowOff>251460</xdr:rowOff>
    </xdr:from>
    <xdr:to>
      <xdr:col>4</xdr:col>
      <xdr:colOff>906780</xdr:colOff>
      <xdr:row>0</xdr:row>
      <xdr:rowOff>525779</xdr:rowOff>
    </xdr:to>
    <xdr:sp macro="" textlink="">
      <xdr:nvSpPr>
        <xdr:cNvPr id="2" name="Flecha: hacia la izquierda 1">
          <a:hlinkClick xmlns:r="http://schemas.openxmlformats.org/officeDocument/2006/relationships" r:id="rId1"/>
          <a:extLst>
            <a:ext uri="{FF2B5EF4-FFF2-40B4-BE49-F238E27FC236}">
              <a16:creationId xmlns="" xmlns:a16="http://schemas.microsoft.com/office/drawing/2014/main" id="{A2C57403-1FB6-4650-BEB4-CEBC3411EA55}"/>
            </a:ext>
          </a:extLst>
        </xdr:cNvPr>
        <xdr:cNvSpPr/>
      </xdr:nvSpPr>
      <xdr:spPr>
        <a:xfrm>
          <a:off x="2804160" y="25146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883479</xdr:colOff>
      <xdr:row>0</xdr:row>
      <xdr:rowOff>276087</xdr:rowOff>
    </xdr:from>
    <xdr:to>
      <xdr:col>4</xdr:col>
      <xdr:colOff>784529</xdr:colOff>
      <xdr:row>0</xdr:row>
      <xdr:rowOff>550406</xdr:rowOff>
    </xdr:to>
    <xdr:sp macro="" textlink="">
      <xdr:nvSpPr>
        <xdr:cNvPr id="3" name="Flecha: hacia la izquierda 2">
          <a:hlinkClick xmlns:r="http://schemas.openxmlformats.org/officeDocument/2006/relationships" r:id="rId1"/>
          <a:extLst>
            <a:ext uri="{FF2B5EF4-FFF2-40B4-BE49-F238E27FC236}">
              <a16:creationId xmlns="" xmlns:a16="http://schemas.microsoft.com/office/drawing/2014/main" id="{24310DF5-557F-40A6-87EC-18B5877AF4D4}"/>
            </a:ext>
          </a:extLst>
        </xdr:cNvPr>
        <xdr:cNvSpPr/>
      </xdr:nvSpPr>
      <xdr:spPr>
        <a:xfrm>
          <a:off x="2683566" y="276087"/>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396240</xdr:colOff>
      <xdr:row>0</xdr:row>
      <xdr:rowOff>274320</xdr:rowOff>
    </xdr:from>
    <xdr:to>
      <xdr:col>5</xdr:col>
      <xdr:colOff>160020</xdr:colOff>
      <xdr:row>0</xdr:row>
      <xdr:rowOff>548639</xdr:rowOff>
    </xdr:to>
    <xdr:sp macro="" textlink="">
      <xdr:nvSpPr>
        <xdr:cNvPr id="2" name="Flecha: hacia la izquierda 1">
          <a:hlinkClick xmlns:r="http://schemas.openxmlformats.org/officeDocument/2006/relationships" r:id="rId1"/>
          <a:extLst>
            <a:ext uri="{FF2B5EF4-FFF2-40B4-BE49-F238E27FC236}">
              <a16:creationId xmlns="" xmlns:a16="http://schemas.microsoft.com/office/drawing/2014/main" id="{E06FE41A-D628-4B63-BC95-AD4037886F5F}"/>
            </a:ext>
          </a:extLst>
        </xdr:cNvPr>
        <xdr:cNvSpPr/>
      </xdr:nvSpPr>
      <xdr:spPr>
        <a:xfrm>
          <a:off x="3177540" y="274320"/>
          <a:ext cx="6934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861060</xdr:colOff>
      <xdr:row>0</xdr:row>
      <xdr:rowOff>251460</xdr:rowOff>
    </xdr:from>
    <xdr:to>
      <xdr:col>4</xdr:col>
      <xdr:colOff>762000</xdr:colOff>
      <xdr:row>0</xdr:row>
      <xdr:rowOff>525779</xdr:rowOff>
    </xdr:to>
    <xdr:sp macro="" textlink="">
      <xdr:nvSpPr>
        <xdr:cNvPr id="4" name="Flecha: hacia la izquierda 3">
          <a:hlinkClick xmlns:r="http://schemas.openxmlformats.org/officeDocument/2006/relationships" r:id="rId1"/>
          <a:extLst>
            <a:ext uri="{FF2B5EF4-FFF2-40B4-BE49-F238E27FC236}">
              <a16:creationId xmlns="" xmlns:a16="http://schemas.microsoft.com/office/drawing/2014/main" id="{06BEC1E0-D7D6-A940-AF78-E2015AABAD34}"/>
            </a:ext>
          </a:extLst>
        </xdr:cNvPr>
        <xdr:cNvSpPr/>
      </xdr:nvSpPr>
      <xdr:spPr>
        <a:xfrm>
          <a:off x="2659380" y="25146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perezp@agrosuper.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J7" sqref="J7:J8"/>
    </sheetView>
  </sheetViews>
  <sheetFormatPr baseColWidth="10" defaultRowHeight="14.25"/>
  <cols>
    <col min="1" max="1" width="26.25" style="1" customWidth="1"/>
    <col min="2" max="2" width="44.375" customWidth="1"/>
    <col min="3" max="3" width="16.375" customWidth="1"/>
    <col min="4" max="4" width="27.5" style="34" customWidth="1"/>
    <col min="6" max="6" width="12.5" bestFit="1" customWidth="1"/>
    <col min="7" max="7" width="9.125" bestFit="1" customWidth="1"/>
    <col min="8" max="8" width="10" bestFit="1" customWidth="1"/>
  </cols>
  <sheetData>
    <row r="1" spans="1:8" ht="26.45" customHeight="1" thickBot="1">
      <c r="A1" s="109" t="s">
        <v>261</v>
      </c>
      <c r="B1" s="109"/>
      <c r="C1" s="109"/>
      <c r="D1" s="109"/>
      <c r="F1" s="39" t="s">
        <v>282</v>
      </c>
      <c r="G1" s="39" t="s">
        <v>283</v>
      </c>
      <c r="H1" s="39" t="s">
        <v>284</v>
      </c>
    </row>
    <row r="2" spans="1:8" ht="22.15" customHeight="1" thickBot="1">
      <c r="A2" s="38" t="s">
        <v>262</v>
      </c>
      <c r="B2" s="31" t="s">
        <v>293</v>
      </c>
      <c r="C2" s="29" t="s">
        <v>263</v>
      </c>
      <c r="D2" s="32" t="s">
        <v>294</v>
      </c>
      <c r="F2" s="40">
        <f>COUNTIF(Datos!B:B,"Procesos")</f>
        <v>0</v>
      </c>
      <c r="G2" s="41">
        <f>COUNTIF(Datos!T:T,"SI")</f>
        <v>1</v>
      </c>
      <c r="H2" s="41">
        <f>COUNTIF(Datos!T:T,"NO")</f>
        <v>0</v>
      </c>
    </row>
    <row r="3" spans="1:8" ht="25.9" customHeight="1">
      <c r="A3" s="38" t="s">
        <v>264</v>
      </c>
      <c r="B3" s="31" t="s">
        <v>295</v>
      </c>
      <c r="C3" s="29" t="s">
        <v>265</v>
      </c>
      <c r="D3" s="32">
        <v>101011</v>
      </c>
    </row>
    <row r="4" spans="1:8" ht="22.15" customHeight="1">
      <c r="A4" s="38" t="s">
        <v>266</v>
      </c>
      <c r="B4" s="31" t="s">
        <v>299</v>
      </c>
      <c r="C4" s="29" t="s">
        <v>267</v>
      </c>
      <c r="D4" s="32" t="s">
        <v>300</v>
      </c>
    </row>
    <row r="5" spans="1:8" ht="22.15" customHeight="1">
      <c r="A5" s="38" t="s">
        <v>268</v>
      </c>
      <c r="B5" s="31" t="s">
        <v>296</v>
      </c>
      <c r="C5" s="31"/>
      <c r="D5" s="31"/>
    </row>
    <row r="6" spans="1:8" ht="31.9" customHeight="1">
      <c r="A6" s="38" t="s">
        <v>269</v>
      </c>
      <c r="B6" s="31" t="s">
        <v>297</v>
      </c>
      <c r="C6" s="29" t="s">
        <v>270</v>
      </c>
      <c r="D6" s="33">
        <v>41153</v>
      </c>
    </row>
    <row r="7" spans="1:8" ht="22.15" customHeight="1">
      <c r="A7" s="110" t="s">
        <v>271</v>
      </c>
      <c r="B7" s="110"/>
      <c r="C7" s="110"/>
      <c r="D7" s="110"/>
    </row>
    <row r="8" spans="1:8" ht="33.6" customHeight="1">
      <c r="A8" s="38" t="s">
        <v>272</v>
      </c>
      <c r="B8" s="31" t="s">
        <v>298</v>
      </c>
      <c r="C8" s="111" t="s">
        <v>274</v>
      </c>
      <c r="D8" s="112"/>
    </row>
    <row r="9" spans="1:8" ht="22.15" customHeight="1">
      <c r="A9" s="38" t="s">
        <v>273</v>
      </c>
      <c r="B9" s="35" t="s">
        <v>299</v>
      </c>
      <c r="C9" s="29" t="s">
        <v>275</v>
      </c>
      <c r="D9" s="32">
        <v>1906</v>
      </c>
    </row>
    <row r="10" spans="1:8" ht="22.15" customHeight="1">
      <c r="A10" s="38" t="s">
        <v>267</v>
      </c>
      <c r="B10" s="35" t="s">
        <v>300</v>
      </c>
      <c r="C10" s="29" t="s">
        <v>276</v>
      </c>
      <c r="D10" s="32">
        <v>319</v>
      </c>
    </row>
    <row r="11" spans="1:8" ht="22.15" customHeight="1">
      <c r="A11" s="110" t="s">
        <v>277</v>
      </c>
      <c r="B11" s="110"/>
      <c r="C11" s="110"/>
      <c r="D11" s="110"/>
    </row>
    <row r="12" spans="1:8" ht="22.15" customHeight="1">
      <c r="A12" s="38" t="s">
        <v>278</v>
      </c>
      <c r="B12" s="35" t="s">
        <v>301</v>
      </c>
      <c r="C12" s="29" t="s">
        <v>281</v>
      </c>
      <c r="D12" s="32">
        <v>989765381</v>
      </c>
    </row>
    <row r="13" spans="1:8" ht="22.15" customHeight="1">
      <c r="A13" s="38" t="s">
        <v>279</v>
      </c>
      <c r="B13" s="31" t="s">
        <v>302</v>
      </c>
      <c r="C13" s="36"/>
      <c r="D13" s="37"/>
    </row>
    <row r="14" spans="1:8" ht="22.15" customHeight="1">
      <c r="A14" s="38" t="s">
        <v>280</v>
      </c>
      <c r="B14" s="30" t="s">
        <v>303</v>
      </c>
    </row>
  </sheetData>
  <sheetProtection algorithmName="SHA-512" hashValue="KhUk0a9Z8XN0VmMxY09gnWzgy+qcMAFh7v/a0lj1ZJGQUVqNa6Z6vEmEv0OnqmOTg7/7ho/lDEL12iT+ou/pwQ==" saltValue="FIjF8XCvQAGW5eVXf4OZew==" spinCount="100000" sheet="1" objects="1" scenarios="1" formatCells="0" formatColumns="0" formatRows="0" insertColumns="0" insertRows="0" insertHyperlinks="0" deleteColumns="0" deleteRows="0"/>
  <mergeCells count="4">
    <mergeCell ref="A1:D1"/>
    <mergeCell ref="A7:D7"/>
    <mergeCell ref="C8:D8"/>
    <mergeCell ref="A11:D11"/>
  </mergeCells>
  <hyperlinks>
    <hyperlink ref="B14" r:id="rI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3"/>
  <sheetViews>
    <sheetView tabSelected="1" workbookViewId="0">
      <pane xSplit="4" ySplit="1" topLeftCell="E69" activePane="bottomRight" state="frozen"/>
      <selection pane="topRight" activeCell="E1" sqref="E1"/>
      <selection pane="bottomLeft" activeCell="A2" sqref="A2"/>
      <selection pane="bottomRight" activeCell="E70" sqref="E70"/>
    </sheetView>
  </sheetViews>
  <sheetFormatPr baseColWidth="10" defaultRowHeight="14.25"/>
  <cols>
    <col min="1" max="1" width="5.625" style="5" customWidth="1"/>
    <col min="2" max="2" width="11.5" style="5"/>
    <col min="3" max="3" width="14.875" style="5" customWidth="1"/>
    <col min="4" max="4" width="28.125" style="5" customWidth="1"/>
    <col min="5" max="5" width="35.5" style="5" customWidth="1"/>
    <col min="6" max="6" width="14" style="5" customWidth="1"/>
    <col min="7" max="7" width="9.5" style="5" customWidth="1"/>
    <col min="8" max="8" width="9.125" style="5" customWidth="1"/>
    <col min="9" max="9" width="10.125" style="5" customWidth="1"/>
    <col min="10" max="10" width="11.5" style="5"/>
    <col min="11" max="11" width="10" style="5" customWidth="1"/>
    <col min="12" max="12" width="10.75" style="5" bestFit="1" customWidth="1"/>
    <col min="13" max="13" width="8.875" style="5" bestFit="1" customWidth="1"/>
    <col min="14" max="14" width="16.5" style="5" customWidth="1"/>
    <col min="15" max="16" width="11.5" style="5"/>
    <col min="17" max="17" width="34" style="5" customWidth="1"/>
    <col min="18" max="19" width="31.625" style="5" customWidth="1"/>
    <col min="20" max="20" width="11.5" style="7"/>
  </cols>
  <sheetData>
    <row r="1" spans="1:20" ht="99.6" customHeight="1">
      <c r="A1" s="27" t="s">
        <v>0</v>
      </c>
      <c r="B1" s="27" t="s">
        <v>20</v>
      </c>
      <c r="C1" s="27" t="s">
        <v>1</v>
      </c>
      <c r="D1" s="27" t="s">
        <v>2</v>
      </c>
      <c r="E1" s="27" t="s">
        <v>47</v>
      </c>
      <c r="F1" s="27" t="s">
        <v>21</v>
      </c>
      <c r="G1" s="24" t="s">
        <v>43</v>
      </c>
      <c r="H1" s="24" t="s">
        <v>44</v>
      </c>
      <c r="I1" s="24" t="s">
        <v>41</v>
      </c>
      <c r="J1" s="24" t="s">
        <v>42</v>
      </c>
      <c r="K1" s="27" t="s">
        <v>48</v>
      </c>
      <c r="L1" s="27" t="s">
        <v>49</v>
      </c>
      <c r="M1" s="27" t="s">
        <v>50</v>
      </c>
      <c r="N1" s="27" t="s">
        <v>51</v>
      </c>
      <c r="O1" s="27" t="s">
        <v>52</v>
      </c>
      <c r="P1" s="27" t="s">
        <v>53</v>
      </c>
      <c r="Q1" s="27" t="s">
        <v>54</v>
      </c>
      <c r="R1" s="27" t="s">
        <v>55</v>
      </c>
      <c r="S1" s="27" t="s">
        <v>56</v>
      </c>
      <c r="T1" s="28" t="s">
        <v>260</v>
      </c>
    </row>
    <row r="2" spans="1:20" ht="70.150000000000006" customHeight="1">
      <c r="A2" s="42">
        <v>1</v>
      </c>
      <c r="B2" s="105" t="s">
        <v>304</v>
      </c>
      <c r="C2" s="105" t="s">
        <v>305</v>
      </c>
      <c r="D2" s="105" t="s">
        <v>307</v>
      </c>
      <c r="E2" s="108" t="s">
        <v>327</v>
      </c>
      <c r="F2" s="106" t="s">
        <v>342</v>
      </c>
      <c r="G2" s="105" t="s">
        <v>343</v>
      </c>
      <c r="H2" s="105">
        <v>4.5</v>
      </c>
      <c r="I2" s="105">
        <v>72</v>
      </c>
      <c r="J2" s="105">
        <v>0</v>
      </c>
      <c r="K2" s="105" t="s">
        <v>344</v>
      </c>
      <c r="L2" s="105" t="s">
        <v>345</v>
      </c>
      <c r="M2" s="107">
        <v>90</v>
      </c>
      <c r="N2" s="105">
        <v>92</v>
      </c>
      <c r="O2" s="107" t="s">
        <v>346</v>
      </c>
      <c r="P2" s="105" t="s">
        <v>348</v>
      </c>
      <c r="Q2" s="107" t="s">
        <v>359</v>
      </c>
      <c r="R2" s="105" t="s">
        <v>360</v>
      </c>
      <c r="S2" s="105" t="s">
        <v>361</v>
      </c>
      <c r="T2" s="45" t="s">
        <v>346</v>
      </c>
    </row>
    <row r="3" spans="1:20" ht="70.150000000000006" customHeight="1">
      <c r="A3" s="42">
        <v>2</v>
      </c>
      <c r="B3" s="105" t="s">
        <v>304</v>
      </c>
      <c r="C3" s="105" t="s">
        <v>305</v>
      </c>
      <c r="D3" s="105" t="s">
        <v>308</v>
      </c>
      <c r="E3" s="108" t="s">
        <v>328</v>
      </c>
      <c r="F3" s="106" t="s">
        <v>342</v>
      </c>
      <c r="G3" s="105" t="s">
        <v>343</v>
      </c>
      <c r="H3" s="105">
        <v>4.5</v>
      </c>
      <c r="I3" s="105">
        <v>72</v>
      </c>
      <c r="J3" s="105">
        <v>0</v>
      </c>
      <c r="K3" s="105" t="s">
        <v>344</v>
      </c>
      <c r="L3" s="105" t="s">
        <v>345</v>
      </c>
      <c r="M3" s="107">
        <v>90</v>
      </c>
      <c r="N3" s="105">
        <v>92</v>
      </c>
      <c r="O3" s="107" t="s">
        <v>346</v>
      </c>
      <c r="P3" s="105" t="s">
        <v>348</v>
      </c>
      <c r="Q3" s="107" t="s">
        <v>359</v>
      </c>
      <c r="R3" s="105" t="s">
        <v>360</v>
      </c>
      <c r="S3" s="105" t="s">
        <v>361</v>
      </c>
      <c r="T3" s="45"/>
    </row>
    <row r="4" spans="1:20" ht="70.150000000000006" customHeight="1">
      <c r="A4" s="42">
        <v>3</v>
      </c>
      <c r="B4" s="105" t="s">
        <v>304</v>
      </c>
      <c r="C4" s="105" t="s">
        <v>305</v>
      </c>
      <c r="D4" s="105" t="s">
        <v>309</v>
      </c>
      <c r="E4" s="108" t="s">
        <v>328</v>
      </c>
      <c r="F4" s="106" t="s">
        <v>342</v>
      </c>
      <c r="G4" s="105" t="s">
        <v>343</v>
      </c>
      <c r="H4" s="105">
        <v>4.5</v>
      </c>
      <c r="I4" s="105">
        <v>72</v>
      </c>
      <c r="J4" s="105">
        <v>0</v>
      </c>
      <c r="K4" s="105" t="s">
        <v>344</v>
      </c>
      <c r="L4" s="105" t="s">
        <v>345</v>
      </c>
      <c r="M4" s="107">
        <v>90</v>
      </c>
      <c r="N4" s="105">
        <v>92</v>
      </c>
      <c r="O4" s="107" t="s">
        <v>346</v>
      </c>
      <c r="P4" s="105" t="s">
        <v>348</v>
      </c>
      <c r="Q4" s="107" t="s">
        <v>359</v>
      </c>
      <c r="R4" s="105" t="s">
        <v>360</v>
      </c>
      <c r="S4" s="105" t="s">
        <v>361</v>
      </c>
      <c r="T4" s="45"/>
    </row>
    <row r="5" spans="1:20" ht="70.150000000000006" customHeight="1">
      <c r="A5" s="42">
        <v>4</v>
      </c>
      <c r="B5" s="105" t="s">
        <v>304</v>
      </c>
      <c r="C5" s="105" t="s">
        <v>305</v>
      </c>
      <c r="D5" s="105" t="s">
        <v>310</v>
      </c>
      <c r="E5" s="108" t="s">
        <v>329</v>
      </c>
      <c r="F5" s="106" t="s">
        <v>342</v>
      </c>
      <c r="G5" s="105" t="s">
        <v>343</v>
      </c>
      <c r="H5" s="105">
        <v>4.5</v>
      </c>
      <c r="I5" s="105">
        <v>72</v>
      </c>
      <c r="J5" s="105">
        <v>0</v>
      </c>
      <c r="K5" s="105" t="s">
        <v>344</v>
      </c>
      <c r="L5" s="105" t="s">
        <v>345</v>
      </c>
      <c r="M5" s="107">
        <v>90</v>
      </c>
      <c r="N5" s="105">
        <v>92</v>
      </c>
      <c r="O5" s="107" t="s">
        <v>346</v>
      </c>
      <c r="P5" s="105" t="s">
        <v>351</v>
      </c>
      <c r="Q5" s="107" t="s">
        <v>359</v>
      </c>
      <c r="R5" s="105" t="s">
        <v>360</v>
      </c>
      <c r="S5" s="105" t="s">
        <v>361</v>
      </c>
      <c r="T5" s="45"/>
    </row>
    <row r="6" spans="1:20" ht="70.150000000000006" customHeight="1">
      <c r="A6" s="42">
        <v>5</v>
      </c>
      <c r="B6" s="105" t="s">
        <v>304</v>
      </c>
      <c r="C6" s="105" t="s">
        <v>305</v>
      </c>
      <c r="D6" s="105" t="s">
        <v>311</v>
      </c>
      <c r="E6" s="108" t="s">
        <v>330</v>
      </c>
      <c r="F6" s="106" t="s">
        <v>342</v>
      </c>
      <c r="G6" s="105" t="s">
        <v>343</v>
      </c>
      <c r="H6" s="105">
        <v>4.5</v>
      </c>
      <c r="I6" s="105">
        <v>72</v>
      </c>
      <c r="J6" s="105">
        <v>0</v>
      </c>
      <c r="K6" s="105" t="s">
        <v>344</v>
      </c>
      <c r="L6" s="105" t="s">
        <v>345</v>
      </c>
      <c r="M6" s="107">
        <v>90</v>
      </c>
      <c r="N6" s="105">
        <v>92</v>
      </c>
      <c r="O6" s="107" t="s">
        <v>346</v>
      </c>
      <c r="P6" s="105" t="s">
        <v>352</v>
      </c>
      <c r="Q6" s="107" t="s">
        <v>359</v>
      </c>
      <c r="R6" s="105" t="s">
        <v>360</v>
      </c>
      <c r="S6" s="105" t="s">
        <v>361</v>
      </c>
      <c r="T6" s="45"/>
    </row>
    <row r="7" spans="1:20" ht="70.150000000000006" customHeight="1">
      <c r="A7" s="42">
        <v>6</v>
      </c>
      <c r="B7" s="105" t="s">
        <v>304</v>
      </c>
      <c r="C7" s="105" t="s">
        <v>305</v>
      </c>
      <c r="D7" s="105" t="s">
        <v>312</v>
      </c>
      <c r="E7" s="108" t="s">
        <v>331</v>
      </c>
      <c r="F7" s="106" t="s">
        <v>342</v>
      </c>
      <c r="G7" s="105" t="s">
        <v>343</v>
      </c>
      <c r="H7" s="105">
        <v>4.5</v>
      </c>
      <c r="I7" s="105">
        <v>72</v>
      </c>
      <c r="J7" s="105">
        <v>0</v>
      </c>
      <c r="K7" s="105" t="s">
        <v>344</v>
      </c>
      <c r="L7" s="105" t="s">
        <v>345</v>
      </c>
      <c r="M7" s="107">
        <v>90</v>
      </c>
      <c r="N7" s="105">
        <v>92</v>
      </c>
      <c r="O7" s="107" t="s">
        <v>346</v>
      </c>
      <c r="P7" s="105" t="s">
        <v>353</v>
      </c>
      <c r="Q7" s="107" t="s">
        <v>359</v>
      </c>
      <c r="R7" s="105" t="s">
        <v>360</v>
      </c>
      <c r="S7" s="105" t="s">
        <v>361</v>
      </c>
      <c r="T7" s="45"/>
    </row>
    <row r="8" spans="1:20" ht="70.150000000000006" customHeight="1">
      <c r="A8" s="42">
        <v>7</v>
      </c>
      <c r="B8" s="105" t="s">
        <v>304</v>
      </c>
      <c r="C8" s="105" t="s">
        <v>305</v>
      </c>
      <c r="D8" s="105" t="s">
        <v>313</v>
      </c>
      <c r="E8" s="108" t="s">
        <v>332</v>
      </c>
      <c r="F8" s="106" t="s">
        <v>342</v>
      </c>
      <c r="G8" s="105" t="s">
        <v>343</v>
      </c>
      <c r="H8" s="105">
        <v>4.5</v>
      </c>
      <c r="I8" s="105">
        <v>72</v>
      </c>
      <c r="J8" s="105">
        <v>0</v>
      </c>
      <c r="K8" s="105" t="s">
        <v>344</v>
      </c>
      <c r="L8" s="105" t="s">
        <v>345</v>
      </c>
      <c r="M8" s="107">
        <v>90</v>
      </c>
      <c r="N8" s="105">
        <v>92</v>
      </c>
      <c r="O8" s="107" t="s">
        <v>346</v>
      </c>
      <c r="P8" s="105" t="s">
        <v>354</v>
      </c>
      <c r="Q8" s="107" t="s">
        <v>359</v>
      </c>
      <c r="R8" s="105" t="s">
        <v>360</v>
      </c>
      <c r="S8" s="105" t="s">
        <v>361</v>
      </c>
      <c r="T8" s="45"/>
    </row>
    <row r="9" spans="1:20" ht="70.150000000000006" customHeight="1">
      <c r="A9" s="42">
        <v>8</v>
      </c>
      <c r="B9" s="105" t="s">
        <v>304</v>
      </c>
      <c r="C9" s="105" t="s">
        <v>305</v>
      </c>
      <c r="D9" s="105" t="s">
        <v>314</v>
      </c>
      <c r="E9" s="108" t="s">
        <v>333</v>
      </c>
      <c r="F9" s="106" t="s">
        <v>342</v>
      </c>
      <c r="G9" s="105" t="s">
        <v>343</v>
      </c>
      <c r="H9" s="105">
        <v>4.5</v>
      </c>
      <c r="I9" s="105">
        <v>72</v>
      </c>
      <c r="J9" s="105">
        <v>0</v>
      </c>
      <c r="K9" s="105" t="s">
        <v>344</v>
      </c>
      <c r="L9" s="105" t="s">
        <v>345</v>
      </c>
      <c r="M9" s="107">
        <v>90</v>
      </c>
      <c r="N9" s="105">
        <v>92</v>
      </c>
      <c r="O9" s="107" t="s">
        <v>346</v>
      </c>
      <c r="P9" s="105" t="s">
        <v>355</v>
      </c>
      <c r="Q9" s="107" t="s">
        <v>359</v>
      </c>
      <c r="R9" s="105" t="s">
        <v>360</v>
      </c>
      <c r="S9" s="105" t="s">
        <v>361</v>
      </c>
      <c r="T9" s="45"/>
    </row>
    <row r="10" spans="1:20" ht="70.150000000000006" customHeight="1">
      <c r="A10" s="42">
        <v>9</v>
      </c>
      <c r="B10" s="105" t="s">
        <v>304</v>
      </c>
      <c r="C10" s="105" t="s">
        <v>305</v>
      </c>
      <c r="D10" s="105" t="s">
        <v>315</v>
      </c>
      <c r="E10" s="108" t="s">
        <v>334</v>
      </c>
      <c r="F10" s="106" t="s">
        <v>342</v>
      </c>
      <c r="G10" s="105" t="s">
        <v>343</v>
      </c>
      <c r="H10" s="105">
        <v>4.5</v>
      </c>
      <c r="I10" s="105">
        <v>72</v>
      </c>
      <c r="J10" s="105">
        <v>0</v>
      </c>
      <c r="K10" s="105" t="s">
        <v>344</v>
      </c>
      <c r="L10" s="105" t="s">
        <v>345</v>
      </c>
      <c r="M10" s="107">
        <v>90</v>
      </c>
      <c r="N10" s="105">
        <v>92</v>
      </c>
      <c r="O10" s="107" t="s">
        <v>346</v>
      </c>
      <c r="P10" s="105" t="s">
        <v>356</v>
      </c>
      <c r="Q10" s="107" t="s">
        <v>359</v>
      </c>
      <c r="R10" s="105" t="s">
        <v>360</v>
      </c>
      <c r="S10" s="105" t="s">
        <v>361</v>
      </c>
      <c r="T10" s="45"/>
    </row>
    <row r="11" spans="1:20" ht="70.150000000000006" customHeight="1">
      <c r="A11" s="42">
        <v>10</v>
      </c>
      <c r="B11" s="105" t="s">
        <v>304</v>
      </c>
      <c r="C11" s="105" t="s">
        <v>305</v>
      </c>
      <c r="D11" s="105" t="s">
        <v>316</v>
      </c>
      <c r="E11" s="108" t="s">
        <v>335</v>
      </c>
      <c r="F11" s="106" t="s">
        <v>342</v>
      </c>
      <c r="G11" s="105" t="s">
        <v>343</v>
      </c>
      <c r="H11" s="105">
        <v>4.5</v>
      </c>
      <c r="I11" s="105">
        <v>72</v>
      </c>
      <c r="J11" s="105">
        <v>0</v>
      </c>
      <c r="K11" s="105" t="s">
        <v>344</v>
      </c>
      <c r="L11" s="105" t="s">
        <v>345</v>
      </c>
      <c r="M11" s="107">
        <v>90</v>
      </c>
      <c r="N11" s="105">
        <v>92</v>
      </c>
      <c r="O11" s="107" t="s">
        <v>346</v>
      </c>
      <c r="P11" s="105" t="s">
        <v>348</v>
      </c>
      <c r="Q11" s="107" t="s">
        <v>359</v>
      </c>
      <c r="R11" s="105" t="s">
        <v>360</v>
      </c>
      <c r="S11" s="105" t="s">
        <v>361</v>
      </c>
      <c r="T11" s="45"/>
    </row>
    <row r="12" spans="1:20" ht="70.150000000000006" customHeight="1">
      <c r="A12" s="42">
        <v>11</v>
      </c>
      <c r="B12" s="105" t="s">
        <v>304</v>
      </c>
      <c r="C12" s="105" t="s">
        <v>305</v>
      </c>
      <c r="D12" s="105" t="s">
        <v>317</v>
      </c>
      <c r="E12" s="108" t="s">
        <v>336</v>
      </c>
      <c r="F12" s="106" t="s">
        <v>342</v>
      </c>
      <c r="G12" s="105" t="s">
        <v>343</v>
      </c>
      <c r="H12" s="105">
        <v>4.5</v>
      </c>
      <c r="I12" s="105">
        <v>72</v>
      </c>
      <c r="J12" s="105">
        <v>0</v>
      </c>
      <c r="K12" s="105" t="s">
        <v>344</v>
      </c>
      <c r="L12" s="105" t="s">
        <v>345</v>
      </c>
      <c r="M12" s="107">
        <v>90</v>
      </c>
      <c r="N12" s="105">
        <v>92</v>
      </c>
      <c r="O12" s="107" t="s">
        <v>346</v>
      </c>
      <c r="P12" s="105" t="s">
        <v>348</v>
      </c>
      <c r="Q12" s="107" t="s">
        <v>359</v>
      </c>
      <c r="R12" s="105" t="s">
        <v>360</v>
      </c>
      <c r="S12" s="105" t="s">
        <v>361</v>
      </c>
      <c r="T12" s="45"/>
    </row>
    <row r="13" spans="1:20" ht="70.150000000000006" customHeight="1">
      <c r="A13" s="42">
        <v>12</v>
      </c>
      <c r="B13" s="105" t="s">
        <v>304</v>
      </c>
      <c r="C13" s="105" t="s">
        <v>305</v>
      </c>
      <c r="D13" s="105" t="s">
        <v>318</v>
      </c>
      <c r="E13" s="108" t="s">
        <v>337</v>
      </c>
      <c r="F13" s="106" t="s">
        <v>342</v>
      </c>
      <c r="G13" s="105" t="s">
        <v>343</v>
      </c>
      <c r="H13" s="105">
        <v>4.5</v>
      </c>
      <c r="I13" s="105">
        <v>72</v>
      </c>
      <c r="J13" s="105">
        <v>0</v>
      </c>
      <c r="K13" s="105" t="s">
        <v>344</v>
      </c>
      <c r="L13" s="105" t="s">
        <v>345</v>
      </c>
      <c r="M13" s="107">
        <v>90</v>
      </c>
      <c r="N13" s="105">
        <v>92</v>
      </c>
      <c r="O13" s="107" t="s">
        <v>346</v>
      </c>
      <c r="P13" s="105" t="s">
        <v>348</v>
      </c>
      <c r="Q13" s="107" t="s">
        <v>359</v>
      </c>
      <c r="R13" s="105" t="s">
        <v>360</v>
      </c>
      <c r="S13" s="105" t="s">
        <v>361</v>
      </c>
      <c r="T13" s="45"/>
    </row>
    <row r="14" spans="1:20" ht="70.150000000000006" customHeight="1">
      <c r="A14" s="42">
        <v>13</v>
      </c>
      <c r="B14" s="105" t="s">
        <v>304</v>
      </c>
      <c r="C14" s="105" t="s">
        <v>305</v>
      </c>
      <c r="D14" s="105" t="s">
        <v>319</v>
      </c>
      <c r="E14" s="108" t="s">
        <v>338</v>
      </c>
      <c r="F14" s="106" t="s">
        <v>342</v>
      </c>
      <c r="G14" s="105" t="s">
        <v>343</v>
      </c>
      <c r="H14" s="105">
        <v>4.5</v>
      </c>
      <c r="I14" s="105">
        <v>72</v>
      </c>
      <c r="J14" s="105">
        <v>0</v>
      </c>
      <c r="K14" s="105" t="s">
        <v>344</v>
      </c>
      <c r="L14" s="105" t="s">
        <v>345</v>
      </c>
      <c r="M14" s="107">
        <v>90</v>
      </c>
      <c r="N14" s="105">
        <v>92</v>
      </c>
      <c r="O14" s="107" t="s">
        <v>346</v>
      </c>
      <c r="P14" s="105" t="s">
        <v>348</v>
      </c>
      <c r="Q14" s="107" t="s">
        <v>359</v>
      </c>
      <c r="R14" s="105" t="s">
        <v>360</v>
      </c>
      <c r="S14" s="105" t="s">
        <v>361</v>
      </c>
      <c r="T14" s="45"/>
    </row>
    <row r="15" spans="1:20" ht="70.150000000000006" customHeight="1">
      <c r="A15" s="42">
        <v>14</v>
      </c>
      <c r="B15" s="105" t="s">
        <v>304</v>
      </c>
      <c r="C15" s="105" t="s">
        <v>305</v>
      </c>
      <c r="D15" s="105" t="s">
        <v>320</v>
      </c>
      <c r="E15" s="108" t="s">
        <v>338</v>
      </c>
      <c r="F15" s="106" t="s">
        <v>342</v>
      </c>
      <c r="G15" s="105" t="s">
        <v>343</v>
      </c>
      <c r="H15" s="105">
        <v>4.5</v>
      </c>
      <c r="I15" s="105">
        <v>72</v>
      </c>
      <c r="J15" s="105">
        <v>0</v>
      </c>
      <c r="K15" s="105" t="s">
        <v>344</v>
      </c>
      <c r="L15" s="105" t="s">
        <v>345</v>
      </c>
      <c r="M15" s="107">
        <v>90</v>
      </c>
      <c r="N15" s="105">
        <v>92</v>
      </c>
      <c r="O15" s="107" t="s">
        <v>346</v>
      </c>
      <c r="P15" s="105" t="s">
        <v>348</v>
      </c>
      <c r="Q15" s="107" t="s">
        <v>359</v>
      </c>
      <c r="R15" s="105" t="s">
        <v>360</v>
      </c>
      <c r="S15" s="105" t="s">
        <v>361</v>
      </c>
      <c r="T15" s="45"/>
    </row>
    <row r="16" spans="1:20" ht="70.150000000000006" customHeight="1">
      <c r="A16" s="42">
        <v>15</v>
      </c>
      <c r="B16" s="105" t="s">
        <v>304</v>
      </c>
      <c r="C16" s="105" t="s">
        <v>305</v>
      </c>
      <c r="D16" s="105" t="s">
        <v>321</v>
      </c>
      <c r="E16" s="108" t="s">
        <v>339</v>
      </c>
      <c r="F16" s="106" t="s">
        <v>342</v>
      </c>
      <c r="G16" s="105" t="s">
        <v>343</v>
      </c>
      <c r="H16" s="105">
        <v>4.5</v>
      </c>
      <c r="I16" s="105">
        <v>72</v>
      </c>
      <c r="J16" s="105">
        <v>0</v>
      </c>
      <c r="K16" s="105" t="s">
        <v>344</v>
      </c>
      <c r="L16" s="105" t="s">
        <v>345</v>
      </c>
      <c r="M16" s="107">
        <v>90</v>
      </c>
      <c r="N16" s="105">
        <v>92</v>
      </c>
      <c r="O16" s="107" t="s">
        <v>346</v>
      </c>
      <c r="P16" s="105" t="s">
        <v>357</v>
      </c>
      <c r="Q16" s="107" t="s">
        <v>359</v>
      </c>
      <c r="R16" s="105" t="s">
        <v>360</v>
      </c>
      <c r="S16" s="105" t="s">
        <v>361</v>
      </c>
      <c r="T16" s="45"/>
    </row>
    <row r="17" spans="1:20" ht="70.150000000000006" customHeight="1">
      <c r="A17" s="42">
        <v>16</v>
      </c>
      <c r="B17" s="105" t="s">
        <v>304</v>
      </c>
      <c r="C17" s="105" t="s">
        <v>305</v>
      </c>
      <c r="D17" s="105" t="s">
        <v>322</v>
      </c>
      <c r="E17" s="108" t="s">
        <v>340</v>
      </c>
      <c r="F17" s="106" t="s">
        <v>342</v>
      </c>
      <c r="G17" s="105" t="s">
        <v>343</v>
      </c>
      <c r="H17" s="105">
        <v>4.5</v>
      </c>
      <c r="I17" s="105">
        <v>72</v>
      </c>
      <c r="J17" s="105">
        <v>0</v>
      </c>
      <c r="K17" s="105" t="s">
        <v>344</v>
      </c>
      <c r="L17" s="105" t="s">
        <v>345</v>
      </c>
      <c r="M17" s="107">
        <v>90</v>
      </c>
      <c r="N17" s="105">
        <v>92</v>
      </c>
      <c r="O17" s="107" t="s">
        <v>346</v>
      </c>
      <c r="P17" s="105" t="s">
        <v>348</v>
      </c>
      <c r="Q17" s="107" t="s">
        <v>359</v>
      </c>
      <c r="R17" s="105" t="s">
        <v>360</v>
      </c>
      <c r="S17" s="105" t="s">
        <v>361</v>
      </c>
      <c r="T17" s="45"/>
    </row>
    <row r="18" spans="1:20" ht="70.150000000000006" customHeight="1">
      <c r="A18" s="42">
        <v>17</v>
      </c>
      <c r="B18" s="105" t="s">
        <v>304</v>
      </c>
      <c r="C18" s="105" t="s">
        <v>305</v>
      </c>
      <c r="D18" s="105" t="s">
        <v>323</v>
      </c>
      <c r="E18" s="108" t="s">
        <v>341</v>
      </c>
      <c r="F18" s="106" t="s">
        <v>342</v>
      </c>
      <c r="G18" s="105" t="s">
        <v>343</v>
      </c>
      <c r="H18" s="105">
        <v>4.5</v>
      </c>
      <c r="I18" s="105">
        <v>72</v>
      </c>
      <c r="J18" s="105">
        <v>0</v>
      </c>
      <c r="K18" s="105" t="s">
        <v>344</v>
      </c>
      <c r="L18" s="105" t="s">
        <v>345</v>
      </c>
      <c r="M18" s="107">
        <v>90</v>
      </c>
      <c r="N18" s="105">
        <v>92</v>
      </c>
      <c r="O18" s="107" t="s">
        <v>346</v>
      </c>
      <c r="P18" s="105" t="s">
        <v>358</v>
      </c>
      <c r="Q18" s="107" t="s">
        <v>359</v>
      </c>
      <c r="R18" s="105" t="s">
        <v>360</v>
      </c>
      <c r="S18" s="105" t="s">
        <v>361</v>
      </c>
      <c r="T18" s="45"/>
    </row>
    <row r="19" spans="1:20" ht="70.150000000000006" customHeight="1">
      <c r="A19" s="42">
        <v>18</v>
      </c>
      <c r="B19" s="105" t="s">
        <v>304</v>
      </c>
      <c r="C19" s="105" t="s">
        <v>362</v>
      </c>
      <c r="D19" s="105" t="s">
        <v>363</v>
      </c>
      <c r="E19" s="108" t="s">
        <v>364</v>
      </c>
      <c r="F19" s="106" t="s">
        <v>342</v>
      </c>
      <c r="G19" s="105" t="s">
        <v>343</v>
      </c>
      <c r="H19" s="105">
        <v>4.5</v>
      </c>
      <c r="I19" s="105">
        <v>57</v>
      </c>
      <c r="J19" s="105">
        <v>29</v>
      </c>
      <c r="K19" s="105" t="s">
        <v>344</v>
      </c>
      <c r="L19" s="105" t="s">
        <v>345</v>
      </c>
      <c r="M19" s="107">
        <v>90</v>
      </c>
      <c r="N19" s="105">
        <v>92</v>
      </c>
      <c r="O19" s="107" t="s">
        <v>346</v>
      </c>
      <c r="P19" s="105" t="s">
        <v>350</v>
      </c>
      <c r="Q19" s="107" t="s">
        <v>359</v>
      </c>
      <c r="R19" s="105" t="s">
        <v>360</v>
      </c>
      <c r="S19" s="105" t="s">
        <v>361</v>
      </c>
      <c r="T19" s="45"/>
    </row>
    <row r="20" spans="1:20" ht="70.150000000000006" customHeight="1">
      <c r="A20" s="42">
        <v>19</v>
      </c>
      <c r="B20" s="105" t="s">
        <v>304</v>
      </c>
      <c r="C20" s="105" t="s">
        <v>362</v>
      </c>
      <c r="D20" s="105" t="s">
        <v>365</v>
      </c>
      <c r="E20" s="108" t="s">
        <v>366</v>
      </c>
      <c r="F20" s="106" t="s">
        <v>342</v>
      </c>
      <c r="G20" s="105" t="s">
        <v>343</v>
      </c>
      <c r="H20" s="105">
        <v>4.5</v>
      </c>
      <c r="I20" s="105">
        <v>57</v>
      </c>
      <c r="J20" s="105">
        <v>0</v>
      </c>
      <c r="K20" s="105" t="s">
        <v>344</v>
      </c>
      <c r="L20" s="105" t="s">
        <v>345</v>
      </c>
      <c r="M20" s="107">
        <v>90</v>
      </c>
      <c r="N20" s="105">
        <v>92</v>
      </c>
      <c r="O20" s="107" t="s">
        <v>346</v>
      </c>
      <c r="P20" s="105" t="s">
        <v>349</v>
      </c>
      <c r="Q20" s="107" t="s">
        <v>359</v>
      </c>
      <c r="R20" s="105" t="s">
        <v>360</v>
      </c>
      <c r="S20" s="105" t="s">
        <v>361</v>
      </c>
      <c r="T20" s="45"/>
    </row>
    <row r="21" spans="1:20" ht="70.150000000000006" customHeight="1">
      <c r="A21" s="42">
        <v>20</v>
      </c>
      <c r="B21" s="105" t="s">
        <v>304</v>
      </c>
      <c r="C21" s="105" t="s">
        <v>362</v>
      </c>
      <c r="D21" s="105" t="s">
        <v>367</v>
      </c>
      <c r="E21" s="108" t="s">
        <v>368</v>
      </c>
      <c r="F21" s="106" t="s">
        <v>342</v>
      </c>
      <c r="G21" s="105" t="s">
        <v>343</v>
      </c>
      <c r="H21" s="105">
        <v>4.5</v>
      </c>
      <c r="I21" s="105">
        <v>57</v>
      </c>
      <c r="J21" s="105">
        <v>0</v>
      </c>
      <c r="K21" s="105" t="s">
        <v>344</v>
      </c>
      <c r="L21" s="105" t="s">
        <v>345</v>
      </c>
      <c r="M21" s="107">
        <v>90</v>
      </c>
      <c r="N21" s="105">
        <v>92</v>
      </c>
      <c r="O21" s="107" t="s">
        <v>346</v>
      </c>
      <c r="P21" s="105" t="s">
        <v>347</v>
      </c>
      <c r="Q21" s="107" t="s">
        <v>359</v>
      </c>
      <c r="R21" s="105" t="s">
        <v>360</v>
      </c>
      <c r="S21" s="105" t="s">
        <v>361</v>
      </c>
      <c r="T21" s="45"/>
    </row>
    <row r="22" spans="1:20" ht="70.150000000000006" customHeight="1">
      <c r="A22" s="42">
        <v>21</v>
      </c>
      <c r="B22" s="105" t="s">
        <v>304</v>
      </c>
      <c r="C22" s="105" t="s">
        <v>362</v>
      </c>
      <c r="D22" s="105" t="s">
        <v>369</v>
      </c>
      <c r="E22" s="108" t="s">
        <v>370</v>
      </c>
      <c r="F22" s="106" t="s">
        <v>342</v>
      </c>
      <c r="G22" s="105" t="s">
        <v>343</v>
      </c>
      <c r="H22" s="105">
        <v>4.5</v>
      </c>
      <c r="I22" s="105">
        <v>57</v>
      </c>
      <c r="J22" s="105">
        <v>0</v>
      </c>
      <c r="K22" s="105" t="s">
        <v>344</v>
      </c>
      <c r="L22" s="105" t="s">
        <v>345</v>
      </c>
      <c r="M22" s="107">
        <v>90</v>
      </c>
      <c r="N22" s="105">
        <v>92</v>
      </c>
      <c r="O22" s="107" t="s">
        <v>346</v>
      </c>
      <c r="P22" s="105" t="s">
        <v>348</v>
      </c>
      <c r="Q22" s="107" t="s">
        <v>359</v>
      </c>
      <c r="R22" s="105" t="s">
        <v>360</v>
      </c>
      <c r="S22" s="105" t="s">
        <v>361</v>
      </c>
      <c r="T22" s="45"/>
    </row>
    <row r="23" spans="1:20" ht="70.150000000000006" customHeight="1">
      <c r="A23" s="42">
        <v>22</v>
      </c>
      <c r="B23" s="105" t="s">
        <v>304</v>
      </c>
      <c r="C23" s="105" t="s">
        <v>362</v>
      </c>
      <c r="D23" s="105" t="s">
        <v>371</v>
      </c>
      <c r="E23" s="108" t="s">
        <v>372</v>
      </c>
      <c r="F23" s="106" t="s">
        <v>342</v>
      </c>
      <c r="G23" s="105" t="s">
        <v>343</v>
      </c>
      <c r="H23" s="105">
        <v>4.5</v>
      </c>
      <c r="I23" s="105">
        <v>57</v>
      </c>
      <c r="J23" s="105">
        <v>0</v>
      </c>
      <c r="K23" s="105" t="s">
        <v>344</v>
      </c>
      <c r="L23" s="105" t="s">
        <v>345</v>
      </c>
      <c r="M23" s="107">
        <v>90</v>
      </c>
      <c r="N23" s="105">
        <v>92</v>
      </c>
      <c r="O23" s="107" t="s">
        <v>346</v>
      </c>
      <c r="P23" s="105" t="s">
        <v>348</v>
      </c>
      <c r="Q23" s="107" t="s">
        <v>359</v>
      </c>
      <c r="R23" s="105" t="s">
        <v>360</v>
      </c>
      <c r="S23" s="105" t="s">
        <v>361</v>
      </c>
      <c r="T23" s="45"/>
    </row>
    <row r="24" spans="1:20" ht="70.150000000000006" customHeight="1">
      <c r="A24" s="42">
        <v>23</v>
      </c>
      <c r="B24" s="105" t="s">
        <v>304</v>
      </c>
      <c r="C24" s="105" t="s">
        <v>362</v>
      </c>
      <c r="D24" s="105" t="s">
        <v>324</v>
      </c>
      <c r="E24" s="108" t="s">
        <v>373</v>
      </c>
      <c r="F24" s="106" t="s">
        <v>342</v>
      </c>
      <c r="G24" s="105" t="s">
        <v>343</v>
      </c>
      <c r="H24" s="105">
        <v>4.5</v>
      </c>
      <c r="I24" s="105">
        <v>57</v>
      </c>
      <c r="J24" s="105">
        <v>0</v>
      </c>
      <c r="K24" s="105" t="s">
        <v>344</v>
      </c>
      <c r="L24" s="105" t="s">
        <v>345</v>
      </c>
      <c r="M24" s="107">
        <v>90</v>
      </c>
      <c r="N24" s="105">
        <v>92</v>
      </c>
      <c r="O24" s="107" t="s">
        <v>346</v>
      </c>
      <c r="P24" s="105" t="s">
        <v>348</v>
      </c>
      <c r="Q24" s="107" t="s">
        <v>359</v>
      </c>
      <c r="R24" s="105" t="s">
        <v>360</v>
      </c>
      <c r="S24" s="105" t="s">
        <v>361</v>
      </c>
      <c r="T24" s="45"/>
    </row>
    <row r="25" spans="1:20" ht="70.150000000000006" customHeight="1">
      <c r="A25" s="42">
        <v>24</v>
      </c>
      <c r="B25" s="105" t="s">
        <v>304</v>
      </c>
      <c r="C25" s="105" t="s">
        <v>362</v>
      </c>
      <c r="D25" s="105" t="s">
        <v>374</v>
      </c>
      <c r="E25" s="108" t="s">
        <v>375</v>
      </c>
      <c r="F25" s="106" t="s">
        <v>342</v>
      </c>
      <c r="G25" s="105" t="s">
        <v>343</v>
      </c>
      <c r="H25" s="105">
        <v>4.5</v>
      </c>
      <c r="I25" s="105">
        <v>57</v>
      </c>
      <c r="J25" s="105">
        <v>0</v>
      </c>
      <c r="K25" s="105" t="s">
        <v>344</v>
      </c>
      <c r="L25" s="105" t="s">
        <v>345</v>
      </c>
      <c r="M25" s="107">
        <v>90</v>
      </c>
      <c r="N25" s="105">
        <v>92</v>
      </c>
      <c r="O25" s="107" t="s">
        <v>346</v>
      </c>
      <c r="P25" s="105" t="s">
        <v>376</v>
      </c>
      <c r="Q25" s="107" t="s">
        <v>359</v>
      </c>
      <c r="R25" s="105" t="s">
        <v>360</v>
      </c>
      <c r="S25" s="105" t="s">
        <v>361</v>
      </c>
      <c r="T25" s="45"/>
    </row>
    <row r="26" spans="1:20" ht="51">
      <c r="A26" s="42">
        <v>25</v>
      </c>
      <c r="B26" s="105" t="s">
        <v>304</v>
      </c>
      <c r="C26" s="105" t="s">
        <v>362</v>
      </c>
      <c r="D26" s="105" t="s">
        <v>377</v>
      </c>
      <c r="E26" s="108" t="s">
        <v>378</v>
      </c>
      <c r="F26" s="106" t="s">
        <v>342</v>
      </c>
      <c r="G26" s="105" t="s">
        <v>343</v>
      </c>
      <c r="H26" s="105">
        <v>4.5</v>
      </c>
      <c r="I26" s="105">
        <v>57</v>
      </c>
      <c r="J26" s="105">
        <v>0</v>
      </c>
      <c r="K26" s="105" t="s">
        <v>344</v>
      </c>
      <c r="L26" s="105" t="s">
        <v>345</v>
      </c>
      <c r="M26" s="107">
        <v>90</v>
      </c>
      <c r="N26" s="105">
        <v>92</v>
      </c>
      <c r="O26" s="107" t="s">
        <v>346</v>
      </c>
      <c r="P26" s="105" t="s">
        <v>347</v>
      </c>
      <c r="Q26" s="107" t="s">
        <v>359</v>
      </c>
      <c r="R26" s="105" t="s">
        <v>360</v>
      </c>
      <c r="S26" s="105" t="s">
        <v>361</v>
      </c>
      <c r="T26" s="45"/>
    </row>
    <row r="27" spans="1:20" ht="76.5">
      <c r="A27" s="42">
        <v>26</v>
      </c>
      <c r="B27" s="105" t="s">
        <v>304</v>
      </c>
      <c r="C27" s="105" t="s">
        <v>362</v>
      </c>
      <c r="D27" s="105" t="s">
        <v>379</v>
      </c>
      <c r="E27" s="108" t="s">
        <v>380</v>
      </c>
      <c r="F27" s="106" t="s">
        <v>342</v>
      </c>
      <c r="G27" s="105" t="s">
        <v>343</v>
      </c>
      <c r="H27" s="105">
        <v>4.5</v>
      </c>
      <c r="I27" s="105">
        <v>57</v>
      </c>
      <c r="J27" s="105">
        <v>0</v>
      </c>
      <c r="K27" s="105" t="s">
        <v>344</v>
      </c>
      <c r="L27" s="105" t="s">
        <v>345</v>
      </c>
      <c r="M27" s="107">
        <v>90</v>
      </c>
      <c r="N27" s="105">
        <v>92</v>
      </c>
      <c r="O27" s="107" t="s">
        <v>346</v>
      </c>
      <c r="P27" s="105" t="s">
        <v>348</v>
      </c>
      <c r="Q27" s="107" t="s">
        <v>359</v>
      </c>
      <c r="R27" s="105" t="s">
        <v>360</v>
      </c>
      <c r="S27" s="105" t="s">
        <v>361</v>
      </c>
      <c r="T27" s="45"/>
    </row>
    <row r="28" spans="1:20" ht="63.75">
      <c r="A28" s="42">
        <v>27</v>
      </c>
      <c r="B28" s="105" t="s">
        <v>304</v>
      </c>
      <c r="C28" s="105" t="s">
        <v>362</v>
      </c>
      <c r="D28" s="105" t="s">
        <v>381</v>
      </c>
      <c r="E28" s="108" t="s">
        <v>382</v>
      </c>
      <c r="F28" s="106" t="s">
        <v>342</v>
      </c>
      <c r="G28" s="105" t="s">
        <v>343</v>
      </c>
      <c r="H28" s="105">
        <v>4.5</v>
      </c>
      <c r="I28" s="105">
        <v>57</v>
      </c>
      <c r="J28" s="105">
        <v>0</v>
      </c>
      <c r="K28" s="105" t="s">
        <v>344</v>
      </c>
      <c r="L28" s="105" t="s">
        <v>345</v>
      </c>
      <c r="M28" s="107">
        <v>90</v>
      </c>
      <c r="N28" s="105">
        <v>92</v>
      </c>
      <c r="O28" s="107" t="s">
        <v>346</v>
      </c>
      <c r="P28" s="105" t="s">
        <v>349</v>
      </c>
      <c r="Q28" s="107" t="s">
        <v>359</v>
      </c>
      <c r="R28" s="105" t="s">
        <v>360</v>
      </c>
      <c r="S28" s="105" t="s">
        <v>361</v>
      </c>
      <c r="T28" s="45"/>
    </row>
    <row r="29" spans="1:20" ht="63.75">
      <c r="A29" s="42">
        <v>28</v>
      </c>
      <c r="B29" s="105" t="s">
        <v>304</v>
      </c>
      <c r="C29" s="105" t="s">
        <v>362</v>
      </c>
      <c r="D29" s="105" t="s">
        <v>383</v>
      </c>
      <c r="E29" s="108" t="s">
        <v>384</v>
      </c>
      <c r="F29" s="106" t="s">
        <v>342</v>
      </c>
      <c r="G29" s="105" t="s">
        <v>343</v>
      </c>
      <c r="H29" s="105">
        <v>4.5</v>
      </c>
      <c r="I29" s="105">
        <v>57</v>
      </c>
      <c r="J29" s="105">
        <v>0</v>
      </c>
      <c r="K29" s="105" t="s">
        <v>344</v>
      </c>
      <c r="L29" s="105" t="s">
        <v>345</v>
      </c>
      <c r="M29" s="107">
        <v>90</v>
      </c>
      <c r="N29" s="105">
        <v>92</v>
      </c>
      <c r="O29" s="107" t="s">
        <v>346</v>
      </c>
      <c r="P29" s="105" t="s">
        <v>347</v>
      </c>
      <c r="Q29" s="107" t="s">
        <v>359</v>
      </c>
      <c r="R29" s="105" t="s">
        <v>360</v>
      </c>
      <c r="S29" s="105" t="s">
        <v>361</v>
      </c>
      <c r="T29" s="45"/>
    </row>
    <row r="30" spans="1:20" ht="63.75">
      <c r="A30" s="42">
        <v>29</v>
      </c>
      <c r="B30" s="105" t="s">
        <v>304</v>
      </c>
      <c r="C30" s="105" t="s">
        <v>362</v>
      </c>
      <c r="D30" s="105" t="s">
        <v>385</v>
      </c>
      <c r="E30" s="108" t="s">
        <v>386</v>
      </c>
      <c r="F30" s="106" t="s">
        <v>342</v>
      </c>
      <c r="G30" s="105" t="s">
        <v>343</v>
      </c>
      <c r="H30" s="105">
        <v>4.5</v>
      </c>
      <c r="I30" s="105">
        <v>57</v>
      </c>
      <c r="J30" s="105">
        <v>0</v>
      </c>
      <c r="K30" s="105" t="s">
        <v>344</v>
      </c>
      <c r="L30" s="105" t="s">
        <v>345</v>
      </c>
      <c r="M30" s="107">
        <v>90</v>
      </c>
      <c r="N30" s="105">
        <v>92</v>
      </c>
      <c r="O30" s="107" t="s">
        <v>346</v>
      </c>
      <c r="P30" s="105" t="s">
        <v>347</v>
      </c>
      <c r="Q30" s="107" t="s">
        <v>359</v>
      </c>
      <c r="R30" s="105" t="s">
        <v>360</v>
      </c>
      <c r="S30" s="105" t="s">
        <v>361</v>
      </c>
      <c r="T30" s="45"/>
    </row>
    <row r="31" spans="1:20" ht="76.5">
      <c r="A31" s="42">
        <v>30</v>
      </c>
      <c r="B31" s="105" t="s">
        <v>304</v>
      </c>
      <c r="C31" s="105" t="s">
        <v>362</v>
      </c>
      <c r="D31" s="105" t="s">
        <v>387</v>
      </c>
      <c r="E31" s="108" t="s">
        <v>380</v>
      </c>
      <c r="F31" s="106" t="s">
        <v>342</v>
      </c>
      <c r="G31" s="105" t="s">
        <v>343</v>
      </c>
      <c r="H31" s="105">
        <v>4.5</v>
      </c>
      <c r="I31" s="105">
        <v>57</v>
      </c>
      <c r="J31" s="105">
        <v>0</v>
      </c>
      <c r="K31" s="105" t="s">
        <v>344</v>
      </c>
      <c r="L31" s="105" t="s">
        <v>345</v>
      </c>
      <c r="M31" s="107">
        <v>90</v>
      </c>
      <c r="N31" s="105">
        <v>92</v>
      </c>
      <c r="O31" s="107" t="s">
        <v>346</v>
      </c>
      <c r="P31" s="105" t="s">
        <v>348</v>
      </c>
      <c r="Q31" s="107" t="s">
        <v>359</v>
      </c>
      <c r="R31" s="105" t="s">
        <v>360</v>
      </c>
      <c r="S31" s="105" t="s">
        <v>361</v>
      </c>
      <c r="T31" s="45"/>
    </row>
    <row r="32" spans="1:20" ht="63.75">
      <c r="A32" s="42">
        <v>31</v>
      </c>
      <c r="B32" s="105" t="s">
        <v>304</v>
      </c>
      <c r="C32" s="105" t="s">
        <v>362</v>
      </c>
      <c r="D32" s="105" t="s">
        <v>388</v>
      </c>
      <c r="E32" s="108" t="s">
        <v>389</v>
      </c>
      <c r="F32" s="106" t="s">
        <v>342</v>
      </c>
      <c r="G32" s="105" t="s">
        <v>343</v>
      </c>
      <c r="H32" s="105">
        <v>4.5</v>
      </c>
      <c r="I32" s="105">
        <v>57</v>
      </c>
      <c r="J32" s="105">
        <v>0</v>
      </c>
      <c r="K32" s="105" t="s">
        <v>344</v>
      </c>
      <c r="L32" s="105" t="s">
        <v>345</v>
      </c>
      <c r="M32" s="107">
        <v>90</v>
      </c>
      <c r="N32" s="105">
        <v>92</v>
      </c>
      <c r="O32" s="107" t="s">
        <v>346</v>
      </c>
      <c r="P32" s="105" t="s">
        <v>390</v>
      </c>
      <c r="Q32" s="107" t="s">
        <v>359</v>
      </c>
      <c r="R32" s="105" t="s">
        <v>360</v>
      </c>
      <c r="S32" s="105" t="s">
        <v>361</v>
      </c>
      <c r="T32" s="45"/>
    </row>
    <row r="33" spans="1:20" ht="89.25">
      <c r="A33" s="42">
        <v>32</v>
      </c>
      <c r="B33" s="105" t="s">
        <v>304</v>
      </c>
      <c r="C33" s="105" t="s">
        <v>362</v>
      </c>
      <c r="D33" s="105" t="s">
        <v>391</v>
      </c>
      <c r="E33" s="108" t="s">
        <v>392</v>
      </c>
      <c r="F33" s="106" t="s">
        <v>342</v>
      </c>
      <c r="G33" s="105" t="s">
        <v>343</v>
      </c>
      <c r="H33" s="105">
        <v>4.5</v>
      </c>
      <c r="I33" s="105">
        <v>57</v>
      </c>
      <c r="J33" s="105">
        <v>0</v>
      </c>
      <c r="K33" s="105" t="s">
        <v>344</v>
      </c>
      <c r="L33" s="105" t="s">
        <v>345</v>
      </c>
      <c r="M33" s="107">
        <v>90</v>
      </c>
      <c r="N33" s="105">
        <v>92</v>
      </c>
      <c r="O33" s="107" t="s">
        <v>346</v>
      </c>
      <c r="P33" s="105" t="s">
        <v>393</v>
      </c>
      <c r="Q33" s="107" t="s">
        <v>359</v>
      </c>
      <c r="R33" s="105" t="s">
        <v>360</v>
      </c>
      <c r="S33" s="105" t="s">
        <v>361</v>
      </c>
      <c r="T33" s="45"/>
    </row>
    <row r="34" spans="1:20" ht="89.25">
      <c r="A34" s="42">
        <v>33</v>
      </c>
      <c r="B34" s="105" t="s">
        <v>304</v>
      </c>
      <c r="C34" s="105" t="s">
        <v>362</v>
      </c>
      <c r="D34" s="105" t="s">
        <v>394</v>
      </c>
      <c r="E34" s="108" t="s">
        <v>395</v>
      </c>
      <c r="F34" s="106" t="s">
        <v>342</v>
      </c>
      <c r="G34" s="105" t="s">
        <v>343</v>
      </c>
      <c r="H34" s="105">
        <v>4.5</v>
      </c>
      <c r="I34" s="105">
        <v>57</v>
      </c>
      <c r="J34" s="105">
        <v>29</v>
      </c>
      <c r="K34" s="105" t="s">
        <v>344</v>
      </c>
      <c r="L34" s="105" t="s">
        <v>345</v>
      </c>
      <c r="M34" s="107">
        <v>90</v>
      </c>
      <c r="N34" s="105">
        <v>92</v>
      </c>
      <c r="O34" s="107" t="s">
        <v>346</v>
      </c>
      <c r="P34" s="105" t="s">
        <v>396</v>
      </c>
      <c r="Q34" s="107" t="s">
        <v>359</v>
      </c>
      <c r="R34" s="105" t="s">
        <v>360</v>
      </c>
      <c r="S34" s="105" t="s">
        <v>361</v>
      </c>
      <c r="T34" s="45"/>
    </row>
    <row r="35" spans="1:20" ht="76.5">
      <c r="A35" s="42">
        <v>34</v>
      </c>
      <c r="B35" s="105" t="s">
        <v>304</v>
      </c>
      <c r="C35" s="105" t="s">
        <v>362</v>
      </c>
      <c r="D35" s="105" t="s">
        <v>397</v>
      </c>
      <c r="E35" s="108" t="s">
        <v>398</v>
      </c>
      <c r="F35" s="106" t="s">
        <v>342</v>
      </c>
      <c r="G35" s="105" t="s">
        <v>343</v>
      </c>
      <c r="H35" s="105">
        <v>4.5</v>
      </c>
      <c r="I35" s="105">
        <v>57</v>
      </c>
      <c r="J35" s="105">
        <v>29</v>
      </c>
      <c r="K35" s="105" t="s">
        <v>344</v>
      </c>
      <c r="L35" s="105" t="s">
        <v>345</v>
      </c>
      <c r="M35" s="107">
        <v>90</v>
      </c>
      <c r="N35" s="105">
        <v>92</v>
      </c>
      <c r="O35" s="107" t="s">
        <v>346</v>
      </c>
      <c r="P35" s="105" t="s">
        <v>348</v>
      </c>
      <c r="Q35" s="107" t="s">
        <v>359</v>
      </c>
      <c r="R35" s="105" t="s">
        <v>360</v>
      </c>
      <c r="S35" s="105" t="s">
        <v>361</v>
      </c>
      <c r="T35" s="45"/>
    </row>
    <row r="36" spans="1:20" ht="63.75">
      <c r="A36" s="42">
        <v>35</v>
      </c>
      <c r="B36" s="105" t="s">
        <v>304</v>
      </c>
      <c r="C36" s="105" t="s">
        <v>362</v>
      </c>
      <c r="D36" s="105" t="s">
        <v>399</v>
      </c>
      <c r="E36" s="108" t="s">
        <v>400</v>
      </c>
      <c r="F36" s="106" t="s">
        <v>342</v>
      </c>
      <c r="G36" s="105" t="s">
        <v>343</v>
      </c>
      <c r="H36" s="105">
        <v>4.5</v>
      </c>
      <c r="I36" s="105">
        <v>0</v>
      </c>
      <c r="J36" s="105">
        <v>29</v>
      </c>
      <c r="K36" s="105" t="s">
        <v>344</v>
      </c>
      <c r="L36" s="105" t="s">
        <v>345</v>
      </c>
      <c r="M36" s="107">
        <v>90</v>
      </c>
      <c r="N36" s="105">
        <v>92</v>
      </c>
      <c r="O36" s="107" t="s">
        <v>346</v>
      </c>
      <c r="P36" s="105" t="s">
        <v>348</v>
      </c>
      <c r="Q36" s="107" t="s">
        <v>359</v>
      </c>
      <c r="R36" s="105" t="s">
        <v>360</v>
      </c>
      <c r="S36" s="105" t="s">
        <v>361</v>
      </c>
      <c r="T36" s="45"/>
    </row>
    <row r="37" spans="1:20" ht="63.75">
      <c r="A37" s="42">
        <v>36</v>
      </c>
      <c r="B37" s="105" t="s">
        <v>304</v>
      </c>
      <c r="C37" s="105" t="s">
        <v>362</v>
      </c>
      <c r="D37" s="105" t="s">
        <v>401</v>
      </c>
      <c r="E37" s="108" t="s">
        <v>402</v>
      </c>
      <c r="F37" s="106" t="s">
        <v>342</v>
      </c>
      <c r="G37" s="105" t="s">
        <v>343</v>
      </c>
      <c r="H37" s="105">
        <v>4.5</v>
      </c>
      <c r="I37" s="105">
        <v>0</v>
      </c>
      <c r="J37" s="105">
        <v>29</v>
      </c>
      <c r="K37" s="105" t="s">
        <v>344</v>
      </c>
      <c r="L37" s="105" t="s">
        <v>345</v>
      </c>
      <c r="M37" s="107">
        <v>90</v>
      </c>
      <c r="N37" s="105">
        <v>92</v>
      </c>
      <c r="O37" s="107" t="s">
        <v>346</v>
      </c>
      <c r="P37" s="105" t="s">
        <v>348</v>
      </c>
      <c r="Q37" s="107" t="s">
        <v>359</v>
      </c>
      <c r="R37" s="105" t="s">
        <v>360</v>
      </c>
      <c r="S37" s="105" t="s">
        <v>361</v>
      </c>
      <c r="T37" s="45"/>
    </row>
    <row r="38" spans="1:20" ht="63.75">
      <c r="A38" s="42">
        <v>37</v>
      </c>
      <c r="B38" s="105" t="s">
        <v>304</v>
      </c>
      <c r="C38" s="105" t="s">
        <v>362</v>
      </c>
      <c r="D38" s="105" t="s">
        <v>403</v>
      </c>
      <c r="E38" s="108" t="s">
        <v>404</v>
      </c>
      <c r="F38" s="106" t="s">
        <v>342</v>
      </c>
      <c r="G38" s="105" t="s">
        <v>343</v>
      </c>
      <c r="H38" s="105">
        <v>4.5</v>
      </c>
      <c r="I38" s="105">
        <v>0</v>
      </c>
      <c r="J38" s="105">
        <v>29</v>
      </c>
      <c r="K38" s="105" t="s">
        <v>344</v>
      </c>
      <c r="L38" s="105" t="s">
        <v>345</v>
      </c>
      <c r="M38" s="107">
        <v>90</v>
      </c>
      <c r="N38" s="105">
        <v>92</v>
      </c>
      <c r="O38" s="107" t="s">
        <v>346</v>
      </c>
      <c r="P38" s="105" t="s">
        <v>348</v>
      </c>
      <c r="Q38" s="107" t="s">
        <v>359</v>
      </c>
      <c r="R38" s="105" t="s">
        <v>360</v>
      </c>
      <c r="S38" s="105" t="s">
        <v>361</v>
      </c>
      <c r="T38" s="45"/>
    </row>
    <row r="39" spans="1:20" ht="63.75">
      <c r="A39" s="42">
        <v>38</v>
      </c>
      <c r="B39" s="105" t="s">
        <v>304</v>
      </c>
      <c r="C39" s="105" t="s">
        <v>362</v>
      </c>
      <c r="D39" s="105" t="s">
        <v>405</v>
      </c>
      <c r="E39" s="108" t="s">
        <v>406</v>
      </c>
      <c r="F39" s="106" t="s">
        <v>342</v>
      </c>
      <c r="G39" s="105" t="s">
        <v>343</v>
      </c>
      <c r="H39" s="105">
        <v>4.5</v>
      </c>
      <c r="I39" s="105">
        <v>0</v>
      </c>
      <c r="J39" s="105">
        <v>29</v>
      </c>
      <c r="K39" s="105" t="s">
        <v>344</v>
      </c>
      <c r="L39" s="105" t="s">
        <v>345</v>
      </c>
      <c r="M39" s="107">
        <v>90</v>
      </c>
      <c r="N39" s="105">
        <v>92</v>
      </c>
      <c r="O39" s="107" t="s">
        <v>346</v>
      </c>
      <c r="P39" s="105" t="s">
        <v>349</v>
      </c>
      <c r="Q39" s="107" t="s">
        <v>359</v>
      </c>
      <c r="R39" s="105" t="s">
        <v>360</v>
      </c>
      <c r="S39" s="105" t="s">
        <v>361</v>
      </c>
      <c r="T39" s="45"/>
    </row>
    <row r="40" spans="1:20" ht="63.75">
      <c r="A40" s="42">
        <v>39</v>
      </c>
      <c r="B40" s="105" t="s">
        <v>304</v>
      </c>
      <c r="C40" s="105" t="s">
        <v>362</v>
      </c>
      <c r="D40" s="105" t="s">
        <v>407</v>
      </c>
      <c r="E40" s="108" t="s">
        <v>408</v>
      </c>
      <c r="F40" s="106" t="s">
        <v>342</v>
      </c>
      <c r="G40" s="105" t="s">
        <v>343</v>
      </c>
      <c r="H40" s="105">
        <v>4.5</v>
      </c>
      <c r="I40" s="105">
        <v>0</v>
      </c>
      <c r="J40" s="105">
        <v>29</v>
      </c>
      <c r="K40" s="105" t="s">
        <v>344</v>
      </c>
      <c r="L40" s="105" t="s">
        <v>345</v>
      </c>
      <c r="M40" s="107">
        <v>90</v>
      </c>
      <c r="N40" s="105">
        <v>92</v>
      </c>
      <c r="O40" s="107" t="s">
        <v>346</v>
      </c>
      <c r="P40" s="105" t="s">
        <v>349</v>
      </c>
      <c r="Q40" s="107" t="s">
        <v>359</v>
      </c>
      <c r="R40" s="105" t="s">
        <v>360</v>
      </c>
      <c r="S40" s="105" t="s">
        <v>361</v>
      </c>
      <c r="T40" s="45"/>
    </row>
    <row r="41" spans="1:20" ht="51">
      <c r="A41" s="42">
        <v>40</v>
      </c>
      <c r="B41" s="105" t="s">
        <v>304</v>
      </c>
      <c r="C41" s="105" t="s">
        <v>362</v>
      </c>
      <c r="D41" s="105" t="s">
        <v>409</v>
      </c>
      <c r="E41" s="108" t="s">
        <v>410</v>
      </c>
      <c r="F41" s="106" t="s">
        <v>342</v>
      </c>
      <c r="G41" s="105" t="s">
        <v>343</v>
      </c>
      <c r="H41" s="105">
        <v>4.5</v>
      </c>
      <c r="I41" s="105">
        <v>0</v>
      </c>
      <c r="J41" s="105">
        <v>29</v>
      </c>
      <c r="K41" s="105" t="s">
        <v>344</v>
      </c>
      <c r="L41" s="105" t="s">
        <v>345</v>
      </c>
      <c r="M41" s="107">
        <v>90</v>
      </c>
      <c r="N41" s="105">
        <v>92</v>
      </c>
      <c r="O41" s="107" t="s">
        <v>346</v>
      </c>
      <c r="P41" s="105" t="s">
        <v>349</v>
      </c>
      <c r="Q41" s="107" t="s">
        <v>359</v>
      </c>
      <c r="R41" s="105" t="s">
        <v>360</v>
      </c>
      <c r="S41" s="105" t="s">
        <v>361</v>
      </c>
      <c r="T41" s="45"/>
    </row>
    <row r="42" spans="1:20" ht="89.25">
      <c r="A42" s="42">
        <v>41</v>
      </c>
      <c r="B42" s="105" t="s">
        <v>304</v>
      </c>
      <c r="C42" s="105" t="s">
        <v>362</v>
      </c>
      <c r="D42" s="105" t="s">
        <v>411</v>
      </c>
      <c r="E42" s="108" t="s">
        <v>412</v>
      </c>
      <c r="F42" s="106" t="s">
        <v>342</v>
      </c>
      <c r="G42" s="105" t="s">
        <v>343</v>
      </c>
      <c r="H42" s="105">
        <v>4.5</v>
      </c>
      <c r="I42" s="105">
        <v>0</v>
      </c>
      <c r="J42" s="105">
        <v>29</v>
      </c>
      <c r="K42" s="105" t="s">
        <v>344</v>
      </c>
      <c r="L42" s="105" t="s">
        <v>345</v>
      </c>
      <c r="M42" s="107">
        <v>90</v>
      </c>
      <c r="N42" s="105">
        <v>92</v>
      </c>
      <c r="O42" s="107" t="s">
        <v>346</v>
      </c>
      <c r="P42" s="105" t="s">
        <v>413</v>
      </c>
      <c r="Q42" s="107" t="s">
        <v>359</v>
      </c>
      <c r="R42" s="105" t="s">
        <v>360</v>
      </c>
      <c r="S42" s="105" t="s">
        <v>361</v>
      </c>
      <c r="T42" s="45"/>
    </row>
    <row r="43" spans="1:20" ht="63.75">
      <c r="A43" s="42">
        <v>42</v>
      </c>
      <c r="B43" s="105" t="s">
        <v>304</v>
      </c>
      <c r="C43" s="105" t="s">
        <v>414</v>
      </c>
      <c r="D43" s="105" t="s">
        <v>415</v>
      </c>
      <c r="E43" s="108" t="s">
        <v>416</v>
      </c>
      <c r="F43" s="106" t="s">
        <v>342</v>
      </c>
      <c r="G43" s="105" t="s">
        <v>343</v>
      </c>
      <c r="H43" s="105">
        <v>4.5</v>
      </c>
      <c r="I43" s="105">
        <v>100</v>
      </c>
      <c r="J43" s="105">
        <v>0</v>
      </c>
      <c r="K43" s="105" t="s">
        <v>344</v>
      </c>
      <c r="L43" s="105" t="s">
        <v>345</v>
      </c>
      <c r="M43" s="107">
        <v>90</v>
      </c>
      <c r="N43" s="105">
        <v>92</v>
      </c>
      <c r="O43" s="107" t="s">
        <v>346</v>
      </c>
      <c r="P43" s="105" t="s">
        <v>347</v>
      </c>
      <c r="Q43" s="107" t="s">
        <v>359</v>
      </c>
      <c r="R43" s="105" t="s">
        <v>360</v>
      </c>
      <c r="S43" s="105" t="s">
        <v>361</v>
      </c>
      <c r="T43" s="45"/>
    </row>
    <row r="44" spans="1:20" ht="89.25">
      <c r="A44" s="42">
        <v>43</v>
      </c>
      <c r="B44" s="105" t="s">
        <v>304</v>
      </c>
      <c r="C44" s="105" t="s">
        <v>414</v>
      </c>
      <c r="D44" s="105" t="s">
        <v>417</v>
      </c>
      <c r="E44" s="108" t="s">
        <v>418</v>
      </c>
      <c r="F44" s="106" t="s">
        <v>342</v>
      </c>
      <c r="G44" s="105" t="s">
        <v>343</v>
      </c>
      <c r="H44" s="105">
        <v>4.5</v>
      </c>
      <c r="I44" s="105">
        <v>100</v>
      </c>
      <c r="J44" s="105">
        <v>0</v>
      </c>
      <c r="K44" s="105" t="s">
        <v>344</v>
      </c>
      <c r="L44" s="105" t="s">
        <v>345</v>
      </c>
      <c r="M44" s="107">
        <v>90</v>
      </c>
      <c r="N44" s="105">
        <v>92</v>
      </c>
      <c r="O44" s="107" t="s">
        <v>346</v>
      </c>
      <c r="P44" s="105" t="s">
        <v>348</v>
      </c>
      <c r="Q44" s="107" t="s">
        <v>359</v>
      </c>
      <c r="R44" s="105" t="s">
        <v>360</v>
      </c>
      <c r="S44" s="105" t="s">
        <v>361</v>
      </c>
      <c r="T44" s="45"/>
    </row>
    <row r="45" spans="1:20" ht="63.75">
      <c r="A45" s="42">
        <v>44</v>
      </c>
      <c r="B45" s="105" t="s">
        <v>304</v>
      </c>
      <c r="C45" s="105" t="s">
        <v>414</v>
      </c>
      <c r="D45" s="105" t="s">
        <v>419</v>
      </c>
      <c r="E45" s="108" t="s">
        <v>420</v>
      </c>
      <c r="F45" s="106" t="s">
        <v>342</v>
      </c>
      <c r="G45" s="105" t="s">
        <v>343</v>
      </c>
      <c r="H45" s="105">
        <v>4.5</v>
      </c>
      <c r="I45" s="105">
        <v>100</v>
      </c>
      <c r="J45" s="105">
        <v>0</v>
      </c>
      <c r="K45" s="105" t="s">
        <v>344</v>
      </c>
      <c r="L45" s="105" t="s">
        <v>345</v>
      </c>
      <c r="M45" s="107">
        <v>90</v>
      </c>
      <c r="N45" s="105">
        <v>92</v>
      </c>
      <c r="O45" s="107" t="s">
        <v>346</v>
      </c>
      <c r="P45" s="105" t="s">
        <v>348</v>
      </c>
      <c r="Q45" s="107" t="s">
        <v>359</v>
      </c>
      <c r="R45" s="105" t="s">
        <v>360</v>
      </c>
      <c r="S45" s="105" t="s">
        <v>361</v>
      </c>
      <c r="T45" s="45"/>
    </row>
    <row r="46" spans="1:20" ht="76.5">
      <c r="A46" s="42">
        <v>45</v>
      </c>
      <c r="B46" s="105" t="s">
        <v>304</v>
      </c>
      <c r="C46" s="105" t="s">
        <v>414</v>
      </c>
      <c r="D46" s="105" t="s">
        <v>421</v>
      </c>
      <c r="E46" s="108" t="s">
        <v>422</v>
      </c>
      <c r="F46" s="106" t="s">
        <v>342</v>
      </c>
      <c r="G46" s="105" t="s">
        <v>343</v>
      </c>
      <c r="H46" s="105">
        <v>4.5</v>
      </c>
      <c r="I46" s="105">
        <v>100</v>
      </c>
      <c r="J46" s="105">
        <v>0</v>
      </c>
      <c r="K46" s="105" t="s">
        <v>344</v>
      </c>
      <c r="L46" s="105" t="s">
        <v>345</v>
      </c>
      <c r="M46" s="107">
        <v>90</v>
      </c>
      <c r="N46" s="105">
        <v>92</v>
      </c>
      <c r="O46" s="107" t="s">
        <v>346</v>
      </c>
      <c r="P46" s="105" t="s">
        <v>348</v>
      </c>
      <c r="Q46" s="107" t="s">
        <v>359</v>
      </c>
      <c r="R46" s="105" t="s">
        <v>360</v>
      </c>
      <c r="S46" s="105" t="s">
        <v>361</v>
      </c>
      <c r="T46" s="45"/>
    </row>
    <row r="47" spans="1:20" ht="76.5">
      <c r="A47" s="42">
        <v>46</v>
      </c>
      <c r="B47" s="105" t="s">
        <v>304</v>
      </c>
      <c r="C47" s="105" t="s">
        <v>414</v>
      </c>
      <c r="D47" s="105" t="s">
        <v>325</v>
      </c>
      <c r="E47" s="108" t="s">
        <v>423</v>
      </c>
      <c r="F47" s="106" t="s">
        <v>342</v>
      </c>
      <c r="G47" s="105" t="s">
        <v>343</v>
      </c>
      <c r="H47" s="105">
        <v>4.5</v>
      </c>
      <c r="I47" s="105">
        <v>100</v>
      </c>
      <c r="J47" s="105">
        <v>0</v>
      </c>
      <c r="K47" s="105" t="s">
        <v>344</v>
      </c>
      <c r="L47" s="105" t="s">
        <v>345</v>
      </c>
      <c r="M47" s="107">
        <v>90</v>
      </c>
      <c r="N47" s="105">
        <v>92</v>
      </c>
      <c r="O47" s="107" t="s">
        <v>346</v>
      </c>
      <c r="P47" s="105" t="s">
        <v>347</v>
      </c>
      <c r="Q47" s="107" t="s">
        <v>359</v>
      </c>
      <c r="R47" s="105" t="s">
        <v>360</v>
      </c>
      <c r="S47" s="105" t="s">
        <v>361</v>
      </c>
      <c r="T47" s="45"/>
    </row>
    <row r="48" spans="1:20" ht="63.75">
      <c r="A48" s="42">
        <v>47</v>
      </c>
      <c r="B48" s="105" t="s">
        <v>304</v>
      </c>
      <c r="C48" s="105" t="s">
        <v>414</v>
      </c>
      <c r="D48" s="105" t="s">
        <v>424</v>
      </c>
      <c r="E48" s="108" t="s">
        <v>425</v>
      </c>
      <c r="F48" s="106" t="s">
        <v>342</v>
      </c>
      <c r="G48" s="105" t="s">
        <v>343</v>
      </c>
      <c r="H48" s="105">
        <v>4.5</v>
      </c>
      <c r="I48" s="105">
        <v>100</v>
      </c>
      <c r="J48" s="105">
        <v>9</v>
      </c>
      <c r="K48" s="105" t="s">
        <v>344</v>
      </c>
      <c r="L48" s="105" t="s">
        <v>345</v>
      </c>
      <c r="M48" s="107">
        <v>90</v>
      </c>
      <c r="N48" s="105">
        <v>92</v>
      </c>
      <c r="O48" s="107" t="s">
        <v>346</v>
      </c>
      <c r="P48" s="105" t="s">
        <v>348</v>
      </c>
      <c r="Q48" s="107" t="s">
        <v>359</v>
      </c>
      <c r="R48" s="105" t="s">
        <v>360</v>
      </c>
      <c r="S48" s="105" t="s">
        <v>361</v>
      </c>
      <c r="T48" s="45"/>
    </row>
    <row r="49" spans="1:20" ht="63.75">
      <c r="A49" s="42">
        <v>48</v>
      </c>
      <c r="B49" s="105" t="s">
        <v>304</v>
      </c>
      <c r="C49" s="105" t="s">
        <v>414</v>
      </c>
      <c r="D49" s="105" t="s">
        <v>426</v>
      </c>
      <c r="E49" s="108" t="s">
        <v>427</v>
      </c>
      <c r="F49" s="106" t="s">
        <v>342</v>
      </c>
      <c r="G49" s="105" t="s">
        <v>343</v>
      </c>
      <c r="H49" s="105">
        <v>4.5</v>
      </c>
      <c r="I49" s="105">
        <v>100</v>
      </c>
      <c r="J49" s="105">
        <v>9</v>
      </c>
      <c r="K49" s="105" t="s">
        <v>344</v>
      </c>
      <c r="L49" s="105" t="s">
        <v>345</v>
      </c>
      <c r="M49" s="107">
        <v>90</v>
      </c>
      <c r="N49" s="105">
        <v>92</v>
      </c>
      <c r="O49" s="107" t="s">
        <v>346</v>
      </c>
      <c r="P49" s="105" t="s">
        <v>347</v>
      </c>
      <c r="Q49" s="107" t="s">
        <v>359</v>
      </c>
      <c r="R49" s="105" t="s">
        <v>360</v>
      </c>
      <c r="S49" s="105" t="s">
        <v>361</v>
      </c>
      <c r="T49" s="45"/>
    </row>
    <row r="50" spans="1:20" ht="63.75">
      <c r="A50" s="42">
        <v>49</v>
      </c>
      <c r="B50" s="105" t="s">
        <v>304</v>
      </c>
      <c r="C50" s="105" t="s">
        <v>414</v>
      </c>
      <c r="D50" s="105" t="s">
        <v>428</v>
      </c>
      <c r="E50" s="108" t="s">
        <v>429</v>
      </c>
      <c r="F50" s="106" t="s">
        <v>342</v>
      </c>
      <c r="G50" s="105" t="s">
        <v>343</v>
      </c>
      <c r="H50" s="105">
        <v>4.5</v>
      </c>
      <c r="I50" s="105">
        <v>100</v>
      </c>
      <c r="J50" s="105">
        <v>0</v>
      </c>
      <c r="K50" s="105" t="s">
        <v>344</v>
      </c>
      <c r="L50" s="105" t="s">
        <v>345</v>
      </c>
      <c r="M50" s="107">
        <v>90</v>
      </c>
      <c r="N50" s="105">
        <v>92</v>
      </c>
      <c r="O50" s="107" t="s">
        <v>346</v>
      </c>
      <c r="P50" s="105" t="s">
        <v>430</v>
      </c>
      <c r="Q50" s="107" t="s">
        <v>359</v>
      </c>
      <c r="R50" s="105" t="s">
        <v>360</v>
      </c>
      <c r="S50" s="105" t="s">
        <v>361</v>
      </c>
      <c r="T50" s="45"/>
    </row>
    <row r="51" spans="1:20" ht="76.5">
      <c r="A51" s="42">
        <v>50</v>
      </c>
      <c r="B51" s="105" t="s">
        <v>304</v>
      </c>
      <c r="C51" s="105" t="s">
        <v>414</v>
      </c>
      <c r="D51" s="105" t="s">
        <v>431</v>
      </c>
      <c r="E51" s="108" t="s">
        <v>432</v>
      </c>
      <c r="F51" s="106" t="s">
        <v>342</v>
      </c>
      <c r="G51" s="105" t="s">
        <v>343</v>
      </c>
      <c r="H51" s="105">
        <v>4.5</v>
      </c>
      <c r="I51" s="105">
        <v>100</v>
      </c>
      <c r="J51" s="105">
        <v>0</v>
      </c>
      <c r="K51" s="105" t="s">
        <v>344</v>
      </c>
      <c r="L51" s="105" t="s">
        <v>345</v>
      </c>
      <c r="M51" s="107">
        <v>90</v>
      </c>
      <c r="N51" s="105">
        <v>92</v>
      </c>
      <c r="O51" s="107" t="s">
        <v>346</v>
      </c>
      <c r="P51" s="105" t="s">
        <v>349</v>
      </c>
      <c r="Q51" s="107" t="s">
        <v>359</v>
      </c>
      <c r="R51" s="105" t="s">
        <v>360</v>
      </c>
      <c r="S51" s="105" t="s">
        <v>361</v>
      </c>
      <c r="T51" s="45"/>
    </row>
    <row r="52" spans="1:20" ht="63.75">
      <c r="A52" s="42">
        <v>51</v>
      </c>
      <c r="B52" s="105" t="s">
        <v>304</v>
      </c>
      <c r="C52" s="105" t="s">
        <v>414</v>
      </c>
      <c r="D52" s="105" t="s">
        <v>419</v>
      </c>
      <c r="E52" s="108" t="s">
        <v>433</v>
      </c>
      <c r="F52" s="106" t="s">
        <v>342</v>
      </c>
      <c r="G52" s="105" t="s">
        <v>343</v>
      </c>
      <c r="H52" s="105">
        <v>4.5</v>
      </c>
      <c r="I52" s="105">
        <v>100</v>
      </c>
      <c r="J52" s="105">
        <v>0</v>
      </c>
      <c r="K52" s="105" t="s">
        <v>344</v>
      </c>
      <c r="L52" s="105" t="s">
        <v>345</v>
      </c>
      <c r="M52" s="107">
        <v>90</v>
      </c>
      <c r="N52" s="105">
        <v>92</v>
      </c>
      <c r="O52" s="107" t="s">
        <v>346</v>
      </c>
      <c r="P52" s="105" t="s">
        <v>347</v>
      </c>
      <c r="Q52" s="107" t="s">
        <v>359</v>
      </c>
      <c r="R52" s="105" t="s">
        <v>360</v>
      </c>
      <c r="S52" s="105" t="s">
        <v>361</v>
      </c>
      <c r="T52" s="45"/>
    </row>
    <row r="53" spans="1:20" ht="63.75">
      <c r="A53" s="42">
        <v>52</v>
      </c>
      <c r="B53" s="105" t="s">
        <v>304</v>
      </c>
      <c r="C53" s="105" t="s">
        <v>414</v>
      </c>
      <c r="D53" s="105" t="s">
        <v>434</v>
      </c>
      <c r="E53" s="108" t="s">
        <v>435</v>
      </c>
      <c r="F53" s="106" t="s">
        <v>342</v>
      </c>
      <c r="G53" s="105" t="s">
        <v>343</v>
      </c>
      <c r="H53" s="105">
        <v>4.5</v>
      </c>
      <c r="I53" s="105">
        <v>100</v>
      </c>
      <c r="J53" s="105">
        <v>0</v>
      </c>
      <c r="K53" s="105" t="s">
        <v>344</v>
      </c>
      <c r="L53" s="105" t="s">
        <v>345</v>
      </c>
      <c r="M53" s="107">
        <v>90</v>
      </c>
      <c r="N53" s="105">
        <v>92</v>
      </c>
      <c r="O53" s="107" t="s">
        <v>346</v>
      </c>
      <c r="P53" s="105" t="s">
        <v>348</v>
      </c>
      <c r="Q53" s="107" t="s">
        <v>359</v>
      </c>
      <c r="R53" s="105" t="s">
        <v>360</v>
      </c>
      <c r="S53" s="105" t="s">
        <v>361</v>
      </c>
      <c r="T53" s="45"/>
    </row>
    <row r="54" spans="1:20" ht="63.75">
      <c r="A54" s="42">
        <v>53</v>
      </c>
      <c r="B54" s="105" t="s">
        <v>304</v>
      </c>
      <c r="C54" s="105" t="s">
        <v>414</v>
      </c>
      <c r="D54" s="105" t="s">
        <v>436</v>
      </c>
      <c r="E54" s="108" t="s">
        <v>437</v>
      </c>
      <c r="F54" s="106" t="s">
        <v>342</v>
      </c>
      <c r="G54" s="105" t="s">
        <v>343</v>
      </c>
      <c r="H54" s="105">
        <v>4.5</v>
      </c>
      <c r="I54" s="105">
        <v>100</v>
      </c>
      <c r="J54" s="105">
        <v>0</v>
      </c>
      <c r="K54" s="105" t="s">
        <v>344</v>
      </c>
      <c r="L54" s="105" t="s">
        <v>345</v>
      </c>
      <c r="M54" s="107">
        <v>90</v>
      </c>
      <c r="N54" s="105">
        <v>92</v>
      </c>
      <c r="O54" s="107" t="s">
        <v>346</v>
      </c>
      <c r="P54" s="105" t="s">
        <v>348</v>
      </c>
      <c r="Q54" s="107" t="s">
        <v>359</v>
      </c>
      <c r="R54" s="105" t="s">
        <v>360</v>
      </c>
      <c r="S54" s="105" t="s">
        <v>361</v>
      </c>
      <c r="T54" s="45"/>
    </row>
    <row r="55" spans="1:20" ht="76.5">
      <c r="A55" s="42">
        <v>54</v>
      </c>
      <c r="B55" s="105" t="s">
        <v>304</v>
      </c>
      <c r="C55" s="105" t="s">
        <v>414</v>
      </c>
      <c r="D55" s="105" t="s">
        <v>438</v>
      </c>
      <c r="E55" s="108" t="s">
        <v>439</v>
      </c>
      <c r="F55" s="106" t="s">
        <v>342</v>
      </c>
      <c r="G55" s="105" t="s">
        <v>343</v>
      </c>
      <c r="H55" s="105">
        <v>4.5</v>
      </c>
      <c r="I55" s="105">
        <v>100</v>
      </c>
      <c r="J55" s="105">
        <v>0</v>
      </c>
      <c r="K55" s="105" t="s">
        <v>344</v>
      </c>
      <c r="L55" s="105" t="s">
        <v>345</v>
      </c>
      <c r="M55" s="107">
        <v>90</v>
      </c>
      <c r="N55" s="105">
        <v>92</v>
      </c>
      <c r="O55" s="107" t="s">
        <v>346</v>
      </c>
      <c r="P55" s="105" t="s">
        <v>440</v>
      </c>
      <c r="Q55" s="107" t="s">
        <v>359</v>
      </c>
      <c r="R55" s="105" t="s">
        <v>360</v>
      </c>
      <c r="S55" s="105" t="s">
        <v>361</v>
      </c>
      <c r="T55" s="45"/>
    </row>
    <row r="56" spans="1:20" ht="89.25">
      <c r="A56" s="42">
        <v>55</v>
      </c>
      <c r="B56" s="105" t="s">
        <v>304</v>
      </c>
      <c r="C56" s="105" t="s">
        <v>414</v>
      </c>
      <c r="D56" s="105" t="s">
        <v>441</v>
      </c>
      <c r="E56" s="108" t="s">
        <v>442</v>
      </c>
      <c r="F56" s="106" t="s">
        <v>342</v>
      </c>
      <c r="G56" s="105" t="s">
        <v>343</v>
      </c>
      <c r="H56" s="105">
        <v>4.5</v>
      </c>
      <c r="I56" s="105">
        <v>100</v>
      </c>
      <c r="J56" s="105">
        <v>0</v>
      </c>
      <c r="K56" s="105" t="s">
        <v>344</v>
      </c>
      <c r="L56" s="105" t="s">
        <v>345</v>
      </c>
      <c r="M56" s="107">
        <v>90</v>
      </c>
      <c r="N56" s="105">
        <v>92</v>
      </c>
      <c r="O56" s="107" t="s">
        <v>346</v>
      </c>
      <c r="P56" s="105" t="s">
        <v>348</v>
      </c>
      <c r="Q56" s="107" t="s">
        <v>359</v>
      </c>
      <c r="R56" s="105" t="s">
        <v>360</v>
      </c>
      <c r="S56" s="105" t="s">
        <v>361</v>
      </c>
      <c r="T56" s="45"/>
    </row>
    <row r="57" spans="1:20" ht="76.5">
      <c r="A57" s="42">
        <v>56</v>
      </c>
      <c r="B57" s="105" t="s">
        <v>304</v>
      </c>
      <c r="C57" s="105" t="s">
        <v>414</v>
      </c>
      <c r="D57" s="105" t="s">
        <v>443</v>
      </c>
      <c r="E57" s="108" t="s">
        <v>444</v>
      </c>
      <c r="F57" s="106" t="s">
        <v>342</v>
      </c>
      <c r="G57" s="105" t="s">
        <v>343</v>
      </c>
      <c r="H57" s="105">
        <v>4.5</v>
      </c>
      <c r="I57" s="105">
        <v>100</v>
      </c>
      <c r="J57" s="105">
        <v>0</v>
      </c>
      <c r="K57" s="105" t="s">
        <v>344</v>
      </c>
      <c r="L57" s="105" t="s">
        <v>345</v>
      </c>
      <c r="M57" s="107">
        <v>90</v>
      </c>
      <c r="N57" s="105">
        <v>92</v>
      </c>
      <c r="O57" s="107" t="s">
        <v>346</v>
      </c>
      <c r="P57" s="105" t="s">
        <v>348</v>
      </c>
      <c r="Q57" s="107" t="s">
        <v>359</v>
      </c>
      <c r="R57" s="105" t="s">
        <v>360</v>
      </c>
      <c r="S57" s="105" t="s">
        <v>361</v>
      </c>
      <c r="T57" s="45"/>
    </row>
    <row r="58" spans="1:20" ht="63.75">
      <c r="A58" s="42">
        <v>57</v>
      </c>
      <c r="B58" s="105" t="s">
        <v>304</v>
      </c>
      <c r="C58" s="105" t="s">
        <v>414</v>
      </c>
      <c r="D58" s="105" t="s">
        <v>445</v>
      </c>
      <c r="E58" s="108" t="s">
        <v>446</v>
      </c>
      <c r="F58" s="106" t="s">
        <v>342</v>
      </c>
      <c r="G58" s="105" t="s">
        <v>343</v>
      </c>
      <c r="H58" s="105">
        <v>4.5</v>
      </c>
      <c r="I58" s="105">
        <v>100</v>
      </c>
      <c r="J58" s="105">
        <v>0</v>
      </c>
      <c r="K58" s="105" t="s">
        <v>344</v>
      </c>
      <c r="L58" s="105" t="s">
        <v>345</v>
      </c>
      <c r="M58" s="107">
        <v>90</v>
      </c>
      <c r="N58" s="105">
        <v>92</v>
      </c>
      <c r="O58" s="107" t="s">
        <v>346</v>
      </c>
      <c r="P58" s="105" t="s">
        <v>347</v>
      </c>
      <c r="Q58" s="107" t="s">
        <v>359</v>
      </c>
      <c r="R58" s="105" t="s">
        <v>360</v>
      </c>
      <c r="S58" s="105" t="s">
        <v>361</v>
      </c>
      <c r="T58" s="45"/>
    </row>
    <row r="59" spans="1:20" ht="89.25">
      <c r="A59" s="42">
        <v>58</v>
      </c>
      <c r="B59" s="105" t="s">
        <v>304</v>
      </c>
      <c r="C59" s="105" t="s">
        <v>414</v>
      </c>
      <c r="D59" s="105" t="s">
        <v>447</v>
      </c>
      <c r="E59" s="108" t="s">
        <v>448</v>
      </c>
      <c r="F59" s="106" t="s">
        <v>342</v>
      </c>
      <c r="G59" s="105" t="s">
        <v>343</v>
      </c>
      <c r="H59" s="105">
        <v>4.5</v>
      </c>
      <c r="I59" s="105">
        <v>100</v>
      </c>
      <c r="J59" s="105">
        <v>0</v>
      </c>
      <c r="K59" s="105" t="s">
        <v>344</v>
      </c>
      <c r="L59" s="105" t="s">
        <v>345</v>
      </c>
      <c r="M59" s="107">
        <v>90</v>
      </c>
      <c r="N59" s="105">
        <v>92</v>
      </c>
      <c r="O59" s="107" t="s">
        <v>346</v>
      </c>
      <c r="P59" s="105" t="s">
        <v>349</v>
      </c>
      <c r="Q59" s="107" t="s">
        <v>359</v>
      </c>
      <c r="R59" s="105" t="s">
        <v>360</v>
      </c>
      <c r="S59" s="105" t="s">
        <v>361</v>
      </c>
      <c r="T59" s="45"/>
    </row>
    <row r="60" spans="1:20" ht="63.75">
      <c r="A60" s="42">
        <v>59</v>
      </c>
      <c r="B60" s="105" t="s">
        <v>304</v>
      </c>
      <c r="C60" s="105" t="s">
        <v>414</v>
      </c>
      <c r="D60" s="105" t="s">
        <v>306</v>
      </c>
      <c r="E60" s="108" t="s">
        <v>449</v>
      </c>
      <c r="F60" s="106" t="s">
        <v>342</v>
      </c>
      <c r="G60" s="105" t="s">
        <v>343</v>
      </c>
      <c r="H60" s="105">
        <v>4.5</v>
      </c>
      <c r="I60" s="105">
        <v>100</v>
      </c>
      <c r="J60" s="105">
        <v>0</v>
      </c>
      <c r="K60" s="105" t="s">
        <v>344</v>
      </c>
      <c r="L60" s="105" t="s">
        <v>345</v>
      </c>
      <c r="M60" s="107">
        <v>90</v>
      </c>
      <c r="N60" s="105">
        <v>92</v>
      </c>
      <c r="O60" s="107" t="s">
        <v>346</v>
      </c>
      <c r="P60" s="105" t="s">
        <v>348</v>
      </c>
      <c r="Q60" s="107" t="s">
        <v>359</v>
      </c>
      <c r="R60" s="105" t="s">
        <v>360</v>
      </c>
      <c r="S60" s="105" t="s">
        <v>361</v>
      </c>
      <c r="T60" s="45"/>
    </row>
    <row r="61" spans="1:20" ht="76.5">
      <c r="A61" s="42">
        <v>60</v>
      </c>
      <c r="B61" s="105" t="s">
        <v>304</v>
      </c>
      <c r="C61" s="105" t="s">
        <v>414</v>
      </c>
      <c r="D61" s="105" t="s">
        <v>326</v>
      </c>
      <c r="E61" s="108" t="s">
        <v>450</v>
      </c>
      <c r="F61" s="106" t="s">
        <v>342</v>
      </c>
      <c r="G61" s="105" t="s">
        <v>343</v>
      </c>
      <c r="H61" s="105">
        <v>4.5</v>
      </c>
      <c r="I61" s="105">
        <v>100</v>
      </c>
      <c r="J61" s="105">
        <v>9</v>
      </c>
      <c r="K61" s="105" t="s">
        <v>344</v>
      </c>
      <c r="L61" s="105" t="s">
        <v>345</v>
      </c>
      <c r="M61" s="107">
        <v>90</v>
      </c>
      <c r="N61" s="105">
        <v>92</v>
      </c>
      <c r="O61" s="107" t="s">
        <v>346</v>
      </c>
      <c r="P61" s="105" t="s">
        <v>451</v>
      </c>
      <c r="Q61" s="107" t="s">
        <v>359</v>
      </c>
      <c r="R61" s="105" t="s">
        <v>360</v>
      </c>
      <c r="S61" s="105" t="s">
        <v>361</v>
      </c>
      <c r="T61" s="45"/>
    </row>
    <row r="62" spans="1:20" ht="76.5">
      <c r="A62" s="42">
        <v>61</v>
      </c>
      <c r="B62" s="105" t="s">
        <v>304</v>
      </c>
      <c r="C62" s="105" t="s">
        <v>414</v>
      </c>
      <c r="D62" s="105" t="s">
        <v>452</v>
      </c>
      <c r="E62" s="108" t="s">
        <v>453</v>
      </c>
      <c r="F62" s="106" t="s">
        <v>342</v>
      </c>
      <c r="G62" s="105" t="s">
        <v>343</v>
      </c>
      <c r="H62" s="105">
        <v>4.5</v>
      </c>
      <c r="I62" s="105">
        <v>100</v>
      </c>
      <c r="J62" s="105">
        <v>0</v>
      </c>
      <c r="K62" s="105" t="s">
        <v>344</v>
      </c>
      <c r="L62" s="105" t="s">
        <v>345</v>
      </c>
      <c r="M62" s="107">
        <v>90</v>
      </c>
      <c r="N62" s="105">
        <v>92</v>
      </c>
      <c r="O62" s="107" t="s">
        <v>346</v>
      </c>
      <c r="P62" s="105" t="s">
        <v>347</v>
      </c>
      <c r="Q62" s="107" t="s">
        <v>359</v>
      </c>
      <c r="R62" s="105" t="s">
        <v>360</v>
      </c>
      <c r="S62" s="105" t="s">
        <v>361</v>
      </c>
      <c r="T62" s="45"/>
    </row>
    <row r="63" spans="1:20" ht="76.5">
      <c r="A63" s="42">
        <v>62</v>
      </c>
      <c r="B63" s="105" t="s">
        <v>304</v>
      </c>
      <c r="C63" s="105" t="s">
        <v>414</v>
      </c>
      <c r="D63" s="105" t="s">
        <v>454</v>
      </c>
      <c r="E63" s="108" t="s">
        <v>455</v>
      </c>
      <c r="F63" s="106" t="s">
        <v>342</v>
      </c>
      <c r="G63" s="105" t="s">
        <v>343</v>
      </c>
      <c r="H63" s="105">
        <v>4.5</v>
      </c>
      <c r="I63" s="105">
        <v>100</v>
      </c>
      <c r="J63" s="105">
        <v>9</v>
      </c>
      <c r="K63" s="105" t="s">
        <v>344</v>
      </c>
      <c r="L63" s="105" t="s">
        <v>345</v>
      </c>
      <c r="M63" s="107">
        <v>90</v>
      </c>
      <c r="N63" s="105">
        <v>92</v>
      </c>
      <c r="O63" s="107" t="s">
        <v>346</v>
      </c>
      <c r="P63" s="105" t="s">
        <v>348</v>
      </c>
      <c r="Q63" s="107" t="s">
        <v>359</v>
      </c>
      <c r="R63" s="105" t="s">
        <v>360</v>
      </c>
      <c r="S63" s="105" t="s">
        <v>361</v>
      </c>
      <c r="T63" s="45"/>
    </row>
    <row r="64" spans="1:20" ht="89.25">
      <c r="A64" s="42">
        <v>63</v>
      </c>
      <c r="B64" s="105" t="s">
        <v>304</v>
      </c>
      <c r="C64" s="105" t="s">
        <v>414</v>
      </c>
      <c r="D64" s="105" t="s">
        <v>456</v>
      </c>
      <c r="E64" s="108" t="s">
        <v>457</v>
      </c>
      <c r="F64" s="106" t="s">
        <v>342</v>
      </c>
      <c r="G64" s="105" t="s">
        <v>343</v>
      </c>
      <c r="H64" s="105">
        <v>4.5</v>
      </c>
      <c r="I64" s="105">
        <v>100</v>
      </c>
      <c r="J64" s="105">
        <v>9</v>
      </c>
      <c r="K64" s="105" t="s">
        <v>344</v>
      </c>
      <c r="L64" s="105" t="s">
        <v>345</v>
      </c>
      <c r="M64" s="107">
        <v>90</v>
      </c>
      <c r="N64" s="105">
        <v>92</v>
      </c>
      <c r="O64" s="107" t="s">
        <v>346</v>
      </c>
      <c r="P64" s="105" t="s">
        <v>458</v>
      </c>
      <c r="Q64" s="107" t="s">
        <v>359</v>
      </c>
      <c r="R64" s="105" t="s">
        <v>360</v>
      </c>
      <c r="S64" s="105" t="s">
        <v>361</v>
      </c>
      <c r="T64" s="45"/>
    </row>
    <row r="65" spans="1:20" ht="76.5">
      <c r="A65" s="42">
        <v>64</v>
      </c>
      <c r="B65" s="105" t="s">
        <v>304</v>
      </c>
      <c r="C65" s="105" t="s">
        <v>459</v>
      </c>
      <c r="D65" s="105" t="s">
        <v>460</v>
      </c>
      <c r="E65" s="108" t="s">
        <v>461</v>
      </c>
      <c r="F65" s="106" t="s">
        <v>342</v>
      </c>
      <c r="G65" s="105" t="s">
        <v>343</v>
      </c>
      <c r="H65" s="105">
        <v>4.5</v>
      </c>
      <c r="I65" s="105">
        <v>92</v>
      </c>
      <c r="J65" s="105">
        <v>0</v>
      </c>
      <c r="K65" s="105" t="s">
        <v>344</v>
      </c>
      <c r="L65" s="105" t="s">
        <v>345</v>
      </c>
      <c r="M65" s="107">
        <v>90</v>
      </c>
      <c r="N65" s="105">
        <v>92</v>
      </c>
      <c r="O65" s="107" t="s">
        <v>346</v>
      </c>
      <c r="P65" s="105" t="s">
        <v>349</v>
      </c>
      <c r="Q65" s="107" t="s">
        <v>359</v>
      </c>
      <c r="R65" s="105" t="s">
        <v>360</v>
      </c>
      <c r="S65" s="105" t="s">
        <v>361</v>
      </c>
      <c r="T65" s="45"/>
    </row>
    <row r="66" spans="1:20" ht="63.75">
      <c r="A66" s="42">
        <v>65</v>
      </c>
      <c r="B66" s="105" t="s">
        <v>304</v>
      </c>
      <c r="C66" s="105" t="s">
        <v>459</v>
      </c>
      <c r="D66" s="105" t="s">
        <v>462</v>
      </c>
      <c r="E66" s="108" t="s">
        <v>463</v>
      </c>
      <c r="F66" s="106" t="s">
        <v>342</v>
      </c>
      <c r="G66" s="105" t="s">
        <v>343</v>
      </c>
      <c r="H66" s="105">
        <v>4.5</v>
      </c>
      <c r="I66" s="105">
        <v>92</v>
      </c>
      <c r="J66" s="105">
        <v>0</v>
      </c>
      <c r="K66" s="105" t="s">
        <v>344</v>
      </c>
      <c r="L66" s="105" t="s">
        <v>345</v>
      </c>
      <c r="M66" s="107">
        <v>90</v>
      </c>
      <c r="N66" s="105">
        <v>92</v>
      </c>
      <c r="O66" s="107" t="s">
        <v>346</v>
      </c>
      <c r="P66" s="105" t="s">
        <v>348</v>
      </c>
      <c r="Q66" s="107" t="s">
        <v>359</v>
      </c>
      <c r="R66" s="105" t="s">
        <v>360</v>
      </c>
      <c r="S66" s="105" t="s">
        <v>361</v>
      </c>
      <c r="T66" s="45"/>
    </row>
    <row r="67" spans="1:20" ht="63.75">
      <c r="A67" s="42">
        <v>66</v>
      </c>
      <c r="B67" s="105" t="s">
        <v>304</v>
      </c>
      <c r="C67" s="105" t="s">
        <v>459</v>
      </c>
      <c r="D67" s="105" t="s">
        <v>464</v>
      </c>
      <c r="E67" s="108" t="s">
        <v>465</v>
      </c>
      <c r="F67" s="106" t="s">
        <v>342</v>
      </c>
      <c r="G67" s="105" t="s">
        <v>343</v>
      </c>
      <c r="H67" s="105">
        <v>4.5</v>
      </c>
      <c r="I67" s="105">
        <v>92</v>
      </c>
      <c r="J67" s="105">
        <v>0</v>
      </c>
      <c r="K67" s="105" t="s">
        <v>344</v>
      </c>
      <c r="L67" s="105" t="s">
        <v>345</v>
      </c>
      <c r="M67" s="107">
        <v>90</v>
      </c>
      <c r="N67" s="105">
        <v>92</v>
      </c>
      <c r="O67" s="107" t="s">
        <v>346</v>
      </c>
      <c r="P67" s="105" t="s">
        <v>348</v>
      </c>
      <c r="Q67" s="107" t="s">
        <v>359</v>
      </c>
      <c r="R67" s="105" t="s">
        <v>360</v>
      </c>
      <c r="S67" s="105" t="s">
        <v>361</v>
      </c>
      <c r="T67" s="45"/>
    </row>
    <row r="68" spans="1:20" ht="63.75">
      <c r="A68" s="42">
        <v>67</v>
      </c>
      <c r="B68" s="105" t="s">
        <v>304</v>
      </c>
      <c r="C68" s="105" t="s">
        <v>459</v>
      </c>
      <c r="D68" s="105" t="s">
        <v>466</v>
      </c>
      <c r="E68" s="108" t="s">
        <v>467</v>
      </c>
      <c r="F68" s="106" t="s">
        <v>342</v>
      </c>
      <c r="G68" s="105" t="s">
        <v>343</v>
      </c>
      <c r="H68" s="105">
        <v>4.5</v>
      </c>
      <c r="I68" s="105">
        <v>92</v>
      </c>
      <c r="J68" s="105">
        <v>0</v>
      </c>
      <c r="K68" s="105" t="s">
        <v>344</v>
      </c>
      <c r="L68" s="105" t="s">
        <v>345</v>
      </c>
      <c r="M68" s="107">
        <v>90</v>
      </c>
      <c r="N68" s="105">
        <v>92</v>
      </c>
      <c r="O68" s="107" t="s">
        <v>346</v>
      </c>
      <c r="P68" s="105" t="s">
        <v>347</v>
      </c>
      <c r="Q68" s="107" t="s">
        <v>359</v>
      </c>
      <c r="R68" s="105" t="s">
        <v>360</v>
      </c>
      <c r="S68" s="105" t="s">
        <v>361</v>
      </c>
      <c r="T68" s="45"/>
    </row>
    <row r="69" spans="1:20" ht="89.25">
      <c r="A69" s="42">
        <v>68</v>
      </c>
      <c r="B69" s="105" t="s">
        <v>304</v>
      </c>
      <c r="C69" s="105" t="s">
        <v>459</v>
      </c>
      <c r="D69" s="105" t="s">
        <v>468</v>
      </c>
      <c r="E69" s="108" t="s">
        <v>469</v>
      </c>
      <c r="F69" s="106" t="s">
        <v>342</v>
      </c>
      <c r="G69" s="105" t="s">
        <v>343</v>
      </c>
      <c r="H69" s="105">
        <v>4.5</v>
      </c>
      <c r="I69" s="105">
        <v>92</v>
      </c>
      <c r="J69" s="105">
        <v>0</v>
      </c>
      <c r="K69" s="105" t="s">
        <v>344</v>
      </c>
      <c r="L69" s="105" t="s">
        <v>345</v>
      </c>
      <c r="M69" s="107">
        <v>90</v>
      </c>
      <c r="N69" s="105">
        <v>92</v>
      </c>
      <c r="O69" s="107" t="s">
        <v>346</v>
      </c>
      <c r="P69" s="105" t="s">
        <v>348</v>
      </c>
      <c r="Q69" s="107" t="s">
        <v>359</v>
      </c>
      <c r="R69" s="105" t="s">
        <v>360</v>
      </c>
      <c r="S69" s="105" t="s">
        <v>361</v>
      </c>
      <c r="T69" s="45"/>
    </row>
    <row r="70" spans="1:20" ht="89.25">
      <c r="A70" s="42">
        <v>69</v>
      </c>
      <c r="B70" s="105" t="s">
        <v>304</v>
      </c>
      <c r="C70" s="105" t="s">
        <v>459</v>
      </c>
      <c r="D70" s="105" t="s">
        <v>470</v>
      </c>
      <c r="E70" s="108" t="s">
        <v>471</v>
      </c>
      <c r="F70" s="106" t="s">
        <v>342</v>
      </c>
      <c r="G70" s="105" t="s">
        <v>343</v>
      </c>
      <c r="H70" s="105">
        <v>4.5</v>
      </c>
      <c r="I70" s="105">
        <v>92</v>
      </c>
      <c r="J70" s="105">
        <v>0</v>
      </c>
      <c r="K70" s="105" t="s">
        <v>344</v>
      </c>
      <c r="L70" s="105" t="s">
        <v>345</v>
      </c>
      <c r="M70" s="107">
        <v>90</v>
      </c>
      <c r="N70" s="105">
        <v>92</v>
      </c>
      <c r="O70" s="107" t="s">
        <v>346</v>
      </c>
      <c r="P70" s="105" t="s">
        <v>348</v>
      </c>
      <c r="Q70" s="107" t="s">
        <v>359</v>
      </c>
      <c r="R70" s="105" t="s">
        <v>360</v>
      </c>
      <c r="S70" s="105" t="s">
        <v>361</v>
      </c>
      <c r="T70" s="45"/>
    </row>
    <row r="71" spans="1:20" ht="63.75">
      <c r="A71" s="42">
        <v>70</v>
      </c>
      <c r="B71" s="105" t="s">
        <v>304</v>
      </c>
      <c r="C71" s="105" t="s">
        <v>459</v>
      </c>
      <c r="D71" s="105" t="s">
        <v>472</v>
      </c>
      <c r="E71" s="108" t="s">
        <v>473</v>
      </c>
      <c r="F71" s="106" t="s">
        <v>342</v>
      </c>
      <c r="G71" s="105" t="s">
        <v>343</v>
      </c>
      <c r="H71" s="105">
        <v>4.5</v>
      </c>
      <c r="I71" s="105">
        <v>92</v>
      </c>
      <c r="J71" s="105">
        <v>0</v>
      </c>
      <c r="K71" s="105" t="s">
        <v>344</v>
      </c>
      <c r="L71" s="105" t="s">
        <v>345</v>
      </c>
      <c r="M71" s="107">
        <v>90</v>
      </c>
      <c r="N71" s="105">
        <v>92</v>
      </c>
      <c r="O71" s="107" t="s">
        <v>346</v>
      </c>
      <c r="P71" s="105" t="s">
        <v>348</v>
      </c>
      <c r="Q71" s="107" t="s">
        <v>359</v>
      </c>
      <c r="R71" s="105" t="s">
        <v>360</v>
      </c>
      <c r="S71" s="105" t="s">
        <v>361</v>
      </c>
      <c r="T71" s="45"/>
    </row>
    <row r="72" spans="1:20" ht="63.75">
      <c r="A72" s="42">
        <v>71</v>
      </c>
      <c r="B72" s="105" t="s">
        <v>304</v>
      </c>
      <c r="C72" s="105" t="s">
        <v>459</v>
      </c>
      <c r="D72" s="105" t="s">
        <v>474</v>
      </c>
      <c r="E72" s="108" t="s">
        <v>475</v>
      </c>
      <c r="F72" s="106" t="s">
        <v>342</v>
      </c>
      <c r="G72" s="105" t="s">
        <v>343</v>
      </c>
      <c r="H72" s="105">
        <v>4.5</v>
      </c>
      <c r="I72" s="105">
        <v>92</v>
      </c>
      <c r="J72" s="105">
        <v>0</v>
      </c>
      <c r="K72" s="105" t="s">
        <v>344</v>
      </c>
      <c r="L72" s="105" t="s">
        <v>345</v>
      </c>
      <c r="M72" s="107">
        <v>90</v>
      </c>
      <c r="N72" s="105">
        <v>92</v>
      </c>
      <c r="O72" s="107" t="s">
        <v>346</v>
      </c>
      <c r="P72" s="105" t="s">
        <v>348</v>
      </c>
      <c r="Q72" s="107" t="s">
        <v>359</v>
      </c>
      <c r="R72" s="105" t="s">
        <v>360</v>
      </c>
      <c r="S72" s="105" t="s">
        <v>361</v>
      </c>
      <c r="T72" s="45"/>
    </row>
    <row r="73" spans="1:20" ht="76.5">
      <c r="A73" s="42">
        <v>72</v>
      </c>
      <c r="B73" s="105" t="s">
        <v>304</v>
      </c>
      <c r="C73" s="105" t="s">
        <v>459</v>
      </c>
      <c r="D73" s="105" t="s">
        <v>476</v>
      </c>
      <c r="E73" s="108" t="s">
        <v>477</v>
      </c>
      <c r="F73" s="106" t="s">
        <v>342</v>
      </c>
      <c r="G73" s="105" t="s">
        <v>343</v>
      </c>
      <c r="H73" s="105">
        <v>4.5</v>
      </c>
      <c r="I73" s="105">
        <v>92</v>
      </c>
      <c r="J73" s="105">
        <v>0</v>
      </c>
      <c r="K73" s="105" t="s">
        <v>344</v>
      </c>
      <c r="L73" s="105" t="s">
        <v>345</v>
      </c>
      <c r="M73" s="107">
        <v>90</v>
      </c>
      <c r="N73" s="105">
        <v>92</v>
      </c>
      <c r="O73" s="107" t="s">
        <v>346</v>
      </c>
      <c r="P73" s="105" t="s">
        <v>348</v>
      </c>
      <c r="Q73" s="107" t="s">
        <v>359</v>
      </c>
      <c r="R73" s="105" t="s">
        <v>360</v>
      </c>
      <c r="S73" s="105" t="s">
        <v>361</v>
      </c>
      <c r="T73" s="45"/>
    </row>
    <row r="74" spans="1:20" ht="76.5">
      <c r="A74" s="42">
        <v>73</v>
      </c>
      <c r="B74" s="105" t="s">
        <v>304</v>
      </c>
      <c r="C74" s="105" t="s">
        <v>459</v>
      </c>
      <c r="D74" s="105" t="s">
        <v>478</v>
      </c>
      <c r="E74" s="108" t="s">
        <v>479</v>
      </c>
      <c r="F74" s="106" t="s">
        <v>342</v>
      </c>
      <c r="G74" s="105" t="s">
        <v>343</v>
      </c>
      <c r="H74" s="105">
        <v>4.5</v>
      </c>
      <c r="I74" s="105">
        <v>92</v>
      </c>
      <c r="J74" s="105">
        <v>0</v>
      </c>
      <c r="K74" s="105" t="s">
        <v>344</v>
      </c>
      <c r="L74" s="105" t="s">
        <v>345</v>
      </c>
      <c r="M74" s="107">
        <v>90</v>
      </c>
      <c r="N74" s="105">
        <v>92</v>
      </c>
      <c r="O74" s="107" t="s">
        <v>346</v>
      </c>
      <c r="P74" s="105" t="s">
        <v>348</v>
      </c>
      <c r="Q74" s="107" t="s">
        <v>359</v>
      </c>
      <c r="R74" s="105" t="s">
        <v>360</v>
      </c>
      <c r="S74" s="105" t="s">
        <v>361</v>
      </c>
      <c r="T74" s="45"/>
    </row>
    <row r="75" spans="1:20" ht="76.5">
      <c r="A75" s="42">
        <v>74</v>
      </c>
      <c r="B75" s="105" t="s">
        <v>304</v>
      </c>
      <c r="C75" s="105" t="s">
        <v>459</v>
      </c>
      <c r="D75" s="105" t="s">
        <v>480</v>
      </c>
      <c r="E75" s="108" t="s">
        <v>481</v>
      </c>
      <c r="F75" s="106" t="s">
        <v>342</v>
      </c>
      <c r="G75" s="105" t="s">
        <v>343</v>
      </c>
      <c r="H75" s="105">
        <v>4.5</v>
      </c>
      <c r="I75" s="105">
        <v>92</v>
      </c>
      <c r="J75" s="105">
        <v>0</v>
      </c>
      <c r="K75" s="105" t="s">
        <v>344</v>
      </c>
      <c r="L75" s="105" t="s">
        <v>345</v>
      </c>
      <c r="M75" s="107">
        <v>90</v>
      </c>
      <c r="N75" s="105">
        <v>92</v>
      </c>
      <c r="O75" s="107" t="s">
        <v>346</v>
      </c>
      <c r="P75" s="105" t="s">
        <v>348</v>
      </c>
      <c r="Q75" s="107" t="s">
        <v>359</v>
      </c>
      <c r="R75" s="105" t="s">
        <v>360</v>
      </c>
      <c r="S75" s="105" t="s">
        <v>361</v>
      </c>
      <c r="T75" s="45"/>
    </row>
    <row r="76" spans="1:20" ht="76.5">
      <c r="A76" s="42">
        <v>75</v>
      </c>
      <c r="B76" s="105" t="s">
        <v>304</v>
      </c>
      <c r="C76" s="105" t="s">
        <v>459</v>
      </c>
      <c r="D76" s="105" t="s">
        <v>482</v>
      </c>
      <c r="E76" s="108" t="s">
        <v>483</v>
      </c>
      <c r="F76" s="106" t="s">
        <v>342</v>
      </c>
      <c r="G76" s="105" t="s">
        <v>343</v>
      </c>
      <c r="H76" s="105">
        <v>4.5</v>
      </c>
      <c r="I76" s="105">
        <v>92</v>
      </c>
      <c r="J76" s="105">
        <v>0</v>
      </c>
      <c r="K76" s="105" t="s">
        <v>344</v>
      </c>
      <c r="L76" s="105" t="s">
        <v>345</v>
      </c>
      <c r="M76" s="107">
        <v>90</v>
      </c>
      <c r="N76" s="105">
        <v>92</v>
      </c>
      <c r="O76" s="107" t="s">
        <v>346</v>
      </c>
      <c r="P76" s="105" t="s">
        <v>348</v>
      </c>
      <c r="Q76" s="107" t="s">
        <v>359</v>
      </c>
      <c r="R76" s="105" t="s">
        <v>360</v>
      </c>
      <c r="S76" s="105" t="s">
        <v>361</v>
      </c>
      <c r="T76" s="45"/>
    </row>
    <row r="77" spans="1:20" ht="76.5">
      <c r="A77" s="42">
        <v>76</v>
      </c>
      <c r="B77" s="105" t="s">
        <v>304</v>
      </c>
      <c r="C77" s="105" t="s">
        <v>459</v>
      </c>
      <c r="D77" s="105" t="s">
        <v>484</v>
      </c>
      <c r="E77" s="108" t="s">
        <v>485</v>
      </c>
      <c r="F77" s="106" t="s">
        <v>342</v>
      </c>
      <c r="G77" s="105" t="s">
        <v>343</v>
      </c>
      <c r="H77" s="105">
        <v>4.5</v>
      </c>
      <c r="I77" s="105">
        <v>92</v>
      </c>
      <c r="J77" s="105">
        <v>0</v>
      </c>
      <c r="K77" s="105" t="s">
        <v>344</v>
      </c>
      <c r="L77" s="105" t="s">
        <v>345</v>
      </c>
      <c r="M77" s="107">
        <v>90</v>
      </c>
      <c r="N77" s="105">
        <v>92</v>
      </c>
      <c r="O77" s="107" t="s">
        <v>346</v>
      </c>
      <c r="P77" s="105" t="s">
        <v>348</v>
      </c>
      <c r="Q77" s="107" t="s">
        <v>359</v>
      </c>
      <c r="R77" s="105" t="s">
        <v>360</v>
      </c>
      <c r="S77" s="105" t="s">
        <v>361</v>
      </c>
      <c r="T77" s="45"/>
    </row>
    <row r="78" spans="1:20" ht="76.5">
      <c r="A78" s="42">
        <v>77</v>
      </c>
      <c r="B78" s="105" t="s">
        <v>304</v>
      </c>
      <c r="C78" s="105" t="s">
        <v>459</v>
      </c>
      <c r="D78" s="105" t="s">
        <v>486</v>
      </c>
      <c r="E78" s="108" t="s">
        <v>487</v>
      </c>
      <c r="F78" s="106" t="s">
        <v>342</v>
      </c>
      <c r="G78" s="105" t="s">
        <v>343</v>
      </c>
      <c r="H78" s="105">
        <v>4.5</v>
      </c>
      <c r="I78" s="105">
        <v>92</v>
      </c>
      <c r="J78" s="105">
        <v>0</v>
      </c>
      <c r="K78" s="105" t="s">
        <v>344</v>
      </c>
      <c r="L78" s="105" t="s">
        <v>345</v>
      </c>
      <c r="M78" s="107">
        <v>90</v>
      </c>
      <c r="N78" s="105">
        <v>92</v>
      </c>
      <c r="O78" s="107" t="s">
        <v>346</v>
      </c>
      <c r="P78" s="105" t="s">
        <v>488</v>
      </c>
      <c r="Q78" s="107" t="s">
        <v>359</v>
      </c>
      <c r="R78" s="105" t="s">
        <v>360</v>
      </c>
      <c r="S78" s="105" t="s">
        <v>361</v>
      </c>
      <c r="T78" s="45"/>
    </row>
    <row r="79" spans="1:20" ht="63.75">
      <c r="A79" s="42">
        <v>78</v>
      </c>
      <c r="B79" s="105" t="s">
        <v>304</v>
      </c>
      <c r="C79" s="105" t="s">
        <v>459</v>
      </c>
      <c r="D79" s="105" t="s">
        <v>489</v>
      </c>
      <c r="E79" s="108" t="s">
        <v>490</v>
      </c>
      <c r="F79" s="106" t="s">
        <v>342</v>
      </c>
      <c r="G79" s="105" t="s">
        <v>343</v>
      </c>
      <c r="H79" s="105">
        <v>4.5</v>
      </c>
      <c r="I79" s="105">
        <v>92</v>
      </c>
      <c r="J79" s="105">
        <v>0</v>
      </c>
      <c r="K79" s="105" t="s">
        <v>344</v>
      </c>
      <c r="L79" s="105" t="s">
        <v>345</v>
      </c>
      <c r="M79" s="107">
        <v>90</v>
      </c>
      <c r="N79" s="105">
        <v>92</v>
      </c>
      <c r="O79" s="107" t="s">
        <v>346</v>
      </c>
      <c r="P79" s="105" t="s">
        <v>349</v>
      </c>
      <c r="Q79" s="107" t="s">
        <v>359</v>
      </c>
      <c r="R79" s="105" t="s">
        <v>360</v>
      </c>
      <c r="S79" s="105" t="s">
        <v>361</v>
      </c>
      <c r="T79" s="45"/>
    </row>
    <row r="80" spans="1:20" ht="63.75">
      <c r="A80" s="42">
        <v>79</v>
      </c>
      <c r="B80" s="105" t="s">
        <v>304</v>
      </c>
      <c r="C80" s="105" t="s">
        <v>459</v>
      </c>
      <c r="D80" s="105" t="s">
        <v>491</v>
      </c>
      <c r="E80" s="108" t="s">
        <v>492</v>
      </c>
      <c r="F80" s="106" t="s">
        <v>342</v>
      </c>
      <c r="G80" s="105" t="s">
        <v>343</v>
      </c>
      <c r="H80" s="105">
        <v>4.5</v>
      </c>
      <c r="I80" s="105">
        <v>92</v>
      </c>
      <c r="J80" s="105">
        <v>4</v>
      </c>
      <c r="K80" s="105" t="s">
        <v>344</v>
      </c>
      <c r="L80" s="105" t="s">
        <v>345</v>
      </c>
      <c r="M80" s="107">
        <v>90</v>
      </c>
      <c r="N80" s="105">
        <v>92</v>
      </c>
      <c r="O80" s="107" t="s">
        <v>346</v>
      </c>
      <c r="P80" s="105" t="s">
        <v>348</v>
      </c>
      <c r="Q80" s="107" t="s">
        <v>359</v>
      </c>
      <c r="R80" s="105" t="s">
        <v>360</v>
      </c>
      <c r="S80" s="105" t="s">
        <v>361</v>
      </c>
      <c r="T80" s="45"/>
    </row>
    <row r="81" spans="1:20" ht="63.75">
      <c r="A81" s="42">
        <v>80</v>
      </c>
      <c r="B81" s="105" t="s">
        <v>304</v>
      </c>
      <c r="C81" s="105" t="s">
        <v>459</v>
      </c>
      <c r="D81" s="105" t="s">
        <v>493</v>
      </c>
      <c r="E81" s="108" t="s">
        <v>494</v>
      </c>
      <c r="F81" s="106" t="s">
        <v>342</v>
      </c>
      <c r="G81" s="105" t="s">
        <v>343</v>
      </c>
      <c r="H81" s="105">
        <v>4.5</v>
      </c>
      <c r="I81" s="105">
        <v>92</v>
      </c>
      <c r="J81" s="105">
        <v>0</v>
      </c>
      <c r="K81" s="105" t="s">
        <v>344</v>
      </c>
      <c r="L81" s="105" t="s">
        <v>345</v>
      </c>
      <c r="M81" s="107">
        <v>90</v>
      </c>
      <c r="N81" s="105">
        <v>92</v>
      </c>
      <c r="O81" s="107" t="s">
        <v>346</v>
      </c>
      <c r="P81" s="105" t="s">
        <v>495</v>
      </c>
      <c r="Q81" s="107" t="s">
        <v>359</v>
      </c>
      <c r="R81" s="105" t="s">
        <v>360</v>
      </c>
      <c r="S81" s="105" t="s">
        <v>361</v>
      </c>
      <c r="T81" s="45"/>
    </row>
    <row r="82" spans="1:20" ht="51">
      <c r="A82" s="42">
        <v>81</v>
      </c>
      <c r="B82" s="105" t="s">
        <v>304</v>
      </c>
      <c r="C82" s="105" t="s">
        <v>496</v>
      </c>
      <c r="D82" s="105" t="s">
        <v>497</v>
      </c>
      <c r="E82" s="108" t="s">
        <v>498</v>
      </c>
      <c r="F82" s="106" t="s">
        <v>499</v>
      </c>
      <c r="G82" s="105" t="s">
        <v>343</v>
      </c>
      <c r="H82" s="105">
        <v>4.5</v>
      </c>
      <c r="I82" s="105">
        <v>15</v>
      </c>
      <c r="J82" s="105">
        <v>0</v>
      </c>
      <c r="K82" s="105" t="s">
        <v>344</v>
      </c>
      <c r="L82" s="105" t="s">
        <v>345</v>
      </c>
      <c r="M82" s="107">
        <v>90</v>
      </c>
      <c r="N82" s="105">
        <v>92</v>
      </c>
      <c r="O82" s="107" t="s">
        <v>346</v>
      </c>
      <c r="P82" s="105" t="s">
        <v>500</v>
      </c>
      <c r="Q82" s="107" t="s">
        <v>501</v>
      </c>
      <c r="R82" s="105" t="s">
        <v>360</v>
      </c>
      <c r="S82" s="105" t="s">
        <v>361</v>
      </c>
      <c r="T82" s="45"/>
    </row>
    <row r="83" spans="1:20" ht="51">
      <c r="A83" s="42">
        <v>82</v>
      </c>
      <c r="B83" s="105" t="s">
        <v>304</v>
      </c>
      <c r="C83" s="105" t="s">
        <v>496</v>
      </c>
      <c r="D83" s="105" t="s">
        <v>502</v>
      </c>
      <c r="E83" s="108" t="s">
        <v>503</v>
      </c>
      <c r="F83" s="106" t="s">
        <v>499</v>
      </c>
      <c r="G83" s="105" t="s">
        <v>343</v>
      </c>
      <c r="H83" s="105">
        <v>4.5</v>
      </c>
      <c r="I83" s="105">
        <v>15</v>
      </c>
      <c r="J83" s="105">
        <v>60</v>
      </c>
      <c r="K83" s="105" t="s">
        <v>344</v>
      </c>
      <c r="L83" s="105" t="s">
        <v>345</v>
      </c>
      <c r="M83" s="107">
        <v>90</v>
      </c>
      <c r="N83" s="105">
        <v>92</v>
      </c>
      <c r="O83" s="107" t="s">
        <v>346</v>
      </c>
      <c r="P83" s="105" t="s">
        <v>500</v>
      </c>
      <c r="Q83" s="107" t="s">
        <v>501</v>
      </c>
      <c r="R83" s="105" t="s">
        <v>360</v>
      </c>
      <c r="S83" s="105" t="s">
        <v>361</v>
      </c>
      <c r="T83" s="45"/>
    </row>
    <row r="84" spans="1:20" ht="51">
      <c r="A84" s="42">
        <v>83</v>
      </c>
      <c r="B84" s="105" t="s">
        <v>304</v>
      </c>
      <c r="C84" s="105" t="s">
        <v>496</v>
      </c>
      <c r="D84" s="105" t="s">
        <v>504</v>
      </c>
      <c r="E84" s="108" t="s">
        <v>505</v>
      </c>
      <c r="F84" s="106" t="s">
        <v>499</v>
      </c>
      <c r="G84" s="105" t="s">
        <v>343</v>
      </c>
      <c r="H84" s="105">
        <v>4.5</v>
      </c>
      <c r="I84" s="105">
        <v>0</v>
      </c>
      <c r="J84" s="105">
        <v>60</v>
      </c>
      <c r="K84" s="105" t="s">
        <v>344</v>
      </c>
      <c r="L84" s="105" t="s">
        <v>345</v>
      </c>
      <c r="M84" s="107">
        <v>90</v>
      </c>
      <c r="N84" s="105">
        <v>92</v>
      </c>
      <c r="O84" s="107" t="s">
        <v>346</v>
      </c>
      <c r="P84" s="105" t="s">
        <v>506</v>
      </c>
      <c r="Q84" s="107" t="s">
        <v>501</v>
      </c>
      <c r="R84" s="105" t="s">
        <v>360</v>
      </c>
      <c r="S84" s="105" t="s">
        <v>361</v>
      </c>
      <c r="T84" s="45"/>
    </row>
    <row r="85" spans="1:20" ht="51">
      <c r="A85" s="42">
        <v>84</v>
      </c>
      <c r="B85" s="105" t="s">
        <v>304</v>
      </c>
      <c r="C85" s="105" t="s">
        <v>496</v>
      </c>
      <c r="D85" s="105" t="s">
        <v>507</v>
      </c>
      <c r="E85" s="108" t="s">
        <v>508</v>
      </c>
      <c r="F85" s="106" t="s">
        <v>499</v>
      </c>
      <c r="G85" s="105" t="s">
        <v>343</v>
      </c>
      <c r="H85" s="105">
        <v>4.5</v>
      </c>
      <c r="I85" s="105">
        <v>0</v>
      </c>
      <c r="J85" s="105">
        <v>60</v>
      </c>
      <c r="K85" s="105" t="s">
        <v>344</v>
      </c>
      <c r="L85" s="105" t="s">
        <v>345</v>
      </c>
      <c r="M85" s="107">
        <v>90</v>
      </c>
      <c r="N85" s="105">
        <v>92</v>
      </c>
      <c r="O85" s="107" t="s">
        <v>346</v>
      </c>
      <c r="P85" s="105" t="s">
        <v>349</v>
      </c>
      <c r="Q85" s="107" t="s">
        <v>501</v>
      </c>
      <c r="R85" s="105" t="s">
        <v>360</v>
      </c>
      <c r="S85" s="105" t="s">
        <v>361</v>
      </c>
      <c r="T85" s="45"/>
    </row>
    <row r="86" spans="1:20" ht="51">
      <c r="A86" s="42">
        <v>85</v>
      </c>
      <c r="B86" s="105" t="s">
        <v>304</v>
      </c>
      <c r="C86" s="105" t="s">
        <v>496</v>
      </c>
      <c r="D86" s="105" t="s">
        <v>509</v>
      </c>
      <c r="E86" s="108" t="s">
        <v>510</v>
      </c>
      <c r="F86" s="106" t="s">
        <v>499</v>
      </c>
      <c r="G86" s="105" t="s">
        <v>343</v>
      </c>
      <c r="H86" s="105">
        <v>4.5</v>
      </c>
      <c r="I86" s="105">
        <v>0</v>
      </c>
      <c r="J86" s="105">
        <v>60</v>
      </c>
      <c r="K86" s="105" t="s">
        <v>344</v>
      </c>
      <c r="L86" s="105" t="s">
        <v>345</v>
      </c>
      <c r="M86" s="107">
        <v>90</v>
      </c>
      <c r="N86" s="105">
        <v>92</v>
      </c>
      <c r="O86" s="107" t="s">
        <v>346</v>
      </c>
      <c r="P86" s="105" t="s">
        <v>511</v>
      </c>
      <c r="Q86" s="107" t="s">
        <v>501</v>
      </c>
      <c r="R86" s="105" t="s">
        <v>360</v>
      </c>
      <c r="S86" s="105" t="s">
        <v>361</v>
      </c>
      <c r="T86" s="45"/>
    </row>
    <row r="87" spans="1:20" ht="51">
      <c r="A87" s="42">
        <v>86</v>
      </c>
      <c r="B87" s="105" t="s">
        <v>304</v>
      </c>
      <c r="C87" s="105" t="s">
        <v>496</v>
      </c>
      <c r="D87" s="105" t="s">
        <v>512</v>
      </c>
      <c r="E87" s="108" t="s">
        <v>513</v>
      </c>
      <c r="F87" s="106" t="s">
        <v>499</v>
      </c>
      <c r="G87" s="105" t="s">
        <v>343</v>
      </c>
      <c r="H87" s="105">
        <v>4.5</v>
      </c>
      <c r="I87" s="105">
        <v>15</v>
      </c>
      <c r="J87" s="105">
        <v>0</v>
      </c>
      <c r="K87" s="105" t="s">
        <v>344</v>
      </c>
      <c r="L87" s="105" t="s">
        <v>345</v>
      </c>
      <c r="M87" s="107">
        <v>90</v>
      </c>
      <c r="N87" s="105">
        <v>92</v>
      </c>
      <c r="O87" s="107" t="s">
        <v>346</v>
      </c>
      <c r="P87" s="105" t="s">
        <v>514</v>
      </c>
      <c r="Q87" s="107" t="s">
        <v>501</v>
      </c>
      <c r="R87" s="105" t="s">
        <v>360</v>
      </c>
      <c r="S87" s="105" t="s">
        <v>361</v>
      </c>
      <c r="T87" s="45"/>
    </row>
    <row r="88" spans="1:20" ht="51">
      <c r="A88" s="42">
        <v>87</v>
      </c>
      <c r="B88" s="105" t="s">
        <v>304</v>
      </c>
      <c r="C88" s="105" t="s">
        <v>496</v>
      </c>
      <c r="D88" s="105" t="s">
        <v>515</v>
      </c>
      <c r="E88" s="108" t="s">
        <v>516</v>
      </c>
      <c r="F88" s="106" t="s">
        <v>499</v>
      </c>
      <c r="G88" s="105" t="s">
        <v>343</v>
      </c>
      <c r="H88" s="105">
        <v>4.5</v>
      </c>
      <c r="I88" s="105">
        <v>15</v>
      </c>
      <c r="J88" s="105">
        <v>0</v>
      </c>
      <c r="K88" s="105" t="s">
        <v>344</v>
      </c>
      <c r="L88" s="105" t="s">
        <v>345</v>
      </c>
      <c r="M88" s="107">
        <v>90</v>
      </c>
      <c r="N88" s="105">
        <v>92</v>
      </c>
      <c r="O88" s="107" t="s">
        <v>346</v>
      </c>
      <c r="P88" s="105" t="s">
        <v>514</v>
      </c>
      <c r="Q88" s="107" t="s">
        <v>501</v>
      </c>
      <c r="R88" s="105" t="s">
        <v>360</v>
      </c>
      <c r="S88" s="105" t="s">
        <v>361</v>
      </c>
      <c r="T88" s="45"/>
    </row>
    <row r="89" spans="1:20" ht="102">
      <c r="A89" s="42">
        <v>88</v>
      </c>
      <c r="B89" s="105" t="s">
        <v>304</v>
      </c>
      <c r="C89" s="105" t="s">
        <v>496</v>
      </c>
      <c r="D89" s="105" t="s">
        <v>517</v>
      </c>
      <c r="E89" s="108" t="s">
        <v>518</v>
      </c>
      <c r="F89" s="106" t="s">
        <v>499</v>
      </c>
      <c r="G89" s="105" t="s">
        <v>343</v>
      </c>
      <c r="H89" s="105">
        <v>4.5</v>
      </c>
      <c r="I89" s="105">
        <v>0</v>
      </c>
      <c r="J89" s="105">
        <v>60</v>
      </c>
      <c r="K89" s="105" t="s">
        <v>344</v>
      </c>
      <c r="L89" s="105" t="s">
        <v>345</v>
      </c>
      <c r="M89" s="107">
        <v>90</v>
      </c>
      <c r="N89" s="105">
        <v>92</v>
      </c>
      <c r="O89" s="107" t="s">
        <v>346</v>
      </c>
      <c r="P89" s="105" t="s">
        <v>349</v>
      </c>
      <c r="Q89" s="107" t="s">
        <v>501</v>
      </c>
      <c r="R89" s="105" t="s">
        <v>360</v>
      </c>
      <c r="S89" s="105" t="s">
        <v>361</v>
      </c>
      <c r="T89" s="45"/>
    </row>
    <row r="90" spans="1:20" ht="102">
      <c r="A90" s="42">
        <v>89</v>
      </c>
      <c r="B90" s="105" t="s">
        <v>304</v>
      </c>
      <c r="C90" s="105" t="s">
        <v>496</v>
      </c>
      <c r="D90" s="105" t="s">
        <v>519</v>
      </c>
      <c r="E90" s="108" t="s">
        <v>520</v>
      </c>
      <c r="F90" s="106" t="s">
        <v>499</v>
      </c>
      <c r="G90" s="105" t="s">
        <v>343</v>
      </c>
      <c r="H90" s="105">
        <v>4.5</v>
      </c>
      <c r="I90" s="105">
        <v>0</v>
      </c>
      <c r="J90" s="105">
        <v>60</v>
      </c>
      <c r="K90" s="105" t="s">
        <v>344</v>
      </c>
      <c r="L90" s="105" t="s">
        <v>345</v>
      </c>
      <c r="M90" s="107">
        <v>90</v>
      </c>
      <c r="N90" s="105">
        <v>92</v>
      </c>
      <c r="O90" s="107" t="s">
        <v>346</v>
      </c>
      <c r="P90" s="105" t="s">
        <v>349</v>
      </c>
      <c r="Q90" s="107" t="s">
        <v>501</v>
      </c>
      <c r="R90" s="105" t="s">
        <v>360</v>
      </c>
      <c r="S90" s="105" t="s">
        <v>361</v>
      </c>
      <c r="T90" s="45"/>
    </row>
    <row r="91" spans="1:20" ht="102">
      <c r="A91" s="42">
        <v>90</v>
      </c>
      <c r="B91" s="105" t="s">
        <v>304</v>
      </c>
      <c r="C91" s="105" t="s">
        <v>496</v>
      </c>
      <c r="D91" s="105" t="s">
        <v>521</v>
      </c>
      <c r="E91" s="108" t="s">
        <v>522</v>
      </c>
      <c r="F91" s="106" t="s">
        <v>499</v>
      </c>
      <c r="G91" s="105" t="s">
        <v>343</v>
      </c>
      <c r="H91" s="105">
        <v>4.5</v>
      </c>
      <c r="I91" s="105">
        <v>0</v>
      </c>
      <c r="J91" s="105">
        <v>60</v>
      </c>
      <c r="K91" s="105" t="s">
        <v>344</v>
      </c>
      <c r="L91" s="105" t="s">
        <v>345</v>
      </c>
      <c r="M91" s="107">
        <v>90</v>
      </c>
      <c r="N91" s="105">
        <v>92</v>
      </c>
      <c r="O91" s="107" t="s">
        <v>346</v>
      </c>
      <c r="P91" s="105" t="s">
        <v>349</v>
      </c>
      <c r="Q91" s="107" t="s">
        <v>501</v>
      </c>
      <c r="R91" s="105" t="s">
        <v>360</v>
      </c>
      <c r="S91" s="105" t="s">
        <v>361</v>
      </c>
      <c r="T91" s="45"/>
    </row>
    <row r="92" spans="1:20" ht="102">
      <c r="A92" s="42">
        <v>91</v>
      </c>
      <c r="B92" s="105" t="s">
        <v>304</v>
      </c>
      <c r="C92" s="105" t="s">
        <v>496</v>
      </c>
      <c r="D92" s="105" t="s">
        <v>523</v>
      </c>
      <c r="E92" s="108" t="s">
        <v>524</v>
      </c>
      <c r="F92" s="106" t="s">
        <v>499</v>
      </c>
      <c r="G92" s="105" t="s">
        <v>343</v>
      </c>
      <c r="H92" s="105">
        <v>4.5</v>
      </c>
      <c r="I92" s="105">
        <v>0</v>
      </c>
      <c r="J92" s="105">
        <v>60</v>
      </c>
      <c r="K92" s="105" t="s">
        <v>344</v>
      </c>
      <c r="L92" s="105" t="s">
        <v>345</v>
      </c>
      <c r="M92" s="107">
        <v>90</v>
      </c>
      <c r="N92" s="105">
        <v>92</v>
      </c>
      <c r="O92" s="107" t="s">
        <v>346</v>
      </c>
      <c r="P92" s="105" t="s">
        <v>349</v>
      </c>
      <c r="Q92" s="107" t="s">
        <v>501</v>
      </c>
      <c r="R92" s="105" t="s">
        <v>360</v>
      </c>
      <c r="S92" s="105" t="s">
        <v>361</v>
      </c>
      <c r="T92" s="45"/>
    </row>
    <row r="93" spans="1:20" ht="76.5">
      <c r="A93" s="42">
        <v>92</v>
      </c>
      <c r="B93" s="105" t="s">
        <v>304</v>
      </c>
      <c r="C93" s="105" t="s">
        <v>496</v>
      </c>
      <c r="D93" s="105" t="s">
        <v>525</v>
      </c>
      <c r="E93" s="108" t="s">
        <v>526</v>
      </c>
      <c r="F93" s="106" t="s">
        <v>499</v>
      </c>
      <c r="G93" s="105" t="s">
        <v>343</v>
      </c>
      <c r="H93" s="105">
        <v>4.5</v>
      </c>
      <c r="I93" s="105">
        <v>0</v>
      </c>
      <c r="J93" s="105">
        <v>60</v>
      </c>
      <c r="K93" s="105" t="s">
        <v>344</v>
      </c>
      <c r="L93" s="105" t="s">
        <v>345</v>
      </c>
      <c r="M93" s="107">
        <v>90</v>
      </c>
      <c r="N93" s="105">
        <v>92</v>
      </c>
      <c r="O93" s="107" t="s">
        <v>346</v>
      </c>
      <c r="P93" s="105" t="s">
        <v>349</v>
      </c>
      <c r="Q93" s="107" t="s">
        <v>501</v>
      </c>
      <c r="R93" s="105" t="s">
        <v>360</v>
      </c>
      <c r="S93" s="105" t="s">
        <v>361</v>
      </c>
      <c r="T93" s="45"/>
    </row>
    <row r="94" spans="1:20" ht="87" customHeight="1">
      <c r="A94" s="42">
        <v>93</v>
      </c>
      <c r="B94" s="105" t="s">
        <v>304</v>
      </c>
      <c r="C94" s="105" t="s">
        <v>528</v>
      </c>
      <c r="D94" s="105" t="s">
        <v>530</v>
      </c>
      <c r="E94" s="43" t="s">
        <v>540</v>
      </c>
      <c r="F94" s="106" t="s">
        <v>342</v>
      </c>
      <c r="G94" s="105" t="s">
        <v>343</v>
      </c>
      <c r="H94" s="105">
        <v>4.5</v>
      </c>
      <c r="I94" s="44">
        <v>61</v>
      </c>
      <c r="J94" s="44">
        <v>0</v>
      </c>
      <c r="K94" s="105" t="s">
        <v>344</v>
      </c>
      <c r="L94" s="105" t="s">
        <v>345</v>
      </c>
      <c r="M94" s="107">
        <v>90</v>
      </c>
      <c r="N94" s="105">
        <v>92</v>
      </c>
      <c r="O94" s="107" t="s">
        <v>346</v>
      </c>
      <c r="P94" s="105" t="s">
        <v>349</v>
      </c>
      <c r="Q94" s="107" t="s">
        <v>501</v>
      </c>
      <c r="R94" s="105" t="s">
        <v>360</v>
      </c>
      <c r="S94" s="105" t="s">
        <v>361</v>
      </c>
      <c r="T94" s="45"/>
    </row>
    <row r="95" spans="1:20" ht="63.75">
      <c r="A95" s="42">
        <v>94</v>
      </c>
      <c r="B95" s="105" t="s">
        <v>304</v>
      </c>
      <c r="C95" s="105" t="s">
        <v>528</v>
      </c>
      <c r="D95" s="105" t="s">
        <v>527</v>
      </c>
      <c r="E95" s="43" t="s">
        <v>541</v>
      </c>
      <c r="F95" s="106" t="s">
        <v>342</v>
      </c>
      <c r="G95" s="105" t="s">
        <v>343</v>
      </c>
      <c r="H95" s="105">
        <v>4.5</v>
      </c>
      <c r="I95" s="44">
        <v>61</v>
      </c>
      <c r="J95" s="44">
        <v>0</v>
      </c>
      <c r="K95" s="105" t="s">
        <v>344</v>
      </c>
      <c r="L95" s="105" t="s">
        <v>345</v>
      </c>
      <c r="M95" s="107">
        <v>90</v>
      </c>
      <c r="N95" s="105">
        <v>92</v>
      </c>
      <c r="O95" s="107" t="s">
        <v>346</v>
      </c>
      <c r="P95" s="105" t="s">
        <v>349</v>
      </c>
      <c r="Q95" s="107" t="s">
        <v>501</v>
      </c>
      <c r="R95" s="105" t="s">
        <v>360</v>
      </c>
      <c r="S95" s="105" t="s">
        <v>361</v>
      </c>
      <c r="T95" s="45"/>
    </row>
    <row r="96" spans="1:20" ht="63.75">
      <c r="A96" s="42">
        <v>95</v>
      </c>
      <c r="B96" s="105" t="s">
        <v>304</v>
      </c>
      <c r="C96" s="105" t="s">
        <v>528</v>
      </c>
      <c r="D96" s="105" t="s">
        <v>531</v>
      </c>
      <c r="E96" s="43" t="s">
        <v>542</v>
      </c>
      <c r="F96" s="106" t="s">
        <v>342</v>
      </c>
      <c r="G96" s="105" t="s">
        <v>343</v>
      </c>
      <c r="H96" s="105">
        <v>4.5</v>
      </c>
      <c r="I96" s="44">
        <v>61</v>
      </c>
      <c r="J96" s="44">
        <v>0</v>
      </c>
      <c r="K96" s="105" t="s">
        <v>344</v>
      </c>
      <c r="L96" s="105" t="s">
        <v>345</v>
      </c>
      <c r="M96" s="107">
        <v>90</v>
      </c>
      <c r="N96" s="105">
        <v>92</v>
      </c>
      <c r="O96" s="107" t="s">
        <v>346</v>
      </c>
      <c r="P96" s="105" t="s">
        <v>349</v>
      </c>
      <c r="Q96" s="107" t="s">
        <v>501</v>
      </c>
      <c r="R96" s="105" t="s">
        <v>360</v>
      </c>
      <c r="S96" s="105" t="s">
        <v>361</v>
      </c>
      <c r="T96" s="45"/>
    </row>
    <row r="97" spans="1:20" ht="102">
      <c r="A97" s="42">
        <v>96</v>
      </c>
      <c r="B97" s="105" t="s">
        <v>304</v>
      </c>
      <c r="C97" s="105" t="s">
        <v>528</v>
      </c>
      <c r="D97" s="105" t="s">
        <v>491</v>
      </c>
      <c r="E97" s="43" t="s">
        <v>543</v>
      </c>
      <c r="F97" s="106" t="s">
        <v>342</v>
      </c>
      <c r="G97" s="105" t="s">
        <v>343</v>
      </c>
      <c r="H97" s="105">
        <v>4.5</v>
      </c>
      <c r="I97" s="44">
        <v>0</v>
      </c>
      <c r="J97" s="44">
        <v>6</v>
      </c>
      <c r="K97" s="105" t="s">
        <v>344</v>
      </c>
      <c r="L97" s="105" t="s">
        <v>345</v>
      </c>
      <c r="M97" s="107">
        <v>90</v>
      </c>
      <c r="N97" s="105">
        <v>92</v>
      </c>
      <c r="O97" s="107" t="s">
        <v>346</v>
      </c>
      <c r="P97" s="105" t="s">
        <v>349</v>
      </c>
      <c r="Q97" s="107" t="s">
        <v>501</v>
      </c>
      <c r="R97" s="105" t="s">
        <v>360</v>
      </c>
      <c r="S97" s="105" t="s">
        <v>361</v>
      </c>
      <c r="T97" s="45"/>
    </row>
    <row r="98" spans="1:20" ht="102">
      <c r="A98" s="42">
        <v>97</v>
      </c>
      <c r="B98" s="105" t="s">
        <v>304</v>
      </c>
      <c r="C98" s="105" t="s">
        <v>528</v>
      </c>
      <c r="D98" s="105" t="s">
        <v>532</v>
      </c>
      <c r="E98" s="43" t="s">
        <v>544</v>
      </c>
      <c r="F98" s="106" t="s">
        <v>342</v>
      </c>
      <c r="G98" s="105" t="s">
        <v>343</v>
      </c>
      <c r="H98" s="105">
        <v>4.5</v>
      </c>
      <c r="I98" s="44">
        <v>0</v>
      </c>
      <c r="J98" s="44">
        <v>6</v>
      </c>
      <c r="K98" s="105" t="s">
        <v>344</v>
      </c>
      <c r="L98" s="105" t="s">
        <v>345</v>
      </c>
      <c r="M98" s="107">
        <v>90</v>
      </c>
      <c r="N98" s="105">
        <v>92</v>
      </c>
      <c r="O98" s="107" t="s">
        <v>346</v>
      </c>
      <c r="P98" s="105" t="s">
        <v>349</v>
      </c>
      <c r="Q98" s="107" t="s">
        <v>501</v>
      </c>
      <c r="R98" s="105" t="s">
        <v>360</v>
      </c>
      <c r="S98" s="105" t="s">
        <v>361</v>
      </c>
      <c r="T98" s="45"/>
    </row>
    <row r="99" spans="1:20" ht="102">
      <c r="A99" s="42">
        <v>98</v>
      </c>
      <c r="B99" s="105" t="s">
        <v>304</v>
      </c>
      <c r="C99" s="105" t="s">
        <v>528</v>
      </c>
      <c r="D99" s="105" t="s">
        <v>533</v>
      </c>
      <c r="E99" s="43" t="s">
        <v>545</v>
      </c>
      <c r="F99" s="106" t="s">
        <v>342</v>
      </c>
      <c r="G99" s="105" t="s">
        <v>343</v>
      </c>
      <c r="H99" s="105">
        <v>4.5</v>
      </c>
      <c r="I99" s="44">
        <v>0</v>
      </c>
      <c r="J99" s="44">
        <v>6</v>
      </c>
      <c r="K99" s="105" t="s">
        <v>344</v>
      </c>
      <c r="L99" s="105" t="s">
        <v>345</v>
      </c>
      <c r="M99" s="107">
        <v>90</v>
      </c>
      <c r="N99" s="105">
        <v>92</v>
      </c>
      <c r="O99" s="107" t="s">
        <v>346</v>
      </c>
      <c r="P99" s="105" t="s">
        <v>349</v>
      </c>
      <c r="Q99" s="107" t="s">
        <v>501</v>
      </c>
      <c r="R99" s="105" t="s">
        <v>360</v>
      </c>
      <c r="S99" s="105" t="s">
        <v>361</v>
      </c>
      <c r="T99" s="45"/>
    </row>
    <row r="100" spans="1:20" ht="76.5">
      <c r="A100" s="42">
        <v>99</v>
      </c>
      <c r="B100" s="105" t="s">
        <v>304</v>
      </c>
      <c r="C100" s="105" t="s">
        <v>528</v>
      </c>
      <c r="D100" s="105" t="s">
        <v>534</v>
      </c>
      <c r="E100" s="43" t="s">
        <v>546</v>
      </c>
      <c r="F100" s="106" t="s">
        <v>342</v>
      </c>
      <c r="G100" s="105" t="s">
        <v>343</v>
      </c>
      <c r="H100" s="105">
        <v>4.5</v>
      </c>
      <c r="I100" s="44">
        <v>61</v>
      </c>
      <c r="J100" s="44">
        <v>0</v>
      </c>
      <c r="K100" s="105" t="s">
        <v>344</v>
      </c>
      <c r="L100" s="105" t="s">
        <v>345</v>
      </c>
      <c r="M100" s="107">
        <v>90</v>
      </c>
      <c r="N100" s="105">
        <v>92</v>
      </c>
      <c r="O100" s="107" t="s">
        <v>346</v>
      </c>
      <c r="P100" s="105" t="s">
        <v>349</v>
      </c>
      <c r="Q100" s="107" t="s">
        <v>501</v>
      </c>
      <c r="R100" s="105" t="s">
        <v>360</v>
      </c>
      <c r="S100" s="105" t="s">
        <v>361</v>
      </c>
      <c r="T100" s="45"/>
    </row>
    <row r="101" spans="1:20" ht="63.75">
      <c r="A101" s="42">
        <v>100</v>
      </c>
      <c r="B101" s="105" t="s">
        <v>304</v>
      </c>
      <c r="C101" s="105" t="s">
        <v>528</v>
      </c>
      <c r="D101" s="105" t="s">
        <v>529</v>
      </c>
      <c r="E101" s="43" t="s">
        <v>547</v>
      </c>
      <c r="F101" s="106" t="s">
        <v>342</v>
      </c>
      <c r="G101" s="105" t="s">
        <v>343</v>
      </c>
      <c r="H101" s="105">
        <v>4.5</v>
      </c>
      <c r="I101" s="44">
        <v>61</v>
      </c>
      <c r="J101" s="44">
        <v>0</v>
      </c>
      <c r="K101" s="105" t="s">
        <v>344</v>
      </c>
      <c r="L101" s="105" t="s">
        <v>345</v>
      </c>
      <c r="M101" s="107">
        <v>90</v>
      </c>
      <c r="N101" s="105">
        <v>92</v>
      </c>
      <c r="O101" s="107" t="s">
        <v>346</v>
      </c>
      <c r="P101" s="105" t="s">
        <v>347</v>
      </c>
      <c r="Q101" s="107" t="s">
        <v>501</v>
      </c>
      <c r="R101" s="105" t="s">
        <v>360</v>
      </c>
      <c r="S101" s="105" t="s">
        <v>361</v>
      </c>
      <c r="T101" s="45"/>
    </row>
    <row r="102" spans="1:20" ht="76.5">
      <c r="A102" s="42">
        <v>101</v>
      </c>
      <c r="B102" s="105" t="s">
        <v>304</v>
      </c>
      <c r="C102" s="105" t="s">
        <v>528</v>
      </c>
      <c r="D102" s="105" t="s">
        <v>535</v>
      </c>
      <c r="E102" s="43" t="s">
        <v>548</v>
      </c>
      <c r="F102" s="106" t="s">
        <v>342</v>
      </c>
      <c r="G102" s="105" t="s">
        <v>343</v>
      </c>
      <c r="H102" s="105">
        <v>4.5</v>
      </c>
      <c r="I102" s="44">
        <v>61</v>
      </c>
      <c r="J102" s="44">
        <v>0</v>
      </c>
      <c r="K102" s="105" t="s">
        <v>344</v>
      </c>
      <c r="L102" s="105" t="s">
        <v>345</v>
      </c>
      <c r="M102" s="107">
        <v>90</v>
      </c>
      <c r="N102" s="105">
        <v>92</v>
      </c>
      <c r="O102" s="107" t="s">
        <v>346</v>
      </c>
      <c r="P102" s="105" t="s">
        <v>347</v>
      </c>
      <c r="Q102" s="107" t="s">
        <v>501</v>
      </c>
      <c r="R102" s="105" t="s">
        <v>360</v>
      </c>
      <c r="S102" s="105" t="s">
        <v>361</v>
      </c>
      <c r="T102" s="45"/>
    </row>
    <row r="103" spans="1:20" ht="76.5">
      <c r="A103" s="42">
        <v>102</v>
      </c>
      <c r="B103" s="105" t="s">
        <v>304</v>
      </c>
      <c r="C103" s="105" t="s">
        <v>528</v>
      </c>
      <c r="D103" s="105" t="s">
        <v>536</v>
      </c>
      <c r="E103" s="43" t="s">
        <v>549</v>
      </c>
      <c r="F103" s="106" t="s">
        <v>342</v>
      </c>
      <c r="G103" s="105" t="s">
        <v>343</v>
      </c>
      <c r="H103" s="105">
        <v>4.5</v>
      </c>
      <c r="I103" s="44">
        <v>61</v>
      </c>
      <c r="J103" s="44">
        <v>0</v>
      </c>
      <c r="K103" s="105" t="s">
        <v>344</v>
      </c>
      <c r="L103" s="105" t="s">
        <v>345</v>
      </c>
      <c r="M103" s="107">
        <v>90</v>
      </c>
      <c r="N103" s="105">
        <v>92</v>
      </c>
      <c r="O103" s="107" t="s">
        <v>346</v>
      </c>
      <c r="P103" s="105" t="s">
        <v>349</v>
      </c>
      <c r="Q103" s="107" t="s">
        <v>501</v>
      </c>
      <c r="R103" s="105" t="s">
        <v>360</v>
      </c>
      <c r="S103" s="105" t="s">
        <v>361</v>
      </c>
      <c r="T103" s="45"/>
    </row>
    <row r="104" spans="1:20" ht="76.5">
      <c r="A104" s="42">
        <v>103</v>
      </c>
      <c r="B104" s="105" t="s">
        <v>304</v>
      </c>
      <c r="C104" s="105" t="s">
        <v>528</v>
      </c>
      <c r="D104" s="105" t="s">
        <v>537</v>
      </c>
      <c r="E104" s="43" t="s">
        <v>549</v>
      </c>
      <c r="F104" s="106" t="s">
        <v>342</v>
      </c>
      <c r="G104" s="105" t="s">
        <v>343</v>
      </c>
      <c r="H104" s="105">
        <v>4.5</v>
      </c>
      <c r="I104" s="44">
        <v>61</v>
      </c>
      <c r="J104" s="44">
        <v>0</v>
      </c>
      <c r="K104" s="105" t="s">
        <v>344</v>
      </c>
      <c r="L104" s="105" t="s">
        <v>345</v>
      </c>
      <c r="M104" s="107">
        <v>90</v>
      </c>
      <c r="N104" s="105">
        <v>92</v>
      </c>
      <c r="O104" s="107" t="s">
        <v>346</v>
      </c>
      <c r="P104" s="105" t="s">
        <v>349</v>
      </c>
      <c r="Q104" s="107" t="s">
        <v>501</v>
      </c>
      <c r="R104" s="105" t="s">
        <v>360</v>
      </c>
      <c r="S104" s="105" t="s">
        <v>361</v>
      </c>
      <c r="T104" s="45"/>
    </row>
    <row r="105" spans="1:20" ht="63.75">
      <c r="A105" s="42">
        <v>104</v>
      </c>
      <c r="B105" s="105" t="s">
        <v>304</v>
      </c>
      <c r="C105" s="105" t="s">
        <v>528</v>
      </c>
      <c r="D105" s="105" t="s">
        <v>538</v>
      </c>
      <c r="E105" s="43" t="s">
        <v>550</v>
      </c>
      <c r="F105" s="106" t="s">
        <v>342</v>
      </c>
      <c r="G105" s="105" t="s">
        <v>343</v>
      </c>
      <c r="H105" s="105">
        <v>4.5</v>
      </c>
      <c r="I105" s="44">
        <v>61</v>
      </c>
      <c r="J105" s="44">
        <v>0</v>
      </c>
      <c r="K105" s="105" t="s">
        <v>344</v>
      </c>
      <c r="L105" s="105" t="s">
        <v>345</v>
      </c>
      <c r="M105" s="107">
        <v>90</v>
      </c>
      <c r="N105" s="105">
        <v>92</v>
      </c>
      <c r="O105" s="107" t="s">
        <v>346</v>
      </c>
      <c r="P105" s="105" t="s">
        <v>347</v>
      </c>
      <c r="Q105" s="107" t="s">
        <v>501</v>
      </c>
      <c r="R105" s="105" t="s">
        <v>360</v>
      </c>
      <c r="S105" s="105" t="s">
        <v>361</v>
      </c>
      <c r="T105" s="45"/>
    </row>
    <row r="106" spans="1:20" ht="63.75">
      <c r="A106" s="42">
        <v>105</v>
      </c>
      <c r="B106" s="105" t="s">
        <v>304</v>
      </c>
      <c r="C106" s="105" t="s">
        <v>528</v>
      </c>
      <c r="D106" s="105" t="s">
        <v>539</v>
      </c>
      <c r="E106" s="43" t="s">
        <v>551</v>
      </c>
      <c r="F106" s="106" t="s">
        <v>342</v>
      </c>
      <c r="G106" s="105" t="s">
        <v>343</v>
      </c>
      <c r="H106" s="105">
        <v>4.5</v>
      </c>
      <c r="I106" s="44">
        <v>61</v>
      </c>
      <c r="J106" s="44">
        <v>0</v>
      </c>
      <c r="K106" s="105" t="s">
        <v>344</v>
      </c>
      <c r="L106" s="105" t="s">
        <v>345</v>
      </c>
      <c r="M106" s="107">
        <v>90</v>
      </c>
      <c r="N106" s="105">
        <v>92</v>
      </c>
      <c r="O106" s="107" t="s">
        <v>346</v>
      </c>
      <c r="P106" s="105" t="s">
        <v>347</v>
      </c>
      <c r="Q106" s="107" t="s">
        <v>501</v>
      </c>
      <c r="R106" s="105" t="s">
        <v>360</v>
      </c>
      <c r="S106" s="105" t="s">
        <v>361</v>
      </c>
      <c r="T106" s="45"/>
    </row>
    <row r="107" spans="1:20">
      <c r="A107" s="42">
        <v>106</v>
      </c>
      <c r="B107" s="105"/>
      <c r="C107" s="105"/>
      <c r="D107" s="105"/>
      <c r="E107" s="43"/>
      <c r="F107" s="43"/>
      <c r="G107" s="42"/>
      <c r="H107" s="43"/>
      <c r="I107" s="44"/>
      <c r="J107" s="44"/>
      <c r="K107" s="43"/>
      <c r="L107" s="43"/>
      <c r="M107" s="44"/>
      <c r="N107" s="43"/>
      <c r="O107" s="44"/>
      <c r="P107" s="44"/>
      <c r="Q107" s="44"/>
      <c r="R107" s="43"/>
      <c r="S107" s="43"/>
      <c r="T107" s="45"/>
    </row>
    <row r="108" spans="1:20">
      <c r="A108" s="42">
        <v>107</v>
      </c>
      <c r="B108" s="105"/>
      <c r="C108" s="105"/>
      <c r="D108" s="105"/>
      <c r="E108" s="43"/>
      <c r="F108" s="43"/>
      <c r="G108" s="42"/>
      <c r="H108" s="43"/>
      <c r="I108" s="44"/>
      <c r="J108" s="44"/>
      <c r="K108" s="43"/>
      <c r="L108" s="43"/>
      <c r="M108" s="44"/>
      <c r="N108" s="43"/>
      <c r="O108" s="44"/>
      <c r="P108" s="44"/>
      <c r="Q108" s="44"/>
      <c r="R108" s="43"/>
      <c r="S108" s="43"/>
      <c r="T108" s="45"/>
    </row>
    <row r="109" spans="1:20">
      <c r="A109" s="42">
        <v>108</v>
      </c>
      <c r="B109" s="43"/>
      <c r="C109" s="43"/>
      <c r="D109" s="43"/>
      <c r="E109" s="43"/>
      <c r="F109" s="43"/>
      <c r="G109" s="42"/>
      <c r="H109" s="43"/>
      <c r="I109" s="44"/>
      <c r="J109" s="44"/>
      <c r="K109" s="43"/>
      <c r="L109" s="43"/>
      <c r="M109" s="44"/>
      <c r="N109" s="43"/>
      <c r="O109" s="44"/>
      <c r="P109" s="44"/>
      <c r="Q109" s="44"/>
      <c r="R109" s="43"/>
      <c r="S109" s="43"/>
      <c r="T109" s="45"/>
    </row>
    <row r="110" spans="1:20">
      <c r="A110" s="42">
        <v>109</v>
      </c>
      <c r="B110" s="43"/>
      <c r="C110" s="43"/>
      <c r="D110" s="43"/>
      <c r="E110" s="43"/>
      <c r="F110" s="43"/>
      <c r="G110" s="42"/>
      <c r="H110" s="43"/>
      <c r="I110" s="44"/>
      <c r="J110" s="44"/>
      <c r="K110" s="43"/>
      <c r="L110" s="43"/>
      <c r="M110" s="44"/>
      <c r="N110" s="43"/>
      <c r="O110" s="44"/>
      <c r="P110" s="44"/>
      <c r="Q110" s="44"/>
      <c r="R110" s="43"/>
      <c r="S110" s="43"/>
      <c r="T110" s="45"/>
    </row>
    <row r="111" spans="1:20">
      <c r="A111" s="42">
        <v>110</v>
      </c>
      <c r="B111" s="43"/>
      <c r="C111" s="43"/>
      <c r="D111" s="43"/>
      <c r="E111" s="43"/>
      <c r="F111" s="43"/>
      <c r="G111" s="42"/>
      <c r="H111" s="43"/>
      <c r="I111" s="44"/>
      <c r="J111" s="44"/>
      <c r="K111" s="43"/>
      <c r="L111" s="43"/>
      <c r="M111" s="44"/>
      <c r="N111" s="43"/>
      <c r="O111" s="44"/>
      <c r="P111" s="44"/>
      <c r="Q111" s="44"/>
      <c r="R111" s="43"/>
      <c r="S111" s="43"/>
      <c r="T111" s="45"/>
    </row>
    <row r="112" spans="1:20">
      <c r="A112" s="42">
        <v>111</v>
      </c>
      <c r="B112" s="43"/>
      <c r="C112" s="43"/>
      <c r="D112" s="43"/>
      <c r="E112" s="43"/>
      <c r="F112" s="43"/>
      <c r="G112" s="42"/>
      <c r="H112" s="43"/>
      <c r="I112" s="44"/>
      <c r="J112" s="44"/>
      <c r="K112" s="43"/>
      <c r="L112" s="43"/>
      <c r="M112" s="44"/>
      <c r="N112" s="43"/>
      <c r="O112" s="44"/>
      <c r="P112" s="44"/>
      <c r="Q112" s="44"/>
      <c r="R112" s="43"/>
      <c r="S112" s="43"/>
      <c r="T112" s="45"/>
    </row>
    <row r="113" spans="1:20">
      <c r="A113" s="42">
        <v>112</v>
      </c>
      <c r="B113" s="43"/>
      <c r="C113" s="43"/>
      <c r="D113" s="43"/>
      <c r="E113" s="43"/>
      <c r="F113" s="43"/>
      <c r="G113" s="42"/>
      <c r="H113" s="43"/>
      <c r="I113" s="44"/>
      <c r="J113" s="44"/>
      <c r="K113" s="43"/>
      <c r="L113" s="43"/>
      <c r="M113" s="44"/>
      <c r="N113" s="43"/>
      <c r="O113" s="44"/>
      <c r="P113" s="44"/>
      <c r="Q113" s="44"/>
      <c r="R113" s="43"/>
      <c r="S113" s="43"/>
      <c r="T113" s="45"/>
    </row>
    <row r="114" spans="1:20">
      <c r="A114" s="42">
        <v>113</v>
      </c>
      <c r="B114" s="43"/>
      <c r="C114" s="43"/>
      <c r="D114" s="43"/>
      <c r="E114" s="43"/>
      <c r="F114" s="43"/>
      <c r="G114" s="42"/>
      <c r="H114" s="43"/>
      <c r="I114" s="44"/>
      <c r="J114" s="44"/>
      <c r="K114" s="43"/>
      <c r="L114" s="43"/>
      <c r="M114" s="44"/>
      <c r="N114" s="43"/>
      <c r="O114" s="44"/>
      <c r="P114" s="44"/>
      <c r="Q114" s="44"/>
      <c r="R114" s="43"/>
      <c r="S114" s="43"/>
      <c r="T114" s="45"/>
    </row>
    <row r="115" spans="1:20">
      <c r="A115" s="42">
        <v>114</v>
      </c>
      <c r="B115" s="43"/>
      <c r="C115" s="43"/>
      <c r="D115" s="43"/>
      <c r="E115" s="43"/>
      <c r="F115" s="43"/>
      <c r="G115" s="42"/>
      <c r="H115" s="43"/>
      <c r="I115" s="44"/>
      <c r="J115" s="44"/>
      <c r="K115" s="43"/>
      <c r="L115" s="43"/>
      <c r="M115" s="44"/>
      <c r="N115" s="43"/>
      <c r="O115" s="44"/>
      <c r="P115" s="44"/>
      <c r="Q115" s="44"/>
      <c r="R115" s="43"/>
      <c r="S115" s="43"/>
      <c r="T115" s="45"/>
    </row>
    <row r="116" spans="1:20">
      <c r="A116" s="42">
        <v>115</v>
      </c>
      <c r="B116" s="43"/>
      <c r="C116" s="43"/>
      <c r="D116" s="43"/>
      <c r="E116" s="43"/>
      <c r="F116" s="43"/>
      <c r="G116" s="42"/>
      <c r="H116" s="43"/>
      <c r="I116" s="44"/>
      <c r="J116" s="44"/>
      <c r="K116" s="43"/>
      <c r="L116" s="43"/>
      <c r="M116" s="44"/>
      <c r="N116" s="43"/>
      <c r="O116" s="44"/>
      <c r="P116" s="44"/>
      <c r="Q116" s="44"/>
      <c r="R116" s="43"/>
      <c r="S116" s="43"/>
      <c r="T116" s="45"/>
    </row>
    <row r="117" spans="1:20">
      <c r="A117" s="42">
        <v>116</v>
      </c>
      <c r="B117" s="43"/>
      <c r="C117" s="43"/>
      <c r="D117" s="43"/>
      <c r="E117" s="43"/>
      <c r="F117" s="43"/>
      <c r="G117" s="42"/>
      <c r="H117" s="43"/>
      <c r="I117" s="44"/>
      <c r="J117" s="44"/>
      <c r="K117" s="43"/>
      <c r="L117" s="43"/>
      <c r="M117" s="44"/>
      <c r="N117" s="43"/>
      <c r="O117" s="44"/>
      <c r="P117" s="44"/>
      <c r="Q117" s="44"/>
      <c r="R117" s="43"/>
      <c r="S117" s="43"/>
      <c r="T117" s="45"/>
    </row>
    <row r="118" spans="1:20">
      <c r="A118" s="42">
        <v>117</v>
      </c>
      <c r="B118" s="43"/>
      <c r="C118" s="43"/>
      <c r="D118" s="43"/>
      <c r="E118" s="43"/>
      <c r="F118" s="43"/>
      <c r="G118" s="42"/>
      <c r="H118" s="43"/>
      <c r="I118" s="44"/>
      <c r="J118" s="44"/>
      <c r="K118" s="43"/>
      <c r="L118" s="43"/>
      <c r="M118" s="44"/>
      <c r="N118" s="43"/>
      <c r="O118" s="44"/>
      <c r="P118" s="44"/>
      <c r="Q118" s="44"/>
      <c r="R118" s="43"/>
      <c r="S118" s="43"/>
      <c r="T118" s="45"/>
    </row>
    <row r="119" spans="1:20">
      <c r="A119" s="42">
        <v>118</v>
      </c>
      <c r="B119" s="43"/>
      <c r="C119" s="43"/>
      <c r="D119" s="43"/>
      <c r="E119" s="43"/>
      <c r="F119" s="43"/>
      <c r="G119" s="42"/>
      <c r="H119" s="43"/>
      <c r="I119" s="44"/>
      <c r="J119" s="44"/>
      <c r="K119" s="43"/>
      <c r="L119" s="43"/>
      <c r="M119" s="44"/>
      <c r="N119" s="43"/>
      <c r="O119" s="44"/>
      <c r="P119" s="44"/>
      <c r="Q119" s="44"/>
      <c r="R119" s="43"/>
      <c r="S119" s="43"/>
      <c r="T119" s="45"/>
    </row>
    <row r="120" spans="1:20">
      <c r="A120" s="42">
        <v>119</v>
      </c>
      <c r="B120" s="43"/>
      <c r="C120" s="43"/>
      <c r="D120" s="43"/>
      <c r="E120" s="43"/>
      <c r="F120" s="43"/>
      <c r="G120" s="42"/>
      <c r="H120" s="43"/>
      <c r="I120" s="44"/>
      <c r="J120" s="44"/>
      <c r="K120" s="43"/>
      <c r="L120" s="43"/>
      <c r="M120" s="44"/>
      <c r="N120" s="43"/>
      <c r="O120" s="44"/>
      <c r="P120" s="44"/>
      <c r="Q120" s="44"/>
      <c r="R120" s="43"/>
      <c r="S120" s="43"/>
      <c r="T120" s="45"/>
    </row>
    <row r="121" spans="1:20">
      <c r="A121" s="42">
        <v>120</v>
      </c>
      <c r="B121" s="43"/>
      <c r="C121" s="43"/>
      <c r="D121" s="43"/>
      <c r="E121" s="43"/>
      <c r="F121" s="43"/>
      <c r="G121" s="42"/>
      <c r="H121" s="43"/>
      <c r="I121" s="44"/>
      <c r="J121" s="44"/>
      <c r="K121" s="43"/>
      <c r="L121" s="43"/>
      <c r="M121" s="44"/>
      <c r="N121" s="43"/>
      <c r="O121" s="44"/>
      <c r="P121" s="44"/>
      <c r="Q121" s="44"/>
      <c r="R121" s="43"/>
      <c r="S121" s="43"/>
      <c r="T121" s="45"/>
    </row>
    <row r="122" spans="1:20">
      <c r="A122" s="42">
        <v>121</v>
      </c>
      <c r="B122" s="43"/>
      <c r="C122" s="43"/>
      <c r="D122" s="43"/>
      <c r="E122" s="43"/>
      <c r="F122" s="43"/>
      <c r="G122" s="42"/>
      <c r="H122" s="43"/>
      <c r="I122" s="44"/>
      <c r="J122" s="44"/>
      <c r="K122" s="43"/>
      <c r="L122" s="43"/>
      <c r="M122" s="44"/>
      <c r="N122" s="43"/>
      <c r="O122" s="44"/>
      <c r="P122" s="44"/>
      <c r="Q122" s="44"/>
      <c r="R122" s="43"/>
      <c r="S122" s="43"/>
      <c r="T122" s="45"/>
    </row>
    <row r="123" spans="1:20">
      <c r="A123" s="42">
        <v>122</v>
      </c>
      <c r="B123" s="43"/>
      <c r="C123" s="43"/>
      <c r="D123" s="43"/>
      <c r="E123" s="43"/>
      <c r="F123" s="43"/>
      <c r="G123" s="42"/>
      <c r="H123" s="43"/>
      <c r="I123" s="44"/>
      <c r="J123" s="44"/>
      <c r="K123" s="43"/>
      <c r="L123" s="43"/>
      <c r="M123" s="44"/>
      <c r="N123" s="43"/>
      <c r="O123" s="44"/>
      <c r="P123" s="44"/>
      <c r="Q123" s="44"/>
      <c r="R123" s="43"/>
      <c r="S123" s="43"/>
      <c r="T123" s="45"/>
    </row>
    <row r="124" spans="1:20">
      <c r="A124" s="42">
        <v>123</v>
      </c>
      <c r="B124" s="43"/>
      <c r="C124" s="43"/>
      <c r="D124" s="43"/>
      <c r="E124" s="43"/>
      <c r="F124" s="43"/>
      <c r="G124" s="42"/>
      <c r="H124" s="43"/>
      <c r="I124" s="44"/>
      <c r="J124" s="44"/>
      <c r="K124" s="43"/>
      <c r="L124" s="43"/>
      <c r="M124" s="44"/>
      <c r="N124" s="43"/>
      <c r="O124" s="44"/>
      <c r="P124" s="44"/>
      <c r="Q124" s="44"/>
      <c r="R124" s="43"/>
      <c r="S124" s="43"/>
      <c r="T124" s="45"/>
    </row>
    <row r="125" spans="1:20">
      <c r="A125" s="42">
        <v>124</v>
      </c>
      <c r="B125" s="43"/>
      <c r="C125" s="43"/>
      <c r="D125" s="43"/>
      <c r="E125" s="43"/>
      <c r="F125" s="43"/>
      <c r="G125" s="42"/>
      <c r="H125" s="43"/>
      <c r="I125" s="44"/>
      <c r="J125" s="44"/>
      <c r="K125" s="43"/>
      <c r="L125" s="43"/>
      <c r="M125" s="44"/>
      <c r="N125" s="43"/>
      <c r="O125" s="44"/>
      <c r="P125" s="44"/>
      <c r="Q125" s="44"/>
      <c r="R125" s="43"/>
      <c r="S125" s="43"/>
      <c r="T125" s="45"/>
    </row>
    <row r="126" spans="1:20">
      <c r="A126" s="42">
        <v>125</v>
      </c>
      <c r="B126" s="43"/>
      <c r="C126" s="43"/>
      <c r="D126" s="43"/>
      <c r="E126" s="43"/>
      <c r="F126" s="43"/>
      <c r="G126" s="42"/>
      <c r="H126" s="43"/>
      <c r="I126" s="44"/>
      <c r="J126" s="44"/>
      <c r="K126" s="43"/>
      <c r="L126" s="43"/>
      <c r="M126" s="44"/>
      <c r="N126" s="43"/>
      <c r="O126" s="44"/>
      <c r="P126" s="44"/>
      <c r="Q126" s="44"/>
      <c r="R126" s="43"/>
      <c r="S126" s="43"/>
      <c r="T126" s="45"/>
    </row>
    <row r="127" spans="1:20">
      <c r="A127" s="42">
        <v>126</v>
      </c>
      <c r="B127" s="43"/>
      <c r="C127" s="43"/>
      <c r="D127" s="43"/>
      <c r="E127" s="43"/>
      <c r="F127" s="43"/>
      <c r="G127" s="42"/>
      <c r="H127" s="43"/>
      <c r="I127" s="44"/>
      <c r="J127" s="44"/>
      <c r="K127" s="43"/>
      <c r="L127" s="43"/>
      <c r="M127" s="44"/>
      <c r="N127" s="43"/>
      <c r="O127" s="44"/>
      <c r="P127" s="44"/>
      <c r="Q127" s="44"/>
      <c r="R127" s="43"/>
      <c r="S127" s="43"/>
      <c r="T127" s="45"/>
    </row>
    <row r="128" spans="1:20">
      <c r="A128" s="42">
        <v>127</v>
      </c>
      <c r="B128" s="43"/>
      <c r="C128" s="43"/>
      <c r="D128" s="43"/>
      <c r="E128" s="43"/>
      <c r="F128" s="43"/>
      <c r="G128" s="42"/>
      <c r="H128" s="43"/>
      <c r="I128" s="44"/>
      <c r="J128" s="44"/>
      <c r="K128" s="43"/>
      <c r="L128" s="43"/>
      <c r="M128" s="44"/>
      <c r="N128" s="43"/>
      <c r="O128" s="44"/>
      <c r="P128" s="44"/>
      <c r="Q128" s="44"/>
      <c r="R128" s="43"/>
      <c r="S128" s="43"/>
      <c r="T128" s="45"/>
    </row>
    <row r="129" spans="1:20">
      <c r="A129" s="42">
        <v>128</v>
      </c>
      <c r="B129" s="43"/>
      <c r="C129" s="43"/>
      <c r="D129" s="43"/>
      <c r="E129" s="43"/>
      <c r="F129" s="43"/>
      <c r="G129" s="42"/>
      <c r="H129" s="43"/>
      <c r="I129" s="44"/>
      <c r="J129" s="44"/>
      <c r="K129" s="43"/>
      <c r="L129" s="43"/>
      <c r="M129" s="44"/>
      <c r="N129" s="43"/>
      <c r="O129" s="44"/>
      <c r="P129" s="44"/>
      <c r="Q129" s="44"/>
      <c r="R129" s="43"/>
      <c r="S129" s="43"/>
      <c r="T129" s="45"/>
    </row>
    <row r="130" spans="1:20">
      <c r="A130" s="42">
        <v>129</v>
      </c>
      <c r="B130" s="43"/>
      <c r="C130" s="43"/>
      <c r="D130" s="43"/>
      <c r="E130" s="43"/>
      <c r="F130" s="43"/>
      <c r="G130" s="42"/>
      <c r="H130" s="43"/>
      <c r="I130" s="44"/>
      <c r="J130" s="44"/>
      <c r="K130" s="43"/>
      <c r="L130" s="43"/>
      <c r="M130" s="44"/>
      <c r="N130" s="43"/>
      <c r="O130" s="44"/>
      <c r="P130" s="44"/>
      <c r="Q130" s="44"/>
      <c r="R130" s="43"/>
      <c r="S130" s="43"/>
      <c r="T130" s="45"/>
    </row>
    <row r="131" spans="1:20">
      <c r="A131" s="42">
        <v>130</v>
      </c>
      <c r="B131" s="43"/>
      <c r="C131" s="43"/>
      <c r="D131" s="43"/>
      <c r="E131" s="43"/>
      <c r="F131" s="43"/>
      <c r="G131" s="42"/>
      <c r="H131" s="43"/>
      <c r="I131" s="44"/>
      <c r="J131" s="44"/>
      <c r="K131" s="43"/>
      <c r="L131" s="43"/>
      <c r="M131" s="44"/>
      <c r="N131" s="43"/>
      <c r="O131" s="44"/>
      <c r="P131" s="44"/>
      <c r="Q131" s="44"/>
      <c r="R131" s="43"/>
      <c r="S131" s="43"/>
      <c r="T131" s="45"/>
    </row>
    <row r="132" spans="1:20">
      <c r="A132" s="42">
        <v>131</v>
      </c>
      <c r="B132" s="43"/>
      <c r="C132" s="43"/>
      <c r="D132" s="43"/>
      <c r="E132" s="43"/>
      <c r="F132" s="43"/>
      <c r="G132" s="42"/>
      <c r="H132" s="43"/>
      <c r="I132" s="44"/>
      <c r="J132" s="44"/>
      <c r="K132" s="43"/>
      <c r="L132" s="43"/>
      <c r="M132" s="44"/>
      <c r="N132" s="43"/>
      <c r="O132" s="44"/>
      <c r="P132" s="44"/>
      <c r="Q132" s="44"/>
      <c r="R132" s="43"/>
      <c r="S132" s="43"/>
      <c r="T132" s="45"/>
    </row>
    <row r="133" spans="1:20">
      <c r="A133" s="42">
        <v>132</v>
      </c>
      <c r="B133" s="43"/>
      <c r="C133" s="43"/>
      <c r="D133" s="43"/>
      <c r="E133" s="43"/>
      <c r="F133" s="43"/>
      <c r="G133" s="42"/>
      <c r="H133" s="43"/>
      <c r="I133" s="44"/>
      <c r="J133" s="44"/>
      <c r="K133" s="43"/>
      <c r="L133" s="43"/>
      <c r="M133" s="44"/>
      <c r="N133" s="43"/>
      <c r="O133" s="44"/>
      <c r="P133" s="44"/>
      <c r="Q133" s="44"/>
      <c r="R133" s="43"/>
      <c r="S133" s="43"/>
      <c r="T133" s="45"/>
    </row>
    <row r="134" spans="1:20">
      <c r="A134" s="42">
        <v>133</v>
      </c>
      <c r="B134" s="43"/>
      <c r="C134" s="43"/>
      <c r="D134" s="43"/>
      <c r="E134" s="43"/>
      <c r="F134" s="43"/>
      <c r="G134" s="42"/>
      <c r="H134" s="43"/>
      <c r="I134" s="44"/>
      <c r="J134" s="44"/>
      <c r="K134" s="43"/>
      <c r="L134" s="43"/>
      <c r="M134" s="44"/>
      <c r="N134" s="43"/>
      <c r="O134" s="44"/>
      <c r="P134" s="44"/>
      <c r="Q134" s="44"/>
      <c r="R134" s="43"/>
      <c r="S134" s="43"/>
      <c r="T134" s="45"/>
    </row>
    <row r="135" spans="1:20">
      <c r="A135" s="42">
        <v>134</v>
      </c>
      <c r="B135" s="43"/>
      <c r="C135" s="43"/>
      <c r="D135" s="43"/>
      <c r="E135" s="43"/>
      <c r="F135" s="43"/>
      <c r="G135" s="42"/>
      <c r="H135" s="43"/>
      <c r="I135" s="44"/>
      <c r="J135" s="44"/>
      <c r="K135" s="43"/>
      <c r="L135" s="43"/>
      <c r="M135" s="44"/>
      <c r="N135" s="43"/>
      <c r="O135" s="44"/>
      <c r="P135" s="44"/>
      <c r="Q135" s="44"/>
      <c r="R135" s="43"/>
      <c r="S135" s="43"/>
      <c r="T135" s="45"/>
    </row>
    <row r="136" spans="1:20">
      <c r="A136" s="42">
        <v>135</v>
      </c>
      <c r="B136" s="43"/>
      <c r="C136" s="43"/>
      <c r="D136" s="43"/>
      <c r="E136" s="43"/>
      <c r="F136" s="43"/>
      <c r="G136" s="42"/>
      <c r="H136" s="43"/>
      <c r="I136" s="44"/>
      <c r="J136" s="44"/>
      <c r="K136" s="43"/>
      <c r="L136" s="43"/>
      <c r="M136" s="44"/>
      <c r="N136" s="43"/>
      <c r="O136" s="44"/>
      <c r="P136" s="44"/>
      <c r="Q136" s="44"/>
      <c r="R136" s="43"/>
      <c r="S136" s="43"/>
      <c r="T136" s="45"/>
    </row>
    <row r="137" spans="1:20">
      <c r="A137" s="42">
        <v>136</v>
      </c>
      <c r="B137" s="43"/>
      <c r="C137" s="43"/>
      <c r="D137" s="43"/>
      <c r="E137" s="43"/>
      <c r="F137" s="43"/>
      <c r="G137" s="42"/>
      <c r="H137" s="43"/>
      <c r="I137" s="44"/>
      <c r="J137" s="44"/>
      <c r="K137" s="43"/>
      <c r="L137" s="43"/>
      <c r="M137" s="44"/>
      <c r="N137" s="43"/>
      <c r="O137" s="44"/>
      <c r="P137" s="44"/>
      <c r="Q137" s="44"/>
      <c r="R137" s="43"/>
      <c r="S137" s="43"/>
      <c r="T137" s="45"/>
    </row>
    <row r="138" spans="1:20">
      <c r="A138" s="42">
        <v>137</v>
      </c>
      <c r="B138" s="43"/>
      <c r="C138" s="43"/>
      <c r="D138" s="43"/>
      <c r="E138" s="43"/>
      <c r="F138" s="43"/>
      <c r="G138" s="42"/>
      <c r="H138" s="43"/>
      <c r="I138" s="44"/>
      <c r="J138" s="44"/>
      <c r="K138" s="43"/>
      <c r="L138" s="43"/>
      <c r="M138" s="44"/>
      <c r="N138" s="43"/>
      <c r="O138" s="44"/>
      <c r="P138" s="44"/>
      <c r="Q138" s="44"/>
      <c r="R138" s="43"/>
      <c r="S138" s="43"/>
      <c r="T138" s="45"/>
    </row>
    <row r="139" spans="1:20">
      <c r="A139" s="42">
        <v>138</v>
      </c>
      <c r="B139" s="43"/>
      <c r="C139" s="43"/>
      <c r="D139" s="43"/>
      <c r="E139" s="43"/>
      <c r="F139" s="43"/>
      <c r="G139" s="42"/>
      <c r="H139" s="43"/>
      <c r="I139" s="44"/>
      <c r="J139" s="44"/>
      <c r="K139" s="43"/>
      <c r="L139" s="43"/>
      <c r="M139" s="44"/>
      <c r="N139" s="43"/>
      <c r="O139" s="44"/>
      <c r="P139" s="44"/>
      <c r="Q139" s="44"/>
      <c r="R139" s="43"/>
      <c r="S139" s="43"/>
      <c r="T139" s="45"/>
    </row>
    <row r="140" spans="1:20">
      <c r="A140" s="42">
        <v>139</v>
      </c>
      <c r="B140" s="43"/>
      <c r="C140" s="43"/>
      <c r="D140" s="43"/>
      <c r="E140" s="43"/>
      <c r="F140" s="43"/>
      <c r="G140" s="42"/>
      <c r="H140" s="43"/>
      <c r="I140" s="44"/>
      <c r="J140" s="44"/>
      <c r="K140" s="43"/>
      <c r="L140" s="43"/>
      <c r="M140" s="44"/>
      <c r="N140" s="43"/>
      <c r="O140" s="44"/>
      <c r="P140" s="44"/>
      <c r="Q140" s="44"/>
      <c r="R140" s="43"/>
      <c r="S140" s="43"/>
      <c r="T140" s="45"/>
    </row>
    <row r="141" spans="1:20">
      <c r="A141" s="42">
        <v>140</v>
      </c>
      <c r="B141" s="43"/>
      <c r="C141" s="43"/>
      <c r="D141" s="43"/>
      <c r="E141" s="43"/>
      <c r="F141" s="43"/>
      <c r="G141" s="42"/>
      <c r="H141" s="43"/>
      <c r="I141" s="44"/>
      <c r="J141" s="44"/>
      <c r="K141" s="43"/>
      <c r="L141" s="43"/>
      <c r="M141" s="44"/>
      <c r="N141" s="43"/>
      <c r="O141" s="44"/>
      <c r="P141" s="44"/>
      <c r="Q141" s="44"/>
      <c r="R141" s="43"/>
      <c r="S141" s="43"/>
      <c r="T141" s="45"/>
    </row>
    <row r="142" spans="1:20">
      <c r="A142" s="42">
        <v>141</v>
      </c>
      <c r="B142" s="43"/>
      <c r="C142" s="43"/>
      <c r="D142" s="43"/>
      <c r="E142" s="43"/>
      <c r="F142" s="43"/>
      <c r="G142" s="42"/>
      <c r="H142" s="43"/>
      <c r="I142" s="44"/>
      <c r="J142" s="44"/>
      <c r="K142" s="43"/>
      <c r="L142" s="43"/>
      <c r="M142" s="44"/>
      <c r="N142" s="43"/>
      <c r="O142" s="44"/>
      <c r="P142" s="44"/>
      <c r="Q142" s="44"/>
      <c r="R142" s="43"/>
      <c r="S142" s="43"/>
      <c r="T142" s="45"/>
    </row>
    <row r="143" spans="1:20">
      <c r="A143" s="42">
        <v>142</v>
      </c>
      <c r="B143" s="43"/>
      <c r="C143" s="43"/>
      <c r="D143" s="43"/>
      <c r="E143" s="43"/>
      <c r="F143" s="43"/>
      <c r="G143" s="42"/>
      <c r="H143" s="43"/>
      <c r="I143" s="44"/>
      <c r="J143" s="44"/>
      <c r="K143" s="43"/>
      <c r="L143" s="43"/>
      <c r="M143" s="44"/>
      <c r="N143" s="43"/>
      <c r="O143" s="44"/>
      <c r="P143" s="44"/>
      <c r="Q143" s="44"/>
      <c r="R143" s="43"/>
      <c r="S143" s="43"/>
      <c r="T143" s="45"/>
    </row>
    <row r="144" spans="1:20">
      <c r="A144" s="42">
        <v>143</v>
      </c>
      <c r="B144" s="43"/>
      <c r="C144" s="43"/>
      <c r="D144" s="43"/>
      <c r="E144" s="43"/>
      <c r="F144" s="43"/>
      <c r="G144" s="42"/>
      <c r="H144" s="43"/>
      <c r="I144" s="44"/>
      <c r="J144" s="44"/>
      <c r="K144" s="43"/>
      <c r="L144" s="43"/>
      <c r="M144" s="44"/>
      <c r="N144" s="43"/>
      <c r="O144" s="44"/>
      <c r="P144" s="44"/>
      <c r="Q144" s="44"/>
      <c r="R144" s="43"/>
      <c r="S144" s="43"/>
      <c r="T144" s="45"/>
    </row>
    <row r="145" spans="1:20">
      <c r="A145" s="42">
        <v>144</v>
      </c>
      <c r="B145" s="43"/>
      <c r="C145" s="43"/>
      <c r="D145" s="43"/>
      <c r="E145" s="43"/>
      <c r="F145" s="43"/>
      <c r="G145" s="42"/>
      <c r="H145" s="43"/>
      <c r="I145" s="44"/>
      <c r="J145" s="44"/>
      <c r="K145" s="43"/>
      <c r="L145" s="43"/>
      <c r="M145" s="44"/>
      <c r="N145" s="43"/>
      <c r="O145" s="44"/>
      <c r="P145" s="44"/>
      <c r="Q145" s="44"/>
      <c r="R145" s="43"/>
      <c r="S145" s="43"/>
      <c r="T145" s="45"/>
    </row>
    <row r="146" spans="1:20">
      <c r="A146" s="42">
        <v>145</v>
      </c>
      <c r="B146" s="43"/>
      <c r="C146" s="43"/>
      <c r="D146" s="43"/>
      <c r="E146" s="43"/>
      <c r="F146" s="43"/>
      <c r="G146" s="42"/>
      <c r="H146" s="43"/>
      <c r="I146" s="44"/>
      <c r="J146" s="44"/>
      <c r="K146" s="43"/>
      <c r="L146" s="43"/>
      <c r="M146" s="44"/>
      <c r="N146" s="43"/>
      <c r="O146" s="44"/>
      <c r="P146" s="44"/>
      <c r="Q146" s="44"/>
      <c r="R146" s="43"/>
      <c r="S146" s="43"/>
      <c r="T146" s="45"/>
    </row>
    <row r="147" spans="1:20">
      <c r="A147" s="42">
        <v>146</v>
      </c>
      <c r="B147" s="43"/>
      <c r="C147" s="43"/>
      <c r="D147" s="43"/>
      <c r="E147" s="43"/>
      <c r="F147" s="43"/>
      <c r="G147" s="42"/>
      <c r="H147" s="43"/>
      <c r="I147" s="44"/>
      <c r="J147" s="44"/>
      <c r="K147" s="43"/>
      <c r="L147" s="43"/>
      <c r="M147" s="44"/>
      <c r="N147" s="43"/>
      <c r="O147" s="44"/>
      <c r="P147" s="44"/>
      <c r="Q147" s="44"/>
      <c r="R147" s="43"/>
      <c r="S147" s="43"/>
      <c r="T147" s="45"/>
    </row>
    <row r="148" spans="1:20">
      <c r="A148" s="42">
        <v>147</v>
      </c>
      <c r="B148" s="43"/>
      <c r="C148" s="43"/>
      <c r="D148" s="43"/>
      <c r="E148" s="43"/>
      <c r="F148" s="43"/>
      <c r="G148" s="42"/>
      <c r="H148" s="43"/>
      <c r="I148" s="44"/>
      <c r="J148" s="44"/>
      <c r="K148" s="43"/>
      <c r="L148" s="43"/>
      <c r="M148" s="44"/>
      <c r="N148" s="43"/>
      <c r="O148" s="44"/>
      <c r="P148" s="44"/>
      <c r="Q148" s="44"/>
      <c r="R148" s="43"/>
      <c r="S148" s="43"/>
      <c r="T148" s="45"/>
    </row>
    <row r="149" spans="1:20">
      <c r="A149" s="42">
        <v>148</v>
      </c>
      <c r="B149" s="43"/>
      <c r="C149" s="43"/>
      <c r="D149" s="43"/>
      <c r="E149" s="43"/>
      <c r="F149" s="43"/>
      <c r="G149" s="42"/>
      <c r="H149" s="43"/>
      <c r="I149" s="44"/>
      <c r="J149" s="44"/>
      <c r="K149" s="43"/>
      <c r="L149" s="43"/>
      <c r="M149" s="44"/>
      <c r="N149" s="43"/>
      <c r="O149" s="44"/>
      <c r="P149" s="44"/>
      <c r="Q149" s="44"/>
      <c r="R149" s="43"/>
      <c r="S149" s="43"/>
      <c r="T149" s="45"/>
    </row>
    <row r="150" spans="1:20">
      <c r="A150" s="42">
        <v>149</v>
      </c>
      <c r="B150" s="43"/>
      <c r="C150" s="43"/>
      <c r="D150" s="43"/>
      <c r="E150" s="43"/>
      <c r="F150" s="43"/>
      <c r="G150" s="42"/>
      <c r="H150" s="43"/>
      <c r="I150" s="44"/>
      <c r="J150" s="44"/>
      <c r="K150" s="43"/>
      <c r="L150" s="43"/>
      <c r="M150" s="44"/>
      <c r="N150" s="43"/>
      <c r="O150" s="44"/>
      <c r="P150" s="44"/>
      <c r="Q150" s="44"/>
      <c r="R150" s="43"/>
      <c r="S150" s="43"/>
      <c r="T150" s="45"/>
    </row>
    <row r="151" spans="1:20">
      <c r="A151" s="42">
        <v>150</v>
      </c>
      <c r="B151" s="43"/>
      <c r="C151" s="43"/>
      <c r="D151" s="43"/>
      <c r="E151" s="43"/>
      <c r="F151" s="43"/>
      <c r="G151" s="42"/>
      <c r="H151" s="43"/>
      <c r="I151" s="44"/>
      <c r="J151" s="44"/>
      <c r="K151" s="43"/>
      <c r="L151" s="43"/>
      <c r="M151" s="44"/>
      <c r="N151" s="43"/>
      <c r="O151" s="44"/>
      <c r="P151" s="44"/>
      <c r="Q151" s="44"/>
      <c r="R151" s="43"/>
      <c r="S151" s="43"/>
      <c r="T151" s="45"/>
    </row>
    <row r="152" spans="1:20">
      <c r="A152" s="42">
        <v>151</v>
      </c>
      <c r="B152" s="43"/>
      <c r="C152" s="43"/>
      <c r="D152" s="43"/>
      <c r="E152" s="43"/>
      <c r="F152" s="43"/>
      <c r="G152" s="42"/>
      <c r="H152" s="43"/>
      <c r="I152" s="44"/>
      <c r="J152" s="44"/>
      <c r="K152" s="43"/>
      <c r="L152" s="43"/>
      <c r="M152" s="44"/>
      <c r="N152" s="43"/>
      <c r="O152" s="44"/>
      <c r="P152" s="44"/>
      <c r="Q152" s="44"/>
      <c r="R152" s="43"/>
      <c r="S152" s="43"/>
      <c r="T152" s="45"/>
    </row>
    <row r="153" spans="1:20">
      <c r="A153" s="42">
        <v>152</v>
      </c>
      <c r="B153" s="43"/>
      <c r="C153" s="43"/>
      <c r="D153" s="43"/>
      <c r="E153" s="43"/>
      <c r="F153" s="43"/>
      <c r="G153" s="42"/>
      <c r="H153" s="43"/>
      <c r="I153" s="44"/>
      <c r="J153" s="44"/>
      <c r="K153" s="43"/>
      <c r="L153" s="43"/>
      <c r="M153" s="44"/>
      <c r="N153" s="43"/>
      <c r="O153" s="44"/>
      <c r="P153" s="44"/>
      <c r="Q153" s="44"/>
      <c r="R153" s="43"/>
      <c r="S153" s="43"/>
      <c r="T153" s="45"/>
    </row>
    <row r="154" spans="1:20">
      <c r="A154" s="42">
        <v>153</v>
      </c>
      <c r="B154" s="43"/>
      <c r="C154" s="43"/>
      <c r="D154" s="43"/>
      <c r="E154" s="43"/>
      <c r="F154" s="43"/>
      <c r="G154" s="42"/>
      <c r="H154" s="43"/>
      <c r="I154" s="44"/>
      <c r="J154" s="44"/>
      <c r="K154" s="43"/>
      <c r="L154" s="43"/>
      <c r="M154" s="44"/>
      <c r="N154" s="43"/>
      <c r="O154" s="44"/>
      <c r="P154" s="44"/>
      <c r="Q154" s="44"/>
      <c r="R154" s="43"/>
      <c r="S154" s="43"/>
      <c r="T154" s="45"/>
    </row>
    <row r="155" spans="1:20">
      <c r="A155" s="42">
        <v>154</v>
      </c>
      <c r="B155" s="43"/>
      <c r="C155" s="43"/>
      <c r="D155" s="43"/>
      <c r="E155" s="43"/>
      <c r="F155" s="43"/>
      <c r="G155" s="42"/>
      <c r="H155" s="43"/>
      <c r="I155" s="44"/>
      <c r="J155" s="44"/>
      <c r="K155" s="43"/>
      <c r="L155" s="43"/>
      <c r="M155" s="44"/>
      <c r="N155" s="43"/>
      <c r="O155" s="44"/>
      <c r="P155" s="44"/>
      <c r="Q155" s="44"/>
      <c r="R155" s="43"/>
      <c r="S155" s="43"/>
      <c r="T155" s="45"/>
    </row>
    <row r="156" spans="1:20">
      <c r="A156" s="42">
        <v>155</v>
      </c>
      <c r="B156" s="43"/>
      <c r="C156" s="43"/>
      <c r="D156" s="43"/>
      <c r="E156" s="43"/>
      <c r="F156" s="43"/>
      <c r="G156" s="42"/>
      <c r="H156" s="43"/>
      <c r="I156" s="44"/>
      <c r="J156" s="44"/>
      <c r="K156" s="43"/>
      <c r="L156" s="43"/>
      <c r="M156" s="44"/>
      <c r="N156" s="43"/>
      <c r="O156" s="44"/>
      <c r="P156" s="44"/>
      <c r="Q156" s="44"/>
      <c r="R156" s="43"/>
      <c r="S156" s="43"/>
      <c r="T156" s="45"/>
    </row>
    <row r="157" spans="1:20">
      <c r="A157" s="42">
        <v>156</v>
      </c>
      <c r="B157" s="43"/>
      <c r="C157" s="43"/>
      <c r="D157" s="43"/>
      <c r="E157" s="43"/>
      <c r="F157" s="43"/>
      <c r="G157" s="42"/>
      <c r="H157" s="43"/>
      <c r="I157" s="44"/>
      <c r="J157" s="44"/>
      <c r="K157" s="43"/>
      <c r="L157" s="43"/>
      <c r="M157" s="44"/>
      <c r="N157" s="43"/>
      <c r="O157" s="44"/>
      <c r="P157" s="44"/>
      <c r="Q157" s="44"/>
      <c r="R157" s="43"/>
      <c r="S157" s="43"/>
      <c r="T157" s="45"/>
    </row>
    <row r="158" spans="1:20">
      <c r="A158" s="42">
        <v>157</v>
      </c>
      <c r="B158" s="43"/>
      <c r="C158" s="43"/>
      <c r="D158" s="43"/>
      <c r="E158" s="43"/>
      <c r="F158" s="43"/>
      <c r="G158" s="42"/>
      <c r="H158" s="43"/>
      <c r="I158" s="44"/>
      <c r="J158" s="44"/>
      <c r="K158" s="43"/>
      <c r="L158" s="43"/>
      <c r="M158" s="44"/>
      <c r="N158" s="43"/>
      <c r="O158" s="44"/>
      <c r="P158" s="44"/>
      <c r="Q158" s="44"/>
      <c r="R158" s="43"/>
      <c r="S158" s="43"/>
      <c r="T158" s="45"/>
    </row>
    <row r="159" spans="1:20">
      <c r="A159" s="42">
        <v>158</v>
      </c>
      <c r="B159" s="43"/>
      <c r="C159" s="43"/>
      <c r="D159" s="43"/>
      <c r="E159" s="43"/>
      <c r="F159" s="43"/>
      <c r="G159" s="42"/>
      <c r="H159" s="43"/>
      <c r="I159" s="44"/>
      <c r="J159" s="44"/>
      <c r="K159" s="43"/>
      <c r="L159" s="43"/>
      <c r="M159" s="44"/>
      <c r="N159" s="43"/>
      <c r="O159" s="44"/>
      <c r="P159" s="44"/>
      <c r="Q159" s="44"/>
      <c r="R159" s="43"/>
      <c r="S159" s="43"/>
      <c r="T159" s="45"/>
    </row>
    <row r="160" spans="1:20">
      <c r="A160" s="42">
        <v>159</v>
      </c>
      <c r="B160" s="43"/>
      <c r="C160" s="43"/>
      <c r="D160" s="43"/>
      <c r="E160" s="43"/>
      <c r="F160" s="43"/>
      <c r="G160" s="42"/>
      <c r="H160" s="43"/>
      <c r="I160" s="44"/>
      <c r="J160" s="44"/>
      <c r="K160" s="43"/>
      <c r="L160" s="43"/>
      <c r="M160" s="44"/>
      <c r="N160" s="43"/>
      <c r="O160" s="44"/>
      <c r="P160" s="44"/>
      <c r="Q160" s="44"/>
      <c r="R160" s="43"/>
      <c r="S160" s="43"/>
      <c r="T160" s="45"/>
    </row>
    <row r="161" spans="1:20">
      <c r="A161" s="42">
        <v>160</v>
      </c>
      <c r="B161" s="43"/>
      <c r="C161" s="43"/>
      <c r="D161" s="43"/>
      <c r="E161" s="43"/>
      <c r="F161" s="43"/>
      <c r="G161" s="42"/>
      <c r="H161" s="43"/>
      <c r="I161" s="44"/>
      <c r="J161" s="44"/>
      <c r="K161" s="43"/>
      <c r="L161" s="43"/>
      <c r="M161" s="44"/>
      <c r="N161" s="43"/>
      <c r="O161" s="44"/>
      <c r="P161" s="44"/>
      <c r="Q161" s="44"/>
      <c r="R161" s="43"/>
      <c r="S161" s="43"/>
      <c r="T161" s="45"/>
    </row>
    <row r="162" spans="1:20">
      <c r="A162" s="42">
        <v>161</v>
      </c>
      <c r="B162" s="43"/>
      <c r="C162" s="43"/>
      <c r="D162" s="43"/>
      <c r="E162" s="43"/>
      <c r="F162" s="43"/>
      <c r="G162" s="42"/>
      <c r="H162" s="43"/>
      <c r="I162" s="44"/>
      <c r="J162" s="44"/>
      <c r="K162" s="43"/>
      <c r="L162" s="43"/>
      <c r="M162" s="44"/>
      <c r="N162" s="43"/>
      <c r="O162" s="44"/>
      <c r="P162" s="44"/>
      <c r="Q162" s="44"/>
      <c r="R162" s="43"/>
      <c r="S162" s="43"/>
      <c r="T162" s="45"/>
    </row>
    <row r="163" spans="1:20">
      <c r="A163" s="42">
        <v>162</v>
      </c>
      <c r="B163" s="43"/>
      <c r="C163" s="43"/>
      <c r="D163" s="43"/>
      <c r="E163" s="43"/>
      <c r="F163" s="43"/>
      <c r="G163" s="42"/>
      <c r="H163" s="43"/>
      <c r="I163" s="44"/>
      <c r="J163" s="44"/>
      <c r="K163" s="43"/>
      <c r="L163" s="43"/>
      <c r="M163" s="44"/>
      <c r="N163" s="43"/>
      <c r="O163" s="44"/>
      <c r="P163" s="44"/>
      <c r="Q163" s="44"/>
      <c r="R163" s="43"/>
      <c r="S163" s="43"/>
      <c r="T163" s="45"/>
    </row>
    <row r="164" spans="1:20">
      <c r="A164" s="42">
        <v>163</v>
      </c>
      <c r="B164" s="43"/>
      <c r="C164" s="43"/>
      <c r="D164" s="43"/>
      <c r="E164" s="43"/>
      <c r="F164" s="43"/>
      <c r="G164" s="42"/>
      <c r="H164" s="43"/>
      <c r="I164" s="44"/>
      <c r="J164" s="44"/>
      <c r="K164" s="43"/>
      <c r="L164" s="43"/>
      <c r="M164" s="44"/>
      <c r="N164" s="43"/>
      <c r="O164" s="44"/>
      <c r="P164" s="44"/>
      <c r="Q164" s="44"/>
      <c r="R164" s="43"/>
      <c r="S164" s="43"/>
      <c r="T164" s="45"/>
    </row>
    <row r="165" spans="1:20">
      <c r="A165" s="42">
        <v>164</v>
      </c>
      <c r="B165" s="43"/>
      <c r="C165" s="43"/>
      <c r="D165" s="43"/>
      <c r="E165" s="43"/>
      <c r="F165" s="43"/>
      <c r="G165" s="42"/>
      <c r="H165" s="43"/>
      <c r="I165" s="44"/>
      <c r="J165" s="44"/>
      <c r="K165" s="43"/>
      <c r="L165" s="43"/>
      <c r="M165" s="44"/>
      <c r="N165" s="43"/>
      <c r="O165" s="44"/>
      <c r="P165" s="44"/>
      <c r="Q165" s="44"/>
      <c r="R165" s="43"/>
      <c r="S165" s="43"/>
      <c r="T165" s="45"/>
    </row>
    <row r="166" spans="1:20">
      <c r="A166" s="42">
        <v>165</v>
      </c>
      <c r="B166" s="43"/>
      <c r="C166" s="43"/>
      <c r="D166" s="43"/>
      <c r="E166" s="43"/>
      <c r="F166" s="43"/>
      <c r="G166" s="42"/>
      <c r="H166" s="43"/>
      <c r="I166" s="44"/>
      <c r="J166" s="44"/>
      <c r="K166" s="43"/>
      <c r="L166" s="43"/>
      <c r="M166" s="44"/>
      <c r="N166" s="43"/>
      <c r="O166" s="44"/>
      <c r="P166" s="44"/>
      <c r="Q166" s="44"/>
      <c r="R166" s="43"/>
      <c r="S166" s="43"/>
      <c r="T166" s="45"/>
    </row>
    <row r="167" spans="1:20">
      <c r="A167" s="42">
        <v>166</v>
      </c>
      <c r="B167" s="43"/>
      <c r="C167" s="43"/>
      <c r="D167" s="43"/>
      <c r="E167" s="43"/>
      <c r="F167" s="43"/>
      <c r="G167" s="42"/>
      <c r="H167" s="43"/>
      <c r="I167" s="44"/>
      <c r="J167" s="44"/>
      <c r="K167" s="43"/>
      <c r="L167" s="43"/>
      <c r="M167" s="44"/>
      <c r="N167" s="43"/>
      <c r="O167" s="44"/>
      <c r="P167" s="44"/>
      <c r="Q167" s="44"/>
      <c r="R167" s="43"/>
      <c r="S167" s="43"/>
      <c r="T167" s="45"/>
    </row>
    <row r="168" spans="1:20">
      <c r="A168" s="42">
        <v>167</v>
      </c>
      <c r="B168" s="43"/>
      <c r="C168" s="43"/>
      <c r="D168" s="43"/>
      <c r="E168" s="43"/>
      <c r="F168" s="43"/>
      <c r="G168" s="42"/>
      <c r="H168" s="43"/>
      <c r="I168" s="44"/>
      <c r="J168" s="44"/>
      <c r="K168" s="43"/>
      <c r="L168" s="43"/>
      <c r="M168" s="44"/>
      <c r="N168" s="43"/>
      <c r="O168" s="44"/>
      <c r="P168" s="44"/>
      <c r="Q168" s="44"/>
      <c r="R168" s="43"/>
      <c r="S168" s="43"/>
      <c r="T168" s="45"/>
    </row>
    <row r="169" spans="1:20">
      <c r="A169" s="42">
        <v>168</v>
      </c>
      <c r="B169" s="43"/>
      <c r="C169" s="43"/>
      <c r="D169" s="43"/>
      <c r="E169" s="43"/>
      <c r="F169" s="43"/>
      <c r="G169" s="42"/>
      <c r="H169" s="43"/>
      <c r="I169" s="44"/>
      <c r="J169" s="44"/>
      <c r="K169" s="43"/>
      <c r="L169" s="43"/>
      <c r="M169" s="44"/>
      <c r="N169" s="43"/>
      <c r="O169" s="44"/>
      <c r="P169" s="44"/>
      <c r="Q169" s="44"/>
      <c r="R169" s="43"/>
      <c r="S169" s="43"/>
      <c r="T169" s="45"/>
    </row>
    <row r="170" spans="1:20">
      <c r="A170" s="42">
        <v>169</v>
      </c>
      <c r="B170" s="43"/>
      <c r="C170" s="43"/>
      <c r="D170" s="43"/>
      <c r="E170" s="43"/>
      <c r="F170" s="43"/>
      <c r="G170" s="42"/>
      <c r="H170" s="43"/>
      <c r="I170" s="44"/>
      <c r="J170" s="44"/>
      <c r="K170" s="43"/>
      <c r="L170" s="43"/>
      <c r="M170" s="44"/>
      <c r="N170" s="43"/>
      <c r="O170" s="44"/>
      <c r="P170" s="44"/>
      <c r="Q170" s="44"/>
      <c r="R170" s="43"/>
      <c r="S170" s="43"/>
      <c r="T170" s="45"/>
    </row>
    <row r="171" spans="1:20">
      <c r="A171" s="42">
        <v>170</v>
      </c>
      <c r="B171" s="43"/>
      <c r="C171" s="43"/>
      <c r="D171" s="43"/>
      <c r="E171" s="43"/>
      <c r="F171" s="43"/>
      <c r="G171" s="42"/>
      <c r="H171" s="43"/>
      <c r="I171" s="44"/>
      <c r="J171" s="44"/>
      <c r="K171" s="43"/>
      <c r="L171" s="43"/>
      <c r="M171" s="44"/>
      <c r="N171" s="43"/>
      <c r="O171" s="44"/>
      <c r="P171" s="44"/>
      <c r="Q171" s="44"/>
      <c r="R171" s="43"/>
      <c r="S171" s="43"/>
      <c r="T171" s="45"/>
    </row>
    <row r="172" spans="1:20">
      <c r="A172" s="42">
        <v>171</v>
      </c>
      <c r="B172" s="43"/>
      <c r="C172" s="43"/>
      <c r="D172" s="43"/>
      <c r="E172" s="43"/>
      <c r="F172" s="43"/>
      <c r="G172" s="42"/>
      <c r="H172" s="43"/>
      <c r="I172" s="44"/>
      <c r="J172" s="44"/>
      <c r="K172" s="43"/>
      <c r="L172" s="43"/>
      <c r="M172" s="44"/>
      <c r="N172" s="43"/>
      <c r="O172" s="44"/>
      <c r="P172" s="44"/>
      <c r="Q172" s="44"/>
      <c r="R172" s="43"/>
      <c r="S172" s="43"/>
      <c r="T172" s="45"/>
    </row>
    <row r="173" spans="1:20">
      <c r="A173" s="42">
        <v>172</v>
      </c>
      <c r="B173" s="43"/>
      <c r="C173" s="43"/>
      <c r="D173" s="43"/>
      <c r="E173" s="43"/>
      <c r="F173" s="43"/>
      <c r="G173" s="42"/>
      <c r="H173" s="43"/>
      <c r="I173" s="44"/>
      <c r="J173" s="44"/>
      <c r="K173" s="43"/>
      <c r="L173" s="43"/>
      <c r="M173" s="44"/>
      <c r="N173" s="43"/>
      <c r="O173" s="44"/>
      <c r="P173" s="44"/>
      <c r="Q173" s="44"/>
      <c r="R173" s="43"/>
      <c r="S173" s="43"/>
      <c r="T173" s="45"/>
    </row>
    <row r="174" spans="1:20">
      <c r="A174" s="42">
        <v>173</v>
      </c>
      <c r="B174" s="43"/>
      <c r="C174" s="43"/>
      <c r="D174" s="43"/>
      <c r="E174" s="43"/>
      <c r="F174" s="43"/>
      <c r="G174" s="42"/>
      <c r="H174" s="43"/>
      <c r="I174" s="44"/>
      <c r="J174" s="44"/>
      <c r="K174" s="43"/>
      <c r="L174" s="43"/>
      <c r="M174" s="44"/>
      <c r="N174" s="43"/>
      <c r="O174" s="44"/>
      <c r="P174" s="44"/>
      <c r="Q174" s="44"/>
      <c r="R174" s="43"/>
      <c r="S174" s="43"/>
      <c r="T174" s="45"/>
    </row>
    <row r="175" spans="1:20">
      <c r="A175" s="42">
        <v>174</v>
      </c>
      <c r="B175" s="43"/>
      <c r="C175" s="43"/>
      <c r="D175" s="43"/>
      <c r="E175" s="43"/>
      <c r="F175" s="43"/>
      <c r="G175" s="42"/>
      <c r="H175" s="43"/>
      <c r="I175" s="44"/>
      <c r="J175" s="44"/>
      <c r="K175" s="43"/>
      <c r="L175" s="43"/>
      <c r="M175" s="44"/>
      <c r="N175" s="43"/>
      <c r="O175" s="44"/>
      <c r="P175" s="44"/>
      <c r="Q175" s="44"/>
      <c r="R175" s="43"/>
      <c r="S175" s="43"/>
      <c r="T175" s="45"/>
    </row>
    <row r="176" spans="1:20">
      <c r="A176" s="42">
        <v>175</v>
      </c>
      <c r="B176" s="43"/>
      <c r="C176" s="43"/>
      <c r="D176" s="43"/>
      <c r="E176" s="43"/>
      <c r="F176" s="43"/>
      <c r="G176" s="42"/>
      <c r="H176" s="43"/>
      <c r="I176" s="44"/>
      <c r="J176" s="44"/>
      <c r="K176" s="43"/>
      <c r="L176" s="43"/>
      <c r="M176" s="44"/>
      <c r="N176" s="43"/>
      <c r="O176" s="44"/>
      <c r="P176" s="44"/>
      <c r="Q176" s="44"/>
      <c r="R176" s="43"/>
      <c r="S176" s="43"/>
      <c r="T176" s="45"/>
    </row>
    <row r="177" spans="1:20">
      <c r="A177" s="42">
        <v>176</v>
      </c>
      <c r="B177" s="43"/>
      <c r="C177" s="43"/>
      <c r="D177" s="43"/>
      <c r="E177" s="43"/>
      <c r="F177" s="43"/>
      <c r="G177" s="42"/>
      <c r="H177" s="43"/>
      <c r="I177" s="44"/>
      <c r="J177" s="44"/>
      <c r="K177" s="43"/>
      <c r="L177" s="43"/>
      <c r="M177" s="44"/>
      <c r="N177" s="43"/>
      <c r="O177" s="44"/>
      <c r="P177" s="44"/>
      <c r="Q177" s="44"/>
      <c r="R177" s="43"/>
      <c r="S177" s="43"/>
      <c r="T177" s="45"/>
    </row>
    <row r="178" spans="1:20">
      <c r="A178" s="42">
        <v>177</v>
      </c>
      <c r="B178" s="43"/>
      <c r="C178" s="43"/>
      <c r="D178" s="43"/>
      <c r="E178" s="43"/>
      <c r="F178" s="43"/>
      <c r="G178" s="42"/>
      <c r="H178" s="43"/>
      <c r="I178" s="44"/>
      <c r="J178" s="44"/>
      <c r="K178" s="43"/>
      <c r="L178" s="43"/>
      <c r="M178" s="44"/>
      <c r="N178" s="43"/>
      <c r="O178" s="44"/>
      <c r="P178" s="44"/>
      <c r="Q178" s="44"/>
      <c r="R178" s="43"/>
      <c r="S178" s="43"/>
      <c r="T178" s="45"/>
    </row>
    <row r="179" spans="1:20">
      <c r="A179" s="42">
        <v>178</v>
      </c>
      <c r="B179" s="43"/>
      <c r="C179" s="43"/>
      <c r="D179" s="43"/>
      <c r="E179" s="43"/>
      <c r="F179" s="43"/>
      <c r="G179" s="42"/>
      <c r="H179" s="43"/>
      <c r="I179" s="44"/>
      <c r="J179" s="44"/>
      <c r="K179" s="43"/>
      <c r="L179" s="43"/>
      <c r="M179" s="44"/>
      <c r="N179" s="43"/>
      <c r="O179" s="44"/>
      <c r="P179" s="44"/>
      <c r="Q179" s="44"/>
      <c r="R179" s="43"/>
      <c r="S179" s="43"/>
      <c r="T179" s="45"/>
    </row>
    <row r="180" spans="1:20">
      <c r="A180" s="42">
        <v>179</v>
      </c>
      <c r="B180" s="43"/>
      <c r="C180" s="43"/>
      <c r="D180" s="43"/>
      <c r="E180" s="43"/>
      <c r="F180" s="43"/>
      <c r="G180" s="42"/>
      <c r="H180" s="43"/>
      <c r="I180" s="44"/>
      <c r="J180" s="44"/>
      <c r="K180" s="43"/>
      <c r="L180" s="43"/>
      <c r="M180" s="44"/>
      <c r="N180" s="43"/>
      <c r="O180" s="44"/>
      <c r="P180" s="44"/>
      <c r="Q180" s="44"/>
      <c r="R180" s="43"/>
      <c r="S180" s="43"/>
      <c r="T180" s="45"/>
    </row>
    <row r="181" spans="1:20">
      <c r="A181" s="42">
        <v>180</v>
      </c>
      <c r="B181" s="43"/>
      <c r="C181" s="43"/>
      <c r="D181" s="43"/>
      <c r="E181" s="43"/>
      <c r="F181" s="43"/>
      <c r="G181" s="42"/>
      <c r="H181" s="43"/>
      <c r="I181" s="44"/>
      <c r="J181" s="44"/>
      <c r="K181" s="43"/>
      <c r="L181" s="43"/>
      <c r="M181" s="44"/>
      <c r="N181" s="43"/>
      <c r="O181" s="44"/>
      <c r="P181" s="44"/>
      <c r="Q181" s="44"/>
      <c r="R181" s="43"/>
      <c r="S181" s="43"/>
      <c r="T181" s="45"/>
    </row>
    <row r="182" spans="1:20">
      <c r="A182" s="42">
        <v>181</v>
      </c>
      <c r="B182" s="43"/>
      <c r="C182" s="43"/>
      <c r="D182" s="43"/>
      <c r="E182" s="43"/>
      <c r="F182" s="43"/>
      <c r="G182" s="42"/>
      <c r="H182" s="43"/>
      <c r="I182" s="44"/>
      <c r="J182" s="44"/>
      <c r="K182" s="43"/>
      <c r="L182" s="43"/>
      <c r="M182" s="44"/>
      <c r="N182" s="43"/>
      <c r="O182" s="44"/>
      <c r="P182" s="44"/>
      <c r="Q182" s="44"/>
      <c r="R182" s="43"/>
      <c r="S182" s="43"/>
      <c r="T182" s="45"/>
    </row>
    <row r="183" spans="1:20">
      <c r="A183" s="42">
        <v>182</v>
      </c>
      <c r="B183" s="43"/>
      <c r="C183" s="43"/>
      <c r="D183" s="43"/>
      <c r="E183" s="43"/>
      <c r="F183" s="43"/>
      <c r="G183" s="42"/>
      <c r="H183" s="43"/>
      <c r="I183" s="44"/>
      <c r="J183" s="44"/>
      <c r="K183" s="43"/>
      <c r="L183" s="43"/>
      <c r="M183" s="44"/>
      <c r="N183" s="43"/>
      <c r="O183" s="44"/>
      <c r="P183" s="44"/>
      <c r="Q183" s="44"/>
      <c r="R183" s="43"/>
      <c r="S183" s="43"/>
      <c r="T183" s="45"/>
    </row>
    <row r="184" spans="1:20">
      <c r="A184" s="42">
        <v>183</v>
      </c>
      <c r="B184" s="43"/>
      <c r="C184" s="43"/>
      <c r="D184" s="43"/>
      <c r="E184" s="43"/>
      <c r="F184" s="43"/>
      <c r="G184" s="42"/>
      <c r="H184" s="43"/>
      <c r="I184" s="44"/>
      <c r="J184" s="44"/>
      <c r="K184" s="43"/>
      <c r="L184" s="43"/>
      <c r="M184" s="44"/>
      <c r="N184" s="43"/>
      <c r="O184" s="44"/>
      <c r="P184" s="44"/>
      <c r="Q184" s="44"/>
      <c r="R184" s="43"/>
      <c r="S184" s="43"/>
      <c r="T184" s="45"/>
    </row>
    <row r="185" spans="1:20">
      <c r="A185" s="42">
        <v>184</v>
      </c>
      <c r="B185" s="43"/>
      <c r="C185" s="43"/>
      <c r="D185" s="43"/>
      <c r="E185" s="43"/>
      <c r="F185" s="43"/>
      <c r="G185" s="42"/>
      <c r="H185" s="43"/>
      <c r="I185" s="44"/>
      <c r="J185" s="44"/>
      <c r="K185" s="43"/>
      <c r="L185" s="43"/>
      <c r="M185" s="44"/>
      <c r="N185" s="43"/>
      <c r="O185" s="44"/>
      <c r="P185" s="44"/>
      <c r="Q185" s="44"/>
      <c r="R185" s="43"/>
      <c r="S185" s="43"/>
      <c r="T185" s="45"/>
    </row>
    <row r="186" spans="1:20">
      <c r="A186" s="42">
        <v>185</v>
      </c>
      <c r="B186" s="43"/>
      <c r="C186" s="43"/>
      <c r="D186" s="43"/>
      <c r="E186" s="43"/>
      <c r="F186" s="43"/>
      <c r="G186" s="42"/>
      <c r="H186" s="43"/>
      <c r="I186" s="44"/>
      <c r="J186" s="44"/>
      <c r="K186" s="43"/>
      <c r="L186" s="43"/>
      <c r="M186" s="44"/>
      <c r="N186" s="43"/>
      <c r="O186" s="44"/>
      <c r="P186" s="44"/>
      <c r="Q186" s="44"/>
      <c r="R186" s="43"/>
      <c r="S186" s="43"/>
      <c r="T186" s="45"/>
    </row>
    <row r="187" spans="1:20">
      <c r="A187" s="42">
        <v>186</v>
      </c>
      <c r="B187" s="43"/>
      <c r="C187" s="43"/>
      <c r="D187" s="43"/>
      <c r="E187" s="43"/>
      <c r="F187" s="43"/>
      <c r="G187" s="42"/>
      <c r="H187" s="43"/>
      <c r="I187" s="44"/>
      <c r="J187" s="44"/>
      <c r="K187" s="43"/>
      <c r="L187" s="43"/>
      <c r="M187" s="44"/>
      <c r="N187" s="43"/>
      <c r="O187" s="44"/>
      <c r="P187" s="44"/>
      <c r="Q187" s="44"/>
      <c r="R187" s="43"/>
      <c r="S187" s="43"/>
      <c r="T187" s="45"/>
    </row>
    <row r="188" spans="1:20">
      <c r="A188" s="42">
        <v>187</v>
      </c>
      <c r="B188" s="43"/>
      <c r="C188" s="43"/>
      <c r="D188" s="43"/>
      <c r="E188" s="43"/>
      <c r="F188" s="43"/>
      <c r="G188" s="42"/>
      <c r="H188" s="43"/>
      <c r="I188" s="44"/>
      <c r="J188" s="44"/>
      <c r="K188" s="43"/>
      <c r="L188" s="43"/>
      <c r="M188" s="44"/>
      <c r="N188" s="43"/>
      <c r="O188" s="44"/>
      <c r="P188" s="44"/>
      <c r="Q188" s="44"/>
      <c r="R188" s="43"/>
      <c r="S188" s="43"/>
      <c r="T188" s="45"/>
    </row>
    <row r="189" spans="1:20">
      <c r="A189" s="42">
        <v>188</v>
      </c>
      <c r="B189" s="43"/>
      <c r="C189" s="43"/>
      <c r="D189" s="43"/>
      <c r="E189" s="43"/>
      <c r="F189" s="43"/>
      <c r="G189" s="42"/>
      <c r="H189" s="43"/>
      <c r="I189" s="44"/>
      <c r="J189" s="44"/>
      <c r="K189" s="43"/>
      <c r="L189" s="43"/>
      <c r="M189" s="44"/>
      <c r="N189" s="43"/>
      <c r="O189" s="44"/>
      <c r="P189" s="44"/>
      <c r="Q189" s="44"/>
      <c r="R189" s="43"/>
      <c r="S189" s="43"/>
      <c r="T189" s="45"/>
    </row>
    <row r="190" spans="1:20">
      <c r="A190" s="42">
        <v>189</v>
      </c>
      <c r="B190" s="43"/>
      <c r="C190" s="43"/>
      <c r="D190" s="43"/>
      <c r="E190" s="43"/>
      <c r="F190" s="43"/>
      <c r="G190" s="42"/>
      <c r="H190" s="43"/>
      <c r="I190" s="44"/>
      <c r="J190" s="44"/>
      <c r="K190" s="43"/>
      <c r="L190" s="43"/>
      <c r="M190" s="44"/>
      <c r="N190" s="43"/>
      <c r="O190" s="44"/>
      <c r="P190" s="44"/>
      <c r="Q190" s="44"/>
      <c r="R190" s="43"/>
      <c r="S190" s="43"/>
      <c r="T190" s="45"/>
    </row>
    <row r="191" spans="1:20">
      <c r="A191" s="42">
        <v>190</v>
      </c>
      <c r="B191" s="43"/>
      <c r="C191" s="43"/>
      <c r="D191" s="43"/>
      <c r="E191" s="43"/>
      <c r="F191" s="43"/>
      <c r="G191" s="42"/>
      <c r="H191" s="43"/>
      <c r="I191" s="44"/>
      <c r="J191" s="44"/>
      <c r="K191" s="43"/>
      <c r="L191" s="43"/>
      <c r="M191" s="44"/>
      <c r="N191" s="43"/>
      <c r="O191" s="44"/>
      <c r="P191" s="44"/>
      <c r="Q191" s="44"/>
      <c r="R191" s="43"/>
      <c r="S191" s="43"/>
      <c r="T191" s="45"/>
    </row>
    <row r="192" spans="1:20">
      <c r="A192" s="42">
        <v>191</v>
      </c>
      <c r="B192" s="43"/>
      <c r="C192" s="43"/>
      <c r="D192" s="43"/>
      <c r="E192" s="43"/>
      <c r="F192" s="43"/>
      <c r="G192" s="42"/>
      <c r="H192" s="43"/>
      <c r="I192" s="44"/>
      <c r="J192" s="44"/>
      <c r="K192" s="43"/>
      <c r="L192" s="43"/>
      <c r="M192" s="44"/>
      <c r="N192" s="43"/>
      <c r="O192" s="44"/>
      <c r="P192" s="44"/>
      <c r="Q192" s="44"/>
      <c r="R192" s="43"/>
      <c r="S192" s="43"/>
      <c r="T192" s="45"/>
    </row>
    <row r="193" spans="1:20">
      <c r="A193" s="42">
        <v>192</v>
      </c>
      <c r="B193" s="43"/>
      <c r="C193" s="43"/>
      <c r="D193" s="43"/>
      <c r="E193" s="43"/>
      <c r="F193" s="43"/>
      <c r="G193" s="42"/>
      <c r="H193" s="43"/>
      <c r="I193" s="44"/>
      <c r="J193" s="44"/>
      <c r="K193" s="43"/>
      <c r="L193" s="43"/>
      <c r="M193" s="44"/>
      <c r="N193" s="43"/>
      <c r="O193" s="44"/>
      <c r="P193" s="44"/>
      <c r="Q193" s="44"/>
      <c r="R193" s="43"/>
      <c r="S193" s="43"/>
      <c r="T193" s="45"/>
    </row>
    <row r="194" spans="1:20">
      <c r="A194" s="42">
        <v>193</v>
      </c>
      <c r="B194" s="43"/>
      <c r="C194" s="43"/>
      <c r="D194" s="43"/>
      <c r="E194" s="43"/>
      <c r="F194" s="43"/>
      <c r="G194" s="42"/>
      <c r="H194" s="43"/>
      <c r="I194" s="44"/>
      <c r="J194" s="44"/>
      <c r="K194" s="43"/>
      <c r="L194" s="43"/>
      <c r="M194" s="44"/>
      <c r="N194" s="43"/>
      <c r="O194" s="44"/>
      <c r="P194" s="44"/>
      <c r="Q194" s="44"/>
      <c r="R194" s="43"/>
      <c r="S194" s="43"/>
      <c r="T194" s="45"/>
    </row>
    <row r="195" spans="1:20">
      <c r="A195" s="42">
        <v>194</v>
      </c>
      <c r="B195" s="43"/>
      <c r="C195" s="43"/>
      <c r="D195" s="43"/>
      <c r="E195" s="43"/>
      <c r="F195" s="43"/>
      <c r="G195" s="42"/>
      <c r="H195" s="43"/>
      <c r="I195" s="44"/>
      <c r="J195" s="44"/>
      <c r="K195" s="43"/>
      <c r="L195" s="43"/>
      <c r="M195" s="44"/>
      <c r="N195" s="43"/>
      <c r="O195" s="44"/>
      <c r="P195" s="44"/>
      <c r="Q195" s="44"/>
      <c r="R195" s="43"/>
      <c r="S195" s="43"/>
      <c r="T195" s="45"/>
    </row>
    <row r="196" spans="1:20">
      <c r="A196" s="42">
        <v>195</v>
      </c>
      <c r="B196" s="43"/>
      <c r="C196" s="43"/>
      <c r="D196" s="43"/>
      <c r="E196" s="43"/>
      <c r="F196" s="43"/>
      <c r="G196" s="42"/>
      <c r="H196" s="43"/>
      <c r="I196" s="44"/>
      <c r="J196" s="44"/>
      <c r="K196" s="43"/>
      <c r="L196" s="43"/>
      <c r="M196" s="44"/>
      <c r="N196" s="43"/>
      <c r="O196" s="44"/>
      <c r="P196" s="44"/>
      <c r="Q196" s="44"/>
      <c r="R196" s="43"/>
      <c r="S196" s="43"/>
      <c r="T196" s="45"/>
    </row>
    <row r="197" spans="1:20">
      <c r="A197" s="42">
        <v>196</v>
      </c>
      <c r="B197" s="43"/>
      <c r="C197" s="43"/>
      <c r="D197" s="43"/>
      <c r="E197" s="43"/>
      <c r="F197" s="43"/>
      <c r="G197" s="42"/>
      <c r="H197" s="43"/>
      <c r="I197" s="44"/>
      <c r="J197" s="44"/>
      <c r="K197" s="43"/>
      <c r="L197" s="43"/>
      <c r="M197" s="44"/>
      <c r="N197" s="43"/>
      <c r="O197" s="44"/>
      <c r="P197" s="44"/>
      <c r="Q197" s="44"/>
      <c r="R197" s="43"/>
      <c r="S197" s="43"/>
      <c r="T197" s="45"/>
    </row>
    <row r="198" spans="1:20">
      <c r="A198" s="42">
        <v>197</v>
      </c>
      <c r="B198" s="43"/>
      <c r="C198" s="43"/>
      <c r="D198" s="43"/>
      <c r="E198" s="43"/>
      <c r="F198" s="43"/>
      <c r="G198" s="42"/>
      <c r="H198" s="43"/>
      <c r="I198" s="44"/>
      <c r="J198" s="44"/>
      <c r="K198" s="43"/>
      <c r="L198" s="43"/>
      <c r="M198" s="44"/>
      <c r="N198" s="43"/>
      <c r="O198" s="44"/>
      <c r="P198" s="44"/>
      <c r="Q198" s="44"/>
      <c r="R198" s="43"/>
      <c r="S198" s="43"/>
      <c r="T198" s="45"/>
    </row>
    <row r="199" spans="1:20">
      <c r="A199" s="42">
        <v>198</v>
      </c>
      <c r="B199" s="43"/>
      <c r="C199" s="43"/>
      <c r="D199" s="43"/>
      <c r="E199" s="43"/>
      <c r="F199" s="43"/>
      <c r="G199" s="42"/>
      <c r="H199" s="43"/>
      <c r="I199" s="44"/>
      <c r="J199" s="44"/>
      <c r="K199" s="43"/>
      <c r="L199" s="43"/>
      <c r="M199" s="44"/>
      <c r="N199" s="43"/>
      <c r="O199" s="44"/>
      <c r="P199" s="44"/>
      <c r="Q199" s="44"/>
      <c r="R199" s="43"/>
      <c r="S199" s="43"/>
      <c r="T199" s="45"/>
    </row>
    <row r="200" spans="1:20">
      <c r="A200" s="42">
        <v>199</v>
      </c>
      <c r="B200" s="43"/>
      <c r="C200" s="43"/>
      <c r="D200" s="43"/>
      <c r="E200" s="43"/>
      <c r="F200" s="43"/>
      <c r="G200" s="42"/>
      <c r="H200" s="43"/>
      <c r="I200" s="44"/>
      <c r="J200" s="44"/>
      <c r="K200" s="43"/>
      <c r="L200" s="43"/>
      <c r="M200" s="44"/>
      <c r="N200" s="43"/>
      <c r="O200" s="44"/>
      <c r="P200" s="44"/>
      <c r="Q200" s="44"/>
      <c r="R200" s="43"/>
      <c r="S200" s="43"/>
      <c r="T200" s="45"/>
    </row>
    <row r="201" spans="1:20">
      <c r="A201" s="42">
        <v>200</v>
      </c>
      <c r="B201" s="43"/>
      <c r="C201" s="43"/>
      <c r="D201" s="43"/>
      <c r="E201" s="43"/>
      <c r="F201" s="43"/>
      <c r="G201" s="42"/>
      <c r="H201" s="43"/>
      <c r="I201" s="44"/>
      <c r="J201" s="44"/>
      <c r="K201" s="43"/>
      <c r="L201" s="43"/>
      <c r="M201" s="44"/>
      <c r="N201" s="43"/>
      <c r="O201" s="44"/>
      <c r="P201" s="44"/>
      <c r="Q201" s="44"/>
      <c r="R201" s="43"/>
      <c r="S201" s="43"/>
      <c r="T201" s="45"/>
    </row>
    <row r="202" spans="1:20">
      <c r="A202" s="42">
        <v>201</v>
      </c>
      <c r="B202" s="43"/>
      <c r="C202" s="43"/>
      <c r="D202" s="43"/>
      <c r="E202" s="43"/>
      <c r="F202" s="43"/>
      <c r="G202" s="42"/>
      <c r="H202" s="43"/>
      <c r="I202" s="44"/>
      <c r="J202" s="44"/>
      <c r="K202" s="43"/>
      <c r="L202" s="43"/>
      <c r="M202" s="44"/>
      <c r="N202" s="43"/>
      <c r="O202" s="44"/>
      <c r="P202" s="44"/>
      <c r="Q202" s="44"/>
      <c r="R202" s="43"/>
      <c r="S202" s="43"/>
      <c r="T202" s="45"/>
    </row>
    <row r="203" spans="1:20">
      <c r="A203" s="42">
        <v>202</v>
      </c>
      <c r="B203" s="43"/>
      <c r="C203" s="43"/>
      <c r="D203" s="43"/>
      <c r="E203" s="43"/>
      <c r="F203" s="43"/>
      <c r="G203" s="42"/>
      <c r="H203" s="43"/>
      <c r="I203" s="44"/>
      <c r="J203" s="44"/>
      <c r="K203" s="43"/>
      <c r="L203" s="43"/>
      <c r="M203" s="44"/>
      <c r="N203" s="43"/>
      <c r="O203" s="44"/>
      <c r="P203" s="44"/>
      <c r="Q203" s="44"/>
      <c r="R203" s="43"/>
      <c r="S203" s="43"/>
      <c r="T203" s="45"/>
    </row>
    <row r="204" spans="1:20">
      <c r="A204" s="42">
        <v>203</v>
      </c>
      <c r="B204" s="43"/>
      <c r="C204" s="43"/>
      <c r="D204" s="43"/>
      <c r="E204" s="43"/>
      <c r="F204" s="43"/>
      <c r="G204" s="42"/>
      <c r="H204" s="43"/>
      <c r="I204" s="44"/>
      <c r="J204" s="44"/>
      <c r="K204" s="43"/>
      <c r="L204" s="43"/>
      <c r="M204" s="44"/>
      <c r="N204" s="43"/>
      <c r="O204" s="44"/>
      <c r="P204" s="44"/>
      <c r="Q204" s="44"/>
      <c r="R204" s="43"/>
      <c r="S204" s="43"/>
      <c r="T204" s="45"/>
    </row>
    <row r="205" spans="1:20">
      <c r="A205" s="42">
        <v>204</v>
      </c>
      <c r="B205" s="43"/>
      <c r="C205" s="43"/>
      <c r="D205" s="43"/>
      <c r="E205" s="43"/>
      <c r="F205" s="43"/>
      <c r="G205" s="42"/>
      <c r="H205" s="43"/>
      <c r="I205" s="44"/>
      <c r="J205" s="44"/>
      <c r="K205" s="43"/>
      <c r="L205" s="43"/>
      <c r="M205" s="44"/>
      <c r="N205" s="43"/>
      <c r="O205" s="44"/>
      <c r="P205" s="44"/>
      <c r="Q205" s="44"/>
      <c r="R205" s="43"/>
      <c r="S205" s="43"/>
      <c r="T205" s="45"/>
    </row>
    <row r="206" spans="1:20">
      <c r="A206" s="42">
        <v>205</v>
      </c>
      <c r="B206" s="43"/>
      <c r="C206" s="43"/>
      <c r="D206" s="43"/>
      <c r="E206" s="43"/>
      <c r="F206" s="43"/>
      <c r="G206" s="42"/>
      <c r="H206" s="43"/>
      <c r="I206" s="44"/>
      <c r="J206" s="44"/>
      <c r="K206" s="43"/>
      <c r="L206" s="43"/>
      <c r="M206" s="44"/>
      <c r="N206" s="43"/>
      <c r="O206" s="44"/>
      <c r="P206" s="44"/>
      <c r="Q206" s="44"/>
      <c r="R206" s="43"/>
      <c r="S206" s="43"/>
      <c r="T206" s="45"/>
    </row>
    <row r="207" spans="1:20">
      <c r="A207" s="42">
        <v>206</v>
      </c>
      <c r="B207" s="43"/>
      <c r="C207" s="43"/>
      <c r="D207" s="43"/>
      <c r="E207" s="43"/>
      <c r="F207" s="43"/>
      <c r="G207" s="42"/>
      <c r="H207" s="43"/>
      <c r="I207" s="44"/>
      <c r="J207" s="44"/>
      <c r="K207" s="43"/>
      <c r="L207" s="43"/>
      <c r="M207" s="44"/>
      <c r="N207" s="43"/>
      <c r="O207" s="44"/>
      <c r="P207" s="44"/>
      <c r="Q207" s="44"/>
      <c r="R207" s="43"/>
      <c r="S207" s="43"/>
      <c r="T207" s="45"/>
    </row>
    <row r="208" spans="1:20">
      <c r="A208" s="42">
        <v>207</v>
      </c>
      <c r="B208" s="43"/>
      <c r="C208" s="43"/>
      <c r="D208" s="43"/>
      <c r="E208" s="43"/>
      <c r="F208" s="43"/>
      <c r="G208" s="42"/>
      <c r="H208" s="43"/>
      <c r="I208" s="44"/>
      <c r="J208" s="44"/>
      <c r="K208" s="43"/>
      <c r="L208" s="43"/>
      <c r="M208" s="44"/>
      <c r="N208" s="43"/>
      <c r="O208" s="44"/>
      <c r="P208" s="44"/>
      <c r="Q208" s="44"/>
      <c r="R208" s="43"/>
      <c r="S208" s="43"/>
      <c r="T208" s="45"/>
    </row>
    <row r="209" spans="1:20">
      <c r="A209" s="42">
        <v>208</v>
      </c>
      <c r="B209" s="43"/>
      <c r="C209" s="43"/>
      <c r="D209" s="43"/>
      <c r="E209" s="43"/>
      <c r="F209" s="43"/>
      <c r="G209" s="42"/>
      <c r="H209" s="43"/>
      <c r="I209" s="44"/>
      <c r="J209" s="44"/>
      <c r="K209" s="43"/>
      <c r="L209" s="43"/>
      <c r="M209" s="44"/>
      <c r="N209" s="43"/>
      <c r="O209" s="44"/>
      <c r="P209" s="44"/>
      <c r="Q209" s="44"/>
      <c r="R209" s="43"/>
      <c r="S209" s="43"/>
      <c r="T209" s="45"/>
    </row>
    <row r="210" spans="1:20">
      <c r="A210" s="42">
        <v>209</v>
      </c>
      <c r="B210" s="43"/>
      <c r="C210" s="43"/>
      <c r="D210" s="43"/>
      <c r="E210" s="43"/>
      <c r="F210" s="43"/>
      <c r="G210" s="42"/>
      <c r="H210" s="43"/>
      <c r="I210" s="44"/>
      <c r="J210" s="44"/>
      <c r="K210" s="43"/>
      <c r="L210" s="43"/>
      <c r="M210" s="44"/>
      <c r="N210" s="43"/>
      <c r="O210" s="44"/>
      <c r="P210" s="44"/>
      <c r="Q210" s="44"/>
      <c r="R210" s="43"/>
      <c r="S210" s="43"/>
      <c r="T210" s="45"/>
    </row>
    <row r="211" spans="1:20">
      <c r="A211" s="42">
        <v>210</v>
      </c>
      <c r="B211" s="43"/>
      <c r="C211" s="43"/>
      <c r="D211" s="43"/>
      <c r="E211" s="43"/>
      <c r="F211" s="43"/>
      <c r="G211" s="42"/>
      <c r="H211" s="43"/>
      <c r="I211" s="44"/>
      <c r="J211" s="44"/>
      <c r="K211" s="43"/>
      <c r="L211" s="43"/>
      <c r="M211" s="44"/>
      <c r="N211" s="43"/>
      <c r="O211" s="44"/>
      <c r="P211" s="44"/>
      <c r="Q211" s="44"/>
      <c r="R211" s="43"/>
      <c r="S211" s="43"/>
      <c r="T211" s="45"/>
    </row>
    <row r="212" spans="1:20">
      <c r="A212" s="42">
        <v>211</v>
      </c>
      <c r="B212" s="43"/>
      <c r="C212" s="43"/>
      <c r="D212" s="43"/>
      <c r="E212" s="43"/>
      <c r="F212" s="43"/>
      <c r="G212" s="42"/>
      <c r="H212" s="43"/>
      <c r="I212" s="44"/>
      <c r="J212" s="44"/>
      <c r="K212" s="43"/>
      <c r="L212" s="43"/>
      <c r="M212" s="44"/>
      <c r="N212" s="43"/>
      <c r="O212" s="44"/>
      <c r="P212" s="44"/>
      <c r="Q212" s="44"/>
      <c r="R212" s="43"/>
      <c r="S212" s="43"/>
      <c r="T212" s="45"/>
    </row>
    <row r="213" spans="1:20">
      <c r="A213" s="42">
        <v>212</v>
      </c>
      <c r="B213" s="43"/>
      <c r="C213" s="43"/>
      <c r="D213" s="43"/>
      <c r="E213" s="43"/>
      <c r="F213" s="43"/>
      <c r="G213" s="42"/>
      <c r="H213" s="43"/>
      <c r="I213" s="44"/>
      <c r="J213" s="44"/>
      <c r="K213" s="43"/>
      <c r="L213" s="43"/>
      <c r="M213" s="44"/>
      <c r="N213" s="43"/>
      <c r="O213" s="44"/>
      <c r="P213" s="44"/>
      <c r="Q213" s="44"/>
      <c r="R213" s="43"/>
      <c r="S213" s="43"/>
      <c r="T213" s="45"/>
    </row>
    <row r="214" spans="1:20">
      <c r="A214" s="42">
        <v>213</v>
      </c>
      <c r="B214" s="43"/>
      <c r="C214" s="43"/>
      <c r="D214" s="43"/>
      <c r="E214" s="43"/>
      <c r="F214" s="43"/>
      <c r="G214" s="42"/>
      <c r="H214" s="43"/>
      <c r="I214" s="44"/>
      <c r="J214" s="44"/>
      <c r="K214" s="43"/>
      <c r="L214" s="43"/>
      <c r="M214" s="44"/>
      <c r="N214" s="43"/>
      <c r="O214" s="44"/>
      <c r="P214" s="44"/>
      <c r="Q214" s="44"/>
      <c r="R214" s="43"/>
      <c r="S214" s="43"/>
      <c r="T214" s="45"/>
    </row>
    <row r="215" spans="1:20">
      <c r="A215" s="42">
        <v>214</v>
      </c>
      <c r="B215" s="43"/>
      <c r="C215" s="43"/>
      <c r="D215" s="43"/>
      <c r="E215" s="43"/>
      <c r="F215" s="43"/>
      <c r="G215" s="42"/>
      <c r="H215" s="43"/>
      <c r="I215" s="44"/>
      <c r="J215" s="44"/>
      <c r="K215" s="43"/>
      <c r="L215" s="43"/>
      <c r="M215" s="44"/>
      <c r="N215" s="43"/>
      <c r="O215" s="44"/>
      <c r="P215" s="44"/>
      <c r="Q215" s="44"/>
      <c r="R215" s="43"/>
      <c r="S215" s="43"/>
      <c r="T215" s="45"/>
    </row>
    <row r="216" spans="1:20">
      <c r="A216" s="42">
        <v>215</v>
      </c>
      <c r="B216" s="43"/>
      <c r="C216" s="43"/>
      <c r="D216" s="43"/>
      <c r="E216" s="43"/>
      <c r="F216" s="43"/>
      <c r="G216" s="42"/>
      <c r="H216" s="43"/>
      <c r="I216" s="44"/>
      <c r="J216" s="44"/>
      <c r="K216" s="43"/>
      <c r="L216" s="43"/>
      <c r="M216" s="44"/>
      <c r="N216" s="43"/>
      <c r="O216" s="44"/>
      <c r="P216" s="44"/>
      <c r="Q216" s="44"/>
      <c r="R216" s="43"/>
      <c r="S216" s="43"/>
      <c r="T216" s="45"/>
    </row>
    <row r="217" spans="1:20">
      <c r="A217" s="42">
        <v>216</v>
      </c>
      <c r="B217" s="43"/>
      <c r="C217" s="43"/>
      <c r="D217" s="43"/>
      <c r="E217" s="43"/>
      <c r="F217" s="43"/>
      <c r="G217" s="42"/>
      <c r="H217" s="43"/>
      <c r="I217" s="44"/>
      <c r="J217" s="44"/>
      <c r="K217" s="43"/>
      <c r="L217" s="43"/>
      <c r="M217" s="44"/>
      <c r="N217" s="43"/>
      <c r="O217" s="44"/>
      <c r="P217" s="44"/>
      <c r="Q217" s="44"/>
      <c r="R217" s="43"/>
      <c r="S217" s="43"/>
      <c r="T217" s="45"/>
    </row>
    <row r="218" spans="1:20">
      <c r="A218" s="42">
        <v>217</v>
      </c>
      <c r="B218" s="43"/>
      <c r="C218" s="43"/>
      <c r="D218" s="43"/>
      <c r="E218" s="43"/>
      <c r="F218" s="43"/>
      <c r="G218" s="42"/>
      <c r="H218" s="43"/>
      <c r="I218" s="44"/>
      <c r="J218" s="44"/>
      <c r="K218" s="43"/>
      <c r="L218" s="43"/>
      <c r="M218" s="44"/>
      <c r="N218" s="43"/>
      <c r="O218" s="44"/>
      <c r="P218" s="44"/>
      <c r="Q218" s="44"/>
      <c r="R218" s="43"/>
      <c r="S218" s="43"/>
      <c r="T218" s="45"/>
    </row>
    <row r="219" spans="1:20">
      <c r="A219" s="42">
        <v>218</v>
      </c>
      <c r="B219" s="43"/>
      <c r="C219" s="43"/>
      <c r="D219" s="43"/>
      <c r="E219" s="43"/>
      <c r="F219" s="43"/>
      <c r="G219" s="42"/>
      <c r="H219" s="43"/>
      <c r="I219" s="44"/>
      <c r="J219" s="44"/>
      <c r="K219" s="43"/>
      <c r="L219" s="43"/>
      <c r="M219" s="44"/>
      <c r="N219" s="43"/>
      <c r="O219" s="44"/>
      <c r="P219" s="44"/>
      <c r="Q219" s="44"/>
      <c r="R219" s="43"/>
      <c r="S219" s="43"/>
      <c r="T219" s="45"/>
    </row>
    <row r="220" spans="1:20">
      <c r="A220" s="42">
        <v>219</v>
      </c>
      <c r="B220" s="43"/>
      <c r="C220" s="43"/>
      <c r="D220" s="43"/>
      <c r="E220" s="43"/>
      <c r="F220" s="43"/>
      <c r="G220" s="42"/>
      <c r="H220" s="43"/>
      <c r="I220" s="44"/>
      <c r="J220" s="44"/>
      <c r="K220" s="43"/>
      <c r="L220" s="43"/>
      <c r="M220" s="44"/>
      <c r="N220" s="43"/>
      <c r="O220" s="44"/>
      <c r="P220" s="44"/>
      <c r="Q220" s="44"/>
      <c r="R220" s="43"/>
      <c r="S220" s="43"/>
      <c r="T220" s="45"/>
    </row>
    <row r="221" spans="1:20">
      <c r="A221" s="42">
        <v>220</v>
      </c>
      <c r="B221" s="43"/>
      <c r="C221" s="43"/>
      <c r="D221" s="43"/>
      <c r="E221" s="43"/>
      <c r="F221" s="43"/>
      <c r="G221" s="42"/>
      <c r="H221" s="43"/>
      <c r="I221" s="44"/>
      <c r="J221" s="44"/>
      <c r="K221" s="43"/>
      <c r="L221" s="43"/>
      <c r="M221" s="44"/>
      <c r="N221" s="43"/>
      <c r="O221" s="44"/>
      <c r="P221" s="44"/>
      <c r="Q221" s="44"/>
      <c r="R221" s="43"/>
      <c r="S221" s="43"/>
      <c r="T221" s="45"/>
    </row>
    <row r="222" spans="1:20">
      <c r="A222" s="42">
        <v>221</v>
      </c>
      <c r="B222" s="43"/>
      <c r="C222" s="43"/>
      <c r="D222" s="43"/>
      <c r="E222" s="43"/>
      <c r="F222" s="43"/>
      <c r="G222" s="42"/>
      <c r="H222" s="43"/>
      <c r="I222" s="44"/>
      <c r="J222" s="44"/>
      <c r="K222" s="43"/>
      <c r="L222" s="43"/>
      <c r="M222" s="44"/>
      <c r="N222" s="43"/>
      <c r="O222" s="44"/>
      <c r="P222" s="44"/>
      <c r="Q222" s="44"/>
      <c r="R222" s="43"/>
      <c r="S222" s="43"/>
      <c r="T222" s="45"/>
    </row>
    <row r="223" spans="1:20">
      <c r="A223" s="42">
        <v>222</v>
      </c>
      <c r="B223" s="43"/>
      <c r="C223" s="43"/>
      <c r="D223" s="43"/>
      <c r="E223" s="43"/>
      <c r="F223" s="43"/>
      <c r="G223" s="42"/>
      <c r="H223" s="43"/>
      <c r="I223" s="44"/>
      <c r="J223" s="44"/>
      <c r="K223" s="43"/>
      <c r="L223" s="43"/>
      <c r="M223" s="44"/>
      <c r="N223" s="43"/>
      <c r="O223" s="44"/>
      <c r="P223" s="44"/>
      <c r="Q223" s="44"/>
      <c r="R223" s="43"/>
      <c r="S223" s="43"/>
      <c r="T223" s="45"/>
    </row>
    <row r="224" spans="1:20">
      <c r="A224" s="42">
        <v>223</v>
      </c>
      <c r="B224" s="43"/>
      <c r="C224" s="43"/>
      <c r="D224" s="43"/>
      <c r="E224" s="43"/>
      <c r="F224" s="43"/>
      <c r="G224" s="42"/>
      <c r="H224" s="43"/>
      <c r="I224" s="44"/>
      <c r="J224" s="44"/>
      <c r="K224" s="43"/>
      <c r="L224" s="43"/>
      <c r="M224" s="44"/>
      <c r="N224" s="43"/>
      <c r="O224" s="44"/>
      <c r="P224" s="44"/>
      <c r="Q224" s="44"/>
      <c r="R224" s="43"/>
      <c r="S224" s="43"/>
      <c r="T224" s="45"/>
    </row>
    <row r="225" spans="1:20">
      <c r="A225" s="42">
        <v>224</v>
      </c>
      <c r="B225" s="43"/>
      <c r="C225" s="43"/>
      <c r="D225" s="43"/>
      <c r="E225" s="43"/>
      <c r="F225" s="43"/>
      <c r="G225" s="42"/>
      <c r="H225" s="43"/>
      <c r="I225" s="44"/>
      <c r="J225" s="44"/>
      <c r="K225" s="43"/>
      <c r="L225" s="43"/>
      <c r="M225" s="44"/>
      <c r="N225" s="43"/>
      <c r="O225" s="44"/>
      <c r="P225" s="44"/>
      <c r="Q225" s="44"/>
      <c r="R225" s="43"/>
      <c r="S225" s="43"/>
      <c r="T225" s="45"/>
    </row>
    <row r="226" spans="1:20">
      <c r="A226" s="42">
        <v>225</v>
      </c>
      <c r="B226" s="43"/>
      <c r="C226" s="43"/>
      <c r="D226" s="43"/>
      <c r="E226" s="43"/>
      <c r="F226" s="43"/>
      <c r="G226" s="42"/>
      <c r="H226" s="43"/>
      <c r="I226" s="44"/>
      <c r="J226" s="44"/>
      <c r="K226" s="43"/>
      <c r="L226" s="43"/>
      <c r="M226" s="44"/>
      <c r="N226" s="43"/>
      <c r="O226" s="44"/>
      <c r="P226" s="44"/>
      <c r="Q226" s="44"/>
      <c r="R226" s="43"/>
      <c r="S226" s="43"/>
      <c r="T226" s="45"/>
    </row>
    <row r="227" spans="1:20">
      <c r="A227" s="42">
        <v>226</v>
      </c>
      <c r="B227" s="43"/>
      <c r="C227" s="43"/>
      <c r="D227" s="43"/>
      <c r="E227" s="43"/>
      <c r="F227" s="43"/>
      <c r="G227" s="42"/>
      <c r="H227" s="43"/>
      <c r="I227" s="44"/>
      <c r="J227" s="44"/>
      <c r="K227" s="43"/>
      <c r="L227" s="43"/>
      <c r="M227" s="44"/>
      <c r="N227" s="43"/>
      <c r="O227" s="44"/>
      <c r="P227" s="44"/>
      <c r="Q227" s="44"/>
      <c r="R227" s="43"/>
      <c r="S227" s="43"/>
      <c r="T227" s="45"/>
    </row>
    <row r="228" spans="1:20">
      <c r="A228" s="42">
        <v>227</v>
      </c>
      <c r="B228" s="43"/>
      <c r="C228" s="43"/>
      <c r="D228" s="43"/>
      <c r="E228" s="43"/>
      <c r="F228" s="43"/>
      <c r="G228" s="42"/>
      <c r="H228" s="43"/>
      <c r="I228" s="44"/>
      <c r="J228" s="44"/>
      <c r="K228" s="43"/>
      <c r="L228" s="43"/>
      <c r="M228" s="44"/>
      <c r="N228" s="43"/>
      <c r="O228" s="44"/>
      <c r="P228" s="44"/>
      <c r="Q228" s="44"/>
      <c r="R228" s="43"/>
      <c r="S228" s="43"/>
      <c r="T228" s="45"/>
    </row>
    <row r="229" spans="1:20">
      <c r="A229" s="42">
        <v>228</v>
      </c>
      <c r="B229" s="43"/>
      <c r="C229" s="43"/>
      <c r="D229" s="43"/>
      <c r="E229" s="43"/>
      <c r="F229" s="43"/>
      <c r="G229" s="42"/>
      <c r="H229" s="43"/>
      <c r="I229" s="44"/>
      <c r="J229" s="44"/>
      <c r="K229" s="43"/>
      <c r="L229" s="43"/>
      <c r="M229" s="44"/>
      <c r="N229" s="43"/>
      <c r="O229" s="44"/>
      <c r="P229" s="44"/>
      <c r="Q229" s="44"/>
      <c r="R229" s="43"/>
      <c r="S229" s="43"/>
      <c r="T229" s="45"/>
    </row>
    <row r="230" spans="1:20">
      <c r="A230" s="42">
        <v>229</v>
      </c>
      <c r="B230" s="43"/>
      <c r="C230" s="43"/>
      <c r="D230" s="43"/>
      <c r="E230" s="43"/>
      <c r="F230" s="43"/>
      <c r="G230" s="42"/>
      <c r="H230" s="43"/>
      <c r="I230" s="44"/>
      <c r="J230" s="44"/>
      <c r="K230" s="43"/>
      <c r="L230" s="43"/>
      <c r="M230" s="44"/>
      <c r="N230" s="43"/>
      <c r="O230" s="44"/>
      <c r="P230" s="44"/>
      <c r="Q230" s="44"/>
      <c r="R230" s="43"/>
      <c r="S230" s="43"/>
      <c r="T230" s="45"/>
    </row>
    <row r="231" spans="1:20">
      <c r="A231" s="42">
        <v>230</v>
      </c>
      <c r="B231" s="43"/>
      <c r="C231" s="43"/>
      <c r="D231" s="43"/>
      <c r="E231" s="43"/>
      <c r="F231" s="43"/>
      <c r="G231" s="42"/>
      <c r="H231" s="43"/>
      <c r="I231" s="44"/>
      <c r="J231" s="44"/>
      <c r="K231" s="43"/>
      <c r="L231" s="43"/>
      <c r="M231" s="44"/>
      <c r="N231" s="43"/>
      <c r="O231" s="44"/>
      <c r="P231" s="44"/>
      <c r="Q231" s="44"/>
      <c r="R231" s="43"/>
      <c r="S231" s="43"/>
      <c r="T231" s="45"/>
    </row>
    <row r="232" spans="1:20">
      <c r="A232" s="42">
        <v>231</v>
      </c>
      <c r="B232" s="43"/>
      <c r="C232" s="43"/>
      <c r="D232" s="43"/>
      <c r="E232" s="43"/>
      <c r="F232" s="43"/>
      <c r="G232" s="42"/>
      <c r="H232" s="43"/>
      <c r="I232" s="44"/>
      <c r="J232" s="44"/>
      <c r="K232" s="43"/>
      <c r="L232" s="43"/>
      <c r="M232" s="44"/>
      <c r="N232" s="43"/>
      <c r="O232" s="44"/>
      <c r="P232" s="44"/>
      <c r="Q232" s="44"/>
      <c r="R232" s="43"/>
      <c r="S232" s="43"/>
      <c r="T232" s="45"/>
    </row>
    <row r="233" spans="1:20">
      <c r="A233" s="42">
        <v>232</v>
      </c>
      <c r="B233" s="43"/>
      <c r="C233" s="43"/>
      <c r="D233" s="43"/>
      <c r="E233" s="43"/>
      <c r="F233" s="43"/>
      <c r="G233" s="42"/>
      <c r="H233" s="43"/>
      <c r="I233" s="44"/>
      <c r="J233" s="44"/>
      <c r="K233" s="43"/>
      <c r="L233" s="43"/>
      <c r="M233" s="44"/>
      <c r="N233" s="43"/>
      <c r="O233" s="44"/>
      <c r="P233" s="44"/>
      <c r="Q233" s="44"/>
      <c r="R233" s="43"/>
      <c r="S233" s="43"/>
      <c r="T233" s="45"/>
    </row>
    <row r="234" spans="1:20">
      <c r="A234" s="42">
        <v>233</v>
      </c>
      <c r="B234" s="43"/>
      <c r="C234" s="43"/>
      <c r="D234" s="43"/>
      <c r="E234" s="43"/>
      <c r="F234" s="43"/>
      <c r="G234" s="42"/>
      <c r="H234" s="43"/>
      <c r="I234" s="44"/>
      <c r="J234" s="44"/>
      <c r="K234" s="43"/>
      <c r="L234" s="43"/>
      <c r="M234" s="44"/>
      <c r="N234" s="43"/>
      <c r="O234" s="44"/>
      <c r="P234" s="44"/>
      <c r="Q234" s="44"/>
      <c r="R234" s="43"/>
      <c r="S234" s="43"/>
      <c r="T234" s="45"/>
    </row>
    <row r="235" spans="1:20">
      <c r="A235" s="42">
        <v>234</v>
      </c>
      <c r="B235" s="43"/>
      <c r="C235" s="43"/>
      <c r="D235" s="43"/>
      <c r="E235" s="43"/>
      <c r="F235" s="43"/>
      <c r="G235" s="42"/>
      <c r="H235" s="43"/>
      <c r="I235" s="44"/>
      <c r="J235" s="44"/>
      <c r="K235" s="43"/>
      <c r="L235" s="43"/>
      <c r="M235" s="44"/>
      <c r="N235" s="43"/>
      <c r="O235" s="44"/>
      <c r="P235" s="44"/>
      <c r="Q235" s="44"/>
      <c r="R235" s="43"/>
      <c r="S235" s="43"/>
      <c r="T235" s="45"/>
    </row>
    <row r="236" spans="1:20">
      <c r="A236" s="42">
        <v>235</v>
      </c>
      <c r="B236" s="43"/>
      <c r="C236" s="43"/>
      <c r="D236" s="43"/>
      <c r="E236" s="43"/>
      <c r="F236" s="43"/>
      <c r="G236" s="42"/>
      <c r="H236" s="43"/>
      <c r="I236" s="44"/>
      <c r="J236" s="44"/>
      <c r="K236" s="43"/>
      <c r="L236" s="43"/>
      <c r="M236" s="44"/>
      <c r="N236" s="43"/>
      <c r="O236" s="44"/>
      <c r="P236" s="44"/>
      <c r="Q236" s="44"/>
      <c r="R236" s="43"/>
      <c r="S236" s="43"/>
      <c r="T236" s="45"/>
    </row>
    <row r="237" spans="1:20">
      <c r="A237" s="42">
        <v>236</v>
      </c>
      <c r="B237" s="43"/>
      <c r="C237" s="43"/>
      <c r="D237" s="43"/>
      <c r="E237" s="43"/>
      <c r="F237" s="43"/>
      <c r="G237" s="42"/>
      <c r="H237" s="43"/>
      <c r="I237" s="44"/>
      <c r="J237" s="44"/>
      <c r="K237" s="43"/>
      <c r="L237" s="43"/>
      <c r="M237" s="44"/>
      <c r="N237" s="43"/>
      <c r="O237" s="44"/>
      <c r="P237" s="44"/>
      <c r="Q237" s="44"/>
      <c r="R237" s="43"/>
      <c r="S237" s="43"/>
      <c r="T237" s="45"/>
    </row>
    <row r="238" spans="1:20">
      <c r="A238" s="42">
        <v>237</v>
      </c>
      <c r="B238" s="43"/>
      <c r="C238" s="43"/>
      <c r="D238" s="43"/>
      <c r="E238" s="43"/>
      <c r="F238" s="43"/>
      <c r="G238" s="42"/>
      <c r="H238" s="43"/>
      <c r="I238" s="44"/>
      <c r="J238" s="44"/>
      <c r="K238" s="43"/>
      <c r="L238" s="43"/>
      <c r="M238" s="44"/>
      <c r="N238" s="43"/>
      <c r="O238" s="44"/>
      <c r="P238" s="44"/>
      <c r="Q238" s="44"/>
      <c r="R238" s="43"/>
      <c r="S238" s="43"/>
      <c r="T238" s="45"/>
    </row>
    <row r="239" spans="1:20">
      <c r="A239" s="42">
        <v>238</v>
      </c>
      <c r="B239" s="43"/>
      <c r="C239" s="43"/>
      <c r="D239" s="43"/>
      <c r="E239" s="43"/>
      <c r="F239" s="43"/>
      <c r="G239" s="42"/>
      <c r="H239" s="43"/>
      <c r="I239" s="44"/>
      <c r="J239" s="44"/>
      <c r="K239" s="43"/>
      <c r="L239" s="43"/>
      <c r="M239" s="44"/>
      <c r="N239" s="43"/>
      <c r="O239" s="44"/>
      <c r="P239" s="44"/>
      <c r="Q239" s="44"/>
      <c r="R239" s="43"/>
      <c r="S239" s="43"/>
      <c r="T239" s="45"/>
    </row>
    <row r="240" spans="1:20">
      <c r="A240" s="42">
        <v>239</v>
      </c>
      <c r="B240" s="43"/>
      <c r="C240" s="43"/>
      <c r="D240" s="43"/>
      <c r="E240" s="43"/>
      <c r="F240" s="43"/>
      <c r="G240" s="42"/>
      <c r="H240" s="43"/>
      <c r="I240" s="44"/>
      <c r="J240" s="44"/>
      <c r="K240" s="43"/>
      <c r="L240" s="43"/>
      <c r="M240" s="44"/>
      <c r="N240" s="43"/>
      <c r="O240" s="44"/>
      <c r="P240" s="44"/>
      <c r="Q240" s="44"/>
      <c r="R240" s="43"/>
      <c r="S240" s="43"/>
      <c r="T240" s="45"/>
    </row>
    <row r="241" spans="1:20">
      <c r="A241" s="42">
        <v>240</v>
      </c>
      <c r="B241" s="43"/>
      <c r="C241" s="43"/>
      <c r="D241" s="43"/>
      <c r="E241" s="43"/>
      <c r="F241" s="43"/>
      <c r="G241" s="42"/>
      <c r="H241" s="43"/>
      <c r="I241" s="44"/>
      <c r="J241" s="44"/>
      <c r="K241" s="43"/>
      <c r="L241" s="43"/>
      <c r="M241" s="44"/>
      <c r="N241" s="43"/>
      <c r="O241" s="44"/>
      <c r="P241" s="44"/>
      <c r="Q241" s="44"/>
      <c r="R241" s="43"/>
      <c r="S241" s="43"/>
      <c r="T241" s="45"/>
    </row>
    <row r="242" spans="1:20">
      <c r="A242" s="42">
        <v>241</v>
      </c>
      <c r="B242" s="43"/>
      <c r="C242" s="43"/>
      <c r="D242" s="43"/>
      <c r="E242" s="43"/>
      <c r="F242" s="43"/>
      <c r="G242" s="42"/>
      <c r="H242" s="43"/>
      <c r="I242" s="44"/>
      <c r="J242" s="44"/>
      <c r="K242" s="43"/>
      <c r="L242" s="43"/>
      <c r="M242" s="44"/>
      <c r="N242" s="43"/>
      <c r="O242" s="44"/>
      <c r="P242" s="44"/>
      <c r="Q242" s="44"/>
      <c r="R242" s="43"/>
      <c r="S242" s="43"/>
      <c r="T242" s="45"/>
    </row>
    <row r="243" spans="1:20">
      <c r="A243" s="42">
        <v>242</v>
      </c>
      <c r="B243" s="43"/>
      <c r="C243" s="43"/>
      <c r="D243" s="43"/>
      <c r="E243" s="43"/>
      <c r="F243" s="43"/>
      <c r="G243" s="42"/>
      <c r="H243" s="43"/>
      <c r="I243" s="44"/>
      <c r="J243" s="44"/>
      <c r="K243" s="43"/>
      <c r="L243" s="43"/>
      <c r="M243" s="44"/>
      <c r="N243" s="43"/>
      <c r="O243" s="44"/>
      <c r="P243" s="44"/>
      <c r="Q243" s="44"/>
      <c r="R243" s="43"/>
      <c r="S243" s="43"/>
      <c r="T243" s="45"/>
    </row>
    <row r="244" spans="1:20">
      <c r="A244" s="42">
        <v>243</v>
      </c>
      <c r="B244" s="43"/>
      <c r="C244" s="43"/>
      <c r="D244" s="43"/>
      <c r="E244" s="43"/>
      <c r="F244" s="43"/>
      <c r="G244" s="42"/>
      <c r="H244" s="43"/>
      <c r="I244" s="44"/>
      <c r="J244" s="44"/>
      <c r="K244" s="43"/>
      <c r="L244" s="43"/>
      <c r="M244" s="44"/>
      <c r="N244" s="43"/>
      <c r="O244" s="44"/>
      <c r="P244" s="44"/>
      <c r="Q244" s="44"/>
      <c r="R244" s="43"/>
      <c r="S244" s="43"/>
      <c r="T244" s="45"/>
    </row>
    <row r="245" spans="1:20">
      <c r="A245" s="42">
        <v>244</v>
      </c>
      <c r="B245" s="43"/>
      <c r="C245" s="43"/>
      <c r="D245" s="43"/>
      <c r="E245" s="43"/>
      <c r="F245" s="43"/>
      <c r="G245" s="42"/>
      <c r="H245" s="43"/>
      <c r="I245" s="44"/>
      <c r="J245" s="44"/>
      <c r="K245" s="43"/>
      <c r="L245" s="43"/>
      <c r="M245" s="44"/>
      <c r="N245" s="43"/>
      <c r="O245" s="44"/>
      <c r="P245" s="44"/>
      <c r="Q245" s="44"/>
      <c r="R245" s="43"/>
      <c r="S245" s="43"/>
      <c r="T245" s="45"/>
    </row>
    <row r="246" spans="1:20">
      <c r="A246" s="42">
        <v>245</v>
      </c>
      <c r="B246" s="43"/>
      <c r="C246" s="43"/>
      <c r="D246" s="43"/>
      <c r="E246" s="43"/>
      <c r="F246" s="43"/>
      <c r="G246" s="42"/>
      <c r="H246" s="43"/>
      <c r="I246" s="44"/>
      <c r="J246" s="44"/>
      <c r="K246" s="43"/>
      <c r="L246" s="43"/>
      <c r="M246" s="44"/>
      <c r="N246" s="43"/>
      <c r="O246" s="44"/>
      <c r="P246" s="44"/>
      <c r="Q246" s="44"/>
      <c r="R246" s="43"/>
      <c r="S246" s="43"/>
      <c r="T246" s="45"/>
    </row>
    <row r="247" spans="1:20">
      <c r="A247" s="42">
        <v>246</v>
      </c>
      <c r="B247" s="43"/>
      <c r="C247" s="43"/>
      <c r="D247" s="43"/>
      <c r="E247" s="43"/>
      <c r="F247" s="43"/>
      <c r="G247" s="42"/>
      <c r="H247" s="43"/>
      <c r="I247" s="44"/>
      <c r="J247" s="44"/>
      <c r="K247" s="43"/>
      <c r="L247" s="43"/>
      <c r="M247" s="44"/>
      <c r="N247" s="43"/>
      <c r="O247" s="44"/>
      <c r="P247" s="44"/>
      <c r="Q247" s="44"/>
      <c r="R247" s="43"/>
      <c r="S247" s="43"/>
      <c r="T247" s="45"/>
    </row>
    <row r="248" spans="1:20">
      <c r="A248" s="42">
        <v>247</v>
      </c>
      <c r="B248" s="43"/>
      <c r="C248" s="43"/>
      <c r="D248" s="43"/>
      <c r="E248" s="43"/>
      <c r="F248" s="43"/>
      <c r="G248" s="42"/>
      <c r="H248" s="43"/>
      <c r="I248" s="44"/>
      <c r="J248" s="44"/>
      <c r="K248" s="43"/>
      <c r="L248" s="43"/>
      <c r="M248" s="44"/>
      <c r="N248" s="43"/>
      <c r="O248" s="44"/>
      <c r="P248" s="44"/>
      <c r="Q248" s="44"/>
      <c r="R248" s="43"/>
      <c r="S248" s="43"/>
      <c r="T248" s="45"/>
    </row>
    <row r="249" spans="1:20">
      <c r="A249" s="42">
        <v>248</v>
      </c>
      <c r="B249" s="43"/>
      <c r="C249" s="43"/>
      <c r="D249" s="43"/>
      <c r="E249" s="43"/>
      <c r="F249" s="43"/>
      <c r="G249" s="42"/>
      <c r="H249" s="43"/>
      <c r="I249" s="44"/>
      <c r="J249" s="44"/>
      <c r="K249" s="43"/>
      <c r="L249" s="43"/>
      <c r="M249" s="44"/>
      <c r="N249" s="43"/>
      <c r="O249" s="44"/>
      <c r="P249" s="44"/>
      <c r="Q249" s="44"/>
      <c r="R249" s="43"/>
      <c r="S249" s="43"/>
      <c r="T249" s="45"/>
    </row>
    <row r="250" spans="1:20">
      <c r="A250" s="42">
        <v>249</v>
      </c>
      <c r="B250" s="43"/>
      <c r="C250" s="43"/>
      <c r="D250" s="43"/>
      <c r="E250" s="43"/>
      <c r="F250" s="43"/>
      <c r="G250" s="42"/>
      <c r="H250" s="43"/>
      <c r="I250" s="44"/>
      <c r="J250" s="44"/>
      <c r="K250" s="43"/>
      <c r="L250" s="43"/>
      <c r="M250" s="44"/>
      <c r="N250" s="43"/>
      <c r="O250" s="44"/>
      <c r="P250" s="44"/>
      <c r="Q250" s="44"/>
      <c r="R250" s="43"/>
      <c r="S250" s="43"/>
      <c r="T250" s="45"/>
    </row>
    <row r="251" spans="1:20">
      <c r="A251" s="42">
        <v>250</v>
      </c>
      <c r="B251" s="43"/>
      <c r="C251" s="43"/>
      <c r="D251" s="43"/>
      <c r="E251" s="43"/>
      <c r="F251" s="43"/>
      <c r="G251" s="42"/>
      <c r="H251" s="43"/>
      <c r="I251" s="44"/>
      <c r="J251" s="44"/>
      <c r="K251" s="43"/>
      <c r="L251" s="43"/>
      <c r="M251" s="44"/>
      <c r="N251" s="43"/>
      <c r="O251" s="44"/>
      <c r="P251" s="44"/>
      <c r="Q251" s="44"/>
      <c r="R251" s="43"/>
      <c r="S251" s="43"/>
      <c r="T251" s="45"/>
    </row>
    <row r="252" spans="1:20">
      <c r="A252" s="42">
        <v>251</v>
      </c>
      <c r="B252" s="43"/>
      <c r="C252" s="43"/>
      <c r="D252" s="43"/>
      <c r="E252" s="43"/>
      <c r="F252" s="43"/>
      <c r="G252" s="42"/>
      <c r="H252" s="43"/>
      <c r="I252" s="44"/>
      <c r="J252" s="44"/>
      <c r="K252" s="43"/>
      <c r="L252" s="43"/>
      <c r="M252" s="44"/>
      <c r="N252" s="43"/>
      <c r="O252" s="44"/>
      <c r="P252" s="44"/>
      <c r="Q252" s="44"/>
      <c r="R252" s="43"/>
      <c r="S252" s="43"/>
      <c r="T252" s="45"/>
    </row>
    <row r="253" spans="1:20">
      <c r="A253" s="42">
        <v>252</v>
      </c>
      <c r="B253" s="43"/>
      <c r="C253" s="43"/>
      <c r="D253" s="43"/>
      <c r="E253" s="43"/>
      <c r="F253" s="43"/>
      <c r="G253" s="42"/>
      <c r="H253" s="43"/>
      <c r="I253" s="44"/>
      <c r="J253" s="44"/>
      <c r="K253" s="43"/>
      <c r="L253" s="43"/>
      <c r="M253" s="44"/>
      <c r="N253" s="43"/>
      <c r="O253" s="44"/>
      <c r="P253" s="44"/>
      <c r="Q253" s="44"/>
      <c r="R253" s="43"/>
      <c r="S253" s="43"/>
      <c r="T253" s="45"/>
    </row>
    <row r="254" spans="1:20">
      <c r="A254" s="42">
        <v>253</v>
      </c>
      <c r="B254" s="43"/>
      <c r="C254" s="43"/>
      <c r="D254" s="43"/>
      <c r="E254" s="43"/>
      <c r="F254" s="43"/>
      <c r="G254" s="42"/>
      <c r="H254" s="43"/>
      <c r="I254" s="44"/>
      <c r="J254" s="44"/>
      <c r="K254" s="43"/>
      <c r="L254" s="43"/>
      <c r="M254" s="44"/>
      <c r="N254" s="43"/>
      <c r="O254" s="44"/>
      <c r="P254" s="44"/>
      <c r="Q254" s="44"/>
      <c r="R254" s="43"/>
      <c r="S254" s="43"/>
      <c r="T254" s="45"/>
    </row>
    <row r="255" spans="1:20">
      <c r="A255" s="42">
        <v>254</v>
      </c>
      <c r="B255" s="43"/>
      <c r="C255" s="43"/>
      <c r="D255" s="43"/>
      <c r="E255" s="43"/>
      <c r="F255" s="43"/>
      <c r="G255" s="42"/>
      <c r="H255" s="43"/>
      <c r="I255" s="44"/>
      <c r="J255" s="44"/>
      <c r="K255" s="43"/>
      <c r="L255" s="43"/>
      <c r="M255" s="44"/>
      <c r="N255" s="43"/>
      <c r="O255" s="44"/>
      <c r="P255" s="44"/>
      <c r="Q255" s="44"/>
      <c r="R255" s="43"/>
      <c r="S255" s="43"/>
      <c r="T255" s="45"/>
    </row>
    <row r="256" spans="1:20">
      <c r="A256" s="42">
        <v>255</v>
      </c>
      <c r="B256" s="43"/>
      <c r="C256" s="43"/>
      <c r="D256" s="43"/>
      <c r="E256" s="43"/>
      <c r="F256" s="43"/>
      <c r="G256" s="42"/>
      <c r="H256" s="43"/>
      <c r="I256" s="44"/>
      <c r="J256" s="44"/>
      <c r="K256" s="43"/>
      <c r="L256" s="43"/>
      <c r="M256" s="44"/>
      <c r="N256" s="43"/>
      <c r="O256" s="44"/>
      <c r="P256" s="44"/>
      <c r="Q256" s="44"/>
      <c r="R256" s="43"/>
      <c r="S256" s="43"/>
      <c r="T256" s="45"/>
    </row>
    <row r="257" spans="1:20">
      <c r="A257" s="42">
        <v>256</v>
      </c>
      <c r="B257" s="43"/>
      <c r="C257" s="43"/>
      <c r="D257" s="43"/>
      <c r="E257" s="43"/>
      <c r="F257" s="43"/>
      <c r="G257" s="42"/>
      <c r="H257" s="43"/>
      <c r="I257" s="44"/>
      <c r="J257" s="44"/>
      <c r="K257" s="43"/>
      <c r="L257" s="43"/>
      <c r="M257" s="44"/>
      <c r="N257" s="43"/>
      <c r="O257" s="44"/>
      <c r="P257" s="44"/>
      <c r="Q257" s="44"/>
      <c r="R257" s="43"/>
      <c r="S257" s="43"/>
      <c r="T257" s="45"/>
    </row>
    <row r="258" spans="1:20">
      <c r="A258" s="42">
        <v>257</v>
      </c>
      <c r="B258" s="43"/>
      <c r="C258" s="43"/>
      <c r="D258" s="43"/>
      <c r="E258" s="43"/>
      <c r="F258" s="43"/>
      <c r="G258" s="42"/>
      <c r="H258" s="43"/>
      <c r="I258" s="44"/>
      <c r="J258" s="44"/>
      <c r="K258" s="43"/>
      <c r="L258" s="43"/>
      <c r="M258" s="44"/>
      <c r="N258" s="43"/>
      <c r="O258" s="44"/>
      <c r="P258" s="44"/>
      <c r="Q258" s="44"/>
      <c r="R258" s="43"/>
      <c r="S258" s="43"/>
      <c r="T258" s="45"/>
    </row>
    <row r="259" spans="1:20">
      <c r="A259" s="42">
        <v>258</v>
      </c>
      <c r="B259" s="43"/>
      <c r="C259" s="43"/>
      <c r="D259" s="43"/>
      <c r="E259" s="43"/>
      <c r="F259" s="43"/>
      <c r="G259" s="42"/>
      <c r="H259" s="43"/>
      <c r="I259" s="44"/>
      <c r="J259" s="44"/>
      <c r="K259" s="43"/>
      <c r="L259" s="43"/>
      <c r="M259" s="44"/>
      <c r="N259" s="43"/>
      <c r="O259" s="44"/>
      <c r="P259" s="44"/>
      <c r="Q259" s="44"/>
      <c r="R259" s="43"/>
      <c r="S259" s="43"/>
      <c r="T259" s="45"/>
    </row>
    <row r="260" spans="1:20">
      <c r="A260" s="42">
        <v>259</v>
      </c>
      <c r="B260" s="43"/>
      <c r="C260" s="43"/>
      <c r="D260" s="43"/>
      <c r="E260" s="43"/>
      <c r="F260" s="43"/>
      <c r="G260" s="42"/>
      <c r="H260" s="43"/>
      <c r="I260" s="44"/>
      <c r="J260" s="44"/>
      <c r="K260" s="43"/>
      <c r="L260" s="43"/>
      <c r="M260" s="44"/>
      <c r="N260" s="43"/>
      <c r="O260" s="44"/>
      <c r="P260" s="44"/>
      <c r="Q260" s="44"/>
      <c r="R260" s="43"/>
      <c r="S260" s="43"/>
      <c r="T260" s="45"/>
    </row>
    <row r="261" spans="1:20">
      <c r="A261" s="42">
        <v>260</v>
      </c>
      <c r="B261" s="43"/>
      <c r="C261" s="43"/>
      <c r="D261" s="43"/>
      <c r="E261" s="43"/>
      <c r="F261" s="43"/>
      <c r="G261" s="42"/>
      <c r="H261" s="43"/>
      <c r="I261" s="44"/>
      <c r="J261" s="44"/>
      <c r="K261" s="43"/>
      <c r="L261" s="43"/>
      <c r="M261" s="44"/>
      <c r="N261" s="43"/>
      <c r="O261" s="44"/>
      <c r="P261" s="44"/>
      <c r="Q261" s="44"/>
      <c r="R261" s="43"/>
      <c r="S261" s="43"/>
      <c r="T261" s="45"/>
    </row>
    <row r="262" spans="1:20">
      <c r="A262" s="42">
        <v>261</v>
      </c>
      <c r="B262" s="43"/>
      <c r="C262" s="43"/>
      <c r="D262" s="43"/>
      <c r="E262" s="43"/>
      <c r="F262" s="43"/>
      <c r="G262" s="42"/>
      <c r="H262" s="43"/>
      <c r="I262" s="44"/>
      <c r="J262" s="44"/>
      <c r="K262" s="43"/>
      <c r="L262" s="43"/>
      <c r="M262" s="44"/>
      <c r="N262" s="43"/>
      <c r="O262" s="44"/>
      <c r="P262" s="44"/>
      <c r="Q262" s="44"/>
      <c r="R262" s="43"/>
      <c r="S262" s="43"/>
      <c r="T262" s="45"/>
    </row>
    <row r="263" spans="1:20">
      <c r="A263" s="42">
        <v>262</v>
      </c>
      <c r="B263" s="43"/>
      <c r="C263" s="43"/>
      <c r="D263" s="43"/>
      <c r="E263" s="43"/>
      <c r="F263" s="43"/>
      <c r="G263" s="42"/>
      <c r="H263" s="43"/>
      <c r="I263" s="44"/>
      <c r="J263" s="44"/>
      <c r="K263" s="43"/>
      <c r="L263" s="43"/>
      <c r="M263" s="44"/>
      <c r="N263" s="43"/>
      <c r="O263" s="44"/>
      <c r="P263" s="44"/>
      <c r="Q263" s="44"/>
      <c r="R263" s="43"/>
      <c r="S263" s="43"/>
      <c r="T263" s="45"/>
    </row>
    <row r="264" spans="1:20">
      <c r="A264" s="42">
        <v>263</v>
      </c>
      <c r="B264" s="43"/>
      <c r="C264" s="43"/>
      <c r="D264" s="43"/>
      <c r="E264" s="43"/>
      <c r="F264" s="43"/>
      <c r="G264" s="42"/>
      <c r="H264" s="43"/>
      <c r="I264" s="44"/>
      <c r="J264" s="44"/>
      <c r="K264" s="43"/>
      <c r="L264" s="43"/>
      <c r="M264" s="44"/>
      <c r="N264" s="43"/>
      <c r="O264" s="44"/>
      <c r="P264" s="44"/>
      <c r="Q264" s="44"/>
      <c r="R264" s="43"/>
      <c r="S264" s="43"/>
      <c r="T264" s="45"/>
    </row>
    <row r="265" spans="1:20">
      <c r="A265" s="42">
        <v>264</v>
      </c>
      <c r="B265" s="43"/>
      <c r="C265" s="43"/>
      <c r="D265" s="43"/>
      <c r="E265" s="43"/>
      <c r="F265" s="43"/>
      <c r="G265" s="42"/>
      <c r="H265" s="43"/>
      <c r="I265" s="44"/>
      <c r="J265" s="44"/>
      <c r="K265" s="43"/>
      <c r="L265" s="43"/>
      <c r="M265" s="44"/>
      <c r="N265" s="43"/>
      <c r="O265" s="44"/>
      <c r="P265" s="44"/>
      <c r="Q265" s="44"/>
      <c r="R265" s="43"/>
      <c r="S265" s="43"/>
      <c r="T265" s="45"/>
    </row>
    <row r="266" spans="1:20">
      <c r="A266" s="42">
        <v>265</v>
      </c>
      <c r="B266" s="43"/>
      <c r="C266" s="43"/>
      <c r="D266" s="43"/>
      <c r="E266" s="43"/>
      <c r="F266" s="43"/>
      <c r="G266" s="42"/>
      <c r="H266" s="43"/>
      <c r="I266" s="44"/>
      <c r="J266" s="44"/>
      <c r="K266" s="43"/>
      <c r="L266" s="43"/>
      <c r="M266" s="44"/>
      <c r="N266" s="43"/>
      <c r="O266" s="44"/>
      <c r="P266" s="44"/>
      <c r="Q266" s="44"/>
      <c r="R266" s="43"/>
      <c r="S266" s="43"/>
      <c r="T266" s="45"/>
    </row>
    <row r="267" spans="1:20">
      <c r="A267" s="42">
        <v>266</v>
      </c>
      <c r="B267" s="43"/>
      <c r="C267" s="43"/>
      <c r="D267" s="43"/>
      <c r="E267" s="43"/>
      <c r="F267" s="43"/>
      <c r="G267" s="42"/>
      <c r="H267" s="43"/>
      <c r="I267" s="44"/>
      <c r="J267" s="44"/>
      <c r="K267" s="43"/>
      <c r="L267" s="43"/>
      <c r="M267" s="44"/>
      <c r="N267" s="43"/>
      <c r="O267" s="44"/>
      <c r="P267" s="44"/>
      <c r="Q267" s="44"/>
      <c r="R267" s="43"/>
      <c r="S267" s="43"/>
      <c r="T267" s="45"/>
    </row>
    <row r="268" spans="1:20">
      <c r="A268" s="42">
        <v>267</v>
      </c>
      <c r="B268" s="43"/>
      <c r="C268" s="43"/>
      <c r="D268" s="43"/>
      <c r="E268" s="43"/>
      <c r="F268" s="43"/>
      <c r="G268" s="42"/>
      <c r="H268" s="43"/>
      <c r="I268" s="44"/>
      <c r="J268" s="44"/>
      <c r="K268" s="43"/>
      <c r="L268" s="43"/>
      <c r="M268" s="44"/>
      <c r="N268" s="43"/>
      <c r="O268" s="44"/>
      <c r="P268" s="44"/>
      <c r="Q268" s="44"/>
      <c r="R268" s="43"/>
      <c r="S268" s="43"/>
      <c r="T268" s="45"/>
    </row>
    <row r="269" spans="1:20">
      <c r="A269" s="42">
        <v>268</v>
      </c>
      <c r="B269" s="43"/>
      <c r="C269" s="43"/>
      <c r="D269" s="43"/>
      <c r="E269" s="43"/>
      <c r="F269" s="43"/>
      <c r="G269" s="42"/>
      <c r="H269" s="43"/>
      <c r="I269" s="44"/>
      <c r="J269" s="44"/>
      <c r="K269" s="43"/>
      <c r="L269" s="43"/>
      <c r="M269" s="44"/>
      <c r="N269" s="43"/>
      <c r="O269" s="44"/>
      <c r="P269" s="44"/>
      <c r="Q269" s="44"/>
      <c r="R269" s="43"/>
      <c r="S269" s="43"/>
      <c r="T269" s="45"/>
    </row>
    <row r="270" spans="1:20">
      <c r="A270" s="42">
        <v>269</v>
      </c>
      <c r="B270" s="43"/>
      <c r="C270" s="43"/>
      <c r="D270" s="43"/>
      <c r="E270" s="43"/>
      <c r="F270" s="43"/>
      <c r="G270" s="42"/>
      <c r="H270" s="43"/>
      <c r="I270" s="44"/>
      <c r="J270" s="44"/>
      <c r="K270" s="43"/>
      <c r="L270" s="43"/>
      <c r="M270" s="44"/>
      <c r="N270" s="43"/>
      <c r="O270" s="44"/>
      <c r="P270" s="44"/>
      <c r="Q270" s="44"/>
      <c r="R270" s="43"/>
      <c r="S270" s="43"/>
      <c r="T270" s="45"/>
    </row>
    <row r="271" spans="1:20">
      <c r="A271" s="42">
        <v>270</v>
      </c>
      <c r="B271" s="43"/>
      <c r="C271" s="43"/>
      <c r="D271" s="43"/>
      <c r="E271" s="43"/>
      <c r="F271" s="43"/>
      <c r="G271" s="42"/>
      <c r="H271" s="43"/>
      <c r="I271" s="44"/>
      <c r="J271" s="44"/>
      <c r="K271" s="43"/>
      <c r="L271" s="43"/>
      <c r="M271" s="44"/>
      <c r="N271" s="43"/>
      <c r="O271" s="44"/>
      <c r="P271" s="44"/>
      <c r="Q271" s="44"/>
      <c r="R271" s="43"/>
      <c r="S271" s="43"/>
      <c r="T271" s="45"/>
    </row>
    <row r="272" spans="1:20">
      <c r="A272" s="42">
        <v>271</v>
      </c>
      <c r="B272" s="43"/>
      <c r="C272" s="43"/>
      <c r="D272" s="43"/>
      <c r="E272" s="43"/>
      <c r="F272" s="43"/>
      <c r="G272" s="42"/>
      <c r="H272" s="43"/>
      <c r="I272" s="44"/>
      <c r="J272" s="44"/>
      <c r="K272" s="43"/>
      <c r="L272" s="43"/>
      <c r="M272" s="44"/>
      <c r="N272" s="43"/>
      <c r="O272" s="44"/>
      <c r="P272" s="44"/>
      <c r="Q272" s="44"/>
      <c r="R272" s="43"/>
      <c r="S272" s="43"/>
      <c r="T272" s="45"/>
    </row>
    <row r="273" spans="1:20">
      <c r="A273" s="42">
        <v>272</v>
      </c>
      <c r="B273" s="43"/>
      <c r="C273" s="43"/>
      <c r="D273" s="43"/>
      <c r="E273" s="43"/>
      <c r="F273" s="43"/>
      <c r="G273" s="42"/>
      <c r="H273" s="43"/>
      <c r="I273" s="44"/>
      <c r="J273" s="44"/>
      <c r="K273" s="43"/>
      <c r="L273" s="43"/>
      <c r="M273" s="44"/>
      <c r="N273" s="43"/>
      <c r="O273" s="44"/>
      <c r="P273" s="44"/>
      <c r="Q273" s="44"/>
      <c r="R273" s="43"/>
      <c r="S273" s="43"/>
      <c r="T273" s="45"/>
    </row>
    <row r="274" spans="1:20">
      <c r="A274" s="42">
        <v>273</v>
      </c>
      <c r="B274" s="43"/>
      <c r="C274" s="43"/>
      <c r="D274" s="43"/>
      <c r="E274" s="43"/>
      <c r="F274" s="43"/>
      <c r="G274" s="42"/>
      <c r="H274" s="43"/>
      <c r="I274" s="44"/>
      <c r="J274" s="44"/>
      <c r="K274" s="43"/>
      <c r="L274" s="43"/>
      <c r="M274" s="44"/>
      <c r="N274" s="43"/>
      <c r="O274" s="44"/>
      <c r="P274" s="44"/>
      <c r="Q274" s="44"/>
      <c r="R274" s="43"/>
      <c r="S274" s="43"/>
      <c r="T274" s="45"/>
    </row>
    <row r="275" spans="1:20">
      <c r="A275" s="42">
        <v>274</v>
      </c>
      <c r="B275" s="43"/>
      <c r="C275" s="43"/>
      <c r="D275" s="43"/>
      <c r="E275" s="43"/>
      <c r="F275" s="43"/>
      <c r="G275" s="42"/>
      <c r="H275" s="43"/>
      <c r="I275" s="44"/>
      <c r="J275" s="44"/>
      <c r="K275" s="43"/>
      <c r="L275" s="43"/>
      <c r="M275" s="44"/>
      <c r="N275" s="43"/>
      <c r="O275" s="44"/>
      <c r="P275" s="44"/>
      <c r="Q275" s="44"/>
      <c r="R275" s="43"/>
      <c r="S275" s="43"/>
      <c r="T275" s="45"/>
    </row>
    <row r="276" spans="1:20">
      <c r="A276" s="42">
        <v>275</v>
      </c>
      <c r="B276" s="43"/>
      <c r="C276" s="43"/>
      <c r="D276" s="43"/>
      <c r="E276" s="43"/>
      <c r="F276" s="43"/>
      <c r="G276" s="42"/>
      <c r="H276" s="43"/>
      <c r="I276" s="44"/>
      <c r="J276" s="44"/>
      <c r="K276" s="43"/>
      <c r="L276" s="43"/>
      <c r="M276" s="44"/>
      <c r="N276" s="43"/>
      <c r="O276" s="44"/>
      <c r="P276" s="44"/>
      <c r="Q276" s="44"/>
      <c r="R276" s="43"/>
      <c r="S276" s="43"/>
      <c r="T276" s="45"/>
    </row>
    <row r="277" spans="1:20">
      <c r="A277" s="42">
        <v>276</v>
      </c>
      <c r="B277" s="43"/>
      <c r="C277" s="43"/>
      <c r="D277" s="43"/>
      <c r="E277" s="43"/>
      <c r="F277" s="43"/>
      <c r="G277" s="42"/>
      <c r="H277" s="43"/>
      <c r="I277" s="44"/>
      <c r="J277" s="44"/>
      <c r="K277" s="43"/>
      <c r="L277" s="43"/>
      <c r="M277" s="44"/>
      <c r="N277" s="43"/>
      <c r="O277" s="44"/>
      <c r="P277" s="44"/>
      <c r="Q277" s="44"/>
      <c r="R277" s="43"/>
      <c r="S277" s="43"/>
      <c r="T277" s="45"/>
    </row>
    <row r="278" spans="1:20">
      <c r="A278" s="42">
        <v>277</v>
      </c>
      <c r="B278" s="43"/>
      <c r="C278" s="43"/>
      <c r="D278" s="43"/>
      <c r="E278" s="43"/>
      <c r="F278" s="43"/>
      <c r="G278" s="42"/>
      <c r="H278" s="43"/>
      <c r="I278" s="44"/>
      <c r="J278" s="44"/>
      <c r="K278" s="43"/>
      <c r="L278" s="43"/>
      <c r="M278" s="44"/>
      <c r="N278" s="43"/>
      <c r="O278" s="44"/>
      <c r="P278" s="44"/>
      <c r="Q278" s="44"/>
      <c r="R278" s="43"/>
      <c r="S278" s="43"/>
      <c r="T278" s="45"/>
    </row>
    <row r="279" spans="1:20">
      <c r="A279" s="42">
        <v>278</v>
      </c>
      <c r="B279" s="43"/>
      <c r="C279" s="43"/>
      <c r="D279" s="43"/>
      <c r="E279" s="43"/>
      <c r="F279" s="43"/>
      <c r="G279" s="42"/>
      <c r="H279" s="43"/>
      <c r="I279" s="44"/>
      <c r="J279" s="44"/>
      <c r="K279" s="43"/>
      <c r="L279" s="43"/>
      <c r="M279" s="44"/>
      <c r="N279" s="43"/>
      <c r="O279" s="44"/>
      <c r="P279" s="44"/>
      <c r="Q279" s="44"/>
      <c r="R279" s="43"/>
      <c r="S279" s="43"/>
      <c r="T279" s="45"/>
    </row>
    <row r="280" spans="1:20">
      <c r="A280" s="42">
        <v>279</v>
      </c>
      <c r="B280" s="43"/>
      <c r="C280" s="43"/>
      <c r="D280" s="43"/>
      <c r="E280" s="43"/>
      <c r="F280" s="43"/>
      <c r="G280" s="42"/>
      <c r="H280" s="43"/>
      <c r="I280" s="44"/>
      <c r="J280" s="44"/>
      <c r="K280" s="43"/>
      <c r="L280" s="43"/>
      <c r="M280" s="44"/>
      <c r="N280" s="43"/>
      <c r="O280" s="44"/>
      <c r="P280" s="44"/>
      <c r="Q280" s="44"/>
      <c r="R280" s="43"/>
      <c r="S280" s="43"/>
      <c r="T280" s="45"/>
    </row>
    <row r="281" spans="1:20">
      <c r="A281" s="42">
        <v>280</v>
      </c>
      <c r="B281" s="43"/>
      <c r="C281" s="43"/>
      <c r="D281" s="43"/>
      <c r="E281" s="43"/>
      <c r="F281" s="43"/>
      <c r="G281" s="42"/>
      <c r="H281" s="43"/>
      <c r="I281" s="44"/>
      <c r="J281" s="44"/>
      <c r="K281" s="43"/>
      <c r="L281" s="43"/>
      <c r="M281" s="44"/>
      <c r="N281" s="43"/>
      <c r="O281" s="44"/>
      <c r="P281" s="44"/>
      <c r="Q281" s="44"/>
      <c r="R281" s="43"/>
      <c r="S281" s="43"/>
      <c r="T281" s="45"/>
    </row>
    <row r="282" spans="1:20">
      <c r="A282" s="42">
        <v>281</v>
      </c>
      <c r="B282" s="43"/>
      <c r="C282" s="43"/>
      <c r="D282" s="43"/>
      <c r="E282" s="43"/>
      <c r="F282" s="43"/>
      <c r="G282" s="42"/>
      <c r="H282" s="43"/>
      <c r="I282" s="44"/>
      <c r="J282" s="44"/>
      <c r="K282" s="43"/>
      <c r="L282" s="43"/>
      <c r="M282" s="44"/>
      <c r="N282" s="43"/>
      <c r="O282" s="44"/>
      <c r="P282" s="44"/>
      <c r="Q282" s="44"/>
      <c r="R282" s="43"/>
      <c r="S282" s="43"/>
      <c r="T282" s="45"/>
    </row>
    <row r="283" spans="1:20">
      <c r="A283" s="42">
        <v>282</v>
      </c>
      <c r="B283" s="43"/>
      <c r="C283" s="43"/>
      <c r="D283" s="43"/>
      <c r="E283" s="43"/>
      <c r="F283" s="43"/>
      <c r="G283" s="42"/>
      <c r="H283" s="43"/>
      <c r="I283" s="44"/>
      <c r="J283" s="44"/>
      <c r="K283" s="43"/>
      <c r="L283" s="43"/>
      <c r="M283" s="44"/>
      <c r="N283" s="43"/>
      <c r="O283" s="44"/>
      <c r="P283" s="44"/>
      <c r="Q283" s="44"/>
      <c r="R283" s="43"/>
      <c r="S283" s="43"/>
      <c r="T283" s="45"/>
    </row>
    <row r="284" spans="1:20">
      <c r="A284" s="42">
        <v>283</v>
      </c>
      <c r="B284" s="43"/>
      <c r="C284" s="43"/>
      <c r="D284" s="43"/>
      <c r="E284" s="43"/>
      <c r="F284" s="43"/>
      <c r="G284" s="42"/>
      <c r="H284" s="43"/>
      <c r="I284" s="44"/>
      <c r="J284" s="44"/>
      <c r="K284" s="43"/>
      <c r="L284" s="43"/>
      <c r="M284" s="44"/>
      <c r="N284" s="43"/>
      <c r="O284" s="44"/>
      <c r="P284" s="44"/>
      <c r="Q284" s="44"/>
      <c r="R284" s="43"/>
      <c r="S284" s="43"/>
      <c r="T284" s="45"/>
    </row>
    <row r="285" spans="1:20">
      <c r="A285" s="42">
        <v>284</v>
      </c>
      <c r="B285" s="43"/>
      <c r="C285" s="43"/>
      <c r="D285" s="43"/>
      <c r="E285" s="43"/>
      <c r="F285" s="43"/>
      <c r="G285" s="42"/>
      <c r="H285" s="43"/>
      <c r="I285" s="44"/>
      <c r="J285" s="44"/>
      <c r="K285" s="43"/>
      <c r="L285" s="43"/>
      <c r="M285" s="44"/>
      <c r="N285" s="43"/>
      <c r="O285" s="44"/>
      <c r="P285" s="44"/>
      <c r="Q285" s="44"/>
      <c r="R285" s="43"/>
      <c r="S285" s="43"/>
      <c r="T285" s="45"/>
    </row>
    <row r="286" spans="1:20">
      <c r="A286" s="42">
        <v>285</v>
      </c>
      <c r="B286" s="43"/>
      <c r="C286" s="43"/>
      <c r="D286" s="43"/>
      <c r="E286" s="43"/>
      <c r="F286" s="43"/>
      <c r="G286" s="42"/>
      <c r="H286" s="43"/>
      <c r="I286" s="44"/>
      <c r="J286" s="44"/>
      <c r="K286" s="43"/>
      <c r="L286" s="43"/>
      <c r="M286" s="44"/>
      <c r="N286" s="43"/>
      <c r="O286" s="44"/>
      <c r="P286" s="44"/>
      <c r="Q286" s="44"/>
      <c r="R286" s="43"/>
      <c r="S286" s="43"/>
      <c r="T286" s="45"/>
    </row>
    <row r="287" spans="1:20">
      <c r="A287" s="42">
        <v>286</v>
      </c>
      <c r="B287" s="43"/>
      <c r="C287" s="43"/>
      <c r="D287" s="43"/>
      <c r="E287" s="43"/>
      <c r="F287" s="43"/>
      <c r="G287" s="42"/>
      <c r="H287" s="43"/>
      <c r="I287" s="44"/>
      <c r="J287" s="44"/>
      <c r="K287" s="43"/>
      <c r="L287" s="43"/>
      <c r="M287" s="44"/>
      <c r="N287" s="43"/>
      <c r="O287" s="44"/>
      <c r="P287" s="44"/>
      <c r="Q287" s="44"/>
      <c r="R287" s="43"/>
      <c r="S287" s="43"/>
      <c r="T287" s="45"/>
    </row>
    <row r="288" spans="1:20">
      <c r="A288" s="42">
        <v>287</v>
      </c>
      <c r="B288" s="43"/>
      <c r="C288" s="43"/>
      <c r="D288" s="43"/>
      <c r="E288" s="43"/>
      <c r="F288" s="43"/>
      <c r="G288" s="42"/>
      <c r="H288" s="43"/>
      <c r="I288" s="44"/>
      <c r="J288" s="44"/>
      <c r="K288" s="43"/>
      <c r="L288" s="43"/>
      <c r="M288" s="44"/>
      <c r="N288" s="43"/>
      <c r="O288" s="44"/>
      <c r="P288" s="44"/>
      <c r="Q288" s="44"/>
      <c r="R288" s="43"/>
      <c r="S288" s="43"/>
      <c r="T288" s="45"/>
    </row>
    <row r="289" spans="1:20">
      <c r="A289" s="42">
        <v>288</v>
      </c>
      <c r="B289" s="43"/>
      <c r="C289" s="43"/>
      <c r="D289" s="43"/>
      <c r="E289" s="43"/>
      <c r="F289" s="43"/>
      <c r="G289" s="42"/>
      <c r="H289" s="43"/>
      <c r="I289" s="44"/>
      <c r="J289" s="44"/>
      <c r="K289" s="43"/>
      <c r="L289" s="43"/>
      <c r="M289" s="44"/>
      <c r="N289" s="43"/>
      <c r="O289" s="44"/>
      <c r="P289" s="44"/>
      <c r="Q289" s="44"/>
      <c r="R289" s="43"/>
      <c r="S289" s="43"/>
      <c r="T289" s="45"/>
    </row>
    <row r="290" spans="1:20">
      <c r="A290" s="42">
        <v>289</v>
      </c>
      <c r="B290" s="43"/>
      <c r="C290" s="43"/>
      <c r="D290" s="43"/>
      <c r="E290" s="43"/>
      <c r="F290" s="43"/>
      <c r="G290" s="42"/>
      <c r="H290" s="43"/>
      <c r="I290" s="44"/>
      <c r="J290" s="44"/>
      <c r="K290" s="43"/>
      <c r="L290" s="43"/>
      <c r="M290" s="44"/>
      <c r="N290" s="43"/>
      <c r="O290" s="44"/>
      <c r="P290" s="44"/>
      <c r="Q290" s="44"/>
      <c r="R290" s="43"/>
      <c r="S290" s="43"/>
      <c r="T290" s="45"/>
    </row>
    <row r="291" spans="1:20">
      <c r="A291" s="42">
        <v>290</v>
      </c>
      <c r="B291" s="43"/>
      <c r="C291" s="43"/>
      <c r="D291" s="43"/>
      <c r="E291" s="43"/>
      <c r="F291" s="43"/>
      <c r="G291" s="42"/>
      <c r="H291" s="43"/>
      <c r="I291" s="44"/>
      <c r="J291" s="44"/>
      <c r="K291" s="43"/>
      <c r="L291" s="43"/>
      <c r="M291" s="44"/>
      <c r="N291" s="43"/>
      <c r="O291" s="44"/>
      <c r="P291" s="44"/>
      <c r="Q291" s="44"/>
      <c r="R291" s="43"/>
      <c r="S291" s="43"/>
      <c r="T291" s="45"/>
    </row>
    <row r="292" spans="1:20">
      <c r="A292" s="42">
        <v>291</v>
      </c>
      <c r="B292" s="43"/>
      <c r="C292" s="43"/>
      <c r="D292" s="43"/>
      <c r="E292" s="43"/>
      <c r="F292" s="43"/>
      <c r="G292" s="42"/>
      <c r="H292" s="43"/>
      <c r="I292" s="44"/>
      <c r="J292" s="44"/>
      <c r="K292" s="43"/>
      <c r="L292" s="43"/>
      <c r="M292" s="44"/>
      <c r="N292" s="43"/>
      <c r="O292" s="44"/>
      <c r="P292" s="44"/>
      <c r="Q292" s="44"/>
      <c r="R292" s="43"/>
      <c r="S292" s="43"/>
      <c r="T292" s="45"/>
    </row>
    <row r="293" spans="1:20">
      <c r="A293" s="42">
        <v>292</v>
      </c>
      <c r="B293" s="43"/>
      <c r="C293" s="43"/>
      <c r="D293" s="43"/>
      <c r="E293" s="43"/>
      <c r="F293" s="43"/>
      <c r="G293" s="42"/>
      <c r="H293" s="43"/>
      <c r="I293" s="44"/>
      <c r="J293" s="44"/>
      <c r="K293" s="43"/>
      <c r="L293" s="43"/>
      <c r="M293" s="44"/>
      <c r="N293" s="43"/>
      <c r="O293" s="44"/>
      <c r="P293" s="44"/>
      <c r="Q293" s="44"/>
      <c r="R293" s="43"/>
      <c r="S293" s="43"/>
      <c r="T293" s="45"/>
    </row>
    <row r="294" spans="1:20">
      <c r="A294" s="42">
        <v>293</v>
      </c>
      <c r="B294" s="43"/>
      <c r="C294" s="43"/>
      <c r="D294" s="43"/>
      <c r="E294" s="43"/>
      <c r="F294" s="43"/>
      <c r="G294" s="42"/>
      <c r="H294" s="43"/>
      <c r="I294" s="44"/>
      <c r="J294" s="44"/>
      <c r="K294" s="43"/>
      <c r="L294" s="43"/>
      <c r="M294" s="44"/>
      <c r="N294" s="43"/>
      <c r="O294" s="44"/>
      <c r="P294" s="44"/>
      <c r="Q294" s="44"/>
      <c r="R294" s="43"/>
      <c r="S294" s="43"/>
      <c r="T294" s="45"/>
    </row>
    <row r="295" spans="1:20">
      <c r="A295" s="42">
        <v>294</v>
      </c>
      <c r="B295" s="43"/>
      <c r="C295" s="43"/>
      <c r="D295" s="43"/>
      <c r="E295" s="43"/>
      <c r="F295" s="43"/>
      <c r="G295" s="42"/>
      <c r="H295" s="43"/>
      <c r="I295" s="44"/>
      <c r="J295" s="44"/>
      <c r="K295" s="43"/>
      <c r="L295" s="43"/>
      <c r="M295" s="44"/>
      <c r="N295" s="43"/>
      <c r="O295" s="44"/>
      <c r="P295" s="44"/>
      <c r="Q295" s="44"/>
      <c r="R295" s="43"/>
      <c r="S295" s="43"/>
      <c r="T295" s="45"/>
    </row>
    <row r="296" spans="1:20">
      <c r="A296" s="42">
        <v>295</v>
      </c>
      <c r="B296" s="43"/>
      <c r="C296" s="43"/>
      <c r="D296" s="43"/>
      <c r="E296" s="43"/>
      <c r="F296" s="43"/>
      <c r="G296" s="42"/>
      <c r="H296" s="43"/>
      <c r="I296" s="44"/>
      <c r="J296" s="44"/>
      <c r="K296" s="43"/>
      <c r="L296" s="43"/>
      <c r="M296" s="44"/>
      <c r="N296" s="43"/>
      <c r="O296" s="44"/>
      <c r="P296" s="44"/>
      <c r="Q296" s="44"/>
      <c r="R296" s="43"/>
      <c r="S296" s="43"/>
      <c r="T296" s="45"/>
    </row>
    <row r="297" spans="1:20">
      <c r="A297" s="42">
        <v>296</v>
      </c>
      <c r="B297" s="43"/>
      <c r="C297" s="43"/>
      <c r="D297" s="43"/>
      <c r="E297" s="43"/>
      <c r="F297" s="43"/>
      <c r="G297" s="42"/>
      <c r="H297" s="43"/>
      <c r="I297" s="44"/>
      <c r="J297" s="44"/>
      <c r="K297" s="43"/>
      <c r="L297" s="43"/>
      <c r="M297" s="44"/>
      <c r="N297" s="43"/>
      <c r="O297" s="44"/>
      <c r="P297" s="44"/>
      <c r="Q297" s="44"/>
      <c r="R297" s="43"/>
      <c r="S297" s="43"/>
      <c r="T297" s="45"/>
    </row>
    <row r="298" spans="1:20">
      <c r="A298" s="42">
        <v>297</v>
      </c>
      <c r="B298" s="43"/>
      <c r="C298" s="43"/>
      <c r="D298" s="43"/>
      <c r="E298" s="43"/>
      <c r="F298" s="43"/>
      <c r="G298" s="42"/>
      <c r="H298" s="43"/>
      <c r="I298" s="44"/>
      <c r="J298" s="44"/>
      <c r="K298" s="43"/>
      <c r="L298" s="43"/>
      <c r="M298" s="44"/>
      <c r="N298" s="43"/>
      <c r="O298" s="44"/>
      <c r="P298" s="44"/>
      <c r="Q298" s="44"/>
      <c r="R298" s="43"/>
      <c r="S298" s="43"/>
      <c r="T298" s="45"/>
    </row>
    <row r="299" spans="1:20">
      <c r="A299" s="42">
        <v>298</v>
      </c>
      <c r="B299" s="43"/>
      <c r="C299" s="43"/>
      <c r="D299" s="43"/>
      <c r="E299" s="43"/>
      <c r="F299" s="43"/>
      <c r="G299" s="42"/>
      <c r="H299" s="43"/>
      <c r="I299" s="44"/>
      <c r="J299" s="44"/>
      <c r="K299" s="43"/>
      <c r="L299" s="43"/>
      <c r="M299" s="44"/>
      <c r="N299" s="43"/>
      <c r="O299" s="44"/>
      <c r="P299" s="44"/>
      <c r="Q299" s="44"/>
      <c r="R299" s="43"/>
      <c r="S299" s="43"/>
      <c r="T299" s="45"/>
    </row>
    <row r="300" spans="1:20">
      <c r="A300" s="42">
        <v>299</v>
      </c>
      <c r="B300" s="43"/>
      <c r="C300" s="43"/>
      <c r="D300" s="43"/>
      <c r="E300" s="43"/>
      <c r="F300" s="43"/>
      <c r="G300" s="42"/>
      <c r="H300" s="43"/>
      <c r="I300" s="44"/>
      <c r="J300" s="44"/>
      <c r="K300" s="43"/>
      <c r="L300" s="43"/>
      <c r="M300" s="44"/>
      <c r="N300" s="43"/>
      <c r="O300" s="44"/>
      <c r="P300" s="44"/>
      <c r="Q300" s="44"/>
      <c r="R300" s="43"/>
      <c r="S300" s="43"/>
      <c r="T300" s="45"/>
    </row>
    <row r="301" spans="1:20">
      <c r="A301" s="42">
        <v>300</v>
      </c>
      <c r="B301" s="43"/>
      <c r="C301" s="43"/>
      <c r="D301" s="43"/>
      <c r="E301" s="43"/>
      <c r="F301" s="43"/>
      <c r="G301" s="42"/>
      <c r="H301" s="43"/>
      <c r="I301" s="44"/>
      <c r="J301" s="44"/>
      <c r="K301" s="43"/>
      <c r="L301" s="43"/>
      <c r="M301" s="44"/>
      <c r="N301" s="43"/>
      <c r="O301" s="44"/>
      <c r="P301" s="44"/>
      <c r="Q301" s="44"/>
      <c r="R301" s="43"/>
      <c r="S301" s="43"/>
      <c r="T301" s="45"/>
    </row>
    <row r="302" spans="1:20">
      <c r="A302" s="42">
        <v>301</v>
      </c>
      <c r="B302" s="43"/>
      <c r="C302" s="43"/>
      <c r="D302" s="43"/>
      <c r="E302" s="43"/>
      <c r="F302" s="43"/>
      <c r="G302" s="42"/>
      <c r="H302" s="43"/>
      <c r="I302" s="44"/>
      <c r="J302" s="44"/>
      <c r="K302" s="43"/>
      <c r="L302" s="43"/>
      <c r="M302" s="44"/>
      <c r="N302" s="43"/>
      <c r="O302" s="44"/>
      <c r="P302" s="44"/>
      <c r="Q302" s="44"/>
      <c r="R302" s="43"/>
      <c r="S302" s="43"/>
      <c r="T302" s="45"/>
    </row>
    <row r="303" spans="1:20">
      <c r="A303" s="42">
        <v>302</v>
      </c>
      <c r="B303" s="43"/>
      <c r="C303" s="43"/>
      <c r="D303" s="43"/>
      <c r="E303" s="43"/>
      <c r="F303" s="43"/>
      <c r="G303" s="42"/>
      <c r="H303" s="43"/>
      <c r="I303" s="44"/>
      <c r="J303" s="44"/>
      <c r="K303" s="43"/>
      <c r="L303" s="43"/>
      <c r="M303" s="44"/>
      <c r="N303" s="43"/>
      <c r="O303" s="44"/>
      <c r="P303" s="44"/>
      <c r="Q303" s="44"/>
      <c r="R303" s="43"/>
      <c r="S303" s="43"/>
      <c r="T303" s="45"/>
    </row>
    <row r="304" spans="1:20">
      <c r="A304" s="42">
        <v>303</v>
      </c>
      <c r="B304" s="43"/>
      <c r="C304" s="43"/>
      <c r="D304" s="43"/>
      <c r="E304" s="43"/>
      <c r="F304" s="43"/>
      <c r="G304" s="42"/>
      <c r="H304" s="43"/>
      <c r="I304" s="44"/>
      <c r="J304" s="44"/>
      <c r="K304" s="43"/>
      <c r="L304" s="43"/>
      <c r="M304" s="44"/>
      <c r="N304" s="43"/>
      <c r="O304" s="44"/>
      <c r="P304" s="44"/>
      <c r="Q304" s="44"/>
      <c r="R304" s="43"/>
      <c r="S304" s="43"/>
      <c r="T304" s="45"/>
    </row>
    <row r="305" spans="1:20">
      <c r="A305" s="42">
        <v>304</v>
      </c>
      <c r="B305" s="43"/>
      <c r="C305" s="43"/>
      <c r="D305" s="43"/>
      <c r="E305" s="43"/>
      <c r="F305" s="43"/>
      <c r="G305" s="42"/>
      <c r="H305" s="43"/>
      <c r="I305" s="44"/>
      <c r="J305" s="44"/>
      <c r="K305" s="43"/>
      <c r="L305" s="43"/>
      <c r="M305" s="44"/>
      <c r="N305" s="43"/>
      <c r="O305" s="44"/>
      <c r="P305" s="44"/>
      <c r="Q305" s="44"/>
      <c r="R305" s="43"/>
      <c r="S305" s="43"/>
      <c r="T305" s="45"/>
    </row>
    <row r="306" spans="1:20">
      <c r="A306" s="42">
        <v>305</v>
      </c>
      <c r="B306" s="43"/>
      <c r="C306" s="43"/>
      <c r="D306" s="43"/>
      <c r="E306" s="43"/>
      <c r="F306" s="43"/>
      <c r="G306" s="42"/>
      <c r="H306" s="43"/>
      <c r="I306" s="44"/>
      <c r="J306" s="44"/>
      <c r="K306" s="43"/>
      <c r="L306" s="43"/>
      <c r="M306" s="44"/>
      <c r="N306" s="43"/>
      <c r="O306" s="44"/>
      <c r="P306" s="44"/>
      <c r="Q306" s="44"/>
      <c r="R306" s="43"/>
      <c r="S306" s="43"/>
      <c r="T306" s="45"/>
    </row>
    <row r="307" spans="1:20">
      <c r="A307" s="42">
        <v>306</v>
      </c>
      <c r="B307" s="43"/>
      <c r="C307" s="43"/>
      <c r="D307" s="43"/>
      <c r="E307" s="43"/>
      <c r="F307" s="43"/>
      <c r="G307" s="42"/>
      <c r="H307" s="43"/>
      <c r="I307" s="44"/>
      <c r="J307" s="44"/>
      <c r="K307" s="43"/>
      <c r="L307" s="43"/>
      <c r="M307" s="44"/>
      <c r="N307" s="43"/>
      <c r="O307" s="44"/>
      <c r="P307" s="44"/>
      <c r="Q307" s="44"/>
      <c r="R307" s="43"/>
      <c r="S307" s="43"/>
      <c r="T307" s="45"/>
    </row>
    <row r="308" spans="1:20">
      <c r="A308" s="42">
        <v>307</v>
      </c>
      <c r="B308" s="43"/>
      <c r="C308" s="43"/>
      <c r="D308" s="43"/>
      <c r="E308" s="43"/>
      <c r="F308" s="43"/>
      <c r="G308" s="42"/>
      <c r="H308" s="43"/>
      <c r="I308" s="44"/>
      <c r="J308" s="44"/>
      <c r="K308" s="43"/>
      <c r="L308" s="43"/>
      <c r="M308" s="44"/>
      <c r="N308" s="43"/>
      <c r="O308" s="44"/>
      <c r="P308" s="44"/>
      <c r="Q308" s="44"/>
      <c r="R308" s="43"/>
      <c r="S308" s="43"/>
      <c r="T308" s="45"/>
    </row>
    <row r="309" spans="1:20">
      <c r="A309" s="42">
        <v>308</v>
      </c>
      <c r="B309" s="43"/>
      <c r="C309" s="43"/>
      <c r="D309" s="43"/>
      <c r="E309" s="43"/>
      <c r="F309" s="43"/>
      <c r="G309" s="42"/>
      <c r="H309" s="43"/>
      <c r="I309" s="44"/>
      <c r="J309" s="44"/>
      <c r="K309" s="43"/>
      <c r="L309" s="43"/>
      <c r="M309" s="44"/>
      <c r="N309" s="43"/>
      <c r="O309" s="44"/>
      <c r="P309" s="44"/>
      <c r="Q309" s="44"/>
      <c r="R309" s="43"/>
      <c r="S309" s="43"/>
      <c r="T309" s="45"/>
    </row>
    <row r="310" spans="1:20">
      <c r="A310" s="42">
        <v>309</v>
      </c>
      <c r="B310" s="43"/>
      <c r="C310" s="43"/>
      <c r="D310" s="43"/>
      <c r="E310" s="43"/>
      <c r="F310" s="43"/>
      <c r="G310" s="42"/>
      <c r="H310" s="43"/>
      <c r="I310" s="44"/>
      <c r="J310" s="44"/>
      <c r="K310" s="43"/>
      <c r="L310" s="43"/>
      <c r="M310" s="44"/>
      <c r="N310" s="43"/>
      <c r="O310" s="44"/>
      <c r="P310" s="44"/>
      <c r="Q310" s="44"/>
      <c r="R310" s="43"/>
      <c r="S310" s="43"/>
      <c r="T310" s="45"/>
    </row>
    <row r="311" spans="1:20">
      <c r="A311" s="42">
        <v>310</v>
      </c>
      <c r="B311" s="43"/>
      <c r="C311" s="43"/>
      <c r="D311" s="43"/>
      <c r="E311" s="43"/>
      <c r="F311" s="43"/>
      <c r="G311" s="42"/>
      <c r="H311" s="43"/>
      <c r="I311" s="44"/>
      <c r="J311" s="44"/>
      <c r="K311" s="43"/>
      <c r="L311" s="43"/>
      <c r="M311" s="44"/>
      <c r="N311" s="43"/>
      <c r="O311" s="44"/>
      <c r="P311" s="44"/>
      <c r="Q311" s="44"/>
      <c r="R311" s="43"/>
      <c r="S311" s="43"/>
      <c r="T311" s="45"/>
    </row>
    <row r="312" spans="1:20">
      <c r="A312" s="42">
        <v>311</v>
      </c>
      <c r="B312" s="43"/>
      <c r="C312" s="43"/>
      <c r="D312" s="43"/>
      <c r="E312" s="43"/>
      <c r="F312" s="43"/>
      <c r="G312" s="42"/>
      <c r="H312" s="43"/>
      <c r="I312" s="44"/>
      <c r="J312" s="44"/>
      <c r="K312" s="43"/>
      <c r="L312" s="43"/>
      <c r="M312" s="44"/>
      <c r="N312" s="43"/>
      <c r="O312" s="44"/>
      <c r="P312" s="44"/>
      <c r="Q312" s="44"/>
      <c r="R312" s="43"/>
      <c r="S312" s="43"/>
      <c r="T312" s="45"/>
    </row>
    <row r="313" spans="1:20">
      <c r="A313" s="42">
        <v>312</v>
      </c>
      <c r="B313" s="43"/>
      <c r="C313" s="43"/>
      <c r="D313" s="43"/>
      <c r="E313" s="43"/>
      <c r="F313" s="43"/>
      <c r="G313" s="42"/>
      <c r="H313" s="43"/>
      <c r="I313" s="44"/>
      <c r="J313" s="44"/>
      <c r="K313" s="43"/>
      <c r="L313" s="43"/>
      <c r="M313" s="44"/>
      <c r="N313" s="43"/>
      <c r="O313" s="44"/>
      <c r="P313" s="44"/>
      <c r="Q313" s="44"/>
      <c r="R313" s="43"/>
      <c r="S313" s="43"/>
      <c r="T313" s="45"/>
    </row>
    <row r="314" spans="1:20">
      <c r="A314" s="42">
        <v>313</v>
      </c>
      <c r="B314" s="43"/>
      <c r="C314" s="43"/>
      <c r="D314" s="43"/>
      <c r="E314" s="43"/>
      <c r="F314" s="43"/>
      <c r="G314" s="42"/>
      <c r="H314" s="43"/>
      <c r="I314" s="44"/>
      <c r="J314" s="44"/>
      <c r="K314" s="43"/>
      <c r="L314" s="43"/>
      <c r="M314" s="44"/>
      <c r="N314" s="43"/>
      <c r="O314" s="44"/>
      <c r="P314" s="44"/>
      <c r="Q314" s="44"/>
      <c r="R314" s="43"/>
      <c r="S314" s="43"/>
      <c r="T314" s="45"/>
    </row>
    <row r="315" spans="1:20">
      <c r="A315" s="42">
        <v>314</v>
      </c>
      <c r="B315" s="43"/>
      <c r="C315" s="43"/>
      <c r="D315" s="43"/>
      <c r="E315" s="43"/>
      <c r="F315" s="43"/>
      <c r="G315" s="42"/>
      <c r="H315" s="43"/>
      <c r="I315" s="44"/>
      <c r="J315" s="44"/>
      <c r="K315" s="43"/>
      <c r="L315" s="43"/>
      <c r="M315" s="44"/>
      <c r="N315" s="43"/>
      <c r="O315" s="44"/>
      <c r="P315" s="44"/>
      <c r="Q315" s="44"/>
      <c r="R315" s="43"/>
      <c r="S315" s="43"/>
      <c r="T315" s="45"/>
    </row>
    <row r="316" spans="1:20">
      <c r="A316" s="42">
        <v>315</v>
      </c>
      <c r="B316" s="43"/>
      <c r="C316" s="43"/>
      <c r="D316" s="43"/>
      <c r="E316" s="43"/>
      <c r="F316" s="43"/>
      <c r="G316" s="42"/>
      <c r="H316" s="43"/>
      <c r="I316" s="44"/>
      <c r="J316" s="44"/>
      <c r="K316" s="43"/>
      <c r="L316" s="43"/>
      <c r="M316" s="44"/>
      <c r="N316" s="43"/>
      <c r="O316" s="44"/>
      <c r="P316" s="44"/>
      <c r="Q316" s="44"/>
      <c r="R316" s="43"/>
      <c r="S316" s="43"/>
      <c r="T316" s="45"/>
    </row>
    <row r="317" spans="1:20">
      <c r="A317" s="42">
        <v>316</v>
      </c>
      <c r="B317" s="43"/>
      <c r="C317" s="43"/>
      <c r="D317" s="43"/>
      <c r="E317" s="43"/>
      <c r="F317" s="43"/>
      <c r="G317" s="42"/>
      <c r="H317" s="43"/>
      <c r="I317" s="44"/>
      <c r="J317" s="44"/>
      <c r="K317" s="43"/>
      <c r="L317" s="43"/>
      <c r="M317" s="44"/>
      <c r="N317" s="43"/>
      <c r="O317" s="44"/>
      <c r="P317" s="44"/>
      <c r="Q317" s="44"/>
      <c r="R317" s="43"/>
      <c r="S317" s="43"/>
      <c r="T317" s="45"/>
    </row>
    <row r="318" spans="1:20">
      <c r="A318" s="42">
        <v>317</v>
      </c>
      <c r="B318" s="43"/>
      <c r="C318" s="43"/>
      <c r="D318" s="43"/>
      <c r="E318" s="43"/>
      <c r="F318" s="43"/>
      <c r="G318" s="42"/>
      <c r="H318" s="43"/>
      <c r="I318" s="44"/>
      <c r="J318" s="44"/>
      <c r="K318" s="43"/>
      <c r="L318" s="43"/>
      <c r="M318" s="44"/>
      <c r="N318" s="43"/>
      <c r="O318" s="44"/>
      <c r="P318" s="44"/>
      <c r="Q318" s="44"/>
      <c r="R318" s="43"/>
      <c r="S318" s="43"/>
      <c r="T318" s="45"/>
    </row>
    <row r="319" spans="1:20">
      <c r="A319" s="42">
        <v>318</v>
      </c>
      <c r="B319" s="43"/>
      <c r="C319" s="43"/>
      <c r="D319" s="43"/>
      <c r="E319" s="43"/>
      <c r="F319" s="43"/>
      <c r="G319" s="42"/>
      <c r="H319" s="43"/>
      <c r="I319" s="44"/>
      <c r="J319" s="44"/>
      <c r="K319" s="43"/>
      <c r="L319" s="43"/>
      <c r="M319" s="44"/>
      <c r="N319" s="43"/>
      <c r="O319" s="44"/>
      <c r="P319" s="44"/>
      <c r="Q319" s="44"/>
      <c r="R319" s="43"/>
      <c r="S319" s="43"/>
      <c r="T319" s="45"/>
    </row>
    <row r="320" spans="1:20">
      <c r="A320" s="42">
        <v>319</v>
      </c>
      <c r="B320" s="43"/>
      <c r="C320" s="43"/>
      <c r="D320" s="43"/>
      <c r="E320" s="43"/>
      <c r="F320" s="43"/>
      <c r="G320" s="42"/>
      <c r="H320" s="43"/>
      <c r="I320" s="44"/>
      <c r="J320" s="44"/>
      <c r="K320" s="43"/>
      <c r="L320" s="43"/>
      <c r="M320" s="44"/>
      <c r="N320" s="43"/>
      <c r="O320" s="44"/>
      <c r="P320" s="44"/>
      <c r="Q320" s="44"/>
      <c r="R320" s="43"/>
      <c r="S320" s="43"/>
      <c r="T320" s="45"/>
    </row>
    <row r="321" spans="1:20">
      <c r="A321" s="42">
        <v>320</v>
      </c>
      <c r="B321" s="43"/>
      <c r="C321" s="43"/>
      <c r="D321" s="43"/>
      <c r="E321" s="43"/>
      <c r="F321" s="43"/>
      <c r="G321" s="42"/>
      <c r="H321" s="43"/>
      <c r="I321" s="44"/>
      <c r="J321" s="44"/>
      <c r="K321" s="43"/>
      <c r="L321" s="43"/>
      <c r="M321" s="44"/>
      <c r="N321" s="43"/>
      <c r="O321" s="44"/>
      <c r="P321" s="44"/>
      <c r="Q321" s="44"/>
      <c r="R321" s="43"/>
      <c r="S321" s="43"/>
      <c r="T321" s="45"/>
    </row>
    <row r="322" spans="1:20">
      <c r="A322" s="42">
        <v>321</v>
      </c>
      <c r="B322" s="43"/>
      <c r="C322" s="43"/>
      <c r="D322" s="43"/>
      <c r="E322" s="43"/>
      <c r="F322" s="43"/>
      <c r="G322" s="42"/>
      <c r="H322" s="43"/>
      <c r="I322" s="44"/>
      <c r="J322" s="44"/>
      <c r="K322" s="43"/>
      <c r="L322" s="43"/>
      <c r="M322" s="44"/>
      <c r="N322" s="43"/>
      <c r="O322" s="44"/>
      <c r="P322" s="44"/>
      <c r="Q322" s="44"/>
      <c r="R322" s="43"/>
      <c r="S322" s="43"/>
      <c r="T322" s="45"/>
    </row>
    <row r="323" spans="1:20">
      <c r="A323" s="42">
        <v>322</v>
      </c>
      <c r="B323" s="43"/>
      <c r="C323" s="43"/>
      <c r="D323" s="43"/>
      <c r="E323" s="43"/>
      <c r="F323" s="43"/>
      <c r="G323" s="42"/>
      <c r="H323" s="43"/>
      <c r="I323" s="44"/>
      <c r="J323" s="44"/>
      <c r="K323" s="43"/>
      <c r="L323" s="43"/>
      <c r="M323" s="44"/>
      <c r="N323" s="43"/>
      <c r="O323" s="44"/>
      <c r="P323" s="44"/>
      <c r="Q323" s="44"/>
      <c r="R323" s="43"/>
      <c r="S323" s="43"/>
      <c r="T323" s="45"/>
    </row>
    <row r="324" spans="1:20">
      <c r="A324" s="42">
        <v>323</v>
      </c>
      <c r="B324" s="43"/>
      <c r="C324" s="43"/>
      <c r="D324" s="43"/>
      <c r="E324" s="43"/>
      <c r="F324" s="43"/>
      <c r="G324" s="42"/>
      <c r="H324" s="43"/>
      <c r="I324" s="44"/>
      <c r="J324" s="44"/>
      <c r="K324" s="43"/>
      <c r="L324" s="43"/>
      <c r="M324" s="44"/>
      <c r="N324" s="43"/>
      <c r="O324" s="44"/>
      <c r="P324" s="44"/>
      <c r="Q324" s="44"/>
      <c r="R324" s="43"/>
      <c r="S324" s="43"/>
      <c r="T324" s="45"/>
    </row>
    <row r="325" spans="1:20">
      <c r="A325" s="42">
        <v>324</v>
      </c>
      <c r="B325" s="43"/>
      <c r="C325" s="43"/>
      <c r="D325" s="43"/>
      <c r="E325" s="43"/>
      <c r="F325" s="43"/>
      <c r="G325" s="42"/>
      <c r="H325" s="43"/>
      <c r="I325" s="44"/>
      <c r="J325" s="44"/>
      <c r="K325" s="43"/>
      <c r="L325" s="43"/>
      <c r="M325" s="44"/>
      <c r="N325" s="43"/>
      <c r="O325" s="44"/>
      <c r="P325" s="44"/>
      <c r="Q325" s="44"/>
      <c r="R325" s="43"/>
      <c r="S325" s="43"/>
      <c r="T325" s="45"/>
    </row>
    <row r="326" spans="1:20">
      <c r="A326" s="42">
        <v>325</v>
      </c>
      <c r="B326" s="43"/>
      <c r="C326" s="43"/>
      <c r="D326" s="43"/>
      <c r="E326" s="43"/>
      <c r="F326" s="43"/>
      <c r="G326" s="42"/>
      <c r="H326" s="43"/>
      <c r="I326" s="44"/>
      <c r="J326" s="44"/>
      <c r="K326" s="43"/>
      <c r="L326" s="43"/>
      <c r="M326" s="44"/>
      <c r="N326" s="43"/>
      <c r="O326" s="44"/>
      <c r="P326" s="44"/>
      <c r="Q326" s="44"/>
      <c r="R326" s="43"/>
      <c r="S326" s="43"/>
      <c r="T326" s="45"/>
    </row>
    <row r="327" spans="1:20">
      <c r="A327" s="42">
        <v>326</v>
      </c>
      <c r="B327" s="43"/>
      <c r="C327" s="43"/>
      <c r="D327" s="43"/>
      <c r="E327" s="43"/>
      <c r="F327" s="43"/>
      <c r="G327" s="42"/>
      <c r="H327" s="43"/>
      <c r="I327" s="44"/>
      <c r="J327" s="44"/>
      <c r="K327" s="43"/>
      <c r="L327" s="43"/>
      <c r="M327" s="44"/>
      <c r="N327" s="43"/>
      <c r="O327" s="44"/>
      <c r="P327" s="44"/>
      <c r="Q327" s="44"/>
      <c r="R327" s="43"/>
      <c r="S327" s="43"/>
      <c r="T327" s="45"/>
    </row>
    <row r="328" spans="1:20">
      <c r="A328" s="42">
        <v>327</v>
      </c>
      <c r="B328" s="43"/>
      <c r="C328" s="43"/>
      <c r="D328" s="43"/>
      <c r="E328" s="43"/>
      <c r="F328" s="43"/>
      <c r="G328" s="42"/>
      <c r="H328" s="43"/>
      <c r="I328" s="44"/>
      <c r="J328" s="44"/>
      <c r="K328" s="43"/>
      <c r="L328" s="43"/>
      <c r="M328" s="44"/>
      <c r="N328" s="43"/>
      <c r="O328" s="44"/>
      <c r="P328" s="44"/>
      <c r="Q328" s="44"/>
      <c r="R328" s="43"/>
      <c r="S328" s="43"/>
      <c r="T328" s="45"/>
    </row>
    <row r="329" spans="1:20">
      <c r="A329" s="42">
        <v>328</v>
      </c>
      <c r="B329" s="43"/>
      <c r="C329" s="43"/>
      <c r="D329" s="43"/>
      <c r="E329" s="43"/>
      <c r="F329" s="43"/>
      <c r="G329" s="42"/>
      <c r="H329" s="43"/>
      <c r="I329" s="44"/>
      <c r="J329" s="44"/>
      <c r="K329" s="43"/>
      <c r="L329" s="43"/>
      <c r="M329" s="44"/>
      <c r="N329" s="43"/>
      <c r="O329" s="44"/>
      <c r="P329" s="44"/>
      <c r="Q329" s="44"/>
      <c r="R329" s="43"/>
      <c r="S329" s="43"/>
      <c r="T329" s="45"/>
    </row>
    <row r="330" spans="1:20">
      <c r="A330" s="42">
        <v>329</v>
      </c>
      <c r="B330" s="43"/>
      <c r="C330" s="43"/>
      <c r="D330" s="43"/>
      <c r="E330" s="43"/>
      <c r="F330" s="43"/>
      <c r="G330" s="42"/>
      <c r="H330" s="43"/>
      <c r="I330" s="44"/>
      <c r="J330" s="44"/>
      <c r="K330" s="43"/>
      <c r="L330" s="43"/>
      <c r="M330" s="44"/>
      <c r="N330" s="43"/>
      <c r="O330" s="44"/>
      <c r="P330" s="44"/>
      <c r="Q330" s="44"/>
      <c r="R330" s="43"/>
      <c r="S330" s="43"/>
      <c r="T330" s="45"/>
    </row>
    <row r="331" spans="1:20">
      <c r="A331" s="42">
        <v>330</v>
      </c>
      <c r="B331" s="43"/>
      <c r="C331" s="43"/>
      <c r="D331" s="43"/>
      <c r="E331" s="43"/>
      <c r="F331" s="43"/>
      <c r="G331" s="42"/>
      <c r="H331" s="43"/>
      <c r="I331" s="44"/>
      <c r="J331" s="44"/>
      <c r="K331" s="43"/>
      <c r="L331" s="43"/>
      <c r="M331" s="44"/>
      <c r="N331" s="43"/>
      <c r="O331" s="44"/>
      <c r="P331" s="44"/>
      <c r="Q331" s="44"/>
      <c r="R331" s="43"/>
      <c r="S331" s="43"/>
      <c r="T331" s="45"/>
    </row>
    <row r="332" spans="1:20">
      <c r="A332" s="42">
        <v>331</v>
      </c>
      <c r="B332" s="43"/>
      <c r="C332" s="43"/>
      <c r="D332" s="43"/>
      <c r="E332" s="43"/>
      <c r="F332" s="43"/>
      <c r="G332" s="42"/>
      <c r="H332" s="43"/>
      <c r="I332" s="44"/>
      <c r="J332" s="44"/>
      <c r="K332" s="43"/>
      <c r="L332" s="43"/>
      <c r="M332" s="44"/>
      <c r="N332" s="43"/>
      <c r="O332" s="44"/>
      <c r="P332" s="44"/>
      <c r="Q332" s="44"/>
      <c r="R332" s="43"/>
      <c r="S332" s="43"/>
      <c r="T332" s="45"/>
    </row>
    <row r="333" spans="1:20">
      <c r="A333" s="42">
        <v>332</v>
      </c>
      <c r="B333" s="43"/>
      <c r="C333" s="43"/>
      <c r="D333" s="43"/>
      <c r="E333" s="43"/>
      <c r="F333" s="43"/>
      <c r="G333" s="42"/>
      <c r="H333" s="43"/>
      <c r="I333" s="44"/>
      <c r="J333" s="44"/>
      <c r="K333" s="43"/>
      <c r="L333" s="43"/>
      <c r="M333" s="44"/>
      <c r="N333" s="43"/>
      <c r="O333" s="44"/>
      <c r="P333" s="44"/>
      <c r="Q333" s="44"/>
      <c r="R333" s="43"/>
      <c r="S333" s="43"/>
      <c r="T333" s="45"/>
    </row>
    <row r="334" spans="1:20">
      <c r="A334" s="42">
        <v>333</v>
      </c>
      <c r="B334" s="43"/>
      <c r="C334" s="43"/>
      <c r="D334" s="43"/>
      <c r="E334" s="43"/>
      <c r="F334" s="43"/>
      <c r="G334" s="42"/>
      <c r="H334" s="43"/>
      <c r="I334" s="44"/>
      <c r="J334" s="44"/>
      <c r="K334" s="43"/>
      <c r="L334" s="43"/>
      <c r="M334" s="44"/>
      <c r="N334" s="43"/>
      <c r="O334" s="44"/>
      <c r="P334" s="44"/>
      <c r="Q334" s="44"/>
      <c r="R334" s="43"/>
      <c r="S334" s="43"/>
      <c r="T334" s="45"/>
    </row>
    <row r="335" spans="1:20">
      <c r="A335" s="42">
        <v>334</v>
      </c>
      <c r="B335" s="43"/>
      <c r="C335" s="43"/>
      <c r="D335" s="43"/>
      <c r="E335" s="43"/>
      <c r="F335" s="43"/>
      <c r="G335" s="42"/>
      <c r="H335" s="43"/>
      <c r="I335" s="44"/>
      <c r="J335" s="44"/>
      <c r="K335" s="43"/>
      <c r="L335" s="43"/>
      <c r="M335" s="44"/>
      <c r="N335" s="43"/>
      <c r="O335" s="44"/>
      <c r="P335" s="44"/>
      <c r="Q335" s="44"/>
      <c r="R335" s="43"/>
      <c r="S335" s="43"/>
      <c r="T335" s="45"/>
    </row>
    <row r="336" spans="1:20">
      <c r="A336" s="42">
        <v>335</v>
      </c>
      <c r="B336" s="43"/>
      <c r="C336" s="43"/>
      <c r="D336" s="43"/>
      <c r="E336" s="43"/>
      <c r="F336" s="43"/>
      <c r="G336" s="42"/>
      <c r="H336" s="43"/>
      <c r="I336" s="44"/>
      <c r="J336" s="44"/>
      <c r="K336" s="43"/>
      <c r="L336" s="43"/>
      <c r="M336" s="44"/>
      <c r="N336" s="43"/>
      <c r="O336" s="44"/>
      <c r="P336" s="44"/>
      <c r="Q336" s="44"/>
      <c r="R336" s="43"/>
      <c r="S336" s="43"/>
      <c r="T336" s="45"/>
    </row>
    <row r="337" spans="1:20">
      <c r="A337" s="42">
        <v>336</v>
      </c>
      <c r="B337" s="43"/>
      <c r="C337" s="43"/>
      <c r="D337" s="43"/>
      <c r="E337" s="43"/>
      <c r="F337" s="43"/>
      <c r="G337" s="42"/>
      <c r="H337" s="43"/>
      <c r="I337" s="44"/>
      <c r="J337" s="44"/>
      <c r="K337" s="43"/>
      <c r="L337" s="43"/>
      <c r="M337" s="44"/>
      <c r="N337" s="43"/>
      <c r="O337" s="44"/>
      <c r="P337" s="44"/>
      <c r="Q337" s="44"/>
      <c r="R337" s="43"/>
      <c r="S337" s="43"/>
      <c r="T337" s="45"/>
    </row>
    <row r="338" spans="1:20">
      <c r="A338" s="42">
        <v>337</v>
      </c>
      <c r="B338" s="43"/>
      <c r="C338" s="43"/>
      <c r="D338" s="43"/>
      <c r="E338" s="43"/>
      <c r="F338" s="43"/>
      <c r="G338" s="42"/>
      <c r="H338" s="43"/>
      <c r="I338" s="44"/>
      <c r="J338" s="44"/>
      <c r="K338" s="43"/>
      <c r="L338" s="43"/>
      <c r="M338" s="44"/>
      <c r="N338" s="43"/>
      <c r="O338" s="44"/>
      <c r="P338" s="44"/>
      <c r="Q338" s="44"/>
      <c r="R338" s="43"/>
      <c r="S338" s="43"/>
      <c r="T338" s="45"/>
    </row>
    <row r="339" spans="1:20">
      <c r="A339" s="42">
        <v>338</v>
      </c>
      <c r="B339" s="43"/>
      <c r="C339" s="43"/>
      <c r="D339" s="43"/>
      <c r="E339" s="43"/>
      <c r="F339" s="43"/>
      <c r="G339" s="42"/>
      <c r="H339" s="43"/>
      <c r="I339" s="44"/>
      <c r="J339" s="44"/>
      <c r="K339" s="43"/>
      <c r="L339" s="43"/>
      <c r="M339" s="44"/>
      <c r="N339" s="43"/>
      <c r="O339" s="44"/>
      <c r="P339" s="44"/>
      <c r="Q339" s="44"/>
      <c r="R339" s="43"/>
      <c r="S339" s="43"/>
      <c r="T339" s="45"/>
    </row>
    <row r="340" spans="1:20">
      <c r="A340" s="42">
        <v>339</v>
      </c>
      <c r="B340" s="43"/>
      <c r="C340" s="43"/>
      <c r="D340" s="43"/>
      <c r="E340" s="43"/>
      <c r="F340" s="43"/>
      <c r="G340" s="42"/>
      <c r="H340" s="43"/>
      <c r="I340" s="44"/>
      <c r="J340" s="44"/>
      <c r="K340" s="43"/>
      <c r="L340" s="43"/>
      <c r="M340" s="44"/>
      <c r="N340" s="43"/>
      <c r="O340" s="44"/>
      <c r="P340" s="44"/>
      <c r="Q340" s="44"/>
      <c r="R340" s="43"/>
      <c r="S340" s="43"/>
      <c r="T340" s="45"/>
    </row>
    <row r="341" spans="1:20">
      <c r="A341" s="42">
        <v>340</v>
      </c>
      <c r="B341" s="43"/>
      <c r="C341" s="43"/>
      <c r="D341" s="43"/>
      <c r="E341" s="43"/>
      <c r="F341" s="43"/>
      <c r="G341" s="42"/>
      <c r="H341" s="43"/>
      <c r="I341" s="44"/>
      <c r="J341" s="44"/>
      <c r="K341" s="43"/>
      <c r="L341" s="43"/>
      <c r="M341" s="44"/>
      <c r="N341" s="43"/>
      <c r="O341" s="44"/>
      <c r="P341" s="44"/>
      <c r="Q341" s="44"/>
      <c r="R341" s="43"/>
      <c r="S341" s="43"/>
      <c r="T341" s="45"/>
    </row>
    <row r="342" spans="1:20">
      <c r="A342" s="42">
        <v>341</v>
      </c>
      <c r="B342" s="43"/>
      <c r="C342" s="43"/>
      <c r="D342" s="43"/>
      <c r="E342" s="43"/>
      <c r="F342" s="43"/>
      <c r="G342" s="42"/>
      <c r="H342" s="43"/>
      <c r="I342" s="44"/>
      <c r="J342" s="44"/>
      <c r="K342" s="43"/>
      <c r="L342" s="43"/>
      <c r="M342" s="44"/>
      <c r="N342" s="43"/>
      <c r="O342" s="44"/>
      <c r="P342" s="44"/>
      <c r="Q342" s="44"/>
      <c r="R342" s="43"/>
      <c r="S342" s="43"/>
      <c r="T342" s="45"/>
    </row>
    <row r="343" spans="1:20">
      <c r="A343" s="42">
        <v>342</v>
      </c>
      <c r="B343" s="43"/>
      <c r="C343" s="43"/>
      <c r="D343" s="43"/>
      <c r="E343" s="43"/>
      <c r="F343" s="43"/>
      <c r="G343" s="42"/>
      <c r="H343" s="43"/>
      <c r="I343" s="44"/>
      <c r="J343" s="44"/>
      <c r="K343" s="43"/>
      <c r="L343" s="43"/>
      <c r="M343" s="44"/>
      <c r="N343" s="43"/>
      <c r="O343" s="44"/>
      <c r="P343" s="44"/>
      <c r="Q343" s="44"/>
      <c r="R343" s="43"/>
      <c r="S343" s="43"/>
      <c r="T343" s="45"/>
    </row>
    <row r="344" spans="1:20">
      <c r="A344" s="42">
        <v>343</v>
      </c>
      <c r="B344" s="43"/>
      <c r="C344" s="43"/>
      <c r="D344" s="43"/>
      <c r="E344" s="43"/>
      <c r="F344" s="43"/>
      <c r="G344" s="42"/>
      <c r="H344" s="43"/>
      <c r="I344" s="44"/>
      <c r="J344" s="44"/>
      <c r="K344" s="43"/>
      <c r="L344" s="43"/>
      <c r="M344" s="44"/>
      <c r="N344" s="43"/>
      <c r="O344" s="44"/>
      <c r="P344" s="44"/>
      <c r="Q344" s="44"/>
      <c r="R344" s="43"/>
      <c r="S344" s="43"/>
      <c r="T344" s="45"/>
    </row>
    <row r="345" spans="1:20">
      <c r="A345" s="42">
        <v>344</v>
      </c>
      <c r="B345" s="43"/>
      <c r="C345" s="43"/>
      <c r="D345" s="43"/>
      <c r="E345" s="43"/>
      <c r="F345" s="43"/>
      <c r="G345" s="42"/>
      <c r="H345" s="43"/>
      <c r="I345" s="44"/>
      <c r="J345" s="44"/>
      <c r="K345" s="43"/>
      <c r="L345" s="43"/>
      <c r="M345" s="44"/>
      <c r="N345" s="43"/>
      <c r="O345" s="44"/>
      <c r="P345" s="44"/>
      <c r="Q345" s="44"/>
      <c r="R345" s="43"/>
      <c r="S345" s="43"/>
      <c r="T345" s="45"/>
    </row>
    <row r="346" spans="1:20">
      <c r="A346" s="42">
        <v>345</v>
      </c>
      <c r="B346" s="43"/>
      <c r="C346" s="43"/>
      <c r="D346" s="43"/>
      <c r="E346" s="43"/>
      <c r="F346" s="43"/>
      <c r="G346" s="42"/>
      <c r="H346" s="43"/>
      <c r="I346" s="44"/>
      <c r="J346" s="44"/>
      <c r="K346" s="43"/>
      <c r="L346" s="43"/>
      <c r="M346" s="44"/>
      <c r="N346" s="43"/>
      <c r="O346" s="44"/>
      <c r="P346" s="44"/>
      <c r="Q346" s="44"/>
      <c r="R346" s="43"/>
      <c r="S346" s="43"/>
      <c r="T346" s="45"/>
    </row>
    <row r="347" spans="1:20">
      <c r="A347" s="42">
        <v>346</v>
      </c>
      <c r="B347" s="43"/>
      <c r="C347" s="43"/>
      <c r="D347" s="43"/>
      <c r="E347" s="43"/>
      <c r="F347" s="43"/>
      <c r="G347" s="42"/>
      <c r="H347" s="43"/>
      <c r="I347" s="44"/>
      <c r="J347" s="44"/>
      <c r="K347" s="43"/>
      <c r="L347" s="43"/>
      <c r="M347" s="44"/>
      <c r="N347" s="43"/>
      <c r="O347" s="44"/>
      <c r="P347" s="44"/>
      <c r="Q347" s="44"/>
      <c r="R347" s="43"/>
      <c r="S347" s="43"/>
      <c r="T347" s="45"/>
    </row>
    <row r="348" spans="1:20">
      <c r="A348" s="42">
        <v>347</v>
      </c>
      <c r="B348" s="43"/>
      <c r="C348" s="43"/>
      <c r="D348" s="43"/>
      <c r="E348" s="43"/>
      <c r="F348" s="43"/>
      <c r="G348" s="42"/>
      <c r="H348" s="43"/>
      <c r="I348" s="44"/>
      <c r="J348" s="44"/>
      <c r="K348" s="43"/>
      <c r="L348" s="43"/>
      <c r="M348" s="44"/>
      <c r="N348" s="43"/>
      <c r="O348" s="44"/>
      <c r="P348" s="44"/>
      <c r="Q348" s="44"/>
      <c r="R348" s="43"/>
      <c r="S348" s="43"/>
      <c r="T348" s="45"/>
    </row>
    <row r="349" spans="1:20">
      <c r="A349" s="42">
        <v>348</v>
      </c>
      <c r="B349" s="43"/>
      <c r="C349" s="43"/>
      <c r="D349" s="43"/>
      <c r="E349" s="43"/>
      <c r="F349" s="43"/>
      <c r="G349" s="42"/>
      <c r="H349" s="43"/>
      <c r="I349" s="44"/>
      <c r="J349" s="44"/>
      <c r="K349" s="43"/>
      <c r="L349" s="43"/>
      <c r="M349" s="44"/>
      <c r="N349" s="43"/>
      <c r="O349" s="44"/>
      <c r="P349" s="44"/>
      <c r="Q349" s="44"/>
      <c r="R349" s="43"/>
      <c r="S349" s="43"/>
      <c r="T349" s="45"/>
    </row>
    <row r="350" spans="1:20">
      <c r="A350" s="42">
        <v>349</v>
      </c>
      <c r="B350" s="43"/>
      <c r="C350" s="43"/>
      <c r="D350" s="43"/>
      <c r="E350" s="43"/>
      <c r="F350" s="43"/>
      <c r="G350" s="42"/>
      <c r="H350" s="43"/>
      <c r="I350" s="44"/>
      <c r="J350" s="44"/>
      <c r="K350" s="43"/>
      <c r="L350" s="43"/>
      <c r="M350" s="44"/>
      <c r="N350" s="43"/>
      <c r="O350" s="44"/>
      <c r="P350" s="44"/>
      <c r="Q350" s="44"/>
      <c r="R350" s="43"/>
      <c r="S350" s="43"/>
      <c r="T350" s="45"/>
    </row>
    <row r="351" spans="1:20">
      <c r="A351" s="42">
        <v>350</v>
      </c>
      <c r="B351" s="43"/>
      <c r="C351" s="43"/>
      <c r="D351" s="43"/>
      <c r="E351" s="43"/>
      <c r="F351" s="43"/>
      <c r="G351" s="42"/>
      <c r="H351" s="43"/>
      <c r="I351" s="44"/>
      <c r="J351" s="44"/>
      <c r="K351" s="43"/>
      <c r="L351" s="43"/>
      <c r="M351" s="44"/>
      <c r="N351" s="43"/>
      <c r="O351" s="44"/>
      <c r="P351" s="44"/>
      <c r="Q351" s="44"/>
      <c r="R351" s="43"/>
      <c r="S351" s="43"/>
      <c r="T351" s="45"/>
    </row>
    <row r="352" spans="1:20">
      <c r="A352" s="42">
        <v>351</v>
      </c>
      <c r="B352" s="43"/>
      <c r="C352" s="43"/>
      <c r="D352" s="43"/>
      <c r="E352" s="43"/>
      <c r="F352" s="43"/>
      <c r="G352" s="42"/>
      <c r="H352" s="43"/>
      <c r="I352" s="44"/>
      <c r="J352" s="44"/>
      <c r="K352" s="43"/>
      <c r="L352" s="43"/>
      <c r="M352" s="44"/>
      <c r="N352" s="43"/>
      <c r="O352" s="44"/>
      <c r="P352" s="44"/>
      <c r="Q352" s="44"/>
      <c r="R352" s="43"/>
      <c r="S352" s="43"/>
      <c r="T352" s="45"/>
    </row>
    <row r="353" spans="1:20">
      <c r="A353" s="42">
        <v>352</v>
      </c>
      <c r="B353" s="43"/>
      <c r="C353" s="43"/>
      <c r="D353" s="43"/>
      <c r="E353" s="43"/>
      <c r="F353" s="43"/>
      <c r="G353" s="42"/>
      <c r="H353" s="43"/>
      <c r="I353" s="44"/>
      <c r="J353" s="44"/>
      <c r="K353" s="43"/>
      <c r="L353" s="43"/>
      <c r="M353" s="44"/>
      <c r="N353" s="43"/>
      <c r="O353" s="44"/>
      <c r="P353" s="44"/>
      <c r="Q353" s="44"/>
      <c r="R353" s="43"/>
      <c r="S353" s="43"/>
      <c r="T353" s="45"/>
    </row>
    <row r="354" spans="1:20">
      <c r="A354" s="42">
        <v>353</v>
      </c>
      <c r="B354" s="43"/>
      <c r="C354" s="43"/>
      <c r="D354" s="43"/>
      <c r="E354" s="43"/>
      <c r="F354" s="43"/>
      <c r="G354" s="42"/>
      <c r="H354" s="43"/>
      <c r="I354" s="44"/>
      <c r="J354" s="44"/>
      <c r="K354" s="43"/>
      <c r="L354" s="43"/>
      <c r="M354" s="44"/>
      <c r="N354" s="43"/>
      <c r="O354" s="44"/>
      <c r="P354" s="44"/>
      <c r="Q354" s="44"/>
      <c r="R354" s="43"/>
      <c r="S354" s="43"/>
      <c r="T354" s="45"/>
    </row>
    <row r="355" spans="1:20">
      <c r="A355" s="42">
        <v>354</v>
      </c>
      <c r="B355" s="43"/>
      <c r="C355" s="43"/>
      <c r="D355" s="43"/>
      <c r="E355" s="43"/>
      <c r="F355" s="43"/>
      <c r="G355" s="42"/>
      <c r="H355" s="43"/>
      <c r="I355" s="44"/>
      <c r="J355" s="44"/>
      <c r="K355" s="43"/>
      <c r="L355" s="43"/>
      <c r="M355" s="44"/>
      <c r="N355" s="43"/>
      <c r="O355" s="44"/>
      <c r="P355" s="44"/>
      <c r="Q355" s="44"/>
      <c r="R355" s="43"/>
      <c r="S355" s="43"/>
      <c r="T355" s="45"/>
    </row>
    <row r="356" spans="1:20">
      <c r="A356" s="42">
        <v>355</v>
      </c>
      <c r="B356" s="43"/>
      <c r="C356" s="43"/>
      <c r="D356" s="43"/>
      <c r="E356" s="43"/>
      <c r="F356" s="43"/>
      <c r="G356" s="42"/>
      <c r="H356" s="43"/>
      <c r="I356" s="44"/>
      <c r="J356" s="44"/>
      <c r="K356" s="43"/>
      <c r="L356" s="43"/>
      <c r="M356" s="44"/>
      <c r="N356" s="43"/>
      <c r="O356" s="44"/>
      <c r="P356" s="44"/>
      <c r="Q356" s="44"/>
      <c r="R356" s="43"/>
      <c r="S356" s="43"/>
      <c r="T356" s="45"/>
    </row>
    <row r="357" spans="1:20">
      <c r="A357" s="42">
        <v>356</v>
      </c>
      <c r="B357" s="43"/>
      <c r="C357" s="43"/>
      <c r="D357" s="43"/>
      <c r="E357" s="43"/>
      <c r="F357" s="43"/>
      <c r="G357" s="42"/>
      <c r="H357" s="43"/>
      <c r="I357" s="44"/>
      <c r="J357" s="44"/>
      <c r="K357" s="43"/>
      <c r="L357" s="43"/>
      <c r="M357" s="44"/>
      <c r="N357" s="43"/>
      <c r="O357" s="44"/>
      <c r="P357" s="44"/>
      <c r="Q357" s="44"/>
      <c r="R357" s="43"/>
      <c r="S357" s="43"/>
      <c r="T357" s="45"/>
    </row>
    <row r="358" spans="1:20">
      <c r="A358" s="42">
        <v>357</v>
      </c>
      <c r="B358" s="43"/>
      <c r="C358" s="43"/>
      <c r="D358" s="43"/>
      <c r="E358" s="43"/>
      <c r="F358" s="43"/>
      <c r="G358" s="42"/>
      <c r="H358" s="43"/>
      <c r="I358" s="44"/>
      <c r="J358" s="44"/>
      <c r="K358" s="43"/>
      <c r="L358" s="43"/>
      <c r="M358" s="44"/>
      <c r="N358" s="43"/>
      <c r="O358" s="44"/>
      <c r="P358" s="44"/>
      <c r="Q358" s="44"/>
      <c r="R358" s="43"/>
      <c r="S358" s="43"/>
      <c r="T358" s="45"/>
    </row>
    <row r="359" spans="1:20">
      <c r="A359" s="42">
        <v>358</v>
      </c>
      <c r="B359" s="43"/>
      <c r="C359" s="43"/>
      <c r="D359" s="43"/>
      <c r="E359" s="43"/>
      <c r="F359" s="43"/>
      <c r="G359" s="42"/>
      <c r="H359" s="43"/>
      <c r="I359" s="44"/>
      <c r="J359" s="44"/>
      <c r="K359" s="43"/>
      <c r="L359" s="43"/>
      <c r="M359" s="44"/>
      <c r="N359" s="43"/>
      <c r="O359" s="44"/>
      <c r="P359" s="44"/>
      <c r="Q359" s="44"/>
      <c r="R359" s="43"/>
      <c r="S359" s="43"/>
      <c r="T359" s="45"/>
    </row>
    <row r="360" spans="1:20">
      <c r="A360" s="42">
        <v>359</v>
      </c>
      <c r="B360" s="43"/>
      <c r="C360" s="43"/>
      <c r="D360" s="43"/>
      <c r="E360" s="43"/>
      <c r="F360" s="43"/>
      <c r="G360" s="42"/>
      <c r="H360" s="43"/>
      <c r="I360" s="44"/>
      <c r="J360" s="44"/>
      <c r="K360" s="43"/>
      <c r="L360" s="43"/>
      <c r="M360" s="44"/>
      <c r="N360" s="43"/>
      <c r="O360" s="44"/>
      <c r="P360" s="44"/>
      <c r="Q360" s="44"/>
      <c r="R360" s="43"/>
      <c r="S360" s="43"/>
      <c r="T360" s="45"/>
    </row>
    <row r="361" spans="1:20">
      <c r="A361" s="42">
        <v>360</v>
      </c>
      <c r="B361" s="43"/>
      <c r="C361" s="43"/>
      <c r="D361" s="43"/>
      <c r="E361" s="43"/>
      <c r="F361" s="43"/>
      <c r="G361" s="42"/>
      <c r="H361" s="43"/>
      <c r="I361" s="44"/>
      <c r="J361" s="44"/>
      <c r="K361" s="43"/>
      <c r="L361" s="43"/>
      <c r="M361" s="44"/>
      <c r="N361" s="43"/>
      <c r="O361" s="44"/>
      <c r="P361" s="44"/>
      <c r="Q361" s="44"/>
      <c r="R361" s="43"/>
      <c r="S361" s="43"/>
      <c r="T361" s="45"/>
    </row>
    <row r="362" spans="1:20">
      <c r="A362" s="42">
        <v>361</v>
      </c>
      <c r="B362" s="43"/>
      <c r="C362" s="43"/>
      <c r="D362" s="43"/>
      <c r="E362" s="43"/>
      <c r="F362" s="43"/>
      <c r="G362" s="42"/>
      <c r="H362" s="43"/>
      <c r="I362" s="44"/>
      <c r="J362" s="44"/>
      <c r="K362" s="43"/>
      <c r="L362" s="43"/>
      <c r="M362" s="44"/>
      <c r="N362" s="43"/>
      <c r="O362" s="44"/>
      <c r="P362" s="44"/>
      <c r="Q362" s="44"/>
      <c r="R362" s="43"/>
      <c r="S362" s="43"/>
      <c r="T362" s="45"/>
    </row>
    <row r="363" spans="1:20">
      <c r="A363" s="42">
        <v>362</v>
      </c>
      <c r="B363" s="43"/>
      <c r="C363" s="43"/>
      <c r="D363" s="43"/>
      <c r="E363" s="43"/>
      <c r="F363" s="43"/>
      <c r="G363" s="42"/>
      <c r="H363" s="43"/>
      <c r="I363" s="44"/>
      <c r="J363" s="44"/>
      <c r="K363" s="43"/>
      <c r="L363" s="43"/>
      <c r="M363" s="44"/>
      <c r="N363" s="43"/>
      <c r="O363" s="44"/>
      <c r="P363" s="44"/>
      <c r="Q363" s="44"/>
      <c r="R363" s="43"/>
      <c r="S363" s="43"/>
      <c r="T363" s="45"/>
    </row>
    <row r="364" spans="1:20">
      <c r="A364" s="42">
        <v>363</v>
      </c>
      <c r="B364" s="43"/>
      <c r="C364" s="43"/>
      <c r="D364" s="43"/>
      <c r="E364" s="43"/>
      <c r="F364" s="43"/>
      <c r="G364" s="42"/>
      <c r="H364" s="43"/>
      <c r="I364" s="44"/>
      <c r="J364" s="44"/>
      <c r="K364" s="43"/>
      <c r="L364" s="43"/>
      <c r="M364" s="44"/>
      <c r="N364" s="43"/>
      <c r="O364" s="44"/>
      <c r="P364" s="44"/>
      <c r="Q364" s="44"/>
      <c r="R364" s="43"/>
      <c r="S364" s="43"/>
      <c r="T364" s="45"/>
    </row>
    <row r="365" spans="1:20">
      <c r="A365" s="42">
        <v>364</v>
      </c>
      <c r="B365" s="43"/>
      <c r="C365" s="43"/>
      <c r="D365" s="43"/>
      <c r="E365" s="43"/>
      <c r="F365" s="43"/>
      <c r="G365" s="42"/>
      <c r="H365" s="43"/>
      <c r="I365" s="44"/>
      <c r="J365" s="44"/>
      <c r="K365" s="43"/>
      <c r="L365" s="43"/>
      <c r="M365" s="44"/>
      <c r="N365" s="43"/>
      <c r="O365" s="44"/>
      <c r="P365" s="44"/>
      <c r="Q365" s="44"/>
      <c r="R365" s="43"/>
      <c r="S365" s="43"/>
      <c r="T365" s="45"/>
    </row>
    <row r="366" spans="1:20">
      <c r="A366" s="42">
        <v>365</v>
      </c>
      <c r="B366" s="43"/>
      <c r="C366" s="43"/>
      <c r="D366" s="43"/>
      <c r="E366" s="43"/>
      <c r="F366" s="43"/>
      <c r="G366" s="42"/>
      <c r="H366" s="43"/>
      <c r="I366" s="44"/>
      <c r="J366" s="44"/>
      <c r="K366" s="43"/>
      <c r="L366" s="43"/>
      <c r="M366" s="44"/>
      <c r="N366" s="43"/>
      <c r="O366" s="44"/>
      <c r="P366" s="44"/>
      <c r="Q366" s="44"/>
      <c r="R366" s="43"/>
      <c r="S366" s="43"/>
      <c r="T366" s="45"/>
    </row>
    <row r="367" spans="1:20">
      <c r="A367" s="42">
        <v>366</v>
      </c>
      <c r="B367" s="43"/>
      <c r="C367" s="43"/>
      <c r="D367" s="43"/>
      <c r="E367" s="43"/>
      <c r="F367" s="43"/>
      <c r="G367" s="42"/>
      <c r="H367" s="43"/>
      <c r="I367" s="44"/>
      <c r="J367" s="44"/>
      <c r="K367" s="43"/>
      <c r="L367" s="43"/>
      <c r="M367" s="44"/>
      <c r="N367" s="43"/>
      <c r="O367" s="44"/>
      <c r="P367" s="44"/>
      <c r="Q367" s="44"/>
      <c r="R367" s="43"/>
      <c r="S367" s="43"/>
      <c r="T367" s="45"/>
    </row>
    <row r="368" spans="1:20">
      <c r="A368" s="42">
        <v>367</v>
      </c>
      <c r="B368" s="43"/>
      <c r="C368" s="43"/>
      <c r="D368" s="43"/>
      <c r="E368" s="43"/>
      <c r="F368" s="43"/>
      <c r="G368" s="42"/>
      <c r="H368" s="43"/>
      <c r="I368" s="44"/>
      <c r="J368" s="44"/>
      <c r="K368" s="43"/>
      <c r="L368" s="43"/>
      <c r="M368" s="44"/>
      <c r="N368" s="43"/>
      <c r="O368" s="44"/>
      <c r="P368" s="44"/>
      <c r="Q368" s="44"/>
      <c r="R368" s="43"/>
      <c r="S368" s="43"/>
      <c r="T368" s="45"/>
    </row>
    <row r="369" spans="1:20">
      <c r="A369" s="42">
        <v>368</v>
      </c>
      <c r="B369" s="43"/>
      <c r="C369" s="43"/>
      <c r="D369" s="43"/>
      <c r="E369" s="43"/>
      <c r="F369" s="43"/>
      <c r="G369" s="42"/>
      <c r="H369" s="43"/>
      <c r="I369" s="44"/>
      <c r="J369" s="44"/>
      <c r="K369" s="43"/>
      <c r="L369" s="43"/>
      <c r="M369" s="44"/>
      <c r="N369" s="43"/>
      <c r="O369" s="44"/>
      <c r="P369" s="44"/>
      <c r="Q369" s="44"/>
      <c r="R369" s="43"/>
      <c r="S369" s="43"/>
      <c r="T369" s="45"/>
    </row>
    <row r="370" spans="1:20">
      <c r="A370" s="42">
        <v>369</v>
      </c>
      <c r="B370" s="43"/>
      <c r="C370" s="43"/>
      <c r="D370" s="43"/>
      <c r="E370" s="43"/>
      <c r="F370" s="43"/>
      <c r="G370" s="42"/>
      <c r="H370" s="43"/>
      <c r="I370" s="44"/>
      <c r="J370" s="44"/>
      <c r="K370" s="43"/>
      <c r="L370" s="43"/>
      <c r="M370" s="44"/>
      <c r="N370" s="43"/>
      <c r="O370" s="44"/>
      <c r="P370" s="44"/>
      <c r="Q370" s="44"/>
      <c r="R370" s="43"/>
      <c r="S370" s="43"/>
      <c r="T370" s="45"/>
    </row>
    <row r="371" spans="1:20">
      <c r="A371" s="42">
        <v>370</v>
      </c>
      <c r="B371" s="43"/>
      <c r="C371" s="43"/>
      <c r="D371" s="43"/>
      <c r="E371" s="43"/>
      <c r="F371" s="43"/>
      <c r="G371" s="42"/>
      <c r="H371" s="43"/>
      <c r="I371" s="44"/>
      <c r="J371" s="44"/>
      <c r="K371" s="43"/>
      <c r="L371" s="43"/>
      <c r="M371" s="44"/>
      <c r="N371" s="43"/>
      <c r="O371" s="44"/>
      <c r="P371" s="44"/>
      <c r="Q371" s="44"/>
      <c r="R371" s="43"/>
      <c r="S371" s="43"/>
      <c r="T371" s="45"/>
    </row>
    <row r="372" spans="1:20">
      <c r="A372" s="42">
        <v>371</v>
      </c>
      <c r="B372" s="43"/>
      <c r="C372" s="43"/>
      <c r="D372" s="43"/>
      <c r="E372" s="43"/>
      <c r="F372" s="43"/>
      <c r="G372" s="42"/>
      <c r="H372" s="43"/>
      <c r="I372" s="44"/>
      <c r="J372" s="44"/>
      <c r="K372" s="43"/>
      <c r="L372" s="43"/>
      <c r="M372" s="44"/>
      <c r="N372" s="43"/>
      <c r="O372" s="44"/>
      <c r="P372" s="44"/>
      <c r="Q372" s="44"/>
      <c r="R372" s="43"/>
      <c r="S372" s="43"/>
      <c r="T372" s="45"/>
    </row>
    <row r="373" spans="1:20">
      <c r="A373" s="42">
        <v>372</v>
      </c>
      <c r="B373" s="43"/>
      <c r="C373" s="43"/>
      <c r="D373" s="43"/>
      <c r="E373" s="43"/>
      <c r="F373" s="43"/>
      <c r="G373" s="42"/>
      <c r="H373" s="43"/>
      <c r="I373" s="44"/>
      <c r="J373" s="44"/>
      <c r="K373" s="43"/>
      <c r="L373" s="43"/>
      <c r="M373" s="44"/>
      <c r="N373" s="43"/>
      <c r="O373" s="44"/>
      <c r="P373" s="44"/>
      <c r="Q373" s="44"/>
      <c r="R373" s="43"/>
      <c r="S373" s="43"/>
      <c r="T373" s="45"/>
    </row>
    <row r="374" spans="1:20">
      <c r="A374" s="42">
        <v>373</v>
      </c>
      <c r="B374" s="43"/>
      <c r="C374" s="43"/>
      <c r="D374" s="43"/>
      <c r="E374" s="43"/>
      <c r="F374" s="43"/>
      <c r="G374" s="42"/>
      <c r="H374" s="43"/>
      <c r="I374" s="44"/>
      <c r="J374" s="44"/>
      <c r="K374" s="43"/>
      <c r="L374" s="43"/>
      <c r="M374" s="44"/>
      <c r="N374" s="43"/>
      <c r="O374" s="44"/>
      <c r="P374" s="44"/>
      <c r="Q374" s="44"/>
      <c r="R374" s="43"/>
      <c r="S374" s="43"/>
      <c r="T374" s="45"/>
    </row>
    <row r="375" spans="1:20">
      <c r="A375" s="42">
        <v>374</v>
      </c>
      <c r="B375" s="43"/>
      <c r="C375" s="43"/>
      <c r="D375" s="43"/>
      <c r="E375" s="43"/>
      <c r="F375" s="43"/>
      <c r="G375" s="42"/>
      <c r="H375" s="43"/>
      <c r="I375" s="44"/>
      <c r="J375" s="44"/>
      <c r="K375" s="43"/>
      <c r="L375" s="43"/>
      <c r="M375" s="44"/>
      <c r="N375" s="43"/>
      <c r="O375" s="44"/>
      <c r="P375" s="44"/>
      <c r="Q375" s="44"/>
      <c r="R375" s="43"/>
      <c r="S375" s="43"/>
      <c r="T375" s="45"/>
    </row>
    <row r="376" spans="1:20">
      <c r="A376" s="42">
        <v>375</v>
      </c>
      <c r="B376" s="43"/>
      <c r="C376" s="43"/>
      <c r="D376" s="43"/>
      <c r="E376" s="43"/>
      <c r="F376" s="43"/>
      <c r="G376" s="42"/>
      <c r="H376" s="43"/>
      <c r="I376" s="44"/>
      <c r="J376" s="44"/>
      <c r="K376" s="43"/>
      <c r="L376" s="43"/>
      <c r="M376" s="44"/>
      <c r="N376" s="43"/>
      <c r="O376" s="44"/>
      <c r="P376" s="44"/>
      <c r="Q376" s="44"/>
      <c r="R376" s="43"/>
      <c r="S376" s="43"/>
      <c r="T376" s="45"/>
    </row>
    <row r="377" spans="1:20">
      <c r="A377" s="42">
        <v>376</v>
      </c>
      <c r="B377" s="43"/>
      <c r="C377" s="43"/>
      <c r="D377" s="43"/>
      <c r="E377" s="43"/>
      <c r="F377" s="43"/>
      <c r="G377" s="42"/>
      <c r="H377" s="43"/>
      <c r="I377" s="44"/>
      <c r="J377" s="44"/>
      <c r="K377" s="43"/>
      <c r="L377" s="43"/>
      <c r="M377" s="44"/>
      <c r="N377" s="43"/>
      <c r="O377" s="44"/>
      <c r="P377" s="44"/>
      <c r="Q377" s="44"/>
      <c r="R377" s="43"/>
      <c r="S377" s="43"/>
      <c r="T377" s="45"/>
    </row>
    <row r="378" spans="1:20">
      <c r="A378" s="42">
        <v>377</v>
      </c>
      <c r="B378" s="43"/>
      <c r="C378" s="43"/>
      <c r="D378" s="43"/>
      <c r="E378" s="43"/>
      <c r="F378" s="43"/>
      <c r="G378" s="42"/>
      <c r="H378" s="43"/>
      <c r="I378" s="44"/>
      <c r="J378" s="44"/>
      <c r="K378" s="43"/>
      <c r="L378" s="43"/>
      <c r="M378" s="44"/>
      <c r="N378" s="43"/>
      <c r="O378" s="44"/>
      <c r="P378" s="44"/>
      <c r="Q378" s="44"/>
      <c r="R378" s="43"/>
      <c r="S378" s="43"/>
      <c r="T378" s="45"/>
    </row>
    <row r="379" spans="1:20">
      <c r="A379" s="42">
        <v>378</v>
      </c>
      <c r="B379" s="43"/>
      <c r="C379" s="43"/>
      <c r="D379" s="43"/>
      <c r="E379" s="43"/>
      <c r="F379" s="43"/>
      <c r="G379" s="42"/>
      <c r="H379" s="43"/>
      <c r="I379" s="44"/>
      <c r="J379" s="44"/>
      <c r="K379" s="43"/>
      <c r="L379" s="43"/>
      <c r="M379" s="44"/>
      <c r="N379" s="43"/>
      <c r="O379" s="44"/>
      <c r="P379" s="44"/>
      <c r="Q379" s="44"/>
      <c r="R379" s="43"/>
      <c r="S379" s="43"/>
      <c r="T379" s="45"/>
    </row>
    <row r="380" spans="1:20">
      <c r="A380" s="42">
        <v>379</v>
      </c>
      <c r="B380" s="43"/>
      <c r="C380" s="43"/>
      <c r="D380" s="43"/>
      <c r="E380" s="43"/>
      <c r="F380" s="43"/>
      <c r="G380" s="42"/>
      <c r="H380" s="43"/>
      <c r="I380" s="44"/>
      <c r="J380" s="44"/>
      <c r="K380" s="43"/>
      <c r="L380" s="43"/>
      <c r="M380" s="44"/>
      <c r="N380" s="43"/>
      <c r="O380" s="44"/>
      <c r="P380" s="44"/>
      <c r="Q380" s="44"/>
      <c r="R380" s="43"/>
      <c r="S380" s="43"/>
      <c r="T380" s="45"/>
    </row>
    <row r="381" spans="1:20">
      <c r="A381" s="42">
        <v>380</v>
      </c>
      <c r="B381" s="43"/>
      <c r="C381" s="43"/>
      <c r="D381" s="43"/>
      <c r="E381" s="43"/>
      <c r="F381" s="43"/>
      <c r="G381" s="42"/>
      <c r="H381" s="43"/>
      <c r="I381" s="44"/>
      <c r="J381" s="44"/>
      <c r="K381" s="43"/>
      <c r="L381" s="43"/>
      <c r="M381" s="44"/>
      <c r="N381" s="43"/>
      <c r="O381" s="44"/>
      <c r="P381" s="44"/>
      <c r="Q381" s="44"/>
      <c r="R381" s="43"/>
      <c r="S381" s="43"/>
      <c r="T381" s="45"/>
    </row>
    <row r="382" spans="1:20">
      <c r="A382" s="42">
        <v>381</v>
      </c>
      <c r="B382" s="43"/>
      <c r="C382" s="43"/>
      <c r="D382" s="43"/>
      <c r="E382" s="43"/>
      <c r="F382" s="43"/>
      <c r="G382" s="42"/>
      <c r="H382" s="43"/>
      <c r="I382" s="44"/>
      <c r="J382" s="44"/>
      <c r="K382" s="43"/>
      <c r="L382" s="43"/>
      <c r="M382" s="44"/>
      <c r="N382" s="43"/>
      <c r="O382" s="44"/>
      <c r="P382" s="44"/>
      <c r="Q382" s="44"/>
      <c r="R382" s="43"/>
      <c r="S382" s="43"/>
      <c r="T382" s="45"/>
    </row>
    <row r="383" spans="1:20">
      <c r="A383" s="42">
        <v>382</v>
      </c>
      <c r="B383" s="43"/>
      <c r="C383" s="43"/>
      <c r="D383" s="43"/>
      <c r="E383" s="43"/>
      <c r="F383" s="43"/>
      <c r="G383" s="42"/>
      <c r="H383" s="43"/>
      <c r="I383" s="44"/>
      <c r="J383" s="44"/>
      <c r="K383" s="43"/>
      <c r="L383" s="43"/>
      <c r="M383" s="44"/>
      <c r="N383" s="43"/>
      <c r="O383" s="44"/>
      <c r="P383" s="44"/>
      <c r="Q383" s="44"/>
      <c r="R383" s="43"/>
      <c r="S383" s="43"/>
      <c r="T383" s="45"/>
    </row>
    <row r="384" spans="1:20">
      <c r="A384" s="42">
        <v>383</v>
      </c>
      <c r="B384" s="43"/>
      <c r="C384" s="43"/>
      <c r="D384" s="43"/>
      <c r="E384" s="43"/>
      <c r="F384" s="43"/>
      <c r="G384" s="42"/>
      <c r="H384" s="43"/>
      <c r="I384" s="44"/>
      <c r="J384" s="44"/>
      <c r="K384" s="43"/>
      <c r="L384" s="43"/>
      <c r="M384" s="44"/>
      <c r="N384" s="43"/>
      <c r="O384" s="44"/>
      <c r="P384" s="44"/>
      <c r="Q384" s="44"/>
      <c r="R384" s="43"/>
      <c r="S384" s="43"/>
      <c r="T384" s="45"/>
    </row>
    <row r="385" spans="1:20">
      <c r="A385" s="42">
        <v>384</v>
      </c>
      <c r="B385" s="43"/>
      <c r="C385" s="43"/>
      <c r="D385" s="43"/>
      <c r="E385" s="43"/>
      <c r="F385" s="43"/>
      <c r="G385" s="42"/>
      <c r="H385" s="43"/>
      <c r="I385" s="44"/>
      <c r="J385" s="44"/>
      <c r="K385" s="43"/>
      <c r="L385" s="43"/>
      <c r="M385" s="44"/>
      <c r="N385" s="43"/>
      <c r="O385" s="44"/>
      <c r="P385" s="44"/>
      <c r="Q385" s="44"/>
      <c r="R385" s="43"/>
      <c r="S385" s="43"/>
      <c r="T385" s="45"/>
    </row>
    <row r="386" spans="1:20">
      <c r="A386" s="42">
        <v>385</v>
      </c>
      <c r="B386" s="43"/>
      <c r="C386" s="43"/>
      <c r="D386" s="43"/>
      <c r="E386" s="43"/>
      <c r="F386" s="43"/>
      <c r="G386" s="42"/>
      <c r="H386" s="43"/>
      <c r="I386" s="44"/>
      <c r="J386" s="44"/>
      <c r="K386" s="43"/>
      <c r="L386" s="43"/>
      <c r="M386" s="44"/>
      <c r="N386" s="43"/>
      <c r="O386" s="44"/>
      <c r="P386" s="44"/>
      <c r="Q386" s="44"/>
      <c r="R386" s="43"/>
      <c r="S386" s="43"/>
      <c r="T386" s="45"/>
    </row>
    <row r="387" spans="1:20">
      <c r="A387" s="42">
        <v>386</v>
      </c>
      <c r="B387" s="43"/>
      <c r="C387" s="43"/>
      <c r="D387" s="43"/>
      <c r="E387" s="43"/>
      <c r="F387" s="43"/>
      <c r="G387" s="42"/>
      <c r="H387" s="43"/>
      <c r="I387" s="44"/>
      <c r="J387" s="44"/>
      <c r="K387" s="43"/>
      <c r="L387" s="43"/>
      <c r="M387" s="44"/>
      <c r="N387" s="43"/>
      <c r="O387" s="44"/>
      <c r="P387" s="44"/>
      <c r="Q387" s="44"/>
      <c r="R387" s="43"/>
      <c r="S387" s="43"/>
      <c r="T387" s="45"/>
    </row>
    <row r="388" spans="1:20">
      <c r="A388" s="42">
        <v>387</v>
      </c>
      <c r="B388" s="43"/>
      <c r="C388" s="43"/>
      <c r="D388" s="43"/>
      <c r="E388" s="43"/>
      <c r="F388" s="43"/>
      <c r="G388" s="42"/>
      <c r="H388" s="43"/>
      <c r="I388" s="44"/>
      <c r="J388" s="44"/>
      <c r="K388" s="43"/>
      <c r="L388" s="43"/>
      <c r="M388" s="44"/>
      <c r="N388" s="43"/>
      <c r="O388" s="44"/>
      <c r="P388" s="44"/>
      <c r="Q388" s="44"/>
      <c r="R388" s="43"/>
      <c r="S388" s="43"/>
      <c r="T388" s="45"/>
    </row>
    <row r="389" spans="1:20">
      <c r="A389" s="42">
        <v>388</v>
      </c>
      <c r="B389" s="43"/>
      <c r="C389" s="43"/>
      <c r="D389" s="43"/>
      <c r="E389" s="43"/>
      <c r="F389" s="43"/>
      <c r="G389" s="42"/>
      <c r="H389" s="43"/>
      <c r="I389" s="44"/>
      <c r="J389" s="44"/>
      <c r="K389" s="43"/>
      <c r="L389" s="43"/>
      <c r="M389" s="44"/>
      <c r="N389" s="43"/>
      <c r="O389" s="44"/>
      <c r="P389" s="44"/>
      <c r="Q389" s="44"/>
      <c r="R389" s="43"/>
      <c r="S389" s="43"/>
      <c r="T389" s="45"/>
    </row>
    <row r="390" spans="1:20">
      <c r="A390" s="42">
        <v>389</v>
      </c>
      <c r="B390" s="43"/>
      <c r="C390" s="43"/>
      <c r="D390" s="43"/>
      <c r="E390" s="43"/>
      <c r="F390" s="43"/>
      <c r="G390" s="42"/>
      <c r="H390" s="43"/>
      <c r="I390" s="44"/>
      <c r="J390" s="44"/>
      <c r="K390" s="43"/>
      <c r="L390" s="43"/>
      <c r="M390" s="44"/>
      <c r="N390" s="43"/>
      <c r="O390" s="44"/>
      <c r="P390" s="44"/>
      <c r="Q390" s="44"/>
      <c r="R390" s="43"/>
      <c r="S390" s="43"/>
      <c r="T390" s="45"/>
    </row>
    <row r="391" spans="1:20">
      <c r="A391" s="42">
        <v>390</v>
      </c>
      <c r="B391" s="43"/>
      <c r="C391" s="43"/>
      <c r="D391" s="43"/>
      <c r="E391" s="43"/>
      <c r="F391" s="43"/>
      <c r="G391" s="42"/>
      <c r="H391" s="43"/>
      <c r="I391" s="44"/>
      <c r="J391" s="44"/>
      <c r="K391" s="43"/>
      <c r="L391" s="43"/>
      <c r="M391" s="44"/>
      <c r="N391" s="43"/>
      <c r="O391" s="44"/>
      <c r="P391" s="44"/>
      <c r="Q391" s="44"/>
      <c r="R391" s="43"/>
      <c r="S391" s="43"/>
      <c r="T391" s="45"/>
    </row>
    <row r="392" spans="1:20">
      <c r="A392" s="42">
        <v>391</v>
      </c>
      <c r="B392" s="43"/>
      <c r="C392" s="43"/>
      <c r="D392" s="43"/>
      <c r="E392" s="43"/>
      <c r="F392" s="43"/>
      <c r="G392" s="42"/>
      <c r="H392" s="43"/>
      <c r="I392" s="44"/>
      <c r="J392" s="44"/>
      <c r="K392" s="43"/>
      <c r="L392" s="43"/>
      <c r="M392" s="44"/>
      <c r="N392" s="43"/>
      <c r="O392" s="44"/>
      <c r="P392" s="44"/>
      <c r="Q392" s="44"/>
      <c r="R392" s="43"/>
      <c r="S392" s="43"/>
      <c r="T392" s="45"/>
    </row>
    <row r="393" spans="1:20">
      <c r="A393" s="42">
        <v>392</v>
      </c>
      <c r="B393" s="43"/>
      <c r="C393" s="43"/>
      <c r="D393" s="43"/>
      <c r="E393" s="43"/>
      <c r="F393" s="43"/>
      <c r="G393" s="42"/>
      <c r="H393" s="43"/>
      <c r="I393" s="44"/>
      <c r="J393" s="44"/>
      <c r="K393" s="43"/>
      <c r="L393" s="43"/>
      <c r="M393" s="44"/>
      <c r="N393" s="43"/>
      <c r="O393" s="44"/>
      <c r="P393" s="44"/>
      <c r="Q393" s="44"/>
      <c r="R393" s="43"/>
      <c r="S393" s="43"/>
      <c r="T393" s="45"/>
    </row>
    <row r="394" spans="1:20">
      <c r="A394" s="42">
        <v>393</v>
      </c>
      <c r="B394" s="43"/>
      <c r="C394" s="43"/>
      <c r="D394" s="43"/>
      <c r="E394" s="43"/>
      <c r="F394" s="43"/>
      <c r="G394" s="42"/>
      <c r="H394" s="43"/>
      <c r="I394" s="44"/>
      <c r="J394" s="44"/>
      <c r="K394" s="43"/>
      <c r="L394" s="43"/>
      <c r="M394" s="44"/>
      <c r="N394" s="43"/>
      <c r="O394" s="44"/>
      <c r="P394" s="44"/>
      <c r="Q394" s="44"/>
      <c r="R394" s="43"/>
      <c r="S394" s="43"/>
      <c r="T394" s="45"/>
    </row>
    <row r="395" spans="1:20">
      <c r="A395" s="42">
        <v>394</v>
      </c>
      <c r="B395" s="43"/>
      <c r="C395" s="43"/>
      <c r="D395" s="43"/>
      <c r="E395" s="43"/>
      <c r="F395" s="43"/>
      <c r="G395" s="42"/>
      <c r="H395" s="43"/>
      <c r="I395" s="44"/>
      <c r="J395" s="44"/>
      <c r="K395" s="43"/>
      <c r="L395" s="43"/>
      <c r="M395" s="44"/>
      <c r="N395" s="43"/>
      <c r="O395" s="44"/>
      <c r="P395" s="44"/>
      <c r="Q395" s="44"/>
      <c r="R395" s="43"/>
      <c r="S395" s="43"/>
      <c r="T395" s="45"/>
    </row>
    <row r="396" spans="1:20">
      <c r="A396" s="42">
        <v>395</v>
      </c>
      <c r="B396" s="43"/>
      <c r="C396" s="43"/>
      <c r="D396" s="43"/>
      <c r="E396" s="43"/>
      <c r="F396" s="43"/>
      <c r="G396" s="42"/>
      <c r="H396" s="43"/>
      <c r="I396" s="44"/>
      <c r="J396" s="44"/>
      <c r="K396" s="43"/>
      <c r="L396" s="43"/>
      <c r="M396" s="44"/>
      <c r="N396" s="43"/>
      <c r="O396" s="44"/>
      <c r="P396" s="44"/>
      <c r="Q396" s="44"/>
      <c r="R396" s="43"/>
      <c r="S396" s="43"/>
      <c r="T396" s="45"/>
    </row>
    <row r="397" spans="1:20">
      <c r="A397" s="42">
        <v>396</v>
      </c>
      <c r="B397" s="43"/>
      <c r="C397" s="43"/>
      <c r="D397" s="43"/>
      <c r="E397" s="43"/>
      <c r="F397" s="43"/>
      <c r="G397" s="42"/>
      <c r="H397" s="43"/>
      <c r="I397" s="44"/>
      <c r="J397" s="44"/>
      <c r="K397" s="43"/>
      <c r="L397" s="43"/>
      <c r="M397" s="44"/>
      <c r="N397" s="43"/>
      <c r="O397" s="44"/>
      <c r="P397" s="44"/>
      <c r="Q397" s="44"/>
      <c r="R397" s="43"/>
      <c r="S397" s="43"/>
      <c r="T397" s="45"/>
    </row>
    <row r="398" spans="1:20">
      <c r="A398" s="42">
        <v>397</v>
      </c>
      <c r="B398" s="43"/>
      <c r="C398" s="43"/>
      <c r="D398" s="43"/>
      <c r="E398" s="43"/>
      <c r="F398" s="43"/>
      <c r="G398" s="42"/>
      <c r="H398" s="43"/>
      <c r="I398" s="44"/>
      <c r="J398" s="44"/>
      <c r="K398" s="43"/>
      <c r="L398" s="43"/>
      <c r="M398" s="44"/>
      <c r="N398" s="43"/>
      <c r="O398" s="44"/>
      <c r="P398" s="44"/>
      <c r="Q398" s="44"/>
      <c r="R398" s="43"/>
      <c r="S398" s="43"/>
      <c r="T398" s="45"/>
    </row>
    <row r="399" spans="1:20">
      <c r="A399" s="42">
        <v>398</v>
      </c>
      <c r="B399" s="43"/>
      <c r="C399" s="43"/>
      <c r="D399" s="43"/>
      <c r="E399" s="43"/>
      <c r="F399" s="43"/>
      <c r="G399" s="42"/>
      <c r="H399" s="43"/>
      <c r="I399" s="44"/>
      <c r="J399" s="44"/>
      <c r="K399" s="43"/>
      <c r="L399" s="43"/>
      <c r="M399" s="44"/>
      <c r="N399" s="43"/>
      <c r="O399" s="44"/>
      <c r="P399" s="44"/>
      <c r="Q399" s="44"/>
      <c r="R399" s="43"/>
      <c r="S399" s="43"/>
      <c r="T399" s="45"/>
    </row>
    <row r="400" spans="1:20">
      <c r="A400" s="42">
        <v>399</v>
      </c>
      <c r="B400" s="43"/>
      <c r="C400" s="43"/>
      <c r="D400" s="43"/>
      <c r="E400" s="43"/>
      <c r="F400" s="43"/>
      <c r="G400" s="42"/>
      <c r="H400" s="43"/>
      <c r="I400" s="44"/>
      <c r="J400" s="44"/>
      <c r="K400" s="43"/>
      <c r="L400" s="43"/>
      <c r="M400" s="44"/>
      <c r="N400" s="43"/>
      <c r="O400" s="44"/>
      <c r="P400" s="44"/>
      <c r="Q400" s="44"/>
      <c r="R400" s="43"/>
      <c r="S400" s="43"/>
      <c r="T400" s="45"/>
    </row>
    <row r="401" spans="1:20">
      <c r="A401" s="42">
        <v>400</v>
      </c>
      <c r="B401" s="43"/>
      <c r="C401" s="43"/>
      <c r="D401" s="43"/>
      <c r="E401" s="43"/>
      <c r="F401" s="43"/>
      <c r="G401" s="42"/>
      <c r="H401" s="43"/>
      <c r="I401" s="44"/>
      <c r="J401" s="44"/>
      <c r="K401" s="43"/>
      <c r="L401" s="43"/>
      <c r="M401" s="44"/>
      <c r="N401" s="43"/>
      <c r="O401" s="44"/>
      <c r="P401" s="44"/>
      <c r="Q401" s="44"/>
      <c r="R401" s="43"/>
      <c r="S401" s="43"/>
      <c r="T401" s="45"/>
    </row>
    <row r="402" spans="1:20">
      <c r="A402" s="42">
        <v>401</v>
      </c>
      <c r="B402" s="43"/>
      <c r="C402" s="43"/>
      <c r="D402" s="43"/>
      <c r="E402" s="43"/>
      <c r="F402" s="43"/>
      <c r="G402" s="42"/>
      <c r="H402" s="43"/>
      <c r="I402" s="44"/>
      <c r="J402" s="44"/>
      <c r="K402" s="43"/>
      <c r="L402" s="43"/>
      <c r="M402" s="44"/>
      <c r="N402" s="43"/>
      <c r="O402" s="44"/>
      <c r="P402" s="44"/>
      <c r="Q402" s="44"/>
      <c r="R402" s="43"/>
      <c r="S402" s="43"/>
      <c r="T402" s="45"/>
    </row>
    <row r="403" spans="1:20">
      <c r="A403" s="42">
        <v>402</v>
      </c>
      <c r="B403" s="43"/>
      <c r="C403" s="43"/>
      <c r="D403" s="43"/>
      <c r="E403" s="43"/>
      <c r="F403" s="43"/>
      <c r="G403" s="42"/>
      <c r="H403" s="43"/>
      <c r="I403" s="44"/>
      <c r="J403" s="44"/>
      <c r="K403" s="43"/>
      <c r="L403" s="43"/>
      <c r="M403" s="44"/>
      <c r="N403" s="43"/>
      <c r="O403" s="44"/>
      <c r="P403" s="44"/>
      <c r="Q403" s="44"/>
      <c r="R403" s="43"/>
      <c r="S403" s="43"/>
      <c r="T403" s="45"/>
    </row>
    <row r="404" spans="1:20">
      <c r="A404" s="42">
        <v>403</v>
      </c>
      <c r="B404" s="43"/>
      <c r="C404" s="43"/>
      <c r="D404" s="43"/>
      <c r="E404" s="43"/>
      <c r="F404" s="43"/>
      <c r="G404" s="42"/>
      <c r="H404" s="43"/>
      <c r="I404" s="44"/>
      <c r="J404" s="44"/>
      <c r="K404" s="43"/>
      <c r="L404" s="43"/>
      <c r="M404" s="44"/>
      <c r="N404" s="43"/>
      <c r="O404" s="44"/>
      <c r="P404" s="44"/>
      <c r="Q404" s="44"/>
      <c r="R404" s="43"/>
      <c r="S404" s="43"/>
      <c r="T404" s="45"/>
    </row>
    <row r="405" spans="1:20">
      <c r="A405" s="42">
        <v>404</v>
      </c>
      <c r="B405" s="43"/>
      <c r="C405" s="43"/>
      <c r="D405" s="43"/>
      <c r="E405" s="43"/>
      <c r="F405" s="43"/>
      <c r="G405" s="42"/>
      <c r="H405" s="43"/>
      <c r="I405" s="44"/>
      <c r="J405" s="44"/>
      <c r="K405" s="43"/>
      <c r="L405" s="43"/>
      <c r="M405" s="44"/>
      <c r="N405" s="43"/>
      <c r="O405" s="44"/>
      <c r="P405" s="44"/>
      <c r="Q405" s="44"/>
      <c r="R405" s="43"/>
      <c r="S405" s="43"/>
      <c r="T405" s="45"/>
    </row>
    <row r="406" spans="1:20">
      <c r="A406" s="42">
        <v>405</v>
      </c>
      <c r="B406" s="43"/>
      <c r="C406" s="43"/>
      <c r="D406" s="43"/>
      <c r="E406" s="43"/>
      <c r="F406" s="43"/>
      <c r="G406" s="42"/>
      <c r="H406" s="43"/>
      <c r="I406" s="44"/>
      <c r="J406" s="44"/>
      <c r="K406" s="43"/>
      <c r="L406" s="43"/>
      <c r="M406" s="44"/>
      <c r="N406" s="43"/>
      <c r="O406" s="44"/>
      <c r="P406" s="44"/>
      <c r="Q406" s="44"/>
      <c r="R406" s="43"/>
      <c r="S406" s="43"/>
      <c r="T406" s="45"/>
    </row>
    <row r="407" spans="1:20">
      <c r="A407" s="42">
        <v>406</v>
      </c>
      <c r="B407" s="43"/>
      <c r="C407" s="43"/>
      <c r="D407" s="43"/>
      <c r="E407" s="43"/>
      <c r="F407" s="43"/>
      <c r="G407" s="42"/>
      <c r="H407" s="43"/>
      <c r="I407" s="44"/>
      <c r="J407" s="44"/>
      <c r="K407" s="43"/>
      <c r="L407" s="43"/>
      <c r="M407" s="44"/>
      <c r="N407" s="43"/>
      <c r="O407" s="44"/>
      <c r="P407" s="44"/>
      <c r="Q407" s="44"/>
      <c r="R407" s="43"/>
      <c r="S407" s="43"/>
      <c r="T407" s="45"/>
    </row>
    <row r="408" spans="1:20">
      <c r="A408" s="42">
        <v>407</v>
      </c>
      <c r="B408" s="43"/>
      <c r="C408" s="43"/>
      <c r="D408" s="43"/>
      <c r="E408" s="43"/>
      <c r="F408" s="43"/>
      <c r="G408" s="42"/>
      <c r="H408" s="43"/>
      <c r="I408" s="44"/>
      <c r="J408" s="44"/>
      <c r="K408" s="43"/>
      <c r="L408" s="43"/>
      <c r="M408" s="44"/>
      <c r="N408" s="43"/>
      <c r="O408" s="44"/>
      <c r="P408" s="44"/>
      <c r="Q408" s="44"/>
      <c r="R408" s="43"/>
      <c r="S408" s="43"/>
      <c r="T408" s="45"/>
    </row>
    <row r="409" spans="1:20">
      <c r="A409" s="42">
        <v>408</v>
      </c>
      <c r="B409" s="43"/>
      <c r="C409" s="43"/>
      <c r="D409" s="43"/>
      <c r="E409" s="43"/>
      <c r="F409" s="43"/>
      <c r="G409" s="42"/>
      <c r="H409" s="43"/>
      <c r="I409" s="44"/>
      <c r="J409" s="44"/>
      <c r="K409" s="43"/>
      <c r="L409" s="43"/>
      <c r="M409" s="44"/>
      <c r="N409" s="43"/>
      <c r="O409" s="44"/>
      <c r="P409" s="44"/>
      <c r="Q409" s="44"/>
      <c r="R409" s="43"/>
      <c r="S409" s="43"/>
      <c r="T409" s="45"/>
    </row>
    <row r="410" spans="1:20">
      <c r="A410" s="42">
        <v>409</v>
      </c>
      <c r="B410" s="43"/>
      <c r="C410" s="43"/>
      <c r="D410" s="43"/>
      <c r="E410" s="43"/>
      <c r="F410" s="43"/>
      <c r="G410" s="42"/>
      <c r="H410" s="43"/>
      <c r="I410" s="44"/>
      <c r="J410" s="44"/>
      <c r="K410" s="43"/>
      <c r="L410" s="43"/>
      <c r="M410" s="44"/>
      <c r="N410" s="43"/>
      <c r="O410" s="44"/>
      <c r="P410" s="44"/>
      <c r="Q410" s="44"/>
      <c r="R410" s="43"/>
      <c r="S410" s="43"/>
      <c r="T410" s="45"/>
    </row>
    <row r="411" spans="1:20">
      <c r="A411" s="42">
        <v>410</v>
      </c>
      <c r="B411" s="43"/>
      <c r="C411" s="43"/>
      <c r="D411" s="43"/>
      <c r="E411" s="43"/>
      <c r="F411" s="43"/>
      <c r="G411" s="42"/>
      <c r="H411" s="43"/>
      <c r="I411" s="44"/>
      <c r="J411" s="44"/>
      <c r="K411" s="43"/>
      <c r="L411" s="43"/>
      <c r="M411" s="44"/>
      <c r="N411" s="43"/>
      <c r="O411" s="44"/>
      <c r="P411" s="44"/>
      <c r="Q411" s="44"/>
      <c r="R411" s="43"/>
      <c r="S411" s="43"/>
      <c r="T411" s="45"/>
    </row>
    <row r="412" spans="1:20">
      <c r="A412" s="42">
        <v>411</v>
      </c>
      <c r="B412" s="43"/>
      <c r="C412" s="43"/>
      <c r="D412" s="43"/>
      <c r="E412" s="43"/>
      <c r="F412" s="43"/>
      <c r="G412" s="42"/>
      <c r="H412" s="43"/>
      <c r="I412" s="44"/>
      <c r="J412" s="44"/>
      <c r="K412" s="43"/>
      <c r="L412" s="43"/>
      <c r="M412" s="44"/>
      <c r="N412" s="43"/>
      <c r="O412" s="44"/>
      <c r="P412" s="44"/>
      <c r="Q412" s="44"/>
      <c r="R412" s="43"/>
      <c r="S412" s="43"/>
      <c r="T412" s="45"/>
    </row>
    <row r="413" spans="1:20">
      <c r="A413" s="42">
        <v>412</v>
      </c>
      <c r="B413" s="43"/>
      <c r="C413" s="43"/>
      <c r="D413" s="43"/>
      <c r="E413" s="43"/>
      <c r="F413" s="43"/>
      <c r="G413" s="42"/>
      <c r="H413" s="43"/>
      <c r="I413" s="44"/>
      <c r="J413" s="44"/>
      <c r="K413" s="43"/>
      <c r="L413" s="43"/>
      <c r="M413" s="44"/>
      <c r="N413" s="43"/>
      <c r="O413" s="44"/>
      <c r="P413" s="44"/>
      <c r="Q413" s="44"/>
      <c r="R413" s="43"/>
      <c r="S413" s="43"/>
      <c r="T413" s="45"/>
    </row>
    <row r="414" spans="1:20">
      <c r="A414" s="42">
        <v>413</v>
      </c>
      <c r="B414" s="43"/>
      <c r="C414" s="43"/>
      <c r="D414" s="43"/>
      <c r="E414" s="43"/>
      <c r="F414" s="43"/>
      <c r="G414" s="42"/>
      <c r="H414" s="43"/>
      <c r="I414" s="44"/>
      <c r="J414" s="44"/>
      <c r="K414" s="43"/>
      <c r="L414" s="43"/>
      <c r="M414" s="44"/>
      <c r="N414" s="43"/>
      <c r="O414" s="44"/>
      <c r="P414" s="44"/>
      <c r="Q414" s="44"/>
      <c r="R414" s="43"/>
      <c r="S414" s="43"/>
      <c r="T414" s="45"/>
    </row>
    <row r="415" spans="1:20">
      <c r="A415" s="42">
        <v>414</v>
      </c>
      <c r="B415" s="43"/>
      <c r="C415" s="43"/>
      <c r="D415" s="43"/>
      <c r="E415" s="43"/>
      <c r="F415" s="43"/>
      <c r="G415" s="42"/>
      <c r="H415" s="43"/>
      <c r="I415" s="44"/>
      <c r="J415" s="44"/>
      <c r="K415" s="43"/>
      <c r="L415" s="43"/>
      <c r="M415" s="44"/>
      <c r="N415" s="43"/>
      <c r="O415" s="44"/>
      <c r="P415" s="44"/>
      <c r="Q415" s="44"/>
      <c r="R415" s="43"/>
      <c r="S415" s="43"/>
      <c r="T415" s="45"/>
    </row>
    <row r="416" spans="1:20">
      <c r="A416" s="42">
        <v>415</v>
      </c>
      <c r="B416" s="43"/>
      <c r="C416" s="43"/>
      <c r="D416" s="43"/>
      <c r="E416" s="43"/>
      <c r="F416" s="43"/>
      <c r="G416" s="42"/>
      <c r="H416" s="43"/>
      <c r="I416" s="44"/>
      <c r="J416" s="44"/>
      <c r="K416" s="43"/>
      <c r="L416" s="43"/>
      <c r="M416" s="44"/>
      <c r="N416" s="43"/>
      <c r="O416" s="44"/>
      <c r="P416" s="44"/>
      <c r="Q416" s="44"/>
      <c r="R416" s="43"/>
      <c r="S416" s="43"/>
      <c r="T416" s="45"/>
    </row>
    <row r="417" spans="1:20">
      <c r="A417" s="42">
        <v>416</v>
      </c>
      <c r="B417" s="43"/>
      <c r="C417" s="43"/>
      <c r="D417" s="43"/>
      <c r="E417" s="43"/>
      <c r="F417" s="43"/>
      <c r="G417" s="42"/>
      <c r="H417" s="43"/>
      <c r="I417" s="44"/>
      <c r="J417" s="44"/>
      <c r="K417" s="43"/>
      <c r="L417" s="43"/>
      <c r="M417" s="44"/>
      <c r="N417" s="43"/>
      <c r="O417" s="44"/>
      <c r="P417" s="44"/>
      <c r="Q417" s="44"/>
      <c r="R417" s="43"/>
      <c r="S417" s="43"/>
      <c r="T417" s="45"/>
    </row>
    <row r="418" spans="1:20">
      <c r="A418" s="42">
        <v>417</v>
      </c>
      <c r="B418" s="43"/>
      <c r="C418" s="43"/>
      <c r="D418" s="43"/>
      <c r="E418" s="43"/>
      <c r="F418" s="43"/>
      <c r="G418" s="42"/>
      <c r="H418" s="43"/>
      <c r="I418" s="44"/>
      <c r="J418" s="44"/>
      <c r="K418" s="43"/>
      <c r="L418" s="43"/>
      <c r="M418" s="44"/>
      <c r="N418" s="43"/>
      <c r="O418" s="44"/>
      <c r="P418" s="44"/>
      <c r="Q418" s="44"/>
      <c r="R418" s="43"/>
      <c r="S418" s="43"/>
      <c r="T418" s="45"/>
    </row>
    <row r="419" spans="1:20">
      <c r="A419" s="42">
        <v>418</v>
      </c>
      <c r="B419" s="43"/>
      <c r="C419" s="43"/>
      <c r="D419" s="43"/>
      <c r="E419" s="43"/>
      <c r="F419" s="43"/>
      <c r="G419" s="42"/>
      <c r="H419" s="43"/>
      <c r="I419" s="44"/>
      <c r="J419" s="44"/>
      <c r="K419" s="43"/>
      <c r="L419" s="43"/>
      <c r="M419" s="44"/>
      <c r="N419" s="43"/>
      <c r="O419" s="44"/>
      <c r="P419" s="44"/>
      <c r="Q419" s="44"/>
      <c r="R419" s="43"/>
      <c r="S419" s="43"/>
      <c r="T419" s="45"/>
    </row>
    <row r="420" spans="1:20">
      <c r="A420" s="42">
        <v>419</v>
      </c>
      <c r="B420" s="43"/>
      <c r="C420" s="43"/>
      <c r="D420" s="43"/>
      <c r="E420" s="43"/>
      <c r="F420" s="43"/>
      <c r="G420" s="42"/>
      <c r="H420" s="43"/>
      <c r="I420" s="44"/>
      <c r="J420" s="44"/>
      <c r="K420" s="43"/>
      <c r="L420" s="43"/>
      <c r="M420" s="44"/>
      <c r="N420" s="43"/>
      <c r="O420" s="44"/>
      <c r="P420" s="44"/>
      <c r="Q420" s="44"/>
      <c r="R420" s="43"/>
      <c r="S420" s="43"/>
      <c r="T420" s="45"/>
    </row>
    <row r="421" spans="1:20">
      <c r="A421" s="42">
        <v>420</v>
      </c>
      <c r="B421" s="43"/>
      <c r="C421" s="43"/>
      <c r="D421" s="43"/>
      <c r="E421" s="43"/>
      <c r="F421" s="43"/>
      <c r="G421" s="42"/>
      <c r="H421" s="43"/>
      <c r="I421" s="44"/>
      <c r="J421" s="44"/>
      <c r="K421" s="43"/>
      <c r="L421" s="43"/>
      <c r="M421" s="44"/>
      <c r="N421" s="43"/>
      <c r="O421" s="44"/>
      <c r="P421" s="44"/>
      <c r="Q421" s="44"/>
      <c r="R421" s="43"/>
      <c r="S421" s="43"/>
      <c r="T421" s="45"/>
    </row>
    <row r="422" spans="1:20">
      <c r="A422" s="42">
        <v>421</v>
      </c>
      <c r="B422" s="43"/>
      <c r="C422" s="43"/>
      <c r="D422" s="43"/>
      <c r="E422" s="43"/>
      <c r="F422" s="43"/>
      <c r="G422" s="42"/>
      <c r="H422" s="43"/>
      <c r="I422" s="44"/>
      <c r="J422" s="44"/>
      <c r="K422" s="43"/>
      <c r="L422" s="43"/>
      <c r="M422" s="44"/>
      <c r="N422" s="43"/>
      <c r="O422" s="44"/>
      <c r="P422" s="44"/>
      <c r="Q422" s="44"/>
      <c r="R422" s="43"/>
      <c r="S422" s="43"/>
      <c r="T422" s="45"/>
    </row>
    <row r="423" spans="1:20">
      <c r="A423" s="42">
        <v>422</v>
      </c>
      <c r="B423" s="43"/>
      <c r="C423" s="43"/>
      <c r="D423" s="43"/>
      <c r="E423" s="43"/>
      <c r="F423" s="43"/>
      <c r="G423" s="42"/>
      <c r="H423" s="43"/>
      <c r="I423" s="44"/>
      <c r="J423" s="44"/>
      <c r="K423" s="43"/>
      <c r="L423" s="43"/>
      <c r="M423" s="44"/>
      <c r="N423" s="43"/>
      <c r="O423" s="44"/>
      <c r="P423" s="44"/>
      <c r="Q423" s="44"/>
      <c r="R423" s="43"/>
      <c r="S423" s="43"/>
      <c r="T423" s="45"/>
    </row>
    <row r="424" spans="1:20">
      <c r="A424" s="42">
        <v>423</v>
      </c>
      <c r="B424" s="43"/>
      <c r="C424" s="43"/>
      <c r="D424" s="43"/>
      <c r="E424" s="43"/>
      <c r="F424" s="43"/>
      <c r="G424" s="42"/>
      <c r="H424" s="43"/>
      <c r="I424" s="44"/>
      <c r="J424" s="44"/>
      <c r="K424" s="43"/>
      <c r="L424" s="43"/>
      <c r="M424" s="44"/>
      <c r="N424" s="43"/>
      <c r="O424" s="44"/>
      <c r="P424" s="44"/>
      <c r="Q424" s="44"/>
      <c r="R424" s="43"/>
      <c r="S424" s="43"/>
      <c r="T424" s="45"/>
    </row>
    <row r="425" spans="1:20">
      <c r="A425" s="42">
        <v>424</v>
      </c>
      <c r="B425" s="43"/>
      <c r="C425" s="43"/>
      <c r="D425" s="43"/>
      <c r="E425" s="43"/>
      <c r="F425" s="43"/>
      <c r="G425" s="42"/>
      <c r="H425" s="43"/>
      <c r="I425" s="44"/>
      <c r="J425" s="44"/>
      <c r="K425" s="43"/>
      <c r="L425" s="43"/>
      <c r="M425" s="44"/>
      <c r="N425" s="43"/>
      <c r="O425" s="44"/>
      <c r="P425" s="44"/>
      <c r="Q425" s="44"/>
      <c r="R425" s="43"/>
      <c r="S425" s="43"/>
      <c r="T425" s="45"/>
    </row>
    <row r="426" spans="1:20">
      <c r="A426" s="42">
        <v>425</v>
      </c>
      <c r="B426" s="43"/>
      <c r="C426" s="43"/>
      <c r="D426" s="43"/>
      <c r="E426" s="43"/>
      <c r="F426" s="43"/>
      <c r="G426" s="42"/>
      <c r="H426" s="43"/>
      <c r="I426" s="44"/>
      <c r="J426" s="44"/>
      <c r="K426" s="43"/>
      <c r="L426" s="43"/>
      <c r="M426" s="44"/>
      <c r="N426" s="43"/>
      <c r="O426" s="44"/>
      <c r="P426" s="44"/>
      <c r="Q426" s="44"/>
      <c r="R426" s="43"/>
      <c r="S426" s="43"/>
      <c r="T426" s="45"/>
    </row>
    <row r="427" spans="1:20">
      <c r="A427" s="42">
        <v>426</v>
      </c>
      <c r="B427" s="43"/>
      <c r="C427" s="43"/>
      <c r="D427" s="43"/>
      <c r="E427" s="43"/>
      <c r="F427" s="43"/>
      <c r="G427" s="42"/>
      <c r="H427" s="43"/>
      <c r="I427" s="44"/>
      <c r="J427" s="44"/>
      <c r="K427" s="43"/>
      <c r="L427" s="43"/>
      <c r="M427" s="44"/>
      <c r="N427" s="43"/>
      <c r="O427" s="44"/>
      <c r="P427" s="44"/>
      <c r="Q427" s="44"/>
      <c r="R427" s="43"/>
      <c r="S427" s="43"/>
      <c r="T427" s="45"/>
    </row>
    <row r="428" spans="1:20">
      <c r="A428" s="42">
        <v>427</v>
      </c>
      <c r="B428" s="43"/>
      <c r="C428" s="43"/>
      <c r="D428" s="43"/>
      <c r="E428" s="43"/>
      <c r="F428" s="43"/>
      <c r="G428" s="42"/>
      <c r="H428" s="43"/>
      <c r="I428" s="44"/>
      <c r="J428" s="44"/>
      <c r="K428" s="43"/>
      <c r="L428" s="43"/>
      <c r="M428" s="44"/>
      <c r="N428" s="43"/>
      <c r="O428" s="44"/>
      <c r="P428" s="44"/>
      <c r="Q428" s="44"/>
      <c r="R428" s="43"/>
      <c r="S428" s="43"/>
      <c r="T428" s="45"/>
    </row>
    <row r="429" spans="1:20">
      <c r="A429" s="42">
        <v>428</v>
      </c>
      <c r="B429" s="43"/>
      <c r="C429" s="43"/>
      <c r="D429" s="43"/>
      <c r="E429" s="43"/>
      <c r="F429" s="43"/>
      <c r="G429" s="42"/>
      <c r="H429" s="43"/>
      <c r="I429" s="44"/>
      <c r="J429" s="44"/>
      <c r="K429" s="43"/>
      <c r="L429" s="43"/>
      <c r="M429" s="44"/>
      <c r="N429" s="43"/>
      <c r="O429" s="44"/>
      <c r="P429" s="44"/>
      <c r="Q429" s="44"/>
      <c r="R429" s="43"/>
      <c r="S429" s="43"/>
      <c r="T429" s="45"/>
    </row>
    <row r="430" spans="1:20">
      <c r="A430" s="42">
        <v>429</v>
      </c>
      <c r="B430" s="43"/>
      <c r="C430" s="43"/>
      <c r="D430" s="43"/>
      <c r="E430" s="43"/>
      <c r="F430" s="43"/>
      <c r="G430" s="42"/>
      <c r="H430" s="43"/>
      <c r="I430" s="44"/>
      <c r="J430" s="44"/>
      <c r="K430" s="43"/>
      <c r="L430" s="43"/>
      <c r="M430" s="44"/>
      <c r="N430" s="43"/>
      <c r="O430" s="44"/>
      <c r="P430" s="44"/>
      <c r="Q430" s="44"/>
      <c r="R430" s="43"/>
      <c r="S430" s="43"/>
      <c r="T430" s="45"/>
    </row>
    <row r="431" spans="1:20">
      <c r="A431" s="42">
        <v>430</v>
      </c>
      <c r="B431" s="43"/>
      <c r="C431" s="43"/>
      <c r="D431" s="43"/>
      <c r="E431" s="43"/>
      <c r="F431" s="43"/>
      <c r="G431" s="42"/>
      <c r="H431" s="43"/>
      <c r="I431" s="44"/>
      <c r="J431" s="44"/>
      <c r="K431" s="43"/>
      <c r="L431" s="43"/>
      <c r="M431" s="44"/>
      <c r="N431" s="43"/>
      <c r="O431" s="44"/>
      <c r="P431" s="44"/>
      <c r="Q431" s="44"/>
      <c r="R431" s="43"/>
      <c r="S431" s="43"/>
      <c r="T431" s="45"/>
    </row>
    <row r="432" spans="1:20">
      <c r="A432" s="42">
        <v>431</v>
      </c>
      <c r="B432" s="43"/>
      <c r="C432" s="43"/>
      <c r="D432" s="43"/>
      <c r="E432" s="43"/>
      <c r="F432" s="43"/>
      <c r="G432" s="42"/>
      <c r="H432" s="43"/>
      <c r="I432" s="44"/>
      <c r="J432" s="44"/>
      <c r="K432" s="43"/>
      <c r="L432" s="43"/>
      <c r="M432" s="44"/>
      <c r="N432" s="43"/>
      <c r="O432" s="44"/>
      <c r="P432" s="44"/>
      <c r="Q432" s="44"/>
      <c r="R432" s="43"/>
      <c r="S432" s="43"/>
      <c r="T432" s="45"/>
    </row>
    <row r="433" spans="1:20">
      <c r="A433" s="42">
        <v>432</v>
      </c>
      <c r="B433" s="43"/>
      <c r="C433" s="43"/>
      <c r="D433" s="43"/>
      <c r="E433" s="43"/>
      <c r="F433" s="43"/>
      <c r="G433" s="42"/>
      <c r="H433" s="43"/>
      <c r="I433" s="44"/>
      <c r="J433" s="44"/>
      <c r="K433" s="43"/>
      <c r="L433" s="43"/>
      <c r="M433" s="44"/>
      <c r="N433" s="43"/>
      <c r="O433" s="44"/>
      <c r="P433" s="44"/>
      <c r="Q433" s="44"/>
      <c r="R433" s="43"/>
      <c r="S433" s="43"/>
      <c r="T433" s="45"/>
    </row>
    <row r="434" spans="1:20">
      <c r="A434" s="42">
        <v>433</v>
      </c>
      <c r="B434" s="43"/>
      <c r="C434" s="43"/>
      <c r="D434" s="43"/>
      <c r="E434" s="43"/>
      <c r="F434" s="43"/>
      <c r="G434" s="42"/>
      <c r="H434" s="43"/>
      <c r="I434" s="44"/>
      <c r="J434" s="44"/>
      <c r="K434" s="43"/>
      <c r="L434" s="43"/>
      <c r="M434" s="44"/>
      <c r="N434" s="43"/>
      <c r="O434" s="44"/>
      <c r="P434" s="44"/>
      <c r="Q434" s="44"/>
      <c r="R434" s="43"/>
      <c r="S434" s="43"/>
      <c r="T434" s="45"/>
    </row>
    <row r="435" spans="1:20">
      <c r="A435" s="42">
        <v>434</v>
      </c>
      <c r="B435" s="43"/>
      <c r="C435" s="43"/>
      <c r="D435" s="43"/>
      <c r="E435" s="43"/>
      <c r="F435" s="43"/>
      <c r="G435" s="42"/>
      <c r="H435" s="43"/>
      <c r="I435" s="44"/>
      <c r="J435" s="44"/>
      <c r="K435" s="43"/>
      <c r="L435" s="43"/>
      <c r="M435" s="44"/>
      <c r="N435" s="43"/>
      <c r="O435" s="44"/>
      <c r="P435" s="44"/>
      <c r="Q435" s="44"/>
      <c r="R435" s="43"/>
      <c r="S435" s="43"/>
      <c r="T435" s="45"/>
    </row>
    <row r="436" spans="1:20">
      <c r="A436" s="42">
        <v>435</v>
      </c>
      <c r="B436" s="43"/>
      <c r="C436" s="43"/>
      <c r="D436" s="43"/>
      <c r="E436" s="43"/>
      <c r="F436" s="43"/>
      <c r="G436" s="42"/>
      <c r="H436" s="43"/>
      <c r="I436" s="44"/>
      <c r="J436" s="44"/>
      <c r="K436" s="43"/>
      <c r="L436" s="43"/>
      <c r="M436" s="44"/>
      <c r="N436" s="43"/>
      <c r="O436" s="44"/>
      <c r="P436" s="44"/>
      <c r="Q436" s="44"/>
      <c r="R436" s="43"/>
      <c r="S436" s="43"/>
      <c r="T436" s="45"/>
    </row>
    <row r="437" spans="1:20">
      <c r="A437" s="42">
        <v>436</v>
      </c>
      <c r="B437" s="43"/>
      <c r="C437" s="43"/>
      <c r="D437" s="43"/>
      <c r="E437" s="43"/>
      <c r="F437" s="43"/>
      <c r="G437" s="42"/>
      <c r="H437" s="43"/>
      <c r="I437" s="44"/>
      <c r="J437" s="44"/>
      <c r="K437" s="43"/>
      <c r="L437" s="43"/>
      <c r="M437" s="44"/>
      <c r="N437" s="43"/>
      <c r="O437" s="44"/>
      <c r="P437" s="44"/>
      <c r="Q437" s="44"/>
      <c r="R437" s="43"/>
      <c r="S437" s="43"/>
      <c r="T437" s="45"/>
    </row>
    <row r="438" spans="1:20">
      <c r="A438" s="42">
        <v>437</v>
      </c>
      <c r="B438" s="43"/>
      <c r="C438" s="43"/>
      <c r="D438" s="43"/>
      <c r="E438" s="43"/>
      <c r="F438" s="43"/>
      <c r="G438" s="42"/>
      <c r="H438" s="43"/>
      <c r="I438" s="44"/>
      <c r="J438" s="44"/>
      <c r="K438" s="43"/>
      <c r="L438" s="43"/>
      <c r="M438" s="44"/>
      <c r="N438" s="43"/>
      <c r="O438" s="44"/>
      <c r="P438" s="44"/>
      <c r="Q438" s="44"/>
      <c r="R438" s="43"/>
      <c r="S438" s="43"/>
      <c r="T438" s="45"/>
    </row>
    <row r="439" spans="1:20">
      <c r="A439" s="42">
        <v>438</v>
      </c>
      <c r="B439" s="43"/>
      <c r="C439" s="43"/>
      <c r="D439" s="43"/>
      <c r="E439" s="43"/>
      <c r="F439" s="43"/>
      <c r="G439" s="42"/>
      <c r="H439" s="43"/>
      <c r="I439" s="44"/>
      <c r="J439" s="44"/>
      <c r="K439" s="43"/>
      <c r="L439" s="43"/>
      <c r="M439" s="44"/>
      <c r="N439" s="43"/>
      <c r="O439" s="44"/>
      <c r="P439" s="44"/>
      <c r="Q439" s="44"/>
      <c r="R439" s="43"/>
      <c r="S439" s="43"/>
      <c r="T439" s="45"/>
    </row>
    <row r="440" spans="1:20">
      <c r="A440" s="42">
        <v>439</v>
      </c>
      <c r="B440" s="43"/>
      <c r="C440" s="43"/>
      <c r="D440" s="43"/>
      <c r="E440" s="43"/>
      <c r="F440" s="43"/>
      <c r="G440" s="42"/>
      <c r="H440" s="43"/>
      <c r="I440" s="44"/>
      <c r="J440" s="44"/>
      <c r="K440" s="43"/>
      <c r="L440" s="43"/>
      <c r="M440" s="44"/>
      <c r="N440" s="43"/>
      <c r="O440" s="44"/>
      <c r="P440" s="44"/>
      <c r="Q440" s="44"/>
      <c r="R440" s="43"/>
      <c r="S440" s="43"/>
      <c r="T440" s="45"/>
    </row>
    <row r="441" spans="1:20">
      <c r="A441" s="42">
        <v>440</v>
      </c>
      <c r="B441" s="43"/>
      <c r="C441" s="43"/>
      <c r="D441" s="43"/>
      <c r="E441" s="43"/>
      <c r="F441" s="43"/>
      <c r="G441" s="42"/>
      <c r="H441" s="43"/>
      <c r="I441" s="44"/>
      <c r="J441" s="44"/>
      <c r="K441" s="43"/>
      <c r="L441" s="43"/>
      <c r="M441" s="44"/>
      <c r="N441" s="43"/>
      <c r="O441" s="44"/>
      <c r="P441" s="44"/>
      <c r="Q441" s="44"/>
      <c r="R441" s="43"/>
      <c r="S441" s="43"/>
      <c r="T441" s="45"/>
    </row>
    <row r="442" spans="1:20">
      <c r="A442" s="42">
        <v>441</v>
      </c>
      <c r="B442" s="43"/>
      <c r="C442" s="43"/>
      <c r="D442" s="43"/>
      <c r="E442" s="43"/>
      <c r="F442" s="43"/>
      <c r="G442" s="42"/>
      <c r="H442" s="43"/>
      <c r="I442" s="44"/>
      <c r="J442" s="44"/>
      <c r="K442" s="43"/>
      <c r="L442" s="43"/>
      <c r="M442" s="44"/>
      <c r="N442" s="43"/>
      <c r="O442" s="44"/>
      <c r="P442" s="44"/>
      <c r="Q442" s="44"/>
      <c r="R442" s="43"/>
      <c r="S442" s="43"/>
      <c r="T442" s="45"/>
    </row>
    <row r="443" spans="1:20">
      <c r="A443" s="42">
        <v>442</v>
      </c>
      <c r="B443" s="43"/>
      <c r="C443" s="43"/>
      <c r="D443" s="43"/>
      <c r="E443" s="43"/>
      <c r="F443" s="43"/>
      <c r="G443" s="42"/>
      <c r="H443" s="43"/>
      <c r="I443" s="44"/>
      <c r="J443" s="44"/>
      <c r="K443" s="43"/>
      <c r="L443" s="43"/>
      <c r="M443" s="44"/>
      <c r="N443" s="43"/>
      <c r="O443" s="44"/>
      <c r="P443" s="44"/>
      <c r="Q443" s="44"/>
      <c r="R443" s="43"/>
      <c r="S443" s="43"/>
      <c r="T443" s="45"/>
    </row>
    <row r="444" spans="1:20">
      <c r="A444" s="42">
        <v>443</v>
      </c>
      <c r="B444" s="43"/>
      <c r="C444" s="43"/>
      <c r="D444" s="43"/>
      <c r="E444" s="43"/>
      <c r="F444" s="43"/>
      <c r="G444" s="42"/>
      <c r="H444" s="43"/>
      <c r="I444" s="44"/>
      <c r="J444" s="44"/>
      <c r="K444" s="43"/>
      <c r="L444" s="43"/>
      <c r="M444" s="44"/>
      <c r="N444" s="43"/>
      <c r="O444" s="44"/>
      <c r="P444" s="44"/>
      <c r="Q444" s="44"/>
      <c r="R444" s="43"/>
      <c r="S444" s="43"/>
      <c r="T444" s="45"/>
    </row>
    <row r="445" spans="1:20">
      <c r="A445" s="42">
        <v>444</v>
      </c>
      <c r="B445" s="43"/>
      <c r="C445" s="43"/>
      <c r="D445" s="43"/>
      <c r="E445" s="43"/>
      <c r="F445" s="43"/>
      <c r="G445" s="42"/>
      <c r="H445" s="43"/>
      <c r="I445" s="44"/>
      <c r="J445" s="44"/>
      <c r="K445" s="43"/>
      <c r="L445" s="43"/>
      <c r="M445" s="44"/>
      <c r="N445" s="43"/>
      <c r="O445" s="44"/>
      <c r="P445" s="44"/>
      <c r="Q445" s="44"/>
      <c r="R445" s="43"/>
      <c r="S445" s="43"/>
      <c r="T445" s="45"/>
    </row>
    <row r="446" spans="1:20">
      <c r="A446" s="42">
        <v>445</v>
      </c>
      <c r="B446" s="43"/>
      <c r="C446" s="43"/>
      <c r="D446" s="43"/>
      <c r="E446" s="43"/>
      <c r="F446" s="43"/>
      <c r="G446" s="42"/>
      <c r="H446" s="43"/>
      <c r="I446" s="44"/>
      <c r="J446" s="44"/>
      <c r="K446" s="43"/>
      <c r="L446" s="43"/>
      <c r="M446" s="44"/>
      <c r="N446" s="43"/>
      <c r="O446" s="44"/>
      <c r="P446" s="44"/>
      <c r="Q446" s="44"/>
      <c r="R446" s="43"/>
      <c r="S446" s="43"/>
      <c r="T446" s="45"/>
    </row>
    <row r="447" spans="1:20">
      <c r="A447" s="42">
        <v>446</v>
      </c>
      <c r="B447" s="43"/>
      <c r="C447" s="43"/>
      <c r="D447" s="43"/>
      <c r="E447" s="43"/>
      <c r="F447" s="43"/>
      <c r="G447" s="42"/>
      <c r="H447" s="43"/>
      <c r="I447" s="44"/>
      <c r="J447" s="44"/>
      <c r="K447" s="43"/>
      <c r="L447" s="43"/>
      <c r="M447" s="44"/>
      <c r="N447" s="43"/>
      <c r="O447" s="44"/>
      <c r="P447" s="44"/>
      <c r="Q447" s="44"/>
      <c r="R447" s="43"/>
      <c r="S447" s="43"/>
      <c r="T447" s="45"/>
    </row>
    <row r="448" spans="1:20">
      <c r="A448" s="42">
        <v>447</v>
      </c>
      <c r="B448" s="43"/>
      <c r="C448" s="43"/>
      <c r="D448" s="43"/>
      <c r="E448" s="43"/>
      <c r="F448" s="43"/>
      <c r="G448" s="42"/>
      <c r="H448" s="43"/>
      <c r="I448" s="44"/>
      <c r="J448" s="44"/>
      <c r="K448" s="43"/>
      <c r="L448" s="43"/>
      <c r="M448" s="44"/>
      <c r="N448" s="43"/>
      <c r="O448" s="44"/>
      <c r="P448" s="44"/>
      <c r="Q448" s="44"/>
      <c r="R448" s="43"/>
      <c r="S448" s="43"/>
      <c r="T448" s="45"/>
    </row>
    <row r="449" spans="1:20">
      <c r="A449" s="42">
        <v>448</v>
      </c>
      <c r="B449" s="43"/>
      <c r="C449" s="43"/>
      <c r="D449" s="43"/>
      <c r="E449" s="43"/>
      <c r="F449" s="43"/>
      <c r="G449" s="42"/>
      <c r="H449" s="43"/>
      <c r="I449" s="44"/>
      <c r="J449" s="44"/>
      <c r="K449" s="43"/>
      <c r="L449" s="43"/>
      <c r="M449" s="44"/>
      <c r="N449" s="43"/>
      <c r="O449" s="44"/>
      <c r="P449" s="44"/>
      <c r="Q449" s="44"/>
      <c r="R449" s="43"/>
      <c r="S449" s="43"/>
      <c r="T449" s="45"/>
    </row>
    <row r="450" spans="1:20">
      <c r="A450" s="42">
        <v>449</v>
      </c>
      <c r="B450" s="43"/>
      <c r="C450" s="43"/>
      <c r="D450" s="43"/>
      <c r="E450" s="43"/>
      <c r="F450" s="43"/>
      <c r="G450" s="42"/>
      <c r="H450" s="43"/>
      <c r="I450" s="44"/>
      <c r="J450" s="44"/>
      <c r="K450" s="43"/>
      <c r="L450" s="43"/>
      <c r="M450" s="44"/>
      <c r="N450" s="43"/>
      <c r="O450" s="44"/>
      <c r="P450" s="44"/>
      <c r="Q450" s="44"/>
      <c r="R450" s="43"/>
      <c r="S450" s="43"/>
      <c r="T450" s="45"/>
    </row>
    <row r="451" spans="1:20">
      <c r="A451" s="42">
        <v>450</v>
      </c>
      <c r="B451" s="43"/>
      <c r="C451" s="43"/>
      <c r="D451" s="43"/>
      <c r="E451" s="43"/>
      <c r="F451" s="43"/>
      <c r="G451" s="42"/>
      <c r="H451" s="43"/>
      <c r="I451" s="44"/>
      <c r="J451" s="44"/>
      <c r="K451" s="43"/>
      <c r="L451" s="43"/>
      <c r="M451" s="44"/>
      <c r="N451" s="43"/>
      <c r="O451" s="44"/>
      <c r="P451" s="44"/>
      <c r="Q451" s="44"/>
      <c r="R451" s="43"/>
      <c r="S451" s="43"/>
      <c r="T451" s="45"/>
    </row>
    <row r="452" spans="1:20">
      <c r="A452" s="42">
        <v>451</v>
      </c>
      <c r="B452" s="43"/>
      <c r="C452" s="43"/>
      <c r="D452" s="43"/>
      <c r="E452" s="43"/>
      <c r="F452" s="43"/>
      <c r="G452" s="42"/>
      <c r="H452" s="43"/>
      <c r="I452" s="44"/>
      <c r="J452" s="44"/>
      <c r="K452" s="43"/>
      <c r="L452" s="43"/>
      <c r="M452" s="44"/>
      <c r="N452" s="43"/>
      <c r="O452" s="44"/>
      <c r="P452" s="44"/>
      <c r="Q452" s="44"/>
      <c r="R452" s="43"/>
      <c r="S452" s="43"/>
      <c r="T452" s="45"/>
    </row>
    <row r="453" spans="1:20">
      <c r="A453" s="42">
        <v>452</v>
      </c>
      <c r="B453" s="43"/>
      <c r="C453" s="43"/>
      <c r="D453" s="43"/>
      <c r="E453" s="43"/>
      <c r="F453" s="43"/>
      <c r="G453" s="42"/>
      <c r="H453" s="43"/>
      <c r="I453" s="44"/>
      <c r="J453" s="44"/>
      <c r="K453" s="43"/>
      <c r="L453" s="43"/>
      <c r="M453" s="44"/>
      <c r="N453" s="43"/>
      <c r="O453" s="44"/>
      <c r="P453" s="44"/>
      <c r="Q453" s="44"/>
      <c r="R453" s="43"/>
      <c r="S453" s="43"/>
      <c r="T453" s="45"/>
    </row>
    <row r="454" spans="1:20">
      <c r="A454" s="42">
        <v>453</v>
      </c>
      <c r="B454" s="43"/>
      <c r="C454" s="43"/>
      <c r="D454" s="43"/>
      <c r="E454" s="43"/>
      <c r="F454" s="43"/>
      <c r="G454" s="42"/>
      <c r="H454" s="43"/>
      <c r="I454" s="44"/>
      <c r="J454" s="44"/>
      <c r="K454" s="43"/>
      <c r="L454" s="43"/>
      <c r="M454" s="44"/>
      <c r="N454" s="43"/>
      <c r="O454" s="44"/>
      <c r="P454" s="44"/>
      <c r="Q454" s="44"/>
      <c r="R454" s="43"/>
      <c r="S454" s="43"/>
      <c r="T454" s="45"/>
    </row>
    <row r="455" spans="1:20">
      <c r="A455" s="42">
        <v>454</v>
      </c>
      <c r="B455" s="43"/>
      <c r="C455" s="43"/>
      <c r="D455" s="43"/>
      <c r="E455" s="43"/>
      <c r="F455" s="43"/>
      <c r="G455" s="42"/>
      <c r="H455" s="43"/>
      <c r="I455" s="44"/>
      <c r="J455" s="44"/>
      <c r="K455" s="43"/>
      <c r="L455" s="43"/>
      <c r="M455" s="44"/>
      <c r="N455" s="43"/>
      <c r="O455" s="44"/>
      <c r="P455" s="44"/>
      <c r="Q455" s="44"/>
      <c r="R455" s="43"/>
      <c r="S455" s="43"/>
      <c r="T455" s="45"/>
    </row>
    <row r="456" spans="1:20">
      <c r="A456" s="42">
        <v>455</v>
      </c>
      <c r="B456" s="43"/>
      <c r="C456" s="43"/>
      <c r="D456" s="43"/>
      <c r="E456" s="43"/>
      <c r="F456" s="43"/>
      <c r="G456" s="42"/>
      <c r="H456" s="43"/>
      <c r="I456" s="44"/>
      <c r="J456" s="44"/>
      <c r="K456" s="43"/>
      <c r="L456" s="43"/>
      <c r="M456" s="44"/>
      <c r="N456" s="43"/>
      <c r="O456" s="44"/>
      <c r="P456" s="44"/>
      <c r="Q456" s="44"/>
      <c r="R456" s="43"/>
      <c r="S456" s="43"/>
      <c r="T456" s="45"/>
    </row>
    <row r="457" spans="1:20">
      <c r="A457" s="42">
        <v>456</v>
      </c>
      <c r="B457" s="43"/>
      <c r="C457" s="43"/>
      <c r="D457" s="43"/>
      <c r="E457" s="43"/>
      <c r="F457" s="43"/>
      <c r="G457" s="42"/>
      <c r="H457" s="43"/>
      <c r="I457" s="44"/>
      <c r="J457" s="44"/>
      <c r="K457" s="43"/>
      <c r="L457" s="43"/>
      <c r="M457" s="44"/>
      <c r="N457" s="43"/>
      <c r="O457" s="44"/>
      <c r="P457" s="44"/>
      <c r="Q457" s="44"/>
      <c r="R457" s="43"/>
      <c r="S457" s="43"/>
      <c r="T457" s="45"/>
    </row>
    <row r="458" spans="1:20">
      <c r="A458" s="42">
        <v>457</v>
      </c>
      <c r="B458" s="43"/>
      <c r="C458" s="43"/>
      <c r="D458" s="43"/>
      <c r="E458" s="43"/>
      <c r="F458" s="43"/>
      <c r="G458" s="42"/>
      <c r="H458" s="43"/>
      <c r="I458" s="44"/>
      <c r="J458" s="44"/>
      <c r="K458" s="43"/>
      <c r="L458" s="43"/>
      <c r="M458" s="44"/>
      <c r="N458" s="43"/>
      <c r="O458" s="44"/>
      <c r="P458" s="44"/>
      <c r="Q458" s="44"/>
      <c r="R458" s="43"/>
      <c r="S458" s="43"/>
      <c r="T458" s="45"/>
    </row>
    <row r="459" spans="1:20">
      <c r="A459" s="42">
        <v>458</v>
      </c>
      <c r="B459" s="43"/>
      <c r="C459" s="43"/>
      <c r="D459" s="43"/>
      <c r="E459" s="43"/>
      <c r="F459" s="43"/>
      <c r="G459" s="42"/>
      <c r="H459" s="43"/>
      <c r="I459" s="44"/>
      <c r="J459" s="44"/>
      <c r="K459" s="43"/>
      <c r="L459" s="43"/>
      <c r="M459" s="44"/>
      <c r="N459" s="43"/>
      <c r="O459" s="44"/>
      <c r="P459" s="44"/>
      <c r="Q459" s="44"/>
      <c r="R459" s="43"/>
      <c r="S459" s="43"/>
      <c r="T459" s="45"/>
    </row>
    <row r="460" spans="1:20">
      <c r="A460" s="42">
        <v>459</v>
      </c>
      <c r="B460" s="43"/>
      <c r="C460" s="43"/>
      <c r="D460" s="43"/>
      <c r="E460" s="43"/>
      <c r="F460" s="43"/>
      <c r="G460" s="42"/>
      <c r="H460" s="43"/>
      <c r="I460" s="44"/>
      <c r="J460" s="44"/>
      <c r="K460" s="43"/>
      <c r="L460" s="43"/>
      <c r="M460" s="44"/>
      <c r="N460" s="43"/>
      <c r="O460" s="44"/>
      <c r="P460" s="44"/>
      <c r="Q460" s="44"/>
      <c r="R460" s="43"/>
      <c r="S460" s="43"/>
      <c r="T460" s="45"/>
    </row>
    <row r="461" spans="1:20">
      <c r="A461" s="42">
        <v>460</v>
      </c>
      <c r="B461" s="43"/>
      <c r="C461" s="43"/>
      <c r="D461" s="43"/>
      <c r="E461" s="43"/>
      <c r="F461" s="43"/>
      <c r="G461" s="42"/>
      <c r="H461" s="43"/>
      <c r="I461" s="44"/>
      <c r="J461" s="44"/>
      <c r="K461" s="43"/>
      <c r="L461" s="43"/>
      <c r="M461" s="44"/>
      <c r="N461" s="43"/>
      <c r="O461" s="44"/>
      <c r="P461" s="44"/>
      <c r="Q461" s="44"/>
      <c r="R461" s="43"/>
      <c r="S461" s="43"/>
      <c r="T461" s="45"/>
    </row>
    <row r="462" spans="1:20">
      <c r="A462" s="42">
        <v>461</v>
      </c>
      <c r="B462" s="43"/>
      <c r="C462" s="43"/>
      <c r="D462" s="43"/>
      <c r="E462" s="43"/>
      <c r="F462" s="43"/>
      <c r="G462" s="42"/>
      <c r="H462" s="43"/>
      <c r="I462" s="44"/>
      <c r="J462" s="44"/>
      <c r="K462" s="43"/>
      <c r="L462" s="43"/>
      <c r="M462" s="44"/>
      <c r="N462" s="43"/>
      <c r="O462" s="44"/>
      <c r="P462" s="44"/>
      <c r="Q462" s="44"/>
      <c r="R462" s="43"/>
      <c r="S462" s="43"/>
      <c r="T462" s="45"/>
    </row>
    <row r="463" spans="1:20">
      <c r="A463" s="42">
        <v>462</v>
      </c>
      <c r="B463" s="43"/>
      <c r="C463" s="43"/>
      <c r="D463" s="43"/>
      <c r="E463" s="43"/>
      <c r="F463" s="43"/>
      <c r="G463" s="42"/>
      <c r="H463" s="43"/>
      <c r="I463" s="44"/>
      <c r="J463" s="44"/>
      <c r="K463" s="43"/>
      <c r="L463" s="43"/>
      <c r="M463" s="44"/>
      <c r="N463" s="43"/>
      <c r="O463" s="44"/>
      <c r="P463" s="44"/>
      <c r="Q463" s="44"/>
      <c r="R463" s="43"/>
      <c r="S463" s="43"/>
      <c r="T463" s="45"/>
    </row>
    <row r="464" spans="1:20">
      <c r="A464" s="42">
        <v>463</v>
      </c>
      <c r="B464" s="43"/>
      <c r="C464" s="43"/>
      <c r="D464" s="43"/>
      <c r="E464" s="43"/>
      <c r="F464" s="43"/>
      <c r="G464" s="42"/>
      <c r="H464" s="43"/>
      <c r="I464" s="44"/>
      <c r="J464" s="44"/>
      <c r="K464" s="43"/>
      <c r="L464" s="43"/>
      <c r="M464" s="44"/>
      <c r="N464" s="43"/>
      <c r="O464" s="44"/>
      <c r="P464" s="44"/>
      <c r="Q464" s="44"/>
      <c r="R464" s="43"/>
      <c r="S464" s="43"/>
      <c r="T464" s="45"/>
    </row>
    <row r="465" spans="1:20">
      <c r="A465" s="42">
        <v>464</v>
      </c>
      <c r="B465" s="43"/>
      <c r="C465" s="43"/>
      <c r="D465" s="43"/>
      <c r="E465" s="43"/>
      <c r="F465" s="43"/>
      <c r="G465" s="42"/>
      <c r="H465" s="43"/>
      <c r="I465" s="44"/>
      <c r="J465" s="44"/>
      <c r="K465" s="43"/>
      <c r="L465" s="43"/>
      <c r="M465" s="44"/>
      <c r="N465" s="43"/>
      <c r="O465" s="44"/>
      <c r="P465" s="44"/>
      <c r="Q465" s="44"/>
      <c r="R465" s="43"/>
      <c r="S465" s="43"/>
      <c r="T465" s="45"/>
    </row>
    <row r="466" spans="1:20">
      <c r="A466" s="42">
        <v>465</v>
      </c>
      <c r="B466" s="43"/>
      <c r="C466" s="43"/>
      <c r="D466" s="43"/>
      <c r="E466" s="43"/>
      <c r="F466" s="43"/>
      <c r="G466" s="42"/>
      <c r="H466" s="43"/>
      <c r="I466" s="44"/>
      <c r="J466" s="44"/>
      <c r="K466" s="43"/>
      <c r="L466" s="43"/>
      <c r="M466" s="44"/>
      <c r="N466" s="43"/>
      <c r="O466" s="44"/>
      <c r="P466" s="44"/>
      <c r="Q466" s="44"/>
      <c r="R466" s="43"/>
      <c r="S466" s="43"/>
      <c r="T466" s="45"/>
    </row>
    <row r="467" spans="1:20">
      <c r="A467" s="42">
        <v>466</v>
      </c>
      <c r="B467" s="43"/>
      <c r="C467" s="43"/>
      <c r="D467" s="43"/>
      <c r="E467" s="43"/>
      <c r="F467" s="43"/>
      <c r="G467" s="42"/>
      <c r="H467" s="43"/>
      <c r="I467" s="44"/>
      <c r="J467" s="44"/>
      <c r="K467" s="43"/>
      <c r="L467" s="43"/>
      <c r="M467" s="44"/>
      <c r="N467" s="43"/>
      <c r="O467" s="44"/>
      <c r="P467" s="44"/>
      <c r="Q467" s="44"/>
      <c r="R467" s="43"/>
      <c r="S467" s="43"/>
      <c r="T467" s="45"/>
    </row>
    <row r="468" spans="1:20">
      <c r="A468" s="42">
        <v>467</v>
      </c>
      <c r="B468" s="43"/>
      <c r="C468" s="43"/>
      <c r="D468" s="43"/>
      <c r="E468" s="43"/>
      <c r="F468" s="43"/>
      <c r="G468" s="42"/>
      <c r="H468" s="43"/>
      <c r="I468" s="44"/>
      <c r="J468" s="44"/>
      <c r="K468" s="43"/>
      <c r="L468" s="43"/>
      <c r="M468" s="44"/>
      <c r="N468" s="43"/>
      <c r="O468" s="44"/>
      <c r="P468" s="44"/>
      <c r="Q468" s="44"/>
      <c r="R468" s="43"/>
      <c r="S468" s="43"/>
      <c r="T468" s="45"/>
    </row>
    <row r="469" spans="1:20">
      <c r="A469" s="42">
        <v>468</v>
      </c>
      <c r="B469" s="43"/>
      <c r="C469" s="43"/>
      <c r="D469" s="43"/>
      <c r="E469" s="43"/>
      <c r="F469" s="43"/>
      <c r="G469" s="42"/>
      <c r="H469" s="43"/>
      <c r="I469" s="44"/>
      <c r="J469" s="44"/>
      <c r="K469" s="43"/>
      <c r="L469" s="43"/>
      <c r="M469" s="44"/>
      <c r="N469" s="43"/>
      <c r="O469" s="44"/>
      <c r="P469" s="44"/>
      <c r="Q469" s="44"/>
      <c r="R469" s="43"/>
      <c r="S469" s="43"/>
      <c r="T469" s="45"/>
    </row>
    <row r="470" spans="1:20">
      <c r="A470" s="42">
        <v>469</v>
      </c>
      <c r="B470" s="43"/>
      <c r="C470" s="43"/>
      <c r="D470" s="43"/>
      <c r="E470" s="43"/>
      <c r="F470" s="43"/>
      <c r="G470" s="42"/>
      <c r="H470" s="43"/>
      <c r="I470" s="44"/>
      <c r="J470" s="44"/>
      <c r="K470" s="43"/>
      <c r="L470" s="43"/>
      <c r="M470" s="44"/>
      <c r="N470" s="43"/>
      <c r="O470" s="44"/>
      <c r="P470" s="44"/>
      <c r="Q470" s="44"/>
      <c r="R470" s="43"/>
      <c r="S470" s="43"/>
      <c r="T470" s="45"/>
    </row>
    <row r="471" spans="1:20">
      <c r="A471" s="42">
        <v>470</v>
      </c>
      <c r="B471" s="43"/>
      <c r="C471" s="43"/>
      <c r="D471" s="43"/>
      <c r="E471" s="43"/>
      <c r="F471" s="43"/>
      <c r="G471" s="42"/>
      <c r="H471" s="43"/>
      <c r="I471" s="44"/>
      <c r="J471" s="44"/>
      <c r="K471" s="43"/>
      <c r="L471" s="43"/>
      <c r="M471" s="44"/>
      <c r="N471" s="43"/>
      <c r="O471" s="44"/>
      <c r="P471" s="44"/>
      <c r="Q471" s="44"/>
      <c r="R471" s="43"/>
      <c r="S471" s="43"/>
      <c r="T471" s="45"/>
    </row>
    <row r="472" spans="1:20">
      <c r="A472" s="42">
        <v>471</v>
      </c>
      <c r="B472" s="43"/>
      <c r="C472" s="43"/>
      <c r="D472" s="43"/>
      <c r="E472" s="43"/>
      <c r="F472" s="43"/>
      <c r="G472" s="42"/>
      <c r="H472" s="43"/>
      <c r="I472" s="44"/>
      <c r="J472" s="44"/>
      <c r="K472" s="43"/>
      <c r="L472" s="43"/>
      <c r="M472" s="44"/>
      <c r="N472" s="43"/>
      <c r="O472" s="44"/>
      <c r="P472" s="44"/>
      <c r="Q472" s="44"/>
      <c r="R472" s="43"/>
      <c r="S472" s="43"/>
      <c r="T472" s="45"/>
    </row>
    <row r="473" spans="1:20">
      <c r="A473" s="42">
        <v>472</v>
      </c>
      <c r="B473" s="43"/>
      <c r="C473" s="43"/>
      <c r="D473" s="43"/>
      <c r="E473" s="43"/>
      <c r="F473" s="43"/>
      <c r="G473" s="42"/>
      <c r="H473" s="43"/>
      <c r="I473" s="44"/>
      <c r="J473" s="44"/>
      <c r="K473" s="43"/>
      <c r="L473" s="43"/>
      <c r="M473" s="44"/>
      <c r="N473" s="43"/>
      <c r="O473" s="44"/>
      <c r="P473" s="44"/>
      <c r="Q473" s="44"/>
      <c r="R473" s="43"/>
      <c r="S473" s="43"/>
      <c r="T473" s="45"/>
    </row>
    <row r="474" spans="1:20">
      <c r="A474" s="42">
        <v>473</v>
      </c>
      <c r="B474" s="43"/>
      <c r="C474" s="43"/>
      <c r="D474" s="43"/>
      <c r="E474" s="43"/>
      <c r="F474" s="43"/>
      <c r="G474" s="42"/>
      <c r="H474" s="43"/>
      <c r="I474" s="44"/>
      <c r="J474" s="44"/>
      <c r="K474" s="43"/>
      <c r="L474" s="43"/>
      <c r="M474" s="44"/>
      <c r="N474" s="43"/>
      <c r="O474" s="44"/>
      <c r="P474" s="44"/>
      <c r="Q474" s="44"/>
      <c r="R474" s="43"/>
      <c r="S474" s="43"/>
      <c r="T474" s="45"/>
    </row>
    <row r="475" spans="1:20">
      <c r="A475" s="42">
        <v>474</v>
      </c>
      <c r="B475" s="43"/>
      <c r="C475" s="43"/>
      <c r="D475" s="43"/>
      <c r="E475" s="43"/>
      <c r="F475" s="43"/>
      <c r="G475" s="42"/>
      <c r="H475" s="43"/>
      <c r="I475" s="44"/>
      <c r="J475" s="44"/>
      <c r="K475" s="43"/>
      <c r="L475" s="43"/>
      <c r="M475" s="44"/>
      <c r="N475" s="43"/>
      <c r="O475" s="44"/>
      <c r="P475" s="44"/>
      <c r="Q475" s="44"/>
      <c r="R475" s="43"/>
      <c r="S475" s="43"/>
      <c r="T475" s="45"/>
    </row>
    <row r="476" spans="1:20">
      <c r="A476" s="42">
        <v>475</v>
      </c>
      <c r="B476" s="43"/>
      <c r="C476" s="43"/>
      <c r="D476" s="43"/>
      <c r="E476" s="43"/>
      <c r="F476" s="43"/>
      <c r="G476" s="42"/>
      <c r="H476" s="43"/>
      <c r="I476" s="44"/>
      <c r="J476" s="44"/>
      <c r="K476" s="43"/>
      <c r="L476" s="43"/>
      <c r="M476" s="44"/>
      <c r="N476" s="43"/>
      <c r="O476" s="44"/>
      <c r="P476" s="44"/>
      <c r="Q476" s="44"/>
      <c r="R476" s="43"/>
      <c r="S476" s="43"/>
      <c r="T476" s="45"/>
    </row>
    <row r="477" spans="1:20">
      <c r="A477" s="42">
        <v>476</v>
      </c>
      <c r="B477" s="43"/>
      <c r="C477" s="43"/>
      <c r="D477" s="43"/>
      <c r="E477" s="43"/>
      <c r="F477" s="43"/>
      <c r="G477" s="42"/>
      <c r="H477" s="43"/>
      <c r="I477" s="44"/>
      <c r="J477" s="44"/>
      <c r="K477" s="43"/>
      <c r="L477" s="43"/>
      <c r="M477" s="44"/>
      <c r="N477" s="43"/>
      <c r="O477" s="44"/>
      <c r="P477" s="44"/>
      <c r="Q477" s="44"/>
      <c r="R477" s="43"/>
      <c r="S477" s="43"/>
      <c r="T477" s="45"/>
    </row>
    <row r="478" spans="1:20">
      <c r="A478" s="42">
        <v>477</v>
      </c>
      <c r="B478" s="43"/>
      <c r="C478" s="43"/>
      <c r="D478" s="43"/>
      <c r="E478" s="43"/>
      <c r="F478" s="43"/>
      <c r="G478" s="42"/>
      <c r="H478" s="43"/>
      <c r="I478" s="44"/>
      <c r="J478" s="44"/>
      <c r="K478" s="43"/>
      <c r="L478" s="43"/>
      <c r="M478" s="44"/>
      <c r="N478" s="43"/>
      <c r="O478" s="44"/>
      <c r="P478" s="44"/>
      <c r="Q478" s="44"/>
      <c r="R478" s="43"/>
      <c r="S478" s="43"/>
      <c r="T478" s="45"/>
    </row>
    <row r="479" spans="1:20">
      <c r="A479" s="42">
        <v>478</v>
      </c>
      <c r="B479" s="43"/>
      <c r="C479" s="43"/>
      <c r="D479" s="43"/>
      <c r="E479" s="43"/>
      <c r="F479" s="43"/>
      <c r="G479" s="42"/>
      <c r="H479" s="43"/>
      <c r="I479" s="44"/>
      <c r="J479" s="44"/>
      <c r="K479" s="43"/>
      <c r="L479" s="43"/>
      <c r="M479" s="44"/>
      <c r="N479" s="43"/>
      <c r="O479" s="44"/>
      <c r="P479" s="44"/>
      <c r="Q479" s="44"/>
      <c r="R479" s="43"/>
      <c r="S479" s="43"/>
      <c r="T479" s="45"/>
    </row>
    <row r="480" spans="1:20">
      <c r="A480" s="42">
        <v>479</v>
      </c>
      <c r="B480" s="43"/>
      <c r="C480" s="43"/>
      <c r="D480" s="43"/>
      <c r="E480" s="43"/>
      <c r="F480" s="43"/>
      <c r="G480" s="42"/>
      <c r="H480" s="43"/>
      <c r="I480" s="44"/>
      <c r="J480" s="44"/>
      <c r="K480" s="43"/>
      <c r="L480" s="43"/>
      <c r="M480" s="44"/>
      <c r="N480" s="43"/>
      <c r="O480" s="44"/>
      <c r="P480" s="44"/>
      <c r="Q480" s="44"/>
      <c r="R480" s="43"/>
      <c r="S480" s="43"/>
      <c r="T480" s="45"/>
    </row>
    <row r="481" spans="1:20">
      <c r="A481" s="42">
        <v>480</v>
      </c>
      <c r="B481" s="43"/>
      <c r="C481" s="43"/>
      <c r="D481" s="43"/>
      <c r="E481" s="43"/>
      <c r="F481" s="43"/>
      <c r="G481" s="42"/>
      <c r="H481" s="43"/>
      <c r="I481" s="44"/>
      <c r="J481" s="44"/>
      <c r="K481" s="43"/>
      <c r="L481" s="43"/>
      <c r="M481" s="44"/>
      <c r="N481" s="43"/>
      <c r="O481" s="44"/>
      <c r="P481" s="44"/>
      <c r="Q481" s="44"/>
      <c r="R481" s="43"/>
      <c r="S481" s="43"/>
      <c r="T481" s="45"/>
    </row>
    <row r="482" spans="1:20">
      <c r="A482" s="42">
        <v>481</v>
      </c>
      <c r="B482" s="43"/>
      <c r="C482" s="43"/>
      <c r="D482" s="43"/>
      <c r="E482" s="43"/>
      <c r="F482" s="43"/>
      <c r="G482" s="42"/>
      <c r="H482" s="43"/>
      <c r="I482" s="44"/>
      <c r="J482" s="44"/>
      <c r="K482" s="43"/>
      <c r="L482" s="43"/>
      <c r="M482" s="44"/>
      <c r="N482" s="43"/>
      <c r="O482" s="44"/>
      <c r="P482" s="44"/>
      <c r="Q482" s="44"/>
      <c r="R482" s="43"/>
      <c r="S482" s="43"/>
      <c r="T482" s="45"/>
    </row>
    <row r="483" spans="1:20">
      <c r="A483" s="42">
        <v>482</v>
      </c>
      <c r="B483" s="43"/>
      <c r="C483" s="43"/>
      <c r="D483" s="43"/>
      <c r="E483" s="43"/>
      <c r="F483" s="43"/>
      <c r="G483" s="42"/>
      <c r="H483" s="43"/>
      <c r="I483" s="44"/>
      <c r="J483" s="44"/>
      <c r="K483" s="43"/>
      <c r="L483" s="43"/>
      <c r="M483" s="44"/>
      <c r="N483" s="43"/>
      <c r="O483" s="44"/>
      <c r="P483" s="44"/>
      <c r="Q483" s="44"/>
      <c r="R483" s="43"/>
      <c r="S483" s="43"/>
      <c r="T483" s="45"/>
    </row>
    <row r="484" spans="1:20">
      <c r="A484" s="42">
        <v>483</v>
      </c>
      <c r="B484" s="43"/>
      <c r="C484" s="43"/>
      <c r="D484" s="43"/>
      <c r="E484" s="43"/>
      <c r="F484" s="43"/>
      <c r="G484" s="42"/>
      <c r="H484" s="43"/>
      <c r="I484" s="44"/>
      <c r="J484" s="44"/>
      <c r="K484" s="43"/>
      <c r="L484" s="43"/>
      <c r="M484" s="44"/>
      <c r="N484" s="43"/>
      <c r="O484" s="44"/>
      <c r="P484" s="44"/>
      <c r="Q484" s="44"/>
      <c r="R484" s="43"/>
      <c r="S484" s="43"/>
      <c r="T484" s="45"/>
    </row>
    <row r="485" spans="1:20">
      <c r="A485" s="42">
        <v>484</v>
      </c>
      <c r="B485" s="43"/>
      <c r="C485" s="43"/>
      <c r="D485" s="43"/>
      <c r="E485" s="43"/>
      <c r="F485" s="43"/>
      <c r="G485" s="42"/>
      <c r="H485" s="43"/>
      <c r="I485" s="44"/>
      <c r="J485" s="44"/>
      <c r="K485" s="43"/>
      <c r="L485" s="43"/>
      <c r="M485" s="44"/>
      <c r="N485" s="43"/>
      <c r="O485" s="44"/>
      <c r="P485" s="44"/>
      <c r="Q485" s="44"/>
      <c r="R485" s="43"/>
      <c r="S485" s="43"/>
      <c r="T485" s="45"/>
    </row>
    <row r="486" spans="1:20">
      <c r="A486" s="42">
        <v>485</v>
      </c>
      <c r="B486" s="43"/>
      <c r="C486" s="43"/>
      <c r="D486" s="43"/>
      <c r="E486" s="43"/>
      <c r="F486" s="43"/>
      <c r="G486" s="42"/>
      <c r="H486" s="43"/>
      <c r="I486" s="44"/>
      <c r="J486" s="44"/>
      <c r="K486" s="43"/>
      <c r="L486" s="43"/>
      <c r="M486" s="44"/>
      <c r="N486" s="43"/>
      <c r="O486" s="44"/>
      <c r="P486" s="44"/>
      <c r="Q486" s="44"/>
      <c r="R486" s="43"/>
      <c r="S486" s="43"/>
      <c r="T486" s="45"/>
    </row>
    <row r="487" spans="1:20">
      <c r="A487" s="42">
        <v>486</v>
      </c>
      <c r="B487" s="43"/>
      <c r="C487" s="43"/>
      <c r="D487" s="43"/>
      <c r="E487" s="43"/>
      <c r="F487" s="43"/>
      <c r="G487" s="42"/>
      <c r="H487" s="43"/>
      <c r="I487" s="44"/>
      <c r="J487" s="44"/>
      <c r="K487" s="43"/>
      <c r="L487" s="43"/>
      <c r="M487" s="44"/>
      <c r="N487" s="43"/>
      <c r="O487" s="44"/>
      <c r="P487" s="44"/>
      <c r="Q487" s="44"/>
      <c r="R487" s="43"/>
      <c r="S487" s="43"/>
      <c r="T487" s="45"/>
    </row>
    <row r="488" spans="1:20">
      <c r="A488" s="42">
        <v>487</v>
      </c>
      <c r="B488" s="43"/>
      <c r="C488" s="43"/>
      <c r="D488" s="43"/>
      <c r="E488" s="43"/>
      <c r="F488" s="43"/>
      <c r="G488" s="42"/>
      <c r="H488" s="43"/>
      <c r="I488" s="44"/>
      <c r="J488" s="44"/>
      <c r="K488" s="43"/>
      <c r="L488" s="43"/>
      <c r="M488" s="44"/>
      <c r="N488" s="43"/>
      <c r="O488" s="44"/>
      <c r="P488" s="44"/>
      <c r="Q488" s="44"/>
      <c r="R488" s="43"/>
      <c r="S488" s="43"/>
      <c r="T488" s="45"/>
    </row>
    <row r="489" spans="1:20">
      <c r="A489" s="42">
        <v>488</v>
      </c>
      <c r="B489" s="43"/>
      <c r="C489" s="43"/>
      <c r="D489" s="43"/>
      <c r="E489" s="43"/>
      <c r="F489" s="43"/>
      <c r="G489" s="42"/>
      <c r="H489" s="43"/>
      <c r="I489" s="44"/>
      <c r="J489" s="44"/>
      <c r="K489" s="43"/>
      <c r="L489" s="43"/>
      <c r="M489" s="44"/>
      <c r="N489" s="43"/>
      <c r="O489" s="44"/>
      <c r="P489" s="44"/>
      <c r="Q489" s="44"/>
      <c r="R489" s="43"/>
      <c r="S489" s="43"/>
      <c r="T489" s="45"/>
    </row>
    <row r="490" spans="1:20">
      <c r="A490" s="42">
        <v>489</v>
      </c>
      <c r="B490" s="43"/>
      <c r="C490" s="43"/>
      <c r="D490" s="43"/>
      <c r="E490" s="43"/>
      <c r="F490" s="43"/>
      <c r="G490" s="42"/>
      <c r="H490" s="43"/>
      <c r="I490" s="44"/>
      <c r="J490" s="44"/>
      <c r="K490" s="43"/>
      <c r="L490" s="43"/>
      <c r="M490" s="44"/>
      <c r="N490" s="43"/>
      <c r="O490" s="44"/>
      <c r="P490" s="44"/>
      <c r="Q490" s="44"/>
      <c r="R490" s="43"/>
      <c r="S490" s="43"/>
      <c r="T490" s="45"/>
    </row>
    <row r="491" spans="1:20">
      <c r="A491" s="42">
        <v>490</v>
      </c>
      <c r="B491" s="43"/>
      <c r="C491" s="43"/>
      <c r="D491" s="43"/>
      <c r="E491" s="43"/>
      <c r="F491" s="43"/>
      <c r="G491" s="42"/>
      <c r="H491" s="43"/>
      <c r="I491" s="44"/>
      <c r="J491" s="44"/>
      <c r="K491" s="43"/>
      <c r="L491" s="43"/>
      <c r="M491" s="44"/>
      <c r="N491" s="43"/>
      <c r="O491" s="44"/>
      <c r="P491" s="44"/>
      <c r="Q491" s="44"/>
      <c r="R491" s="43"/>
      <c r="S491" s="43"/>
      <c r="T491" s="45"/>
    </row>
    <row r="492" spans="1:20">
      <c r="A492" s="42">
        <v>491</v>
      </c>
      <c r="B492" s="43"/>
      <c r="C492" s="43"/>
      <c r="D492" s="43"/>
      <c r="E492" s="43"/>
      <c r="F492" s="43"/>
      <c r="G492" s="42"/>
      <c r="H492" s="43"/>
      <c r="I492" s="44"/>
      <c r="J492" s="44"/>
      <c r="K492" s="43"/>
      <c r="L492" s="43"/>
      <c r="M492" s="44"/>
      <c r="N492" s="43"/>
      <c r="O492" s="44"/>
      <c r="P492" s="44"/>
      <c r="Q492" s="44"/>
      <c r="R492" s="43"/>
      <c r="S492" s="43"/>
      <c r="T492" s="45"/>
    </row>
    <row r="493" spans="1:20">
      <c r="A493" s="42">
        <v>492</v>
      </c>
      <c r="B493" s="43"/>
      <c r="C493" s="43"/>
      <c r="D493" s="43"/>
      <c r="E493" s="43"/>
      <c r="F493" s="43"/>
      <c r="G493" s="42"/>
      <c r="H493" s="43"/>
      <c r="I493" s="44"/>
      <c r="J493" s="44"/>
      <c r="K493" s="43"/>
      <c r="L493" s="43"/>
      <c r="M493" s="44"/>
      <c r="N493" s="43"/>
      <c r="O493" s="44"/>
      <c r="P493" s="44"/>
      <c r="Q493" s="44"/>
      <c r="R493" s="43"/>
      <c r="S493" s="43"/>
      <c r="T493" s="45"/>
    </row>
    <row r="494" spans="1:20">
      <c r="A494" s="42">
        <v>493</v>
      </c>
      <c r="B494" s="43"/>
      <c r="C494" s="43"/>
      <c r="D494" s="43"/>
      <c r="E494" s="43"/>
      <c r="F494" s="43"/>
      <c r="G494" s="42"/>
      <c r="H494" s="43"/>
      <c r="I494" s="44"/>
      <c r="J494" s="44"/>
      <c r="K494" s="43"/>
      <c r="L494" s="43"/>
      <c r="M494" s="44"/>
      <c r="N494" s="43"/>
      <c r="O494" s="44"/>
      <c r="P494" s="44"/>
      <c r="Q494" s="44"/>
      <c r="R494" s="43"/>
      <c r="S494" s="43"/>
      <c r="T494" s="45"/>
    </row>
    <row r="495" spans="1:20">
      <c r="A495" s="42">
        <v>494</v>
      </c>
      <c r="B495" s="43"/>
      <c r="C495" s="43"/>
      <c r="D495" s="43"/>
      <c r="E495" s="43"/>
      <c r="F495" s="43"/>
      <c r="G495" s="42"/>
      <c r="H495" s="43"/>
      <c r="I495" s="44"/>
      <c r="J495" s="44"/>
      <c r="K495" s="43"/>
      <c r="L495" s="43"/>
      <c r="M495" s="44"/>
      <c r="N495" s="43"/>
      <c r="O495" s="44"/>
      <c r="P495" s="44"/>
      <c r="Q495" s="44"/>
      <c r="R495" s="43"/>
      <c r="S495" s="43"/>
      <c r="T495" s="45"/>
    </row>
    <row r="496" spans="1:20">
      <c r="A496" s="42">
        <v>495</v>
      </c>
      <c r="B496" s="43"/>
      <c r="C496" s="43"/>
      <c r="D496" s="43"/>
      <c r="E496" s="43"/>
      <c r="F496" s="43"/>
      <c r="G496" s="42"/>
      <c r="H496" s="43"/>
      <c r="I496" s="44"/>
      <c r="J496" s="44"/>
      <c r="K496" s="43"/>
      <c r="L496" s="43"/>
      <c r="M496" s="44"/>
      <c r="N496" s="43"/>
      <c r="O496" s="44"/>
      <c r="P496" s="44"/>
      <c r="Q496" s="44"/>
      <c r="R496" s="43"/>
      <c r="S496" s="43"/>
      <c r="T496" s="45"/>
    </row>
    <row r="497" spans="1:20">
      <c r="A497" s="42">
        <v>496</v>
      </c>
      <c r="B497" s="43"/>
      <c r="C497" s="43"/>
      <c r="D497" s="43"/>
      <c r="E497" s="43"/>
      <c r="F497" s="43"/>
      <c r="G497" s="42"/>
      <c r="H497" s="43"/>
      <c r="I497" s="44"/>
      <c r="J497" s="44"/>
      <c r="K497" s="43"/>
      <c r="L497" s="43"/>
      <c r="M497" s="44"/>
      <c r="N497" s="43"/>
      <c r="O497" s="44"/>
      <c r="P497" s="44"/>
      <c r="Q497" s="44"/>
      <c r="R497" s="43"/>
      <c r="S497" s="43"/>
      <c r="T497" s="45"/>
    </row>
    <row r="498" spans="1:20">
      <c r="A498" s="42">
        <v>497</v>
      </c>
      <c r="B498" s="43"/>
      <c r="C498" s="43"/>
      <c r="D498" s="43"/>
      <c r="E498" s="43"/>
      <c r="F498" s="43"/>
      <c r="G498" s="42"/>
      <c r="H498" s="43"/>
      <c r="I498" s="44"/>
      <c r="J498" s="44"/>
      <c r="K498" s="43"/>
      <c r="L498" s="43"/>
      <c r="M498" s="44"/>
      <c r="N498" s="43"/>
      <c r="O498" s="44"/>
      <c r="P498" s="44"/>
      <c r="Q498" s="44"/>
      <c r="R498" s="43"/>
      <c r="S498" s="43"/>
      <c r="T498" s="45"/>
    </row>
    <row r="499" spans="1:20">
      <c r="A499" s="42">
        <v>498</v>
      </c>
      <c r="B499" s="43"/>
      <c r="C499" s="43"/>
      <c r="D499" s="43"/>
      <c r="E499" s="43"/>
      <c r="F499" s="43"/>
      <c r="G499" s="42"/>
      <c r="H499" s="43"/>
      <c r="I499" s="44"/>
      <c r="J499" s="44"/>
      <c r="K499" s="43"/>
      <c r="L499" s="43"/>
      <c r="M499" s="44"/>
      <c r="N499" s="43"/>
      <c r="O499" s="44"/>
      <c r="P499" s="44"/>
      <c r="Q499" s="44"/>
      <c r="R499" s="43"/>
      <c r="S499" s="43"/>
      <c r="T499" s="45"/>
    </row>
    <row r="500" spans="1:20">
      <c r="A500" s="42">
        <v>499</v>
      </c>
      <c r="B500" s="43"/>
      <c r="C500" s="43"/>
      <c r="D500" s="43"/>
      <c r="E500" s="43"/>
      <c r="F500" s="43"/>
      <c r="G500" s="42"/>
      <c r="H500" s="43"/>
      <c r="I500" s="44"/>
      <c r="J500" s="44"/>
      <c r="K500" s="43"/>
      <c r="L500" s="43"/>
      <c r="M500" s="44"/>
      <c r="N500" s="43"/>
      <c r="O500" s="44"/>
      <c r="P500" s="44"/>
      <c r="Q500" s="44"/>
      <c r="R500" s="43"/>
      <c r="S500" s="43"/>
      <c r="T500" s="45"/>
    </row>
    <row r="501" spans="1:20">
      <c r="A501" s="42">
        <v>500</v>
      </c>
      <c r="B501" s="43"/>
      <c r="C501" s="43"/>
      <c r="D501" s="43"/>
      <c r="E501" s="43"/>
      <c r="F501" s="43"/>
      <c r="G501" s="42"/>
      <c r="H501" s="43"/>
      <c r="I501" s="44"/>
      <c r="J501" s="44"/>
      <c r="K501" s="43"/>
      <c r="L501" s="43"/>
      <c r="M501" s="44"/>
      <c r="N501" s="43"/>
      <c r="O501" s="44"/>
      <c r="P501" s="44"/>
      <c r="Q501" s="44"/>
      <c r="R501" s="43"/>
      <c r="S501" s="43"/>
      <c r="T501" s="45"/>
    </row>
    <row r="502" spans="1:20">
      <c r="A502" s="42">
        <v>501</v>
      </c>
      <c r="B502" s="43"/>
      <c r="C502" s="43"/>
      <c r="D502" s="43"/>
      <c r="E502" s="43"/>
      <c r="F502" s="43"/>
      <c r="G502" s="42"/>
      <c r="H502" s="43"/>
      <c r="I502" s="44"/>
      <c r="J502" s="44"/>
      <c r="K502" s="43"/>
      <c r="L502" s="43"/>
      <c r="M502" s="44"/>
      <c r="N502" s="43"/>
      <c r="O502" s="44"/>
      <c r="P502" s="44"/>
      <c r="Q502" s="44"/>
      <c r="R502" s="43"/>
      <c r="S502" s="43"/>
      <c r="T502" s="45"/>
    </row>
    <row r="503" spans="1:20">
      <c r="A503" s="42">
        <v>502</v>
      </c>
      <c r="B503" s="43"/>
      <c r="C503" s="43"/>
      <c r="D503" s="43"/>
      <c r="E503" s="43"/>
      <c r="F503" s="43"/>
      <c r="G503" s="42"/>
      <c r="H503" s="43"/>
      <c r="I503" s="44"/>
      <c r="J503" s="44"/>
      <c r="K503" s="43"/>
      <c r="L503" s="43"/>
      <c r="M503" s="44"/>
      <c r="N503" s="43"/>
      <c r="O503" s="44"/>
      <c r="P503" s="44"/>
      <c r="Q503" s="44"/>
      <c r="R503" s="43"/>
      <c r="S503" s="43"/>
      <c r="T503" s="45"/>
    </row>
    <row r="504" spans="1:20">
      <c r="A504" s="42">
        <v>503</v>
      </c>
      <c r="B504" s="43"/>
      <c r="C504" s="43"/>
      <c r="D504" s="43"/>
      <c r="E504" s="43"/>
      <c r="F504" s="43"/>
      <c r="G504" s="42"/>
      <c r="H504" s="43"/>
      <c r="I504" s="44"/>
      <c r="J504" s="44"/>
      <c r="K504" s="43"/>
      <c r="L504" s="43"/>
      <c r="M504" s="44"/>
      <c r="N504" s="43"/>
      <c r="O504" s="44"/>
      <c r="P504" s="44"/>
      <c r="Q504" s="44"/>
      <c r="R504" s="43"/>
      <c r="S504" s="43"/>
      <c r="T504" s="45"/>
    </row>
    <row r="505" spans="1:20">
      <c r="A505" s="42">
        <v>504</v>
      </c>
      <c r="B505" s="43"/>
      <c r="C505" s="43"/>
      <c r="D505" s="43"/>
      <c r="E505" s="43"/>
      <c r="F505" s="43"/>
      <c r="G505" s="42"/>
      <c r="H505" s="43"/>
      <c r="I505" s="44"/>
      <c r="J505" s="44"/>
      <c r="K505" s="43"/>
      <c r="L505" s="43"/>
      <c r="M505" s="44"/>
      <c r="N505" s="43"/>
      <c r="O505" s="44"/>
      <c r="P505" s="44"/>
      <c r="Q505" s="44"/>
      <c r="R505" s="43"/>
      <c r="S505" s="43"/>
      <c r="T505" s="45"/>
    </row>
    <row r="506" spans="1:20">
      <c r="A506" s="42">
        <v>505</v>
      </c>
      <c r="B506" s="43"/>
      <c r="C506" s="43"/>
      <c r="D506" s="43"/>
      <c r="E506" s="43"/>
      <c r="F506" s="43"/>
      <c r="G506" s="42"/>
      <c r="H506" s="43"/>
      <c r="I506" s="44"/>
      <c r="J506" s="44"/>
      <c r="K506" s="43"/>
      <c r="L506" s="43"/>
      <c r="M506" s="44"/>
      <c r="N506" s="43"/>
      <c r="O506" s="44"/>
      <c r="P506" s="44"/>
      <c r="Q506" s="44"/>
      <c r="R506" s="43"/>
      <c r="S506" s="43"/>
      <c r="T506" s="45"/>
    </row>
    <row r="507" spans="1:20">
      <c r="A507" s="42">
        <v>506</v>
      </c>
      <c r="B507" s="43"/>
      <c r="C507" s="43"/>
      <c r="D507" s="43"/>
      <c r="E507" s="43"/>
      <c r="F507" s="43"/>
      <c r="G507" s="42"/>
      <c r="H507" s="43"/>
      <c r="I507" s="44"/>
      <c r="J507" s="44"/>
      <c r="K507" s="43"/>
      <c r="L507" s="43"/>
      <c r="M507" s="44"/>
      <c r="N507" s="43"/>
      <c r="O507" s="44"/>
      <c r="P507" s="44"/>
      <c r="Q507" s="44"/>
      <c r="R507" s="43"/>
      <c r="S507" s="43"/>
      <c r="T507" s="45"/>
    </row>
    <row r="508" spans="1:20">
      <c r="A508" s="42">
        <v>507</v>
      </c>
      <c r="B508" s="43"/>
      <c r="C508" s="43"/>
      <c r="D508" s="43"/>
      <c r="E508" s="43"/>
      <c r="F508" s="43"/>
      <c r="G508" s="42"/>
      <c r="H508" s="43"/>
      <c r="I508" s="44"/>
      <c r="J508" s="44"/>
      <c r="K508" s="43"/>
      <c r="L508" s="43"/>
      <c r="M508" s="44"/>
      <c r="N508" s="43"/>
      <c r="O508" s="44"/>
      <c r="P508" s="44"/>
      <c r="Q508" s="44"/>
      <c r="R508" s="43"/>
      <c r="S508" s="43"/>
      <c r="T508" s="45"/>
    </row>
    <row r="509" spans="1:20">
      <c r="A509" s="42">
        <v>508</v>
      </c>
      <c r="B509" s="43"/>
      <c r="C509" s="43"/>
      <c r="D509" s="43"/>
      <c r="E509" s="43"/>
      <c r="F509" s="43"/>
      <c r="G509" s="42"/>
      <c r="H509" s="43"/>
      <c r="I509" s="44"/>
      <c r="J509" s="44"/>
      <c r="K509" s="43"/>
      <c r="L509" s="43"/>
      <c r="M509" s="44"/>
      <c r="N509" s="43"/>
      <c r="O509" s="44"/>
      <c r="P509" s="44"/>
      <c r="Q509" s="44"/>
      <c r="R509" s="43"/>
      <c r="S509" s="43"/>
      <c r="T509" s="45"/>
    </row>
    <row r="510" spans="1:20">
      <c r="A510" s="42">
        <v>509</v>
      </c>
      <c r="B510" s="43"/>
      <c r="C510" s="43"/>
      <c r="D510" s="43"/>
      <c r="E510" s="43"/>
      <c r="F510" s="43"/>
      <c r="G510" s="42"/>
      <c r="H510" s="43"/>
      <c r="I510" s="44"/>
      <c r="J510" s="44"/>
      <c r="K510" s="43"/>
      <c r="L510" s="43"/>
      <c r="M510" s="44"/>
      <c r="N510" s="43"/>
      <c r="O510" s="44"/>
      <c r="P510" s="44"/>
      <c r="Q510" s="44"/>
      <c r="R510" s="43"/>
      <c r="S510" s="43"/>
      <c r="T510" s="45"/>
    </row>
    <row r="511" spans="1:20">
      <c r="A511" s="42">
        <v>510</v>
      </c>
      <c r="B511" s="43"/>
      <c r="C511" s="43"/>
      <c r="D511" s="43"/>
      <c r="E511" s="43"/>
      <c r="F511" s="43"/>
      <c r="G511" s="42"/>
      <c r="H511" s="43"/>
      <c r="I511" s="44"/>
      <c r="J511" s="44"/>
      <c r="K511" s="43"/>
      <c r="L511" s="43"/>
      <c r="M511" s="44"/>
      <c r="N511" s="43"/>
      <c r="O511" s="44"/>
      <c r="P511" s="44"/>
      <c r="Q511" s="44"/>
      <c r="R511" s="43"/>
      <c r="S511" s="43"/>
      <c r="T511" s="45"/>
    </row>
    <row r="512" spans="1:20">
      <c r="A512" s="42">
        <v>511</v>
      </c>
      <c r="B512" s="43"/>
      <c r="C512" s="43"/>
      <c r="D512" s="43"/>
      <c r="E512" s="43"/>
      <c r="F512" s="43"/>
      <c r="G512" s="42"/>
      <c r="H512" s="43"/>
      <c r="I512" s="44"/>
      <c r="J512" s="44"/>
      <c r="K512" s="43"/>
      <c r="L512" s="43"/>
      <c r="M512" s="44"/>
      <c r="N512" s="43"/>
      <c r="O512" s="44"/>
      <c r="P512" s="44"/>
      <c r="Q512" s="44"/>
      <c r="R512" s="43"/>
      <c r="S512" s="43"/>
      <c r="T512" s="45"/>
    </row>
    <row r="513" spans="1:20">
      <c r="A513" s="42">
        <v>512</v>
      </c>
      <c r="B513" s="43"/>
      <c r="C513" s="43"/>
      <c r="D513" s="43"/>
      <c r="E513" s="43"/>
      <c r="F513" s="43"/>
      <c r="G513" s="42"/>
      <c r="H513" s="43"/>
      <c r="I513" s="44"/>
      <c r="J513" s="44"/>
      <c r="K513" s="43"/>
      <c r="L513" s="43"/>
      <c r="M513" s="44"/>
      <c r="N513" s="43"/>
      <c r="O513" s="44"/>
      <c r="P513" s="44"/>
      <c r="Q513" s="44"/>
      <c r="R513" s="43"/>
      <c r="S513" s="43"/>
      <c r="T513" s="45"/>
    </row>
    <row r="514" spans="1:20">
      <c r="A514" s="42">
        <v>513</v>
      </c>
      <c r="B514" s="43"/>
      <c r="C514" s="43"/>
      <c r="D514" s="43"/>
      <c r="E514" s="43"/>
      <c r="F514" s="43"/>
      <c r="G514" s="42"/>
      <c r="H514" s="43"/>
      <c r="I514" s="44"/>
      <c r="J514" s="44"/>
      <c r="K514" s="43"/>
      <c r="L514" s="43"/>
      <c r="M514" s="44"/>
      <c r="N514" s="43"/>
      <c r="O514" s="44"/>
      <c r="P514" s="44"/>
      <c r="Q514" s="44"/>
      <c r="R514" s="43"/>
      <c r="S514" s="43"/>
      <c r="T514" s="45"/>
    </row>
    <row r="515" spans="1:20">
      <c r="A515" s="42">
        <v>514</v>
      </c>
      <c r="B515" s="43"/>
      <c r="C515" s="43"/>
      <c r="D515" s="43"/>
      <c r="E515" s="43"/>
      <c r="F515" s="43"/>
      <c r="G515" s="42"/>
      <c r="H515" s="43"/>
      <c r="I515" s="44"/>
      <c r="J515" s="44"/>
      <c r="K515" s="43"/>
      <c r="L515" s="43"/>
      <c r="M515" s="44"/>
      <c r="N515" s="43"/>
      <c r="O515" s="44"/>
      <c r="P515" s="44"/>
      <c r="Q515" s="44"/>
      <c r="R515" s="43"/>
      <c r="S515" s="43"/>
      <c r="T515" s="45"/>
    </row>
    <row r="516" spans="1:20">
      <c r="A516" s="42">
        <v>515</v>
      </c>
      <c r="B516" s="43"/>
      <c r="C516" s="43"/>
      <c r="D516" s="43"/>
      <c r="E516" s="43"/>
      <c r="F516" s="43"/>
      <c r="G516" s="42"/>
      <c r="H516" s="43"/>
      <c r="I516" s="44"/>
      <c r="J516" s="44"/>
      <c r="K516" s="43"/>
      <c r="L516" s="43"/>
      <c r="M516" s="44"/>
      <c r="N516" s="43"/>
      <c r="O516" s="44"/>
      <c r="P516" s="44"/>
      <c r="Q516" s="44"/>
      <c r="R516" s="43"/>
      <c r="S516" s="43"/>
      <c r="T516" s="45"/>
    </row>
    <row r="517" spans="1:20">
      <c r="A517" s="42">
        <v>516</v>
      </c>
      <c r="B517" s="43"/>
      <c r="C517" s="43"/>
      <c r="D517" s="43"/>
      <c r="E517" s="43"/>
      <c r="F517" s="43"/>
      <c r="G517" s="42"/>
      <c r="H517" s="43"/>
      <c r="I517" s="44"/>
      <c r="J517" s="44"/>
      <c r="K517" s="43"/>
      <c r="L517" s="43"/>
      <c r="M517" s="44"/>
      <c r="N517" s="43"/>
      <c r="O517" s="44"/>
      <c r="P517" s="44"/>
      <c r="Q517" s="44"/>
      <c r="R517" s="43"/>
      <c r="S517" s="43"/>
      <c r="T517" s="45"/>
    </row>
    <row r="518" spans="1:20">
      <c r="A518" s="42">
        <v>517</v>
      </c>
      <c r="B518" s="43"/>
      <c r="C518" s="43"/>
      <c r="D518" s="43"/>
      <c r="E518" s="43"/>
      <c r="F518" s="43"/>
      <c r="G518" s="42"/>
      <c r="H518" s="43"/>
      <c r="I518" s="44"/>
      <c r="J518" s="44"/>
      <c r="K518" s="43"/>
      <c r="L518" s="43"/>
      <c r="M518" s="44"/>
      <c r="N518" s="43"/>
      <c r="O518" s="44"/>
      <c r="P518" s="44"/>
      <c r="Q518" s="44"/>
      <c r="R518" s="43"/>
      <c r="S518" s="43"/>
      <c r="T518" s="45"/>
    </row>
    <row r="519" spans="1:20">
      <c r="A519" s="42">
        <v>518</v>
      </c>
      <c r="B519" s="43"/>
      <c r="C519" s="43"/>
      <c r="D519" s="43"/>
      <c r="E519" s="43"/>
      <c r="F519" s="43"/>
      <c r="G519" s="42"/>
      <c r="H519" s="43"/>
      <c r="I519" s="44"/>
      <c r="J519" s="44"/>
      <c r="K519" s="43"/>
      <c r="L519" s="43"/>
      <c r="M519" s="44"/>
      <c r="N519" s="43"/>
      <c r="O519" s="44"/>
      <c r="P519" s="44"/>
      <c r="Q519" s="44"/>
      <c r="R519" s="43"/>
      <c r="S519" s="43"/>
      <c r="T519" s="45"/>
    </row>
    <row r="520" spans="1:20">
      <c r="A520" s="42">
        <v>519</v>
      </c>
      <c r="B520" s="43"/>
      <c r="C520" s="43"/>
      <c r="D520" s="43"/>
      <c r="E520" s="43"/>
      <c r="F520" s="43"/>
      <c r="G520" s="42"/>
      <c r="H520" s="43"/>
      <c r="I520" s="44"/>
      <c r="J520" s="44"/>
      <c r="K520" s="43"/>
      <c r="L520" s="43"/>
      <c r="M520" s="44"/>
      <c r="N520" s="43"/>
      <c r="O520" s="44"/>
      <c r="P520" s="44"/>
      <c r="Q520" s="44"/>
      <c r="R520" s="43"/>
      <c r="S520" s="43"/>
      <c r="T520" s="45"/>
    </row>
    <row r="521" spans="1:20">
      <c r="A521" s="42">
        <v>520</v>
      </c>
      <c r="B521" s="43"/>
      <c r="C521" s="43"/>
      <c r="D521" s="43"/>
      <c r="E521" s="43"/>
      <c r="F521" s="43"/>
      <c r="G521" s="42"/>
      <c r="H521" s="43"/>
      <c r="I521" s="44"/>
      <c r="J521" s="44"/>
      <c r="K521" s="43"/>
      <c r="L521" s="43"/>
      <c r="M521" s="44"/>
      <c r="N521" s="43"/>
      <c r="O521" s="44"/>
      <c r="P521" s="44"/>
      <c r="Q521" s="44"/>
      <c r="R521" s="43"/>
      <c r="S521" s="43"/>
      <c r="T521" s="45"/>
    </row>
    <row r="522" spans="1:20">
      <c r="A522" s="42">
        <v>521</v>
      </c>
      <c r="B522" s="43"/>
      <c r="C522" s="43"/>
      <c r="D522" s="43"/>
      <c r="E522" s="43"/>
      <c r="F522" s="43"/>
      <c r="G522" s="42"/>
      <c r="H522" s="43"/>
      <c r="I522" s="44"/>
      <c r="J522" s="44"/>
      <c r="K522" s="43"/>
      <c r="L522" s="43"/>
      <c r="M522" s="44"/>
      <c r="N522" s="43"/>
      <c r="O522" s="44"/>
      <c r="P522" s="44"/>
      <c r="Q522" s="44"/>
      <c r="R522" s="43"/>
      <c r="S522" s="43"/>
      <c r="T522" s="45"/>
    </row>
    <row r="523" spans="1:20">
      <c r="A523" s="42">
        <v>522</v>
      </c>
      <c r="B523" s="43"/>
      <c r="C523" s="43"/>
      <c r="D523" s="43"/>
      <c r="E523" s="43"/>
      <c r="F523" s="43"/>
      <c r="G523" s="42"/>
      <c r="H523" s="43"/>
      <c r="I523" s="44"/>
      <c r="J523" s="44"/>
      <c r="K523" s="43"/>
      <c r="L523" s="43"/>
      <c r="M523" s="44"/>
      <c r="N523" s="43"/>
      <c r="O523" s="44"/>
      <c r="P523" s="44"/>
      <c r="Q523" s="44"/>
      <c r="R523" s="43"/>
      <c r="S523" s="43"/>
      <c r="T523" s="45"/>
    </row>
    <row r="524" spans="1:20">
      <c r="A524" s="42">
        <v>523</v>
      </c>
      <c r="B524" s="43"/>
      <c r="C524" s="43"/>
      <c r="D524" s="43"/>
      <c r="E524" s="43"/>
      <c r="F524" s="43"/>
      <c r="G524" s="42"/>
      <c r="H524" s="43"/>
      <c r="I524" s="44"/>
      <c r="J524" s="44"/>
      <c r="K524" s="43"/>
      <c r="L524" s="43"/>
      <c r="M524" s="44"/>
      <c r="N524" s="43"/>
      <c r="O524" s="44"/>
      <c r="P524" s="44"/>
      <c r="Q524" s="44"/>
      <c r="R524" s="43"/>
      <c r="S524" s="43"/>
      <c r="T524" s="45"/>
    </row>
    <row r="525" spans="1:20">
      <c r="A525" s="42">
        <v>524</v>
      </c>
      <c r="B525" s="43"/>
      <c r="C525" s="43"/>
      <c r="D525" s="43"/>
      <c r="E525" s="43"/>
      <c r="F525" s="43"/>
      <c r="G525" s="42"/>
      <c r="H525" s="43"/>
      <c r="I525" s="44"/>
      <c r="J525" s="44"/>
      <c r="K525" s="43"/>
      <c r="L525" s="43"/>
      <c r="M525" s="44"/>
      <c r="N525" s="43"/>
      <c r="O525" s="44"/>
      <c r="P525" s="44"/>
      <c r="Q525" s="44"/>
      <c r="R525" s="43"/>
      <c r="S525" s="43"/>
      <c r="T525" s="45"/>
    </row>
    <row r="526" spans="1:20">
      <c r="A526" s="42">
        <v>525</v>
      </c>
      <c r="B526" s="43"/>
      <c r="C526" s="43"/>
      <c r="D526" s="43"/>
      <c r="E526" s="43"/>
      <c r="F526" s="43"/>
      <c r="G526" s="42"/>
      <c r="H526" s="43"/>
      <c r="I526" s="44"/>
      <c r="J526" s="44"/>
      <c r="K526" s="43"/>
      <c r="L526" s="43"/>
      <c r="M526" s="44"/>
      <c r="N526" s="43"/>
      <c r="O526" s="44"/>
      <c r="P526" s="44"/>
      <c r="Q526" s="44"/>
      <c r="R526" s="43"/>
      <c r="S526" s="43"/>
      <c r="T526" s="45"/>
    </row>
    <row r="527" spans="1:20">
      <c r="A527" s="42">
        <v>526</v>
      </c>
      <c r="B527" s="43"/>
      <c r="C527" s="43"/>
      <c r="D527" s="43"/>
      <c r="E527" s="43"/>
      <c r="F527" s="43"/>
      <c r="G527" s="42"/>
      <c r="H527" s="43"/>
      <c r="I527" s="44"/>
      <c r="J527" s="44"/>
      <c r="K527" s="43"/>
      <c r="L527" s="43"/>
      <c r="M527" s="44"/>
      <c r="N527" s="43"/>
      <c r="O527" s="44"/>
      <c r="P527" s="44"/>
      <c r="Q527" s="44"/>
      <c r="R527" s="43"/>
      <c r="S527" s="43"/>
      <c r="T527" s="45"/>
    </row>
    <row r="528" spans="1:20">
      <c r="A528" s="42">
        <v>527</v>
      </c>
      <c r="B528" s="43"/>
      <c r="C528" s="43"/>
      <c r="D528" s="43"/>
      <c r="E528" s="43"/>
      <c r="F528" s="43"/>
      <c r="G528" s="42"/>
      <c r="H528" s="43"/>
      <c r="I528" s="44"/>
      <c r="J528" s="44"/>
      <c r="K528" s="43"/>
      <c r="L528" s="43"/>
      <c r="M528" s="44"/>
      <c r="N528" s="43"/>
      <c r="O528" s="44"/>
      <c r="P528" s="44"/>
      <c r="Q528" s="44"/>
      <c r="R528" s="43"/>
      <c r="S528" s="43"/>
      <c r="T528" s="45"/>
    </row>
    <row r="529" spans="1:20">
      <c r="A529" s="42">
        <v>528</v>
      </c>
      <c r="B529" s="43"/>
      <c r="C529" s="43"/>
      <c r="D529" s="43"/>
      <c r="E529" s="43"/>
      <c r="F529" s="43"/>
      <c r="G529" s="42"/>
      <c r="H529" s="43"/>
      <c r="I529" s="44"/>
      <c r="J529" s="44"/>
      <c r="K529" s="43"/>
      <c r="L529" s="43"/>
      <c r="M529" s="44"/>
      <c r="N529" s="43"/>
      <c r="O529" s="44"/>
      <c r="P529" s="44"/>
      <c r="Q529" s="44"/>
      <c r="R529" s="43"/>
      <c r="S529" s="43"/>
      <c r="T529" s="45"/>
    </row>
    <row r="530" spans="1:20">
      <c r="A530" s="42">
        <v>529</v>
      </c>
      <c r="B530" s="43"/>
      <c r="C530" s="43"/>
      <c r="D530" s="43"/>
      <c r="E530" s="43"/>
      <c r="F530" s="43"/>
      <c r="G530" s="42"/>
      <c r="H530" s="43"/>
      <c r="I530" s="44"/>
      <c r="J530" s="44"/>
      <c r="K530" s="43"/>
      <c r="L530" s="43"/>
      <c r="M530" s="44"/>
      <c r="N530" s="43"/>
      <c r="O530" s="44"/>
      <c r="P530" s="44"/>
      <c r="Q530" s="44"/>
      <c r="R530" s="43"/>
      <c r="S530" s="43"/>
      <c r="T530" s="45"/>
    </row>
    <row r="531" spans="1:20">
      <c r="A531" s="42">
        <v>530</v>
      </c>
      <c r="B531" s="43"/>
      <c r="C531" s="43"/>
      <c r="D531" s="43"/>
      <c r="E531" s="43"/>
      <c r="F531" s="43"/>
      <c r="G531" s="42"/>
      <c r="H531" s="43"/>
      <c r="I531" s="44"/>
      <c r="J531" s="44"/>
      <c r="K531" s="43"/>
      <c r="L531" s="43"/>
      <c r="M531" s="44"/>
      <c r="N531" s="43"/>
      <c r="O531" s="44"/>
      <c r="P531" s="44"/>
      <c r="Q531" s="44"/>
      <c r="R531" s="43"/>
      <c r="S531" s="43"/>
      <c r="T531" s="45"/>
    </row>
    <row r="532" spans="1:20">
      <c r="A532" s="42">
        <v>531</v>
      </c>
      <c r="B532" s="43"/>
      <c r="C532" s="43"/>
      <c r="D532" s="43"/>
      <c r="E532" s="43"/>
      <c r="F532" s="43"/>
      <c r="G532" s="42"/>
      <c r="H532" s="43"/>
      <c r="I532" s="44"/>
      <c r="J532" s="44"/>
      <c r="K532" s="43"/>
      <c r="L532" s="43"/>
      <c r="M532" s="44"/>
      <c r="N532" s="43"/>
      <c r="O532" s="44"/>
      <c r="P532" s="44"/>
      <c r="Q532" s="44"/>
      <c r="R532" s="43"/>
      <c r="S532" s="43"/>
      <c r="T532" s="45"/>
    </row>
    <row r="533" spans="1:20">
      <c r="A533" s="42">
        <v>532</v>
      </c>
      <c r="B533" s="43"/>
      <c r="C533" s="43"/>
      <c r="D533" s="43"/>
      <c r="E533" s="43"/>
      <c r="F533" s="43"/>
      <c r="G533" s="42"/>
      <c r="H533" s="43"/>
      <c r="I533" s="44"/>
      <c r="J533" s="44"/>
      <c r="K533" s="43"/>
      <c r="L533" s="43"/>
      <c r="M533" s="44"/>
      <c r="N533" s="43"/>
      <c r="O533" s="44"/>
      <c r="P533" s="44"/>
      <c r="Q533" s="44"/>
      <c r="R533" s="43"/>
      <c r="S533" s="43"/>
      <c r="T533" s="45"/>
    </row>
    <row r="534" spans="1:20">
      <c r="A534" s="42">
        <v>533</v>
      </c>
      <c r="B534" s="43"/>
      <c r="C534" s="43"/>
      <c r="D534" s="43"/>
      <c r="E534" s="43"/>
      <c r="F534" s="43"/>
      <c r="G534" s="42"/>
      <c r="H534" s="43"/>
      <c r="I534" s="44"/>
      <c r="J534" s="44"/>
      <c r="K534" s="43"/>
      <c r="L534" s="43"/>
      <c r="M534" s="44"/>
      <c r="N534" s="43"/>
      <c r="O534" s="44"/>
      <c r="P534" s="44"/>
      <c r="Q534" s="44"/>
      <c r="R534" s="43"/>
      <c r="S534" s="43"/>
      <c r="T534" s="45"/>
    </row>
    <row r="535" spans="1:20">
      <c r="A535" s="42">
        <v>534</v>
      </c>
      <c r="B535" s="43"/>
      <c r="C535" s="43"/>
      <c r="D535" s="43"/>
      <c r="E535" s="43"/>
      <c r="F535" s="43"/>
      <c r="G535" s="42"/>
      <c r="H535" s="43"/>
      <c r="I535" s="44"/>
      <c r="J535" s="44"/>
      <c r="K535" s="43"/>
      <c r="L535" s="43"/>
      <c r="M535" s="44"/>
      <c r="N535" s="43"/>
      <c r="O535" s="44"/>
      <c r="P535" s="44"/>
      <c r="Q535" s="44"/>
      <c r="R535" s="43"/>
      <c r="S535" s="43"/>
      <c r="T535" s="45"/>
    </row>
    <row r="536" spans="1:20">
      <c r="A536" s="42">
        <v>535</v>
      </c>
      <c r="B536" s="43"/>
      <c r="C536" s="43"/>
      <c r="D536" s="43"/>
      <c r="E536" s="43"/>
      <c r="F536" s="43"/>
      <c r="G536" s="42"/>
      <c r="H536" s="43"/>
      <c r="I536" s="44"/>
      <c r="J536" s="44"/>
      <c r="K536" s="43"/>
      <c r="L536" s="43"/>
      <c r="M536" s="44"/>
      <c r="N536" s="43"/>
      <c r="O536" s="44"/>
      <c r="P536" s="44"/>
      <c r="Q536" s="44"/>
      <c r="R536" s="43"/>
      <c r="S536" s="43"/>
      <c r="T536" s="45"/>
    </row>
    <row r="537" spans="1:20">
      <c r="A537" s="42">
        <v>536</v>
      </c>
      <c r="B537" s="43"/>
      <c r="C537" s="43"/>
      <c r="D537" s="43"/>
      <c r="E537" s="43"/>
      <c r="F537" s="43"/>
      <c r="G537" s="42"/>
      <c r="H537" s="43"/>
      <c r="I537" s="44"/>
      <c r="J537" s="44"/>
      <c r="K537" s="43"/>
      <c r="L537" s="43"/>
      <c r="M537" s="44"/>
      <c r="N537" s="43"/>
      <c r="O537" s="44"/>
      <c r="P537" s="44"/>
      <c r="Q537" s="44"/>
      <c r="R537" s="43"/>
      <c r="S537" s="43"/>
      <c r="T537" s="45"/>
    </row>
    <row r="538" spans="1:20">
      <c r="A538" s="42">
        <v>537</v>
      </c>
      <c r="B538" s="43"/>
      <c r="C538" s="43"/>
      <c r="D538" s="43"/>
      <c r="E538" s="43"/>
      <c r="F538" s="43"/>
      <c r="G538" s="42"/>
      <c r="H538" s="43"/>
      <c r="I538" s="44"/>
      <c r="J538" s="44"/>
      <c r="K538" s="43"/>
      <c r="L538" s="43"/>
      <c r="M538" s="44"/>
      <c r="N538" s="43"/>
      <c r="O538" s="44"/>
      <c r="P538" s="44"/>
      <c r="Q538" s="44"/>
      <c r="R538" s="43"/>
      <c r="S538" s="43"/>
      <c r="T538" s="45"/>
    </row>
    <row r="539" spans="1:20">
      <c r="A539" s="42">
        <v>538</v>
      </c>
      <c r="B539" s="43"/>
      <c r="C539" s="43"/>
      <c r="D539" s="43"/>
      <c r="E539" s="43"/>
      <c r="F539" s="43"/>
      <c r="G539" s="42"/>
      <c r="H539" s="43"/>
      <c r="I539" s="44"/>
      <c r="J539" s="44"/>
      <c r="K539" s="43"/>
      <c r="L539" s="43"/>
      <c r="M539" s="44"/>
      <c r="N539" s="43"/>
      <c r="O539" s="44"/>
      <c r="P539" s="44"/>
      <c r="Q539" s="44"/>
      <c r="R539" s="43"/>
      <c r="S539" s="43"/>
      <c r="T539" s="45"/>
    </row>
    <row r="540" spans="1:20">
      <c r="A540" s="42">
        <v>539</v>
      </c>
      <c r="B540" s="43"/>
      <c r="C540" s="43"/>
      <c r="D540" s="43"/>
      <c r="E540" s="43"/>
      <c r="F540" s="43"/>
      <c r="G540" s="42"/>
      <c r="H540" s="43"/>
      <c r="I540" s="44"/>
      <c r="J540" s="44"/>
      <c r="K540" s="43"/>
      <c r="L540" s="43"/>
      <c r="M540" s="44"/>
      <c r="N540" s="43"/>
      <c r="O540" s="44"/>
      <c r="P540" s="44"/>
      <c r="Q540" s="44"/>
      <c r="R540" s="43"/>
      <c r="S540" s="43"/>
      <c r="T540" s="45"/>
    </row>
    <row r="541" spans="1:20">
      <c r="A541" s="42">
        <v>540</v>
      </c>
      <c r="B541" s="43"/>
      <c r="C541" s="43"/>
      <c r="D541" s="43"/>
      <c r="E541" s="43"/>
      <c r="F541" s="43"/>
      <c r="G541" s="42"/>
      <c r="H541" s="43"/>
      <c r="I541" s="44"/>
      <c r="J541" s="44"/>
      <c r="K541" s="43"/>
      <c r="L541" s="43"/>
      <c r="M541" s="44"/>
      <c r="N541" s="43"/>
      <c r="O541" s="44"/>
      <c r="P541" s="44"/>
      <c r="Q541" s="44"/>
      <c r="R541" s="43"/>
      <c r="S541" s="43"/>
      <c r="T541" s="45"/>
    </row>
    <row r="542" spans="1:20">
      <c r="A542" s="42">
        <v>541</v>
      </c>
      <c r="B542" s="43"/>
      <c r="C542" s="43"/>
      <c r="D542" s="43"/>
      <c r="E542" s="43"/>
      <c r="F542" s="43"/>
      <c r="G542" s="42"/>
      <c r="H542" s="43"/>
      <c r="I542" s="44"/>
      <c r="J542" s="44"/>
      <c r="K542" s="43"/>
      <c r="L542" s="43"/>
      <c r="M542" s="44"/>
      <c r="N542" s="43"/>
      <c r="O542" s="44"/>
      <c r="P542" s="44"/>
      <c r="Q542" s="44"/>
      <c r="R542" s="43"/>
      <c r="S542" s="43"/>
      <c r="T542" s="45"/>
    </row>
    <row r="543" spans="1:20">
      <c r="A543" s="42">
        <v>542</v>
      </c>
      <c r="B543" s="43"/>
      <c r="C543" s="43"/>
      <c r="D543" s="43"/>
      <c r="E543" s="43"/>
      <c r="F543" s="43"/>
      <c r="G543" s="42"/>
      <c r="H543" s="43"/>
      <c r="I543" s="44"/>
      <c r="J543" s="44"/>
      <c r="K543" s="43"/>
      <c r="L543" s="43"/>
      <c r="M543" s="44"/>
      <c r="N543" s="43"/>
      <c r="O543" s="44"/>
      <c r="P543" s="44"/>
      <c r="Q543" s="44"/>
      <c r="R543" s="43"/>
      <c r="S543" s="43"/>
      <c r="T543" s="45"/>
    </row>
    <row r="544" spans="1:20">
      <c r="A544" s="42">
        <v>543</v>
      </c>
      <c r="B544" s="43"/>
      <c r="C544" s="43"/>
      <c r="D544" s="43"/>
      <c r="E544" s="43"/>
      <c r="F544" s="43"/>
      <c r="G544" s="42"/>
      <c r="H544" s="43"/>
      <c r="I544" s="44"/>
      <c r="J544" s="44"/>
      <c r="K544" s="43"/>
      <c r="L544" s="43"/>
      <c r="M544" s="44"/>
      <c r="N544" s="43"/>
      <c r="O544" s="44"/>
      <c r="P544" s="44"/>
      <c r="Q544" s="44"/>
      <c r="R544" s="43"/>
      <c r="S544" s="43"/>
      <c r="T544" s="45"/>
    </row>
    <row r="545" spans="1:20">
      <c r="A545" s="42">
        <v>544</v>
      </c>
      <c r="B545" s="43"/>
      <c r="C545" s="43"/>
      <c r="D545" s="43"/>
      <c r="E545" s="43"/>
      <c r="F545" s="43"/>
      <c r="G545" s="42"/>
      <c r="H545" s="43"/>
      <c r="I545" s="44"/>
      <c r="J545" s="44"/>
      <c r="K545" s="43"/>
      <c r="L545" s="43"/>
      <c r="M545" s="44"/>
      <c r="N545" s="43"/>
      <c r="O545" s="44"/>
      <c r="P545" s="44"/>
      <c r="Q545" s="44"/>
      <c r="R545" s="43"/>
      <c r="S545" s="43"/>
      <c r="T545" s="45"/>
    </row>
    <row r="546" spans="1:20">
      <c r="A546" s="42">
        <v>545</v>
      </c>
      <c r="B546" s="43"/>
      <c r="C546" s="43"/>
      <c r="D546" s="43"/>
      <c r="E546" s="43"/>
      <c r="F546" s="43"/>
      <c r="G546" s="42"/>
      <c r="H546" s="43"/>
      <c r="I546" s="44"/>
      <c r="J546" s="44"/>
      <c r="K546" s="43"/>
      <c r="L546" s="43"/>
      <c r="M546" s="44"/>
      <c r="N546" s="43"/>
      <c r="O546" s="44"/>
      <c r="P546" s="44"/>
      <c r="Q546" s="44"/>
      <c r="R546" s="43"/>
      <c r="S546" s="43"/>
      <c r="T546" s="45"/>
    </row>
    <row r="547" spans="1:20">
      <c r="A547" s="42">
        <v>546</v>
      </c>
      <c r="B547" s="43"/>
      <c r="C547" s="43"/>
      <c r="D547" s="43"/>
      <c r="E547" s="43"/>
      <c r="F547" s="43"/>
      <c r="G547" s="42"/>
      <c r="H547" s="43"/>
      <c r="I547" s="44"/>
      <c r="J547" s="44"/>
      <c r="K547" s="43"/>
      <c r="L547" s="43"/>
      <c r="M547" s="44"/>
      <c r="N547" s="43"/>
      <c r="O547" s="44"/>
      <c r="P547" s="44"/>
      <c r="Q547" s="44"/>
      <c r="R547" s="43"/>
      <c r="S547" s="43"/>
      <c r="T547" s="45"/>
    </row>
    <row r="548" spans="1:20">
      <c r="A548" s="42">
        <v>547</v>
      </c>
      <c r="B548" s="43"/>
      <c r="C548" s="43"/>
      <c r="D548" s="43"/>
      <c r="E548" s="43"/>
      <c r="F548" s="43"/>
      <c r="G548" s="42"/>
      <c r="H548" s="43"/>
      <c r="I548" s="44"/>
      <c r="J548" s="44"/>
      <c r="K548" s="43"/>
      <c r="L548" s="43"/>
      <c r="M548" s="44"/>
      <c r="N548" s="43"/>
      <c r="O548" s="44"/>
      <c r="P548" s="44"/>
      <c r="Q548" s="44"/>
      <c r="R548" s="43"/>
      <c r="S548" s="43"/>
      <c r="T548" s="45"/>
    </row>
    <row r="549" spans="1:20">
      <c r="A549" s="42">
        <v>548</v>
      </c>
      <c r="B549" s="43"/>
      <c r="C549" s="43"/>
      <c r="D549" s="43"/>
      <c r="E549" s="43"/>
      <c r="F549" s="43"/>
      <c r="G549" s="42"/>
      <c r="H549" s="43"/>
      <c r="I549" s="44"/>
      <c r="J549" s="44"/>
      <c r="K549" s="43"/>
      <c r="L549" s="43"/>
      <c r="M549" s="44"/>
      <c r="N549" s="43"/>
      <c r="O549" s="44"/>
      <c r="P549" s="44"/>
      <c r="Q549" s="44"/>
      <c r="R549" s="43"/>
      <c r="S549" s="43"/>
      <c r="T549" s="45"/>
    </row>
    <row r="550" spans="1:20">
      <c r="A550" s="42">
        <v>549</v>
      </c>
      <c r="B550" s="43"/>
      <c r="C550" s="43"/>
      <c r="D550" s="43"/>
      <c r="E550" s="43"/>
      <c r="F550" s="43"/>
      <c r="G550" s="42"/>
      <c r="H550" s="43"/>
      <c r="I550" s="44"/>
      <c r="J550" s="44"/>
      <c r="K550" s="43"/>
      <c r="L550" s="43"/>
      <c r="M550" s="44"/>
      <c r="N550" s="43"/>
      <c r="O550" s="44"/>
      <c r="P550" s="44"/>
      <c r="Q550" s="44"/>
      <c r="R550" s="43"/>
      <c r="S550" s="43"/>
      <c r="T550" s="45"/>
    </row>
    <row r="551" spans="1:20">
      <c r="A551" s="42">
        <v>550</v>
      </c>
      <c r="B551" s="43"/>
      <c r="C551" s="43"/>
      <c r="D551" s="43"/>
      <c r="E551" s="43"/>
      <c r="F551" s="43"/>
      <c r="G551" s="42"/>
      <c r="H551" s="43"/>
      <c r="I551" s="44"/>
      <c r="J551" s="44"/>
      <c r="K551" s="43"/>
      <c r="L551" s="43"/>
      <c r="M551" s="44"/>
      <c r="N551" s="43"/>
      <c r="O551" s="44"/>
      <c r="P551" s="44"/>
      <c r="Q551" s="44"/>
      <c r="R551" s="43"/>
      <c r="S551" s="43"/>
      <c r="T551" s="45"/>
    </row>
    <row r="552" spans="1:20">
      <c r="A552" s="42">
        <v>551</v>
      </c>
      <c r="B552" s="43"/>
      <c r="C552" s="43"/>
      <c r="D552" s="43"/>
      <c r="E552" s="43"/>
      <c r="F552" s="43"/>
      <c r="G552" s="42"/>
      <c r="H552" s="43"/>
      <c r="I552" s="44"/>
      <c r="J552" s="44"/>
      <c r="K552" s="43"/>
      <c r="L552" s="43"/>
      <c r="M552" s="44"/>
      <c r="N552" s="43"/>
      <c r="O552" s="44"/>
      <c r="P552" s="44"/>
      <c r="Q552" s="44"/>
      <c r="R552" s="43"/>
      <c r="S552" s="43"/>
      <c r="T552" s="45"/>
    </row>
    <row r="553" spans="1:20">
      <c r="A553" s="42">
        <v>552</v>
      </c>
      <c r="B553" s="43"/>
      <c r="C553" s="43"/>
      <c r="D553" s="43"/>
      <c r="E553" s="43"/>
      <c r="F553" s="43"/>
      <c r="G553" s="42"/>
      <c r="H553" s="43"/>
      <c r="I553" s="44"/>
      <c r="J553" s="44"/>
      <c r="K553" s="43"/>
      <c r="L553" s="43"/>
      <c r="M553" s="44"/>
      <c r="N553" s="43"/>
      <c r="O553" s="44"/>
      <c r="P553" s="44"/>
      <c r="Q553" s="44"/>
      <c r="R553" s="43"/>
      <c r="S553" s="43"/>
      <c r="T553" s="45"/>
    </row>
    <row r="554" spans="1:20">
      <c r="A554" s="42">
        <v>553</v>
      </c>
      <c r="B554" s="43"/>
      <c r="C554" s="43"/>
      <c r="D554" s="43"/>
      <c r="E554" s="43"/>
      <c r="F554" s="43"/>
      <c r="G554" s="42"/>
      <c r="H554" s="43"/>
      <c r="I554" s="44"/>
      <c r="J554" s="44"/>
      <c r="K554" s="43"/>
      <c r="L554" s="43"/>
      <c r="M554" s="44"/>
      <c r="N554" s="43"/>
      <c r="O554" s="44"/>
      <c r="P554" s="44"/>
      <c r="Q554" s="44"/>
      <c r="R554" s="43"/>
      <c r="S554" s="43"/>
      <c r="T554" s="45"/>
    </row>
    <row r="555" spans="1:20">
      <c r="A555" s="42">
        <v>554</v>
      </c>
      <c r="B555" s="43"/>
      <c r="C555" s="43"/>
      <c r="D555" s="43"/>
      <c r="E555" s="43"/>
      <c r="F555" s="43"/>
      <c r="G555" s="42"/>
      <c r="H555" s="43"/>
      <c r="I555" s="44"/>
      <c r="J555" s="44"/>
      <c r="K555" s="43"/>
      <c r="L555" s="43"/>
      <c r="M555" s="44"/>
      <c r="N555" s="43"/>
      <c r="O555" s="44"/>
      <c r="P555" s="44"/>
      <c r="Q555" s="44"/>
      <c r="R555" s="43"/>
      <c r="S555" s="43"/>
      <c r="T555" s="45"/>
    </row>
    <row r="556" spans="1:20">
      <c r="A556" s="42">
        <v>555</v>
      </c>
      <c r="B556" s="43"/>
      <c r="C556" s="43"/>
      <c r="D556" s="43"/>
      <c r="E556" s="43"/>
      <c r="F556" s="43"/>
      <c r="G556" s="42"/>
      <c r="H556" s="43"/>
      <c r="I556" s="44"/>
      <c r="J556" s="44"/>
      <c r="K556" s="43"/>
      <c r="L556" s="43"/>
      <c r="M556" s="44"/>
      <c r="N556" s="43"/>
      <c r="O556" s="44"/>
      <c r="P556" s="44"/>
      <c r="Q556" s="44"/>
      <c r="R556" s="43"/>
      <c r="S556" s="43"/>
      <c r="T556" s="45"/>
    </row>
    <row r="557" spans="1:20">
      <c r="A557" s="42">
        <v>556</v>
      </c>
      <c r="B557" s="43"/>
      <c r="C557" s="43"/>
      <c r="D557" s="43"/>
      <c r="E557" s="43"/>
      <c r="F557" s="43"/>
      <c r="G557" s="42"/>
      <c r="H557" s="43"/>
      <c r="I557" s="44"/>
      <c r="J557" s="44"/>
      <c r="K557" s="43"/>
      <c r="L557" s="43"/>
      <c r="M557" s="44"/>
      <c r="N557" s="43"/>
      <c r="O557" s="44"/>
      <c r="P557" s="44"/>
      <c r="Q557" s="44"/>
      <c r="R557" s="43"/>
      <c r="S557" s="43"/>
      <c r="T557" s="45"/>
    </row>
    <row r="558" spans="1:20">
      <c r="A558" s="42">
        <v>557</v>
      </c>
      <c r="B558" s="43"/>
      <c r="C558" s="43"/>
      <c r="D558" s="43"/>
      <c r="E558" s="43"/>
      <c r="F558" s="43"/>
      <c r="G558" s="42"/>
      <c r="H558" s="43"/>
      <c r="I558" s="44"/>
      <c r="J558" s="44"/>
      <c r="K558" s="43"/>
      <c r="L558" s="43"/>
      <c r="M558" s="44"/>
      <c r="N558" s="43"/>
      <c r="O558" s="44"/>
      <c r="P558" s="44"/>
      <c r="Q558" s="44"/>
      <c r="R558" s="43"/>
      <c r="S558" s="43"/>
      <c r="T558" s="45"/>
    </row>
    <row r="559" spans="1:20">
      <c r="A559" s="42">
        <v>558</v>
      </c>
      <c r="B559" s="43"/>
      <c r="C559" s="43"/>
      <c r="D559" s="43"/>
      <c r="E559" s="43"/>
      <c r="F559" s="43"/>
      <c r="G559" s="42"/>
      <c r="H559" s="43"/>
      <c r="I559" s="44"/>
      <c r="J559" s="44"/>
      <c r="K559" s="43"/>
      <c r="L559" s="43"/>
      <c r="M559" s="44"/>
      <c r="N559" s="43"/>
      <c r="O559" s="44"/>
      <c r="P559" s="44"/>
      <c r="Q559" s="44"/>
      <c r="R559" s="43"/>
      <c r="S559" s="43"/>
      <c r="T559" s="45"/>
    </row>
    <row r="560" spans="1:20">
      <c r="A560" s="42">
        <v>559</v>
      </c>
      <c r="B560" s="43"/>
      <c r="C560" s="43"/>
      <c r="D560" s="43"/>
      <c r="E560" s="43"/>
      <c r="F560" s="43"/>
      <c r="G560" s="42"/>
      <c r="H560" s="43"/>
      <c r="I560" s="44"/>
      <c r="J560" s="44"/>
      <c r="K560" s="43"/>
      <c r="L560" s="43"/>
      <c r="M560" s="44"/>
      <c r="N560" s="43"/>
      <c r="O560" s="44"/>
      <c r="P560" s="44"/>
      <c r="Q560" s="44"/>
      <c r="R560" s="43"/>
      <c r="S560" s="43"/>
      <c r="T560" s="45"/>
    </row>
    <row r="561" spans="1:20">
      <c r="A561" s="42">
        <v>560</v>
      </c>
      <c r="B561" s="43"/>
      <c r="C561" s="43"/>
      <c r="D561" s="43"/>
      <c r="E561" s="43"/>
      <c r="F561" s="43"/>
      <c r="G561" s="42"/>
      <c r="H561" s="43"/>
      <c r="I561" s="44"/>
      <c r="J561" s="44"/>
      <c r="K561" s="43"/>
      <c r="L561" s="43"/>
      <c r="M561" s="44"/>
      <c r="N561" s="43"/>
      <c r="O561" s="44"/>
      <c r="P561" s="44"/>
      <c r="Q561" s="44"/>
      <c r="R561" s="43"/>
      <c r="S561" s="43"/>
      <c r="T561" s="45"/>
    </row>
    <row r="562" spans="1:20">
      <c r="A562" s="42">
        <v>561</v>
      </c>
      <c r="B562" s="43"/>
      <c r="C562" s="43"/>
      <c r="D562" s="43"/>
      <c r="E562" s="43"/>
      <c r="F562" s="43"/>
      <c r="G562" s="42"/>
      <c r="H562" s="43"/>
      <c r="I562" s="44"/>
      <c r="J562" s="44"/>
      <c r="K562" s="43"/>
      <c r="L562" s="43"/>
      <c r="M562" s="44"/>
      <c r="N562" s="43"/>
      <c r="O562" s="44"/>
      <c r="P562" s="44"/>
      <c r="Q562" s="44"/>
      <c r="R562" s="43"/>
      <c r="S562" s="43"/>
      <c r="T562" s="45"/>
    </row>
    <row r="563" spans="1:20">
      <c r="A563" s="42">
        <v>562</v>
      </c>
      <c r="B563" s="43"/>
      <c r="C563" s="43"/>
      <c r="D563" s="43"/>
      <c r="E563" s="43"/>
      <c r="F563" s="43"/>
      <c r="G563" s="42"/>
      <c r="H563" s="43"/>
      <c r="I563" s="44"/>
      <c r="J563" s="44"/>
      <c r="K563" s="43"/>
      <c r="L563" s="43"/>
      <c r="M563" s="44"/>
      <c r="N563" s="43"/>
      <c r="O563" s="44"/>
      <c r="P563" s="44"/>
      <c r="Q563" s="44"/>
      <c r="R563" s="43"/>
      <c r="S563" s="43"/>
      <c r="T563" s="45"/>
    </row>
    <row r="564" spans="1:20">
      <c r="A564" s="42">
        <v>563</v>
      </c>
      <c r="B564" s="43"/>
      <c r="C564" s="43"/>
      <c r="D564" s="43"/>
      <c r="E564" s="43"/>
      <c r="F564" s="43"/>
      <c r="G564" s="42"/>
      <c r="H564" s="43"/>
      <c r="I564" s="44"/>
      <c r="J564" s="44"/>
      <c r="K564" s="43"/>
      <c r="L564" s="43"/>
      <c r="M564" s="44"/>
      <c r="N564" s="43"/>
      <c r="O564" s="44"/>
      <c r="P564" s="44"/>
      <c r="Q564" s="44"/>
      <c r="R564" s="43"/>
      <c r="S564" s="43"/>
      <c r="T564" s="45"/>
    </row>
    <row r="565" spans="1:20">
      <c r="A565" s="42">
        <v>564</v>
      </c>
      <c r="B565" s="43"/>
      <c r="C565" s="43"/>
      <c r="D565" s="43"/>
      <c r="E565" s="43"/>
      <c r="F565" s="43"/>
      <c r="G565" s="42"/>
      <c r="H565" s="43"/>
      <c r="I565" s="44"/>
      <c r="J565" s="44"/>
      <c r="K565" s="43"/>
      <c r="L565" s="43"/>
      <c r="M565" s="44"/>
      <c r="N565" s="43"/>
      <c r="O565" s="44"/>
      <c r="P565" s="44"/>
      <c r="Q565" s="44"/>
      <c r="R565" s="43"/>
      <c r="S565" s="43"/>
      <c r="T565" s="45"/>
    </row>
    <row r="566" spans="1:20">
      <c r="A566" s="42">
        <v>565</v>
      </c>
      <c r="B566" s="43"/>
      <c r="C566" s="43"/>
      <c r="D566" s="43"/>
      <c r="E566" s="43"/>
      <c r="F566" s="43"/>
      <c r="G566" s="42"/>
      <c r="H566" s="43"/>
      <c r="I566" s="44"/>
      <c r="J566" s="44"/>
      <c r="K566" s="43"/>
      <c r="L566" s="43"/>
      <c r="M566" s="44"/>
      <c r="N566" s="43"/>
      <c r="O566" s="44"/>
      <c r="P566" s="44"/>
      <c r="Q566" s="44"/>
      <c r="R566" s="43"/>
      <c r="S566" s="43"/>
      <c r="T566" s="45"/>
    </row>
    <row r="567" spans="1:20">
      <c r="A567" s="42">
        <v>566</v>
      </c>
      <c r="B567" s="43"/>
      <c r="C567" s="43"/>
      <c r="D567" s="43"/>
      <c r="E567" s="43"/>
      <c r="F567" s="43"/>
      <c r="G567" s="42"/>
      <c r="H567" s="43"/>
      <c r="I567" s="44"/>
      <c r="J567" s="44"/>
      <c r="K567" s="43"/>
      <c r="L567" s="43"/>
      <c r="M567" s="44"/>
      <c r="N567" s="43"/>
      <c r="O567" s="44"/>
      <c r="P567" s="44"/>
      <c r="Q567" s="44"/>
      <c r="R567" s="43"/>
      <c r="S567" s="43"/>
      <c r="T567" s="45"/>
    </row>
    <row r="568" spans="1:20">
      <c r="A568" s="42">
        <v>567</v>
      </c>
      <c r="B568" s="43"/>
      <c r="C568" s="43"/>
      <c r="D568" s="43"/>
      <c r="E568" s="43"/>
      <c r="F568" s="43"/>
      <c r="G568" s="42"/>
      <c r="H568" s="43"/>
      <c r="I568" s="44"/>
      <c r="J568" s="44"/>
      <c r="K568" s="43"/>
      <c r="L568" s="43"/>
      <c r="M568" s="44"/>
      <c r="N568" s="43"/>
      <c r="O568" s="44"/>
      <c r="P568" s="44"/>
      <c r="Q568" s="44"/>
      <c r="R568" s="43"/>
      <c r="S568" s="43"/>
      <c r="T568" s="45"/>
    </row>
    <row r="569" spans="1:20">
      <c r="A569" s="42">
        <v>568</v>
      </c>
      <c r="B569" s="43"/>
      <c r="C569" s="43"/>
      <c r="D569" s="43"/>
      <c r="E569" s="43"/>
      <c r="F569" s="43"/>
      <c r="G569" s="42"/>
      <c r="H569" s="43"/>
      <c r="I569" s="44"/>
      <c r="J569" s="44"/>
      <c r="K569" s="43"/>
      <c r="L569" s="43"/>
      <c r="M569" s="44"/>
      <c r="N569" s="43"/>
      <c r="O569" s="44"/>
      <c r="P569" s="44"/>
      <c r="Q569" s="44"/>
      <c r="R569" s="43"/>
      <c r="S569" s="43"/>
      <c r="T569" s="45"/>
    </row>
    <row r="570" spans="1:20">
      <c r="A570" s="42">
        <v>569</v>
      </c>
      <c r="B570" s="43"/>
      <c r="C570" s="43"/>
      <c r="D570" s="43"/>
      <c r="E570" s="43"/>
      <c r="F570" s="43"/>
      <c r="G570" s="42"/>
      <c r="H570" s="43"/>
      <c r="I570" s="44"/>
      <c r="J570" s="44"/>
      <c r="K570" s="43"/>
      <c r="L570" s="43"/>
      <c r="M570" s="44"/>
      <c r="N570" s="43"/>
      <c r="O570" s="44"/>
      <c r="P570" s="44"/>
      <c r="Q570" s="44"/>
      <c r="R570" s="43"/>
      <c r="S570" s="43"/>
      <c r="T570" s="45"/>
    </row>
    <row r="571" spans="1:20">
      <c r="A571" s="42">
        <v>570</v>
      </c>
      <c r="B571" s="43"/>
      <c r="C571" s="43"/>
      <c r="D571" s="43"/>
      <c r="E571" s="43"/>
      <c r="F571" s="43"/>
      <c r="G571" s="42"/>
      <c r="H571" s="43"/>
      <c r="I571" s="44"/>
      <c r="J571" s="44"/>
      <c r="K571" s="43"/>
      <c r="L571" s="43"/>
      <c r="M571" s="44"/>
      <c r="N571" s="43"/>
      <c r="O571" s="44"/>
      <c r="P571" s="44"/>
      <c r="Q571" s="44"/>
      <c r="R571" s="43"/>
      <c r="S571" s="43"/>
      <c r="T571" s="45"/>
    </row>
    <row r="572" spans="1:20">
      <c r="A572" s="42">
        <v>571</v>
      </c>
      <c r="B572" s="43"/>
      <c r="C572" s="43"/>
      <c r="D572" s="43"/>
      <c r="E572" s="43"/>
      <c r="F572" s="43"/>
      <c r="G572" s="42"/>
      <c r="H572" s="43"/>
      <c r="I572" s="44"/>
      <c r="J572" s="44"/>
      <c r="K572" s="43"/>
      <c r="L572" s="43"/>
      <c r="M572" s="44"/>
      <c r="N572" s="43"/>
      <c r="O572" s="44"/>
      <c r="P572" s="44"/>
      <c r="Q572" s="44"/>
      <c r="R572" s="43"/>
      <c r="S572" s="43"/>
      <c r="T572" s="45"/>
    </row>
    <row r="573" spans="1:20">
      <c r="A573" s="42">
        <v>572</v>
      </c>
      <c r="B573" s="43"/>
      <c r="C573" s="43"/>
      <c r="D573" s="43"/>
      <c r="E573" s="43"/>
      <c r="F573" s="43"/>
      <c r="G573" s="42"/>
      <c r="H573" s="43"/>
      <c r="I573" s="44"/>
      <c r="J573" s="44"/>
      <c r="K573" s="43"/>
      <c r="L573" s="43"/>
      <c r="M573" s="44"/>
      <c r="N573" s="43"/>
      <c r="O573" s="44"/>
      <c r="P573" s="44"/>
      <c r="Q573" s="44"/>
      <c r="R573" s="43"/>
      <c r="S573" s="43"/>
      <c r="T573" s="45"/>
    </row>
    <row r="574" spans="1:20">
      <c r="A574" s="42">
        <v>573</v>
      </c>
      <c r="B574" s="43"/>
      <c r="C574" s="43"/>
      <c r="D574" s="43"/>
      <c r="E574" s="43"/>
      <c r="F574" s="43"/>
      <c r="G574" s="42"/>
      <c r="H574" s="43"/>
      <c r="I574" s="44"/>
      <c r="J574" s="44"/>
      <c r="K574" s="43"/>
      <c r="L574" s="43"/>
      <c r="M574" s="44"/>
      <c r="N574" s="43"/>
      <c r="O574" s="44"/>
      <c r="P574" s="44"/>
      <c r="Q574" s="44"/>
      <c r="R574" s="43"/>
      <c r="S574" s="43"/>
      <c r="T574" s="45"/>
    </row>
    <row r="575" spans="1:20">
      <c r="A575" s="42">
        <v>574</v>
      </c>
      <c r="B575" s="43"/>
      <c r="C575" s="43"/>
      <c r="D575" s="43"/>
      <c r="E575" s="43"/>
      <c r="F575" s="43"/>
      <c r="G575" s="42"/>
      <c r="H575" s="43"/>
      <c r="I575" s="44"/>
      <c r="J575" s="44"/>
      <c r="K575" s="43"/>
      <c r="L575" s="43"/>
      <c r="M575" s="44"/>
      <c r="N575" s="43"/>
      <c r="O575" s="44"/>
      <c r="P575" s="44"/>
      <c r="Q575" s="44"/>
      <c r="R575" s="43"/>
      <c r="S575" s="43"/>
      <c r="T575" s="45"/>
    </row>
    <row r="576" spans="1:20">
      <c r="A576" s="42">
        <v>575</v>
      </c>
      <c r="B576" s="43"/>
      <c r="C576" s="43"/>
      <c r="D576" s="43"/>
      <c r="E576" s="43"/>
      <c r="F576" s="43"/>
      <c r="G576" s="42"/>
      <c r="H576" s="43"/>
      <c r="I576" s="44"/>
      <c r="J576" s="44"/>
      <c r="K576" s="43"/>
      <c r="L576" s="43"/>
      <c r="M576" s="44"/>
      <c r="N576" s="43"/>
      <c r="O576" s="44"/>
      <c r="P576" s="44"/>
      <c r="Q576" s="44"/>
      <c r="R576" s="43"/>
      <c r="S576" s="43"/>
      <c r="T576" s="45"/>
    </row>
    <row r="577" spans="1:20">
      <c r="A577" s="42">
        <v>576</v>
      </c>
      <c r="B577" s="43"/>
      <c r="C577" s="43"/>
      <c r="D577" s="43"/>
      <c r="E577" s="43"/>
      <c r="F577" s="43"/>
      <c r="G577" s="42"/>
      <c r="H577" s="43"/>
      <c r="I577" s="44"/>
      <c r="J577" s="44"/>
      <c r="K577" s="43"/>
      <c r="L577" s="43"/>
      <c r="M577" s="44"/>
      <c r="N577" s="43"/>
      <c r="O577" s="44"/>
      <c r="P577" s="44"/>
      <c r="Q577" s="44"/>
      <c r="R577" s="43"/>
      <c r="S577" s="43"/>
      <c r="T577" s="45"/>
    </row>
    <row r="578" spans="1:20">
      <c r="A578" s="42">
        <v>577</v>
      </c>
      <c r="B578" s="43"/>
      <c r="C578" s="43"/>
      <c r="D578" s="43"/>
      <c r="E578" s="43"/>
      <c r="F578" s="43"/>
      <c r="G578" s="42"/>
      <c r="H578" s="43"/>
      <c r="I578" s="44"/>
      <c r="J578" s="44"/>
      <c r="K578" s="43"/>
      <c r="L578" s="43"/>
      <c r="M578" s="44"/>
      <c r="N578" s="43"/>
      <c r="O578" s="44"/>
      <c r="P578" s="44"/>
      <c r="Q578" s="44"/>
      <c r="R578" s="43"/>
      <c r="S578" s="43"/>
      <c r="T578" s="45"/>
    </row>
    <row r="579" spans="1:20">
      <c r="A579" s="42">
        <v>578</v>
      </c>
      <c r="B579" s="43"/>
      <c r="C579" s="43"/>
      <c r="D579" s="43"/>
      <c r="E579" s="43"/>
      <c r="F579" s="43"/>
      <c r="G579" s="42"/>
      <c r="H579" s="43"/>
      <c r="I579" s="44"/>
      <c r="J579" s="44"/>
      <c r="K579" s="43"/>
      <c r="L579" s="43"/>
      <c r="M579" s="44"/>
      <c r="N579" s="43"/>
      <c r="O579" s="44"/>
      <c r="P579" s="44"/>
      <c r="Q579" s="44"/>
      <c r="R579" s="43"/>
      <c r="S579" s="43"/>
      <c r="T579" s="45"/>
    </row>
    <row r="580" spans="1:20">
      <c r="A580" s="42">
        <v>579</v>
      </c>
      <c r="B580" s="43"/>
      <c r="C580" s="43"/>
      <c r="D580" s="43"/>
      <c r="E580" s="43"/>
      <c r="F580" s="43"/>
      <c r="G580" s="42"/>
      <c r="H580" s="43"/>
      <c r="I580" s="44"/>
      <c r="J580" s="44"/>
      <c r="K580" s="43"/>
      <c r="L580" s="43"/>
      <c r="M580" s="44"/>
      <c r="N580" s="43"/>
      <c r="O580" s="44"/>
      <c r="P580" s="44"/>
      <c r="Q580" s="44"/>
      <c r="R580" s="43"/>
      <c r="S580" s="43"/>
      <c r="T580" s="45"/>
    </row>
    <row r="581" spans="1:20">
      <c r="A581" s="42">
        <v>580</v>
      </c>
      <c r="B581" s="43"/>
      <c r="C581" s="43"/>
      <c r="D581" s="43"/>
      <c r="E581" s="43"/>
      <c r="F581" s="43"/>
      <c r="G581" s="42"/>
      <c r="H581" s="43"/>
      <c r="I581" s="44"/>
      <c r="J581" s="44"/>
      <c r="K581" s="43"/>
      <c r="L581" s="43"/>
      <c r="M581" s="44"/>
      <c r="N581" s="43"/>
      <c r="O581" s="44"/>
      <c r="P581" s="44"/>
      <c r="Q581" s="44"/>
      <c r="R581" s="43"/>
      <c r="S581" s="43"/>
      <c r="T581" s="45"/>
    </row>
    <row r="582" spans="1:20">
      <c r="A582" s="42">
        <v>581</v>
      </c>
      <c r="B582" s="43"/>
      <c r="C582" s="43"/>
      <c r="D582" s="43"/>
      <c r="E582" s="43"/>
      <c r="F582" s="43"/>
      <c r="G582" s="42"/>
      <c r="H582" s="43"/>
      <c r="I582" s="44"/>
      <c r="J582" s="44"/>
      <c r="K582" s="43"/>
      <c r="L582" s="43"/>
      <c r="M582" s="44"/>
      <c r="N582" s="43"/>
      <c r="O582" s="44"/>
      <c r="P582" s="44"/>
      <c r="Q582" s="44"/>
      <c r="R582" s="43"/>
      <c r="S582" s="43"/>
      <c r="T582" s="45"/>
    </row>
    <row r="583" spans="1:20">
      <c r="A583" s="42">
        <v>582</v>
      </c>
      <c r="B583" s="43"/>
      <c r="C583" s="43"/>
      <c r="D583" s="43"/>
      <c r="E583" s="43"/>
      <c r="F583" s="43"/>
      <c r="G583" s="42"/>
      <c r="H583" s="43"/>
      <c r="I583" s="44"/>
      <c r="J583" s="44"/>
      <c r="K583" s="43"/>
      <c r="L583" s="43"/>
      <c r="M583" s="44"/>
      <c r="N583" s="43"/>
      <c r="O583" s="44"/>
      <c r="P583" s="44"/>
      <c r="Q583" s="44"/>
      <c r="R583" s="43"/>
      <c r="S583" s="43"/>
      <c r="T583" s="45"/>
    </row>
  </sheetData>
  <sheetProtection formatCells="0" formatColumns="0" formatRows="0" insertColumns="0" insertRows="0" insertHyperlinks="0" deleteColumns="0" deleteRows="0"/>
  <protectedRanges>
    <protectedRange algorithmName="SHA-512" hashValue="CQpFda0x1LJiowBRnJ3300QaQczxsEKOcQjQYgQv5DhL+DTYSOGMWzFOCUZBqGeUnyQ1eWk8V0Up/vJtEG8HNg==" saltValue="kELK6omg5AiPl6oZN+CvuA==" spinCount="100000" sqref="A1:T1" name="Rango1"/>
  </protectedRanges>
  <phoneticPr fontId="26" type="noConversion"/>
  <conditionalFormatting sqref="T1:T1048576">
    <cfRule type="cellIs" dxfId="70" priority="1" operator="equal">
      <formula>"NO"</formula>
    </cfRule>
    <cfRule type="cellIs" dxfId="69" priority="2" operator="equal">
      <formula>"SI"</formula>
    </cfRule>
  </conditionalFormatting>
  <dataValidations count="1">
    <dataValidation type="list" allowBlank="1" showInputMessage="1" showErrorMessage="1" sqref="T2:T583 O2:O106">
      <formula1>"SI,NO"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6"/>
  <sheetViews>
    <sheetView zoomScale="80" zoomScaleNormal="80" workbookViewId="0">
      <pane xSplit="4" ySplit="2" topLeftCell="E24" activePane="bottomRight" state="frozen"/>
      <selection pane="topRight" activeCell="E1" sqref="E1"/>
      <selection pane="bottomLeft" activeCell="A3" sqref="A3"/>
      <selection pane="bottomRight" sqref="A1:A2"/>
    </sheetView>
  </sheetViews>
  <sheetFormatPr baseColWidth="10" defaultRowHeight="14.25"/>
  <cols>
    <col min="1" max="1" width="5.375" style="7" customWidth="1"/>
    <col min="2" max="2" width="11.5" style="7" customWidth="1"/>
    <col min="3" max="3" width="21.75" style="7" bestFit="1" customWidth="1"/>
    <col min="4" max="4" width="21" style="7" customWidth="1"/>
    <col min="5" max="5" width="12.625" style="7" customWidth="1"/>
    <col min="6" max="9" width="6.5" style="7" customWidth="1"/>
    <col min="10" max="10" width="40.125" style="3" customWidth="1"/>
    <col min="11" max="11" width="41.25" style="3" customWidth="1"/>
    <col min="12" max="12" width="25.75" style="3" customWidth="1"/>
    <col min="13" max="13" width="40.875" style="3" customWidth="1"/>
    <col min="14" max="14" width="42.75" style="3" customWidth="1"/>
    <col min="15" max="15" width="29.5" style="3" customWidth="1"/>
    <col min="16" max="16" width="36.625" style="3" customWidth="1"/>
    <col min="17" max="17" width="34.625" style="3" customWidth="1"/>
  </cols>
  <sheetData>
    <row r="1" spans="1:17" ht="14.45" customHeight="1">
      <c r="A1" s="113" t="s">
        <v>0</v>
      </c>
      <c r="B1" s="23"/>
      <c r="C1" s="113" t="s">
        <v>1</v>
      </c>
      <c r="D1" s="113" t="s">
        <v>2</v>
      </c>
      <c r="E1" s="117" t="s">
        <v>21</v>
      </c>
      <c r="F1" s="119" t="s">
        <v>43</v>
      </c>
      <c r="G1" s="120" t="s">
        <v>44</v>
      </c>
      <c r="H1" s="120" t="s">
        <v>41</v>
      </c>
      <c r="I1" s="121" t="s">
        <v>42</v>
      </c>
      <c r="J1" s="26" t="s">
        <v>3</v>
      </c>
      <c r="K1" s="26" t="s">
        <v>4</v>
      </c>
      <c r="L1" s="26" t="s">
        <v>291</v>
      </c>
      <c r="M1" s="26" t="s">
        <v>292</v>
      </c>
      <c r="N1" s="26" t="s">
        <v>5</v>
      </c>
      <c r="O1" s="26" t="s">
        <v>6</v>
      </c>
      <c r="P1" s="26" t="s">
        <v>7</v>
      </c>
      <c r="Q1" s="115" t="s">
        <v>8</v>
      </c>
    </row>
    <row r="2" spans="1:17" ht="94.9" customHeight="1">
      <c r="A2" s="114"/>
      <c r="B2" s="25" t="s">
        <v>259</v>
      </c>
      <c r="C2" s="114"/>
      <c r="D2" s="114"/>
      <c r="E2" s="118"/>
      <c r="F2" s="119"/>
      <c r="G2" s="120"/>
      <c r="H2" s="120"/>
      <c r="I2" s="121"/>
      <c r="J2" s="21" t="s">
        <v>9</v>
      </c>
      <c r="K2" s="21" t="s">
        <v>10</v>
      </c>
      <c r="L2" s="22" t="s">
        <v>11</v>
      </c>
      <c r="M2" s="22" t="s">
        <v>12</v>
      </c>
      <c r="N2" s="21" t="s">
        <v>13</v>
      </c>
      <c r="O2" s="21" t="s">
        <v>14</v>
      </c>
      <c r="P2" s="21" t="s">
        <v>15</v>
      </c>
      <c r="Q2" s="116"/>
    </row>
    <row r="3" spans="1:17" ht="38.450000000000003" customHeight="1">
      <c r="A3" s="70">
        <f>Datos!A2</f>
        <v>1</v>
      </c>
      <c r="B3" s="70" t="str">
        <f>Datos!B2</f>
        <v>Desposte</v>
      </c>
      <c r="C3" s="71" t="str">
        <f>Datos!C2</f>
        <v>Operario de producción línea Principal 1</v>
      </c>
      <c r="D3" s="71" t="str">
        <f>Datos!D2</f>
        <v>Marcaje de pernil</v>
      </c>
      <c r="E3" s="71" t="str">
        <f>Datos!F2</f>
        <v>Am: 07:00 a 16:00 - PM: 17:15 a 02:45</v>
      </c>
      <c r="F3" s="71" t="str">
        <f>Datos!G2</f>
        <v>0.5</v>
      </c>
      <c r="G3" s="71">
        <f>Datos!H2</f>
        <v>4.5</v>
      </c>
      <c r="H3" s="71">
        <f>Datos!I2</f>
        <v>72</v>
      </c>
      <c r="I3" s="71">
        <f>Datos!J2</f>
        <v>0</v>
      </c>
      <c r="J3" s="6" t="s">
        <v>346</v>
      </c>
      <c r="K3" s="6" t="s">
        <v>16</v>
      </c>
      <c r="L3" s="6" t="s">
        <v>16</v>
      </c>
      <c r="M3" s="6" t="s">
        <v>16</v>
      </c>
      <c r="N3" s="6" t="s">
        <v>16</v>
      </c>
      <c r="O3" s="6" t="s">
        <v>16</v>
      </c>
      <c r="P3" s="6" t="s">
        <v>16</v>
      </c>
      <c r="Q3" s="6" t="str">
        <f>IF(AND(J3="NO",K3="NO",L3="NO",M3="NO",N3="NO",O3="NO",P3="NO"),"Ausencia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4" spans="1:17" ht="45">
      <c r="A4" s="70">
        <f>Datos!A3</f>
        <v>2</v>
      </c>
      <c r="B4" s="70" t="str">
        <f>Datos!B3</f>
        <v>Desposte</v>
      </c>
      <c r="C4" s="71" t="str">
        <f>Datos!C3</f>
        <v>Operario de producción línea Principal 1</v>
      </c>
      <c r="D4" s="71" t="str">
        <f>Datos!D3</f>
        <v>Apertura de falda derecha</v>
      </c>
      <c r="E4" s="71" t="str">
        <f>Datos!F3</f>
        <v>Am: 07:00 a 16:00 - PM: 17:15 a 02:45</v>
      </c>
      <c r="F4" s="71" t="str">
        <f>Datos!G3</f>
        <v>0.5</v>
      </c>
      <c r="G4" s="71">
        <f>Datos!H3</f>
        <v>4.5</v>
      </c>
      <c r="H4" s="71">
        <f>Datos!I3</f>
        <v>72</v>
      </c>
      <c r="I4" s="71">
        <f>Datos!J3</f>
        <v>0</v>
      </c>
      <c r="J4" s="6" t="s">
        <v>346</v>
      </c>
      <c r="K4" s="6" t="s">
        <v>16</v>
      </c>
      <c r="L4" s="6" t="s">
        <v>16</v>
      </c>
      <c r="M4" s="6" t="s">
        <v>16</v>
      </c>
      <c r="N4" s="6" t="s">
        <v>16</v>
      </c>
      <c r="O4" s="6" t="s">
        <v>16</v>
      </c>
      <c r="P4" s="6" t="s">
        <v>16</v>
      </c>
      <c r="Q4" s="6" t="str">
        <f t="shared" ref="Q4:Q47" si="0">IF(AND(J4="NO",K4="NO",L4="NO",M4="NO",N4="NO",O4="NO",P4="NO"),"Ausencia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5" spans="1:17" ht="45">
      <c r="A5" s="70">
        <f>Datos!A4</f>
        <v>3</v>
      </c>
      <c r="B5" s="70" t="str">
        <f>Datos!B4</f>
        <v>Desposte</v>
      </c>
      <c r="C5" s="71" t="str">
        <f>Datos!C4</f>
        <v>Operario de producción línea Principal 1</v>
      </c>
      <c r="D5" s="71" t="str">
        <f>Datos!D4</f>
        <v>Apertura de falda izquierda</v>
      </c>
      <c r="E5" s="71" t="str">
        <f>Datos!F4</f>
        <v>Am: 07:00 a 16:00 - PM: 17:15 a 02:45</v>
      </c>
      <c r="F5" s="71" t="str">
        <f>Datos!G4</f>
        <v>0.5</v>
      </c>
      <c r="G5" s="71">
        <f>Datos!H4</f>
        <v>4.5</v>
      </c>
      <c r="H5" s="71">
        <f>Datos!I4</f>
        <v>72</v>
      </c>
      <c r="I5" s="71">
        <f>Datos!J4</f>
        <v>0</v>
      </c>
      <c r="J5" s="6" t="s">
        <v>346</v>
      </c>
      <c r="K5" s="6" t="s">
        <v>16</v>
      </c>
      <c r="L5" s="6" t="s">
        <v>16</v>
      </c>
      <c r="M5" s="6" t="s">
        <v>16</v>
      </c>
      <c r="N5" s="6" t="s">
        <v>16</v>
      </c>
      <c r="O5" s="6" t="s">
        <v>16</v>
      </c>
      <c r="P5" s="6" t="s">
        <v>16</v>
      </c>
      <c r="Q5" s="6" t="str">
        <f t="shared" si="0"/>
        <v>Aplicar identificación avanzada-condición aceptable para cada tipo de factor de riesgo identificado</v>
      </c>
    </row>
    <row r="6" spans="1:17" ht="45">
      <c r="A6" s="70">
        <f>Datos!A5</f>
        <v>4</v>
      </c>
      <c r="B6" s="70" t="str">
        <f>Datos!B5</f>
        <v>Desposte</v>
      </c>
      <c r="C6" s="71" t="str">
        <f>Datos!C5</f>
        <v>Operario de producción línea Principal 1</v>
      </c>
      <c r="D6" s="71" t="str">
        <f>Datos!D5</f>
        <v>Sierra cortadora de patas</v>
      </c>
      <c r="E6" s="71" t="str">
        <f>Datos!F5</f>
        <v>Am: 07:00 a 16:00 - PM: 17:15 a 02:45</v>
      </c>
      <c r="F6" s="71" t="str">
        <f>Datos!G5</f>
        <v>0.5</v>
      </c>
      <c r="G6" s="71">
        <f>Datos!H5</f>
        <v>4.5</v>
      </c>
      <c r="H6" s="71">
        <f>Datos!I5</f>
        <v>72</v>
      </c>
      <c r="I6" s="71">
        <f>Datos!J5</f>
        <v>0</v>
      </c>
      <c r="J6" s="6" t="s">
        <v>346</v>
      </c>
      <c r="K6" s="6" t="s">
        <v>16</v>
      </c>
      <c r="L6" s="6" t="s">
        <v>16</v>
      </c>
      <c r="M6" s="6" t="s">
        <v>16</v>
      </c>
      <c r="N6" s="6" t="s">
        <v>16</v>
      </c>
      <c r="O6" s="6" t="s">
        <v>16</v>
      </c>
      <c r="P6" s="6" t="s">
        <v>16</v>
      </c>
      <c r="Q6" s="6" t="str">
        <f t="shared" si="0"/>
        <v>Aplicar identificación avanzada-condición aceptable para cada tipo de factor de riesgo identificado</v>
      </c>
    </row>
    <row r="7" spans="1:17" ht="45">
      <c r="A7" s="70">
        <f>Datos!A6</f>
        <v>5</v>
      </c>
      <c r="B7" s="70" t="str">
        <f>Datos!B6</f>
        <v>Desposte</v>
      </c>
      <c r="C7" s="71" t="str">
        <f>Datos!C6</f>
        <v>Operario de producción línea Principal 1</v>
      </c>
      <c r="D7" s="71" t="str">
        <f>Datos!D6</f>
        <v>Tijera cortadora de manos</v>
      </c>
      <c r="E7" s="71" t="str">
        <f>Datos!F6</f>
        <v>Am: 07:00 a 16:00 - PM: 17:15 a 02:45</v>
      </c>
      <c r="F7" s="71" t="str">
        <f>Datos!G6</f>
        <v>0.5</v>
      </c>
      <c r="G7" s="71">
        <f>Datos!H6</f>
        <v>4.5</v>
      </c>
      <c r="H7" s="71">
        <f>Datos!I6</f>
        <v>72</v>
      </c>
      <c r="I7" s="71">
        <f>Datos!J6</f>
        <v>0</v>
      </c>
      <c r="J7" s="6" t="s">
        <v>346</v>
      </c>
      <c r="K7" s="6" t="s">
        <v>16</v>
      </c>
      <c r="L7" s="6" t="s">
        <v>16</v>
      </c>
      <c r="M7" s="6" t="s">
        <v>16</v>
      </c>
      <c r="N7" s="6" t="s">
        <v>16</v>
      </c>
      <c r="O7" s="6" t="s">
        <v>16</v>
      </c>
      <c r="P7" s="6" t="s">
        <v>16</v>
      </c>
      <c r="Q7" s="6" t="str">
        <f t="shared" si="0"/>
        <v>Aplicar identificación avanzada-condición aceptable para cada tipo de factor de riesgo identificado</v>
      </c>
    </row>
    <row r="8" spans="1:17" ht="45">
      <c r="A8" s="70">
        <f>Datos!A7</f>
        <v>6</v>
      </c>
      <c r="B8" s="70" t="str">
        <f>Datos!B7</f>
        <v>Desposte</v>
      </c>
      <c r="C8" s="71" t="str">
        <f>Datos!C7</f>
        <v>Operario de producción línea Principal 1</v>
      </c>
      <c r="D8" s="71" t="str">
        <f>Datos!D7</f>
        <v>Sierra EFA 86 corte de pernil</v>
      </c>
      <c r="E8" s="71" t="str">
        <f>Datos!F7</f>
        <v>Am: 07:00 a 16:00 - PM: 17:15 a 02:45</v>
      </c>
      <c r="F8" s="71" t="str">
        <f>Datos!G7</f>
        <v>0.5</v>
      </c>
      <c r="G8" s="71">
        <f>Datos!H7</f>
        <v>4.5</v>
      </c>
      <c r="H8" s="71">
        <f>Datos!I7</f>
        <v>72</v>
      </c>
      <c r="I8" s="71">
        <f>Datos!J7</f>
        <v>0</v>
      </c>
      <c r="J8" s="6" t="s">
        <v>346</v>
      </c>
      <c r="K8" s="6" t="s">
        <v>16</v>
      </c>
      <c r="L8" s="6" t="s">
        <v>16</v>
      </c>
      <c r="M8" s="6" t="s">
        <v>16</v>
      </c>
      <c r="N8" s="6" t="s">
        <v>16</v>
      </c>
      <c r="O8" s="6" t="s">
        <v>16</v>
      </c>
      <c r="P8" s="6" t="s">
        <v>346</v>
      </c>
      <c r="Q8" s="6" t="str">
        <f t="shared" si="0"/>
        <v>Aplicar identificación avanzada-condición aceptable para cada tipo de factor de riesgo identificado</v>
      </c>
    </row>
    <row r="9" spans="1:17" ht="45">
      <c r="A9" s="70">
        <f>Datos!A8</f>
        <v>7</v>
      </c>
      <c r="B9" s="70" t="str">
        <f>Datos!B8</f>
        <v>Desposte</v>
      </c>
      <c r="C9" s="71" t="str">
        <f>Datos!C8</f>
        <v>Operario de producción línea Principal 1</v>
      </c>
      <c r="D9" s="71" t="str">
        <f>Datos!D8</f>
        <v>RK 11 cuarto trasero</v>
      </c>
      <c r="E9" s="71" t="str">
        <f>Datos!F8</f>
        <v>Am: 07:00 a 16:00 - PM: 17:15 a 02:45</v>
      </c>
      <c r="F9" s="71" t="str">
        <f>Datos!G8</f>
        <v>0.5</v>
      </c>
      <c r="G9" s="71">
        <f>Datos!H8</f>
        <v>4.5</v>
      </c>
      <c r="H9" s="71">
        <f>Datos!I8</f>
        <v>72</v>
      </c>
      <c r="I9" s="71">
        <f>Datos!J8</f>
        <v>0</v>
      </c>
      <c r="J9" s="6" t="s">
        <v>346</v>
      </c>
      <c r="K9" s="6" t="s">
        <v>16</v>
      </c>
      <c r="L9" s="6" t="s">
        <v>16</v>
      </c>
      <c r="M9" s="6" t="s">
        <v>16</v>
      </c>
      <c r="N9" s="6" t="s">
        <v>16</v>
      </c>
      <c r="O9" s="6" t="s">
        <v>16</v>
      </c>
      <c r="P9" s="6" t="s">
        <v>16</v>
      </c>
      <c r="Q9" s="6" t="str">
        <f t="shared" si="0"/>
        <v>Aplicar identificación avanzada-condición aceptable para cada tipo de factor de riesgo identificado</v>
      </c>
    </row>
    <row r="10" spans="1:17" ht="45">
      <c r="A10" s="70">
        <f>Datos!A9</f>
        <v>8</v>
      </c>
      <c r="B10" s="70" t="str">
        <f>Datos!B9</f>
        <v>Desposte</v>
      </c>
      <c r="C10" s="71" t="str">
        <f>Datos!C9</f>
        <v>Operario de producción línea Principal 1</v>
      </c>
      <c r="D10" s="71" t="str">
        <f>Datos!D9</f>
        <v>RK 11 cuarto delantero</v>
      </c>
      <c r="E10" s="71" t="str">
        <f>Datos!F9</f>
        <v>Am: 07:00 a 16:00 - PM: 17:15 a 02:45</v>
      </c>
      <c r="F10" s="71" t="str">
        <f>Datos!G9</f>
        <v>0.5</v>
      </c>
      <c r="G10" s="71">
        <f>Datos!H9</f>
        <v>4.5</v>
      </c>
      <c r="H10" s="71">
        <f>Datos!I9</f>
        <v>72</v>
      </c>
      <c r="I10" s="71">
        <f>Datos!J9</f>
        <v>0</v>
      </c>
      <c r="J10" s="6" t="s">
        <v>346</v>
      </c>
      <c r="K10" s="6" t="s">
        <v>16</v>
      </c>
      <c r="L10" s="6" t="s">
        <v>16</v>
      </c>
      <c r="M10" s="6" t="s">
        <v>16</v>
      </c>
      <c r="N10" s="6" t="s">
        <v>16</v>
      </c>
      <c r="O10" s="6" t="s">
        <v>16</v>
      </c>
      <c r="P10" s="6" t="s">
        <v>16</v>
      </c>
      <c r="Q10" s="6" t="str">
        <f t="shared" si="0"/>
        <v>Aplicar identificación avanzada-condición aceptable para cada tipo de factor de riesgo identificado</v>
      </c>
    </row>
    <row r="11" spans="1:17" ht="45">
      <c r="A11" s="70">
        <f>Datos!A10</f>
        <v>9</v>
      </c>
      <c r="B11" s="70" t="str">
        <f>Datos!B10</f>
        <v>Desposte</v>
      </c>
      <c r="C11" s="71" t="str">
        <f>Datos!C10</f>
        <v>Operario de producción línea Principal 1</v>
      </c>
      <c r="D11" s="71" t="str">
        <f>Datos!D10</f>
        <v>Sierra EFA 86 Punta costilla</v>
      </c>
      <c r="E11" s="71" t="str">
        <f>Datos!F10</f>
        <v>Am: 07:00 a 16:00 - PM: 17:15 a 02:45</v>
      </c>
      <c r="F11" s="71" t="str">
        <f>Datos!G10</f>
        <v>0.5</v>
      </c>
      <c r="G11" s="71">
        <f>Datos!H10</f>
        <v>4.5</v>
      </c>
      <c r="H11" s="71">
        <f>Datos!I10</f>
        <v>72</v>
      </c>
      <c r="I11" s="71">
        <f>Datos!J10</f>
        <v>0</v>
      </c>
      <c r="J11" s="6" t="s">
        <v>346</v>
      </c>
      <c r="K11" s="6" t="s">
        <v>16</v>
      </c>
      <c r="L11" s="6" t="s">
        <v>16</v>
      </c>
      <c r="M11" s="6" t="s">
        <v>16</v>
      </c>
      <c r="N11" s="6" t="s">
        <v>16</v>
      </c>
      <c r="O11" s="6" t="s">
        <v>16</v>
      </c>
      <c r="P11" s="6" t="s">
        <v>346</v>
      </c>
      <c r="Q11" s="6" t="str">
        <f t="shared" si="0"/>
        <v>Aplicar identificación avanzada-condición aceptable para cada tipo de factor de riesgo identificado</v>
      </c>
    </row>
    <row r="12" spans="1:17" ht="45">
      <c r="A12" s="70">
        <f>Datos!A11</f>
        <v>10</v>
      </c>
      <c r="B12" s="70" t="str">
        <f>Datos!B11</f>
        <v>Desposte</v>
      </c>
      <c r="C12" s="71" t="str">
        <f>Datos!C11</f>
        <v>Operario de producción línea Principal 1</v>
      </c>
      <c r="D12" s="71" t="str">
        <f>Datos!D11</f>
        <v>Extracción de diafragma</v>
      </c>
      <c r="E12" s="71" t="str">
        <f>Datos!F11</f>
        <v>Am: 07:00 a 16:00 - PM: 17:15 a 02:45</v>
      </c>
      <c r="F12" s="71" t="str">
        <f>Datos!G11</f>
        <v>0.5</v>
      </c>
      <c r="G12" s="71">
        <f>Datos!H11</f>
        <v>4.5</v>
      </c>
      <c r="H12" s="71">
        <f>Datos!I11</f>
        <v>72</v>
      </c>
      <c r="I12" s="71">
        <f>Datos!J11</f>
        <v>0</v>
      </c>
      <c r="J12" s="6" t="s">
        <v>346</v>
      </c>
      <c r="K12" s="6" t="s">
        <v>16</v>
      </c>
      <c r="L12" s="6" t="s">
        <v>16</v>
      </c>
      <c r="M12" s="6" t="s">
        <v>16</v>
      </c>
      <c r="N12" s="6" t="s">
        <v>16</v>
      </c>
      <c r="O12" s="6" t="s">
        <v>16</v>
      </c>
      <c r="P12" s="6" t="s">
        <v>16</v>
      </c>
      <c r="Q12" s="6" t="str">
        <f t="shared" si="0"/>
        <v>Aplicar identificación avanzada-condición aceptable para cada tipo de factor de riesgo identificado</v>
      </c>
    </row>
    <row r="13" spans="1:17" ht="45">
      <c r="A13" s="70">
        <f>Datos!A12</f>
        <v>11</v>
      </c>
      <c r="B13" s="70" t="str">
        <f>Datos!B12</f>
        <v>Desposte</v>
      </c>
      <c r="C13" s="71" t="str">
        <f>Datos!C12</f>
        <v>Operario de producción línea Principal 1</v>
      </c>
      <c r="D13" s="71" t="str">
        <f>Datos!D12</f>
        <v>Corte de pernil</v>
      </c>
      <c r="E13" s="71" t="str">
        <f>Datos!F12</f>
        <v>Am: 07:00 a 16:00 - PM: 17:15 a 02:45</v>
      </c>
      <c r="F13" s="71" t="str">
        <f>Datos!G12</f>
        <v>0.5</v>
      </c>
      <c r="G13" s="71">
        <f>Datos!H12</f>
        <v>4.5</v>
      </c>
      <c r="H13" s="71">
        <f>Datos!I12</f>
        <v>72</v>
      </c>
      <c r="I13" s="71">
        <f>Datos!J12</f>
        <v>0</v>
      </c>
      <c r="J13" s="6" t="s">
        <v>346</v>
      </c>
      <c r="K13" s="6" t="s">
        <v>16</v>
      </c>
      <c r="L13" s="6" t="s">
        <v>16</v>
      </c>
      <c r="M13" s="6" t="s">
        <v>16</v>
      </c>
      <c r="N13" s="6" t="s">
        <v>16</v>
      </c>
      <c r="O13" s="6" t="s">
        <v>16</v>
      </c>
      <c r="P13" s="6" t="s">
        <v>16</v>
      </c>
      <c r="Q13" s="6" t="str">
        <f t="shared" si="0"/>
        <v>Aplicar identificación avanzada-condición aceptable para cada tipo de factor de riesgo identificado</v>
      </c>
    </row>
    <row r="14" spans="1:17" ht="45">
      <c r="A14" s="70">
        <f>Datos!A13</f>
        <v>12</v>
      </c>
      <c r="B14" s="70" t="str">
        <f>Datos!B13</f>
        <v>Desposte</v>
      </c>
      <c r="C14" s="71" t="str">
        <f>Datos!C13</f>
        <v>Operario de producción línea Principal 1</v>
      </c>
      <c r="D14" s="71" t="str">
        <f>Datos!D13</f>
        <v>Extracción de papada</v>
      </c>
      <c r="E14" s="71" t="str">
        <f>Datos!F13</f>
        <v>Am: 07:00 a 16:00 - PM: 17:15 a 02:45</v>
      </c>
      <c r="F14" s="71" t="str">
        <f>Datos!G13</f>
        <v>0.5</v>
      </c>
      <c r="G14" s="71">
        <f>Datos!H13</f>
        <v>4.5</v>
      </c>
      <c r="H14" s="71">
        <f>Datos!I13</f>
        <v>72</v>
      </c>
      <c r="I14" s="71">
        <f>Datos!J13</f>
        <v>0</v>
      </c>
      <c r="J14" s="6" t="s">
        <v>346</v>
      </c>
      <c r="K14" s="6" t="s">
        <v>16</v>
      </c>
      <c r="L14" s="6" t="s">
        <v>16</v>
      </c>
      <c r="M14" s="6" t="s">
        <v>16</v>
      </c>
      <c r="N14" s="6" t="s">
        <v>16</v>
      </c>
      <c r="O14" s="6" t="s">
        <v>16</v>
      </c>
      <c r="P14" s="6" t="s">
        <v>16</v>
      </c>
      <c r="Q14" s="6" t="str">
        <f t="shared" si="0"/>
        <v>Aplicar identificación avanzada-condición aceptable para cada tipo de factor de riesgo identificado</v>
      </c>
    </row>
    <row r="15" spans="1:17" ht="45">
      <c r="A15" s="70">
        <f>Datos!A14</f>
        <v>13</v>
      </c>
      <c r="B15" s="70" t="str">
        <f>Datos!B14</f>
        <v>Desposte</v>
      </c>
      <c r="C15" s="71" t="str">
        <f>Datos!C14</f>
        <v>Operario de producción línea Principal 1</v>
      </c>
      <c r="D15" s="71" t="str">
        <f>Datos!D14</f>
        <v>Extracción de punta costilla izquierda</v>
      </c>
      <c r="E15" s="71" t="str">
        <f>Datos!F14</f>
        <v>Am: 07:00 a 16:00 - PM: 17:15 a 02:45</v>
      </c>
      <c r="F15" s="71" t="str">
        <f>Datos!G14</f>
        <v>0.5</v>
      </c>
      <c r="G15" s="71">
        <f>Datos!H14</f>
        <v>4.5</v>
      </c>
      <c r="H15" s="71">
        <f>Datos!I14</f>
        <v>72</v>
      </c>
      <c r="I15" s="71">
        <f>Datos!J14</f>
        <v>0</v>
      </c>
      <c r="J15" s="6" t="s">
        <v>346</v>
      </c>
      <c r="K15" s="6" t="s">
        <v>16</v>
      </c>
      <c r="L15" s="6" t="s">
        <v>16</v>
      </c>
      <c r="M15" s="6" t="s">
        <v>16</v>
      </c>
      <c r="N15" s="6" t="s">
        <v>16</v>
      </c>
      <c r="O15" s="6" t="s">
        <v>16</v>
      </c>
      <c r="P15" s="6" t="s">
        <v>16</v>
      </c>
      <c r="Q15" s="6" t="str">
        <f t="shared" si="0"/>
        <v>Aplicar identificación avanzada-condición aceptable para cada tipo de factor de riesgo identificado</v>
      </c>
    </row>
    <row r="16" spans="1:17" ht="45">
      <c r="A16" s="70">
        <f>Datos!A15</f>
        <v>14</v>
      </c>
      <c r="B16" s="70" t="str">
        <f>Datos!B15</f>
        <v>Desposte</v>
      </c>
      <c r="C16" s="71" t="str">
        <f>Datos!C15</f>
        <v>Operario de producción línea Principal 1</v>
      </c>
      <c r="D16" s="71" t="str">
        <f>Datos!D15</f>
        <v>Extracción de punta costilla derecha</v>
      </c>
      <c r="E16" s="71" t="str">
        <f>Datos!F15</f>
        <v>Am: 07:00 a 16:00 - PM: 17:15 a 02:45</v>
      </c>
      <c r="F16" s="71" t="str">
        <f>Datos!G15</f>
        <v>0.5</v>
      </c>
      <c r="G16" s="71">
        <f>Datos!H15</f>
        <v>4.5</v>
      </c>
      <c r="H16" s="71">
        <f>Datos!I15</f>
        <v>72</v>
      </c>
      <c r="I16" s="71">
        <f>Datos!J15</f>
        <v>0</v>
      </c>
      <c r="J16" s="6" t="s">
        <v>346</v>
      </c>
      <c r="K16" s="6" t="s">
        <v>16</v>
      </c>
      <c r="L16" s="6" t="s">
        <v>16</v>
      </c>
      <c r="M16" s="6" t="s">
        <v>16</v>
      </c>
      <c r="N16" s="6" t="s">
        <v>16</v>
      </c>
      <c r="O16" s="6" t="s">
        <v>16</v>
      </c>
      <c r="P16" s="6" t="s">
        <v>16</v>
      </c>
      <c r="Q16" s="6" t="str">
        <f t="shared" si="0"/>
        <v>Aplicar identificación avanzada-condición aceptable para cada tipo de factor de riesgo identificado</v>
      </c>
    </row>
    <row r="17" spans="1:17" ht="45">
      <c r="A17" s="70">
        <f>Datos!A16</f>
        <v>15</v>
      </c>
      <c r="B17" s="70" t="str">
        <f>Datos!B16</f>
        <v>Desposte</v>
      </c>
      <c r="C17" s="71" t="str">
        <f>Datos!C16</f>
        <v>Operario de producción línea Principal 1</v>
      </c>
      <c r="D17" s="71" t="str">
        <f>Datos!D16</f>
        <v>Operación de MSS</v>
      </c>
      <c r="E17" s="71" t="str">
        <f>Datos!F16</f>
        <v>Am: 07:00 a 16:00 - PM: 17:15 a 02:45</v>
      </c>
      <c r="F17" s="71" t="str">
        <f>Datos!G16</f>
        <v>0.5</v>
      </c>
      <c r="G17" s="71">
        <f>Datos!H16</f>
        <v>4.5</v>
      </c>
      <c r="H17" s="71">
        <f>Datos!I16</f>
        <v>72</v>
      </c>
      <c r="I17" s="71">
        <f>Datos!J16</f>
        <v>0</v>
      </c>
      <c r="J17" s="6" t="s">
        <v>346</v>
      </c>
      <c r="K17" s="6" t="s">
        <v>16</v>
      </c>
      <c r="L17" s="6" t="s">
        <v>16</v>
      </c>
      <c r="M17" s="6" t="s">
        <v>16</v>
      </c>
      <c r="N17" s="6" t="s">
        <v>16</v>
      </c>
      <c r="O17" s="6" t="s">
        <v>16</v>
      </c>
      <c r="P17" s="6" t="s">
        <v>16</v>
      </c>
      <c r="Q17" s="6" t="str">
        <f t="shared" si="0"/>
        <v>Aplicar identificación avanzada-condición aceptable para cada tipo de factor de riesgo identificado</v>
      </c>
    </row>
    <row r="18" spans="1:17" ht="45">
      <c r="A18" s="70">
        <f>Datos!A17</f>
        <v>16</v>
      </c>
      <c r="B18" s="70" t="str">
        <f>Datos!B17</f>
        <v>Desposte</v>
      </c>
      <c r="C18" s="71" t="str">
        <f>Datos!C17</f>
        <v>Operario de producción línea Principal 1</v>
      </c>
      <c r="D18" s="71" t="str">
        <f>Datos!D17</f>
        <v>Extracción de hueso pecho</v>
      </c>
      <c r="E18" s="71" t="str">
        <f>Datos!F17</f>
        <v>Am: 07:00 a 16:00 - PM: 17:15 a 02:45</v>
      </c>
      <c r="F18" s="71" t="str">
        <f>Datos!G17</f>
        <v>0.5</v>
      </c>
      <c r="G18" s="71">
        <f>Datos!H17</f>
        <v>4.5</v>
      </c>
      <c r="H18" s="71">
        <f>Datos!I17</f>
        <v>72</v>
      </c>
      <c r="I18" s="71">
        <f>Datos!J17</f>
        <v>0</v>
      </c>
      <c r="J18" s="6" t="s">
        <v>346</v>
      </c>
      <c r="K18" s="6" t="s">
        <v>16</v>
      </c>
      <c r="L18" s="6" t="s">
        <v>16</v>
      </c>
      <c r="M18" s="6" t="s">
        <v>16</v>
      </c>
      <c r="N18" s="6" t="s">
        <v>16</v>
      </c>
      <c r="O18" s="6" t="s">
        <v>16</v>
      </c>
      <c r="P18" s="6" t="s">
        <v>16</v>
      </c>
      <c r="Q18" s="6" t="str">
        <f t="shared" si="0"/>
        <v>Aplicar identificación avanzada-condición aceptable para cada tipo de factor de riesgo identificado</v>
      </c>
    </row>
    <row r="19" spans="1:17" ht="45">
      <c r="A19" s="70">
        <f>Datos!A18</f>
        <v>17</v>
      </c>
      <c r="B19" s="70" t="str">
        <f>Datos!B18</f>
        <v>Desposte</v>
      </c>
      <c r="C19" s="71" t="str">
        <f>Datos!C18</f>
        <v>Operario de producción línea Principal 1</v>
      </c>
      <c r="D19" s="71" t="str">
        <f>Datos!D18</f>
        <v>Deshuesado de panceta</v>
      </c>
      <c r="E19" s="71" t="str">
        <f>Datos!F18</f>
        <v>Am: 07:00 a 16:00 - PM: 17:15 a 02:45</v>
      </c>
      <c r="F19" s="71" t="str">
        <f>Datos!G18</f>
        <v>0.5</v>
      </c>
      <c r="G19" s="71">
        <f>Datos!H18</f>
        <v>4.5</v>
      </c>
      <c r="H19" s="71">
        <f>Datos!I18</f>
        <v>72</v>
      </c>
      <c r="I19" s="71">
        <f>Datos!J18</f>
        <v>0</v>
      </c>
      <c r="J19" s="6" t="s">
        <v>346</v>
      </c>
      <c r="K19" s="6" t="s">
        <v>16</v>
      </c>
      <c r="L19" s="6" t="s">
        <v>16</v>
      </c>
      <c r="M19" s="6" t="s">
        <v>16</v>
      </c>
      <c r="N19" s="6" t="s">
        <v>16</v>
      </c>
      <c r="O19" s="6" t="s">
        <v>16</v>
      </c>
      <c r="P19" s="6" t="s">
        <v>346</v>
      </c>
      <c r="Q19" s="6" t="str">
        <f t="shared" si="0"/>
        <v>Aplicar identificación avanzada-condición aceptable para cada tipo de factor de riesgo identificado</v>
      </c>
    </row>
    <row r="20" spans="1:17" ht="45">
      <c r="A20" s="70">
        <f>Datos!A19</f>
        <v>18</v>
      </c>
      <c r="B20" s="70" t="str">
        <f>Datos!B19</f>
        <v>Desposte</v>
      </c>
      <c r="C20" s="71" t="str">
        <f>Datos!C19</f>
        <v>Operario de producción Línea Lomos</v>
      </c>
      <c r="D20" s="71" t="str">
        <f>Datos!D19</f>
        <v xml:space="preserve">Operador Descueradora Manual </v>
      </c>
      <c r="E20" s="71" t="str">
        <f>Datos!F19</f>
        <v>Am: 07:00 a 16:00 - PM: 17:15 a 02:45</v>
      </c>
      <c r="F20" s="71" t="str">
        <f>Datos!G19</f>
        <v>0.5</v>
      </c>
      <c r="G20" s="71">
        <f>Datos!H19</f>
        <v>4.5</v>
      </c>
      <c r="H20" s="71">
        <f>Datos!I19</f>
        <v>57</v>
      </c>
      <c r="I20" s="71">
        <f>Datos!J19</f>
        <v>29</v>
      </c>
      <c r="J20" s="6" t="s">
        <v>346</v>
      </c>
      <c r="K20" s="6" t="s">
        <v>16</v>
      </c>
      <c r="L20" s="6" t="s">
        <v>346</v>
      </c>
      <c r="M20" s="6" t="s">
        <v>16</v>
      </c>
      <c r="N20" s="6" t="s">
        <v>16</v>
      </c>
      <c r="O20" s="6" t="s">
        <v>16</v>
      </c>
      <c r="P20" s="6" t="s">
        <v>16</v>
      </c>
      <c r="Q20" s="6" t="str">
        <f t="shared" si="0"/>
        <v>Aplicar identificación avanzada-condición aceptable para cada tipo de factor de riesgo identificado</v>
      </c>
    </row>
    <row r="21" spans="1:17" ht="45">
      <c r="A21" s="70">
        <f>Datos!A20</f>
        <v>19</v>
      </c>
      <c r="B21" s="70" t="str">
        <f>Datos!B20</f>
        <v>Desposte</v>
      </c>
      <c r="C21" s="71" t="str">
        <f>Datos!C20</f>
        <v>Operario de producción Línea Lomos</v>
      </c>
      <c r="D21" s="71" t="str">
        <f>Datos!D20</f>
        <v>Posicionamiento de lomo tecla</v>
      </c>
      <c r="E21" s="71" t="str">
        <f>Datos!F20</f>
        <v>Am: 07:00 a 16:00 - PM: 17:15 a 02:45</v>
      </c>
      <c r="F21" s="71" t="str">
        <f>Datos!G20</f>
        <v>0.5</v>
      </c>
      <c r="G21" s="71">
        <f>Datos!H20</f>
        <v>4.5</v>
      </c>
      <c r="H21" s="71">
        <f>Datos!I20</f>
        <v>57</v>
      </c>
      <c r="I21" s="71">
        <f>Datos!J20</f>
        <v>0</v>
      </c>
      <c r="J21" s="6" t="s">
        <v>346</v>
      </c>
      <c r="K21" s="6" t="s">
        <v>16</v>
      </c>
      <c r="L21" s="6" t="s">
        <v>16</v>
      </c>
      <c r="M21" s="6" t="s">
        <v>16</v>
      </c>
      <c r="N21" s="6" t="s">
        <v>16</v>
      </c>
      <c r="O21" s="6" t="s">
        <v>16</v>
      </c>
      <c r="P21" s="6" t="s">
        <v>16</v>
      </c>
      <c r="Q21" s="6" t="str">
        <f t="shared" si="0"/>
        <v>Aplicar identificación avanzada-condición aceptable para cada tipo de factor de riesgo identificado</v>
      </c>
    </row>
    <row r="22" spans="1:17" ht="45">
      <c r="A22" s="70">
        <f>Datos!A21</f>
        <v>20</v>
      </c>
      <c r="B22" s="70" t="str">
        <f>Datos!B21</f>
        <v>Desposte</v>
      </c>
      <c r="C22" s="71" t="str">
        <f>Datos!C21</f>
        <v>Operario de producción Línea Lomos</v>
      </c>
      <c r="D22" s="71" t="str">
        <f>Datos!D21</f>
        <v>Prolijado de lomo tecla extracción de cordon</v>
      </c>
      <c r="E22" s="71" t="str">
        <f>Datos!F21</f>
        <v>Am: 07:00 a 16:00 - PM: 17:15 a 02:45</v>
      </c>
      <c r="F22" s="71" t="str">
        <f>Datos!G21</f>
        <v>0.5</v>
      </c>
      <c r="G22" s="71">
        <f>Datos!H21</f>
        <v>4.5</v>
      </c>
      <c r="H22" s="71">
        <f>Datos!I21</f>
        <v>57</v>
      </c>
      <c r="I22" s="71">
        <f>Datos!J21</f>
        <v>0</v>
      </c>
      <c r="J22" s="6" t="s">
        <v>346</v>
      </c>
      <c r="K22" s="6" t="s">
        <v>16</v>
      </c>
      <c r="L22" s="6" t="s">
        <v>16</v>
      </c>
      <c r="M22" s="6" t="s">
        <v>16</v>
      </c>
      <c r="N22" s="6" t="s">
        <v>16</v>
      </c>
      <c r="O22" s="6" t="s">
        <v>16</v>
      </c>
      <c r="P22" s="6" t="s">
        <v>346</v>
      </c>
      <c r="Q22" s="6" t="str">
        <f t="shared" si="0"/>
        <v>Aplicar identificación avanzada-condición aceptable para cada tipo de factor de riesgo identificado</v>
      </c>
    </row>
    <row r="23" spans="1:17" ht="45">
      <c r="A23" s="70">
        <f>Datos!A22</f>
        <v>21</v>
      </c>
      <c r="B23" s="70" t="str">
        <f>Datos!B22</f>
        <v>Desposte</v>
      </c>
      <c r="C23" s="71" t="str">
        <f>Datos!C22</f>
        <v>Operario de producción Línea Lomos</v>
      </c>
      <c r="D23" s="71" t="str">
        <f>Datos!D22</f>
        <v>Extracción de cuero a tocino</v>
      </c>
      <c r="E23" s="71" t="str">
        <f>Datos!F22</f>
        <v>Am: 07:00 a 16:00 - PM: 17:15 a 02:45</v>
      </c>
      <c r="F23" s="71" t="str">
        <f>Datos!G22</f>
        <v>0.5</v>
      </c>
      <c r="G23" s="71">
        <f>Datos!H22</f>
        <v>4.5</v>
      </c>
      <c r="H23" s="71">
        <f>Datos!I22</f>
        <v>57</v>
      </c>
      <c r="I23" s="71">
        <f>Datos!J22</f>
        <v>0</v>
      </c>
      <c r="J23" s="6" t="s">
        <v>346</v>
      </c>
      <c r="K23" s="6" t="s">
        <v>16</v>
      </c>
      <c r="L23" s="6" t="s">
        <v>16</v>
      </c>
      <c r="M23" s="6" t="s">
        <v>16</v>
      </c>
      <c r="N23" s="6" t="s">
        <v>16</v>
      </c>
      <c r="O23" s="6" t="s">
        <v>16</v>
      </c>
      <c r="P23" s="6" t="s">
        <v>16</v>
      </c>
      <c r="Q23" s="6" t="str">
        <f t="shared" si="0"/>
        <v>Aplicar identificación avanzada-condición aceptable para cada tipo de factor de riesgo identificado</v>
      </c>
    </row>
    <row r="24" spans="1:17" ht="45">
      <c r="A24" s="70">
        <f>Datos!A23</f>
        <v>22</v>
      </c>
      <c r="B24" s="70" t="str">
        <f>Datos!B23</f>
        <v>Desposte</v>
      </c>
      <c r="C24" s="71" t="str">
        <f>Datos!C23</f>
        <v>Operario de producción Línea Lomos</v>
      </c>
      <c r="D24" s="71" t="str">
        <f>Datos!D23</f>
        <v xml:space="preserve">Rayado de lomo tecla </v>
      </c>
      <c r="E24" s="71" t="str">
        <f>Datos!F23</f>
        <v>Am: 07:00 a 16:00 - PM: 17:15 a 02:45</v>
      </c>
      <c r="F24" s="71" t="str">
        <f>Datos!G23</f>
        <v>0.5</v>
      </c>
      <c r="G24" s="71">
        <f>Datos!H23</f>
        <v>4.5</v>
      </c>
      <c r="H24" s="71">
        <f>Datos!I23</f>
        <v>57</v>
      </c>
      <c r="I24" s="71">
        <f>Datos!J23</f>
        <v>0</v>
      </c>
      <c r="J24" s="6" t="s">
        <v>346</v>
      </c>
      <c r="K24" s="6" t="s">
        <v>16</v>
      </c>
      <c r="L24" s="6" t="s">
        <v>16</v>
      </c>
      <c r="M24" s="6" t="s">
        <v>16</v>
      </c>
      <c r="N24" s="6" t="s">
        <v>16</v>
      </c>
      <c r="O24" s="6" t="s">
        <v>16</v>
      </c>
      <c r="P24" s="6" t="s">
        <v>16</v>
      </c>
      <c r="Q24" s="6" t="str">
        <f t="shared" si="0"/>
        <v>Aplicar identificación avanzada-condición aceptable para cada tipo de factor de riesgo identificado</v>
      </c>
    </row>
    <row r="25" spans="1:17" ht="45">
      <c r="A25" s="70">
        <f>Datos!A24</f>
        <v>23</v>
      </c>
      <c r="B25" s="70" t="str">
        <f>Datos!B24</f>
        <v>Desposte</v>
      </c>
      <c r="C25" s="71" t="str">
        <f>Datos!C24</f>
        <v>Operario de producción Línea Lomos</v>
      </c>
      <c r="D25" s="71" t="str">
        <f>Datos!D24</f>
        <v>Rayado de lomo</v>
      </c>
      <c r="E25" s="71" t="str">
        <f>Datos!F24</f>
        <v>Am: 07:00 a 16:00 - PM: 17:15 a 02:45</v>
      </c>
      <c r="F25" s="71" t="str">
        <f>Datos!G24</f>
        <v>0.5</v>
      </c>
      <c r="G25" s="71">
        <f>Datos!H24</f>
        <v>4.5</v>
      </c>
      <c r="H25" s="71">
        <f>Datos!I24</f>
        <v>57</v>
      </c>
      <c r="I25" s="71">
        <f>Datos!J24</f>
        <v>0</v>
      </c>
      <c r="J25" s="6" t="s">
        <v>346</v>
      </c>
      <c r="K25" s="6" t="s">
        <v>16</v>
      </c>
      <c r="L25" s="6" t="s">
        <v>16</v>
      </c>
      <c r="M25" s="6" t="s">
        <v>16</v>
      </c>
      <c r="N25" s="6" t="s">
        <v>16</v>
      </c>
      <c r="O25" s="6" t="s">
        <v>16</v>
      </c>
      <c r="P25" s="6" t="s">
        <v>16</v>
      </c>
      <c r="Q25" s="6" t="str">
        <f t="shared" si="0"/>
        <v>Aplicar identificación avanzada-condición aceptable para cada tipo de factor de riesgo identificado</v>
      </c>
    </row>
    <row r="26" spans="1:17" ht="45">
      <c r="A26" s="70">
        <f>Datos!A25</f>
        <v>24</v>
      </c>
      <c r="B26" s="70" t="str">
        <f>Datos!B25</f>
        <v>Desposte</v>
      </c>
      <c r="C26" s="71" t="str">
        <f>Datos!C25</f>
        <v>Operario de producción Línea Lomos</v>
      </c>
      <c r="D26" s="71" t="str">
        <f>Datos!D25</f>
        <v>Operador de Desprendedora de Lomo</v>
      </c>
      <c r="E26" s="71" t="str">
        <f>Datos!F25</f>
        <v>Am: 07:00 a 16:00 - PM: 17:15 a 02:45</v>
      </c>
      <c r="F26" s="71" t="str">
        <f>Datos!G25</f>
        <v>0.5</v>
      </c>
      <c r="G26" s="71">
        <f>Datos!H25</f>
        <v>4.5</v>
      </c>
      <c r="H26" s="71">
        <f>Datos!I25</f>
        <v>57</v>
      </c>
      <c r="I26" s="71">
        <f>Datos!J25</f>
        <v>0</v>
      </c>
      <c r="J26" s="6" t="s">
        <v>346</v>
      </c>
      <c r="K26" s="6" t="s">
        <v>16</v>
      </c>
      <c r="L26" s="6" t="s">
        <v>16</v>
      </c>
      <c r="M26" s="6" t="s">
        <v>16</v>
      </c>
      <c r="N26" s="6" t="s">
        <v>16</v>
      </c>
      <c r="O26" s="6" t="s">
        <v>16</v>
      </c>
      <c r="P26" s="6" t="s">
        <v>16</v>
      </c>
      <c r="Q26" s="6" t="str">
        <f t="shared" si="0"/>
        <v>Aplicar identificación avanzada-condición aceptable para cada tipo de factor de riesgo identificado</v>
      </c>
    </row>
    <row r="27" spans="1:17" ht="45">
      <c r="A27" s="70">
        <f>Datos!A26</f>
        <v>25</v>
      </c>
      <c r="B27" s="70" t="str">
        <f>Datos!B26</f>
        <v>Desposte</v>
      </c>
      <c r="C27" s="71" t="str">
        <f>Datos!C26</f>
        <v>Operario de producción Línea Lomos</v>
      </c>
      <c r="D27" s="71" t="str">
        <f>Datos!D26</f>
        <v>Prolijado de lomo tocino</v>
      </c>
      <c r="E27" s="71" t="str">
        <f>Datos!F26</f>
        <v>Am: 07:00 a 16:00 - PM: 17:15 a 02:45</v>
      </c>
      <c r="F27" s="71" t="str">
        <f>Datos!G26</f>
        <v>0.5</v>
      </c>
      <c r="G27" s="71">
        <f>Datos!H26</f>
        <v>4.5</v>
      </c>
      <c r="H27" s="71">
        <f>Datos!I26</f>
        <v>57</v>
      </c>
      <c r="I27" s="71">
        <f>Datos!J26</f>
        <v>0</v>
      </c>
      <c r="J27" s="6" t="s">
        <v>346</v>
      </c>
      <c r="K27" s="6" t="s">
        <v>16</v>
      </c>
      <c r="L27" s="6" t="s">
        <v>16</v>
      </c>
      <c r="M27" s="6" t="s">
        <v>16</v>
      </c>
      <c r="N27" s="6" t="s">
        <v>16</v>
      </c>
      <c r="O27" s="6" t="s">
        <v>16</v>
      </c>
      <c r="P27" s="6" t="s">
        <v>346</v>
      </c>
      <c r="Q27" s="6" t="str">
        <f t="shared" si="0"/>
        <v>Aplicar identificación avanzada-condición aceptable para cada tipo de factor de riesgo identificado</v>
      </c>
    </row>
    <row r="28" spans="1:17" ht="45">
      <c r="A28" s="70">
        <f>Datos!A27</f>
        <v>26</v>
      </c>
      <c r="B28" s="70" t="str">
        <f>Datos!B27</f>
        <v>Desposte</v>
      </c>
      <c r="C28" s="71" t="str">
        <f>Datos!C27</f>
        <v>Operario de producción Línea Lomos</v>
      </c>
      <c r="D28" s="71" t="str">
        <f>Datos!D27</f>
        <v>Cuadrado de lomo tecla</v>
      </c>
      <c r="E28" s="71" t="str">
        <f>Datos!F27</f>
        <v>Am: 07:00 a 16:00 - PM: 17:15 a 02:45</v>
      </c>
      <c r="F28" s="71" t="str">
        <f>Datos!G27</f>
        <v>0.5</v>
      </c>
      <c r="G28" s="71">
        <f>Datos!H27</f>
        <v>4.5</v>
      </c>
      <c r="H28" s="71">
        <f>Datos!I27</f>
        <v>57</v>
      </c>
      <c r="I28" s="71">
        <f>Datos!J27</f>
        <v>0</v>
      </c>
      <c r="J28" s="6" t="s">
        <v>346</v>
      </c>
      <c r="K28" s="6" t="s">
        <v>16</v>
      </c>
      <c r="L28" s="6" t="s">
        <v>16</v>
      </c>
      <c r="M28" s="6" t="s">
        <v>16</v>
      </c>
      <c r="N28" s="6" t="s">
        <v>16</v>
      </c>
      <c r="O28" s="6" t="s">
        <v>16</v>
      </c>
      <c r="P28" s="6" t="s">
        <v>16</v>
      </c>
      <c r="Q28" s="6" t="str">
        <f t="shared" si="0"/>
        <v>Aplicar identificación avanzada-condición aceptable para cada tipo de factor de riesgo identificado</v>
      </c>
    </row>
    <row r="29" spans="1:17" ht="45">
      <c r="A29" s="70">
        <f>Datos!A28</f>
        <v>27</v>
      </c>
      <c r="B29" s="70" t="str">
        <f>Datos!B28</f>
        <v>Desposte</v>
      </c>
      <c r="C29" s="71" t="str">
        <f>Datos!C28</f>
        <v>Operario de producción Línea Lomos</v>
      </c>
      <c r="D29" s="71" t="str">
        <f>Datos!D28</f>
        <v>Distribuidor de lomos</v>
      </c>
      <c r="E29" s="71" t="str">
        <f>Datos!F28</f>
        <v>Am: 07:00 a 16:00 - PM: 17:15 a 02:45</v>
      </c>
      <c r="F29" s="71" t="str">
        <f>Datos!G28</f>
        <v>0.5</v>
      </c>
      <c r="G29" s="71">
        <f>Datos!H28</f>
        <v>4.5</v>
      </c>
      <c r="H29" s="71">
        <f>Datos!I28</f>
        <v>57</v>
      </c>
      <c r="I29" s="71">
        <f>Datos!J28</f>
        <v>0</v>
      </c>
      <c r="J29" s="6" t="s">
        <v>346</v>
      </c>
      <c r="K29" s="6" t="s">
        <v>16</v>
      </c>
      <c r="L29" s="6" t="s">
        <v>16</v>
      </c>
      <c r="M29" s="6" t="s">
        <v>16</v>
      </c>
      <c r="N29" s="6" t="s">
        <v>16</v>
      </c>
      <c r="O29" s="6" t="s">
        <v>16</v>
      </c>
      <c r="P29" s="6" t="s">
        <v>16</v>
      </c>
      <c r="Q29" s="6" t="str">
        <f t="shared" si="0"/>
        <v>Aplicar identificación avanzada-condición aceptable para cada tipo de factor de riesgo identificado</v>
      </c>
    </row>
    <row r="30" spans="1:17" ht="45">
      <c r="A30" s="70">
        <f>Datos!A29</f>
        <v>28</v>
      </c>
      <c r="B30" s="70" t="str">
        <f>Datos!B29</f>
        <v>Desposte</v>
      </c>
      <c r="C30" s="71" t="str">
        <f>Datos!C29</f>
        <v>Operario de producción Línea Lomos</v>
      </c>
      <c r="D30" s="71" t="str">
        <f>Datos!D29</f>
        <v>Extraccion de cordon de lomo</v>
      </c>
      <c r="E30" s="71" t="str">
        <f>Datos!F29</f>
        <v>Am: 07:00 a 16:00 - PM: 17:15 a 02:45</v>
      </c>
      <c r="F30" s="71" t="str">
        <f>Datos!G29</f>
        <v>0.5</v>
      </c>
      <c r="G30" s="71">
        <f>Datos!H29</f>
        <v>4.5</v>
      </c>
      <c r="H30" s="71">
        <f>Datos!I29</f>
        <v>57</v>
      </c>
      <c r="I30" s="71">
        <f>Datos!J29</f>
        <v>0</v>
      </c>
      <c r="J30" s="6" t="s">
        <v>346</v>
      </c>
      <c r="K30" s="6" t="s">
        <v>16</v>
      </c>
      <c r="L30" s="6" t="s">
        <v>16</v>
      </c>
      <c r="M30" s="6" t="s">
        <v>16</v>
      </c>
      <c r="N30" s="6" t="s">
        <v>16</v>
      </c>
      <c r="O30" s="6" t="s">
        <v>16</v>
      </c>
      <c r="P30" s="6" t="s">
        <v>346</v>
      </c>
      <c r="Q30" s="6" t="str">
        <f t="shared" si="0"/>
        <v>Aplicar identificación avanzada-condición aceptable para cada tipo de factor de riesgo identificado</v>
      </c>
    </row>
    <row r="31" spans="1:17" ht="45">
      <c r="A31" s="70">
        <f>Datos!A30</f>
        <v>29</v>
      </c>
      <c r="B31" s="70" t="str">
        <f>Datos!B30</f>
        <v>Desposte</v>
      </c>
      <c r="C31" s="71" t="str">
        <f>Datos!C30</f>
        <v>Operario de producción Línea Lomos</v>
      </c>
      <c r="D31" s="71" t="str">
        <f>Datos!D30</f>
        <v>Prolijado de lomo con cuchillo circular</v>
      </c>
      <c r="E31" s="71" t="str">
        <f>Datos!F30</f>
        <v>Am: 07:00 a 16:00 - PM: 17:15 a 02:45</v>
      </c>
      <c r="F31" s="71" t="str">
        <f>Datos!G30</f>
        <v>0.5</v>
      </c>
      <c r="G31" s="71">
        <f>Datos!H30</f>
        <v>4.5</v>
      </c>
      <c r="H31" s="71">
        <f>Datos!I30</f>
        <v>57</v>
      </c>
      <c r="I31" s="71">
        <f>Datos!J30</f>
        <v>0</v>
      </c>
      <c r="J31" s="6" t="s">
        <v>346</v>
      </c>
      <c r="K31" s="6" t="s">
        <v>16</v>
      </c>
      <c r="L31" s="6" t="s">
        <v>16</v>
      </c>
      <c r="M31" s="6" t="s">
        <v>16</v>
      </c>
      <c r="N31" s="6" t="s">
        <v>16</v>
      </c>
      <c r="O31" s="6" t="s">
        <v>16</v>
      </c>
      <c r="P31" s="6" t="s">
        <v>346</v>
      </c>
      <c r="Q31" s="6" t="str">
        <f t="shared" si="0"/>
        <v>Aplicar identificación avanzada-condición aceptable para cada tipo de factor de riesgo identificado</v>
      </c>
    </row>
    <row r="32" spans="1:17" ht="45">
      <c r="A32" s="70">
        <f>Datos!A31</f>
        <v>30</v>
      </c>
      <c r="B32" s="70" t="str">
        <f>Datos!B31</f>
        <v>Desposte</v>
      </c>
      <c r="C32" s="71" t="str">
        <f>Datos!C31</f>
        <v>Operario de producción Línea Lomos</v>
      </c>
      <c r="D32" s="71" t="str">
        <f>Datos!D31</f>
        <v>Cuadrado de lomo</v>
      </c>
      <c r="E32" s="71" t="str">
        <f>Datos!F31</f>
        <v>Am: 07:00 a 16:00 - PM: 17:15 a 02:45</v>
      </c>
      <c r="F32" s="71" t="str">
        <f>Datos!G31</f>
        <v>0.5</v>
      </c>
      <c r="G32" s="71">
        <f>Datos!H31</f>
        <v>4.5</v>
      </c>
      <c r="H32" s="71">
        <f>Datos!I31</f>
        <v>57</v>
      </c>
      <c r="I32" s="71">
        <f>Datos!J31</f>
        <v>0</v>
      </c>
      <c r="J32" s="6" t="s">
        <v>346</v>
      </c>
      <c r="K32" s="6" t="s">
        <v>16</v>
      </c>
      <c r="L32" s="6" t="s">
        <v>16</v>
      </c>
      <c r="M32" s="6" t="s">
        <v>16</v>
      </c>
      <c r="N32" s="6" t="s">
        <v>16</v>
      </c>
      <c r="O32" s="6" t="s">
        <v>16</v>
      </c>
      <c r="P32" s="6" t="s">
        <v>16</v>
      </c>
      <c r="Q32" s="6" t="str">
        <f t="shared" si="0"/>
        <v>Aplicar identificación avanzada-condición aceptable para cada tipo de factor de riesgo identificado</v>
      </c>
    </row>
    <row r="33" spans="1:17" ht="45">
      <c r="A33" s="70">
        <f>Datos!A32</f>
        <v>31</v>
      </c>
      <c r="B33" s="70" t="str">
        <f>Datos!B32</f>
        <v>Desposte</v>
      </c>
      <c r="C33" s="71" t="str">
        <f>Datos!C32</f>
        <v>Operario de producción Línea Lomos</v>
      </c>
      <c r="D33" s="71" t="str">
        <f>Datos!D32</f>
        <v>Operador de equipo Freund</v>
      </c>
      <c r="E33" s="71" t="str">
        <f>Datos!F32</f>
        <v>Am: 07:00 a 16:00 - PM: 17:15 a 02:45</v>
      </c>
      <c r="F33" s="71" t="str">
        <f>Datos!G32</f>
        <v>0.5</v>
      </c>
      <c r="G33" s="71">
        <f>Datos!H32</f>
        <v>4.5</v>
      </c>
      <c r="H33" s="71">
        <f>Datos!I32</f>
        <v>57</v>
      </c>
      <c r="I33" s="71">
        <f>Datos!J32</f>
        <v>0</v>
      </c>
      <c r="J33" s="6" t="s">
        <v>346</v>
      </c>
      <c r="K33" s="6" t="s">
        <v>16</v>
      </c>
      <c r="L33" s="6" t="s">
        <v>346</v>
      </c>
      <c r="M33" s="6" t="s">
        <v>16</v>
      </c>
      <c r="N33" s="6" t="s">
        <v>16</v>
      </c>
      <c r="O33" s="6" t="s">
        <v>16</v>
      </c>
      <c r="P33" s="6" t="s">
        <v>16</v>
      </c>
      <c r="Q33" s="6" t="str">
        <f t="shared" si="0"/>
        <v>Aplicar identificación avanzada-condición aceptable para cada tipo de factor de riesgo identificado</v>
      </c>
    </row>
    <row r="34" spans="1:17" ht="45">
      <c r="A34" s="70">
        <f>Datos!A33</f>
        <v>32</v>
      </c>
      <c r="B34" s="70" t="str">
        <f>Datos!B33</f>
        <v>Desposte</v>
      </c>
      <c r="C34" s="71" t="str">
        <f>Datos!C33</f>
        <v>Operario de producción Línea Lomos</v>
      </c>
      <c r="D34" s="71" t="str">
        <f>Datos!D33</f>
        <v>Operador de Tira Hueso</v>
      </c>
      <c r="E34" s="71" t="str">
        <f>Datos!F33</f>
        <v>Am: 07:00 a 16:00 - PM: 17:15 a 02:45</v>
      </c>
      <c r="F34" s="71" t="str">
        <f>Datos!G33</f>
        <v>0.5</v>
      </c>
      <c r="G34" s="71">
        <f>Datos!H33</f>
        <v>4.5</v>
      </c>
      <c r="H34" s="71">
        <f>Datos!I33</f>
        <v>57</v>
      </c>
      <c r="I34" s="71">
        <f>Datos!J33</f>
        <v>0</v>
      </c>
      <c r="J34" s="6" t="s">
        <v>346</v>
      </c>
      <c r="K34" s="6" t="s">
        <v>16</v>
      </c>
      <c r="L34" s="6" t="s">
        <v>346</v>
      </c>
      <c r="M34" s="6" t="s">
        <v>16</v>
      </c>
      <c r="N34" s="6" t="s">
        <v>16</v>
      </c>
      <c r="O34" s="6" t="s">
        <v>16</v>
      </c>
      <c r="P34" s="6" t="s">
        <v>16</v>
      </c>
      <c r="Q34" s="6" t="str">
        <f t="shared" si="0"/>
        <v>Aplicar identificación avanzada-condición aceptable para cada tipo de factor de riesgo identificado</v>
      </c>
    </row>
    <row r="35" spans="1:17" ht="45">
      <c r="A35" s="70">
        <f>Datos!A34</f>
        <v>33</v>
      </c>
      <c r="B35" s="70" t="str">
        <f>Datos!B34</f>
        <v>Desposte</v>
      </c>
      <c r="C35" s="71" t="str">
        <f>Datos!C34</f>
        <v>Operario de producción Línea Lomos</v>
      </c>
      <c r="D35" s="71" t="str">
        <f>Datos!D34</f>
        <v>Operador de MA 100</v>
      </c>
      <c r="E35" s="71" t="str">
        <f>Datos!F34</f>
        <v>Am: 07:00 a 16:00 - PM: 17:15 a 02:45</v>
      </c>
      <c r="F35" s="71" t="str">
        <f>Datos!G34</f>
        <v>0.5</v>
      </c>
      <c r="G35" s="71">
        <f>Datos!H34</f>
        <v>4.5</v>
      </c>
      <c r="H35" s="71">
        <f>Datos!I34</f>
        <v>57</v>
      </c>
      <c r="I35" s="71">
        <f>Datos!J34</f>
        <v>29</v>
      </c>
      <c r="J35" s="6" t="s">
        <v>346</v>
      </c>
      <c r="K35" s="6" t="s">
        <v>16</v>
      </c>
      <c r="L35" s="6" t="s">
        <v>16</v>
      </c>
      <c r="M35" s="6" t="s">
        <v>16</v>
      </c>
      <c r="N35" s="6" t="s">
        <v>16</v>
      </c>
      <c r="O35" s="6" t="s">
        <v>16</v>
      </c>
      <c r="P35" s="6" t="s">
        <v>16</v>
      </c>
      <c r="Q35" s="6" t="str">
        <f t="shared" si="0"/>
        <v>Aplicar identificación avanzada-condición aceptable para cada tipo de factor de riesgo identificado</v>
      </c>
    </row>
    <row r="36" spans="1:17" ht="45">
      <c r="A36" s="70">
        <f>Datos!A35</f>
        <v>34</v>
      </c>
      <c r="B36" s="70" t="str">
        <f>Datos!B35</f>
        <v>Desposte</v>
      </c>
      <c r="C36" s="71" t="str">
        <f>Datos!C35</f>
        <v>Operario de producción Línea Lomos</v>
      </c>
      <c r="D36" s="71" t="str">
        <f>Datos!D35</f>
        <v>Separación de resto tira hueso</v>
      </c>
      <c r="E36" s="71" t="str">
        <f>Datos!F35</f>
        <v>Am: 07:00 a 16:00 - PM: 17:15 a 02:45</v>
      </c>
      <c r="F36" s="71" t="str">
        <f>Datos!G35</f>
        <v>0.5</v>
      </c>
      <c r="G36" s="71">
        <f>Datos!H35</f>
        <v>4.5</v>
      </c>
      <c r="H36" s="71">
        <f>Datos!I35</f>
        <v>57</v>
      </c>
      <c r="I36" s="71">
        <f>Datos!J35</f>
        <v>29</v>
      </c>
      <c r="J36" s="6" t="s">
        <v>346</v>
      </c>
      <c r="K36" s="6" t="s">
        <v>16</v>
      </c>
      <c r="L36" s="6" t="s">
        <v>16</v>
      </c>
      <c r="M36" s="6" t="s">
        <v>16</v>
      </c>
      <c r="N36" s="6" t="s">
        <v>16</v>
      </c>
      <c r="O36" s="6" t="s">
        <v>16</v>
      </c>
      <c r="P36" s="6" t="s">
        <v>16</v>
      </c>
      <c r="Q36" s="6" t="str">
        <f t="shared" si="0"/>
        <v>Aplicar identificación avanzada-condición aceptable para cada tipo de factor de riesgo identificado</v>
      </c>
    </row>
    <row r="37" spans="1:17" ht="45">
      <c r="A37" s="70">
        <f>Datos!A36</f>
        <v>35</v>
      </c>
      <c r="B37" s="70" t="str">
        <f>Datos!B36</f>
        <v>Desposte</v>
      </c>
      <c r="C37" s="71" t="str">
        <f>Datos!C36</f>
        <v>Operario de producción Línea Lomos</v>
      </c>
      <c r="D37" s="71" t="str">
        <f>Datos!D36</f>
        <v>Prolijado de tailen</v>
      </c>
      <c r="E37" s="71" t="str">
        <f>Datos!F36</f>
        <v>Am: 07:00 a 16:00 - PM: 17:15 a 02:45</v>
      </c>
      <c r="F37" s="71" t="str">
        <f>Datos!G36</f>
        <v>0.5</v>
      </c>
      <c r="G37" s="71">
        <f>Datos!H36</f>
        <v>4.5</v>
      </c>
      <c r="H37" s="71">
        <f>Datos!I36</f>
        <v>0</v>
      </c>
      <c r="I37" s="71">
        <f>Datos!J36</f>
        <v>29</v>
      </c>
      <c r="J37" s="6" t="s">
        <v>346</v>
      </c>
      <c r="K37" s="6" t="s">
        <v>16</v>
      </c>
      <c r="L37" s="6" t="s">
        <v>16</v>
      </c>
      <c r="M37" s="6" t="s">
        <v>16</v>
      </c>
      <c r="N37" s="6" t="s">
        <v>16</v>
      </c>
      <c r="O37" s="6" t="s">
        <v>16</v>
      </c>
      <c r="P37" s="6" t="s">
        <v>16</v>
      </c>
      <c r="Q37" s="6" t="str">
        <f t="shared" si="0"/>
        <v>Aplicar identificación avanzada-condición aceptable para cada tipo de factor de riesgo identificado</v>
      </c>
    </row>
    <row r="38" spans="1:17" ht="45">
      <c r="A38" s="70">
        <f>Datos!A37</f>
        <v>36</v>
      </c>
      <c r="B38" s="70" t="str">
        <f>Datos!B37</f>
        <v>Desposte</v>
      </c>
      <c r="C38" s="71" t="str">
        <f>Datos!C37</f>
        <v>Operario de producción Línea Lomos</v>
      </c>
      <c r="D38" s="71" t="str">
        <f>Datos!D37</f>
        <v>Calibrado de tailen</v>
      </c>
      <c r="E38" s="71" t="str">
        <f>Datos!F37</f>
        <v>Am: 07:00 a 16:00 - PM: 17:15 a 02:45</v>
      </c>
      <c r="F38" s="71" t="str">
        <f>Datos!G37</f>
        <v>0.5</v>
      </c>
      <c r="G38" s="71">
        <f>Datos!H37</f>
        <v>4.5</v>
      </c>
      <c r="H38" s="71">
        <f>Datos!I37</f>
        <v>0</v>
      </c>
      <c r="I38" s="71">
        <f>Datos!J37</f>
        <v>29</v>
      </c>
      <c r="J38" s="6" t="s">
        <v>346</v>
      </c>
      <c r="K38" s="6" t="s">
        <v>16</v>
      </c>
      <c r="L38" s="6" t="s">
        <v>16</v>
      </c>
      <c r="M38" s="6" t="s">
        <v>16</v>
      </c>
      <c r="N38" s="6" t="s">
        <v>16</v>
      </c>
      <c r="O38" s="6" t="s">
        <v>16</v>
      </c>
      <c r="P38" s="6" t="s">
        <v>16</v>
      </c>
      <c r="Q38" s="6" t="str">
        <f t="shared" si="0"/>
        <v>Aplicar identificación avanzada-condición aceptable para cada tipo de factor de riesgo identificado</v>
      </c>
    </row>
    <row r="39" spans="1:17" ht="45">
      <c r="A39" s="70">
        <f>Datos!A38</f>
        <v>37</v>
      </c>
      <c r="B39" s="70" t="str">
        <f>Datos!B38</f>
        <v>Desposte</v>
      </c>
      <c r="C39" s="71" t="str">
        <f>Datos!C38</f>
        <v>Operario de producción Línea Lomos</v>
      </c>
      <c r="D39" s="71" t="str">
        <f>Datos!D38</f>
        <v>Calibrado de baby back ribs</v>
      </c>
      <c r="E39" s="71" t="str">
        <f>Datos!F38</f>
        <v>Am: 07:00 a 16:00 - PM: 17:15 a 02:45</v>
      </c>
      <c r="F39" s="71" t="str">
        <f>Datos!G38</f>
        <v>0.5</v>
      </c>
      <c r="G39" s="71">
        <f>Datos!H38</f>
        <v>4.5</v>
      </c>
      <c r="H39" s="71">
        <f>Datos!I38</f>
        <v>0</v>
      </c>
      <c r="I39" s="71">
        <f>Datos!J38</f>
        <v>29</v>
      </c>
      <c r="J39" s="6" t="s">
        <v>346</v>
      </c>
      <c r="K39" s="6" t="s">
        <v>16</v>
      </c>
      <c r="L39" s="6" t="s">
        <v>16</v>
      </c>
      <c r="M39" s="6" t="s">
        <v>16</v>
      </c>
      <c r="N39" s="6" t="s">
        <v>16</v>
      </c>
      <c r="O39" s="6" t="s">
        <v>16</v>
      </c>
      <c r="P39" s="6" t="s">
        <v>16</v>
      </c>
      <c r="Q39" s="6" t="str">
        <f t="shared" si="0"/>
        <v>Aplicar identificación avanzada-condición aceptable para cada tipo de factor de riesgo identificado</v>
      </c>
    </row>
    <row r="40" spans="1:17" ht="45">
      <c r="A40" s="70">
        <f>Datos!A39</f>
        <v>38</v>
      </c>
      <c r="B40" s="70" t="str">
        <f>Datos!B39</f>
        <v>Desposte</v>
      </c>
      <c r="C40" s="71" t="str">
        <f>Datos!C39</f>
        <v>Operario de producción Línea Lomos</v>
      </c>
      <c r="D40" s="71" t="str">
        <f>Datos!D39</f>
        <v>Embalaje de baby back ribs</v>
      </c>
      <c r="E40" s="71" t="str">
        <f>Datos!F39</f>
        <v>Am: 07:00 a 16:00 - PM: 17:15 a 02:45</v>
      </c>
      <c r="F40" s="71" t="str">
        <f>Datos!G39</f>
        <v>0.5</v>
      </c>
      <c r="G40" s="71">
        <f>Datos!H39</f>
        <v>4.5</v>
      </c>
      <c r="H40" s="71">
        <f>Datos!I39</f>
        <v>0</v>
      </c>
      <c r="I40" s="71">
        <f>Datos!J39</f>
        <v>29</v>
      </c>
      <c r="J40" s="6" t="s">
        <v>346</v>
      </c>
      <c r="K40" s="6" t="s">
        <v>16</v>
      </c>
      <c r="L40" s="6" t="s">
        <v>16</v>
      </c>
      <c r="M40" s="6" t="s">
        <v>16</v>
      </c>
      <c r="N40" s="6" t="s">
        <v>16</v>
      </c>
      <c r="O40" s="6" t="s">
        <v>16</v>
      </c>
      <c r="P40" s="6" t="s">
        <v>16</v>
      </c>
      <c r="Q40" s="6" t="str">
        <f t="shared" si="0"/>
        <v>Aplicar identificación avanzada-condición aceptable para cada tipo de factor de riesgo identificado</v>
      </c>
    </row>
    <row r="41" spans="1:17" ht="45">
      <c r="A41" s="70">
        <f>Datos!A40</f>
        <v>39</v>
      </c>
      <c r="B41" s="70" t="str">
        <f>Datos!B40</f>
        <v>Desposte</v>
      </c>
      <c r="C41" s="71" t="str">
        <f>Datos!C40</f>
        <v>Operario de producción Línea Lomos</v>
      </c>
      <c r="D41" s="71" t="str">
        <f>Datos!D40</f>
        <v>Estuche</v>
      </c>
      <c r="E41" s="71" t="str">
        <f>Datos!F40</f>
        <v>Am: 07:00 a 16:00 - PM: 17:15 a 02:45</v>
      </c>
      <c r="F41" s="71" t="str">
        <f>Datos!G40</f>
        <v>0.5</v>
      </c>
      <c r="G41" s="71">
        <f>Datos!H40</f>
        <v>4.5</v>
      </c>
      <c r="H41" s="71">
        <f>Datos!I40</f>
        <v>0</v>
      </c>
      <c r="I41" s="71">
        <f>Datos!J40</f>
        <v>29</v>
      </c>
      <c r="J41" s="6" t="s">
        <v>16</v>
      </c>
      <c r="K41" s="6" t="s">
        <v>16</v>
      </c>
      <c r="L41" s="6" t="s">
        <v>16</v>
      </c>
      <c r="M41" s="6" t="s">
        <v>16</v>
      </c>
      <c r="N41" s="6" t="s">
        <v>16</v>
      </c>
      <c r="O41" s="6" t="s">
        <v>16</v>
      </c>
      <c r="P41" s="6" t="s">
        <v>16</v>
      </c>
      <c r="Q41" s="6" t="str">
        <f t="shared" si="0"/>
        <v>Ausencia total del riesgo, reevaluar cada 3 años con nueva identificación inicial</v>
      </c>
    </row>
    <row r="42" spans="1:17" ht="45">
      <c r="A42" s="70">
        <f>Datos!A41</f>
        <v>40</v>
      </c>
      <c r="B42" s="70" t="str">
        <f>Datos!B41</f>
        <v>Desposte</v>
      </c>
      <c r="C42" s="71" t="str">
        <f>Datos!C41</f>
        <v>Operario de producción Línea Lomos</v>
      </c>
      <c r="D42" s="71" t="str">
        <f>Datos!D41</f>
        <v>Pegar fechas</v>
      </c>
      <c r="E42" s="71" t="str">
        <f>Datos!F41</f>
        <v>Am: 07:00 a 16:00 - PM: 17:15 a 02:45</v>
      </c>
      <c r="F42" s="71" t="str">
        <f>Datos!G41</f>
        <v>0.5</v>
      </c>
      <c r="G42" s="71">
        <f>Datos!H41</f>
        <v>4.5</v>
      </c>
      <c r="H42" s="71">
        <f>Datos!I41</f>
        <v>0</v>
      </c>
      <c r="I42" s="71">
        <f>Datos!J41</f>
        <v>29</v>
      </c>
      <c r="J42" s="6" t="s">
        <v>16</v>
      </c>
      <c r="K42" s="6" t="s">
        <v>16</v>
      </c>
      <c r="L42" s="6" t="s">
        <v>16</v>
      </c>
      <c r="M42" s="6" t="s">
        <v>16</v>
      </c>
      <c r="N42" s="6" t="s">
        <v>16</v>
      </c>
      <c r="O42" s="6" t="s">
        <v>16</v>
      </c>
      <c r="P42" s="6" t="s">
        <v>16</v>
      </c>
      <c r="Q42" s="6" t="str">
        <f t="shared" si="0"/>
        <v>Ausencia total del riesgo, reevaluar cada 3 años con nueva identificación inicial</v>
      </c>
    </row>
    <row r="43" spans="1:17" ht="45">
      <c r="A43" s="70">
        <f>Datos!A42</f>
        <v>41</v>
      </c>
      <c r="B43" s="70" t="str">
        <f>Datos!B42</f>
        <v>Desposte</v>
      </c>
      <c r="C43" s="71" t="str">
        <f>Datos!C42</f>
        <v>Operario de producción Línea Lomos</v>
      </c>
      <c r="D43" s="71" t="str">
        <f>Datos!D42</f>
        <v>Operador de equipo Selladora C-500</v>
      </c>
      <c r="E43" s="71" t="str">
        <f>Datos!F42</f>
        <v>Am: 07:00 a 16:00 - PM: 17:15 a 02:45</v>
      </c>
      <c r="F43" s="71" t="str">
        <f>Datos!G42</f>
        <v>0.5</v>
      </c>
      <c r="G43" s="71">
        <f>Datos!H42</f>
        <v>4.5</v>
      </c>
      <c r="H43" s="71">
        <f>Datos!I42</f>
        <v>0</v>
      </c>
      <c r="I43" s="71">
        <f>Datos!J42</f>
        <v>29</v>
      </c>
      <c r="J43" s="6" t="s">
        <v>16</v>
      </c>
      <c r="K43" s="6" t="s">
        <v>16</v>
      </c>
      <c r="L43" s="6" t="s">
        <v>16</v>
      </c>
      <c r="M43" s="6" t="s">
        <v>16</v>
      </c>
      <c r="N43" s="6" t="s">
        <v>16</v>
      </c>
      <c r="O43" s="6" t="s">
        <v>16</v>
      </c>
      <c r="P43" s="6" t="s">
        <v>16</v>
      </c>
      <c r="Q43" s="6" t="str">
        <f t="shared" si="0"/>
        <v>Ausencia total del riesgo, reevaluar cada 3 años con nueva identificación inicial</v>
      </c>
    </row>
    <row r="44" spans="1:17" ht="45">
      <c r="A44" s="70">
        <f>Datos!A43</f>
        <v>42</v>
      </c>
      <c r="B44" s="70" t="str">
        <f>Datos!B43</f>
        <v>Desposte</v>
      </c>
      <c r="C44" s="71" t="str">
        <f>Datos!C43</f>
        <v>Operario de producción Línea Paletas</v>
      </c>
      <c r="D44" s="71" t="str">
        <f>Datos!D43</f>
        <v>Despunte Axilar</v>
      </c>
      <c r="E44" s="71" t="str">
        <f>Datos!F43</f>
        <v>Am: 07:00 a 16:00 - PM: 17:15 a 02:45</v>
      </c>
      <c r="F44" s="71" t="str">
        <f>Datos!G43</f>
        <v>0.5</v>
      </c>
      <c r="G44" s="71">
        <f>Datos!H43</f>
        <v>4.5</v>
      </c>
      <c r="H44" s="71">
        <f>Datos!I43</f>
        <v>100</v>
      </c>
      <c r="I44" s="71">
        <f>Datos!J43</f>
        <v>0</v>
      </c>
      <c r="J44" s="6" t="s">
        <v>346</v>
      </c>
      <c r="K44" s="6" t="s">
        <v>16</v>
      </c>
      <c r="L44" s="6" t="s">
        <v>16</v>
      </c>
      <c r="M44" s="6" t="s">
        <v>16</v>
      </c>
      <c r="N44" s="6" t="s">
        <v>16</v>
      </c>
      <c r="O44" s="6" t="s">
        <v>16</v>
      </c>
      <c r="P44" s="6" t="s">
        <v>346</v>
      </c>
      <c r="Q44" s="6" t="str">
        <f t="shared" si="0"/>
        <v>Aplicar identificación avanzada-condición aceptable para cada tipo de factor de riesgo identificado</v>
      </c>
    </row>
    <row r="45" spans="1:17" ht="45">
      <c r="A45" s="70">
        <f>Datos!A44</f>
        <v>43</v>
      </c>
      <c r="B45" s="70" t="str">
        <f>Datos!B44</f>
        <v>Desposte</v>
      </c>
      <c r="C45" s="71" t="str">
        <f>Datos!C44</f>
        <v>Operario de producción Línea Paletas</v>
      </c>
      <c r="D45" s="71" t="str">
        <f>Datos!D44</f>
        <v>Desforrado de Paleta</v>
      </c>
      <c r="E45" s="71" t="str">
        <f>Datos!F44</f>
        <v>Am: 07:00 a 16:00 - PM: 17:15 a 02:45</v>
      </c>
      <c r="F45" s="71" t="str">
        <f>Datos!G44</f>
        <v>0.5</v>
      </c>
      <c r="G45" s="71">
        <f>Datos!H44</f>
        <v>4.5</v>
      </c>
      <c r="H45" s="71">
        <f>Datos!I44</f>
        <v>100</v>
      </c>
      <c r="I45" s="71">
        <f>Datos!J44</f>
        <v>0</v>
      </c>
      <c r="J45" s="6" t="s">
        <v>346</v>
      </c>
      <c r="K45" s="6" t="s">
        <v>16</v>
      </c>
      <c r="L45" s="6" t="s">
        <v>16</v>
      </c>
      <c r="M45" s="6" t="s">
        <v>16</v>
      </c>
      <c r="N45" s="6" t="s">
        <v>16</v>
      </c>
      <c r="O45" s="6" t="s">
        <v>16</v>
      </c>
      <c r="P45" s="6" t="s">
        <v>16</v>
      </c>
      <c r="Q45" s="6" t="str">
        <f t="shared" si="0"/>
        <v>Aplicar identificación avanzada-condición aceptable para cada tipo de factor de riesgo identificado</v>
      </c>
    </row>
    <row r="46" spans="1:17" ht="45">
      <c r="A46" s="70">
        <f>Datos!A45</f>
        <v>44</v>
      </c>
      <c r="B46" s="70" t="str">
        <f>Datos!B45</f>
        <v>Desposte</v>
      </c>
      <c r="C46" s="71" t="str">
        <f>Datos!C45</f>
        <v>Operario de producción Línea Paletas</v>
      </c>
      <c r="D46" s="71" t="str">
        <f>Datos!D45</f>
        <v>Extracción de ganglios paleta</v>
      </c>
      <c r="E46" s="71" t="str">
        <f>Datos!F45</f>
        <v>Am: 07:00 a 16:00 - PM: 17:15 a 02:45</v>
      </c>
      <c r="F46" s="71" t="str">
        <f>Datos!G45</f>
        <v>0.5</v>
      </c>
      <c r="G46" s="71">
        <f>Datos!H45</f>
        <v>4.5</v>
      </c>
      <c r="H46" s="71">
        <f>Datos!I45</f>
        <v>100</v>
      </c>
      <c r="I46" s="71">
        <f>Datos!J45</f>
        <v>0</v>
      </c>
      <c r="J46" s="6" t="s">
        <v>346</v>
      </c>
      <c r="K46" s="6" t="s">
        <v>16</v>
      </c>
      <c r="L46" s="6" t="s">
        <v>16</v>
      </c>
      <c r="M46" s="6" t="s">
        <v>16</v>
      </c>
      <c r="N46" s="6" t="s">
        <v>16</v>
      </c>
      <c r="O46" s="6" t="s">
        <v>16</v>
      </c>
      <c r="P46" s="6" t="s">
        <v>16</v>
      </c>
      <c r="Q46" s="6" t="str">
        <f t="shared" si="0"/>
        <v>Aplicar identificación avanzada-condición aceptable para cada tipo de factor de riesgo identificado</v>
      </c>
    </row>
    <row r="47" spans="1:17" ht="45">
      <c r="A47" s="70">
        <f>Datos!A46</f>
        <v>45</v>
      </c>
      <c r="B47" s="70" t="str">
        <f>Datos!B46</f>
        <v>Desposte</v>
      </c>
      <c r="C47" s="71" t="str">
        <f>Datos!C46</f>
        <v>Operario de producción Línea Paletas</v>
      </c>
      <c r="D47" s="71" t="str">
        <f>Datos!D46</f>
        <v>Extracción de plateada de paleta</v>
      </c>
      <c r="E47" s="71" t="str">
        <f>Datos!F46</f>
        <v>Am: 07:00 a 16:00 - PM: 17:15 a 02:45</v>
      </c>
      <c r="F47" s="71" t="str">
        <f>Datos!G46</f>
        <v>0.5</v>
      </c>
      <c r="G47" s="71">
        <f>Datos!H46</f>
        <v>4.5</v>
      </c>
      <c r="H47" s="71">
        <f>Datos!I46</f>
        <v>100</v>
      </c>
      <c r="I47" s="71">
        <f>Datos!J46</f>
        <v>0</v>
      </c>
      <c r="J47" s="6" t="s">
        <v>346</v>
      </c>
      <c r="K47" s="6" t="s">
        <v>16</v>
      </c>
      <c r="L47" s="6" t="s">
        <v>16</v>
      </c>
      <c r="M47" s="6" t="s">
        <v>16</v>
      </c>
      <c r="N47" s="6" t="s">
        <v>16</v>
      </c>
      <c r="O47" s="6" t="s">
        <v>16</v>
      </c>
      <c r="P47" s="6" t="s">
        <v>16</v>
      </c>
      <c r="Q47" s="6" t="str">
        <f t="shared" si="0"/>
        <v>Aplicar identificación avanzada-condición aceptable para cada tipo de factor de riesgo identificado</v>
      </c>
    </row>
    <row r="48" spans="1:17" ht="45">
      <c r="A48" s="70">
        <f>Datos!A47</f>
        <v>46</v>
      </c>
      <c r="B48" s="70" t="str">
        <f>Datos!B47</f>
        <v>Desposte</v>
      </c>
      <c r="C48" s="71" t="str">
        <f>Datos!C47</f>
        <v>Operario de producción Línea Paletas</v>
      </c>
      <c r="D48" s="71" t="str">
        <f>Datos!D47</f>
        <v>Prolijado de plateada</v>
      </c>
      <c r="E48" s="71" t="str">
        <f>Datos!F47</f>
        <v>Am: 07:00 a 16:00 - PM: 17:15 a 02:45</v>
      </c>
      <c r="F48" s="71" t="str">
        <f>Datos!G47</f>
        <v>0.5</v>
      </c>
      <c r="G48" s="71">
        <f>Datos!H47</f>
        <v>4.5</v>
      </c>
      <c r="H48" s="71">
        <f>Datos!I47</f>
        <v>100</v>
      </c>
      <c r="I48" s="71">
        <f>Datos!J47</f>
        <v>0</v>
      </c>
      <c r="J48" s="6" t="s">
        <v>346</v>
      </c>
      <c r="K48" s="6" t="s">
        <v>16</v>
      </c>
      <c r="L48" s="6" t="s">
        <v>16</v>
      </c>
      <c r="M48" s="6" t="s">
        <v>16</v>
      </c>
      <c r="N48" s="6" t="s">
        <v>16</v>
      </c>
      <c r="O48" s="6" t="s">
        <v>16</v>
      </c>
      <c r="P48" s="6" t="s">
        <v>16</v>
      </c>
      <c r="Q48" s="6" t="str">
        <f t="shared" ref="Q48:Q111" si="1">IF(AND(J48="NO",K48="NO",L48="NO",M48="NO",N48="NO",O48="NO",P48="NO"),"Ausencia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49" spans="1:17" ht="45">
      <c r="A49" s="70">
        <f>Datos!A48</f>
        <v>47</v>
      </c>
      <c r="B49" s="70" t="str">
        <f>Datos!B48</f>
        <v>Desposte</v>
      </c>
      <c r="C49" s="71" t="str">
        <f>Datos!C48</f>
        <v>Operario de producción Línea Paletas</v>
      </c>
      <c r="D49" s="71" t="str">
        <f>Datos!D48</f>
        <v>Revisión de paleta con cuchillo</v>
      </c>
      <c r="E49" s="71" t="str">
        <f>Datos!F48</f>
        <v>Am: 07:00 a 16:00 - PM: 17:15 a 02:45</v>
      </c>
      <c r="F49" s="71" t="str">
        <f>Datos!G48</f>
        <v>0.5</v>
      </c>
      <c r="G49" s="71">
        <f>Datos!H48</f>
        <v>4.5</v>
      </c>
      <c r="H49" s="71">
        <f>Datos!I48</f>
        <v>100</v>
      </c>
      <c r="I49" s="71">
        <f>Datos!J48</f>
        <v>9</v>
      </c>
      <c r="J49" s="6" t="s">
        <v>346</v>
      </c>
      <c r="K49" s="6" t="s">
        <v>16</v>
      </c>
      <c r="L49" s="6" t="s">
        <v>16</v>
      </c>
      <c r="M49" s="6" t="s">
        <v>16</v>
      </c>
      <c r="N49" s="6" t="s">
        <v>16</v>
      </c>
      <c r="O49" s="6" t="s">
        <v>16</v>
      </c>
      <c r="P49" s="6" t="s">
        <v>16</v>
      </c>
      <c r="Q49" s="6" t="str">
        <f t="shared" si="1"/>
        <v>Aplicar identificación avanzada-condición aceptable para cada tipo de factor de riesgo identificado</v>
      </c>
    </row>
    <row r="50" spans="1:17" ht="45">
      <c r="A50" s="70">
        <f>Datos!A49</f>
        <v>48</v>
      </c>
      <c r="B50" s="70" t="str">
        <f>Datos!B49</f>
        <v>Desposte</v>
      </c>
      <c r="C50" s="71" t="str">
        <f>Datos!C49</f>
        <v>Operario de producción Línea Paletas</v>
      </c>
      <c r="D50" s="71" t="str">
        <f>Datos!D49</f>
        <v>Prolijado de paleta</v>
      </c>
      <c r="E50" s="71" t="str">
        <f>Datos!F49</f>
        <v>Am: 07:00 a 16:00 - PM: 17:15 a 02:45</v>
      </c>
      <c r="F50" s="71" t="str">
        <f>Datos!G49</f>
        <v>0.5</v>
      </c>
      <c r="G50" s="71">
        <f>Datos!H49</f>
        <v>4.5</v>
      </c>
      <c r="H50" s="71">
        <f>Datos!I49</f>
        <v>100</v>
      </c>
      <c r="I50" s="71">
        <f>Datos!J49</f>
        <v>9</v>
      </c>
      <c r="J50" s="6" t="s">
        <v>346</v>
      </c>
      <c r="K50" s="6" t="s">
        <v>16</v>
      </c>
      <c r="L50" s="6" t="s">
        <v>16</v>
      </c>
      <c r="M50" s="6" t="s">
        <v>16</v>
      </c>
      <c r="N50" s="6" t="s">
        <v>16</v>
      </c>
      <c r="O50" s="6" t="s">
        <v>16</v>
      </c>
      <c r="P50" s="6" t="s">
        <v>346</v>
      </c>
      <c r="Q50" s="6" t="str">
        <f t="shared" si="1"/>
        <v>Aplicar identificación avanzada-condición aceptable para cada tipo de factor de riesgo identificado</v>
      </c>
    </row>
    <row r="51" spans="1:17" ht="45">
      <c r="A51" s="70">
        <f>Datos!A50</f>
        <v>49</v>
      </c>
      <c r="B51" s="70" t="str">
        <f>Datos!B50</f>
        <v>Desposte</v>
      </c>
      <c r="C51" s="71" t="str">
        <f>Datos!C50</f>
        <v>Operario de producción Línea Paletas</v>
      </c>
      <c r="D51" s="71" t="str">
        <f>Datos!D50</f>
        <v>Operador de equipo cortador de pernil</v>
      </c>
      <c r="E51" s="71" t="str">
        <f>Datos!F50</f>
        <v>Am: 07:00 a 16:00 - PM: 17:15 a 02:45</v>
      </c>
      <c r="F51" s="71" t="str">
        <f>Datos!G50</f>
        <v>0.5</v>
      </c>
      <c r="G51" s="71">
        <f>Datos!H50</f>
        <v>4.5</v>
      </c>
      <c r="H51" s="71">
        <f>Datos!I50</f>
        <v>100</v>
      </c>
      <c r="I51" s="71">
        <f>Datos!J50</f>
        <v>0</v>
      </c>
      <c r="J51" s="6" t="s">
        <v>346</v>
      </c>
      <c r="K51" s="6" t="s">
        <v>16</v>
      </c>
      <c r="L51" s="6" t="s">
        <v>16</v>
      </c>
      <c r="M51" s="6" t="s">
        <v>16</v>
      </c>
      <c r="N51" s="6" t="s">
        <v>16</v>
      </c>
      <c r="O51" s="6" t="s">
        <v>16</v>
      </c>
      <c r="P51" s="6" t="s">
        <v>16</v>
      </c>
      <c r="Q51" s="6" t="str">
        <f t="shared" si="1"/>
        <v>Aplicar identificación avanzada-condición aceptable para cada tipo de factor de riesgo identificado</v>
      </c>
    </row>
    <row r="52" spans="1:17" ht="45">
      <c r="A52" s="70">
        <f>Datos!A51</f>
        <v>50</v>
      </c>
      <c r="B52" s="70" t="str">
        <f>Datos!B51</f>
        <v>Desposte</v>
      </c>
      <c r="C52" s="71" t="str">
        <f>Datos!C51</f>
        <v>Operario de producción Línea Paletas</v>
      </c>
      <c r="D52" s="71" t="str">
        <f>Datos!D51</f>
        <v>Acomodado de pernil y cambio de bandeja</v>
      </c>
      <c r="E52" s="71" t="str">
        <f>Datos!F51</f>
        <v>Am: 07:00 a 16:00 - PM: 17:15 a 02:45</v>
      </c>
      <c r="F52" s="71" t="str">
        <f>Datos!G51</f>
        <v>0.5</v>
      </c>
      <c r="G52" s="71">
        <f>Datos!H51</f>
        <v>4.5</v>
      </c>
      <c r="H52" s="71">
        <f>Datos!I51</f>
        <v>100</v>
      </c>
      <c r="I52" s="71">
        <f>Datos!J51</f>
        <v>0</v>
      </c>
      <c r="J52" s="6" t="s">
        <v>16</v>
      </c>
      <c r="K52" s="6" t="s">
        <v>16</v>
      </c>
      <c r="L52" s="6" t="s">
        <v>346</v>
      </c>
      <c r="M52" s="6" t="s">
        <v>16</v>
      </c>
      <c r="N52" s="6" t="s">
        <v>16</v>
      </c>
      <c r="O52" s="6" t="s">
        <v>16</v>
      </c>
      <c r="P52" s="6" t="s">
        <v>16</v>
      </c>
      <c r="Q52" s="6" t="str">
        <f t="shared" si="1"/>
        <v>Aplicar identificación avanzada-condición aceptable para cada tipo de factor de riesgo identificado</v>
      </c>
    </row>
    <row r="53" spans="1:17" ht="45">
      <c r="A53" s="70">
        <f>Datos!A52</f>
        <v>51</v>
      </c>
      <c r="B53" s="70" t="str">
        <f>Datos!B52</f>
        <v>Desposte</v>
      </c>
      <c r="C53" s="71" t="str">
        <f>Datos!C52</f>
        <v>Operario de producción Línea Paletas</v>
      </c>
      <c r="D53" s="71" t="str">
        <f>Datos!D52</f>
        <v>Extracción de ganglios paleta</v>
      </c>
      <c r="E53" s="71" t="str">
        <f>Datos!F52</f>
        <v>Am: 07:00 a 16:00 - PM: 17:15 a 02:45</v>
      </c>
      <c r="F53" s="71" t="str">
        <f>Datos!G52</f>
        <v>0.5</v>
      </c>
      <c r="G53" s="71">
        <f>Datos!H52</f>
        <v>4.5</v>
      </c>
      <c r="H53" s="71">
        <f>Datos!I52</f>
        <v>100</v>
      </c>
      <c r="I53" s="71">
        <f>Datos!J52</f>
        <v>0</v>
      </c>
      <c r="J53" s="6" t="s">
        <v>346</v>
      </c>
      <c r="K53" s="6" t="s">
        <v>16</v>
      </c>
      <c r="L53" s="6" t="s">
        <v>16</v>
      </c>
      <c r="M53" s="6" t="s">
        <v>16</v>
      </c>
      <c r="N53" s="6" t="s">
        <v>16</v>
      </c>
      <c r="O53" s="6" t="s">
        <v>16</v>
      </c>
      <c r="P53" s="6" t="s">
        <v>346</v>
      </c>
      <c r="Q53" s="6" t="str">
        <f t="shared" si="1"/>
        <v>Aplicar identificación avanzada-condición aceptable para cada tipo de factor de riesgo identificado</v>
      </c>
    </row>
    <row r="54" spans="1:17" ht="45">
      <c r="A54" s="70">
        <f>Datos!A53</f>
        <v>52</v>
      </c>
      <c r="B54" s="70" t="str">
        <f>Datos!B53</f>
        <v>Desposte</v>
      </c>
      <c r="C54" s="71" t="str">
        <f>Datos!C53</f>
        <v>Operario de producción Línea Paletas</v>
      </c>
      <c r="D54" s="71" t="str">
        <f>Datos!D53</f>
        <v>Abertura de pulpa paleta</v>
      </c>
      <c r="E54" s="71" t="str">
        <f>Datos!F53</f>
        <v>Am: 07:00 a 16:00 - PM: 17:15 a 02:45</v>
      </c>
      <c r="F54" s="71" t="str">
        <f>Datos!G53</f>
        <v>0.5</v>
      </c>
      <c r="G54" s="71">
        <f>Datos!H53</f>
        <v>4.5</v>
      </c>
      <c r="H54" s="71">
        <f>Datos!I53</f>
        <v>100</v>
      </c>
      <c r="I54" s="71">
        <f>Datos!J53</f>
        <v>0</v>
      </c>
      <c r="J54" s="6" t="s">
        <v>346</v>
      </c>
      <c r="K54" s="6" t="s">
        <v>16</v>
      </c>
      <c r="L54" s="6" t="s">
        <v>16</v>
      </c>
      <c r="M54" s="6" t="s">
        <v>16</v>
      </c>
      <c r="N54" s="6" t="s">
        <v>16</v>
      </c>
      <c r="O54" s="6" t="s">
        <v>16</v>
      </c>
      <c r="P54" s="6" t="s">
        <v>16</v>
      </c>
      <c r="Q54" s="6" t="str">
        <f t="shared" si="1"/>
        <v>Aplicar identificación avanzada-condición aceptable para cada tipo de factor de riesgo identificado</v>
      </c>
    </row>
    <row r="55" spans="1:17" ht="45">
      <c r="A55" s="70">
        <f>Datos!A54</f>
        <v>53</v>
      </c>
      <c r="B55" s="70" t="str">
        <f>Datos!B54</f>
        <v>Desposte</v>
      </c>
      <c r="C55" s="71" t="str">
        <f>Datos!C54</f>
        <v>Operario de producción Línea Paletas</v>
      </c>
      <c r="D55" s="71" t="str">
        <f>Datos!D54</f>
        <v>Rayado de escapula</v>
      </c>
      <c r="E55" s="71" t="str">
        <f>Datos!F54</f>
        <v>Am: 07:00 a 16:00 - PM: 17:15 a 02:45</v>
      </c>
      <c r="F55" s="71" t="str">
        <f>Datos!G54</f>
        <v>0.5</v>
      </c>
      <c r="G55" s="71">
        <f>Datos!H54</f>
        <v>4.5</v>
      </c>
      <c r="H55" s="71">
        <f>Datos!I54</f>
        <v>100</v>
      </c>
      <c r="I55" s="71">
        <f>Datos!J54</f>
        <v>0</v>
      </c>
      <c r="J55" s="6" t="s">
        <v>346</v>
      </c>
      <c r="K55" s="6" t="s">
        <v>16</v>
      </c>
      <c r="L55" s="6" t="s">
        <v>16</v>
      </c>
      <c r="M55" s="6" t="s">
        <v>16</v>
      </c>
      <c r="N55" s="6" t="s">
        <v>16</v>
      </c>
      <c r="O55" s="6" t="s">
        <v>16</v>
      </c>
      <c r="P55" s="6" t="s">
        <v>16</v>
      </c>
      <c r="Q55" s="6" t="str">
        <f t="shared" si="1"/>
        <v>Aplicar identificación avanzada-condición aceptable para cada tipo de factor de riesgo identificado</v>
      </c>
    </row>
    <row r="56" spans="1:17" ht="45">
      <c r="A56" s="70">
        <f>Datos!A55</f>
        <v>54</v>
      </c>
      <c r="B56" s="70" t="str">
        <f>Datos!B55</f>
        <v>Desposte</v>
      </c>
      <c r="C56" s="71" t="str">
        <f>Datos!C55</f>
        <v>Operario de producción Línea Paletas</v>
      </c>
      <c r="D56" s="71" t="str">
        <f>Datos!D55</f>
        <v>Extracción de escapula con pistola neumatica</v>
      </c>
      <c r="E56" s="71" t="str">
        <f>Datos!F55</f>
        <v>Am: 07:00 a 16:00 - PM: 17:15 a 02:45</v>
      </c>
      <c r="F56" s="71" t="str">
        <f>Datos!G55</f>
        <v>0.5</v>
      </c>
      <c r="G56" s="71">
        <f>Datos!H55</f>
        <v>4.5</v>
      </c>
      <c r="H56" s="71">
        <f>Datos!I55</f>
        <v>100</v>
      </c>
      <c r="I56" s="71">
        <f>Datos!J55</f>
        <v>0</v>
      </c>
      <c r="J56" s="6" t="s">
        <v>346</v>
      </c>
      <c r="K56" s="6" t="s">
        <v>16</v>
      </c>
      <c r="L56" s="6" t="s">
        <v>16</v>
      </c>
      <c r="M56" s="6" t="s">
        <v>16</v>
      </c>
      <c r="N56" s="6" t="s">
        <v>16</v>
      </c>
      <c r="O56" s="6" t="s">
        <v>16</v>
      </c>
      <c r="P56" s="6" t="s">
        <v>16</v>
      </c>
      <c r="Q56" s="6" t="str">
        <f t="shared" si="1"/>
        <v>Aplicar identificación avanzada-condición aceptable para cada tipo de factor de riesgo identificado</v>
      </c>
    </row>
    <row r="57" spans="1:17" ht="45">
      <c r="A57" s="70">
        <f>Datos!A56</f>
        <v>55</v>
      </c>
      <c r="B57" s="70" t="str">
        <f>Datos!B56</f>
        <v>Desposte</v>
      </c>
      <c r="C57" s="71" t="str">
        <f>Datos!C56</f>
        <v>Operario de producción Línea Paletas</v>
      </c>
      <c r="D57" s="71" t="str">
        <f>Datos!D56</f>
        <v>Extracción de escapula</v>
      </c>
      <c r="E57" s="71" t="str">
        <f>Datos!F56</f>
        <v>Am: 07:00 a 16:00 - PM: 17:15 a 02:45</v>
      </c>
      <c r="F57" s="71" t="str">
        <f>Datos!G56</f>
        <v>0.5</v>
      </c>
      <c r="G57" s="71">
        <f>Datos!H56</f>
        <v>4.5</v>
      </c>
      <c r="H57" s="71">
        <f>Datos!I56</f>
        <v>100</v>
      </c>
      <c r="I57" s="71">
        <f>Datos!J56</f>
        <v>0</v>
      </c>
      <c r="J57" s="6" t="s">
        <v>346</v>
      </c>
      <c r="K57" s="6" t="s">
        <v>16</v>
      </c>
      <c r="L57" s="6" t="s">
        <v>16</v>
      </c>
      <c r="M57" s="6" t="s">
        <v>16</v>
      </c>
      <c r="N57" s="6" t="s">
        <v>16</v>
      </c>
      <c r="O57" s="6" t="s">
        <v>16</v>
      </c>
      <c r="P57" s="6" t="s">
        <v>16</v>
      </c>
      <c r="Q57" s="6" t="str">
        <f t="shared" si="1"/>
        <v>Aplicar identificación avanzada-condición aceptable para cada tipo de factor de riesgo identificado</v>
      </c>
    </row>
    <row r="58" spans="1:17" ht="45">
      <c r="A58" s="70">
        <f>Datos!A57</f>
        <v>56</v>
      </c>
      <c r="B58" s="70" t="str">
        <f>Datos!B57</f>
        <v>Desposte</v>
      </c>
      <c r="C58" s="71" t="str">
        <f>Datos!C57</f>
        <v>Operario de producción Línea Paletas</v>
      </c>
      <c r="D58" s="71" t="str">
        <f>Datos!D57</f>
        <v>Deshuesado de hueso humero</v>
      </c>
      <c r="E58" s="71" t="str">
        <f>Datos!F57</f>
        <v>Am: 07:00 a 16:00 - PM: 17:15 a 02:45</v>
      </c>
      <c r="F58" s="71" t="str">
        <f>Datos!G57</f>
        <v>0.5</v>
      </c>
      <c r="G58" s="71">
        <f>Datos!H57</f>
        <v>4.5</v>
      </c>
      <c r="H58" s="71">
        <f>Datos!I57</f>
        <v>100</v>
      </c>
      <c r="I58" s="71">
        <f>Datos!J57</f>
        <v>0</v>
      </c>
      <c r="J58" s="6" t="s">
        <v>346</v>
      </c>
      <c r="K58" s="6" t="s">
        <v>16</v>
      </c>
      <c r="L58" s="6" t="s">
        <v>16</v>
      </c>
      <c r="M58" s="6" t="s">
        <v>16</v>
      </c>
      <c r="N58" s="6" t="s">
        <v>16</v>
      </c>
      <c r="O58" s="6" t="s">
        <v>16</v>
      </c>
      <c r="P58" s="6" t="s">
        <v>16</v>
      </c>
      <c r="Q58" s="6" t="str">
        <f t="shared" si="1"/>
        <v>Aplicar identificación avanzada-condición aceptable para cada tipo de factor de riesgo identificado</v>
      </c>
    </row>
    <row r="59" spans="1:17" ht="45">
      <c r="A59" s="70">
        <f>Datos!A58</f>
        <v>57</v>
      </c>
      <c r="B59" s="70" t="str">
        <f>Datos!B58</f>
        <v>Desposte</v>
      </c>
      <c r="C59" s="71" t="str">
        <f>Datos!C58</f>
        <v>Operario de producción Línea Paletas</v>
      </c>
      <c r="D59" s="71" t="str">
        <f>Datos!D58</f>
        <v>Extracción de cartilago de paleta</v>
      </c>
      <c r="E59" s="71" t="str">
        <f>Datos!F58</f>
        <v>Am: 07:00 a 16:00 - PM: 17:15 a 02:45</v>
      </c>
      <c r="F59" s="71" t="str">
        <f>Datos!G58</f>
        <v>0.5</v>
      </c>
      <c r="G59" s="71">
        <f>Datos!H58</f>
        <v>4.5</v>
      </c>
      <c r="H59" s="71">
        <f>Datos!I58</f>
        <v>100</v>
      </c>
      <c r="I59" s="71">
        <f>Datos!J58</f>
        <v>0</v>
      </c>
      <c r="J59" s="6" t="s">
        <v>346</v>
      </c>
      <c r="K59" s="6" t="s">
        <v>16</v>
      </c>
      <c r="L59" s="6" t="s">
        <v>16</v>
      </c>
      <c r="M59" s="6" t="s">
        <v>16</v>
      </c>
      <c r="N59" s="6" t="s">
        <v>16</v>
      </c>
      <c r="O59" s="6" t="s">
        <v>16</v>
      </c>
      <c r="P59" s="6" t="s">
        <v>346</v>
      </c>
      <c r="Q59" s="6" t="str">
        <f t="shared" si="1"/>
        <v>Aplicar identificación avanzada-condición aceptable para cada tipo de factor de riesgo identificado</v>
      </c>
    </row>
    <row r="60" spans="1:17" ht="45">
      <c r="A60" s="70">
        <f>Datos!A59</f>
        <v>58</v>
      </c>
      <c r="B60" s="70" t="str">
        <f>Datos!B59</f>
        <v>Desposte</v>
      </c>
      <c r="C60" s="71" t="str">
        <f>Datos!C59</f>
        <v>Operario de producción Línea Paletas</v>
      </c>
      <c r="D60" s="71" t="str">
        <f>Datos!D59</f>
        <v>Acomodado de pulpa y direccionamiento de pernil</v>
      </c>
      <c r="E60" s="71" t="str">
        <f>Datos!F59</f>
        <v>Am: 07:00 a 16:00 - PM: 17:15 a 02:45</v>
      </c>
      <c r="F60" s="71" t="str">
        <f>Datos!G59</f>
        <v>0.5</v>
      </c>
      <c r="G60" s="71">
        <f>Datos!H59</f>
        <v>4.5</v>
      </c>
      <c r="H60" s="71">
        <f>Datos!I59</f>
        <v>100</v>
      </c>
      <c r="I60" s="71">
        <f>Datos!J59</f>
        <v>0</v>
      </c>
      <c r="J60" s="6" t="s">
        <v>346</v>
      </c>
      <c r="K60" s="6" t="s">
        <v>16</v>
      </c>
      <c r="L60" s="6" t="s">
        <v>16</v>
      </c>
      <c r="M60" s="6" t="s">
        <v>16</v>
      </c>
      <c r="N60" s="6" t="s">
        <v>16</v>
      </c>
      <c r="O60" s="6" t="s">
        <v>16</v>
      </c>
      <c r="P60" s="6" t="s">
        <v>16</v>
      </c>
      <c r="Q60" s="6" t="str">
        <f t="shared" si="1"/>
        <v>Aplicar identificación avanzada-condición aceptable para cada tipo de factor de riesgo identificado</v>
      </c>
    </row>
    <row r="61" spans="1:17" ht="45">
      <c r="A61" s="70">
        <f>Datos!A60</f>
        <v>59</v>
      </c>
      <c r="B61" s="70" t="str">
        <f>Datos!B60</f>
        <v>Desposte</v>
      </c>
      <c r="C61" s="71" t="str">
        <f>Datos!C60</f>
        <v>Operario de producción Línea Paletas</v>
      </c>
      <c r="D61" s="71" t="str">
        <f>Datos!D60</f>
        <v>Extracción de membrana y cartilago</v>
      </c>
      <c r="E61" s="71" t="str">
        <f>Datos!F60</f>
        <v>Am: 07:00 a 16:00 - PM: 17:15 a 02:45</v>
      </c>
      <c r="F61" s="71" t="str">
        <f>Datos!G60</f>
        <v>0.5</v>
      </c>
      <c r="G61" s="71">
        <f>Datos!H60</f>
        <v>4.5</v>
      </c>
      <c r="H61" s="71">
        <f>Datos!I60</f>
        <v>100</v>
      </c>
      <c r="I61" s="71">
        <f>Datos!J60</f>
        <v>0</v>
      </c>
      <c r="J61" s="6" t="s">
        <v>346</v>
      </c>
      <c r="K61" s="6" t="s">
        <v>16</v>
      </c>
      <c r="L61" s="6" t="s">
        <v>16</v>
      </c>
      <c r="M61" s="6" t="s">
        <v>16</v>
      </c>
      <c r="N61" s="6" t="s">
        <v>16</v>
      </c>
      <c r="O61" s="6" t="s">
        <v>16</v>
      </c>
      <c r="P61" s="6" t="s">
        <v>16</v>
      </c>
      <c r="Q61" s="6" t="str">
        <f t="shared" si="1"/>
        <v>Aplicar identificación avanzada-condición aceptable para cada tipo de factor de riesgo identificado</v>
      </c>
    </row>
    <row r="62" spans="1:17" ht="45">
      <c r="A62" s="70">
        <f>Datos!A61</f>
        <v>60</v>
      </c>
      <c r="B62" s="70" t="str">
        <f>Datos!B61</f>
        <v>Desposte</v>
      </c>
      <c r="C62" s="71" t="str">
        <f>Datos!C61</f>
        <v>Operario de producción Línea Paletas</v>
      </c>
      <c r="D62" s="71" t="str">
        <f>Datos!D61</f>
        <v>Ordenar cuero</v>
      </c>
      <c r="E62" s="71" t="str">
        <f>Datos!F61</f>
        <v>Am: 07:00 a 16:00 - PM: 17:15 a 02:45</v>
      </c>
      <c r="F62" s="71" t="str">
        <f>Datos!G61</f>
        <v>0.5</v>
      </c>
      <c r="G62" s="71">
        <f>Datos!H61</f>
        <v>4.5</v>
      </c>
      <c r="H62" s="71">
        <f>Datos!I61</f>
        <v>100</v>
      </c>
      <c r="I62" s="71">
        <f>Datos!J61</f>
        <v>9</v>
      </c>
      <c r="J62" s="6" t="s">
        <v>16</v>
      </c>
      <c r="K62" s="6" t="s">
        <v>16</v>
      </c>
      <c r="L62" s="6" t="s">
        <v>16</v>
      </c>
      <c r="M62" s="6" t="s">
        <v>16</v>
      </c>
      <c r="N62" s="6" t="s">
        <v>16</v>
      </c>
      <c r="O62" s="6" t="s">
        <v>16</v>
      </c>
      <c r="P62" s="6" t="s">
        <v>16</v>
      </c>
      <c r="Q62" s="6" t="str">
        <f t="shared" si="1"/>
        <v>Ausencia total del riesgo, reevaluar cada 3 años con nueva identificación inicial</v>
      </c>
    </row>
    <row r="63" spans="1:17" ht="45">
      <c r="A63" s="70">
        <f>Datos!A62</f>
        <v>61</v>
      </c>
      <c r="B63" s="70" t="str">
        <f>Datos!B62</f>
        <v>Desposte</v>
      </c>
      <c r="C63" s="71" t="str">
        <f>Datos!C62</f>
        <v>Operario de producción Línea Paletas</v>
      </c>
      <c r="D63" s="71" t="str">
        <f>Datos!D62</f>
        <v>Prolijado de paleta y extracción de cuero</v>
      </c>
      <c r="E63" s="71" t="str">
        <f>Datos!F62</f>
        <v>Am: 07:00 a 16:00 - PM: 17:15 a 02:45</v>
      </c>
      <c r="F63" s="71" t="str">
        <f>Datos!G62</f>
        <v>0.5</v>
      </c>
      <c r="G63" s="71">
        <f>Datos!H62</f>
        <v>4.5</v>
      </c>
      <c r="H63" s="71">
        <f>Datos!I62</f>
        <v>100</v>
      </c>
      <c r="I63" s="71">
        <f>Datos!J62</f>
        <v>0</v>
      </c>
      <c r="J63" s="6" t="s">
        <v>346</v>
      </c>
      <c r="K63" s="6" t="s">
        <v>16</v>
      </c>
      <c r="L63" s="6" t="s">
        <v>16</v>
      </c>
      <c r="M63" s="6" t="s">
        <v>16</v>
      </c>
      <c r="N63" s="6" t="s">
        <v>16</v>
      </c>
      <c r="O63" s="6" t="s">
        <v>16</v>
      </c>
      <c r="P63" s="6" t="s">
        <v>346</v>
      </c>
      <c r="Q63" s="6" t="str">
        <f t="shared" si="1"/>
        <v>Aplicar identificación avanzada-condición aceptable para cada tipo de factor de riesgo identificado</v>
      </c>
    </row>
    <row r="64" spans="1:17" ht="45">
      <c r="A64" s="70">
        <f>Datos!A63</f>
        <v>62</v>
      </c>
      <c r="B64" s="70" t="str">
        <f>Datos!B63</f>
        <v>Desposte</v>
      </c>
      <c r="C64" s="71" t="str">
        <f>Datos!C63</f>
        <v>Operario de producción Línea Paletas</v>
      </c>
      <c r="D64" s="71" t="str">
        <f>Datos!D63</f>
        <v>Prolijado de pulpa paleta</v>
      </c>
      <c r="E64" s="71" t="str">
        <f>Datos!F63</f>
        <v>Am: 07:00 a 16:00 - PM: 17:15 a 02:45</v>
      </c>
      <c r="F64" s="71" t="str">
        <f>Datos!G63</f>
        <v>0.5</v>
      </c>
      <c r="G64" s="71">
        <f>Datos!H63</f>
        <v>4.5</v>
      </c>
      <c r="H64" s="71">
        <f>Datos!I63</f>
        <v>100</v>
      </c>
      <c r="I64" s="71">
        <f>Datos!J63</f>
        <v>9</v>
      </c>
      <c r="J64" s="6" t="s">
        <v>346</v>
      </c>
      <c r="K64" s="6" t="s">
        <v>16</v>
      </c>
      <c r="L64" s="6" t="s">
        <v>16</v>
      </c>
      <c r="M64" s="6" t="s">
        <v>16</v>
      </c>
      <c r="N64" s="6" t="s">
        <v>16</v>
      </c>
      <c r="O64" s="6" t="s">
        <v>16</v>
      </c>
      <c r="P64" s="6" t="s">
        <v>16</v>
      </c>
      <c r="Q64" s="6" t="str">
        <f t="shared" si="1"/>
        <v>Aplicar identificación avanzada-condición aceptable para cada tipo de factor de riesgo identificado</v>
      </c>
    </row>
    <row r="65" spans="1:17" ht="45">
      <c r="A65" s="70">
        <f>Datos!A64</f>
        <v>63</v>
      </c>
      <c r="B65" s="70" t="str">
        <f>Datos!B64</f>
        <v>Desposte</v>
      </c>
      <c r="C65" s="71" t="str">
        <f>Datos!C64</f>
        <v>Operario de producción Línea Paletas</v>
      </c>
      <c r="D65" s="71" t="str">
        <f>Datos!D64</f>
        <v>Aspiradora de pulpa paleta</v>
      </c>
      <c r="E65" s="71" t="str">
        <f>Datos!F64</f>
        <v>Am: 07:00 a 16:00 - PM: 17:15 a 02:45</v>
      </c>
      <c r="F65" s="71" t="str">
        <f>Datos!G64</f>
        <v>0.5</v>
      </c>
      <c r="G65" s="71">
        <f>Datos!H64</f>
        <v>4.5</v>
      </c>
      <c r="H65" s="71">
        <f>Datos!I64</f>
        <v>100</v>
      </c>
      <c r="I65" s="71">
        <f>Datos!J64</f>
        <v>9</v>
      </c>
      <c r="J65" s="6" t="s">
        <v>346</v>
      </c>
      <c r="K65" s="6" t="s">
        <v>16</v>
      </c>
      <c r="L65" s="6" t="s">
        <v>16</v>
      </c>
      <c r="M65" s="6" t="s">
        <v>16</v>
      </c>
      <c r="N65" s="6" t="s">
        <v>16</v>
      </c>
      <c r="O65" s="6" t="s">
        <v>16</v>
      </c>
      <c r="P65" s="6" t="s">
        <v>16</v>
      </c>
      <c r="Q65" s="6" t="str">
        <f t="shared" si="1"/>
        <v>Aplicar identificación avanzada-condición aceptable para cada tipo de factor de riesgo identificado</v>
      </c>
    </row>
    <row r="66" spans="1:17" ht="45">
      <c r="A66" s="70">
        <f>Datos!A65</f>
        <v>64</v>
      </c>
      <c r="B66" s="70" t="str">
        <f>Datos!B65</f>
        <v>Desposte</v>
      </c>
      <c r="C66" s="71" t="str">
        <f>Datos!C65</f>
        <v>Operario de producción Línea Pulpa Piernas</v>
      </c>
      <c r="D66" s="71" t="str">
        <f>Datos!D65</f>
        <v>Direccionador de piernas</v>
      </c>
      <c r="E66" s="71" t="str">
        <f>Datos!F65</f>
        <v>Am: 07:00 a 16:00 - PM: 17:15 a 02:45</v>
      </c>
      <c r="F66" s="71" t="str">
        <f>Datos!G65</f>
        <v>0.5</v>
      </c>
      <c r="G66" s="71">
        <f>Datos!H65</f>
        <v>4.5</v>
      </c>
      <c r="H66" s="71">
        <f>Datos!I65</f>
        <v>92</v>
      </c>
      <c r="I66" s="71">
        <f>Datos!J65</f>
        <v>0</v>
      </c>
      <c r="J66" s="6" t="s">
        <v>346</v>
      </c>
      <c r="K66" s="6" t="s">
        <v>16</v>
      </c>
      <c r="L66" s="6" t="s">
        <v>346</v>
      </c>
      <c r="M66" s="6" t="s">
        <v>16</v>
      </c>
      <c r="N66" s="6" t="s">
        <v>16</v>
      </c>
      <c r="O66" s="6" t="s">
        <v>16</v>
      </c>
      <c r="P66" s="6" t="s">
        <v>16</v>
      </c>
      <c r="Q66" s="6" t="str">
        <f t="shared" si="1"/>
        <v>Aplicar identificación avanzada-condición aceptable para cada tipo de factor de riesgo identificado</v>
      </c>
    </row>
    <row r="67" spans="1:17" ht="45">
      <c r="A67" s="70">
        <f>Datos!A66</f>
        <v>65</v>
      </c>
      <c r="B67" s="70" t="str">
        <f>Datos!B66</f>
        <v>Desposte</v>
      </c>
      <c r="C67" s="71" t="str">
        <f>Datos!C66</f>
        <v>Operario de producción Línea Pulpa Piernas</v>
      </c>
      <c r="D67" s="71" t="str">
        <f>Datos!D66</f>
        <v>Extracción de pernil</v>
      </c>
      <c r="E67" s="71" t="str">
        <f>Datos!F66</f>
        <v>Am: 07:00 a 16:00 - PM: 17:15 a 02:45</v>
      </c>
      <c r="F67" s="71" t="str">
        <f>Datos!G66</f>
        <v>0.5</v>
      </c>
      <c r="G67" s="71">
        <f>Datos!H66</f>
        <v>4.5</v>
      </c>
      <c r="H67" s="71">
        <f>Datos!I66</f>
        <v>92</v>
      </c>
      <c r="I67" s="71">
        <f>Datos!J66</f>
        <v>0</v>
      </c>
      <c r="J67" s="6" t="s">
        <v>346</v>
      </c>
      <c r="K67" s="6" t="s">
        <v>16</v>
      </c>
      <c r="L67" s="6" t="s">
        <v>16</v>
      </c>
      <c r="M67" s="6" t="s">
        <v>16</v>
      </c>
      <c r="N67" s="6" t="s">
        <v>16</v>
      </c>
      <c r="O67" s="6" t="s">
        <v>16</v>
      </c>
      <c r="P67" s="6" t="s">
        <v>16</v>
      </c>
      <c r="Q67" s="6" t="str">
        <f t="shared" si="1"/>
        <v>Aplicar identificación avanzada-condición aceptable para cada tipo de factor de riesgo identificado</v>
      </c>
    </row>
    <row r="68" spans="1:17" ht="45">
      <c r="A68" s="70">
        <f>Datos!A67</f>
        <v>66</v>
      </c>
      <c r="B68" s="70" t="str">
        <f>Datos!B67</f>
        <v>Desposte</v>
      </c>
      <c r="C68" s="71" t="str">
        <f>Datos!C67</f>
        <v>Operario de producción Línea Pulpa Piernas</v>
      </c>
      <c r="D68" s="71" t="str">
        <f>Datos!D67</f>
        <v xml:space="preserve">Extracción Cazuela y cola </v>
      </c>
      <c r="E68" s="71" t="str">
        <f>Datos!F67</f>
        <v>Am: 07:00 a 16:00 - PM: 17:15 a 02:45</v>
      </c>
      <c r="F68" s="71" t="str">
        <f>Datos!G67</f>
        <v>0.5</v>
      </c>
      <c r="G68" s="71">
        <f>Datos!H67</f>
        <v>4.5</v>
      </c>
      <c r="H68" s="71">
        <f>Datos!I67</f>
        <v>92</v>
      </c>
      <c r="I68" s="71">
        <f>Datos!J67</f>
        <v>0</v>
      </c>
      <c r="J68" s="6" t="s">
        <v>346</v>
      </c>
      <c r="K68" s="6" t="s">
        <v>16</v>
      </c>
      <c r="L68" s="6" t="s">
        <v>16</v>
      </c>
      <c r="M68" s="6" t="s">
        <v>16</v>
      </c>
      <c r="N68" s="6" t="s">
        <v>16</v>
      </c>
      <c r="O68" s="6" t="s">
        <v>16</v>
      </c>
      <c r="P68" s="6" t="s">
        <v>16</v>
      </c>
      <c r="Q68" s="6" t="str">
        <f t="shared" si="1"/>
        <v>Aplicar identificación avanzada-condición aceptable para cada tipo de factor de riesgo identificado</v>
      </c>
    </row>
    <row r="69" spans="1:17" ht="45">
      <c r="A69" s="70">
        <f>Datos!A68</f>
        <v>67</v>
      </c>
      <c r="B69" s="70" t="str">
        <f>Datos!B68</f>
        <v>Desposte</v>
      </c>
      <c r="C69" s="71" t="str">
        <f>Datos!C68</f>
        <v>Operario de producción Línea Pulpa Piernas</v>
      </c>
      <c r="D69" s="71" t="str">
        <f>Datos!D68</f>
        <v>Prolijado de pierna</v>
      </c>
      <c r="E69" s="71" t="str">
        <f>Datos!F68</f>
        <v>Am: 07:00 a 16:00 - PM: 17:15 a 02:45</v>
      </c>
      <c r="F69" s="71" t="str">
        <f>Datos!G68</f>
        <v>0.5</v>
      </c>
      <c r="G69" s="71">
        <f>Datos!H68</f>
        <v>4.5</v>
      </c>
      <c r="H69" s="71">
        <f>Datos!I68</f>
        <v>92</v>
      </c>
      <c r="I69" s="71">
        <f>Datos!J68</f>
        <v>0</v>
      </c>
      <c r="J69" s="6" t="s">
        <v>346</v>
      </c>
      <c r="K69" s="6" t="s">
        <v>16</v>
      </c>
      <c r="L69" s="6" t="s">
        <v>16</v>
      </c>
      <c r="M69" s="6" t="s">
        <v>16</v>
      </c>
      <c r="N69" s="6" t="s">
        <v>16</v>
      </c>
      <c r="O69" s="6" t="s">
        <v>16</v>
      </c>
      <c r="P69" s="6" t="s">
        <v>346</v>
      </c>
      <c r="Q69" s="6" t="str">
        <f t="shared" si="1"/>
        <v>Aplicar identificación avanzada-condición aceptable para cada tipo de factor de riesgo identificado</v>
      </c>
    </row>
    <row r="70" spans="1:17" ht="45">
      <c r="A70" s="70">
        <f>Datos!A69</f>
        <v>68</v>
      </c>
      <c r="B70" s="70" t="str">
        <f>Datos!B69</f>
        <v>Desposte</v>
      </c>
      <c r="C70" s="71" t="str">
        <f>Datos!C69</f>
        <v>Operario de producción Línea Pulpa Piernas</v>
      </c>
      <c r="D70" s="71" t="str">
        <f>Datos!D69</f>
        <v>Deshuesado coxal</v>
      </c>
      <c r="E70" s="71" t="str">
        <f>Datos!F69</f>
        <v>Am: 07:00 a 16:00 - PM: 17:15 a 02:45</v>
      </c>
      <c r="F70" s="71" t="str">
        <f>Datos!G69</f>
        <v>0.5</v>
      </c>
      <c r="G70" s="71">
        <f>Datos!H69</f>
        <v>4.5</v>
      </c>
      <c r="H70" s="71">
        <f>Datos!I69</f>
        <v>92</v>
      </c>
      <c r="I70" s="71">
        <f>Datos!J69</f>
        <v>0</v>
      </c>
      <c r="J70" s="6" t="s">
        <v>346</v>
      </c>
      <c r="K70" s="6" t="s">
        <v>16</v>
      </c>
      <c r="L70" s="6" t="s">
        <v>16</v>
      </c>
      <c r="M70" s="6" t="s">
        <v>16</v>
      </c>
      <c r="N70" s="6" t="s">
        <v>16</v>
      </c>
      <c r="O70" s="6" t="s">
        <v>16</v>
      </c>
      <c r="P70" s="6" t="s">
        <v>16</v>
      </c>
      <c r="Q70" s="6" t="str">
        <f t="shared" si="1"/>
        <v>Aplicar identificación avanzada-condición aceptable para cada tipo de factor de riesgo identificado</v>
      </c>
    </row>
    <row r="71" spans="1:17" ht="45">
      <c r="A71" s="70">
        <f>Datos!A70</f>
        <v>69</v>
      </c>
      <c r="B71" s="70" t="str">
        <f>Datos!B70</f>
        <v>Desposte</v>
      </c>
      <c r="C71" s="71" t="str">
        <f>Datos!C70</f>
        <v>Operario de producción Línea Pulpa Piernas</v>
      </c>
      <c r="D71" s="71" t="str">
        <f>Datos!D70</f>
        <v>Deshuesado fémur</v>
      </c>
      <c r="E71" s="71" t="str">
        <f>Datos!F70</f>
        <v>Am: 07:00 a 16:00 - PM: 17:15 a 02:45</v>
      </c>
      <c r="F71" s="71" t="str">
        <f>Datos!G70</f>
        <v>0.5</v>
      </c>
      <c r="G71" s="71">
        <f>Datos!H70</f>
        <v>4.5</v>
      </c>
      <c r="H71" s="71">
        <f>Datos!I70</f>
        <v>92</v>
      </c>
      <c r="I71" s="71">
        <f>Datos!J70</f>
        <v>0</v>
      </c>
      <c r="J71" s="6" t="s">
        <v>346</v>
      </c>
      <c r="K71" s="6" t="s">
        <v>16</v>
      </c>
      <c r="L71" s="6" t="s">
        <v>16</v>
      </c>
      <c r="M71" s="6" t="s">
        <v>16</v>
      </c>
      <c r="N71" s="6" t="s">
        <v>16</v>
      </c>
      <c r="O71" s="6" t="s">
        <v>16</v>
      </c>
      <c r="P71" s="6" t="s">
        <v>16</v>
      </c>
      <c r="Q71" s="6" t="str">
        <f t="shared" si="1"/>
        <v>Aplicar identificación avanzada-condición aceptable para cada tipo de factor de riesgo identificado</v>
      </c>
    </row>
    <row r="72" spans="1:17" ht="45">
      <c r="A72" s="70">
        <f>Datos!A71</f>
        <v>70</v>
      </c>
      <c r="B72" s="70" t="str">
        <f>Datos!B71</f>
        <v>Desposte</v>
      </c>
      <c r="C72" s="71" t="str">
        <f>Datos!C71</f>
        <v>Operario de producción Línea Pulpa Piernas</v>
      </c>
      <c r="D72" s="71" t="str">
        <f>Datos!D71</f>
        <v>Prolijado de cartilago</v>
      </c>
      <c r="E72" s="71" t="str">
        <f>Datos!F71</f>
        <v>Am: 07:00 a 16:00 - PM: 17:15 a 02:45</v>
      </c>
      <c r="F72" s="71" t="str">
        <f>Datos!G71</f>
        <v>0.5</v>
      </c>
      <c r="G72" s="71">
        <f>Datos!H71</f>
        <v>4.5</v>
      </c>
      <c r="H72" s="71">
        <f>Datos!I71</f>
        <v>92</v>
      </c>
      <c r="I72" s="71">
        <f>Datos!J71</f>
        <v>0</v>
      </c>
      <c r="J72" s="6" t="s">
        <v>346</v>
      </c>
      <c r="K72" s="6" t="s">
        <v>16</v>
      </c>
      <c r="L72" s="6" t="s">
        <v>16</v>
      </c>
      <c r="M72" s="6" t="s">
        <v>16</v>
      </c>
      <c r="N72" s="6" t="s">
        <v>16</v>
      </c>
      <c r="O72" s="6" t="s">
        <v>16</v>
      </c>
      <c r="P72" s="6" t="s">
        <v>16</v>
      </c>
      <c r="Q72" s="6" t="str">
        <f t="shared" si="1"/>
        <v>Aplicar identificación avanzada-condición aceptable para cada tipo de factor de riesgo identificado</v>
      </c>
    </row>
    <row r="73" spans="1:17" ht="45">
      <c r="A73" s="70">
        <f>Datos!A72</f>
        <v>71</v>
      </c>
      <c r="B73" s="70" t="str">
        <f>Datos!B72</f>
        <v>Desposte</v>
      </c>
      <c r="C73" s="71" t="str">
        <f>Datos!C72</f>
        <v>Operario de producción Línea Pulpa Piernas</v>
      </c>
      <c r="D73" s="71" t="str">
        <f>Datos!D72</f>
        <v>Prolijado de pulpa</v>
      </c>
      <c r="E73" s="71" t="str">
        <f>Datos!F72</f>
        <v>Am: 07:00 a 16:00 - PM: 17:15 a 02:45</v>
      </c>
      <c r="F73" s="71" t="str">
        <f>Datos!G72</f>
        <v>0.5</v>
      </c>
      <c r="G73" s="71">
        <f>Datos!H72</f>
        <v>4.5</v>
      </c>
      <c r="H73" s="71">
        <f>Datos!I72</f>
        <v>92</v>
      </c>
      <c r="I73" s="71">
        <f>Datos!J72</f>
        <v>0</v>
      </c>
      <c r="J73" s="6" t="s">
        <v>346</v>
      </c>
      <c r="K73" s="6" t="s">
        <v>16</v>
      </c>
      <c r="L73" s="6" t="s">
        <v>16</v>
      </c>
      <c r="M73" s="6" t="s">
        <v>16</v>
      </c>
      <c r="N73" s="6" t="s">
        <v>16</v>
      </c>
      <c r="O73" s="6" t="s">
        <v>16</v>
      </c>
      <c r="P73" s="6" t="s">
        <v>16</v>
      </c>
      <c r="Q73" s="6" t="str">
        <f t="shared" si="1"/>
        <v>Aplicar identificación avanzada-condición aceptable para cada tipo de factor de riesgo identificado</v>
      </c>
    </row>
    <row r="74" spans="1:17" ht="45">
      <c r="A74" s="70">
        <f>Datos!A73</f>
        <v>72</v>
      </c>
      <c r="B74" s="70" t="str">
        <f>Datos!B73</f>
        <v>Desposte</v>
      </c>
      <c r="C74" s="71" t="str">
        <f>Datos!C73</f>
        <v>Operario de producción Línea Pulpa Piernas</v>
      </c>
      <c r="D74" s="71" t="str">
        <f>Datos!D73</f>
        <v>Extracción de posta rosada</v>
      </c>
      <c r="E74" s="71" t="str">
        <f>Datos!F73</f>
        <v>Am: 07:00 a 16:00 - PM: 17:15 a 02:45</v>
      </c>
      <c r="F74" s="71" t="str">
        <f>Datos!G73</f>
        <v>0.5</v>
      </c>
      <c r="G74" s="71">
        <f>Datos!H73</f>
        <v>4.5</v>
      </c>
      <c r="H74" s="71">
        <f>Datos!I73</f>
        <v>92</v>
      </c>
      <c r="I74" s="71">
        <f>Datos!J73</f>
        <v>0</v>
      </c>
      <c r="J74" s="6" t="s">
        <v>346</v>
      </c>
      <c r="K74" s="6" t="s">
        <v>16</v>
      </c>
      <c r="L74" s="6" t="s">
        <v>16</v>
      </c>
      <c r="M74" s="6" t="s">
        <v>16</v>
      </c>
      <c r="N74" s="6" t="s">
        <v>16</v>
      </c>
      <c r="O74" s="6" t="s">
        <v>16</v>
      </c>
      <c r="P74" s="6" t="s">
        <v>16</v>
      </c>
      <c r="Q74" s="6" t="str">
        <f t="shared" si="1"/>
        <v>Aplicar identificación avanzada-condición aceptable para cada tipo de factor de riesgo identificado</v>
      </c>
    </row>
    <row r="75" spans="1:17" ht="45">
      <c r="A75" s="70">
        <f>Datos!A74</f>
        <v>73</v>
      </c>
      <c r="B75" s="70" t="str">
        <f>Datos!B74</f>
        <v>Desposte</v>
      </c>
      <c r="C75" s="71" t="str">
        <f>Datos!C74</f>
        <v>Operario de producción Línea Pulpa Piernas</v>
      </c>
      <c r="D75" s="71" t="str">
        <f>Datos!D74</f>
        <v>Extracción de posta negra</v>
      </c>
      <c r="E75" s="71" t="str">
        <f>Datos!F74</f>
        <v>Am: 07:00 a 16:00 - PM: 17:15 a 02:45</v>
      </c>
      <c r="F75" s="71" t="str">
        <f>Datos!G74</f>
        <v>0.5</v>
      </c>
      <c r="G75" s="71">
        <f>Datos!H74</f>
        <v>4.5</v>
      </c>
      <c r="H75" s="71">
        <f>Datos!I74</f>
        <v>92</v>
      </c>
      <c r="I75" s="71">
        <f>Datos!J74</f>
        <v>0</v>
      </c>
      <c r="J75" s="6" t="s">
        <v>346</v>
      </c>
      <c r="K75" s="6" t="s">
        <v>16</v>
      </c>
      <c r="L75" s="6" t="s">
        <v>16</v>
      </c>
      <c r="M75" s="6" t="s">
        <v>16</v>
      </c>
      <c r="N75" s="6" t="s">
        <v>16</v>
      </c>
      <c r="O75" s="6" t="s">
        <v>16</v>
      </c>
      <c r="P75" s="6" t="s">
        <v>16</v>
      </c>
      <c r="Q75" s="6" t="str">
        <f t="shared" si="1"/>
        <v>Aplicar identificación avanzada-condición aceptable para cada tipo de factor de riesgo identificado</v>
      </c>
    </row>
    <row r="76" spans="1:17" ht="45">
      <c r="A76" s="70">
        <f>Datos!A75</f>
        <v>74</v>
      </c>
      <c r="B76" s="70" t="str">
        <f>Datos!B75</f>
        <v>Desposte</v>
      </c>
      <c r="C76" s="71" t="str">
        <f>Datos!C75</f>
        <v>Operario de producción Línea Pulpa Piernas</v>
      </c>
      <c r="D76" s="71" t="str">
        <f>Datos!D75</f>
        <v>Extracción de asiento</v>
      </c>
      <c r="E76" s="71" t="str">
        <f>Datos!F75</f>
        <v>Am: 07:00 a 16:00 - PM: 17:15 a 02:45</v>
      </c>
      <c r="F76" s="71" t="str">
        <f>Datos!G75</f>
        <v>0.5</v>
      </c>
      <c r="G76" s="71">
        <f>Datos!H75</f>
        <v>4.5</v>
      </c>
      <c r="H76" s="71">
        <f>Datos!I75</f>
        <v>92</v>
      </c>
      <c r="I76" s="71">
        <f>Datos!J75</f>
        <v>0</v>
      </c>
      <c r="J76" s="6" t="s">
        <v>346</v>
      </c>
      <c r="K76" s="6" t="s">
        <v>16</v>
      </c>
      <c r="L76" s="6" t="s">
        <v>16</v>
      </c>
      <c r="M76" s="6" t="s">
        <v>16</v>
      </c>
      <c r="N76" s="6" t="s">
        <v>16</v>
      </c>
      <c r="O76" s="6" t="s">
        <v>16</v>
      </c>
      <c r="P76" s="6" t="s">
        <v>16</v>
      </c>
      <c r="Q76" s="6" t="str">
        <f t="shared" si="1"/>
        <v>Aplicar identificación avanzada-condición aceptable para cada tipo de factor de riesgo identificado</v>
      </c>
    </row>
    <row r="77" spans="1:17" ht="45">
      <c r="A77" s="70">
        <f>Datos!A76</f>
        <v>75</v>
      </c>
      <c r="B77" s="70" t="str">
        <f>Datos!B76</f>
        <v>Desposte</v>
      </c>
      <c r="C77" s="71" t="str">
        <f>Datos!C76</f>
        <v>Operario de producción Línea Pulpa Piernas</v>
      </c>
      <c r="D77" s="71" t="str">
        <f>Datos!D76</f>
        <v xml:space="preserve">Extracción de abastero </v>
      </c>
      <c r="E77" s="71" t="str">
        <f>Datos!F76</f>
        <v>Am: 07:00 a 16:00 - PM: 17:15 a 02:45</v>
      </c>
      <c r="F77" s="71" t="str">
        <f>Datos!G76</f>
        <v>0.5</v>
      </c>
      <c r="G77" s="71">
        <f>Datos!H76</f>
        <v>4.5</v>
      </c>
      <c r="H77" s="71">
        <f>Datos!I76</f>
        <v>92</v>
      </c>
      <c r="I77" s="71">
        <f>Datos!J76</f>
        <v>0</v>
      </c>
      <c r="J77" s="6" t="s">
        <v>346</v>
      </c>
      <c r="K77" s="6" t="s">
        <v>16</v>
      </c>
      <c r="L77" s="6" t="s">
        <v>16</v>
      </c>
      <c r="M77" s="6" t="s">
        <v>16</v>
      </c>
      <c r="N77" s="6" t="s">
        <v>16</v>
      </c>
      <c r="O77" s="6" t="s">
        <v>16</v>
      </c>
      <c r="P77" s="6" t="s">
        <v>16</v>
      </c>
      <c r="Q77" s="6" t="str">
        <f t="shared" si="1"/>
        <v>Aplicar identificación avanzada-condición aceptable para cada tipo de factor de riesgo identificado</v>
      </c>
    </row>
    <row r="78" spans="1:17" ht="45">
      <c r="A78" s="70">
        <f>Datos!A77</f>
        <v>76</v>
      </c>
      <c r="B78" s="70" t="str">
        <f>Datos!B77</f>
        <v>Desposte</v>
      </c>
      <c r="C78" s="71" t="str">
        <f>Datos!C77</f>
        <v>Operario de producción Línea Pulpa Piernas</v>
      </c>
      <c r="D78" s="71" t="str">
        <f>Datos!D77</f>
        <v>Extracción de ganso</v>
      </c>
      <c r="E78" s="71" t="str">
        <f>Datos!F77</f>
        <v>Am: 07:00 a 16:00 - PM: 17:15 a 02:45</v>
      </c>
      <c r="F78" s="71" t="str">
        <f>Datos!G77</f>
        <v>0.5</v>
      </c>
      <c r="G78" s="71">
        <f>Datos!H77</f>
        <v>4.5</v>
      </c>
      <c r="H78" s="71">
        <f>Datos!I77</f>
        <v>92</v>
      </c>
      <c r="I78" s="71">
        <f>Datos!J77</f>
        <v>0</v>
      </c>
      <c r="J78" s="6" t="s">
        <v>346</v>
      </c>
      <c r="K78" s="6" t="s">
        <v>16</v>
      </c>
      <c r="L78" s="6" t="s">
        <v>16</v>
      </c>
      <c r="M78" s="6" t="s">
        <v>16</v>
      </c>
      <c r="N78" s="6" t="s">
        <v>16</v>
      </c>
      <c r="O78" s="6" t="s">
        <v>16</v>
      </c>
      <c r="P78" s="6" t="s">
        <v>16</v>
      </c>
      <c r="Q78" s="6" t="str">
        <f t="shared" si="1"/>
        <v>Aplicar identificación avanzada-condición aceptable para cada tipo de factor de riesgo identificado</v>
      </c>
    </row>
    <row r="79" spans="1:17" ht="45">
      <c r="A79" s="70">
        <f>Datos!A78</f>
        <v>77</v>
      </c>
      <c r="B79" s="70" t="str">
        <f>Datos!B78</f>
        <v>Desposte</v>
      </c>
      <c r="C79" s="71" t="str">
        <f>Datos!C78</f>
        <v>Operario de producción Línea Pulpa Piernas</v>
      </c>
      <c r="D79" s="71" t="str">
        <f>Datos!D78</f>
        <v>Operador desmenbranadora</v>
      </c>
      <c r="E79" s="71" t="str">
        <f>Datos!F78</f>
        <v>Am: 07:00 a 16:00 - PM: 17:15 a 02:45</v>
      </c>
      <c r="F79" s="71" t="str">
        <f>Datos!G78</f>
        <v>0.5</v>
      </c>
      <c r="G79" s="71">
        <f>Datos!H78</f>
        <v>4.5</v>
      </c>
      <c r="H79" s="71">
        <f>Datos!I78</f>
        <v>92</v>
      </c>
      <c r="I79" s="71">
        <f>Datos!J78</f>
        <v>0</v>
      </c>
      <c r="J79" s="6" t="s">
        <v>346</v>
      </c>
      <c r="K79" s="6" t="s">
        <v>16</v>
      </c>
      <c r="L79" s="6" t="s">
        <v>346</v>
      </c>
      <c r="M79" s="6" t="s">
        <v>16</v>
      </c>
      <c r="N79" s="6" t="s">
        <v>16</v>
      </c>
      <c r="O79" s="6" t="s">
        <v>16</v>
      </c>
      <c r="P79" s="6" t="s">
        <v>16</v>
      </c>
      <c r="Q79" s="6" t="str">
        <f t="shared" si="1"/>
        <v>Aplicar identificación avanzada-condición aceptable para cada tipo de factor de riesgo identificado</v>
      </c>
    </row>
    <row r="80" spans="1:17" ht="45">
      <c r="A80" s="70">
        <f>Datos!A79</f>
        <v>78</v>
      </c>
      <c r="B80" s="70" t="str">
        <f>Datos!B79</f>
        <v>Desposte</v>
      </c>
      <c r="C80" s="71" t="str">
        <f>Datos!C79</f>
        <v>Operario de producción Línea Pulpa Piernas</v>
      </c>
      <c r="D80" s="71" t="str">
        <f>Datos!D79</f>
        <v xml:space="preserve">Embalaje </v>
      </c>
      <c r="E80" s="71" t="str">
        <f>Datos!F79</f>
        <v>Am: 07:00 a 16:00 - PM: 17:15 a 02:45</v>
      </c>
      <c r="F80" s="71" t="str">
        <f>Datos!G79</f>
        <v>0.5</v>
      </c>
      <c r="G80" s="71">
        <f>Datos!H79</f>
        <v>4.5</v>
      </c>
      <c r="H80" s="71">
        <f>Datos!I79</f>
        <v>92</v>
      </c>
      <c r="I80" s="71">
        <f>Datos!J79</f>
        <v>0</v>
      </c>
      <c r="J80" s="6" t="s">
        <v>346</v>
      </c>
      <c r="K80" s="6" t="s">
        <v>16</v>
      </c>
      <c r="L80" s="6" t="s">
        <v>16</v>
      </c>
      <c r="M80" s="6" t="s">
        <v>16</v>
      </c>
      <c r="N80" s="6" t="s">
        <v>16</v>
      </c>
      <c r="O80" s="6" t="s">
        <v>16</v>
      </c>
      <c r="P80" s="6" t="s">
        <v>16</v>
      </c>
      <c r="Q80" s="6" t="str">
        <f t="shared" si="1"/>
        <v>Aplicar identificación avanzada-condición aceptable para cada tipo de factor de riesgo identificado</v>
      </c>
    </row>
    <row r="81" spans="1:17" ht="45">
      <c r="A81" s="70">
        <f>Datos!A80</f>
        <v>79</v>
      </c>
      <c r="B81" s="70" t="str">
        <f>Datos!B80</f>
        <v>Desposte</v>
      </c>
      <c r="C81" s="71" t="str">
        <f>Datos!C80</f>
        <v>Operario de producción Línea Pulpa Piernas</v>
      </c>
      <c r="D81" s="71" t="str">
        <f>Datos!D80</f>
        <v>Prolijado de Cueros</v>
      </c>
      <c r="E81" s="71" t="str">
        <f>Datos!F80</f>
        <v>Am: 07:00 a 16:00 - PM: 17:15 a 02:45</v>
      </c>
      <c r="F81" s="71" t="str">
        <f>Datos!G80</f>
        <v>0.5</v>
      </c>
      <c r="G81" s="71">
        <f>Datos!H80</f>
        <v>4.5</v>
      </c>
      <c r="H81" s="71">
        <f>Datos!I80</f>
        <v>92</v>
      </c>
      <c r="I81" s="71">
        <f>Datos!J80</f>
        <v>4</v>
      </c>
      <c r="J81" s="6" t="s">
        <v>16</v>
      </c>
      <c r="K81" s="6" t="s">
        <v>16</v>
      </c>
      <c r="L81" s="6" t="s">
        <v>16</v>
      </c>
      <c r="M81" s="6" t="s">
        <v>16</v>
      </c>
      <c r="N81" s="6" t="s">
        <v>16</v>
      </c>
      <c r="O81" s="6" t="s">
        <v>16</v>
      </c>
      <c r="P81" s="6" t="s">
        <v>16</v>
      </c>
      <c r="Q81" s="6" t="str">
        <f t="shared" si="1"/>
        <v>Ausencia total del riesgo, reevaluar cada 3 años con nueva identificación inicial</v>
      </c>
    </row>
    <row r="82" spans="1:17" ht="45">
      <c r="A82" s="70">
        <f>Datos!A81</f>
        <v>80</v>
      </c>
      <c r="B82" s="70" t="str">
        <f>Datos!B81</f>
        <v>Desposte</v>
      </c>
      <c r="C82" s="71" t="str">
        <f>Datos!C81</f>
        <v>Operario de producción Línea Pulpa Piernas</v>
      </c>
      <c r="D82" s="71" t="str">
        <f>Datos!D81</f>
        <v>Operador descueradora</v>
      </c>
      <c r="E82" s="71" t="str">
        <f>Datos!F81</f>
        <v>Am: 07:00 a 16:00 - PM: 17:15 a 02:45</v>
      </c>
      <c r="F82" s="71" t="str">
        <f>Datos!G81</f>
        <v>0.5</v>
      </c>
      <c r="G82" s="71">
        <f>Datos!H81</f>
        <v>4.5</v>
      </c>
      <c r="H82" s="71">
        <f>Datos!I81</f>
        <v>92</v>
      </c>
      <c r="I82" s="71">
        <f>Datos!J81</f>
        <v>0</v>
      </c>
      <c r="J82" s="6" t="s">
        <v>346</v>
      </c>
      <c r="K82" s="6" t="s">
        <v>16</v>
      </c>
      <c r="L82" s="6" t="s">
        <v>346</v>
      </c>
      <c r="M82" s="6" t="s">
        <v>16</v>
      </c>
      <c r="N82" s="6" t="s">
        <v>16</v>
      </c>
      <c r="O82" s="6" t="s">
        <v>16</v>
      </c>
      <c r="P82" s="6" t="s">
        <v>16</v>
      </c>
      <c r="Q82" s="6" t="str">
        <f t="shared" si="1"/>
        <v>Aplicar identificación avanzada-condición aceptable para cada tipo de factor de riesgo identificado</v>
      </c>
    </row>
    <row r="83" spans="1:17" ht="45">
      <c r="A83" s="70">
        <f>Datos!A82</f>
        <v>81</v>
      </c>
      <c r="B83" s="70" t="str">
        <f>Datos!B82</f>
        <v>Desposte</v>
      </c>
      <c r="C83" s="71" t="str">
        <f>Datos!C82</f>
        <v>Operario de producción Línea Embolsado</v>
      </c>
      <c r="D83" s="71" t="str">
        <f>Datos!D82</f>
        <v>Revision de pancetas robot</v>
      </c>
      <c r="E83" s="71" t="str">
        <f>Datos!F82</f>
        <v>Am: 07:30 a 16:15 - PM: 17:30 a 03:00</v>
      </c>
      <c r="F83" s="71" t="str">
        <f>Datos!G82</f>
        <v>0.5</v>
      </c>
      <c r="G83" s="71">
        <f>Datos!H82</f>
        <v>4.5</v>
      </c>
      <c r="H83" s="71">
        <f>Datos!I82</f>
        <v>15</v>
      </c>
      <c r="I83" s="71">
        <f>Datos!J82</f>
        <v>0</v>
      </c>
      <c r="J83" s="6" t="s">
        <v>16</v>
      </c>
      <c r="K83" s="6" t="s">
        <v>16</v>
      </c>
      <c r="L83" s="6" t="s">
        <v>16</v>
      </c>
      <c r="M83" s="6" t="s">
        <v>16</v>
      </c>
      <c r="N83" s="6" t="s">
        <v>16</v>
      </c>
      <c r="O83" s="6" t="s">
        <v>16</v>
      </c>
      <c r="P83" s="6" t="s">
        <v>16</v>
      </c>
      <c r="Q83" s="6" t="str">
        <f t="shared" si="1"/>
        <v>Ausencia total del riesgo, reevaluar cada 3 años con nueva identificación inicial</v>
      </c>
    </row>
    <row r="84" spans="1:17" ht="45">
      <c r="A84" s="70">
        <f>Datos!A83</f>
        <v>82</v>
      </c>
      <c r="B84" s="70" t="str">
        <f>Datos!B83</f>
        <v>Desposte</v>
      </c>
      <c r="C84" s="71" t="str">
        <f>Datos!C83</f>
        <v>Operario de producción Línea Embolsado</v>
      </c>
      <c r="D84" s="71" t="str">
        <f>Datos!D83</f>
        <v>Operador de robot</v>
      </c>
      <c r="E84" s="71" t="str">
        <f>Datos!F83</f>
        <v>Am: 07:30 a 16:15 - PM: 17:30 a 03:00</v>
      </c>
      <c r="F84" s="71" t="str">
        <f>Datos!G83</f>
        <v>0.5</v>
      </c>
      <c r="G84" s="71">
        <f>Datos!H83</f>
        <v>4.5</v>
      </c>
      <c r="H84" s="71">
        <f>Datos!I83</f>
        <v>15</v>
      </c>
      <c r="I84" s="71">
        <f>Datos!J83</f>
        <v>60</v>
      </c>
      <c r="J84" s="6" t="s">
        <v>346</v>
      </c>
      <c r="K84" s="6" t="s">
        <v>16</v>
      </c>
      <c r="L84" s="6" t="s">
        <v>16</v>
      </c>
      <c r="M84" s="6" t="s">
        <v>16</v>
      </c>
      <c r="N84" s="6" t="s">
        <v>16</v>
      </c>
      <c r="O84" s="6" t="s">
        <v>16</v>
      </c>
      <c r="P84" s="6" t="s">
        <v>16</v>
      </c>
      <c r="Q84" s="6" t="str">
        <f t="shared" si="1"/>
        <v>Aplicar identificación avanzada-condición aceptable para cada tipo de factor de riesgo identificado</v>
      </c>
    </row>
    <row r="85" spans="1:17" ht="45">
      <c r="A85" s="70">
        <f>Datos!A84</f>
        <v>83</v>
      </c>
      <c r="B85" s="70" t="str">
        <f>Datos!B84</f>
        <v>Desposte</v>
      </c>
      <c r="C85" s="71" t="str">
        <f>Datos!C84</f>
        <v>Operario de producción Línea Embolsado</v>
      </c>
      <c r="D85" s="71" t="str">
        <f>Datos!D84</f>
        <v>Operador de rotativa</v>
      </c>
      <c r="E85" s="71" t="str">
        <f>Datos!F84</f>
        <v>Am: 07:30 a 16:15 - PM: 17:30 a 03:00</v>
      </c>
      <c r="F85" s="71" t="str">
        <f>Datos!G84</f>
        <v>0.5</v>
      </c>
      <c r="G85" s="71">
        <f>Datos!H84</f>
        <v>4.5</v>
      </c>
      <c r="H85" s="71">
        <f>Datos!I84</f>
        <v>0</v>
      </c>
      <c r="I85" s="71">
        <f>Datos!J84</f>
        <v>60</v>
      </c>
      <c r="J85" s="6" t="s">
        <v>346</v>
      </c>
      <c r="K85" s="6" t="s">
        <v>16</v>
      </c>
      <c r="L85" s="6" t="s">
        <v>16</v>
      </c>
      <c r="M85" s="6" t="s">
        <v>16</v>
      </c>
      <c r="N85" s="6" t="s">
        <v>16</v>
      </c>
      <c r="O85" s="6" t="s">
        <v>16</v>
      </c>
      <c r="P85" s="6" t="s">
        <v>16</v>
      </c>
      <c r="Q85" s="6" t="str">
        <f t="shared" si="1"/>
        <v>Aplicar identificación avanzada-condición aceptable para cada tipo de factor de riesgo identificado</v>
      </c>
    </row>
    <row r="86" spans="1:17" ht="45">
      <c r="A86" s="70">
        <f>Datos!A85</f>
        <v>84</v>
      </c>
      <c r="B86" s="70" t="str">
        <f>Datos!B85</f>
        <v>Desposte</v>
      </c>
      <c r="C86" s="71" t="str">
        <f>Datos!C85</f>
        <v>Operario de producción Línea Embolsado</v>
      </c>
      <c r="D86" s="71" t="str">
        <f>Datos!D85</f>
        <v>Traspaso de productos</v>
      </c>
      <c r="E86" s="71" t="str">
        <f>Datos!F85</f>
        <v>Am: 07:30 a 16:15 - PM: 17:30 a 03:00</v>
      </c>
      <c r="F86" s="71" t="str">
        <f>Datos!G85</f>
        <v>0.5</v>
      </c>
      <c r="G86" s="71">
        <f>Datos!H85</f>
        <v>4.5</v>
      </c>
      <c r="H86" s="71">
        <f>Datos!I85</f>
        <v>0</v>
      </c>
      <c r="I86" s="71">
        <f>Datos!J85</f>
        <v>60</v>
      </c>
      <c r="J86" s="6" t="s">
        <v>346</v>
      </c>
      <c r="K86" s="6" t="s">
        <v>16</v>
      </c>
      <c r="L86" s="6" t="s">
        <v>16</v>
      </c>
      <c r="M86" s="6" t="s">
        <v>16</v>
      </c>
      <c r="N86" s="6" t="s">
        <v>16</v>
      </c>
      <c r="O86" s="6" t="s">
        <v>16</v>
      </c>
      <c r="P86" s="6" t="s">
        <v>16</v>
      </c>
      <c r="Q86" s="6" t="str">
        <f t="shared" si="1"/>
        <v>Aplicar identificación avanzada-condición aceptable para cada tipo de factor de riesgo identificado</v>
      </c>
    </row>
    <row r="87" spans="1:17" ht="45">
      <c r="A87" s="70">
        <f>Datos!A86</f>
        <v>85</v>
      </c>
      <c r="B87" s="70" t="str">
        <f>Datos!B86</f>
        <v>Desposte</v>
      </c>
      <c r="C87" s="71" t="str">
        <f>Datos!C86</f>
        <v>Operario de producción Línea Embolsado</v>
      </c>
      <c r="D87" s="71" t="str">
        <f>Datos!D86</f>
        <v>Operador Rayos X</v>
      </c>
      <c r="E87" s="71" t="str">
        <f>Datos!F86</f>
        <v>Am: 07:30 a 16:15 - PM: 17:30 a 03:00</v>
      </c>
      <c r="F87" s="71" t="str">
        <f>Datos!G86</f>
        <v>0.5</v>
      </c>
      <c r="G87" s="71">
        <f>Datos!H86</f>
        <v>4.5</v>
      </c>
      <c r="H87" s="71">
        <f>Datos!I86</f>
        <v>0</v>
      </c>
      <c r="I87" s="71">
        <f>Datos!J86</f>
        <v>60</v>
      </c>
      <c r="J87" s="6" t="s">
        <v>16</v>
      </c>
      <c r="K87" s="6" t="s">
        <v>16</v>
      </c>
      <c r="L87" s="6" t="s">
        <v>16</v>
      </c>
      <c r="M87" s="6" t="s">
        <v>16</v>
      </c>
      <c r="N87" s="6" t="s">
        <v>16</v>
      </c>
      <c r="O87" s="6" t="s">
        <v>16</v>
      </c>
      <c r="P87" s="6" t="s">
        <v>16</v>
      </c>
      <c r="Q87" s="6" t="str">
        <f t="shared" si="1"/>
        <v>Ausencia total del riesgo, reevaluar cada 3 años con nueva identificación inicial</v>
      </c>
    </row>
    <row r="88" spans="1:17" ht="45">
      <c r="A88" s="70">
        <f>Datos!A87</f>
        <v>86</v>
      </c>
      <c r="B88" s="70" t="str">
        <f>Datos!B87</f>
        <v>Desposte</v>
      </c>
      <c r="C88" s="71" t="str">
        <f>Datos!C87</f>
        <v>Operario de producción Línea Embolsado</v>
      </c>
      <c r="D88" s="71" t="str">
        <f>Datos!D87</f>
        <v>Termoformadora</v>
      </c>
      <c r="E88" s="71" t="str">
        <f>Datos!F87</f>
        <v>Am: 07:30 a 16:15 - PM: 17:30 a 03:00</v>
      </c>
      <c r="F88" s="71" t="str">
        <f>Datos!G87</f>
        <v>0.5</v>
      </c>
      <c r="G88" s="71">
        <f>Datos!H87</f>
        <v>4.5</v>
      </c>
      <c r="H88" s="71">
        <f>Datos!I87</f>
        <v>15</v>
      </c>
      <c r="I88" s="71">
        <f>Datos!J87</f>
        <v>0</v>
      </c>
      <c r="J88" s="6" t="s">
        <v>346</v>
      </c>
      <c r="K88" s="6" t="s">
        <v>16</v>
      </c>
      <c r="L88" s="6" t="s">
        <v>16</v>
      </c>
      <c r="M88" s="6" t="s">
        <v>16</v>
      </c>
      <c r="N88" s="6" t="s">
        <v>16</v>
      </c>
      <c r="O88" s="6" t="s">
        <v>16</v>
      </c>
      <c r="P88" s="6" t="s">
        <v>16</v>
      </c>
      <c r="Q88" s="6" t="str">
        <f t="shared" si="1"/>
        <v>Aplicar identificación avanzada-condición aceptable para cada tipo de factor de riesgo identificado</v>
      </c>
    </row>
    <row r="89" spans="1:17" ht="45">
      <c r="A89" s="70">
        <f>Datos!A88</f>
        <v>87</v>
      </c>
      <c r="B89" s="70" t="str">
        <f>Datos!B88</f>
        <v>Desposte</v>
      </c>
      <c r="C89" s="71" t="str">
        <f>Datos!C88</f>
        <v>Operario de producción Línea Embolsado</v>
      </c>
      <c r="D89" s="71" t="str">
        <f>Datos!D88</f>
        <v>Revision de pancetas termoformadora</v>
      </c>
      <c r="E89" s="71" t="str">
        <f>Datos!F88</f>
        <v>Am: 07:30 a 16:15 - PM: 17:30 a 03:00</v>
      </c>
      <c r="F89" s="71" t="str">
        <f>Datos!G88</f>
        <v>0.5</v>
      </c>
      <c r="G89" s="71">
        <f>Datos!H88</f>
        <v>4.5</v>
      </c>
      <c r="H89" s="71">
        <f>Datos!I88</f>
        <v>15</v>
      </c>
      <c r="I89" s="71">
        <f>Datos!J88</f>
        <v>0</v>
      </c>
      <c r="J89" s="6" t="s">
        <v>346</v>
      </c>
      <c r="K89" s="6" t="s">
        <v>16</v>
      </c>
      <c r="L89" s="6" t="s">
        <v>16</v>
      </c>
      <c r="M89" s="6" t="s">
        <v>16</v>
      </c>
      <c r="N89" s="6" t="s">
        <v>16</v>
      </c>
      <c r="O89" s="6" t="s">
        <v>16</v>
      </c>
      <c r="P89" s="6" t="s">
        <v>16</v>
      </c>
      <c r="Q89" s="6" t="str">
        <f t="shared" si="1"/>
        <v>Aplicar identificación avanzada-condición aceptable para cada tipo de factor de riesgo identificado</v>
      </c>
    </row>
    <row r="90" spans="1:17" ht="45">
      <c r="A90" s="70">
        <f>Datos!A89</f>
        <v>88</v>
      </c>
      <c r="B90" s="70" t="str">
        <f>Datos!B89</f>
        <v>Desposte</v>
      </c>
      <c r="C90" s="71" t="str">
        <f>Datos!C89</f>
        <v>Operario de producción Línea Embolsado</v>
      </c>
      <c r="D90" s="71" t="str">
        <f>Datos!D89</f>
        <v>Embolsado lomo mm loin</v>
      </c>
      <c r="E90" s="71" t="str">
        <f>Datos!F89</f>
        <v>Am: 07:30 a 16:15 - PM: 17:30 a 03:00</v>
      </c>
      <c r="F90" s="71" t="str">
        <f>Datos!G89</f>
        <v>0.5</v>
      </c>
      <c r="G90" s="71">
        <f>Datos!H89</f>
        <v>4.5</v>
      </c>
      <c r="H90" s="71">
        <f>Datos!I89</f>
        <v>0</v>
      </c>
      <c r="I90" s="71">
        <f>Datos!J89</f>
        <v>60</v>
      </c>
      <c r="J90" s="6" t="s">
        <v>346</v>
      </c>
      <c r="K90" s="6" t="s">
        <v>16</v>
      </c>
      <c r="L90" s="6" t="s">
        <v>16</v>
      </c>
      <c r="M90" s="6" t="s">
        <v>16</v>
      </c>
      <c r="N90" s="6" t="s">
        <v>16</v>
      </c>
      <c r="O90" s="6" t="s">
        <v>16</v>
      </c>
      <c r="P90" s="6" t="s">
        <v>16</v>
      </c>
      <c r="Q90" s="6" t="str">
        <f t="shared" si="1"/>
        <v>Aplicar identificación avanzada-condición aceptable para cada tipo de factor de riesgo identificado</v>
      </c>
    </row>
    <row r="91" spans="1:17" ht="45">
      <c r="A91" s="70">
        <f>Datos!A90</f>
        <v>89</v>
      </c>
      <c r="B91" s="70" t="str">
        <f>Datos!B90</f>
        <v>Desposte</v>
      </c>
      <c r="C91" s="71" t="str">
        <f>Datos!C90</f>
        <v>Operario de producción Línea Embolsado</v>
      </c>
      <c r="D91" s="71" t="str">
        <f>Datos!D90</f>
        <v>Embolsado  lomo  vetado</v>
      </c>
      <c r="E91" s="71" t="str">
        <f>Datos!F90</f>
        <v>Am: 07:30 a 16:15 - PM: 17:30 a 03:00</v>
      </c>
      <c r="F91" s="71" t="str">
        <f>Datos!G90</f>
        <v>0.5</v>
      </c>
      <c r="G91" s="71">
        <f>Datos!H90</f>
        <v>4.5</v>
      </c>
      <c r="H91" s="71">
        <f>Datos!I90</f>
        <v>0</v>
      </c>
      <c r="I91" s="71">
        <f>Datos!J90</f>
        <v>60</v>
      </c>
      <c r="J91" s="6" t="s">
        <v>346</v>
      </c>
      <c r="K91" s="6" t="s">
        <v>16</v>
      </c>
      <c r="L91" s="6" t="s">
        <v>16</v>
      </c>
      <c r="M91" s="6" t="s">
        <v>16</v>
      </c>
      <c r="N91" s="6" t="s">
        <v>16</v>
      </c>
      <c r="O91" s="6" t="s">
        <v>16</v>
      </c>
      <c r="P91" s="6" t="s">
        <v>16</v>
      </c>
      <c r="Q91" s="6" t="str">
        <f t="shared" si="1"/>
        <v>Aplicar identificación avanzada-condición aceptable para cada tipo de factor de riesgo identificado</v>
      </c>
    </row>
    <row r="92" spans="1:17" ht="45">
      <c r="A92" s="70">
        <f>Datos!A91</f>
        <v>90</v>
      </c>
      <c r="B92" s="70" t="str">
        <f>Datos!B91</f>
        <v>Desposte</v>
      </c>
      <c r="C92" s="71" t="str">
        <f>Datos!C91</f>
        <v>Operario de producción Línea Embolsado</v>
      </c>
      <c r="D92" s="71" t="str">
        <f>Datos!D91</f>
        <v>Embolsado de pancetas</v>
      </c>
      <c r="E92" s="71" t="str">
        <f>Datos!F91</f>
        <v>Am: 07:30 a 16:15 - PM: 17:30 a 03:00</v>
      </c>
      <c r="F92" s="71" t="str">
        <f>Datos!G91</f>
        <v>0.5</v>
      </c>
      <c r="G92" s="71">
        <f>Datos!H91</f>
        <v>4.5</v>
      </c>
      <c r="H92" s="71">
        <f>Datos!I91</f>
        <v>0</v>
      </c>
      <c r="I92" s="71">
        <f>Datos!J91</f>
        <v>60</v>
      </c>
      <c r="J92" s="6" t="s">
        <v>346</v>
      </c>
      <c r="K92" s="6" t="s">
        <v>16</v>
      </c>
      <c r="L92" s="6" t="s">
        <v>16</v>
      </c>
      <c r="M92" s="6" t="s">
        <v>16</v>
      </c>
      <c r="N92" s="6" t="s">
        <v>16</v>
      </c>
      <c r="O92" s="6" t="s">
        <v>16</v>
      </c>
      <c r="P92" s="6" t="s">
        <v>16</v>
      </c>
      <c r="Q92" s="6" t="str">
        <f t="shared" si="1"/>
        <v>Aplicar identificación avanzada-condición aceptable para cada tipo de factor de riesgo identificado</v>
      </c>
    </row>
    <row r="93" spans="1:17" ht="45">
      <c r="A93" s="70">
        <f>Datos!A92</f>
        <v>91</v>
      </c>
      <c r="B93" s="70" t="str">
        <f>Datos!B92</f>
        <v>Desposte</v>
      </c>
      <c r="C93" s="71" t="str">
        <f>Datos!C92</f>
        <v>Operario de producción Línea Embolsado</v>
      </c>
      <c r="D93" s="71" t="str">
        <f>Datos!D92</f>
        <v>Embolsado de lomo tecla</v>
      </c>
      <c r="E93" s="71" t="str">
        <f>Datos!F92</f>
        <v>Am: 07:30 a 16:15 - PM: 17:30 a 03:00</v>
      </c>
      <c r="F93" s="71" t="str">
        <f>Datos!G92</f>
        <v>0.5</v>
      </c>
      <c r="G93" s="71">
        <f>Datos!H92</f>
        <v>4.5</v>
      </c>
      <c r="H93" s="71">
        <f>Datos!I92</f>
        <v>0</v>
      </c>
      <c r="I93" s="71">
        <f>Datos!J92</f>
        <v>60</v>
      </c>
      <c r="J93" s="6" t="s">
        <v>346</v>
      </c>
      <c r="K93" s="6" t="s">
        <v>16</v>
      </c>
      <c r="L93" s="6" t="s">
        <v>16</v>
      </c>
      <c r="M93" s="6" t="s">
        <v>16</v>
      </c>
      <c r="N93" s="6" t="s">
        <v>16</v>
      </c>
      <c r="O93" s="6" t="s">
        <v>16</v>
      </c>
      <c r="P93" s="6" t="s">
        <v>16</v>
      </c>
      <c r="Q93" s="6" t="str">
        <f t="shared" si="1"/>
        <v>Aplicar identificación avanzada-condición aceptable para cada tipo de factor de riesgo identificado</v>
      </c>
    </row>
    <row r="94" spans="1:17" ht="45">
      <c r="A94" s="70">
        <f>Datos!A93</f>
        <v>92</v>
      </c>
      <c r="B94" s="70" t="str">
        <f>Datos!B93</f>
        <v>Desposte</v>
      </c>
      <c r="C94" s="71" t="str">
        <f>Datos!C93</f>
        <v>Operario de producción Línea Embolsado</v>
      </c>
      <c r="D94" s="71" t="str">
        <f>Datos!D93</f>
        <v>Reproceso</v>
      </c>
      <c r="E94" s="71" t="str">
        <f>Datos!F93</f>
        <v>Am: 07:30 a 16:15 - PM: 17:30 a 03:00</v>
      </c>
      <c r="F94" s="71" t="str">
        <f>Datos!G93</f>
        <v>0.5</v>
      </c>
      <c r="G94" s="71">
        <f>Datos!H93</f>
        <v>4.5</v>
      </c>
      <c r="H94" s="71">
        <f>Datos!I93</f>
        <v>0</v>
      </c>
      <c r="I94" s="71">
        <f>Datos!J93</f>
        <v>60</v>
      </c>
      <c r="J94" s="6" t="s">
        <v>16</v>
      </c>
      <c r="K94" s="6" t="s">
        <v>16</v>
      </c>
      <c r="L94" s="6" t="s">
        <v>346</v>
      </c>
      <c r="M94" s="6" t="s">
        <v>16</v>
      </c>
      <c r="N94" s="6" t="s">
        <v>16</v>
      </c>
      <c r="O94" s="6" t="s">
        <v>16</v>
      </c>
      <c r="P94" s="6" t="s">
        <v>16</v>
      </c>
      <c r="Q94" s="6" t="str">
        <f t="shared" si="1"/>
        <v>Aplicar identificación avanzada-condición aceptable para cada tipo de factor de riesgo identificado</v>
      </c>
    </row>
    <row r="95" spans="1:17" ht="45">
      <c r="A95" s="70">
        <f>Datos!A94</f>
        <v>93</v>
      </c>
      <c r="B95" s="70" t="str">
        <f>Datos!B94</f>
        <v>Desposte</v>
      </c>
      <c r="C95" s="71" t="str">
        <f>Datos!C94</f>
        <v>Operario de producción Línea Pancetas</v>
      </c>
      <c r="D95" s="71" t="str">
        <f>Datos!D94</f>
        <v>Operador de descueradora automatica (ABT)</v>
      </c>
      <c r="E95" s="71" t="str">
        <f>Datos!F94</f>
        <v>Am: 07:00 a 16:00 - PM: 17:15 a 02:45</v>
      </c>
      <c r="F95" s="71" t="str">
        <f>Datos!G94</f>
        <v>0.5</v>
      </c>
      <c r="G95" s="71">
        <f>Datos!H94</f>
        <v>4.5</v>
      </c>
      <c r="H95" s="71">
        <f>Datos!I94</f>
        <v>61</v>
      </c>
      <c r="I95" s="71">
        <f>Datos!J94</f>
        <v>0</v>
      </c>
      <c r="J95" s="6" t="s">
        <v>346</v>
      </c>
      <c r="K95" s="6" t="s">
        <v>16</v>
      </c>
      <c r="L95" s="6" t="s">
        <v>16</v>
      </c>
      <c r="M95" s="6" t="s">
        <v>16</v>
      </c>
      <c r="N95" s="6" t="s">
        <v>16</v>
      </c>
      <c r="O95" s="6" t="s">
        <v>16</v>
      </c>
      <c r="P95" s="6" t="s">
        <v>16</v>
      </c>
      <c r="Q95" s="6" t="str">
        <f t="shared" si="1"/>
        <v>Aplicar identificación avanzada-condición aceptable para cada tipo de factor de riesgo identificado</v>
      </c>
    </row>
    <row r="96" spans="1:17" ht="45">
      <c r="A96" s="70">
        <f>Datos!A95</f>
        <v>94</v>
      </c>
      <c r="B96" s="70" t="str">
        <f>Datos!B95</f>
        <v>Desposte</v>
      </c>
      <c r="C96" s="71" t="str">
        <f>Datos!C95</f>
        <v>Operario de producción Línea Pancetas</v>
      </c>
      <c r="D96" s="71" t="str">
        <f>Datos!D95</f>
        <v>Acomodador de pancetas</v>
      </c>
      <c r="E96" s="71" t="str">
        <f>Datos!F95</f>
        <v>Am: 07:00 a 16:00 - PM: 17:15 a 02:45</v>
      </c>
      <c r="F96" s="71" t="str">
        <f>Datos!G95</f>
        <v>0.5</v>
      </c>
      <c r="G96" s="71">
        <f>Datos!H95</f>
        <v>4.5</v>
      </c>
      <c r="H96" s="71">
        <f>Datos!I95</f>
        <v>61</v>
      </c>
      <c r="I96" s="71">
        <f>Datos!J95</f>
        <v>0</v>
      </c>
      <c r="J96" s="6" t="s">
        <v>346</v>
      </c>
      <c r="K96" s="6" t="s">
        <v>16</v>
      </c>
      <c r="L96" s="6" t="s">
        <v>16</v>
      </c>
      <c r="M96" s="6" t="s">
        <v>16</v>
      </c>
      <c r="N96" s="6" t="s">
        <v>16</v>
      </c>
      <c r="O96" s="6" t="s">
        <v>16</v>
      </c>
      <c r="P96" s="6" t="s">
        <v>16</v>
      </c>
      <c r="Q96" s="6" t="str">
        <f t="shared" si="1"/>
        <v>Aplicar identificación avanzada-condición aceptable para cada tipo de factor de riesgo identificado</v>
      </c>
    </row>
    <row r="97" spans="1:17" ht="45">
      <c r="A97" s="70">
        <f>Datos!A96</f>
        <v>95</v>
      </c>
      <c r="B97" s="70" t="str">
        <f>Datos!B96</f>
        <v>Desposte</v>
      </c>
      <c r="C97" s="71" t="str">
        <f>Datos!C96</f>
        <v>Operario de producción Línea Pancetas</v>
      </c>
      <c r="D97" s="71" t="str">
        <f>Datos!D96</f>
        <v xml:space="preserve">Separación de recortes falda y laterales </v>
      </c>
      <c r="E97" s="71" t="str">
        <f>Datos!F96</f>
        <v>Am: 07:00 a 16:00 - PM: 17:15 a 02:45</v>
      </c>
      <c r="F97" s="71" t="str">
        <f>Datos!G96</f>
        <v>0.5</v>
      </c>
      <c r="G97" s="71">
        <f>Datos!H96</f>
        <v>4.5</v>
      </c>
      <c r="H97" s="71">
        <f>Datos!I96</f>
        <v>61</v>
      </c>
      <c r="I97" s="71">
        <f>Datos!J96</f>
        <v>0</v>
      </c>
      <c r="J97" s="6" t="s">
        <v>346</v>
      </c>
      <c r="K97" s="6" t="s">
        <v>16</v>
      </c>
      <c r="L97" s="6" t="s">
        <v>16</v>
      </c>
      <c r="M97" s="6" t="s">
        <v>16</v>
      </c>
      <c r="N97" s="6" t="s">
        <v>16</v>
      </c>
      <c r="O97" s="6" t="s">
        <v>16</v>
      </c>
      <c r="P97" s="6" t="s">
        <v>16</v>
      </c>
      <c r="Q97" s="6" t="str">
        <f t="shared" si="1"/>
        <v>Aplicar identificación avanzada-condición aceptable para cada tipo de factor de riesgo identificado</v>
      </c>
    </row>
    <row r="98" spans="1:17" ht="45">
      <c r="A98" s="70">
        <f>Datos!A97</f>
        <v>96</v>
      </c>
      <c r="B98" s="70" t="str">
        <f>Datos!B97</f>
        <v>Desposte</v>
      </c>
      <c r="C98" s="71" t="str">
        <f>Datos!C97</f>
        <v>Operario de producción Línea Pancetas</v>
      </c>
      <c r="D98" s="71" t="str">
        <f>Datos!D97</f>
        <v>Prolijado de Cueros</v>
      </c>
      <c r="E98" s="71" t="str">
        <f>Datos!F97</f>
        <v>Am: 07:00 a 16:00 - PM: 17:15 a 02:45</v>
      </c>
      <c r="F98" s="71" t="str">
        <f>Datos!G97</f>
        <v>0.5</v>
      </c>
      <c r="G98" s="71">
        <f>Datos!H97</f>
        <v>4.5</v>
      </c>
      <c r="H98" s="71">
        <f>Datos!I97</f>
        <v>0</v>
      </c>
      <c r="I98" s="71">
        <f>Datos!J97</f>
        <v>6</v>
      </c>
      <c r="J98" s="6" t="s">
        <v>16</v>
      </c>
      <c r="K98" s="6" t="s">
        <v>16</v>
      </c>
      <c r="L98" s="6" t="s">
        <v>16</v>
      </c>
      <c r="M98" s="6" t="s">
        <v>16</v>
      </c>
      <c r="N98" s="6" t="s">
        <v>16</v>
      </c>
      <c r="O98" s="6" t="s">
        <v>16</v>
      </c>
      <c r="P98" s="6" t="s">
        <v>16</v>
      </c>
      <c r="Q98" s="6" t="str">
        <f t="shared" si="1"/>
        <v>Ausencia total del riesgo, reevaluar cada 3 años con nueva identificación inicial</v>
      </c>
    </row>
    <row r="99" spans="1:17" ht="45">
      <c r="A99" s="70">
        <f>Datos!A98</f>
        <v>97</v>
      </c>
      <c r="B99" s="70" t="str">
        <f>Datos!B98</f>
        <v>Desposte</v>
      </c>
      <c r="C99" s="71" t="str">
        <f>Datos!C98</f>
        <v>Operario de producción Línea Pancetas</v>
      </c>
      <c r="D99" s="71" t="str">
        <f>Datos!D98</f>
        <v>Prolijado de tiras de panceta</v>
      </c>
      <c r="E99" s="71" t="str">
        <f>Datos!F98</f>
        <v>Am: 07:00 a 16:00 - PM: 17:15 a 02:45</v>
      </c>
      <c r="F99" s="71" t="str">
        <f>Datos!G98</f>
        <v>0.5</v>
      </c>
      <c r="G99" s="71">
        <f>Datos!H98</f>
        <v>4.5</v>
      </c>
      <c r="H99" s="71">
        <f>Datos!I98</f>
        <v>0</v>
      </c>
      <c r="I99" s="71">
        <f>Datos!J98</f>
        <v>6</v>
      </c>
      <c r="J99" s="6" t="s">
        <v>346</v>
      </c>
      <c r="K99" s="6" t="s">
        <v>16</v>
      </c>
      <c r="L99" s="6" t="s">
        <v>16</v>
      </c>
      <c r="M99" s="6" t="s">
        <v>16</v>
      </c>
      <c r="N99" s="6" t="s">
        <v>16</v>
      </c>
      <c r="O99" s="6" t="s">
        <v>16</v>
      </c>
      <c r="P99" s="6" t="s">
        <v>16</v>
      </c>
      <c r="Q99" s="6" t="str">
        <f t="shared" si="1"/>
        <v>Aplicar identificación avanzada-condición aceptable para cada tipo de factor de riesgo identificado</v>
      </c>
    </row>
    <row r="100" spans="1:17" ht="45">
      <c r="A100" s="70">
        <f>Datos!A99</f>
        <v>98</v>
      </c>
      <c r="B100" s="70" t="str">
        <f>Datos!B99</f>
        <v>Desposte</v>
      </c>
      <c r="C100" s="71" t="str">
        <f>Datos!C99</f>
        <v>Operario de producción Línea Pancetas</v>
      </c>
      <c r="D100" s="71" t="str">
        <f>Datos!D99</f>
        <v>Prolijado de falda</v>
      </c>
      <c r="E100" s="71" t="str">
        <f>Datos!F99</f>
        <v>Am: 07:00 a 16:00 - PM: 17:15 a 02:45</v>
      </c>
      <c r="F100" s="71" t="str">
        <f>Datos!G99</f>
        <v>0.5</v>
      </c>
      <c r="G100" s="71">
        <f>Datos!H99</f>
        <v>4.5</v>
      </c>
      <c r="H100" s="71">
        <f>Datos!I99</f>
        <v>0</v>
      </c>
      <c r="I100" s="71">
        <f>Datos!J99</f>
        <v>6</v>
      </c>
      <c r="J100" s="6" t="s">
        <v>346</v>
      </c>
      <c r="K100" s="6" t="s">
        <v>16</v>
      </c>
      <c r="L100" s="6" t="s">
        <v>16</v>
      </c>
      <c r="M100" s="6" t="s">
        <v>16</v>
      </c>
      <c r="N100" s="6" t="s">
        <v>16</v>
      </c>
      <c r="O100" s="6" t="s">
        <v>16</v>
      </c>
      <c r="P100" s="6" t="s">
        <v>16</v>
      </c>
      <c r="Q100" s="6" t="str">
        <f t="shared" si="1"/>
        <v>Aplicar identificación avanzada-condición aceptable para cada tipo de factor de riesgo identificado</v>
      </c>
    </row>
    <row r="101" spans="1:17" ht="45">
      <c r="A101" s="70">
        <f>Datos!A100</f>
        <v>99</v>
      </c>
      <c r="B101" s="70" t="str">
        <f>Datos!B100</f>
        <v>Desposte</v>
      </c>
      <c r="C101" s="71" t="str">
        <f>Datos!C100</f>
        <v>Operario de producción Línea Pancetas</v>
      </c>
      <c r="D101" s="71" t="str">
        <f>Datos!D100</f>
        <v>Acomodador de pancetas salida de ABT</v>
      </c>
      <c r="E101" s="71" t="str">
        <f>Datos!F100</f>
        <v>Am: 07:00 a 16:00 - PM: 17:15 a 02:45</v>
      </c>
      <c r="F101" s="71" t="str">
        <f>Datos!G100</f>
        <v>0.5</v>
      </c>
      <c r="G101" s="71">
        <f>Datos!H100</f>
        <v>4.5</v>
      </c>
      <c r="H101" s="71">
        <f>Datos!I100</f>
        <v>61</v>
      </c>
      <c r="I101" s="71">
        <f>Datos!J100</f>
        <v>0</v>
      </c>
      <c r="J101" s="6" t="s">
        <v>346</v>
      </c>
      <c r="K101" s="6" t="s">
        <v>16</v>
      </c>
      <c r="L101" s="6" t="s">
        <v>346</v>
      </c>
      <c r="M101" s="6" t="s">
        <v>16</v>
      </c>
      <c r="N101" s="6" t="s">
        <v>16</v>
      </c>
      <c r="O101" s="6" t="s">
        <v>16</v>
      </c>
      <c r="P101" s="6" t="s">
        <v>16</v>
      </c>
      <c r="Q101" s="6" t="str">
        <f t="shared" si="1"/>
        <v>Aplicar identificación avanzada-condición aceptable para cada tipo de factor de riesgo identificado</v>
      </c>
    </row>
    <row r="102" spans="1:17" ht="45">
      <c r="A102" s="70">
        <f>Datos!A101</f>
        <v>100</v>
      </c>
      <c r="B102" s="70" t="str">
        <f>Datos!B101</f>
        <v>Desposte</v>
      </c>
      <c r="C102" s="71" t="str">
        <f>Datos!C101</f>
        <v>Operario de producción Línea Pancetas</v>
      </c>
      <c r="D102" s="71" t="str">
        <f>Datos!D101</f>
        <v>Biselado</v>
      </c>
      <c r="E102" s="71" t="str">
        <f>Datos!F101</f>
        <v>Am: 07:00 a 16:00 - PM: 17:15 a 02:45</v>
      </c>
      <c r="F102" s="71" t="str">
        <f>Datos!G101</f>
        <v>0.5</v>
      </c>
      <c r="G102" s="71">
        <f>Datos!H101</f>
        <v>4.5</v>
      </c>
      <c r="H102" s="71">
        <f>Datos!I101</f>
        <v>61</v>
      </c>
      <c r="I102" s="71">
        <f>Datos!J101</f>
        <v>0</v>
      </c>
      <c r="J102" s="6" t="s">
        <v>346</v>
      </c>
      <c r="K102" s="6" t="s">
        <v>16</v>
      </c>
      <c r="L102" s="6" t="s">
        <v>16</v>
      </c>
      <c r="M102" s="6" t="s">
        <v>16</v>
      </c>
      <c r="N102" s="6" t="s">
        <v>16</v>
      </c>
      <c r="O102" s="6" t="s">
        <v>16</v>
      </c>
      <c r="P102" s="6" t="s">
        <v>346</v>
      </c>
      <c r="Q102" s="6" t="str">
        <f t="shared" si="1"/>
        <v>Aplicar identificación avanzada-condición aceptable para cada tipo de factor de riesgo identificado</v>
      </c>
    </row>
    <row r="103" spans="1:17" ht="45">
      <c r="A103" s="70">
        <f>Datos!A102</f>
        <v>101</v>
      </c>
      <c r="B103" s="70" t="str">
        <f>Datos!B102</f>
        <v>Desposte</v>
      </c>
      <c r="C103" s="71" t="str">
        <f>Datos!C102</f>
        <v>Operario de producción Línea Pancetas</v>
      </c>
      <c r="D103" s="71" t="str">
        <f>Datos!D102</f>
        <v>Prolijado de panceta / pecho</v>
      </c>
      <c r="E103" s="71" t="str">
        <f>Datos!F102</f>
        <v>Am: 07:00 a 16:00 - PM: 17:15 a 02:45</v>
      </c>
      <c r="F103" s="71" t="str">
        <f>Datos!G102</f>
        <v>0.5</v>
      </c>
      <c r="G103" s="71">
        <f>Datos!H102</f>
        <v>4.5</v>
      </c>
      <c r="H103" s="71">
        <f>Datos!I102</f>
        <v>61</v>
      </c>
      <c r="I103" s="71">
        <f>Datos!J102</f>
        <v>0</v>
      </c>
      <c r="J103" s="6" t="s">
        <v>346</v>
      </c>
      <c r="K103" s="6" t="s">
        <v>16</v>
      </c>
      <c r="L103" s="6" t="s">
        <v>16</v>
      </c>
      <c r="M103" s="6" t="s">
        <v>16</v>
      </c>
      <c r="N103" s="6" t="s">
        <v>16</v>
      </c>
      <c r="O103" s="6" t="s">
        <v>16</v>
      </c>
      <c r="P103" s="6" t="s">
        <v>346</v>
      </c>
      <c r="Q103" s="6" t="str">
        <f t="shared" si="1"/>
        <v>Aplicar identificación avanzada-condición aceptable para cada tipo de factor de riesgo identificado</v>
      </c>
    </row>
    <row r="104" spans="1:17" ht="45">
      <c r="A104" s="70">
        <f>Datos!A103</f>
        <v>102</v>
      </c>
      <c r="B104" s="70" t="str">
        <f>Datos!B103</f>
        <v>Desposte</v>
      </c>
      <c r="C104" s="71" t="str">
        <f>Datos!C103</f>
        <v>Operario de producción Línea Pancetas</v>
      </c>
      <c r="D104" s="71" t="str">
        <f>Datos!D103</f>
        <v>Calibrado de panceta</v>
      </c>
      <c r="E104" s="71" t="str">
        <f>Datos!F103</f>
        <v>Am: 07:00 a 16:00 - PM: 17:15 a 02:45</v>
      </c>
      <c r="F104" s="71" t="str">
        <f>Datos!G103</f>
        <v>0.5</v>
      </c>
      <c r="G104" s="71">
        <f>Datos!H103</f>
        <v>4.5</v>
      </c>
      <c r="H104" s="71">
        <f>Datos!I103</f>
        <v>61</v>
      </c>
      <c r="I104" s="71">
        <f>Datos!J103</f>
        <v>0</v>
      </c>
      <c r="J104" s="6" t="s">
        <v>346</v>
      </c>
      <c r="K104" s="6" t="s">
        <v>16</v>
      </c>
      <c r="L104" s="6" t="s">
        <v>16</v>
      </c>
      <c r="M104" s="6" t="s">
        <v>16</v>
      </c>
      <c r="N104" s="6" t="s">
        <v>16</v>
      </c>
      <c r="O104" s="6" t="s">
        <v>16</v>
      </c>
      <c r="P104" s="6" t="s">
        <v>16</v>
      </c>
      <c r="Q104" s="6" t="str">
        <f t="shared" si="1"/>
        <v>Aplicar identificación avanzada-condición aceptable para cada tipo de factor de riesgo identificado</v>
      </c>
    </row>
    <row r="105" spans="1:17" ht="45">
      <c r="A105" s="70">
        <f>Datos!A104</f>
        <v>103</v>
      </c>
      <c r="B105" s="70" t="str">
        <f>Datos!B104</f>
        <v>Desposte</v>
      </c>
      <c r="C105" s="71" t="str">
        <f>Datos!C104</f>
        <v>Operario de producción Línea Pancetas</v>
      </c>
      <c r="D105" s="71" t="str">
        <f>Datos!D104</f>
        <v>Revisión final de panceta</v>
      </c>
      <c r="E105" s="71" t="str">
        <f>Datos!F104</f>
        <v>Am: 07:00 a 16:00 - PM: 17:15 a 02:45</v>
      </c>
      <c r="F105" s="71" t="str">
        <f>Datos!G104</f>
        <v>0.5</v>
      </c>
      <c r="G105" s="71">
        <f>Datos!H104</f>
        <v>4.5</v>
      </c>
      <c r="H105" s="71">
        <f>Datos!I104</f>
        <v>61</v>
      </c>
      <c r="I105" s="71">
        <f>Datos!J104</f>
        <v>0</v>
      </c>
      <c r="J105" s="6" t="s">
        <v>346</v>
      </c>
      <c r="K105" s="6" t="s">
        <v>16</v>
      </c>
      <c r="L105" s="6" t="s">
        <v>16</v>
      </c>
      <c r="M105" s="6" t="s">
        <v>16</v>
      </c>
      <c r="N105" s="6" t="s">
        <v>16</v>
      </c>
      <c r="O105" s="6" t="s">
        <v>16</v>
      </c>
      <c r="P105" s="6" t="s">
        <v>16</v>
      </c>
      <c r="Q105" s="6" t="str">
        <f t="shared" si="1"/>
        <v>Aplicar identificación avanzada-condición aceptable para cada tipo de factor de riesgo identificado</v>
      </c>
    </row>
    <row r="106" spans="1:17" ht="45">
      <c r="A106" s="70">
        <f>Datos!A105</f>
        <v>104</v>
      </c>
      <c r="B106" s="70" t="str">
        <f>Datos!B105</f>
        <v>Desposte</v>
      </c>
      <c r="C106" s="71" t="str">
        <f>Datos!C105</f>
        <v>Operario de producción Línea Pancetas</v>
      </c>
      <c r="D106" s="71" t="str">
        <f>Datos!D105</f>
        <v>Extracción de tetillas ABT</v>
      </c>
      <c r="E106" s="71" t="str">
        <f>Datos!F105</f>
        <v>Am: 07:00 a 16:00 - PM: 17:15 a 02:45</v>
      </c>
      <c r="F106" s="71" t="str">
        <f>Datos!G105</f>
        <v>0.5</v>
      </c>
      <c r="G106" s="71">
        <f>Datos!H105</f>
        <v>4.5</v>
      </c>
      <c r="H106" s="71">
        <f>Datos!I105</f>
        <v>61</v>
      </c>
      <c r="I106" s="71">
        <f>Datos!J105</f>
        <v>0</v>
      </c>
      <c r="J106" s="6" t="s">
        <v>346</v>
      </c>
      <c r="K106" s="6" t="s">
        <v>16</v>
      </c>
      <c r="L106" s="6" t="s">
        <v>16</v>
      </c>
      <c r="M106" s="6" t="s">
        <v>16</v>
      </c>
      <c r="N106" s="6" t="s">
        <v>16</v>
      </c>
      <c r="O106" s="6" t="s">
        <v>16</v>
      </c>
      <c r="P106" s="6" t="s">
        <v>346</v>
      </c>
      <c r="Q106" s="6" t="str">
        <f t="shared" si="1"/>
        <v>Aplicar identificación avanzada-condición aceptable para cada tipo de factor de riesgo identificado</v>
      </c>
    </row>
    <row r="107" spans="1:17" ht="45">
      <c r="A107" s="70">
        <f>Datos!A106</f>
        <v>105</v>
      </c>
      <c r="B107" s="70" t="str">
        <f>Datos!B106</f>
        <v>Desposte</v>
      </c>
      <c r="C107" s="71" t="str">
        <f>Datos!C106</f>
        <v>Operario de producción Línea Pancetas</v>
      </c>
      <c r="D107" s="71" t="str">
        <f>Datos!D106</f>
        <v>Extracción de manteca</v>
      </c>
      <c r="E107" s="71" t="str">
        <f>Datos!F106</f>
        <v>Am: 07:00 a 16:00 - PM: 17:15 a 02:45</v>
      </c>
      <c r="F107" s="71" t="str">
        <f>Datos!G106</f>
        <v>0.5</v>
      </c>
      <c r="G107" s="71">
        <f>Datos!H106</f>
        <v>4.5</v>
      </c>
      <c r="H107" s="71">
        <f>Datos!I106</f>
        <v>61</v>
      </c>
      <c r="I107" s="71">
        <f>Datos!J106</f>
        <v>0</v>
      </c>
      <c r="J107" s="6" t="s">
        <v>346</v>
      </c>
      <c r="K107" s="6" t="s">
        <v>16</v>
      </c>
      <c r="L107" s="6" t="s">
        <v>16</v>
      </c>
      <c r="M107" s="6" t="s">
        <v>16</v>
      </c>
      <c r="N107" s="6" t="s">
        <v>16</v>
      </c>
      <c r="O107" s="6" t="s">
        <v>16</v>
      </c>
      <c r="P107" s="6" t="s">
        <v>346</v>
      </c>
      <c r="Q107" s="6" t="str">
        <f t="shared" si="1"/>
        <v>Aplicar identificación avanzada-condición aceptable para cada tipo de factor de riesgo identificado</v>
      </c>
    </row>
    <row r="108" spans="1:17" ht="28.5">
      <c r="A108" s="70">
        <f>Datos!A107</f>
        <v>106</v>
      </c>
      <c r="B108" s="70">
        <f>Datos!B107</f>
        <v>0</v>
      </c>
      <c r="C108" s="71">
        <f>Datos!C107</f>
        <v>0</v>
      </c>
      <c r="D108" s="71">
        <f>Datos!D107</f>
        <v>0</v>
      </c>
      <c r="E108" s="71">
        <f>Datos!F107</f>
        <v>0</v>
      </c>
      <c r="F108" s="71">
        <f>Datos!G107</f>
        <v>0</v>
      </c>
      <c r="G108" s="71">
        <f>Datos!H107</f>
        <v>0</v>
      </c>
      <c r="H108" s="71">
        <f>Datos!I107</f>
        <v>0</v>
      </c>
      <c r="I108" s="71">
        <f>Datos!J107</f>
        <v>0</v>
      </c>
      <c r="J108" s="6" t="s">
        <v>16</v>
      </c>
      <c r="K108" s="6" t="s">
        <v>16</v>
      </c>
      <c r="L108" s="6" t="s">
        <v>16</v>
      </c>
      <c r="M108" s="6" t="s">
        <v>16</v>
      </c>
      <c r="N108" s="6" t="s">
        <v>16</v>
      </c>
      <c r="O108" s="6" t="s">
        <v>16</v>
      </c>
      <c r="P108" s="6" t="s">
        <v>16</v>
      </c>
      <c r="Q108" s="6" t="str">
        <f t="shared" si="1"/>
        <v>Ausencia total del riesgo, reevaluar cada 3 años con nueva identificación inicial</v>
      </c>
    </row>
    <row r="109" spans="1:17" ht="28.5">
      <c r="A109" s="70">
        <f>Datos!A108</f>
        <v>107</v>
      </c>
      <c r="B109" s="70">
        <f>Datos!B108</f>
        <v>0</v>
      </c>
      <c r="C109" s="71">
        <f>Datos!C108</f>
        <v>0</v>
      </c>
      <c r="D109" s="71">
        <f>Datos!D108</f>
        <v>0</v>
      </c>
      <c r="E109" s="71">
        <f>Datos!F108</f>
        <v>0</v>
      </c>
      <c r="F109" s="71">
        <f>Datos!G108</f>
        <v>0</v>
      </c>
      <c r="G109" s="71">
        <f>Datos!H108</f>
        <v>0</v>
      </c>
      <c r="H109" s="71">
        <f>Datos!I108</f>
        <v>0</v>
      </c>
      <c r="I109" s="71">
        <f>Datos!J108</f>
        <v>0</v>
      </c>
      <c r="J109" s="6" t="s">
        <v>16</v>
      </c>
      <c r="K109" s="6" t="s">
        <v>16</v>
      </c>
      <c r="L109" s="6" t="s">
        <v>16</v>
      </c>
      <c r="M109" s="6" t="s">
        <v>16</v>
      </c>
      <c r="N109" s="6" t="s">
        <v>16</v>
      </c>
      <c r="O109" s="6" t="s">
        <v>16</v>
      </c>
      <c r="P109" s="6" t="s">
        <v>16</v>
      </c>
      <c r="Q109" s="6" t="str">
        <f t="shared" si="1"/>
        <v>Ausencia total del riesgo, reevaluar cada 3 años con nueva identificación inicial</v>
      </c>
    </row>
    <row r="110" spans="1:17" ht="28.5">
      <c r="A110" s="70">
        <f>Datos!A109</f>
        <v>108</v>
      </c>
      <c r="B110" s="70">
        <f>Datos!B109</f>
        <v>0</v>
      </c>
      <c r="C110" s="71">
        <f>Datos!C109</f>
        <v>0</v>
      </c>
      <c r="D110" s="71">
        <f>Datos!D109</f>
        <v>0</v>
      </c>
      <c r="E110" s="71">
        <f>Datos!F109</f>
        <v>0</v>
      </c>
      <c r="F110" s="71">
        <f>Datos!G109</f>
        <v>0</v>
      </c>
      <c r="G110" s="71">
        <f>Datos!H109</f>
        <v>0</v>
      </c>
      <c r="H110" s="71">
        <f>Datos!I109</f>
        <v>0</v>
      </c>
      <c r="I110" s="71">
        <f>Datos!J109</f>
        <v>0</v>
      </c>
      <c r="J110" s="6" t="s">
        <v>16</v>
      </c>
      <c r="K110" s="6" t="s">
        <v>16</v>
      </c>
      <c r="L110" s="6" t="s">
        <v>16</v>
      </c>
      <c r="M110" s="6" t="s">
        <v>16</v>
      </c>
      <c r="N110" s="6" t="s">
        <v>16</v>
      </c>
      <c r="O110" s="6" t="s">
        <v>16</v>
      </c>
      <c r="P110" s="6" t="s">
        <v>16</v>
      </c>
      <c r="Q110" s="6" t="str">
        <f t="shared" si="1"/>
        <v>Ausencia total del riesgo, reevaluar cada 3 años con nueva identificación inicial</v>
      </c>
    </row>
    <row r="111" spans="1:17" ht="28.5">
      <c r="A111" s="70">
        <f>Datos!A110</f>
        <v>109</v>
      </c>
      <c r="B111" s="70">
        <f>Datos!B110</f>
        <v>0</v>
      </c>
      <c r="C111" s="71">
        <f>Datos!C110</f>
        <v>0</v>
      </c>
      <c r="D111" s="71">
        <f>Datos!D110</f>
        <v>0</v>
      </c>
      <c r="E111" s="71">
        <f>Datos!F110</f>
        <v>0</v>
      </c>
      <c r="F111" s="71">
        <f>Datos!G110</f>
        <v>0</v>
      </c>
      <c r="G111" s="71">
        <f>Datos!H110</f>
        <v>0</v>
      </c>
      <c r="H111" s="71">
        <f>Datos!I110</f>
        <v>0</v>
      </c>
      <c r="I111" s="71">
        <f>Datos!J110</f>
        <v>0</v>
      </c>
      <c r="J111" s="6" t="s">
        <v>16</v>
      </c>
      <c r="K111" s="6" t="s">
        <v>16</v>
      </c>
      <c r="L111" s="6" t="s">
        <v>16</v>
      </c>
      <c r="M111" s="6" t="s">
        <v>16</v>
      </c>
      <c r="N111" s="6" t="s">
        <v>16</v>
      </c>
      <c r="O111" s="6" t="s">
        <v>16</v>
      </c>
      <c r="P111" s="6" t="s">
        <v>16</v>
      </c>
      <c r="Q111" s="6" t="str">
        <f t="shared" si="1"/>
        <v>Ausencia total del riesgo, reevaluar cada 3 años con nueva identificación inicial</v>
      </c>
    </row>
    <row r="112" spans="1:17" ht="28.5">
      <c r="A112" s="70">
        <f>Datos!A111</f>
        <v>110</v>
      </c>
      <c r="B112" s="70">
        <f>Datos!B111</f>
        <v>0</v>
      </c>
      <c r="C112" s="71">
        <f>Datos!C111</f>
        <v>0</v>
      </c>
      <c r="D112" s="71">
        <f>Datos!D111</f>
        <v>0</v>
      </c>
      <c r="E112" s="71">
        <f>Datos!F111</f>
        <v>0</v>
      </c>
      <c r="F112" s="71">
        <f>Datos!G111</f>
        <v>0</v>
      </c>
      <c r="G112" s="71">
        <f>Datos!H111</f>
        <v>0</v>
      </c>
      <c r="H112" s="71">
        <f>Datos!I111</f>
        <v>0</v>
      </c>
      <c r="I112" s="71">
        <f>Datos!J111</f>
        <v>0</v>
      </c>
      <c r="J112" s="6" t="s">
        <v>16</v>
      </c>
      <c r="K112" s="6" t="s">
        <v>16</v>
      </c>
      <c r="L112" s="6" t="s">
        <v>16</v>
      </c>
      <c r="M112" s="6" t="s">
        <v>16</v>
      </c>
      <c r="N112" s="6" t="s">
        <v>16</v>
      </c>
      <c r="O112" s="6" t="s">
        <v>16</v>
      </c>
      <c r="P112" s="6" t="s">
        <v>16</v>
      </c>
      <c r="Q112" s="6" t="str">
        <f t="shared" ref="Q112:Q175" si="2">IF(AND(J112="NO",K112="NO",L112="NO",M112="NO",N112="NO",O112="NO",P112="NO"),"Ausencia total del riesgo, reevaluar cada 3 años con nueva identificación inicial","Aplicar identificación avanzada-condición aceptable para cada tipo de factor de riesgo identificado")</f>
        <v>Ausencia total del riesgo, reevaluar cada 3 años con nueva identificación inicial</v>
      </c>
    </row>
    <row r="113" spans="1:17" ht="28.5">
      <c r="A113" s="70">
        <f>Datos!A112</f>
        <v>111</v>
      </c>
      <c r="B113" s="70">
        <f>Datos!B112</f>
        <v>0</v>
      </c>
      <c r="C113" s="71">
        <f>Datos!C112</f>
        <v>0</v>
      </c>
      <c r="D113" s="71">
        <f>Datos!D112</f>
        <v>0</v>
      </c>
      <c r="E113" s="71">
        <f>Datos!F112</f>
        <v>0</v>
      </c>
      <c r="F113" s="71">
        <f>Datos!G112</f>
        <v>0</v>
      </c>
      <c r="G113" s="71">
        <f>Datos!H112</f>
        <v>0</v>
      </c>
      <c r="H113" s="71">
        <f>Datos!I112</f>
        <v>0</v>
      </c>
      <c r="I113" s="71">
        <f>Datos!J112</f>
        <v>0</v>
      </c>
      <c r="J113" s="6" t="s">
        <v>16</v>
      </c>
      <c r="K113" s="6" t="s">
        <v>16</v>
      </c>
      <c r="L113" s="6" t="s">
        <v>16</v>
      </c>
      <c r="M113" s="6" t="s">
        <v>16</v>
      </c>
      <c r="N113" s="6" t="s">
        <v>16</v>
      </c>
      <c r="O113" s="6" t="s">
        <v>16</v>
      </c>
      <c r="P113" s="6" t="s">
        <v>16</v>
      </c>
      <c r="Q113" s="6" t="str">
        <f t="shared" si="2"/>
        <v>Ausencia total del riesgo, reevaluar cada 3 años con nueva identificación inicial</v>
      </c>
    </row>
    <row r="114" spans="1:17" ht="28.5">
      <c r="A114" s="70">
        <f>Datos!A113</f>
        <v>112</v>
      </c>
      <c r="B114" s="70">
        <f>Datos!B113</f>
        <v>0</v>
      </c>
      <c r="C114" s="71">
        <f>Datos!C113</f>
        <v>0</v>
      </c>
      <c r="D114" s="71">
        <f>Datos!D113</f>
        <v>0</v>
      </c>
      <c r="E114" s="71">
        <f>Datos!F113</f>
        <v>0</v>
      </c>
      <c r="F114" s="71">
        <f>Datos!G113</f>
        <v>0</v>
      </c>
      <c r="G114" s="71">
        <f>Datos!H113</f>
        <v>0</v>
      </c>
      <c r="H114" s="71">
        <f>Datos!I113</f>
        <v>0</v>
      </c>
      <c r="I114" s="71">
        <f>Datos!J113</f>
        <v>0</v>
      </c>
      <c r="J114" s="6" t="s">
        <v>16</v>
      </c>
      <c r="K114" s="6" t="s">
        <v>16</v>
      </c>
      <c r="L114" s="6" t="s">
        <v>16</v>
      </c>
      <c r="M114" s="6" t="s">
        <v>16</v>
      </c>
      <c r="N114" s="6" t="s">
        <v>16</v>
      </c>
      <c r="O114" s="6" t="s">
        <v>16</v>
      </c>
      <c r="P114" s="6" t="s">
        <v>16</v>
      </c>
      <c r="Q114" s="6" t="str">
        <f t="shared" si="2"/>
        <v>Ausencia total del riesgo, reevaluar cada 3 años con nueva identificación inicial</v>
      </c>
    </row>
    <row r="115" spans="1:17" ht="28.5">
      <c r="A115" s="70">
        <f>Datos!A114</f>
        <v>113</v>
      </c>
      <c r="B115" s="70">
        <f>Datos!B114</f>
        <v>0</v>
      </c>
      <c r="C115" s="71">
        <f>Datos!C114</f>
        <v>0</v>
      </c>
      <c r="D115" s="71">
        <f>Datos!D114</f>
        <v>0</v>
      </c>
      <c r="E115" s="71">
        <f>Datos!F114</f>
        <v>0</v>
      </c>
      <c r="F115" s="71">
        <f>Datos!G114</f>
        <v>0</v>
      </c>
      <c r="G115" s="71">
        <f>Datos!H114</f>
        <v>0</v>
      </c>
      <c r="H115" s="71">
        <f>Datos!I114</f>
        <v>0</v>
      </c>
      <c r="I115" s="71">
        <f>Datos!J114</f>
        <v>0</v>
      </c>
      <c r="J115" s="6" t="s">
        <v>16</v>
      </c>
      <c r="K115" s="6" t="s">
        <v>16</v>
      </c>
      <c r="L115" s="6" t="s">
        <v>16</v>
      </c>
      <c r="M115" s="6" t="s">
        <v>16</v>
      </c>
      <c r="N115" s="6" t="s">
        <v>16</v>
      </c>
      <c r="O115" s="6" t="s">
        <v>16</v>
      </c>
      <c r="P115" s="6" t="s">
        <v>16</v>
      </c>
      <c r="Q115" s="6" t="str">
        <f t="shared" si="2"/>
        <v>Ausencia total del riesgo, reevaluar cada 3 años con nueva identificación inicial</v>
      </c>
    </row>
    <row r="116" spans="1:17" ht="28.5">
      <c r="A116" s="70">
        <f>Datos!A115</f>
        <v>114</v>
      </c>
      <c r="B116" s="70">
        <f>Datos!B115</f>
        <v>0</v>
      </c>
      <c r="C116" s="71">
        <f>Datos!C115</f>
        <v>0</v>
      </c>
      <c r="D116" s="71">
        <f>Datos!D115</f>
        <v>0</v>
      </c>
      <c r="E116" s="71">
        <f>Datos!F115</f>
        <v>0</v>
      </c>
      <c r="F116" s="71">
        <f>Datos!G115</f>
        <v>0</v>
      </c>
      <c r="G116" s="71">
        <f>Datos!H115</f>
        <v>0</v>
      </c>
      <c r="H116" s="71">
        <f>Datos!I115</f>
        <v>0</v>
      </c>
      <c r="I116" s="71">
        <f>Datos!J115</f>
        <v>0</v>
      </c>
      <c r="J116" s="6" t="s">
        <v>16</v>
      </c>
      <c r="K116" s="6" t="s">
        <v>16</v>
      </c>
      <c r="L116" s="6" t="s">
        <v>16</v>
      </c>
      <c r="M116" s="6" t="s">
        <v>16</v>
      </c>
      <c r="N116" s="6" t="s">
        <v>16</v>
      </c>
      <c r="O116" s="6" t="s">
        <v>16</v>
      </c>
      <c r="P116" s="6" t="s">
        <v>16</v>
      </c>
      <c r="Q116" s="6" t="str">
        <f t="shared" si="2"/>
        <v>Ausencia total del riesgo, reevaluar cada 3 años con nueva identificación inicial</v>
      </c>
    </row>
    <row r="117" spans="1:17" ht="28.5">
      <c r="A117" s="70">
        <f>Datos!A116</f>
        <v>115</v>
      </c>
      <c r="B117" s="70">
        <f>Datos!B116</f>
        <v>0</v>
      </c>
      <c r="C117" s="71">
        <f>Datos!C116</f>
        <v>0</v>
      </c>
      <c r="D117" s="71">
        <f>Datos!D116</f>
        <v>0</v>
      </c>
      <c r="E117" s="71">
        <f>Datos!F116</f>
        <v>0</v>
      </c>
      <c r="F117" s="71">
        <f>Datos!G116</f>
        <v>0</v>
      </c>
      <c r="G117" s="71">
        <f>Datos!H116</f>
        <v>0</v>
      </c>
      <c r="H117" s="71">
        <f>Datos!I116</f>
        <v>0</v>
      </c>
      <c r="I117" s="71">
        <f>Datos!J116</f>
        <v>0</v>
      </c>
      <c r="J117" s="6" t="s">
        <v>16</v>
      </c>
      <c r="K117" s="6" t="s">
        <v>16</v>
      </c>
      <c r="L117" s="6" t="s">
        <v>16</v>
      </c>
      <c r="M117" s="6" t="s">
        <v>16</v>
      </c>
      <c r="N117" s="6" t="s">
        <v>16</v>
      </c>
      <c r="O117" s="6" t="s">
        <v>16</v>
      </c>
      <c r="P117" s="6" t="s">
        <v>16</v>
      </c>
      <c r="Q117" s="6" t="str">
        <f t="shared" si="2"/>
        <v>Ausencia total del riesgo, reevaluar cada 3 años con nueva identificación inicial</v>
      </c>
    </row>
    <row r="118" spans="1:17" ht="28.5">
      <c r="A118" s="70">
        <f>Datos!A117</f>
        <v>116</v>
      </c>
      <c r="B118" s="70">
        <f>Datos!B117</f>
        <v>0</v>
      </c>
      <c r="C118" s="71">
        <f>Datos!C117</f>
        <v>0</v>
      </c>
      <c r="D118" s="71">
        <f>Datos!D117</f>
        <v>0</v>
      </c>
      <c r="E118" s="71">
        <f>Datos!F117</f>
        <v>0</v>
      </c>
      <c r="F118" s="71">
        <f>Datos!G117</f>
        <v>0</v>
      </c>
      <c r="G118" s="71">
        <f>Datos!H117</f>
        <v>0</v>
      </c>
      <c r="H118" s="71">
        <f>Datos!I117</f>
        <v>0</v>
      </c>
      <c r="I118" s="71">
        <f>Datos!J117</f>
        <v>0</v>
      </c>
      <c r="J118" s="6" t="s">
        <v>16</v>
      </c>
      <c r="K118" s="6" t="s">
        <v>16</v>
      </c>
      <c r="L118" s="6" t="s">
        <v>16</v>
      </c>
      <c r="M118" s="6" t="s">
        <v>16</v>
      </c>
      <c r="N118" s="6" t="s">
        <v>16</v>
      </c>
      <c r="O118" s="6" t="s">
        <v>16</v>
      </c>
      <c r="P118" s="6" t="s">
        <v>16</v>
      </c>
      <c r="Q118" s="6" t="str">
        <f t="shared" si="2"/>
        <v>Ausencia total del riesgo, reevaluar cada 3 años con nueva identificación inicial</v>
      </c>
    </row>
    <row r="119" spans="1:17" ht="28.5">
      <c r="A119" s="70">
        <f>Datos!A118</f>
        <v>117</v>
      </c>
      <c r="B119" s="70">
        <f>Datos!B118</f>
        <v>0</v>
      </c>
      <c r="C119" s="71">
        <f>Datos!C118</f>
        <v>0</v>
      </c>
      <c r="D119" s="71">
        <f>Datos!D118</f>
        <v>0</v>
      </c>
      <c r="E119" s="71">
        <f>Datos!F118</f>
        <v>0</v>
      </c>
      <c r="F119" s="71">
        <f>Datos!G118</f>
        <v>0</v>
      </c>
      <c r="G119" s="71">
        <f>Datos!H118</f>
        <v>0</v>
      </c>
      <c r="H119" s="71">
        <f>Datos!I118</f>
        <v>0</v>
      </c>
      <c r="I119" s="71">
        <f>Datos!J118</f>
        <v>0</v>
      </c>
      <c r="J119" s="6" t="s">
        <v>16</v>
      </c>
      <c r="K119" s="6" t="s">
        <v>16</v>
      </c>
      <c r="L119" s="6" t="s">
        <v>16</v>
      </c>
      <c r="M119" s="6" t="s">
        <v>16</v>
      </c>
      <c r="N119" s="6" t="s">
        <v>16</v>
      </c>
      <c r="O119" s="6" t="s">
        <v>16</v>
      </c>
      <c r="P119" s="6" t="s">
        <v>16</v>
      </c>
      <c r="Q119" s="6" t="str">
        <f t="shared" si="2"/>
        <v>Ausencia total del riesgo, reevaluar cada 3 años con nueva identificación inicial</v>
      </c>
    </row>
    <row r="120" spans="1:17" ht="28.5">
      <c r="A120" s="70">
        <f>Datos!A119</f>
        <v>118</v>
      </c>
      <c r="B120" s="70">
        <f>Datos!B119</f>
        <v>0</v>
      </c>
      <c r="C120" s="71">
        <f>Datos!C119</f>
        <v>0</v>
      </c>
      <c r="D120" s="71">
        <f>Datos!D119</f>
        <v>0</v>
      </c>
      <c r="E120" s="71">
        <f>Datos!F119</f>
        <v>0</v>
      </c>
      <c r="F120" s="71">
        <f>Datos!G119</f>
        <v>0</v>
      </c>
      <c r="G120" s="71">
        <f>Datos!H119</f>
        <v>0</v>
      </c>
      <c r="H120" s="71">
        <f>Datos!I119</f>
        <v>0</v>
      </c>
      <c r="I120" s="71">
        <f>Datos!J119</f>
        <v>0</v>
      </c>
      <c r="J120" s="6" t="s">
        <v>16</v>
      </c>
      <c r="K120" s="6" t="s">
        <v>16</v>
      </c>
      <c r="L120" s="6" t="s">
        <v>16</v>
      </c>
      <c r="M120" s="6" t="s">
        <v>16</v>
      </c>
      <c r="N120" s="6" t="s">
        <v>16</v>
      </c>
      <c r="O120" s="6" t="s">
        <v>16</v>
      </c>
      <c r="P120" s="6" t="s">
        <v>16</v>
      </c>
      <c r="Q120" s="6" t="str">
        <f t="shared" si="2"/>
        <v>Ausencia total del riesgo, reevaluar cada 3 años con nueva identificación inicial</v>
      </c>
    </row>
    <row r="121" spans="1:17" ht="28.5">
      <c r="A121" s="70">
        <f>Datos!A120</f>
        <v>119</v>
      </c>
      <c r="B121" s="70">
        <f>Datos!B120</f>
        <v>0</v>
      </c>
      <c r="C121" s="71">
        <f>Datos!C120</f>
        <v>0</v>
      </c>
      <c r="D121" s="71">
        <f>Datos!D120</f>
        <v>0</v>
      </c>
      <c r="E121" s="71">
        <f>Datos!F120</f>
        <v>0</v>
      </c>
      <c r="F121" s="71">
        <f>Datos!G120</f>
        <v>0</v>
      </c>
      <c r="G121" s="71">
        <f>Datos!H120</f>
        <v>0</v>
      </c>
      <c r="H121" s="71">
        <f>Datos!I120</f>
        <v>0</v>
      </c>
      <c r="I121" s="71">
        <f>Datos!J120</f>
        <v>0</v>
      </c>
      <c r="J121" s="6" t="s">
        <v>16</v>
      </c>
      <c r="K121" s="6" t="s">
        <v>16</v>
      </c>
      <c r="L121" s="6" t="s">
        <v>16</v>
      </c>
      <c r="M121" s="6" t="s">
        <v>16</v>
      </c>
      <c r="N121" s="6" t="s">
        <v>16</v>
      </c>
      <c r="O121" s="6" t="s">
        <v>16</v>
      </c>
      <c r="P121" s="6" t="s">
        <v>16</v>
      </c>
      <c r="Q121" s="6" t="str">
        <f t="shared" si="2"/>
        <v>Ausencia total del riesgo, reevaluar cada 3 años con nueva identificación inicial</v>
      </c>
    </row>
    <row r="122" spans="1:17" ht="28.5">
      <c r="A122" s="70">
        <f>Datos!A121</f>
        <v>120</v>
      </c>
      <c r="B122" s="70">
        <f>Datos!B121</f>
        <v>0</v>
      </c>
      <c r="C122" s="71">
        <f>Datos!C121</f>
        <v>0</v>
      </c>
      <c r="D122" s="71">
        <f>Datos!D121</f>
        <v>0</v>
      </c>
      <c r="E122" s="71">
        <f>Datos!F121</f>
        <v>0</v>
      </c>
      <c r="F122" s="71">
        <f>Datos!G121</f>
        <v>0</v>
      </c>
      <c r="G122" s="71">
        <f>Datos!H121</f>
        <v>0</v>
      </c>
      <c r="H122" s="71">
        <f>Datos!I121</f>
        <v>0</v>
      </c>
      <c r="I122" s="71">
        <f>Datos!J121</f>
        <v>0</v>
      </c>
      <c r="J122" s="6" t="s">
        <v>16</v>
      </c>
      <c r="K122" s="6" t="s">
        <v>16</v>
      </c>
      <c r="L122" s="6" t="s">
        <v>16</v>
      </c>
      <c r="M122" s="6" t="s">
        <v>16</v>
      </c>
      <c r="N122" s="6" t="s">
        <v>16</v>
      </c>
      <c r="O122" s="6" t="s">
        <v>16</v>
      </c>
      <c r="P122" s="6" t="s">
        <v>16</v>
      </c>
      <c r="Q122" s="6" t="str">
        <f t="shared" si="2"/>
        <v>Ausencia total del riesgo, reevaluar cada 3 años con nueva identificación inicial</v>
      </c>
    </row>
    <row r="123" spans="1:17" ht="28.5">
      <c r="A123" s="70">
        <f>Datos!A122</f>
        <v>121</v>
      </c>
      <c r="B123" s="70">
        <f>Datos!B122</f>
        <v>0</v>
      </c>
      <c r="C123" s="71">
        <f>Datos!C122</f>
        <v>0</v>
      </c>
      <c r="D123" s="71">
        <f>Datos!D122</f>
        <v>0</v>
      </c>
      <c r="E123" s="71">
        <f>Datos!F122</f>
        <v>0</v>
      </c>
      <c r="F123" s="71">
        <f>Datos!G122</f>
        <v>0</v>
      </c>
      <c r="G123" s="71">
        <f>Datos!H122</f>
        <v>0</v>
      </c>
      <c r="H123" s="71">
        <f>Datos!I122</f>
        <v>0</v>
      </c>
      <c r="I123" s="71">
        <f>Datos!J122</f>
        <v>0</v>
      </c>
      <c r="J123" s="6" t="s">
        <v>16</v>
      </c>
      <c r="K123" s="6" t="s">
        <v>16</v>
      </c>
      <c r="L123" s="6" t="s">
        <v>16</v>
      </c>
      <c r="M123" s="6" t="s">
        <v>16</v>
      </c>
      <c r="N123" s="6" t="s">
        <v>16</v>
      </c>
      <c r="O123" s="6" t="s">
        <v>16</v>
      </c>
      <c r="P123" s="6" t="s">
        <v>16</v>
      </c>
      <c r="Q123" s="6" t="str">
        <f t="shared" si="2"/>
        <v>Ausencia total del riesgo, reevaluar cada 3 años con nueva identificación inicial</v>
      </c>
    </row>
    <row r="124" spans="1:17" ht="28.5">
      <c r="A124" s="70">
        <f>Datos!A123</f>
        <v>122</v>
      </c>
      <c r="B124" s="70">
        <f>Datos!B123</f>
        <v>0</v>
      </c>
      <c r="C124" s="71">
        <f>Datos!C123</f>
        <v>0</v>
      </c>
      <c r="D124" s="71">
        <f>Datos!D123</f>
        <v>0</v>
      </c>
      <c r="E124" s="71">
        <f>Datos!F123</f>
        <v>0</v>
      </c>
      <c r="F124" s="71">
        <f>Datos!G123</f>
        <v>0</v>
      </c>
      <c r="G124" s="71">
        <f>Datos!H123</f>
        <v>0</v>
      </c>
      <c r="H124" s="71">
        <f>Datos!I123</f>
        <v>0</v>
      </c>
      <c r="I124" s="71">
        <f>Datos!J123</f>
        <v>0</v>
      </c>
      <c r="J124" s="6" t="s">
        <v>16</v>
      </c>
      <c r="K124" s="6" t="s">
        <v>16</v>
      </c>
      <c r="L124" s="6" t="s">
        <v>16</v>
      </c>
      <c r="M124" s="6" t="s">
        <v>16</v>
      </c>
      <c r="N124" s="6" t="s">
        <v>16</v>
      </c>
      <c r="O124" s="6" t="s">
        <v>16</v>
      </c>
      <c r="P124" s="6" t="s">
        <v>16</v>
      </c>
      <c r="Q124" s="6" t="str">
        <f t="shared" si="2"/>
        <v>Ausencia total del riesgo, reevaluar cada 3 años con nueva identificación inicial</v>
      </c>
    </row>
    <row r="125" spans="1:17" ht="28.5">
      <c r="A125" s="70">
        <f>Datos!A124</f>
        <v>123</v>
      </c>
      <c r="B125" s="70">
        <f>Datos!B124</f>
        <v>0</v>
      </c>
      <c r="C125" s="71">
        <f>Datos!C124</f>
        <v>0</v>
      </c>
      <c r="D125" s="71">
        <f>Datos!D124</f>
        <v>0</v>
      </c>
      <c r="E125" s="71">
        <f>Datos!F124</f>
        <v>0</v>
      </c>
      <c r="F125" s="71">
        <f>Datos!G124</f>
        <v>0</v>
      </c>
      <c r="G125" s="71">
        <f>Datos!H124</f>
        <v>0</v>
      </c>
      <c r="H125" s="71">
        <f>Datos!I124</f>
        <v>0</v>
      </c>
      <c r="I125" s="71">
        <f>Datos!J124</f>
        <v>0</v>
      </c>
      <c r="J125" s="6" t="s">
        <v>16</v>
      </c>
      <c r="K125" s="6" t="s">
        <v>16</v>
      </c>
      <c r="L125" s="6" t="s">
        <v>16</v>
      </c>
      <c r="M125" s="6" t="s">
        <v>16</v>
      </c>
      <c r="N125" s="6" t="s">
        <v>16</v>
      </c>
      <c r="O125" s="6" t="s">
        <v>16</v>
      </c>
      <c r="P125" s="6" t="s">
        <v>16</v>
      </c>
      <c r="Q125" s="6" t="str">
        <f t="shared" si="2"/>
        <v>Ausencia total del riesgo, reevaluar cada 3 años con nueva identificación inicial</v>
      </c>
    </row>
    <row r="126" spans="1:17" ht="28.5">
      <c r="A126" s="70">
        <f>Datos!A125</f>
        <v>124</v>
      </c>
      <c r="B126" s="70">
        <f>Datos!B125</f>
        <v>0</v>
      </c>
      <c r="C126" s="71">
        <f>Datos!C125</f>
        <v>0</v>
      </c>
      <c r="D126" s="71">
        <f>Datos!D125</f>
        <v>0</v>
      </c>
      <c r="E126" s="71">
        <f>Datos!F125</f>
        <v>0</v>
      </c>
      <c r="F126" s="71">
        <f>Datos!G125</f>
        <v>0</v>
      </c>
      <c r="G126" s="71">
        <f>Datos!H125</f>
        <v>0</v>
      </c>
      <c r="H126" s="71">
        <f>Datos!I125</f>
        <v>0</v>
      </c>
      <c r="I126" s="71">
        <f>Datos!J125</f>
        <v>0</v>
      </c>
      <c r="J126" s="6" t="s">
        <v>16</v>
      </c>
      <c r="K126" s="6" t="s">
        <v>16</v>
      </c>
      <c r="L126" s="6" t="s">
        <v>16</v>
      </c>
      <c r="M126" s="6" t="s">
        <v>16</v>
      </c>
      <c r="N126" s="6" t="s">
        <v>16</v>
      </c>
      <c r="O126" s="6" t="s">
        <v>16</v>
      </c>
      <c r="P126" s="6" t="s">
        <v>16</v>
      </c>
      <c r="Q126" s="6" t="str">
        <f t="shared" si="2"/>
        <v>Ausencia total del riesgo, reevaluar cada 3 años con nueva identificación inicial</v>
      </c>
    </row>
    <row r="127" spans="1:17" ht="28.5">
      <c r="A127" s="70">
        <f>Datos!A126</f>
        <v>125</v>
      </c>
      <c r="B127" s="70">
        <f>Datos!B126</f>
        <v>0</v>
      </c>
      <c r="C127" s="71">
        <f>Datos!C126</f>
        <v>0</v>
      </c>
      <c r="D127" s="71">
        <f>Datos!D126</f>
        <v>0</v>
      </c>
      <c r="E127" s="71">
        <f>Datos!F126</f>
        <v>0</v>
      </c>
      <c r="F127" s="71">
        <f>Datos!G126</f>
        <v>0</v>
      </c>
      <c r="G127" s="71">
        <f>Datos!H126</f>
        <v>0</v>
      </c>
      <c r="H127" s="71">
        <f>Datos!I126</f>
        <v>0</v>
      </c>
      <c r="I127" s="71">
        <f>Datos!J126</f>
        <v>0</v>
      </c>
      <c r="J127" s="6" t="s">
        <v>16</v>
      </c>
      <c r="K127" s="6" t="s">
        <v>16</v>
      </c>
      <c r="L127" s="6" t="s">
        <v>16</v>
      </c>
      <c r="M127" s="6" t="s">
        <v>16</v>
      </c>
      <c r="N127" s="6" t="s">
        <v>16</v>
      </c>
      <c r="O127" s="6" t="s">
        <v>16</v>
      </c>
      <c r="P127" s="6" t="s">
        <v>16</v>
      </c>
      <c r="Q127" s="6" t="str">
        <f t="shared" si="2"/>
        <v>Ausencia total del riesgo, reevaluar cada 3 años con nueva identificación inicial</v>
      </c>
    </row>
    <row r="128" spans="1:17" ht="28.5">
      <c r="A128" s="70">
        <f>Datos!A127</f>
        <v>126</v>
      </c>
      <c r="B128" s="70">
        <f>Datos!B127</f>
        <v>0</v>
      </c>
      <c r="C128" s="71">
        <f>Datos!C127</f>
        <v>0</v>
      </c>
      <c r="D128" s="71">
        <f>Datos!D127</f>
        <v>0</v>
      </c>
      <c r="E128" s="71">
        <f>Datos!F127</f>
        <v>0</v>
      </c>
      <c r="F128" s="71">
        <f>Datos!G127</f>
        <v>0</v>
      </c>
      <c r="G128" s="71">
        <f>Datos!H127</f>
        <v>0</v>
      </c>
      <c r="H128" s="71">
        <f>Datos!I127</f>
        <v>0</v>
      </c>
      <c r="I128" s="71">
        <f>Datos!J127</f>
        <v>0</v>
      </c>
      <c r="J128" s="6" t="s">
        <v>16</v>
      </c>
      <c r="K128" s="6" t="s">
        <v>16</v>
      </c>
      <c r="L128" s="6" t="s">
        <v>16</v>
      </c>
      <c r="M128" s="6" t="s">
        <v>16</v>
      </c>
      <c r="N128" s="6" t="s">
        <v>16</v>
      </c>
      <c r="O128" s="6" t="s">
        <v>16</v>
      </c>
      <c r="P128" s="6" t="s">
        <v>16</v>
      </c>
      <c r="Q128" s="6" t="str">
        <f t="shared" si="2"/>
        <v>Ausencia total del riesgo, reevaluar cada 3 años con nueva identificación inicial</v>
      </c>
    </row>
    <row r="129" spans="1:17" ht="28.5">
      <c r="A129" s="70">
        <f>Datos!A128</f>
        <v>127</v>
      </c>
      <c r="B129" s="70">
        <f>Datos!B128</f>
        <v>0</v>
      </c>
      <c r="C129" s="71">
        <f>Datos!C128</f>
        <v>0</v>
      </c>
      <c r="D129" s="71">
        <f>Datos!D128</f>
        <v>0</v>
      </c>
      <c r="E129" s="71">
        <f>Datos!F128</f>
        <v>0</v>
      </c>
      <c r="F129" s="71">
        <f>Datos!G128</f>
        <v>0</v>
      </c>
      <c r="G129" s="71">
        <f>Datos!H128</f>
        <v>0</v>
      </c>
      <c r="H129" s="71">
        <f>Datos!I128</f>
        <v>0</v>
      </c>
      <c r="I129" s="71">
        <f>Datos!J128</f>
        <v>0</v>
      </c>
      <c r="J129" s="6" t="s">
        <v>16</v>
      </c>
      <c r="K129" s="6" t="s">
        <v>16</v>
      </c>
      <c r="L129" s="6" t="s">
        <v>16</v>
      </c>
      <c r="M129" s="6" t="s">
        <v>16</v>
      </c>
      <c r="N129" s="6" t="s">
        <v>16</v>
      </c>
      <c r="O129" s="6" t="s">
        <v>16</v>
      </c>
      <c r="P129" s="6" t="s">
        <v>16</v>
      </c>
      <c r="Q129" s="6" t="str">
        <f t="shared" si="2"/>
        <v>Ausencia total del riesgo, reevaluar cada 3 años con nueva identificación inicial</v>
      </c>
    </row>
    <row r="130" spans="1:17" ht="28.5">
      <c r="A130" s="70">
        <f>Datos!A129</f>
        <v>128</v>
      </c>
      <c r="B130" s="70">
        <f>Datos!B129</f>
        <v>0</v>
      </c>
      <c r="C130" s="71">
        <f>Datos!C129</f>
        <v>0</v>
      </c>
      <c r="D130" s="71">
        <f>Datos!D129</f>
        <v>0</v>
      </c>
      <c r="E130" s="71">
        <f>Datos!F129</f>
        <v>0</v>
      </c>
      <c r="F130" s="71">
        <f>Datos!G129</f>
        <v>0</v>
      </c>
      <c r="G130" s="71">
        <f>Datos!H129</f>
        <v>0</v>
      </c>
      <c r="H130" s="71">
        <f>Datos!I129</f>
        <v>0</v>
      </c>
      <c r="I130" s="71">
        <f>Datos!J129</f>
        <v>0</v>
      </c>
      <c r="J130" s="6" t="s">
        <v>16</v>
      </c>
      <c r="K130" s="6" t="s">
        <v>16</v>
      </c>
      <c r="L130" s="6" t="s">
        <v>16</v>
      </c>
      <c r="M130" s="6" t="s">
        <v>16</v>
      </c>
      <c r="N130" s="6" t="s">
        <v>16</v>
      </c>
      <c r="O130" s="6" t="s">
        <v>16</v>
      </c>
      <c r="P130" s="6" t="s">
        <v>16</v>
      </c>
      <c r="Q130" s="6" t="str">
        <f t="shared" si="2"/>
        <v>Ausencia total del riesgo, reevaluar cada 3 años con nueva identificación inicial</v>
      </c>
    </row>
    <row r="131" spans="1:17" ht="28.5">
      <c r="A131" s="70">
        <f>Datos!A130</f>
        <v>129</v>
      </c>
      <c r="B131" s="70">
        <f>Datos!B130</f>
        <v>0</v>
      </c>
      <c r="C131" s="71">
        <f>Datos!C130</f>
        <v>0</v>
      </c>
      <c r="D131" s="71">
        <f>Datos!D130</f>
        <v>0</v>
      </c>
      <c r="E131" s="71">
        <f>Datos!F130</f>
        <v>0</v>
      </c>
      <c r="F131" s="71">
        <f>Datos!G130</f>
        <v>0</v>
      </c>
      <c r="G131" s="71">
        <f>Datos!H130</f>
        <v>0</v>
      </c>
      <c r="H131" s="71">
        <f>Datos!I130</f>
        <v>0</v>
      </c>
      <c r="I131" s="71">
        <f>Datos!J130</f>
        <v>0</v>
      </c>
      <c r="J131" s="6" t="s">
        <v>16</v>
      </c>
      <c r="K131" s="6" t="s">
        <v>16</v>
      </c>
      <c r="L131" s="6" t="s">
        <v>16</v>
      </c>
      <c r="M131" s="6" t="s">
        <v>16</v>
      </c>
      <c r="N131" s="6" t="s">
        <v>16</v>
      </c>
      <c r="O131" s="6" t="s">
        <v>16</v>
      </c>
      <c r="P131" s="6" t="s">
        <v>16</v>
      </c>
      <c r="Q131" s="6" t="str">
        <f t="shared" si="2"/>
        <v>Ausencia total del riesgo, reevaluar cada 3 años con nueva identificación inicial</v>
      </c>
    </row>
    <row r="132" spans="1:17" ht="28.5">
      <c r="A132" s="70">
        <f>Datos!A131</f>
        <v>130</v>
      </c>
      <c r="B132" s="70">
        <f>Datos!B131</f>
        <v>0</v>
      </c>
      <c r="C132" s="71">
        <f>Datos!C131</f>
        <v>0</v>
      </c>
      <c r="D132" s="71">
        <f>Datos!D131</f>
        <v>0</v>
      </c>
      <c r="E132" s="71">
        <f>Datos!F131</f>
        <v>0</v>
      </c>
      <c r="F132" s="71">
        <f>Datos!G131</f>
        <v>0</v>
      </c>
      <c r="G132" s="71">
        <f>Datos!H131</f>
        <v>0</v>
      </c>
      <c r="H132" s="71">
        <f>Datos!I131</f>
        <v>0</v>
      </c>
      <c r="I132" s="71">
        <f>Datos!J131</f>
        <v>0</v>
      </c>
      <c r="J132" s="6" t="s">
        <v>16</v>
      </c>
      <c r="K132" s="6" t="s">
        <v>16</v>
      </c>
      <c r="L132" s="6" t="s">
        <v>16</v>
      </c>
      <c r="M132" s="6" t="s">
        <v>16</v>
      </c>
      <c r="N132" s="6" t="s">
        <v>16</v>
      </c>
      <c r="O132" s="6" t="s">
        <v>16</v>
      </c>
      <c r="P132" s="6" t="s">
        <v>16</v>
      </c>
      <c r="Q132" s="6" t="str">
        <f t="shared" si="2"/>
        <v>Ausencia total del riesgo, reevaluar cada 3 años con nueva identificación inicial</v>
      </c>
    </row>
    <row r="133" spans="1:17" ht="28.5">
      <c r="A133" s="70">
        <f>Datos!A132</f>
        <v>131</v>
      </c>
      <c r="B133" s="70">
        <f>Datos!B132</f>
        <v>0</v>
      </c>
      <c r="C133" s="71">
        <f>Datos!C132</f>
        <v>0</v>
      </c>
      <c r="D133" s="71">
        <f>Datos!D132</f>
        <v>0</v>
      </c>
      <c r="E133" s="71">
        <f>Datos!F132</f>
        <v>0</v>
      </c>
      <c r="F133" s="71">
        <f>Datos!G132</f>
        <v>0</v>
      </c>
      <c r="G133" s="71">
        <f>Datos!H132</f>
        <v>0</v>
      </c>
      <c r="H133" s="71">
        <f>Datos!I132</f>
        <v>0</v>
      </c>
      <c r="I133" s="71">
        <f>Datos!J132</f>
        <v>0</v>
      </c>
      <c r="J133" s="6" t="s">
        <v>16</v>
      </c>
      <c r="K133" s="6" t="s">
        <v>16</v>
      </c>
      <c r="L133" s="6" t="s">
        <v>16</v>
      </c>
      <c r="M133" s="6" t="s">
        <v>16</v>
      </c>
      <c r="N133" s="6" t="s">
        <v>16</v>
      </c>
      <c r="O133" s="6" t="s">
        <v>16</v>
      </c>
      <c r="P133" s="6" t="s">
        <v>16</v>
      </c>
      <c r="Q133" s="6" t="str">
        <f t="shared" si="2"/>
        <v>Ausencia total del riesgo, reevaluar cada 3 años con nueva identificación inicial</v>
      </c>
    </row>
    <row r="134" spans="1:17" ht="28.5">
      <c r="A134" s="70">
        <f>Datos!A133</f>
        <v>132</v>
      </c>
      <c r="B134" s="70">
        <f>Datos!B133</f>
        <v>0</v>
      </c>
      <c r="C134" s="71">
        <f>Datos!C133</f>
        <v>0</v>
      </c>
      <c r="D134" s="71">
        <f>Datos!D133</f>
        <v>0</v>
      </c>
      <c r="E134" s="71">
        <f>Datos!F133</f>
        <v>0</v>
      </c>
      <c r="F134" s="71">
        <f>Datos!G133</f>
        <v>0</v>
      </c>
      <c r="G134" s="71">
        <f>Datos!H133</f>
        <v>0</v>
      </c>
      <c r="H134" s="71">
        <f>Datos!I133</f>
        <v>0</v>
      </c>
      <c r="I134" s="71">
        <f>Datos!J133</f>
        <v>0</v>
      </c>
      <c r="J134" s="6" t="s">
        <v>16</v>
      </c>
      <c r="K134" s="6" t="s">
        <v>16</v>
      </c>
      <c r="L134" s="6" t="s">
        <v>16</v>
      </c>
      <c r="M134" s="6" t="s">
        <v>16</v>
      </c>
      <c r="N134" s="6" t="s">
        <v>16</v>
      </c>
      <c r="O134" s="6" t="s">
        <v>16</v>
      </c>
      <c r="P134" s="6" t="s">
        <v>16</v>
      </c>
      <c r="Q134" s="6" t="str">
        <f t="shared" si="2"/>
        <v>Ausencia total del riesgo, reevaluar cada 3 años con nueva identificación inicial</v>
      </c>
    </row>
    <row r="135" spans="1:17" ht="28.5">
      <c r="A135" s="70">
        <f>Datos!A134</f>
        <v>133</v>
      </c>
      <c r="B135" s="70">
        <f>Datos!B134</f>
        <v>0</v>
      </c>
      <c r="C135" s="71">
        <f>Datos!C134</f>
        <v>0</v>
      </c>
      <c r="D135" s="71">
        <f>Datos!D134</f>
        <v>0</v>
      </c>
      <c r="E135" s="71">
        <f>Datos!F134</f>
        <v>0</v>
      </c>
      <c r="F135" s="71">
        <f>Datos!G134</f>
        <v>0</v>
      </c>
      <c r="G135" s="71">
        <f>Datos!H134</f>
        <v>0</v>
      </c>
      <c r="H135" s="71">
        <f>Datos!I134</f>
        <v>0</v>
      </c>
      <c r="I135" s="71">
        <f>Datos!J134</f>
        <v>0</v>
      </c>
      <c r="J135" s="6" t="s">
        <v>16</v>
      </c>
      <c r="K135" s="6" t="s">
        <v>16</v>
      </c>
      <c r="L135" s="6" t="s">
        <v>16</v>
      </c>
      <c r="M135" s="6" t="s">
        <v>16</v>
      </c>
      <c r="N135" s="6" t="s">
        <v>16</v>
      </c>
      <c r="O135" s="6" t="s">
        <v>16</v>
      </c>
      <c r="P135" s="6" t="s">
        <v>16</v>
      </c>
      <c r="Q135" s="6" t="str">
        <f t="shared" si="2"/>
        <v>Ausencia total del riesgo, reevaluar cada 3 años con nueva identificación inicial</v>
      </c>
    </row>
    <row r="136" spans="1:17" ht="28.5">
      <c r="A136" s="70">
        <f>Datos!A135</f>
        <v>134</v>
      </c>
      <c r="B136" s="70">
        <f>Datos!B135</f>
        <v>0</v>
      </c>
      <c r="C136" s="71">
        <f>Datos!C135</f>
        <v>0</v>
      </c>
      <c r="D136" s="71">
        <f>Datos!D135</f>
        <v>0</v>
      </c>
      <c r="E136" s="71">
        <f>Datos!F135</f>
        <v>0</v>
      </c>
      <c r="F136" s="71">
        <f>Datos!G135</f>
        <v>0</v>
      </c>
      <c r="G136" s="71">
        <f>Datos!H135</f>
        <v>0</v>
      </c>
      <c r="H136" s="71">
        <f>Datos!I135</f>
        <v>0</v>
      </c>
      <c r="I136" s="71">
        <f>Datos!J135</f>
        <v>0</v>
      </c>
      <c r="J136" s="6" t="s">
        <v>16</v>
      </c>
      <c r="K136" s="6" t="s">
        <v>16</v>
      </c>
      <c r="L136" s="6" t="s">
        <v>16</v>
      </c>
      <c r="M136" s="6" t="s">
        <v>16</v>
      </c>
      <c r="N136" s="6" t="s">
        <v>16</v>
      </c>
      <c r="O136" s="6" t="s">
        <v>16</v>
      </c>
      <c r="P136" s="6" t="s">
        <v>16</v>
      </c>
      <c r="Q136" s="6" t="str">
        <f t="shared" si="2"/>
        <v>Ausencia total del riesgo, reevaluar cada 3 años con nueva identificación inicial</v>
      </c>
    </row>
    <row r="137" spans="1:17" ht="28.5">
      <c r="A137" s="70">
        <f>Datos!A136</f>
        <v>135</v>
      </c>
      <c r="B137" s="70">
        <f>Datos!B136</f>
        <v>0</v>
      </c>
      <c r="C137" s="71">
        <f>Datos!C136</f>
        <v>0</v>
      </c>
      <c r="D137" s="71">
        <f>Datos!D136</f>
        <v>0</v>
      </c>
      <c r="E137" s="71">
        <f>Datos!F136</f>
        <v>0</v>
      </c>
      <c r="F137" s="71">
        <f>Datos!G136</f>
        <v>0</v>
      </c>
      <c r="G137" s="71">
        <f>Datos!H136</f>
        <v>0</v>
      </c>
      <c r="H137" s="71">
        <f>Datos!I136</f>
        <v>0</v>
      </c>
      <c r="I137" s="71">
        <f>Datos!J136</f>
        <v>0</v>
      </c>
      <c r="J137" s="6" t="s">
        <v>16</v>
      </c>
      <c r="K137" s="6" t="s">
        <v>16</v>
      </c>
      <c r="L137" s="6" t="s">
        <v>16</v>
      </c>
      <c r="M137" s="6" t="s">
        <v>16</v>
      </c>
      <c r="N137" s="6" t="s">
        <v>16</v>
      </c>
      <c r="O137" s="6" t="s">
        <v>16</v>
      </c>
      <c r="P137" s="6" t="s">
        <v>16</v>
      </c>
      <c r="Q137" s="6" t="str">
        <f t="shared" si="2"/>
        <v>Ausencia total del riesgo, reevaluar cada 3 años con nueva identificación inicial</v>
      </c>
    </row>
    <row r="138" spans="1:17" ht="28.5">
      <c r="A138" s="70">
        <f>Datos!A137</f>
        <v>136</v>
      </c>
      <c r="B138" s="70">
        <f>Datos!B137</f>
        <v>0</v>
      </c>
      <c r="C138" s="71">
        <f>Datos!C137</f>
        <v>0</v>
      </c>
      <c r="D138" s="71">
        <f>Datos!D137</f>
        <v>0</v>
      </c>
      <c r="E138" s="71">
        <f>Datos!F137</f>
        <v>0</v>
      </c>
      <c r="F138" s="71">
        <f>Datos!G137</f>
        <v>0</v>
      </c>
      <c r="G138" s="71">
        <f>Datos!H137</f>
        <v>0</v>
      </c>
      <c r="H138" s="71">
        <f>Datos!I137</f>
        <v>0</v>
      </c>
      <c r="I138" s="71">
        <f>Datos!J137</f>
        <v>0</v>
      </c>
      <c r="J138" s="6" t="s">
        <v>16</v>
      </c>
      <c r="K138" s="6" t="s">
        <v>16</v>
      </c>
      <c r="L138" s="6" t="s">
        <v>16</v>
      </c>
      <c r="M138" s="6" t="s">
        <v>16</v>
      </c>
      <c r="N138" s="6" t="s">
        <v>16</v>
      </c>
      <c r="O138" s="6" t="s">
        <v>16</v>
      </c>
      <c r="P138" s="6" t="s">
        <v>16</v>
      </c>
      <c r="Q138" s="6" t="str">
        <f t="shared" si="2"/>
        <v>Ausencia total del riesgo, reevaluar cada 3 años con nueva identificación inicial</v>
      </c>
    </row>
    <row r="139" spans="1:17" ht="28.5">
      <c r="A139" s="70">
        <f>Datos!A138</f>
        <v>137</v>
      </c>
      <c r="B139" s="70">
        <f>Datos!B138</f>
        <v>0</v>
      </c>
      <c r="C139" s="71">
        <f>Datos!C138</f>
        <v>0</v>
      </c>
      <c r="D139" s="71">
        <f>Datos!D138</f>
        <v>0</v>
      </c>
      <c r="E139" s="71">
        <f>Datos!F138</f>
        <v>0</v>
      </c>
      <c r="F139" s="71">
        <f>Datos!G138</f>
        <v>0</v>
      </c>
      <c r="G139" s="71">
        <f>Datos!H138</f>
        <v>0</v>
      </c>
      <c r="H139" s="71">
        <f>Datos!I138</f>
        <v>0</v>
      </c>
      <c r="I139" s="71">
        <f>Datos!J138</f>
        <v>0</v>
      </c>
      <c r="J139" s="6" t="s">
        <v>16</v>
      </c>
      <c r="K139" s="6" t="s">
        <v>16</v>
      </c>
      <c r="L139" s="6" t="s">
        <v>16</v>
      </c>
      <c r="M139" s="6" t="s">
        <v>16</v>
      </c>
      <c r="N139" s="6" t="s">
        <v>16</v>
      </c>
      <c r="O139" s="6" t="s">
        <v>16</v>
      </c>
      <c r="P139" s="6" t="s">
        <v>16</v>
      </c>
      <c r="Q139" s="6" t="str">
        <f t="shared" si="2"/>
        <v>Ausencia total del riesgo, reevaluar cada 3 años con nueva identificación inicial</v>
      </c>
    </row>
    <row r="140" spans="1:17" ht="28.5">
      <c r="A140" s="70">
        <f>Datos!A139</f>
        <v>138</v>
      </c>
      <c r="B140" s="70">
        <f>Datos!B139</f>
        <v>0</v>
      </c>
      <c r="C140" s="71">
        <f>Datos!C139</f>
        <v>0</v>
      </c>
      <c r="D140" s="71">
        <f>Datos!D139</f>
        <v>0</v>
      </c>
      <c r="E140" s="71">
        <f>Datos!F139</f>
        <v>0</v>
      </c>
      <c r="F140" s="71">
        <f>Datos!G139</f>
        <v>0</v>
      </c>
      <c r="G140" s="71">
        <f>Datos!H139</f>
        <v>0</v>
      </c>
      <c r="H140" s="71">
        <f>Datos!I139</f>
        <v>0</v>
      </c>
      <c r="I140" s="71">
        <f>Datos!J139</f>
        <v>0</v>
      </c>
      <c r="J140" s="6" t="s">
        <v>16</v>
      </c>
      <c r="K140" s="6" t="s">
        <v>16</v>
      </c>
      <c r="L140" s="6" t="s">
        <v>16</v>
      </c>
      <c r="M140" s="6" t="s">
        <v>16</v>
      </c>
      <c r="N140" s="6" t="s">
        <v>16</v>
      </c>
      <c r="O140" s="6" t="s">
        <v>16</v>
      </c>
      <c r="P140" s="6" t="s">
        <v>16</v>
      </c>
      <c r="Q140" s="6" t="str">
        <f t="shared" si="2"/>
        <v>Ausencia total del riesgo, reevaluar cada 3 años con nueva identificación inicial</v>
      </c>
    </row>
    <row r="141" spans="1:17" ht="28.5">
      <c r="A141" s="70">
        <f>Datos!A140</f>
        <v>139</v>
      </c>
      <c r="B141" s="70">
        <f>Datos!B140</f>
        <v>0</v>
      </c>
      <c r="C141" s="71">
        <f>Datos!C140</f>
        <v>0</v>
      </c>
      <c r="D141" s="71">
        <f>Datos!D140</f>
        <v>0</v>
      </c>
      <c r="E141" s="71">
        <f>Datos!F140</f>
        <v>0</v>
      </c>
      <c r="F141" s="71">
        <f>Datos!G140</f>
        <v>0</v>
      </c>
      <c r="G141" s="71">
        <f>Datos!H140</f>
        <v>0</v>
      </c>
      <c r="H141" s="71">
        <f>Datos!I140</f>
        <v>0</v>
      </c>
      <c r="I141" s="71">
        <f>Datos!J140</f>
        <v>0</v>
      </c>
      <c r="J141" s="6" t="s">
        <v>16</v>
      </c>
      <c r="K141" s="6" t="s">
        <v>16</v>
      </c>
      <c r="L141" s="6" t="s">
        <v>16</v>
      </c>
      <c r="M141" s="6" t="s">
        <v>16</v>
      </c>
      <c r="N141" s="6" t="s">
        <v>16</v>
      </c>
      <c r="O141" s="6" t="s">
        <v>16</v>
      </c>
      <c r="P141" s="6" t="s">
        <v>16</v>
      </c>
      <c r="Q141" s="6" t="str">
        <f t="shared" si="2"/>
        <v>Ausencia total del riesgo, reevaluar cada 3 años con nueva identificación inicial</v>
      </c>
    </row>
    <row r="142" spans="1:17" ht="28.5">
      <c r="A142" s="70">
        <f>Datos!A141</f>
        <v>140</v>
      </c>
      <c r="B142" s="70">
        <f>Datos!B141</f>
        <v>0</v>
      </c>
      <c r="C142" s="71">
        <f>Datos!C141</f>
        <v>0</v>
      </c>
      <c r="D142" s="71">
        <f>Datos!D141</f>
        <v>0</v>
      </c>
      <c r="E142" s="71">
        <f>Datos!F141</f>
        <v>0</v>
      </c>
      <c r="F142" s="71">
        <f>Datos!G141</f>
        <v>0</v>
      </c>
      <c r="G142" s="71">
        <f>Datos!H141</f>
        <v>0</v>
      </c>
      <c r="H142" s="71">
        <f>Datos!I141</f>
        <v>0</v>
      </c>
      <c r="I142" s="71">
        <f>Datos!J141</f>
        <v>0</v>
      </c>
      <c r="J142" s="6" t="s">
        <v>16</v>
      </c>
      <c r="K142" s="6" t="s">
        <v>16</v>
      </c>
      <c r="L142" s="6" t="s">
        <v>16</v>
      </c>
      <c r="M142" s="6" t="s">
        <v>16</v>
      </c>
      <c r="N142" s="6" t="s">
        <v>16</v>
      </c>
      <c r="O142" s="6" t="s">
        <v>16</v>
      </c>
      <c r="P142" s="6" t="s">
        <v>16</v>
      </c>
      <c r="Q142" s="6" t="str">
        <f t="shared" si="2"/>
        <v>Ausencia total del riesgo, reevaluar cada 3 años con nueva identificación inicial</v>
      </c>
    </row>
    <row r="143" spans="1:17" ht="28.5">
      <c r="A143" s="70">
        <f>Datos!A142</f>
        <v>141</v>
      </c>
      <c r="B143" s="70">
        <f>Datos!B142</f>
        <v>0</v>
      </c>
      <c r="C143" s="71">
        <f>Datos!C142</f>
        <v>0</v>
      </c>
      <c r="D143" s="71">
        <f>Datos!D142</f>
        <v>0</v>
      </c>
      <c r="E143" s="71">
        <f>Datos!F142</f>
        <v>0</v>
      </c>
      <c r="F143" s="71">
        <f>Datos!G142</f>
        <v>0</v>
      </c>
      <c r="G143" s="71">
        <f>Datos!H142</f>
        <v>0</v>
      </c>
      <c r="H143" s="71">
        <f>Datos!I142</f>
        <v>0</v>
      </c>
      <c r="I143" s="71">
        <f>Datos!J142</f>
        <v>0</v>
      </c>
      <c r="J143" s="6" t="s">
        <v>16</v>
      </c>
      <c r="K143" s="6" t="s">
        <v>16</v>
      </c>
      <c r="L143" s="6" t="s">
        <v>16</v>
      </c>
      <c r="M143" s="6" t="s">
        <v>16</v>
      </c>
      <c r="N143" s="6" t="s">
        <v>16</v>
      </c>
      <c r="O143" s="6" t="s">
        <v>16</v>
      </c>
      <c r="P143" s="6" t="s">
        <v>16</v>
      </c>
      <c r="Q143" s="6" t="str">
        <f t="shared" si="2"/>
        <v>Ausencia total del riesgo, reevaluar cada 3 años con nueva identificación inicial</v>
      </c>
    </row>
    <row r="144" spans="1:17" ht="28.5">
      <c r="A144" s="70">
        <f>Datos!A143</f>
        <v>142</v>
      </c>
      <c r="B144" s="70">
        <f>Datos!B143</f>
        <v>0</v>
      </c>
      <c r="C144" s="71">
        <f>Datos!C143</f>
        <v>0</v>
      </c>
      <c r="D144" s="71">
        <f>Datos!D143</f>
        <v>0</v>
      </c>
      <c r="E144" s="71">
        <f>Datos!F143</f>
        <v>0</v>
      </c>
      <c r="F144" s="71">
        <f>Datos!G143</f>
        <v>0</v>
      </c>
      <c r="G144" s="71">
        <f>Datos!H143</f>
        <v>0</v>
      </c>
      <c r="H144" s="71">
        <f>Datos!I143</f>
        <v>0</v>
      </c>
      <c r="I144" s="71">
        <f>Datos!J143</f>
        <v>0</v>
      </c>
      <c r="J144" s="6" t="s">
        <v>16</v>
      </c>
      <c r="K144" s="6" t="s">
        <v>16</v>
      </c>
      <c r="L144" s="6" t="s">
        <v>16</v>
      </c>
      <c r="M144" s="6" t="s">
        <v>16</v>
      </c>
      <c r="N144" s="6" t="s">
        <v>16</v>
      </c>
      <c r="O144" s="6" t="s">
        <v>16</v>
      </c>
      <c r="P144" s="6" t="s">
        <v>16</v>
      </c>
      <c r="Q144" s="6" t="str">
        <f t="shared" si="2"/>
        <v>Ausencia total del riesgo, reevaluar cada 3 años con nueva identificación inicial</v>
      </c>
    </row>
    <row r="145" spans="1:17" ht="28.5">
      <c r="A145" s="70">
        <f>Datos!A144</f>
        <v>143</v>
      </c>
      <c r="B145" s="70">
        <f>Datos!B144</f>
        <v>0</v>
      </c>
      <c r="C145" s="71">
        <f>Datos!C144</f>
        <v>0</v>
      </c>
      <c r="D145" s="71">
        <f>Datos!D144</f>
        <v>0</v>
      </c>
      <c r="E145" s="71">
        <f>Datos!F144</f>
        <v>0</v>
      </c>
      <c r="F145" s="71">
        <f>Datos!G144</f>
        <v>0</v>
      </c>
      <c r="G145" s="71">
        <f>Datos!H144</f>
        <v>0</v>
      </c>
      <c r="H145" s="71">
        <f>Datos!I144</f>
        <v>0</v>
      </c>
      <c r="I145" s="71">
        <f>Datos!J144</f>
        <v>0</v>
      </c>
      <c r="J145" s="6" t="s">
        <v>16</v>
      </c>
      <c r="K145" s="6" t="s">
        <v>16</v>
      </c>
      <c r="L145" s="6" t="s">
        <v>16</v>
      </c>
      <c r="M145" s="6" t="s">
        <v>16</v>
      </c>
      <c r="N145" s="6" t="s">
        <v>16</v>
      </c>
      <c r="O145" s="6" t="s">
        <v>16</v>
      </c>
      <c r="P145" s="6" t="s">
        <v>16</v>
      </c>
      <c r="Q145" s="6" t="str">
        <f t="shared" si="2"/>
        <v>Ausencia total del riesgo, reevaluar cada 3 años con nueva identificación inicial</v>
      </c>
    </row>
    <row r="146" spans="1:17" ht="28.5">
      <c r="A146" s="70">
        <f>Datos!A145</f>
        <v>144</v>
      </c>
      <c r="B146" s="70">
        <f>Datos!B145</f>
        <v>0</v>
      </c>
      <c r="C146" s="71">
        <f>Datos!C145</f>
        <v>0</v>
      </c>
      <c r="D146" s="71">
        <f>Datos!D145</f>
        <v>0</v>
      </c>
      <c r="E146" s="71">
        <f>Datos!F145</f>
        <v>0</v>
      </c>
      <c r="F146" s="71">
        <f>Datos!G145</f>
        <v>0</v>
      </c>
      <c r="G146" s="71">
        <f>Datos!H145</f>
        <v>0</v>
      </c>
      <c r="H146" s="71">
        <f>Datos!I145</f>
        <v>0</v>
      </c>
      <c r="I146" s="71">
        <f>Datos!J145</f>
        <v>0</v>
      </c>
      <c r="J146" s="6" t="s">
        <v>16</v>
      </c>
      <c r="K146" s="6" t="s">
        <v>16</v>
      </c>
      <c r="L146" s="6" t="s">
        <v>16</v>
      </c>
      <c r="M146" s="6" t="s">
        <v>16</v>
      </c>
      <c r="N146" s="6" t="s">
        <v>16</v>
      </c>
      <c r="O146" s="6" t="s">
        <v>16</v>
      </c>
      <c r="P146" s="6" t="s">
        <v>16</v>
      </c>
      <c r="Q146" s="6" t="str">
        <f t="shared" si="2"/>
        <v>Ausencia total del riesgo, reevaluar cada 3 años con nueva identificación inicial</v>
      </c>
    </row>
    <row r="147" spans="1:17" ht="28.5">
      <c r="A147" s="70">
        <f>Datos!A146</f>
        <v>145</v>
      </c>
      <c r="B147" s="70">
        <f>Datos!B146</f>
        <v>0</v>
      </c>
      <c r="C147" s="71">
        <f>Datos!C146</f>
        <v>0</v>
      </c>
      <c r="D147" s="71">
        <f>Datos!D146</f>
        <v>0</v>
      </c>
      <c r="E147" s="71">
        <f>Datos!F146</f>
        <v>0</v>
      </c>
      <c r="F147" s="71">
        <f>Datos!G146</f>
        <v>0</v>
      </c>
      <c r="G147" s="71">
        <f>Datos!H146</f>
        <v>0</v>
      </c>
      <c r="H147" s="71">
        <f>Datos!I146</f>
        <v>0</v>
      </c>
      <c r="I147" s="71">
        <f>Datos!J146</f>
        <v>0</v>
      </c>
      <c r="J147" s="6" t="s">
        <v>16</v>
      </c>
      <c r="K147" s="6" t="s">
        <v>16</v>
      </c>
      <c r="L147" s="6" t="s">
        <v>16</v>
      </c>
      <c r="M147" s="6" t="s">
        <v>16</v>
      </c>
      <c r="N147" s="6" t="s">
        <v>16</v>
      </c>
      <c r="O147" s="6" t="s">
        <v>16</v>
      </c>
      <c r="P147" s="6" t="s">
        <v>16</v>
      </c>
      <c r="Q147" s="6" t="str">
        <f t="shared" si="2"/>
        <v>Ausencia total del riesgo, reevaluar cada 3 años con nueva identificación inicial</v>
      </c>
    </row>
    <row r="148" spans="1:17" ht="28.5">
      <c r="A148" s="70">
        <f>Datos!A147</f>
        <v>146</v>
      </c>
      <c r="B148" s="70">
        <f>Datos!B147</f>
        <v>0</v>
      </c>
      <c r="C148" s="71">
        <f>Datos!C147</f>
        <v>0</v>
      </c>
      <c r="D148" s="71">
        <f>Datos!D147</f>
        <v>0</v>
      </c>
      <c r="E148" s="71">
        <f>Datos!F147</f>
        <v>0</v>
      </c>
      <c r="F148" s="71">
        <f>Datos!G147</f>
        <v>0</v>
      </c>
      <c r="G148" s="71">
        <f>Datos!H147</f>
        <v>0</v>
      </c>
      <c r="H148" s="71">
        <f>Datos!I147</f>
        <v>0</v>
      </c>
      <c r="I148" s="71">
        <f>Datos!J147</f>
        <v>0</v>
      </c>
      <c r="J148" s="6" t="s">
        <v>16</v>
      </c>
      <c r="K148" s="6" t="s">
        <v>16</v>
      </c>
      <c r="L148" s="6" t="s">
        <v>16</v>
      </c>
      <c r="M148" s="6" t="s">
        <v>16</v>
      </c>
      <c r="N148" s="6" t="s">
        <v>16</v>
      </c>
      <c r="O148" s="6" t="s">
        <v>16</v>
      </c>
      <c r="P148" s="6" t="s">
        <v>16</v>
      </c>
      <c r="Q148" s="6" t="str">
        <f t="shared" si="2"/>
        <v>Ausencia total del riesgo, reevaluar cada 3 años con nueva identificación inicial</v>
      </c>
    </row>
    <row r="149" spans="1:17" ht="28.5">
      <c r="A149" s="70">
        <f>Datos!A148</f>
        <v>147</v>
      </c>
      <c r="B149" s="70">
        <f>Datos!B148</f>
        <v>0</v>
      </c>
      <c r="C149" s="71">
        <f>Datos!C148</f>
        <v>0</v>
      </c>
      <c r="D149" s="71">
        <f>Datos!D148</f>
        <v>0</v>
      </c>
      <c r="E149" s="71">
        <f>Datos!F148</f>
        <v>0</v>
      </c>
      <c r="F149" s="71">
        <f>Datos!G148</f>
        <v>0</v>
      </c>
      <c r="G149" s="71">
        <f>Datos!H148</f>
        <v>0</v>
      </c>
      <c r="H149" s="71">
        <f>Datos!I148</f>
        <v>0</v>
      </c>
      <c r="I149" s="71">
        <f>Datos!J148</f>
        <v>0</v>
      </c>
      <c r="J149" s="6" t="s">
        <v>16</v>
      </c>
      <c r="K149" s="6" t="s">
        <v>16</v>
      </c>
      <c r="L149" s="6" t="s">
        <v>16</v>
      </c>
      <c r="M149" s="6" t="s">
        <v>16</v>
      </c>
      <c r="N149" s="6" t="s">
        <v>16</v>
      </c>
      <c r="O149" s="6" t="s">
        <v>16</v>
      </c>
      <c r="P149" s="6" t="s">
        <v>16</v>
      </c>
      <c r="Q149" s="6" t="str">
        <f t="shared" si="2"/>
        <v>Ausencia total del riesgo, reevaluar cada 3 años con nueva identificación inicial</v>
      </c>
    </row>
    <row r="150" spans="1:17" ht="28.5">
      <c r="A150" s="70">
        <f>Datos!A149</f>
        <v>148</v>
      </c>
      <c r="B150" s="70">
        <f>Datos!B149</f>
        <v>0</v>
      </c>
      <c r="C150" s="71">
        <f>Datos!C149</f>
        <v>0</v>
      </c>
      <c r="D150" s="71">
        <f>Datos!D149</f>
        <v>0</v>
      </c>
      <c r="E150" s="71">
        <f>Datos!F149</f>
        <v>0</v>
      </c>
      <c r="F150" s="71">
        <f>Datos!G149</f>
        <v>0</v>
      </c>
      <c r="G150" s="71">
        <f>Datos!H149</f>
        <v>0</v>
      </c>
      <c r="H150" s="71">
        <f>Datos!I149</f>
        <v>0</v>
      </c>
      <c r="I150" s="71">
        <f>Datos!J149</f>
        <v>0</v>
      </c>
      <c r="J150" s="6" t="s">
        <v>16</v>
      </c>
      <c r="K150" s="6" t="s">
        <v>16</v>
      </c>
      <c r="L150" s="6" t="s">
        <v>16</v>
      </c>
      <c r="M150" s="6" t="s">
        <v>16</v>
      </c>
      <c r="N150" s="6" t="s">
        <v>16</v>
      </c>
      <c r="O150" s="6" t="s">
        <v>16</v>
      </c>
      <c r="P150" s="6" t="s">
        <v>16</v>
      </c>
      <c r="Q150" s="6" t="str">
        <f t="shared" si="2"/>
        <v>Ausencia total del riesgo, reevaluar cada 3 años con nueva identificación inicial</v>
      </c>
    </row>
    <row r="151" spans="1:17" ht="28.5">
      <c r="A151" s="70">
        <f>Datos!A150</f>
        <v>149</v>
      </c>
      <c r="B151" s="70">
        <f>Datos!B150</f>
        <v>0</v>
      </c>
      <c r="C151" s="71">
        <f>Datos!C150</f>
        <v>0</v>
      </c>
      <c r="D151" s="71">
        <f>Datos!D150</f>
        <v>0</v>
      </c>
      <c r="E151" s="71">
        <f>Datos!F150</f>
        <v>0</v>
      </c>
      <c r="F151" s="71">
        <f>Datos!G150</f>
        <v>0</v>
      </c>
      <c r="G151" s="71">
        <f>Datos!H150</f>
        <v>0</v>
      </c>
      <c r="H151" s="71">
        <f>Datos!I150</f>
        <v>0</v>
      </c>
      <c r="I151" s="71">
        <f>Datos!J150</f>
        <v>0</v>
      </c>
      <c r="J151" s="6" t="s">
        <v>16</v>
      </c>
      <c r="K151" s="6" t="s">
        <v>16</v>
      </c>
      <c r="L151" s="6" t="s">
        <v>16</v>
      </c>
      <c r="M151" s="6" t="s">
        <v>16</v>
      </c>
      <c r="N151" s="6" t="s">
        <v>16</v>
      </c>
      <c r="O151" s="6" t="s">
        <v>16</v>
      </c>
      <c r="P151" s="6" t="s">
        <v>16</v>
      </c>
      <c r="Q151" s="6" t="str">
        <f t="shared" si="2"/>
        <v>Ausencia total del riesgo, reevaluar cada 3 años con nueva identificación inicial</v>
      </c>
    </row>
    <row r="152" spans="1:17" ht="28.5">
      <c r="A152" s="70">
        <f>Datos!A151</f>
        <v>150</v>
      </c>
      <c r="B152" s="70">
        <f>Datos!B151</f>
        <v>0</v>
      </c>
      <c r="C152" s="71">
        <f>Datos!C151</f>
        <v>0</v>
      </c>
      <c r="D152" s="71">
        <f>Datos!D151</f>
        <v>0</v>
      </c>
      <c r="E152" s="71">
        <f>Datos!F151</f>
        <v>0</v>
      </c>
      <c r="F152" s="71">
        <f>Datos!G151</f>
        <v>0</v>
      </c>
      <c r="G152" s="71">
        <f>Datos!H151</f>
        <v>0</v>
      </c>
      <c r="H152" s="71">
        <f>Datos!I151</f>
        <v>0</v>
      </c>
      <c r="I152" s="71">
        <f>Datos!J151</f>
        <v>0</v>
      </c>
      <c r="J152" s="6" t="s">
        <v>16</v>
      </c>
      <c r="K152" s="6" t="s">
        <v>16</v>
      </c>
      <c r="L152" s="6" t="s">
        <v>16</v>
      </c>
      <c r="M152" s="6" t="s">
        <v>16</v>
      </c>
      <c r="N152" s="6" t="s">
        <v>16</v>
      </c>
      <c r="O152" s="6" t="s">
        <v>16</v>
      </c>
      <c r="P152" s="6" t="s">
        <v>16</v>
      </c>
      <c r="Q152" s="6" t="str">
        <f t="shared" si="2"/>
        <v>Ausencia total del riesgo, reevaluar cada 3 años con nueva identificación inicial</v>
      </c>
    </row>
    <row r="153" spans="1:17" ht="28.5">
      <c r="A153" s="70">
        <f>Datos!A152</f>
        <v>151</v>
      </c>
      <c r="B153" s="70">
        <f>Datos!B152</f>
        <v>0</v>
      </c>
      <c r="C153" s="71">
        <f>Datos!C152</f>
        <v>0</v>
      </c>
      <c r="D153" s="71">
        <f>Datos!D152</f>
        <v>0</v>
      </c>
      <c r="E153" s="71">
        <f>Datos!F152</f>
        <v>0</v>
      </c>
      <c r="F153" s="71">
        <f>Datos!G152</f>
        <v>0</v>
      </c>
      <c r="G153" s="71">
        <f>Datos!H152</f>
        <v>0</v>
      </c>
      <c r="H153" s="71">
        <f>Datos!I152</f>
        <v>0</v>
      </c>
      <c r="I153" s="71">
        <f>Datos!J152</f>
        <v>0</v>
      </c>
      <c r="J153" s="6" t="s">
        <v>16</v>
      </c>
      <c r="K153" s="6" t="s">
        <v>16</v>
      </c>
      <c r="L153" s="6" t="s">
        <v>16</v>
      </c>
      <c r="M153" s="6" t="s">
        <v>16</v>
      </c>
      <c r="N153" s="6" t="s">
        <v>16</v>
      </c>
      <c r="O153" s="6" t="s">
        <v>16</v>
      </c>
      <c r="P153" s="6" t="s">
        <v>16</v>
      </c>
      <c r="Q153" s="6" t="str">
        <f t="shared" si="2"/>
        <v>Ausencia total del riesgo, reevaluar cada 3 años con nueva identificación inicial</v>
      </c>
    </row>
    <row r="154" spans="1:17" ht="28.5">
      <c r="A154" s="70">
        <f>Datos!A153</f>
        <v>152</v>
      </c>
      <c r="B154" s="70">
        <f>Datos!B153</f>
        <v>0</v>
      </c>
      <c r="C154" s="71">
        <f>Datos!C153</f>
        <v>0</v>
      </c>
      <c r="D154" s="71">
        <f>Datos!D153</f>
        <v>0</v>
      </c>
      <c r="E154" s="71">
        <f>Datos!F153</f>
        <v>0</v>
      </c>
      <c r="F154" s="71">
        <f>Datos!G153</f>
        <v>0</v>
      </c>
      <c r="G154" s="71">
        <f>Datos!H153</f>
        <v>0</v>
      </c>
      <c r="H154" s="71">
        <f>Datos!I153</f>
        <v>0</v>
      </c>
      <c r="I154" s="71">
        <f>Datos!J153</f>
        <v>0</v>
      </c>
      <c r="J154" s="6" t="s">
        <v>16</v>
      </c>
      <c r="K154" s="6" t="s">
        <v>16</v>
      </c>
      <c r="L154" s="6" t="s">
        <v>16</v>
      </c>
      <c r="M154" s="6" t="s">
        <v>16</v>
      </c>
      <c r="N154" s="6" t="s">
        <v>16</v>
      </c>
      <c r="O154" s="6" t="s">
        <v>16</v>
      </c>
      <c r="P154" s="6" t="s">
        <v>16</v>
      </c>
      <c r="Q154" s="6" t="str">
        <f t="shared" si="2"/>
        <v>Ausencia total del riesgo, reevaluar cada 3 años con nueva identificación inicial</v>
      </c>
    </row>
    <row r="155" spans="1:17" ht="28.5">
      <c r="A155" s="70">
        <f>Datos!A154</f>
        <v>153</v>
      </c>
      <c r="B155" s="70">
        <f>Datos!B154</f>
        <v>0</v>
      </c>
      <c r="C155" s="71">
        <f>Datos!C154</f>
        <v>0</v>
      </c>
      <c r="D155" s="71">
        <f>Datos!D154</f>
        <v>0</v>
      </c>
      <c r="E155" s="71">
        <f>Datos!F154</f>
        <v>0</v>
      </c>
      <c r="F155" s="71">
        <f>Datos!G154</f>
        <v>0</v>
      </c>
      <c r="G155" s="71">
        <f>Datos!H154</f>
        <v>0</v>
      </c>
      <c r="H155" s="71">
        <f>Datos!I154</f>
        <v>0</v>
      </c>
      <c r="I155" s="71">
        <f>Datos!J154</f>
        <v>0</v>
      </c>
      <c r="J155" s="6" t="s">
        <v>16</v>
      </c>
      <c r="K155" s="6" t="s">
        <v>16</v>
      </c>
      <c r="L155" s="6" t="s">
        <v>16</v>
      </c>
      <c r="M155" s="6" t="s">
        <v>16</v>
      </c>
      <c r="N155" s="6" t="s">
        <v>16</v>
      </c>
      <c r="O155" s="6" t="s">
        <v>16</v>
      </c>
      <c r="P155" s="6" t="s">
        <v>16</v>
      </c>
      <c r="Q155" s="6" t="str">
        <f t="shared" si="2"/>
        <v>Ausencia total del riesgo, reevaluar cada 3 años con nueva identificación inicial</v>
      </c>
    </row>
    <row r="156" spans="1:17" ht="28.5">
      <c r="A156" s="70">
        <f>Datos!A155</f>
        <v>154</v>
      </c>
      <c r="B156" s="70">
        <f>Datos!B155</f>
        <v>0</v>
      </c>
      <c r="C156" s="71">
        <f>Datos!C155</f>
        <v>0</v>
      </c>
      <c r="D156" s="71">
        <f>Datos!D155</f>
        <v>0</v>
      </c>
      <c r="E156" s="71">
        <f>Datos!F155</f>
        <v>0</v>
      </c>
      <c r="F156" s="71">
        <f>Datos!G155</f>
        <v>0</v>
      </c>
      <c r="G156" s="71">
        <f>Datos!H155</f>
        <v>0</v>
      </c>
      <c r="H156" s="71">
        <f>Datos!I155</f>
        <v>0</v>
      </c>
      <c r="I156" s="71">
        <f>Datos!J155</f>
        <v>0</v>
      </c>
      <c r="J156" s="6" t="s">
        <v>16</v>
      </c>
      <c r="K156" s="6" t="s">
        <v>16</v>
      </c>
      <c r="L156" s="6" t="s">
        <v>16</v>
      </c>
      <c r="M156" s="6" t="s">
        <v>16</v>
      </c>
      <c r="N156" s="6" t="s">
        <v>16</v>
      </c>
      <c r="O156" s="6" t="s">
        <v>16</v>
      </c>
      <c r="P156" s="6" t="s">
        <v>16</v>
      </c>
      <c r="Q156" s="6" t="str">
        <f t="shared" si="2"/>
        <v>Ausencia total del riesgo, reevaluar cada 3 años con nueva identificación inicial</v>
      </c>
    </row>
    <row r="157" spans="1:17" ht="28.5">
      <c r="A157" s="70">
        <f>Datos!A156</f>
        <v>155</v>
      </c>
      <c r="B157" s="70">
        <f>Datos!B156</f>
        <v>0</v>
      </c>
      <c r="C157" s="71">
        <f>Datos!C156</f>
        <v>0</v>
      </c>
      <c r="D157" s="71">
        <f>Datos!D156</f>
        <v>0</v>
      </c>
      <c r="E157" s="71">
        <f>Datos!F156</f>
        <v>0</v>
      </c>
      <c r="F157" s="71">
        <f>Datos!G156</f>
        <v>0</v>
      </c>
      <c r="G157" s="71">
        <f>Datos!H156</f>
        <v>0</v>
      </c>
      <c r="H157" s="71">
        <f>Datos!I156</f>
        <v>0</v>
      </c>
      <c r="I157" s="71">
        <f>Datos!J156</f>
        <v>0</v>
      </c>
      <c r="J157" s="6" t="s">
        <v>16</v>
      </c>
      <c r="K157" s="6" t="s">
        <v>16</v>
      </c>
      <c r="L157" s="6" t="s">
        <v>16</v>
      </c>
      <c r="M157" s="6" t="s">
        <v>16</v>
      </c>
      <c r="N157" s="6" t="s">
        <v>16</v>
      </c>
      <c r="O157" s="6" t="s">
        <v>16</v>
      </c>
      <c r="P157" s="6" t="s">
        <v>16</v>
      </c>
      <c r="Q157" s="6" t="str">
        <f t="shared" si="2"/>
        <v>Ausencia total del riesgo, reevaluar cada 3 años con nueva identificación inicial</v>
      </c>
    </row>
    <row r="158" spans="1:17" ht="28.5">
      <c r="A158" s="70">
        <f>Datos!A157</f>
        <v>156</v>
      </c>
      <c r="B158" s="70">
        <f>Datos!B157</f>
        <v>0</v>
      </c>
      <c r="C158" s="71">
        <f>Datos!C157</f>
        <v>0</v>
      </c>
      <c r="D158" s="71">
        <f>Datos!D157</f>
        <v>0</v>
      </c>
      <c r="E158" s="71">
        <f>Datos!F157</f>
        <v>0</v>
      </c>
      <c r="F158" s="71">
        <f>Datos!G157</f>
        <v>0</v>
      </c>
      <c r="G158" s="71">
        <f>Datos!H157</f>
        <v>0</v>
      </c>
      <c r="H158" s="71">
        <f>Datos!I157</f>
        <v>0</v>
      </c>
      <c r="I158" s="71">
        <f>Datos!J157</f>
        <v>0</v>
      </c>
      <c r="J158" s="6" t="s">
        <v>16</v>
      </c>
      <c r="K158" s="6" t="s">
        <v>16</v>
      </c>
      <c r="L158" s="6" t="s">
        <v>16</v>
      </c>
      <c r="M158" s="6" t="s">
        <v>16</v>
      </c>
      <c r="N158" s="6" t="s">
        <v>16</v>
      </c>
      <c r="O158" s="6" t="s">
        <v>16</v>
      </c>
      <c r="P158" s="6" t="s">
        <v>16</v>
      </c>
      <c r="Q158" s="6" t="str">
        <f t="shared" si="2"/>
        <v>Ausencia total del riesgo, reevaluar cada 3 años con nueva identificación inicial</v>
      </c>
    </row>
    <row r="159" spans="1:17" ht="28.5">
      <c r="A159" s="70">
        <f>Datos!A158</f>
        <v>157</v>
      </c>
      <c r="B159" s="70">
        <f>Datos!B158</f>
        <v>0</v>
      </c>
      <c r="C159" s="71">
        <f>Datos!C158</f>
        <v>0</v>
      </c>
      <c r="D159" s="71">
        <f>Datos!D158</f>
        <v>0</v>
      </c>
      <c r="E159" s="71">
        <f>Datos!F158</f>
        <v>0</v>
      </c>
      <c r="F159" s="71">
        <f>Datos!G158</f>
        <v>0</v>
      </c>
      <c r="G159" s="71">
        <f>Datos!H158</f>
        <v>0</v>
      </c>
      <c r="H159" s="71">
        <f>Datos!I158</f>
        <v>0</v>
      </c>
      <c r="I159" s="71">
        <f>Datos!J158</f>
        <v>0</v>
      </c>
      <c r="J159" s="6" t="s">
        <v>16</v>
      </c>
      <c r="K159" s="6" t="s">
        <v>16</v>
      </c>
      <c r="L159" s="6" t="s">
        <v>16</v>
      </c>
      <c r="M159" s="6" t="s">
        <v>16</v>
      </c>
      <c r="N159" s="6" t="s">
        <v>16</v>
      </c>
      <c r="O159" s="6" t="s">
        <v>16</v>
      </c>
      <c r="P159" s="6" t="s">
        <v>16</v>
      </c>
      <c r="Q159" s="6" t="str">
        <f t="shared" si="2"/>
        <v>Ausencia total del riesgo, reevaluar cada 3 años con nueva identificación inicial</v>
      </c>
    </row>
    <row r="160" spans="1:17" ht="28.5">
      <c r="A160" s="70">
        <f>Datos!A159</f>
        <v>158</v>
      </c>
      <c r="B160" s="70">
        <f>Datos!B159</f>
        <v>0</v>
      </c>
      <c r="C160" s="71">
        <f>Datos!C159</f>
        <v>0</v>
      </c>
      <c r="D160" s="71">
        <f>Datos!D159</f>
        <v>0</v>
      </c>
      <c r="E160" s="71">
        <f>Datos!F159</f>
        <v>0</v>
      </c>
      <c r="F160" s="71">
        <f>Datos!G159</f>
        <v>0</v>
      </c>
      <c r="G160" s="71">
        <f>Datos!H159</f>
        <v>0</v>
      </c>
      <c r="H160" s="71">
        <f>Datos!I159</f>
        <v>0</v>
      </c>
      <c r="I160" s="71">
        <f>Datos!J159</f>
        <v>0</v>
      </c>
      <c r="J160" s="6" t="s">
        <v>16</v>
      </c>
      <c r="K160" s="6" t="s">
        <v>16</v>
      </c>
      <c r="L160" s="6" t="s">
        <v>16</v>
      </c>
      <c r="M160" s="6" t="s">
        <v>16</v>
      </c>
      <c r="N160" s="6" t="s">
        <v>16</v>
      </c>
      <c r="O160" s="6" t="s">
        <v>16</v>
      </c>
      <c r="P160" s="6" t="s">
        <v>16</v>
      </c>
      <c r="Q160" s="6" t="str">
        <f t="shared" si="2"/>
        <v>Ausencia total del riesgo, reevaluar cada 3 años con nueva identificación inicial</v>
      </c>
    </row>
    <row r="161" spans="1:17" ht="28.5">
      <c r="A161" s="70">
        <f>Datos!A160</f>
        <v>159</v>
      </c>
      <c r="B161" s="70">
        <f>Datos!B160</f>
        <v>0</v>
      </c>
      <c r="C161" s="71">
        <f>Datos!C160</f>
        <v>0</v>
      </c>
      <c r="D161" s="71">
        <f>Datos!D160</f>
        <v>0</v>
      </c>
      <c r="E161" s="71">
        <f>Datos!F160</f>
        <v>0</v>
      </c>
      <c r="F161" s="71">
        <f>Datos!G160</f>
        <v>0</v>
      </c>
      <c r="G161" s="71">
        <f>Datos!H160</f>
        <v>0</v>
      </c>
      <c r="H161" s="71">
        <f>Datos!I160</f>
        <v>0</v>
      </c>
      <c r="I161" s="71">
        <f>Datos!J160</f>
        <v>0</v>
      </c>
      <c r="J161" s="6" t="s">
        <v>16</v>
      </c>
      <c r="K161" s="6" t="s">
        <v>16</v>
      </c>
      <c r="L161" s="6" t="s">
        <v>16</v>
      </c>
      <c r="M161" s="6" t="s">
        <v>16</v>
      </c>
      <c r="N161" s="6" t="s">
        <v>16</v>
      </c>
      <c r="O161" s="6" t="s">
        <v>16</v>
      </c>
      <c r="P161" s="6" t="s">
        <v>16</v>
      </c>
      <c r="Q161" s="6" t="str">
        <f t="shared" si="2"/>
        <v>Ausencia total del riesgo, reevaluar cada 3 años con nueva identificación inicial</v>
      </c>
    </row>
    <row r="162" spans="1:17" ht="28.5">
      <c r="A162" s="70">
        <f>Datos!A161</f>
        <v>160</v>
      </c>
      <c r="B162" s="70">
        <f>Datos!B161</f>
        <v>0</v>
      </c>
      <c r="C162" s="71">
        <f>Datos!C161</f>
        <v>0</v>
      </c>
      <c r="D162" s="71">
        <f>Datos!D161</f>
        <v>0</v>
      </c>
      <c r="E162" s="71">
        <f>Datos!F161</f>
        <v>0</v>
      </c>
      <c r="F162" s="71">
        <f>Datos!G161</f>
        <v>0</v>
      </c>
      <c r="G162" s="71">
        <f>Datos!H161</f>
        <v>0</v>
      </c>
      <c r="H162" s="71">
        <f>Datos!I161</f>
        <v>0</v>
      </c>
      <c r="I162" s="71">
        <f>Datos!J161</f>
        <v>0</v>
      </c>
      <c r="J162" s="6" t="s">
        <v>16</v>
      </c>
      <c r="K162" s="6" t="s">
        <v>16</v>
      </c>
      <c r="L162" s="6" t="s">
        <v>16</v>
      </c>
      <c r="M162" s="6" t="s">
        <v>16</v>
      </c>
      <c r="N162" s="6" t="s">
        <v>16</v>
      </c>
      <c r="O162" s="6" t="s">
        <v>16</v>
      </c>
      <c r="P162" s="6" t="s">
        <v>16</v>
      </c>
      <c r="Q162" s="6" t="str">
        <f t="shared" si="2"/>
        <v>Ausencia total del riesgo, reevaluar cada 3 años con nueva identificación inicial</v>
      </c>
    </row>
    <row r="163" spans="1:17" ht="28.5">
      <c r="A163" s="70">
        <f>Datos!A162</f>
        <v>161</v>
      </c>
      <c r="B163" s="70">
        <f>Datos!B162</f>
        <v>0</v>
      </c>
      <c r="C163" s="71">
        <f>Datos!C162</f>
        <v>0</v>
      </c>
      <c r="D163" s="71">
        <f>Datos!D162</f>
        <v>0</v>
      </c>
      <c r="E163" s="71">
        <f>Datos!F162</f>
        <v>0</v>
      </c>
      <c r="F163" s="71">
        <f>Datos!G162</f>
        <v>0</v>
      </c>
      <c r="G163" s="71">
        <f>Datos!H162</f>
        <v>0</v>
      </c>
      <c r="H163" s="71">
        <f>Datos!I162</f>
        <v>0</v>
      </c>
      <c r="I163" s="71">
        <f>Datos!J162</f>
        <v>0</v>
      </c>
      <c r="J163" s="6" t="s">
        <v>16</v>
      </c>
      <c r="K163" s="6" t="s">
        <v>16</v>
      </c>
      <c r="L163" s="6" t="s">
        <v>16</v>
      </c>
      <c r="M163" s="6" t="s">
        <v>16</v>
      </c>
      <c r="N163" s="6" t="s">
        <v>16</v>
      </c>
      <c r="O163" s="6" t="s">
        <v>16</v>
      </c>
      <c r="P163" s="6" t="s">
        <v>16</v>
      </c>
      <c r="Q163" s="6" t="str">
        <f t="shared" si="2"/>
        <v>Ausencia total del riesgo, reevaluar cada 3 años con nueva identificación inicial</v>
      </c>
    </row>
    <row r="164" spans="1:17" ht="28.5">
      <c r="A164" s="70">
        <f>Datos!A163</f>
        <v>162</v>
      </c>
      <c r="B164" s="70">
        <f>Datos!B163</f>
        <v>0</v>
      </c>
      <c r="C164" s="71">
        <f>Datos!C163</f>
        <v>0</v>
      </c>
      <c r="D164" s="71">
        <f>Datos!D163</f>
        <v>0</v>
      </c>
      <c r="E164" s="71">
        <f>Datos!F163</f>
        <v>0</v>
      </c>
      <c r="F164" s="71">
        <f>Datos!G163</f>
        <v>0</v>
      </c>
      <c r="G164" s="71">
        <f>Datos!H163</f>
        <v>0</v>
      </c>
      <c r="H164" s="71">
        <f>Datos!I163</f>
        <v>0</v>
      </c>
      <c r="I164" s="71">
        <f>Datos!J163</f>
        <v>0</v>
      </c>
      <c r="J164" s="6" t="s">
        <v>16</v>
      </c>
      <c r="K164" s="6" t="s">
        <v>16</v>
      </c>
      <c r="L164" s="6" t="s">
        <v>16</v>
      </c>
      <c r="M164" s="6" t="s">
        <v>16</v>
      </c>
      <c r="N164" s="6" t="s">
        <v>16</v>
      </c>
      <c r="O164" s="6" t="s">
        <v>16</v>
      </c>
      <c r="P164" s="6" t="s">
        <v>16</v>
      </c>
      <c r="Q164" s="6" t="str">
        <f t="shared" si="2"/>
        <v>Ausencia total del riesgo, reevaluar cada 3 años con nueva identificación inicial</v>
      </c>
    </row>
    <row r="165" spans="1:17" ht="28.5">
      <c r="A165" s="70">
        <f>Datos!A164</f>
        <v>163</v>
      </c>
      <c r="B165" s="70">
        <f>Datos!B164</f>
        <v>0</v>
      </c>
      <c r="C165" s="71">
        <f>Datos!C164</f>
        <v>0</v>
      </c>
      <c r="D165" s="71">
        <f>Datos!D164</f>
        <v>0</v>
      </c>
      <c r="E165" s="71">
        <f>Datos!F164</f>
        <v>0</v>
      </c>
      <c r="F165" s="71">
        <f>Datos!G164</f>
        <v>0</v>
      </c>
      <c r="G165" s="71">
        <f>Datos!H164</f>
        <v>0</v>
      </c>
      <c r="H165" s="71">
        <f>Datos!I164</f>
        <v>0</v>
      </c>
      <c r="I165" s="71">
        <f>Datos!J164</f>
        <v>0</v>
      </c>
      <c r="J165" s="6" t="s">
        <v>16</v>
      </c>
      <c r="K165" s="6" t="s">
        <v>16</v>
      </c>
      <c r="L165" s="6" t="s">
        <v>16</v>
      </c>
      <c r="M165" s="6" t="s">
        <v>16</v>
      </c>
      <c r="N165" s="6" t="s">
        <v>16</v>
      </c>
      <c r="O165" s="6" t="s">
        <v>16</v>
      </c>
      <c r="P165" s="6" t="s">
        <v>16</v>
      </c>
      <c r="Q165" s="6" t="str">
        <f t="shared" si="2"/>
        <v>Ausencia total del riesgo, reevaluar cada 3 años con nueva identificación inicial</v>
      </c>
    </row>
    <row r="166" spans="1:17" ht="28.5">
      <c r="A166" s="70">
        <f>Datos!A165</f>
        <v>164</v>
      </c>
      <c r="B166" s="70">
        <f>Datos!B165</f>
        <v>0</v>
      </c>
      <c r="C166" s="71">
        <f>Datos!C165</f>
        <v>0</v>
      </c>
      <c r="D166" s="71">
        <f>Datos!D165</f>
        <v>0</v>
      </c>
      <c r="E166" s="71">
        <f>Datos!F165</f>
        <v>0</v>
      </c>
      <c r="F166" s="71">
        <f>Datos!G165</f>
        <v>0</v>
      </c>
      <c r="G166" s="71">
        <f>Datos!H165</f>
        <v>0</v>
      </c>
      <c r="H166" s="71">
        <f>Datos!I165</f>
        <v>0</v>
      </c>
      <c r="I166" s="71">
        <f>Datos!J165</f>
        <v>0</v>
      </c>
      <c r="J166" s="6" t="s">
        <v>16</v>
      </c>
      <c r="K166" s="6" t="s">
        <v>16</v>
      </c>
      <c r="L166" s="6" t="s">
        <v>16</v>
      </c>
      <c r="M166" s="6" t="s">
        <v>16</v>
      </c>
      <c r="N166" s="6" t="s">
        <v>16</v>
      </c>
      <c r="O166" s="6" t="s">
        <v>16</v>
      </c>
      <c r="P166" s="6" t="s">
        <v>16</v>
      </c>
      <c r="Q166" s="6" t="str">
        <f t="shared" si="2"/>
        <v>Ausencia total del riesgo, reevaluar cada 3 años con nueva identificación inicial</v>
      </c>
    </row>
    <row r="167" spans="1:17" ht="28.5">
      <c r="A167" s="70">
        <f>Datos!A166</f>
        <v>165</v>
      </c>
      <c r="B167" s="70">
        <f>Datos!B166</f>
        <v>0</v>
      </c>
      <c r="C167" s="71">
        <f>Datos!C166</f>
        <v>0</v>
      </c>
      <c r="D167" s="71">
        <f>Datos!D166</f>
        <v>0</v>
      </c>
      <c r="E167" s="71">
        <f>Datos!F166</f>
        <v>0</v>
      </c>
      <c r="F167" s="71">
        <f>Datos!G166</f>
        <v>0</v>
      </c>
      <c r="G167" s="71">
        <f>Datos!H166</f>
        <v>0</v>
      </c>
      <c r="H167" s="71">
        <f>Datos!I166</f>
        <v>0</v>
      </c>
      <c r="I167" s="71">
        <f>Datos!J166</f>
        <v>0</v>
      </c>
      <c r="J167" s="6" t="s">
        <v>16</v>
      </c>
      <c r="K167" s="6" t="s">
        <v>16</v>
      </c>
      <c r="L167" s="6" t="s">
        <v>16</v>
      </c>
      <c r="M167" s="6" t="s">
        <v>16</v>
      </c>
      <c r="N167" s="6" t="s">
        <v>16</v>
      </c>
      <c r="O167" s="6" t="s">
        <v>16</v>
      </c>
      <c r="P167" s="6" t="s">
        <v>16</v>
      </c>
      <c r="Q167" s="6" t="str">
        <f t="shared" si="2"/>
        <v>Ausencia total del riesgo, reevaluar cada 3 años con nueva identificación inicial</v>
      </c>
    </row>
    <row r="168" spans="1:17" ht="28.5">
      <c r="A168" s="70">
        <f>Datos!A167</f>
        <v>166</v>
      </c>
      <c r="B168" s="70">
        <f>Datos!B167</f>
        <v>0</v>
      </c>
      <c r="C168" s="71">
        <f>Datos!C167</f>
        <v>0</v>
      </c>
      <c r="D168" s="71">
        <f>Datos!D167</f>
        <v>0</v>
      </c>
      <c r="E168" s="71">
        <f>Datos!F167</f>
        <v>0</v>
      </c>
      <c r="F168" s="71">
        <f>Datos!G167</f>
        <v>0</v>
      </c>
      <c r="G168" s="71">
        <f>Datos!H167</f>
        <v>0</v>
      </c>
      <c r="H168" s="71">
        <f>Datos!I167</f>
        <v>0</v>
      </c>
      <c r="I168" s="71">
        <f>Datos!J167</f>
        <v>0</v>
      </c>
      <c r="J168" s="6" t="s">
        <v>16</v>
      </c>
      <c r="K168" s="6" t="s">
        <v>16</v>
      </c>
      <c r="L168" s="6" t="s">
        <v>16</v>
      </c>
      <c r="M168" s="6" t="s">
        <v>16</v>
      </c>
      <c r="N168" s="6" t="s">
        <v>16</v>
      </c>
      <c r="O168" s="6" t="s">
        <v>16</v>
      </c>
      <c r="P168" s="6" t="s">
        <v>16</v>
      </c>
      <c r="Q168" s="6" t="str">
        <f t="shared" si="2"/>
        <v>Ausencia total del riesgo, reevaluar cada 3 años con nueva identificación inicial</v>
      </c>
    </row>
    <row r="169" spans="1:17" ht="28.5">
      <c r="A169" s="70">
        <f>Datos!A168</f>
        <v>167</v>
      </c>
      <c r="B169" s="70">
        <f>Datos!B168</f>
        <v>0</v>
      </c>
      <c r="C169" s="71">
        <f>Datos!C168</f>
        <v>0</v>
      </c>
      <c r="D169" s="71">
        <f>Datos!D168</f>
        <v>0</v>
      </c>
      <c r="E169" s="71">
        <f>Datos!F168</f>
        <v>0</v>
      </c>
      <c r="F169" s="71">
        <f>Datos!G168</f>
        <v>0</v>
      </c>
      <c r="G169" s="71">
        <f>Datos!H168</f>
        <v>0</v>
      </c>
      <c r="H169" s="71">
        <f>Datos!I168</f>
        <v>0</v>
      </c>
      <c r="I169" s="71">
        <f>Datos!J168</f>
        <v>0</v>
      </c>
      <c r="J169" s="6" t="s">
        <v>16</v>
      </c>
      <c r="K169" s="6" t="s">
        <v>16</v>
      </c>
      <c r="L169" s="6" t="s">
        <v>16</v>
      </c>
      <c r="M169" s="6" t="s">
        <v>16</v>
      </c>
      <c r="N169" s="6" t="s">
        <v>16</v>
      </c>
      <c r="O169" s="6" t="s">
        <v>16</v>
      </c>
      <c r="P169" s="6" t="s">
        <v>16</v>
      </c>
      <c r="Q169" s="6" t="str">
        <f t="shared" si="2"/>
        <v>Ausencia total del riesgo, reevaluar cada 3 años con nueva identificación inicial</v>
      </c>
    </row>
    <row r="170" spans="1:17" ht="28.5">
      <c r="A170" s="70">
        <f>Datos!A169</f>
        <v>168</v>
      </c>
      <c r="B170" s="70">
        <f>Datos!B169</f>
        <v>0</v>
      </c>
      <c r="C170" s="71">
        <f>Datos!C169</f>
        <v>0</v>
      </c>
      <c r="D170" s="71">
        <f>Datos!D169</f>
        <v>0</v>
      </c>
      <c r="E170" s="71">
        <f>Datos!F169</f>
        <v>0</v>
      </c>
      <c r="F170" s="71">
        <f>Datos!G169</f>
        <v>0</v>
      </c>
      <c r="G170" s="71">
        <f>Datos!H169</f>
        <v>0</v>
      </c>
      <c r="H170" s="71">
        <f>Datos!I169</f>
        <v>0</v>
      </c>
      <c r="I170" s="71">
        <f>Datos!J169</f>
        <v>0</v>
      </c>
      <c r="J170" s="6" t="s">
        <v>16</v>
      </c>
      <c r="K170" s="6" t="s">
        <v>16</v>
      </c>
      <c r="L170" s="6" t="s">
        <v>16</v>
      </c>
      <c r="M170" s="6" t="s">
        <v>16</v>
      </c>
      <c r="N170" s="6" t="s">
        <v>16</v>
      </c>
      <c r="O170" s="6" t="s">
        <v>16</v>
      </c>
      <c r="P170" s="6" t="s">
        <v>16</v>
      </c>
      <c r="Q170" s="6" t="str">
        <f t="shared" si="2"/>
        <v>Ausencia total del riesgo, reevaluar cada 3 años con nueva identificación inicial</v>
      </c>
    </row>
    <row r="171" spans="1:17" ht="28.5">
      <c r="A171" s="70">
        <f>Datos!A170</f>
        <v>169</v>
      </c>
      <c r="B171" s="70">
        <f>Datos!B170</f>
        <v>0</v>
      </c>
      <c r="C171" s="71">
        <f>Datos!C170</f>
        <v>0</v>
      </c>
      <c r="D171" s="71">
        <f>Datos!D170</f>
        <v>0</v>
      </c>
      <c r="E171" s="71">
        <f>Datos!F170</f>
        <v>0</v>
      </c>
      <c r="F171" s="71">
        <f>Datos!G170</f>
        <v>0</v>
      </c>
      <c r="G171" s="71">
        <f>Datos!H170</f>
        <v>0</v>
      </c>
      <c r="H171" s="71">
        <f>Datos!I170</f>
        <v>0</v>
      </c>
      <c r="I171" s="71">
        <f>Datos!J170</f>
        <v>0</v>
      </c>
      <c r="J171" s="6" t="s">
        <v>16</v>
      </c>
      <c r="K171" s="6" t="s">
        <v>16</v>
      </c>
      <c r="L171" s="6" t="s">
        <v>16</v>
      </c>
      <c r="M171" s="6" t="s">
        <v>16</v>
      </c>
      <c r="N171" s="6" t="s">
        <v>16</v>
      </c>
      <c r="O171" s="6" t="s">
        <v>16</v>
      </c>
      <c r="P171" s="6" t="s">
        <v>16</v>
      </c>
      <c r="Q171" s="6" t="str">
        <f t="shared" si="2"/>
        <v>Ausencia total del riesgo, reevaluar cada 3 años con nueva identificación inicial</v>
      </c>
    </row>
    <row r="172" spans="1:17" ht="28.5">
      <c r="A172" s="70">
        <f>Datos!A171</f>
        <v>170</v>
      </c>
      <c r="B172" s="70">
        <f>Datos!B171</f>
        <v>0</v>
      </c>
      <c r="C172" s="71">
        <f>Datos!C171</f>
        <v>0</v>
      </c>
      <c r="D172" s="71">
        <f>Datos!D171</f>
        <v>0</v>
      </c>
      <c r="E172" s="71">
        <f>Datos!F171</f>
        <v>0</v>
      </c>
      <c r="F172" s="71">
        <f>Datos!G171</f>
        <v>0</v>
      </c>
      <c r="G172" s="71">
        <f>Datos!H171</f>
        <v>0</v>
      </c>
      <c r="H172" s="71">
        <f>Datos!I171</f>
        <v>0</v>
      </c>
      <c r="I172" s="71">
        <f>Datos!J171</f>
        <v>0</v>
      </c>
      <c r="J172" s="6" t="s">
        <v>16</v>
      </c>
      <c r="K172" s="6" t="s">
        <v>16</v>
      </c>
      <c r="L172" s="6" t="s">
        <v>16</v>
      </c>
      <c r="M172" s="6" t="s">
        <v>16</v>
      </c>
      <c r="N172" s="6" t="s">
        <v>16</v>
      </c>
      <c r="O172" s="6" t="s">
        <v>16</v>
      </c>
      <c r="P172" s="6" t="s">
        <v>16</v>
      </c>
      <c r="Q172" s="6" t="str">
        <f t="shared" si="2"/>
        <v>Ausencia total del riesgo, reevaluar cada 3 años con nueva identificación inicial</v>
      </c>
    </row>
    <row r="173" spans="1:17" ht="28.5">
      <c r="A173" s="70">
        <f>Datos!A172</f>
        <v>171</v>
      </c>
      <c r="B173" s="70">
        <f>Datos!B172</f>
        <v>0</v>
      </c>
      <c r="C173" s="71">
        <f>Datos!C172</f>
        <v>0</v>
      </c>
      <c r="D173" s="71">
        <f>Datos!D172</f>
        <v>0</v>
      </c>
      <c r="E173" s="71">
        <f>Datos!F172</f>
        <v>0</v>
      </c>
      <c r="F173" s="71">
        <f>Datos!G172</f>
        <v>0</v>
      </c>
      <c r="G173" s="71">
        <f>Datos!H172</f>
        <v>0</v>
      </c>
      <c r="H173" s="71">
        <f>Datos!I172</f>
        <v>0</v>
      </c>
      <c r="I173" s="71">
        <f>Datos!J172</f>
        <v>0</v>
      </c>
      <c r="J173" s="6" t="s">
        <v>16</v>
      </c>
      <c r="K173" s="6" t="s">
        <v>16</v>
      </c>
      <c r="L173" s="6" t="s">
        <v>16</v>
      </c>
      <c r="M173" s="6" t="s">
        <v>16</v>
      </c>
      <c r="N173" s="6" t="s">
        <v>16</v>
      </c>
      <c r="O173" s="6" t="s">
        <v>16</v>
      </c>
      <c r="P173" s="6" t="s">
        <v>16</v>
      </c>
      <c r="Q173" s="6" t="str">
        <f t="shared" si="2"/>
        <v>Ausencia total del riesgo, reevaluar cada 3 años con nueva identificación inicial</v>
      </c>
    </row>
    <row r="174" spans="1:17" ht="28.5">
      <c r="A174" s="70">
        <f>Datos!A173</f>
        <v>172</v>
      </c>
      <c r="B174" s="70">
        <f>Datos!B173</f>
        <v>0</v>
      </c>
      <c r="C174" s="71">
        <f>Datos!C173</f>
        <v>0</v>
      </c>
      <c r="D174" s="71">
        <f>Datos!D173</f>
        <v>0</v>
      </c>
      <c r="E174" s="71">
        <f>Datos!F173</f>
        <v>0</v>
      </c>
      <c r="F174" s="71">
        <f>Datos!G173</f>
        <v>0</v>
      </c>
      <c r="G174" s="71">
        <f>Datos!H173</f>
        <v>0</v>
      </c>
      <c r="H174" s="71">
        <f>Datos!I173</f>
        <v>0</v>
      </c>
      <c r="I174" s="71">
        <f>Datos!J173</f>
        <v>0</v>
      </c>
      <c r="J174" s="6" t="s">
        <v>16</v>
      </c>
      <c r="K174" s="6" t="s">
        <v>16</v>
      </c>
      <c r="L174" s="6" t="s">
        <v>16</v>
      </c>
      <c r="M174" s="6" t="s">
        <v>16</v>
      </c>
      <c r="N174" s="6" t="s">
        <v>16</v>
      </c>
      <c r="O174" s="6" t="s">
        <v>16</v>
      </c>
      <c r="P174" s="6" t="s">
        <v>16</v>
      </c>
      <c r="Q174" s="6" t="str">
        <f t="shared" si="2"/>
        <v>Ausencia total del riesgo, reevaluar cada 3 años con nueva identificación inicial</v>
      </c>
    </row>
    <row r="175" spans="1:17" ht="28.5">
      <c r="A175" s="70">
        <f>Datos!A174</f>
        <v>173</v>
      </c>
      <c r="B175" s="70">
        <f>Datos!B174</f>
        <v>0</v>
      </c>
      <c r="C175" s="71">
        <f>Datos!C174</f>
        <v>0</v>
      </c>
      <c r="D175" s="71">
        <f>Datos!D174</f>
        <v>0</v>
      </c>
      <c r="E175" s="71">
        <f>Datos!F174</f>
        <v>0</v>
      </c>
      <c r="F175" s="71">
        <f>Datos!G174</f>
        <v>0</v>
      </c>
      <c r="G175" s="71">
        <f>Datos!H174</f>
        <v>0</v>
      </c>
      <c r="H175" s="71">
        <f>Datos!I174</f>
        <v>0</v>
      </c>
      <c r="I175" s="71">
        <f>Datos!J174</f>
        <v>0</v>
      </c>
      <c r="J175" s="6" t="s">
        <v>16</v>
      </c>
      <c r="K175" s="6" t="s">
        <v>16</v>
      </c>
      <c r="L175" s="6" t="s">
        <v>16</v>
      </c>
      <c r="M175" s="6" t="s">
        <v>16</v>
      </c>
      <c r="N175" s="6" t="s">
        <v>16</v>
      </c>
      <c r="O175" s="6" t="s">
        <v>16</v>
      </c>
      <c r="P175" s="6" t="s">
        <v>16</v>
      </c>
      <c r="Q175" s="6" t="str">
        <f t="shared" si="2"/>
        <v>Ausencia total del riesgo, reevaluar cada 3 años con nueva identificación inicial</v>
      </c>
    </row>
    <row r="176" spans="1:17" ht="28.5">
      <c r="A176" s="70">
        <f>Datos!A175</f>
        <v>174</v>
      </c>
      <c r="B176" s="70">
        <f>Datos!B175</f>
        <v>0</v>
      </c>
      <c r="C176" s="71">
        <f>Datos!C175</f>
        <v>0</v>
      </c>
      <c r="D176" s="71">
        <f>Datos!D175</f>
        <v>0</v>
      </c>
      <c r="E176" s="71">
        <f>Datos!F175</f>
        <v>0</v>
      </c>
      <c r="F176" s="71">
        <f>Datos!G175</f>
        <v>0</v>
      </c>
      <c r="G176" s="71">
        <f>Datos!H175</f>
        <v>0</v>
      </c>
      <c r="H176" s="71">
        <f>Datos!I175</f>
        <v>0</v>
      </c>
      <c r="I176" s="71">
        <f>Datos!J175</f>
        <v>0</v>
      </c>
      <c r="J176" s="6" t="s">
        <v>16</v>
      </c>
      <c r="K176" s="6" t="s">
        <v>16</v>
      </c>
      <c r="L176" s="6" t="s">
        <v>16</v>
      </c>
      <c r="M176" s="6" t="s">
        <v>16</v>
      </c>
      <c r="N176" s="6" t="s">
        <v>16</v>
      </c>
      <c r="O176" s="6" t="s">
        <v>16</v>
      </c>
      <c r="P176" s="6" t="s">
        <v>16</v>
      </c>
      <c r="Q176" s="6" t="str">
        <f t="shared" ref="Q176:Q239" si="3">IF(AND(J176="NO",K176="NO",L176="NO",M176="NO",N176="NO",O176="NO",P176="NO"),"Ausencia total del riesgo, reevaluar cada 3 años con nueva identificación inicial","Aplicar identificación avanzada-condición aceptable para cada tipo de factor de riesgo identificado")</f>
        <v>Ausencia total del riesgo, reevaluar cada 3 años con nueva identificación inicial</v>
      </c>
    </row>
    <row r="177" spans="1:17" ht="28.5">
      <c r="A177" s="70">
        <f>Datos!A176</f>
        <v>175</v>
      </c>
      <c r="B177" s="70">
        <f>Datos!B176</f>
        <v>0</v>
      </c>
      <c r="C177" s="71">
        <f>Datos!C176</f>
        <v>0</v>
      </c>
      <c r="D177" s="71">
        <f>Datos!D176</f>
        <v>0</v>
      </c>
      <c r="E177" s="71">
        <f>Datos!F176</f>
        <v>0</v>
      </c>
      <c r="F177" s="71">
        <f>Datos!G176</f>
        <v>0</v>
      </c>
      <c r="G177" s="71">
        <f>Datos!H176</f>
        <v>0</v>
      </c>
      <c r="H177" s="71">
        <f>Datos!I176</f>
        <v>0</v>
      </c>
      <c r="I177" s="71">
        <f>Datos!J176</f>
        <v>0</v>
      </c>
      <c r="J177" s="6" t="s">
        <v>16</v>
      </c>
      <c r="K177" s="6" t="s">
        <v>16</v>
      </c>
      <c r="L177" s="6" t="s">
        <v>16</v>
      </c>
      <c r="M177" s="6" t="s">
        <v>16</v>
      </c>
      <c r="N177" s="6" t="s">
        <v>16</v>
      </c>
      <c r="O177" s="6" t="s">
        <v>16</v>
      </c>
      <c r="P177" s="6" t="s">
        <v>16</v>
      </c>
      <c r="Q177" s="6" t="str">
        <f t="shared" si="3"/>
        <v>Ausencia total del riesgo, reevaluar cada 3 años con nueva identificación inicial</v>
      </c>
    </row>
    <row r="178" spans="1:17" ht="28.5">
      <c r="A178" s="70">
        <f>Datos!A177</f>
        <v>176</v>
      </c>
      <c r="B178" s="70">
        <f>Datos!B177</f>
        <v>0</v>
      </c>
      <c r="C178" s="71">
        <f>Datos!C177</f>
        <v>0</v>
      </c>
      <c r="D178" s="71">
        <f>Datos!D177</f>
        <v>0</v>
      </c>
      <c r="E178" s="71">
        <f>Datos!F177</f>
        <v>0</v>
      </c>
      <c r="F178" s="71">
        <f>Datos!G177</f>
        <v>0</v>
      </c>
      <c r="G178" s="71">
        <f>Datos!H177</f>
        <v>0</v>
      </c>
      <c r="H178" s="71">
        <f>Datos!I177</f>
        <v>0</v>
      </c>
      <c r="I178" s="71">
        <f>Datos!J177</f>
        <v>0</v>
      </c>
      <c r="J178" s="6" t="s">
        <v>16</v>
      </c>
      <c r="K178" s="6" t="s">
        <v>16</v>
      </c>
      <c r="L178" s="6" t="s">
        <v>16</v>
      </c>
      <c r="M178" s="6" t="s">
        <v>16</v>
      </c>
      <c r="N178" s="6" t="s">
        <v>16</v>
      </c>
      <c r="O178" s="6" t="s">
        <v>16</v>
      </c>
      <c r="P178" s="6" t="s">
        <v>16</v>
      </c>
      <c r="Q178" s="6" t="str">
        <f t="shared" si="3"/>
        <v>Ausencia total del riesgo, reevaluar cada 3 años con nueva identificación inicial</v>
      </c>
    </row>
    <row r="179" spans="1:17" ht="28.5">
      <c r="A179" s="70">
        <f>Datos!A178</f>
        <v>177</v>
      </c>
      <c r="B179" s="70">
        <f>Datos!B178</f>
        <v>0</v>
      </c>
      <c r="C179" s="71">
        <f>Datos!C178</f>
        <v>0</v>
      </c>
      <c r="D179" s="71">
        <f>Datos!D178</f>
        <v>0</v>
      </c>
      <c r="E179" s="71">
        <f>Datos!F178</f>
        <v>0</v>
      </c>
      <c r="F179" s="71">
        <f>Datos!G178</f>
        <v>0</v>
      </c>
      <c r="G179" s="71">
        <f>Datos!H178</f>
        <v>0</v>
      </c>
      <c r="H179" s="71">
        <f>Datos!I178</f>
        <v>0</v>
      </c>
      <c r="I179" s="71">
        <f>Datos!J178</f>
        <v>0</v>
      </c>
      <c r="J179" s="6" t="s">
        <v>16</v>
      </c>
      <c r="K179" s="6" t="s">
        <v>16</v>
      </c>
      <c r="L179" s="6" t="s">
        <v>16</v>
      </c>
      <c r="M179" s="6" t="s">
        <v>16</v>
      </c>
      <c r="N179" s="6" t="s">
        <v>16</v>
      </c>
      <c r="O179" s="6" t="s">
        <v>16</v>
      </c>
      <c r="P179" s="6" t="s">
        <v>16</v>
      </c>
      <c r="Q179" s="6" t="str">
        <f t="shared" si="3"/>
        <v>Ausencia total del riesgo, reevaluar cada 3 años con nueva identificación inicial</v>
      </c>
    </row>
    <row r="180" spans="1:17" ht="28.5">
      <c r="A180" s="70">
        <f>Datos!A179</f>
        <v>178</v>
      </c>
      <c r="B180" s="70">
        <f>Datos!B179</f>
        <v>0</v>
      </c>
      <c r="C180" s="71">
        <f>Datos!C179</f>
        <v>0</v>
      </c>
      <c r="D180" s="71">
        <f>Datos!D179</f>
        <v>0</v>
      </c>
      <c r="E180" s="71">
        <f>Datos!F179</f>
        <v>0</v>
      </c>
      <c r="F180" s="71">
        <f>Datos!G179</f>
        <v>0</v>
      </c>
      <c r="G180" s="71">
        <f>Datos!H179</f>
        <v>0</v>
      </c>
      <c r="H180" s="71">
        <f>Datos!I179</f>
        <v>0</v>
      </c>
      <c r="I180" s="71">
        <f>Datos!J179</f>
        <v>0</v>
      </c>
      <c r="J180" s="6" t="s">
        <v>16</v>
      </c>
      <c r="K180" s="6" t="s">
        <v>16</v>
      </c>
      <c r="L180" s="6" t="s">
        <v>16</v>
      </c>
      <c r="M180" s="6" t="s">
        <v>16</v>
      </c>
      <c r="N180" s="6" t="s">
        <v>16</v>
      </c>
      <c r="O180" s="6" t="s">
        <v>16</v>
      </c>
      <c r="P180" s="6" t="s">
        <v>16</v>
      </c>
      <c r="Q180" s="6" t="str">
        <f t="shared" si="3"/>
        <v>Ausencia total del riesgo, reevaluar cada 3 años con nueva identificación inicial</v>
      </c>
    </row>
    <row r="181" spans="1:17" ht="28.5">
      <c r="A181" s="70">
        <f>Datos!A180</f>
        <v>179</v>
      </c>
      <c r="B181" s="70">
        <f>Datos!B180</f>
        <v>0</v>
      </c>
      <c r="C181" s="71">
        <f>Datos!C180</f>
        <v>0</v>
      </c>
      <c r="D181" s="71">
        <f>Datos!D180</f>
        <v>0</v>
      </c>
      <c r="E181" s="71">
        <f>Datos!F180</f>
        <v>0</v>
      </c>
      <c r="F181" s="71">
        <f>Datos!G180</f>
        <v>0</v>
      </c>
      <c r="G181" s="71">
        <f>Datos!H180</f>
        <v>0</v>
      </c>
      <c r="H181" s="71">
        <f>Datos!I180</f>
        <v>0</v>
      </c>
      <c r="I181" s="71">
        <f>Datos!J180</f>
        <v>0</v>
      </c>
      <c r="J181" s="6" t="s">
        <v>16</v>
      </c>
      <c r="K181" s="6" t="s">
        <v>16</v>
      </c>
      <c r="L181" s="6" t="s">
        <v>16</v>
      </c>
      <c r="M181" s="6" t="s">
        <v>16</v>
      </c>
      <c r="N181" s="6" t="s">
        <v>16</v>
      </c>
      <c r="O181" s="6" t="s">
        <v>16</v>
      </c>
      <c r="P181" s="6" t="s">
        <v>16</v>
      </c>
      <c r="Q181" s="6" t="str">
        <f t="shared" si="3"/>
        <v>Ausencia total del riesgo, reevaluar cada 3 años con nueva identificación inicial</v>
      </c>
    </row>
    <row r="182" spans="1:17" ht="28.5">
      <c r="A182" s="70">
        <f>Datos!A181</f>
        <v>180</v>
      </c>
      <c r="B182" s="70">
        <f>Datos!B181</f>
        <v>0</v>
      </c>
      <c r="C182" s="71">
        <f>Datos!C181</f>
        <v>0</v>
      </c>
      <c r="D182" s="71">
        <f>Datos!D181</f>
        <v>0</v>
      </c>
      <c r="E182" s="71">
        <f>Datos!F181</f>
        <v>0</v>
      </c>
      <c r="F182" s="71">
        <f>Datos!G181</f>
        <v>0</v>
      </c>
      <c r="G182" s="71">
        <f>Datos!H181</f>
        <v>0</v>
      </c>
      <c r="H182" s="71">
        <f>Datos!I181</f>
        <v>0</v>
      </c>
      <c r="I182" s="71">
        <f>Datos!J181</f>
        <v>0</v>
      </c>
      <c r="J182" s="6" t="s">
        <v>16</v>
      </c>
      <c r="K182" s="6" t="s">
        <v>16</v>
      </c>
      <c r="L182" s="6" t="s">
        <v>16</v>
      </c>
      <c r="M182" s="6" t="s">
        <v>16</v>
      </c>
      <c r="N182" s="6" t="s">
        <v>16</v>
      </c>
      <c r="O182" s="6" t="s">
        <v>16</v>
      </c>
      <c r="P182" s="6" t="s">
        <v>16</v>
      </c>
      <c r="Q182" s="6" t="str">
        <f t="shared" si="3"/>
        <v>Ausencia total del riesgo, reevaluar cada 3 años con nueva identificación inicial</v>
      </c>
    </row>
    <row r="183" spans="1:17" ht="28.5">
      <c r="A183" s="70">
        <f>Datos!A182</f>
        <v>181</v>
      </c>
      <c r="B183" s="70">
        <f>Datos!B182</f>
        <v>0</v>
      </c>
      <c r="C183" s="71">
        <f>Datos!C182</f>
        <v>0</v>
      </c>
      <c r="D183" s="71">
        <f>Datos!D182</f>
        <v>0</v>
      </c>
      <c r="E183" s="71">
        <f>Datos!F182</f>
        <v>0</v>
      </c>
      <c r="F183" s="71">
        <f>Datos!G182</f>
        <v>0</v>
      </c>
      <c r="G183" s="71">
        <f>Datos!H182</f>
        <v>0</v>
      </c>
      <c r="H183" s="71">
        <f>Datos!I182</f>
        <v>0</v>
      </c>
      <c r="I183" s="71">
        <f>Datos!J182</f>
        <v>0</v>
      </c>
      <c r="J183" s="6" t="s">
        <v>16</v>
      </c>
      <c r="K183" s="6" t="s">
        <v>16</v>
      </c>
      <c r="L183" s="6" t="s">
        <v>16</v>
      </c>
      <c r="M183" s="6" t="s">
        <v>16</v>
      </c>
      <c r="N183" s="6" t="s">
        <v>16</v>
      </c>
      <c r="O183" s="6" t="s">
        <v>16</v>
      </c>
      <c r="P183" s="6" t="s">
        <v>16</v>
      </c>
      <c r="Q183" s="6" t="str">
        <f t="shared" si="3"/>
        <v>Ausencia total del riesgo, reevaluar cada 3 años con nueva identificación inicial</v>
      </c>
    </row>
    <row r="184" spans="1:17" ht="28.5">
      <c r="A184" s="70">
        <f>Datos!A183</f>
        <v>182</v>
      </c>
      <c r="B184" s="70">
        <f>Datos!B183</f>
        <v>0</v>
      </c>
      <c r="C184" s="71">
        <f>Datos!C183</f>
        <v>0</v>
      </c>
      <c r="D184" s="71">
        <f>Datos!D183</f>
        <v>0</v>
      </c>
      <c r="E184" s="71">
        <f>Datos!F183</f>
        <v>0</v>
      </c>
      <c r="F184" s="71">
        <f>Datos!G183</f>
        <v>0</v>
      </c>
      <c r="G184" s="71">
        <f>Datos!H183</f>
        <v>0</v>
      </c>
      <c r="H184" s="71">
        <f>Datos!I183</f>
        <v>0</v>
      </c>
      <c r="I184" s="71">
        <f>Datos!J183</f>
        <v>0</v>
      </c>
      <c r="J184" s="6" t="s">
        <v>16</v>
      </c>
      <c r="K184" s="6" t="s">
        <v>16</v>
      </c>
      <c r="L184" s="6" t="s">
        <v>16</v>
      </c>
      <c r="M184" s="6" t="s">
        <v>16</v>
      </c>
      <c r="N184" s="6" t="s">
        <v>16</v>
      </c>
      <c r="O184" s="6" t="s">
        <v>16</v>
      </c>
      <c r="P184" s="6" t="s">
        <v>16</v>
      </c>
      <c r="Q184" s="6" t="str">
        <f t="shared" si="3"/>
        <v>Ausencia total del riesgo, reevaluar cada 3 años con nueva identificación inicial</v>
      </c>
    </row>
    <row r="185" spans="1:17" ht="28.5">
      <c r="A185" s="70">
        <f>Datos!A184</f>
        <v>183</v>
      </c>
      <c r="B185" s="70">
        <f>Datos!B184</f>
        <v>0</v>
      </c>
      <c r="C185" s="71">
        <f>Datos!C184</f>
        <v>0</v>
      </c>
      <c r="D185" s="71">
        <f>Datos!D184</f>
        <v>0</v>
      </c>
      <c r="E185" s="71">
        <f>Datos!F184</f>
        <v>0</v>
      </c>
      <c r="F185" s="71">
        <f>Datos!G184</f>
        <v>0</v>
      </c>
      <c r="G185" s="71">
        <f>Datos!H184</f>
        <v>0</v>
      </c>
      <c r="H185" s="71">
        <f>Datos!I184</f>
        <v>0</v>
      </c>
      <c r="I185" s="71">
        <f>Datos!J184</f>
        <v>0</v>
      </c>
      <c r="J185" s="6" t="s">
        <v>16</v>
      </c>
      <c r="K185" s="6" t="s">
        <v>16</v>
      </c>
      <c r="L185" s="6" t="s">
        <v>16</v>
      </c>
      <c r="M185" s="6" t="s">
        <v>16</v>
      </c>
      <c r="N185" s="6" t="s">
        <v>16</v>
      </c>
      <c r="O185" s="6" t="s">
        <v>16</v>
      </c>
      <c r="P185" s="6" t="s">
        <v>16</v>
      </c>
      <c r="Q185" s="6" t="str">
        <f t="shared" si="3"/>
        <v>Ausencia total del riesgo, reevaluar cada 3 años con nueva identificación inicial</v>
      </c>
    </row>
    <row r="186" spans="1:17" ht="28.5">
      <c r="A186" s="70">
        <f>Datos!A185</f>
        <v>184</v>
      </c>
      <c r="B186" s="70">
        <f>Datos!B185</f>
        <v>0</v>
      </c>
      <c r="C186" s="71">
        <f>Datos!C185</f>
        <v>0</v>
      </c>
      <c r="D186" s="71">
        <f>Datos!D185</f>
        <v>0</v>
      </c>
      <c r="E186" s="71">
        <f>Datos!F185</f>
        <v>0</v>
      </c>
      <c r="F186" s="71">
        <f>Datos!G185</f>
        <v>0</v>
      </c>
      <c r="G186" s="71">
        <f>Datos!H185</f>
        <v>0</v>
      </c>
      <c r="H186" s="71">
        <f>Datos!I185</f>
        <v>0</v>
      </c>
      <c r="I186" s="71">
        <f>Datos!J185</f>
        <v>0</v>
      </c>
      <c r="J186" s="6" t="s">
        <v>16</v>
      </c>
      <c r="K186" s="6" t="s">
        <v>16</v>
      </c>
      <c r="L186" s="6" t="s">
        <v>16</v>
      </c>
      <c r="M186" s="6" t="s">
        <v>16</v>
      </c>
      <c r="N186" s="6" t="s">
        <v>16</v>
      </c>
      <c r="O186" s="6" t="s">
        <v>16</v>
      </c>
      <c r="P186" s="6" t="s">
        <v>16</v>
      </c>
      <c r="Q186" s="6" t="str">
        <f t="shared" si="3"/>
        <v>Ausencia total del riesgo, reevaluar cada 3 años con nueva identificación inicial</v>
      </c>
    </row>
    <row r="187" spans="1:17" ht="28.5">
      <c r="A187" s="70">
        <f>Datos!A186</f>
        <v>185</v>
      </c>
      <c r="B187" s="70">
        <f>Datos!B186</f>
        <v>0</v>
      </c>
      <c r="C187" s="71">
        <f>Datos!C186</f>
        <v>0</v>
      </c>
      <c r="D187" s="71">
        <f>Datos!D186</f>
        <v>0</v>
      </c>
      <c r="E187" s="71">
        <f>Datos!F186</f>
        <v>0</v>
      </c>
      <c r="F187" s="71">
        <f>Datos!G186</f>
        <v>0</v>
      </c>
      <c r="G187" s="71">
        <f>Datos!H186</f>
        <v>0</v>
      </c>
      <c r="H187" s="71">
        <f>Datos!I186</f>
        <v>0</v>
      </c>
      <c r="I187" s="71">
        <f>Datos!J186</f>
        <v>0</v>
      </c>
      <c r="J187" s="6" t="s">
        <v>16</v>
      </c>
      <c r="K187" s="6" t="s">
        <v>16</v>
      </c>
      <c r="L187" s="6" t="s">
        <v>16</v>
      </c>
      <c r="M187" s="6" t="s">
        <v>16</v>
      </c>
      <c r="N187" s="6" t="s">
        <v>16</v>
      </c>
      <c r="O187" s="6" t="s">
        <v>16</v>
      </c>
      <c r="P187" s="6" t="s">
        <v>16</v>
      </c>
      <c r="Q187" s="6" t="str">
        <f t="shared" si="3"/>
        <v>Ausencia total del riesgo, reevaluar cada 3 años con nueva identificación inicial</v>
      </c>
    </row>
    <row r="188" spans="1:17" ht="28.5">
      <c r="A188" s="70">
        <f>Datos!A187</f>
        <v>186</v>
      </c>
      <c r="B188" s="70">
        <f>Datos!B187</f>
        <v>0</v>
      </c>
      <c r="C188" s="71">
        <f>Datos!C187</f>
        <v>0</v>
      </c>
      <c r="D188" s="71">
        <f>Datos!D187</f>
        <v>0</v>
      </c>
      <c r="E188" s="71">
        <f>Datos!F187</f>
        <v>0</v>
      </c>
      <c r="F188" s="71">
        <f>Datos!G187</f>
        <v>0</v>
      </c>
      <c r="G188" s="71">
        <f>Datos!H187</f>
        <v>0</v>
      </c>
      <c r="H188" s="71">
        <f>Datos!I187</f>
        <v>0</v>
      </c>
      <c r="I188" s="71">
        <f>Datos!J187</f>
        <v>0</v>
      </c>
      <c r="J188" s="6" t="s">
        <v>16</v>
      </c>
      <c r="K188" s="6" t="s">
        <v>16</v>
      </c>
      <c r="L188" s="6" t="s">
        <v>16</v>
      </c>
      <c r="M188" s="6" t="s">
        <v>16</v>
      </c>
      <c r="N188" s="6" t="s">
        <v>16</v>
      </c>
      <c r="O188" s="6" t="s">
        <v>16</v>
      </c>
      <c r="P188" s="6" t="s">
        <v>16</v>
      </c>
      <c r="Q188" s="6" t="str">
        <f t="shared" si="3"/>
        <v>Ausencia total del riesgo, reevaluar cada 3 años con nueva identificación inicial</v>
      </c>
    </row>
    <row r="189" spans="1:17" ht="28.5">
      <c r="A189" s="70">
        <f>Datos!A188</f>
        <v>187</v>
      </c>
      <c r="B189" s="70">
        <f>Datos!B188</f>
        <v>0</v>
      </c>
      <c r="C189" s="71">
        <f>Datos!C188</f>
        <v>0</v>
      </c>
      <c r="D189" s="71">
        <f>Datos!D188</f>
        <v>0</v>
      </c>
      <c r="E189" s="71">
        <f>Datos!F188</f>
        <v>0</v>
      </c>
      <c r="F189" s="71">
        <f>Datos!G188</f>
        <v>0</v>
      </c>
      <c r="G189" s="71">
        <f>Datos!H188</f>
        <v>0</v>
      </c>
      <c r="H189" s="71">
        <f>Datos!I188</f>
        <v>0</v>
      </c>
      <c r="I189" s="71">
        <f>Datos!J188</f>
        <v>0</v>
      </c>
      <c r="J189" s="6" t="s">
        <v>16</v>
      </c>
      <c r="K189" s="6" t="s">
        <v>16</v>
      </c>
      <c r="L189" s="6" t="s">
        <v>16</v>
      </c>
      <c r="M189" s="6" t="s">
        <v>16</v>
      </c>
      <c r="N189" s="6" t="s">
        <v>16</v>
      </c>
      <c r="O189" s="6" t="s">
        <v>16</v>
      </c>
      <c r="P189" s="6" t="s">
        <v>16</v>
      </c>
      <c r="Q189" s="6" t="str">
        <f t="shared" si="3"/>
        <v>Ausencia total del riesgo, reevaluar cada 3 años con nueva identificación inicial</v>
      </c>
    </row>
    <row r="190" spans="1:17" ht="28.5">
      <c r="A190" s="70">
        <f>Datos!A189</f>
        <v>188</v>
      </c>
      <c r="B190" s="70">
        <f>Datos!B189</f>
        <v>0</v>
      </c>
      <c r="C190" s="71">
        <f>Datos!C189</f>
        <v>0</v>
      </c>
      <c r="D190" s="71">
        <f>Datos!D189</f>
        <v>0</v>
      </c>
      <c r="E190" s="71">
        <f>Datos!F189</f>
        <v>0</v>
      </c>
      <c r="F190" s="71">
        <f>Datos!G189</f>
        <v>0</v>
      </c>
      <c r="G190" s="71">
        <f>Datos!H189</f>
        <v>0</v>
      </c>
      <c r="H190" s="71">
        <f>Datos!I189</f>
        <v>0</v>
      </c>
      <c r="I190" s="71">
        <f>Datos!J189</f>
        <v>0</v>
      </c>
      <c r="J190" s="6" t="s">
        <v>16</v>
      </c>
      <c r="K190" s="6" t="s">
        <v>16</v>
      </c>
      <c r="L190" s="6" t="s">
        <v>16</v>
      </c>
      <c r="M190" s="6" t="s">
        <v>16</v>
      </c>
      <c r="N190" s="6" t="s">
        <v>16</v>
      </c>
      <c r="O190" s="6" t="s">
        <v>16</v>
      </c>
      <c r="P190" s="6" t="s">
        <v>16</v>
      </c>
      <c r="Q190" s="6" t="str">
        <f t="shared" si="3"/>
        <v>Ausencia total del riesgo, reevaluar cada 3 años con nueva identificación inicial</v>
      </c>
    </row>
    <row r="191" spans="1:17" ht="28.5">
      <c r="A191" s="70">
        <f>Datos!A190</f>
        <v>189</v>
      </c>
      <c r="B191" s="70">
        <f>Datos!B190</f>
        <v>0</v>
      </c>
      <c r="C191" s="71">
        <f>Datos!C190</f>
        <v>0</v>
      </c>
      <c r="D191" s="71">
        <f>Datos!D190</f>
        <v>0</v>
      </c>
      <c r="E191" s="71">
        <f>Datos!F190</f>
        <v>0</v>
      </c>
      <c r="F191" s="71">
        <f>Datos!G190</f>
        <v>0</v>
      </c>
      <c r="G191" s="71">
        <f>Datos!H190</f>
        <v>0</v>
      </c>
      <c r="H191" s="71">
        <f>Datos!I190</f>
        <v>0</v>
      </c>
      <c r="I191" s="71">
        <f>Datos!J190</f>
        <v>0</v>
      </c>
      <c r="J191" s="6" t="s">
        <v>16</v>
      </c>
      <c r="K191" s="6" t="s">
        <v>16</v>
      </c>
      <c r="L191" s="6" t="s">
        <v>16</v>
      </c>
      <c r="M191" s="6" t="s">
        <v>16</v>
      </c>
      <c r="N191" s="6" t="s">
        <v>16</v>
      </c>
      <c r="O191" s="6" t="s">
        <v>16</v>
      </c>
      <c r="P191" s="6" t="s">
        <v>16</v>
      </c>
      <c r="Q191" s="6" t="str">
        <f t="shared" si="3"/>
        <v>Ausencia total del riesgo, reevaluar cada 3 años con nueva identificación inicial</v>
      </c>
    </row>
    <row r="192" spans="1:17" ht="28.5">
      <c r="A192" s="70">
        <f>Datos!A191</f>
        <v>190</v>
      </c>
      <c r="B192" s="70">
        <f>Datos!B191</f>
        <v>0</v>
      </c>
      <c r="C192" s="71">
        <f>Datos!C191</f>
        <v>0</v>
      </c>
      <c r="D192" s="71">
        <f>Datos!D191</f>
        <v>0</v>
      </c>
      <c r="E192" s="71">
        <f>Datos!F191</f>
        <v>0</v>
      </c>
      <c r="F192" s="71">
        <f>Datos!G191</f>
        <v>0</v>
      </c>
      <c r="G192" s="71">
        <f>Datos!H191</f>
        <v>0</v>
      </c>
      <c r="H192" s="71">
        <f>Datos!I191</f>
        <v>0</v>
      </c>
      <c r="I192" s="71">
        <f>Datos!J191</f>
        <v>0</v>
      </c>
      <c r="J192" s="6" t="s">
        <v>16</v>
      </c>
      <c r="K192" s="6" t="s">
        <v>16</v>
      </c>
      <c r="L192" s="6" t="s">
        <v>16</v>
      </c>
      <c r="M192" s="6" t="s">
        <v>16</v>
      </c>
      <c r="N192" s="6" t="s">
        <v>16</v>
      </c>
      <c r="O192" s="6" t="s">
        <v>16</v>
      </c>
      <c r="P192" s="6" t="s">
        <v>16</v>
      </c>
      <c r="Q192" s="6" t="str">
        <f t="shared" si="3"/>
        <v>Ausencia total del riesgo, reevaluar cada 3 años con nueva identificación inicial</v>
      </c>
    </row>
    <row r="193" spans="1:17" ht="28.5">
      <c r="A193" s="70">
        <f>Datos!A192</f>
        <v>191</v>
      </c>
      <c r="B193" s="70">
        <f>Datos!B192</f>
        <v>0</v>
      </c>
      <c r="C193" s="71">
        <f>Datos!C192</f>
        <v>0</v>
      </c>
      <c r="D193" s="71">
        <f>Datos!D192</f>
        <v>0</v>
      </c>
      <c r="E193" s="71">
        <f>Datos!F192</f>
        <v>0</v>
      </c>
      <c r="F193" s="71">
        <f>Datos!G192</f>
        <v>0</v>
      </c>
      <c r="G193" s="71">
        <f>Datos!H192</f>
        <v>0</v>
      </c>
      <c r="H193" s="71">
        <f>Datos!I192</f>
        <v>0</v>
      </c>
      <c r="I193" s="71">
        <f>Datos!J192</f>
        <v>0</v>
      </c>
      <c r="J193" s="6" t="s">
        <v>16</v>
      </c>
      <c r="K193" s="6" t="s">
        <v>16</v>
      </c>
      <c r="L193" s="6" t="s">
        <v>16</v>
      </c>
      <c r="M193" s="6" t="s">
        <v>16</v>
      </c>
      <c r="N193" s="6" t="s">
        <v>16</v>
      </c>
      <c r="O193" s="6" t="s">
        <v>16</v>
      </c>
      <c r="P193" s="6" t="s">
        <v>16</v>
      </c>
      <c r="Q193" s="6" t="str">
        <f t="shared" si="3"/>
        <v>Ausencia total del riesgo, reevaluar cada 3 años con nueva identificación inicial</v>
      </c>
    </row>
    <row r="194" spans="1:17" ht="28.5">
      <c r="A194" s="70">
        <f>Datos!A193</f>
        <v>192</v>
      </c>
      <c r="B194" s="70">
        <f>Datos!B193</f>
        <v>0</v>
      </c>
      <c r="C194" s="71">
        <f>Datos!C193</f>
        <v>0</v>
      </c>
      <c r="D194" s="71">
        <f>Datos!D193</f>
        <v>0</v>
      </c>
      <c r="E194" s="71">
        <f>Datos!F193</f>
        <v>0</v>
      </c>
      <c r="F194" s="71">
        <f>Datos!G193</f>
        <v>0</v>
      </c>
      <c r="G194" s="71">
        <f>Datos!H193</f>
        <v>0</v>
      </c>
      <c r="H194" s="71">
        <f>Datos!I193</f>
        <v>0</v>
      </c>
      <c r="I194" s="71">
        <f>Datos!J193</f>
        <v>0</v>
      </c>
      <c r="J194" s="6" t="s">
        <v>16</v>
      </c>
      <c r="K194" s="6" t="s">
        <v>16</v>
      </c>
      <c r="L194" s="6" t="s">
        <v>16</v>
      </c>
      <c r="M194" s="6" t="s">
        <v>16</v>
      </c>
      <c r="N194" s="6" t="s">
        <v>16</v>
      </c>
      <c r="O194" s="6" t="s">
        <v>16</v>
      </c>
      <c r="P194" s="6" t="s">
        <v>16</v>
      </c>
      <c r="Q194" s="6" t="str">
        <f t="shared" si="3"/>
        <v>Ausencia total del riesgo, reevaluar cada 3 años con nueva identificación inicial</v>
      </c>
    </row>
    <row r="195" spans="1:17" ht="28.5">
      <c r="A195" s="70">
        <f>Datos!A194</f>
        <v>193</v>
      </c>
      <c r="B195" s="70">
        <f>Datos!B194</f>
        <v>0</v>
      </c>
      <c r="C195" s="71">
        <f>Datos!C194</f>
        <v>0</v>
      </c>
      <c r="D195" s="71">
        <f>Datos!D194</f>
        <v>0</v>
      </c>
      <c r="E195" s="71">
        <f>Datos!F194</f>
        <v>0</v>
      </c>
      <c r="F195" s="71">
        <f>Datos!G194</f>
        <v>0</v>
      </c>
      <c r="G195" s="71">
        <f>Datos!H194</f>
        <v>0</v>
      </c>
      <c r="H195" s="71">
        <f>Datos!I194</f>
        <v>0</v>
      </c>
      <c r="I195" s="71">
        <f>Datos!J194</f>
        <v>0</v>
      </c>
      <c r="J195" s="6" t="s">
        <v>16</v>
      </c>
      <c r="K195" s="6" t="s">
        <v>16</v>
      </c>
      <c r="L195" s="6" t="s">
        <v>16</v>
      </c>
      <c r="M195" s="6" t="s">
        <v>16</v>
      </c>
      <c r="N195" s="6" t="s">
        <v>16</v>
      </c>
      <c r="O195" s="6" t="s">
        <v>16</v>
      </c>
      <c r="P195" s="6" t="s">
        <v>16</v>
      </c>
      <c r="Q195" s="6" t="str">
        <f t="shared" si="3"/>
        <v>Ausencia total del riesgo, reevaluar cada 3 años con nueva identificación inicial</v>
      </c>
    </row>
    <row r="196" spans="1:17" ht="28.5">
      <c r="A196" s="70">
        <f>Datos!A195</f>
        <v>194</v>
      </c>
      <c r="B196" s="70">
        <f>Datos!B195</f>
        <v>0</v>
      </c>
      <c r="C196" s="71">
        <f>Datos!C195</f>
        <v>0</v>
      </c>
      <c r="D196" s="71">
        <f>Datos!D195</f>
        <v>0</v>
      </c>
      <c r="E196" s="71">
        <f>Datos!F195</f>
        <v>0</v>
      </c>
      <c r="F196" s="71">
        <f>Datos!G195</f>
        <v>0</v>
      </c>
      <c r="G196" s="71">
        <f>Datos!H195</f>
        <v>0</v>
      </c>
      <c r="H196" s="71">
        <f>Datos!I195</f>
        <v>0</v>
      </c>
      <c r="I196" s="71">
        <f>Datos!J195</f>
        <v>0</v>
      </c>
      <c r="J196" s="6" t="s">
        <v>16</v>
      </c>
      <c r="K196" s="6" t="s">
        <v>16</v>
      </c>
      <c r="L196" s="6" t="s">
        <v>16</v>
      </c>
      <c r="M196" s="6" t="s">
        <v>16</v>
      </c>
      <c r="N196" s="6" t="s">
        <v>16</v>
      </c>
      <c r="O196" s="6" t="s">
        <v>16</v>
      </c>
      <c r="P196" s="6" t="s">
        <v>16</v>
      </c>
      <c r="Q196" s="6" t="str">
        <f t="shared" si="3"/>
        <v>Ausencia total del riesgo, reevaluar cada 3 años con nueva identificación inicial</v>
      </c>
    </row>
    <row r="197" spans="1:17" ht="28.5">
      <c r="A197" s="70">
        <f>Datos!A196</f>
        <v>195</v>
      </c>
      <c r="B197" s="70">
        <f>Datos!B196</f>
        <v>0</v>
      </c>
      <c r="C197" s="71">
        <f>Datos!C196</f>
        <v>0</v>
      </c>
      <c r="D197" s="71">
        <f>Datos!D196</f>
        <v>0</v>
      </c>
      <c r="E197" s="71">
        <f>Datos!F196</f>
        <v>0</v>
      </c>
      <c r="F197" s="71">
        <f>Datos!G196</f>
        <v>0</v>
      </c>
      <c r="G197" s="71">
        <f>Datos!H196</f>
        <v>0</v>
      </c>
      <c r="H197" s="71">
        <f>Datos!I196</f>
        <v>0</v>
      </c>
      <c r="I197" s="71">
        <f>Datos!J196</f>
        <v>0</v>
      </c>
      <c r="J197" s="6" t="s">
        <v>16</v>
      </c>
      <c r="K197" s="6" t="s">
        <v>16</v>
      </c>
      <c r="L197" s="6" t="s">
        <v>16</v>
      </c>
      <c r="M197" s="6" t="s">
        <v>16</v>
      </c>
      <c r="N197" s="6" t="s">
        <v>16</v>
      </c>
      <c r="O197" s="6" t="s">
        <v>16</v>
      </c>
      <c r="P197" s="6" t="s">
        <v>16</v>
      </c>
      <c r="Q197" s="6" t="str">
        <f t="shared" si="3"/>
        <v>Ausencia total del riesgo, reevaluar cada 3 años con nueva identificación inicial</v>
      </c>
    </row>
    <row r="198" spans="1:17" ht="28.5">
      <c r="A198" s="70">
        <f>Datos!A197</f>
        <v>196</v>
      </c>
      <c r="B198" s="70">
        <f>Datos!B197</f>
        <v>0</v>
      </c>
      <c r="C198" s="71">
        <f>Datos!C197</f>
        <v>0</v>
      </c>
      <c r="D198" s="71">
        <f>Datos!D197</f>
        <v>0</v>
      </c>
      <c r="E198" s="71">
        <f>Datos!F197</f>
        <v>0</v>
      </c>
      <c r="F198" s="71">
        <f>Datos!G197</f>
        <v>0</v>
      </c>
      <c r="G198" s="71">
        <f>Datos!H197</f>
        <v>0</v>
      </c>
      <c r="H198" s="71">
        <f>Datos!I197</f>
        <v>0</v>
      </c>
      <c r="I198" s="71">
        <f>Datos!J197</f>
        <v>0</v>
      </c>
      <c r="J198" s="6" t="s">
        <v>16</v>
      </c>
      <c r="K198" s="6" t="s">
        <v>16</v>
      </c>
      <c r="L198" s="6" t="s">
        <v>16</v>
      </c>
      <c r="M198" s="6" t="s">
        <v>16</v>
      </c>
      <c r="N198" s="6" t="s">
        <v>16</v>
      </c>
      <c r="O198" s="6" t="s">
        <v>16</v>
      </c>
      <c r="P198" s="6" t="s">
        <v>16</v>
      </c>
      <c r="Q198" s="6" t="str">
        <f t="shared" si="3"/>
        <v>Ausencia total del riesgo, reevaluar cada 3 años con nueva identificación inicial</v>
      </c>
    </row>
    <row r="199" spans="1:17" ht="28.5">
      <c r="A199" s="70">
        <f>Datos!A198</f>
        <v>197</v>
      </c>
      <c r="B199" s="70">
        <f>Datos!B198</f>
        <v>0</v>
      </c>
      <c r="C199" s="71">
        <f>Datos!C198</f>
        <v>0</v>
      </c>
      <c r="D199" s="71">
        <f>Datos!D198</f>
        <v>0</v>
      </c>
      <c r="E199" s="71">
        <f>Datos!F198</f>
        <v>0</v>
      </c>
      <c r="F199" s="71">
        <f>Datos!G198</f>
        <v>0</v>
      </c>
      <c r="G199" s="71">
        <f>Datos!H198</f>
        <v>0</v>
      </c>
      <c r="H199" s="71">
        <f>Datos!I198</f>
        <v>0</v>
      </c>
      <c r="I199" s="71">
        <f>Datos!J198</f>
        <v>0</v>
      </c>
      <c r="J199" s="6" t="s">
        <v>16</v>
      </c>
      <c r="K199" s="6" t="s">
        <v>16</v>
      </c>
      <c r="L199" s="6" t="s">
        <v>16</v>
      </c>
      <c r="M199" s="6" t="s">
        <v>16</v>
      </c>
      <c r="N199" s="6" t="s">
        <v>16</v>
      </c>
      <c r="O199" s="6" t="s">
        <v>16</v>
      </c>
      <c r="P199" s="6" t="s">
        <v>16</v>
      </c>
      <c r="Q199" s="6" t="str">
        <f t="shared" si="3"/>
        <v>Ausencia total del riesgo, reevaluar cada 3 años con nueva identificación inicial</v>
      </c>
    </row>
    <row r="200" spans="1:17" ht="28.5">
      <c r="A200" s="70">
        <f>Datos!A199</f>
        <v>198</v>
      </c>
      <c r="B200" s="70">
        <f>Datos!B199</f>
        <v>0</v>
      </c>
      <c r="C200" s="71">
        <f>Datos!C199</f>
        <v>0</v>
      </c>
      <c r="D200" s="71">
        <f>Datos!D199</f>
        <v>0</v>
      </c>
      <c r="E200" s="71">
        <f>Datos!F199</f>
        <v>0</v>
      </c>
      <c r="F200" s="71">
        <f>Datos!G199</f>
        <v>0</v>
      </c>
      <c r="G200" s="71">
        <f>Datos!H199</f>
        <v>0</v>
      </c>
      <c r="H200" s="71">
        <f>Datos!I199</f>
        <v>0</v>
      </c>
      <c r="I200" s="71">
        <f>Datos!J199</f>
        <v>0</v>
      </c>
      <c r="J200" s="6" t="s">
        <v>16</v>
      </c>
      <c r="K200" s="6" t="s">
        <v>16</v>
      </c>
      <c r="L200" s="6" t="s">
        <v>16</v>
      </c>
      <c r="M200" s="6" t="s">
        <v>16</v>
      </c>
      <c r="N200" s="6" t="s">
        <v>16</v>
      </c>
      <c r="O200" s="6" t="s">
        <v>16</v>
      </c>
      <c r="P200" s="6" t="s">
        <v>16</v>
      </c>
      <c r="Q200" s="6" t="str">
        <f t="shared" si="3"/>
        <v>Ausencia total del riesgo, reevaluar cada 3 años con nueva identificación inicial</v>
      </c>
    </row>
    <row r="201" spans="1:17" ht="28.5">
      <c r="A201" s="70">
        <f>Datos!A200</f>
        <v>199</v>
      </c>
      <c r="B201" s="70">
        <f>Datos!B200</f>
        <v>0</v>
      </c>
      <c r="C201" s="71">
        <f>Datos!C200</f>
        <v>0</v>
      </c>
      <c r="D201" s="71">
        <f>Datos!D200</f>
        <v>0</v>
      </c>
      <c r="E201" s="71">
        <f>Datos!F200</f>
        <v>0</v>
      </c>
      <c r="F201" s="71">
        <f>Datos!G200</f>
        <v>0</v>
      </c>
      <c r="G201" s="71">
        <f>Datos!H200</f>
        <v>0</v>
      </c>
      <c r="H201" s="71">
        <f>Datos!I200</f>
        <v>0</v>
      </c>
      <c r="I201" s="71">
        <f>Datos!J200</f>
        <v>0</v>
      </c>
      <c r="J201" s="6" t="s">
        <v>16</v>
      </c>
      <c r="K201" s="6" t="s">
        <v>16</v>
      </c>
      <c r="L201" s="6" t="s">
        <v>16</v>
      </c>
      <c r="M201" s="6" t="s">
        <v>16</v>
      </c>
      <c r="N201" s="6" t="s">
        <v>16</v>
      </c>
      <c r="O201" s="6" t="s">
        <v>16</v>
      </c>
      <c r="P201" s="6" t="s">
        <v>16</v>
      </c>
      <c r="Q201" s="6" t="str">
        <f t="shared" si="3"/>
        <v>Ausencia total del riesgo, reevaluar cada 3 años con nueva identificación inicial</v>
      </c>
    </row>
    <row r="202" spans="1:17" ht="28.5">
      <c r="A202" s="70">
        <f>Datos!A201</f>
        <v>200</v>
      </c>
      <c r="B202" s="70">
        <f>Datos!B201</f>
        <v>0</v>
      </c>
      <c r="C202" s="71">
        <f>Datos!C201</f>
        <v>0</v>
      </c>
      <c r="D202" s="71">
        <f>Datos!D201</f>
        <v>0</v>
      </c>
      <c r="E202" s="71">
        <f>Datos!F201</f>
        <v>0</v>
      </c>
      <c r="F202" s="71">
        <f>Datos!G201</f>
        <v>0</v>
      </c>
      <c r="G202" s="71">
        <f>Datos!H201</f>
        <v>0</v>
      </c>
      <c r="H202" s="71">
        <f>Datos!I201</f>
        <v>0</v>
      </c>
      <c r="I202" s="71">
        <f>Datos!J201</f>
        <v>0</v>
      </c>
      <c r="J202" s="6" t="s">
        <v>16</v>
      </c>
      <c r="K202" s="6" t="s">
        <v>16</v>
      </c>
      <c r="L202" s="6" t="s">
        <v>16</v>
      </c>
      <c r="M202" s="6" t="s">
        <v>16</v>
      </c>
      <c r="N202" s="6" t="s">
        <v>16</v>
      </c>
      <c r="O202" s="6" t="s">
        <v>16</v>
      </c>
      <c r="P202" s="6" t="s">
        <v>16</v>
      </c>
      <c r="Q202" s="6" t="str">
        <f t="shared" si="3"/>
        <v>Ausencia total del riesgo, reevaluar cada 3 años con nueva identificación inicial</v>
      </c>
    </row>
    <row r="203" spans="1:17" ht="28.5">
      <c r="A203" s="70">
        <f>Datos!A202</f>
        <v>201</v>
      </c>
      <c r="B203" s="70">
        <f>Datos!B202</f>
        <v>0</v>
      </c>
      <c r="C203" s="71">
        <f>Datos!C202</f>
        <v>0</v>
      </c>
      <c r="D203" s="71">
        <f>Datos!D202</f>
        <v>0</v>
      </c>
      <c r="E203" s="71">
        <f>Datos!F202</f>
        <v>0</v>
      </c>
      <c r="F203" s="71">
        <f>Datos!G202</f>
        <v>0</v>
      </c>
      <c r="G203" s="71">
        <f>Datos!H202</f>
        <v>0</v>
      </c>
      <c r="H203" s="71">
        <f>Datos!I202</f>
        <v>0</v>
      </c>
      <c r="I203" s="71">
        <f>Datos!J202</f>
        <v>0</v>
      </c>
      <c r="J203" s="6" t="s">
        <v>16</v>
      </c>
      <c r="K203" s="6" t="s">
        <v>16</v>
      </c>
      <c r="L203" s="6" t="s">
        <v>16</v>
      </c>
      <c r="M203" s="6" t="s">
        <v>16</v>
      </c>
      <c r="N203" s="6" t="s">
        <v>16</v>
      </c>
      <c r="O203" s="6" t="s">
        <v>16</v>
      </c>
      <c r="P203" s="6" t="s">
        <v>16</v>
      </c>
      <c r="Q203" s="6" t="str">
        <f t="shared" si="3"/>
        <v>Ausencia total del riesgo, reevaluar cada 3 años con nueva identificación inicial</v>
      </c>
    </row>
    <row r="204" spans="1:17" ht="28.5">
      <c r="A204" s="70">
        <f>Datos!A203</f>
        <v>202</v>
      </c>
      <c r="B204" s="70">
        <f>Datos!B203</f>
        <v>0</v>
      </c>
      <c r="C204" s="71">
        <f>Datos!C203</f>
        <v>0</v>
      </c>
      <c r="D204" s="71">
        <f>Datos!D203</f>
        <v>0</v>
      </c>
      <c r="E204" s="71">
        <f>Datos!F203</f>
        <v>0</v>
      </c>
      <c r="F204" s="71">
        <f>Datos!G203</f>
        <v>0</v>
      </c>
      <c r="G204" s="71">
        <f>Datos!H203</f>
        <v>0</v>
      </c>
      <c r="H204" s="71">
        <f>Datos!I203</f>
        <v>0</v>
      </c>
      <c r="I204" s="71">
        <f>Datos!J203</f>
        <v>0</v>
      </c>
      <c r="J204" s="6" t="s">
        <v>16</v>
      </c>
      <c r="K204" s="6" t="s">
        <v>16</v>
      </c>
      <c r="L204" s="6" t="s">
        <v>16</v>
      </c>
      <c r="M204" s="6" t="s">
        <v>16</v>
      </c>
      <c r="N204" s="6" t="s">
        <v>16</v>
      </c>
      <c r="O204" s="6" t="s">
        <v>16</v>
      </c>
      <c r="P204" s="6" t="s">
        <v>16</v>
      </c>
      <c r="Q204" s="6" t="str">
        <f t="shared" si="3"/>
        <v>Ausencia total del riesgo, reevaluar cada 3 años con nueva identificación inicial</v>
      </c>
    </row>
    <row r="205" spans="1:17" ht="28.5">
      <c r="A205" s="70">
        <f>Datos!A204</f>
        <v>203</v>
      </c>
      <c r="B205" s="70">
        <f>Datos!B204</f>
        <v>0</v>
      </c>
      <c r="C205" s="71">
        <f>Datos!C204</f>
        <v>0</v>
      </c>
      <c r="D205" s="71">
        <f>Datos!D204</f>
        <v>0</v>
      </c>
      <c r="E205" s="71">
        <f>Datos!F204</f>
        <v>0</v>
      </c>
      <c r="F205" s="71">
        <f>Datos!G204</f>
        <v>0</v>
      </c>
      <c r="G205" s="71">
        <f>Datos!H204</f>
        <v>0</v>
      </c>
      <c r="H205" s="71">
        <f>Datos!I204</f>
        <v>0</v>
      </c>
      <c r="I205" s="71">
        <f>Datos!J204</f>
        <v>0</v>
      </c>
      <c r="J205" s="6" t="s">
        <v>16</v>
      </c>
      <c r="K205" s="6" t="s">
        <v>16</v>
      </c>
      <c r="L205" s="6" t="s">
        <v>16</v>
      </c>
      <c r="M205" s="6" t="s">
        <v>16</v>
      </c>
      <c r="N205" s="6" t="s">
        <v>16</v>
      </c>
      <c r="O205" s="6" t="s">
        <v>16</v>
      </c>
      <c r="P205" s="6" t="s">
        <v>16</v>
      </c>
      <c r="Q205" s="6" t="str">
        <f t="shared" si="3"/>
        <v>Ausencia total del riesgo, reevaluar cada 3 años con nueva identificación inicial</v>
      </c>
    </row>
    <row r="206" spans="1:17" ht="28.5">
      <c r="A206" s="70">
        <f>Datos!A205</f>
        <v>204</v>
      </c>
      <c r="B206" s="70">
        <f>Datos!B205</f>
        <v>0</v>
      </c>
      <c r="C206" s="71">
        <f>Datos!C205</f>
        <v>0</v>
      </c>
      <c r="D206" s="71">
        <f>Datos!D205</f>
        <v>0</v>
      </c>
      <c r="E206" s="71">
        <f>Datos!F205</f>
        <v>0</v>
      </c>
      <c r="F206" s="71">
        <f>Datos!G205</f>
        <v>0</v>
      </c>
      <c r="G206" s="71">
        <f>Datos!H205</f>
        <v>0</v>
      </c>
      <c r="H206" s="71">
        <f>Datos!I205</f>
        <v>0</v>
      </c>
      <c r="I206" s="71">
        <f>Datos!J205</f>
        <v>0</v>
      </c>
      <c r="J206" s="6" t="s">
        <v>16</v>
      </c>
      <c r="K206" s="6" t="s">
        <v>16</v>
      </c>
      <c r="L206" s="6" t="s">
        <v>16</v>
      </c>
      <c r="M206" s="6" t="s">
        <v>16</v>
      </c>
      <c r="N206" s="6" t="s">
        <v>16</v>
      </c>
      <c r="O206" s="6" t="s">
        <v>16</v>
      </c>
      <c r="P206" s="6" t="s">
        <v>16</v>
      </c>
      <c r="Q206" s="6" t="str">
        <f t="shared" si="3"/>
        <v>Ausencia total del riesgo, reevaluar cada 3 años con nueva identificación inicial</v>
      </c>
    </row>
    <row r="207" spans="1:17" ht="28.5">
      <c r="A207" s="70">
        <f>Datos!A206</f>
        <v>205</v>
      </c>
      <c r="B207" s="70">
        <f>Datos!B206</f>
        <v>0</v>
      </c>
      <c r="C207" s="71">
        <f>Datos!C206</f>
        <v>0</v>
      </c>
      <c r="D207" s="71">
        <f>Datos!D206</f>
        <v>0</v>
      </c>
      <c r="E207" s="71">
        <f>Datos!F206</f>
        <v>0</v>
      </c>
      <c r="F207" s="71">
        <f>Datos!G206</f>
        <v>0</v>
      </c>
      <c r="G207" s="71">
        <f>Datos!H206</f>
        <v>0</v>
      </c>
      <c r="H207" s="71">
        <f>Datos!I206</f>
        <v>0</v>
      </c>
      <c r="I207" s="71">
        <f>Datos!J206</f>
        <v>0</v>
      </c>
      <c r="J207" s="6" t="s">
        <v>16</v>
      </c>
      <c r="K207" s="6" t="s">
        <v>16</v>
      </c>
      <c r="L207" s="6" t="s">
        <v>16</v>
      </c>
      <c r="M207" s="6" t="s">
        <v>16</v>
      </c>
      <c r="N207" s="6" t="s">
        <v>16</v>
      </c>
      <c r="O207" s="6" t="s">
        <v>16</v>
      </c>
      <c r="P207" s="6" t="s">
        <v>16</v>
      </c>
      <c r="Q207" s="6" t="str">
        <f t="shared" si="3"/>
        <v>Ausencia total del riesgo, reevaluar cada 3 años con nueva identificación inicial</v>
      </c>
    </row>
    <row r="208" spans="1:17" ht="28.5">
      <c r="A208" s="70">
        <f>Datos!A207</f>
        <v>206</v>
      </c>
      <c r="B208" s="70">
        <f>Datos!B207</f>
        <v>0</v>
      </c>
      <c r="C208" s="71">
        <f>Datos!C207</f>
        <v>0</v>
      </c>
      <c r="D208" s="71">
        <f>Datos!D207</f>
        <v>0</v>
      </c>
      <c r="E208" s="71">
        <f>Datos!F207</f>
        <v>0</v>
      </c>
      <c r="F208" s="71">
        <f>Datos!G207</f>
        <v>0</v>
      </c>
      <c r="G208" s="71">
        <f>Datos!H207</f>
        <v>0</v>
      </c>
      <c r="H208" s="71">
        <f>Datos!I207</f>
        <v>0</v>
      </c>
      <c r="I208" s="71">
        <f>Datos!J207</f>
        <v>0</v>
      </c>
      <c r="J208" s="6" t="s">
        <v>16</v>
      </c>
      <c r="K208" s="6" t="s">
        <v>16</v>
      </c>
      <c r="L208" s="6" t="s">
        <v>16</v>
      </c>
      <c r="M208" s="6" t="s">
        <v>16</v>
      </c>
      <c r="N208" s="6" t="s">
        <v>16</v>
      </c>
      <c r="O208" s="6" t="s">
        <v>16</v>
      </c>
      <c r="P208" s="6" t="s">
        <v>16</v>
      </c>
      <c r="Q208" s="6" t="str">
        <f t="shared" si="3"/>
        <v>Ausencia total del riesgo, reevaluar cada 3 años con nueva identificación inicial</v>
      </c>
    </row>
    <row r="209" spans="1:17" ht="28.5">
      <c r="A209" s="70">
        <f>Datos!A208</f>
        <v>207</v>
      </c>
      <c r="B209" s="70">
        <f>Datos!B208</f>
        <v>0</v>
      </c>
      <c r="C209" s="71">
        <f>Datos!C208</f>
        <v>0</v>
      </c>
      <c r="D209" s="71">
        <f>Datos!D208</f>
        <v>0</v>
      </c>
      <c r="E209" s="71">
        <f>Datos!F208</f>
        <v>0</v>
      </c>
      <c r="F209" s="71">
        <f>Datos!G208</f>
        <v>0</v>
      </c>
      <c r="G209" s="71">
        <f>Datos!H208</f>
        <v>0</v>
      </c>
      <c r="H209" s="71">
        <f>Datos!I208</f>
        <v>0</v>
      </c>
      <c r="I209" s="71">
        <f>Datos!J208</f>
        <v>0</v>
      </c>
      <c r="J209" s="6" t="s">
        <v>16</v>
      </c>
      <c r="K209" s="6" t="s">
        <v>16</v>
      </c>
      <c r="L209" s="6" t="s">
        <v>16</v>
      </c>
      <c r="M209" s="6" t="s">
        <v>16</v>
      </c>
      <c r="N209" s="6" t="s">
        <v>16</v>
      </c>
      <c r="O209" s="6" t="s">
        <v>16</v>
      </c>
      <c r="P209" s="6" t="s">
        <v>16</v>
      </c>
      <c r="Q209" s="6" t="str">
        <f t="shared" si="3"/>
        <v>Ausencia total del riesgo, reevaluar cada 3 años con nueva identificación inicial</v>
      </c>
    </row>
    <row r="210" spans="1:17" ht="28.5">
      <c r="A210" s="70">
        <f>Datos!A209</f>
        <v>208</v>
      </c>
      <c r="B210" s="70">
        <f>Datos!B209</f>
        <v>0</v>
      </c>
      <c r="C210" s="71">
        <f>Datos!C209</f>
        <v>0</v>
      </c>
      <c r="D210" s="71">
        <f>Datos!D209</f>
        <v>0</v>
      </c>
      <c r="E210" s="71">
        <f>Datos!F209</f>
        <v>0</v>
      </c>
      <c r="F210" s="71">
        <f>Datos!G209</f>
        <v>0</v>
      </c>
      <c r="G210" s="71">
        <f>Datos!H209</f>
        <v>0</v>
      </c>
      <c r="H210" s="71">
        <f>Datos!I209</f>
        <v>0</v>
      </c>
      <c r="I210" s="71">
        <f>Datos!J209</f>
        <v>0</v>
      </c>
      <c r="J210" s="6" t="s">
        <v>16</v>
      </c>
      <c r="K210" s="6" t="s">
        <v>16</v>
      </c>
      <c r="L210" s="6" t="s">
        <v>16</v>
      </c>
      <c r="M210" s="6" t="s">
        <v>16</v>
      </c>
      <c r="N210" s="6" t="s">
        <v>16</v>
      </c>
      <c r="O210" s="6" t="s">
        <v>16</v>
      </c>
      <c r="P210" s="6" t="s">
        <v>16</v>
      </c>
      <c r="Q210" s="6" t="str">
        <f t="shared" si="3"/>
        <v>Ausencia total del riesgo, reevaluar cada 3 años con nueva identificación inicial</v>
      </c>
    </row>
    <row r="211" spans="1:17" ht="28.5">
      <c r="A211" s="70">
        <f>Datos!A210</f>
        <v>209</v>
      </c>
      <c r="B211" s="70">
        <f>Datos!B210</f>
        <v>0</v>
      </c>
      <c r="C211" s="71">
        <f>Datos!C210</f>
        <v>0</v>
      </c>
      <c r="D211" s="71">
        <f>Datos!D210</f>
        <v>0</v>
      </c>
      <c r="E211" s="71">
        <f>Datos!F210</f>
        <v>0</v>
      </c>
      <c r="F211" s="71">
        <f>Datos!G210</f>
        <v>0</v>
      </c>
      <c r="G211" s="71">
        <f>Datos!H210</f>
        <v>0</v>
      </c>
      <c r="H211" s="71">
        <f>Datos!I210</f>
        <v>0</v>
      </c>
      <c r="I211" s="71">
        <f>Datos!J210</f>
        <v>0</v>
      </c>
      <c r="J211" s="6" t="s">
        <v>16</v>
      </c>
      <c r="K211" s="6" t="s">
        <v>16</v>
      </c>
      <c r="L211" s="6" t="s">
        <v>16</v>
      </c>
      <c r="M211" s="6" t="s">
        <v>16</v>
      </c>
      <c r="N211" s="6" t="s">
        <v>16</v>
      </c>
      <c r="O211" s="6" t="s">
        <v>16</v>
      </c>
      <c r="P211" s="6" t="s">
        <v>16</v>
      </c>
      <c r="Q211" s="6" t="str">
        <f t="shared" si="3"/>
        <v>Ausencia total del riesgo, reevaluar cada 3 años con nueva identificación inicial</v>
      </c>
    </row>
    <row r="212" spans="1:17" ht="28.5">
      <c r="A212" s="70">
        <f>Datos!A211</f>
        <v>210</v>
      </c>
      <c r="B212" s="70">
        <f>Datos!B211</f>
        <v>0</v>
      </c>
      <c r="C212" s="71">
        <f>Datos!C211</f>
        <v>0</v>
      </c>
      <c r="D212" s="71">
        <f>Datos!D211</f>
        <v>0</v>
      </c>
      <c r="E212" s="71">
        <f>Datos!F211</f>
        <v>0</v>
      </c>
      <c r="F212" s="71">
        <f>Datos!G211</f>
        <v>0</v>
      </c>
      <c r="G212" s="71">
        <f>Datos!H211</f>
        <v>0</v>
      </c>
      <c r="H212" s="71">
        <f>Datos!I211</f>
        <v>0</v>
      </c>
      <c r="I212" s="71">
        <f>Datos!J211</f>
        <v>0</v>
      </c>
      <c r="J212" s="6" t="s">
        <v>16</v>
      </c>
      <c r="K212" s="6" t="s">
        <v>16</v>
      </c>
      <c r="L212" s="6" t="s">
        <v>16</v>
      </c>
      <c r="M212" s="6" t="s">
        <v>16</v>
      </c>
      <c r="N212" s="6" t="s">
        <v>16</v>
      </c>
      <c r="O212" s="6" t="s">
        <v>16</v>
      </c>
      <c r="P212" s="6" t="s">
        <v>16</v>
      </c>
      <c r="Q212" s="6" t="str">
        <f t="shared" si="3"/>
        <v>Ausencia total del riesgo, reevaluar cada 3 años con nueva identificación inicial</v>
      </c>
    </row>
    <row r="213" spans="1:17" ht="28.5">
      <c r="A213" s="70">
        <f>Datos!A212</f>
        <v>211</v>
      </c>
      <c r="B213" s="70">
        <f>Datos!B212</f>
        <v>0</v>
      </c>
      <c r="C213" s="71">
        <f>Datos!C212</f>
        <v>0</v>
      </c>
      <c r="D213" s="71">
        <f>Datos!D212</f>
        <v>0</v>
      </c>
      <c r="E213" s="71">
        <f>Datos!F212</f>
        <v>0</v>
      </c>
      <c r="F213" s="71">
        <f>Datos!G212</f>
        <v>0</v>
      </c>
      <c r="G213" s="71">
        <f>Datos!H212</f>
        <v>0</v>
      </c>
      <c r="H213" s="71">
        <f>Datos!I212</f>
        <v>0</v>
      </c>
      <c r="I213" s="71">
        <f>Datos!J212</f>
        <v>0</v>
      </c>
      <c r="J213" s="6" t="s">
        <v>16</v>
      </c>
      <c r="K213" s="6" t="s">
        <v>16</v>
      </c>
      <c r="L213" s="6" t="s">
        <v>16</v>
      </c>
      <c r="M213" s="6" t="s">
        <v>16</v>
      </c>
      <c r="N213" s="6" t="s">
        <v>16</v>
      </c>
      <c r="O213" s="6" t="s">
        <v>16</v>
      </c>
      <c r="P213" s="6" t="s">
        <v>16</v>
      </c>
      <c r="Q213" s="6" t="str">
        <f t="shared" si="3"/>
        <v>Ausencia total del riesgo, reevaluar cada 3 años con nueva identificación inicial</v>
      </c>
    </row>
    <row r="214" spans="1:17" ht="28.5">
      <c r="A214" s="70">
        <f>Datos!A213</f>
        <v>212</v>
      </c>
      <c r="B214" s="70">
        <f>Datos!B213</f>
        <v>0</v>
      </c>
      <c r="C214" s="71">
        <f>Datos!C213</f>
        <v>0</v>
      </c>
      <c r="D214" s="71">
        <f>Datos!D213</f>
        <v>0</v>
      </c>
      <c r="E214" s="71">
        <f>Datos!F213</f>
        <v>0</v>
      </c>
      <c r="F214" s="71">
        <f>Datos!G213</f>
        <v>0</v>
      </c>
      <c r="G214" s="71">
        <f>Datos!H213</f>
        <v>0</v>
      </c>
      <c r="H214" s="71">
        <f>Datos!I213</f>
        <v>0</v>
      </c>
      <c r="I214" s="71">
        <f>Datos!J213</f>
        <v>0</v>
      </c>
      <c r="J214" s="6" t="s">
        <v>16</v>
      </c>
      <c r="K214" s="6" t="s">
        <v>16</v>
      </c>
      <c r="L214" s="6" t="s">
        <v>16</v>
      </c>
      <c r="M214" s="6" t="s">
        <v>16</v>
      </c>
      <c r="N214" s="6" t="s">
        <v>16</v>
      </c>
      <c r="O214" s="6" t="s">
        <v>16</v>
      </c>
      <c r="P214" s="6" t="s">
        <v>16</v>
      </c>
      <c r="Q214" s="6" t="str">
        <f t="shared" si="3"/>
        <v>Ausencia total del riesgo, reevaluar cada 3 años con nueva identificación inicial</v>
      </c>
    </row>
    <row r="215" spans="1:17" ht="28.5">
      <c r="A215" s="70">
        <f>Datos!A214</f>
        <v>213</v>
      </c>
      <c r="B215" s="70">
        <f>Datos!B214</f>
        <v>0</v>
      </c>
      <c r="C215" s="71">
        <f>Datos!C214</f>
        <v>0</v>
      </c>
      <c r="D215" s="71">
        <f>Datos!D214</f>
        <v>0</v>
      </c>
      <c r="E215" s="71">
        <f>Datos!F214</f>
        <v>0</v>
      </c>
      <c r="F215" s="71">
        <f>Datos!G214</f>
        <v>0</v>
      </c>
      <c r="G215" s="71">
        <f>Datos!H214</f>
        <v>0</v>
      </c>
      <c r="H215" s="71">
        <f>Datos!I214</f>
        <v>0</v>
      </c>
      <c r="I215" s="71">
        <f>Datos!J214</f>
        <v>0</v>
      </c>
      <c r="J215" s="6" t="s">
        <v>16</v>
      </c>
      <c r="K215" s="6" t="s">
        <v>16</v>
      </c>
      <c r="L215" s="6" t="s">
        <v>16</v>
      </c>
      <c r="M215" s="6" t="s">
        <v>16</v>
      </c>
      <c r="N215" s="6" t="s">
        <v>16</v>
      </c>
      <c r="O215" s="6" t="s">
        <v>16</v>
      </c>
      <c r="P215" s="6" t="s">
        <v>16</v>
      </c>
      <c r="Q215" s="6" t="str">
        <f t="shared" si="3"/>
        <v>Ausencia total del riesgo, reevaluar cada 3 años con nueva identificación inicial</v>
      </c>
    </row>
    <row r="216" spans="1:17" ht="28.5">
      <c r="A216" s="70">
        <f>Datos!A215</f>
        <v>214</v>
      </c>
      <c r="B216" s="70">
        <f>Datos!B215</f>
        <v>0</v>
      </c>
      <c r="C216" s="71">
        <f>Datos!C215</f>
        <v>0</v>
      </c>
      <c r="D216" s="71">
        <f>Datos!D215</f>
        <v>0</v>
      </c>
      <c r="E216" s="71">
        <f>Datos!F215</f>
        <v>0</v>
      </c>
      <c r="F216" s="71">
        <f>Datos!G215</f>
        <v>0</v>
      </c>
      <c r="G216" s="71">
        <f>Datos!H215</f>
        <v>0</v>
      </c>
      <c r="H216" s="71">
        <f>Datos!I215</f>
        <v>0</v>
      </c>
      <c r="I216" s="71">
        <f>Datos!J215</f>
        <v>0</v>
      </c>
      <c r="J216" s="6" t="s">
        <v>16</v>
      </c>
      <c r="K216" s="6" t="s">
        <v>16</v>
      </c>
      <c r="L216" s="6" t="s">
        <v>16</v>
      </c>
      <c r="M216" s="6" t="s">
        <v>16</v>
      </c>
      <c r="N216" s="6" t="s">
        <v>16</v>
      </c>
      <c r="O216" s="6" t="s">
        <v>16</v>
      </c>
      <c r="P216" s="6" t="s">
        <v>16</v>
      </c>
      <c r="Q216" s="6" t="str">
        <f t="shared" si="3"/>
        <v>Ausencia total del riesgo, reevaluar cada 3 años con nueva identificación inicial</v>
      </c>
    </row>
    <row r="217" spans="1:17" ht="28.5">
      <c r="A217" s="70">
        <f>Datos!A216</f>
        <v>215</v>
      </c>
      <c r="B217" s="70">
        <f>Datos!B216</f>
        <v>0</v>
      </c>
      <c r="C217" s="71">
        <f>Datos!C216</f>
        <v>0</v>
      </c>
      <c r="D217" s="71">
        <f>Datos!D216</f>
        <v>0</v>
      </c>
      <c r="E217" s="71">
        <f>Datos!F216</f>
        <v>0</v>
      </c>
      <c r="F217" s="71">
        <f>Datos!G216</f>
        <v>0</v>
      </c>
      <c r="G217" s="71">
        <f>Datos!H216</f>
        <v>0</v>
      </c>
      <c r="H217" s="71">
        <f>Datos!I216</f>
        <v>0</v>
      </c>
      <c r="I217" s="71">
        <f>Datos!J216</f>
        <v>0</v>
      </c>
      <c r="J217" s="6" t="s">
        <v>16</v>
      </c>
      <c r="K217" s="6" t="s">
        <v>16</v>
      </c>
      <c r="L217" s="6" t="s">
        <v>16</v>
      </c>
      <c r="M217" s="6" t="s">
        <v>16</v>
      </c>
      <c r="N217" s="6" t="s">
        <v>16</v>
      </c>
      <c r="O217" s="6" t="s">
        <v>16</v>
      </c>
      <c r="P217" s="6" t="s">
        <v>16</v>
      </c>
      <c r="Q217" s="6" t="str">
        <f t="shared" si="3"/>
        <v>Ausencia total del riesgo, reevaluar cada 3 años con nueva identificación inicial</v>
      </c>
    </row>
    <row r="218" spans="1:17" ht="28.5">
      <c r="A218" s="70">
        <f>Datos!A217</f>
        <v>216</v>
      </c>
      <c r="B218" s="70">
        <f>Datos!B217</f>
        <v>0</v>
      </c>
      <c r="C218" s="71">
        <f>Datos!C217</f>
        <v>0</v>
      </c>
      <c r="D218" s="71">
        <f>Datos!D217</f>
        <v>0</v>
      </c>
      <c r="E218" s="71">
        <f>Datos!F217</f>
        <v>0</v>
      </c>
      <c r="F218" s="71">
        <f>Datos!G217</f>
        <v>0</v>
      </c>
      <c r="G218" s="71">
        <f>Datos!H217</f>
        <v>0</v>
      </c>
      <c r="H218" s="71">
        <f>Datos!I217</f>
        <v>0</v>
      </c>
      <c r="I218" s="71">
        <f>Datos!J217</f>
        <v>0</v>
      </c>
      <c r="J218" s="6" t="s">
        <v>16</v>
      </c>
      <c r="K218" s="6" t="s">
        <v>16</v>
      </c>
      <c r="L218" s="6" t="s">
        <v>16</v>
      </c>
      <c r="M218" s="6" t="s">
        <v>16</v>
      </c>
      <c r="N218" s="6" t="s">
        <v>16</v>
      </c>
      <c r="O218" s="6" t="s">
        <v>16</v>
      </c>
      <c r="P218" s="6" t="s">
        <v>16</v>
      </c>
      <c r="Q218" s="6" t="str">
        <f t="shared" si="3"/>
        <v>Ausencia total del riesgo, reevaluar cada 3 años con nueva identificación inicial</v>
      </c>
    </row>
    <row r="219" spans="1:17" ht="28.5">
      <c r="A219" s="70">
        <f>Datos!A218</f>
        <v>217</v>
      </c>
      <c r="B219" s="70">
        <f>Datos!B218</f>
        <v>0</v>
      </c>
      <c r="C219" s="71">
        <f>Datos!C218</f>
        <v>0</v>
      </c>
      <c r="D219" s="71">
        <f>Datos!D218</f>
        <v>0</v>
      </c>
      <c r="E219" s="71">
        <f>Datos!F218</f>
        <v>0</v>
      </c>
      <c r="F219" s="71">
        <f>Datos!G218</f>
        <v>0</v>
      </c>
      <c r="G219" s="71">
        <f>Datos!H218</f>
        <v>0</v>
      </c>
      <c r="H219" s="71">
        <f>Datos!I218</f>
        <v>0</v>
      </c>
      <c r="I219" s="71">
        <f>Datos!J218</f>
        <v>0</v>
      </c>
      <c r="J219" s="6" t="s">
        <v>16</v>
      </c>
      <c r="K219" s="6" t="s">
        <v>16</v>
      </c>
      <c r="L219" s="6" t="s">
        <v>16</v>
      </c>
      <c r="M219" s="6" t="s">
        <v>16</v>
      </c>
      <c r="N219" s="6" t="s">
        <v>16</v>
      </c>
      <c r="O219" s="6" t="s">
        <v>16</v>
      </c>
      <c r="P219" s="6" t="s">
        <v>16</v>
      </c>
      <c r="Q219" s="6" t="str">
        <f t="shared" si="3"/>
        <v>Ausencia total del riesgo, reevaluar cada 3 años con nueva identificación inicial</v>
      </c>
    </row>
    <row r="220" spans="1:17" ht="28.5">
      <c r="A220" s="70">
        <f>Datos!A219</f>
        <v>218</v>
      </c>
      <c r="B220" s="70">
        <f>Datos!B219</f>
        <v>0</v>
      </c>
      <c r="C220" s="71">
        <f>Datos!C219</f>
        <v>0</v>
      </c>
      <c r="D220" s="71">
        <f>Datos!D219</f>
        <v>0</v>
      </c>
      <c r="E220" s="71">
        <f>Datos!F219</f>
        <v>0</v>
      </c>
      <c r="F220" s="71">
        <f>Datos!G219</f>
        <v>0</v>
      </c>
      <c r="G220" s="71">
        <f>Datos!H219</f>
        <v>0</v>
      </c>
      <c r="H220" s="71">
        <f>Datos!I219</f>
        <v>0</v>
      </c>
      <c r="I220" s="71">
        <f>Datos!J219</f>
        <v>0</v>
      </c>
      <c r="J220" s="6" t="s">
        <v>16</v>
      </c>
      <c r="K220" s="6" t="s">
        <v>16</v>
      </c>
      <c r="L220" s="6" t="s">
        <v>16</v>
      </c>
      <c r="M220" s="6" t="s">
        <v>16</v>
      </c>
      <c r="N220" s="6" t="s">
        <v>16</v>
      </c>
      <c r="O220" s="6" t="s">
        <v>16</v>
      </c>
      <c r="P220" s="6" t="s">
        <v>16</v>
      </c>
      <c r="Q220" s="6" t="str">
        <f t="shared" si="3"/>
        <v>Ausencia total del riesgo, reevaluar cada 3 años con nueva identificación inicial</v>
      </c>
    </row>
    <row r="221" spans="1:17" ht="28.5">
      <c r="A221" s="70">
        <f>Datos!A220</f>
        <v>219</v>
      </c>
      <c r="B221" s="70">
        <f>Datos!B220</f>
        <v>0</v>
      </c>
      <c r="C221" s="71">
        <f>Datos!C220</f>
        <v>0</v>
      </c>
      <c r="D221" s="71">
        <f>Datos!D220</f>
        <v>0</v>
      </c>
      <c r="E221" s="71">
        <f>Datos!F220</f>
        <v>0</v>
      </c>
      <c r="F221" s="71">
        <f>Datos!G220</f>
        <v>0</v>
      </c>
      <c r="G221" s="71">
        <f>Datos!H220</f>
        <v>0</v>
      </c>
      <c r="H221" s="71">
        <f>Datos!I220</f>
        <v>0</v>
      </c>
      <c r="I221" s="71">
        <f>Datos!J220</f>
        <v>0</v>
      </c>
      <c r="J221" s="6" t="s">
        <v>16</v>
      </c>
      <c r="K221" s="6" t="s">
        <v>16</v>
      </c>
      <c r="L221" s="6" t="s">
        <v>16</v>
      </c>
      <c r="M221" s="6" t="s">
        <v>16</v>
      </c>
      <c r="N221" s="6" t="s">
        <v>16</v>
      </c>
      <c r="O221" s="6" t="s">
        <v>16</v>
      </c>
      <c r="P221" s="6" t="s">
        <v>16</v>
      </c>
      <c r="Q221" s="6" t="str">
        <f t="shared" si="3"/>
        <v>Ausencia total del riesgo, reevaluar cada 3 años con nueva identificación inicial</v>
      </c>
    </row>
    <row r="222" spans="1:17" ht="28.5">
      <c r="A222" s="70">
        <f>Datos!A221</f>
        <v>220</v>
      </c>
      <c r="B222" s="70">
        <f>Datos!B221</f>
        <v>0</v>
      </c>
      <c r="C222" s="71">
        <f>Datos!C221</f>
        <v>0</v>
      </c>
      <c r="D222" s="71">
        <f>Datos!D221</f>
        <v>0</v>
      </c>
      <c r="E222" s="71">
        <f>Datos!F221</f>
        <v>0</v>
      </c>
      <c r="F222" s="71">
        <f>Datos!G221</f>
        <v>0</v>
      </c>
      <c r="G222" s="71">
        <f>Datos!H221</f>
        <v>0</v>
      </c>
      <c r="H222" s="71">
        <f>Datos!I221</f>
        <v>0</v>
      </c>
      <c r="I222" s="71">
        <f>Datos!J221</f>
        <v>0</v>
      </c>
      <c r="J222" s="6" t="s">
        <v>16</v>
      </c>
      <c r="K222" s="6" t="s">
        <v>16</v>
      </c>
      <c r="L222" s="6" t="s">
        <v>16</v>
      </c>
      <c r="M222" s="6" t="s">
        <v>16</v>
      </c>
      <c r="N222" s="6" t="s">
        <v>16</v>
      </c>
      <c r="O222" s="6" t="s">
        <v>16</v>
      </c>
      <c r="P222" s="6" t="s">
        <v>16</v>
      </c>
      <c r="Q222" s="6" t="str">
        <f t="shared" si="3"/>
        <v>Ausencia total del riesgo, reevaluar cada 3 años con nueva identificación inicial</v>
      </c>
    </row>
    <row r="223" spans="1:17" ht="28.5">
      <c r="A223" s="70">
        <f>Datos!A222</f>
        <v>221</v>
      </c>
      <c r="B223" s="70">
        <f>Datos!B222</f>
        <v>0</v>
      </c>
      <c r="C223" s="71">
        <f>Datos!C222</f>
        <v>0</v>
      </c>
      <c r="D223" s="71">
        <f>Datos!D222</f>
        <v>0</v>
      </c>
      <c r="E223" s="71">
        <f>Datos!F222</f>
        <v>0</v>
      </c>
      <c r="F223" s="71">
        <f>Datos!G222</f>
        <v>0</v>
      </c>
      <c r="G223" s="71">
        <f>Datos!H222</f>
        <v>0</v>
      </c>
      <c r="H223" s="71">
        <f>Datos!I222</f>
        <v>0</v>
      </c>
      <c r="I223" s="71">
        <f>Datos!J222</f>
        <v>0</v>
      </c>
      <c r="J223" s="6" t="s">
        <v>16</v>
      </c>
      <c r="K223" s="6" t="s">
        <v>16</v>
      </c>
      <c r="L223" s="6" t="s">
        <v>16</v>
      </c>
      <c r="M223" s="6" t="s">
        <v>16</v>
      </c>
      <c r="N223" s="6" t="s">
        <v>16</v>
      </c>
      <c r="O223" s="6" t="s">
        <v>16</v>
      </c>
      <c r="P223" s="6" t="s">
        <v>16</v>
      </c>
      <c r="Q223" s="6" t="str">
        <f t="shared" si="3"/>
        <v>Ausencia total del riesgo, reevaluar cada 3 años con nueva identificación inicial</v>
      </c>
    </row>
    <row r="224" spans="1:17" ht="28.5">
      <c r="A224" s="70">
        <f>Datos!A223</f>
        <v>222</v>
      </c>
      <c r="B224" s="70">
        <f>Datos!B223</f>
        <v>0</v>
      </c>
      <c r="C224" s="71">
        <f>Datos!C223</f>
        <v>0</v>
      </c>
      <c r="D224" s="71">
        <f>Datos!D223</f>
        <v>0</v>
      </c>
      <c r="E224" s="71">
        <f>Datos!F223</f>
        <v>0</v>
      </c>
      <c r="F224" s="71">
        <f>Datos!G223</f>
        <v>0</v>
      </c>
      <c r="G224" s="71">
        <f>Datos!H223</f>
        <v>0</v>
      </c>
      <c r="H224" s="71">
        <f>Datos!I223</f>
        <v>0</v>
      </c>
      <c r="I224" s="71">
        <f>Datos!J223</f>
        <v>0</v>
      </c>
      <c r="J224" s="6" t="s">
        <v>16</v>
      </c>
      <c r="K224" s="6" t="s">
        <v>16</v>
      </c>
      <c r="L224" s="6" t="s">
        <v>16</v>
      </c>
      <c r="M224" s="6" t="s">
        <v>16</v>
      </c>
      <c r="N224" s="6" t="s">
        <v>16</v>
      </c>
      <c r="O224" s="6" t="s">
        <v>16</v>
      </c>
      <c r="P224" s="6" t="s">
        <v>16</v>
      </c>
      <c r="Q224" s="6" t="str">
        <f t="shared" si="3"/>
        <v>Ausencia total del riesgo, reevaluar cada 3 años con nueva identificación inicial</v>
      </c>
    </row>
    <row r="225" spans="1:17" ht="28.5">
      <c r="A225" s="70">
        <f>Datos!A224</f>
        <v>223</v>
      </c>
      <c r="B225" s="70">
        <f>Datos!B224</f>
        <v>0</v>
      </c>
      <c r="C225" s="71">
        <f>Datos!C224</f>
        <v>0</v>
      </c>
      <c r="D225" s="71">
        <f>Datos!D224</f>
        <v>0</v>
      </c>
      <c r="E225" s="71">
        <f>Datos!F224</f>
        <v>0</v>
      </c>
      <c r="F225" s="71">
        <f>Datos!G224</f>
        <v>0</v>
      </c>
      <c r="G225" s="71">
        <f>Datos!H224</f>
        <v>0</v>
      </c>
      <c r="H225" s="71">
        <f>Datos!I224</f>
        <v>0</v>
      </c>
      <c r="I225" s="71">
        <f>Datos!J224</f>
        <v>0</v>
      </c>
      <c r="J225" s="6" t="s">
        <v>16</v>
      </c>
      <c r="K225" s="6" t="s">
        <v>16</v>
      </c>
      <c r="L225" s="6" t="s">
        <v>16</v>
      </c>
      <c r="M225" s="6" t="s">
        <v>16</v>
      </c>
      <c r="N225" s="6" t="s">
        <v>16</v>
      </c>
      <c r="O225" s="6" t="s">
        <v>16</v>
      </c>
      <c r="P225" s="6" t="s">
        <v>16</v>
      </c>
      <c r="Q225" s="6" t="str">
        <f t="shared" si="3"/>
        <v>Ausencia total del riesgo, reevaluar cada 3 años con nueva identificación inicial</v>
      </c>
    </row>
    <row r="226" spans="1:17" ht="28.5">
      <c r="A226" s="70">
        <f>Datos!A225</f>
        <v>224</v>
      </c>
      <c r="B226" s="70">
        <f>Datos!B225</f>
        <v>0</v>
      </c>
      <c r="C226" s="71">
        <f>Datos!C225</f>
        <v>0</v>
      </c>
      <c r="D226" s="71">
        <f>Datos!D225</f>
        <v>0</v>
      </c>
      <c r="E226" s="71">
        <f>Datos!F225</f>
        <v>0</v>
      </c>
      <c r="F226" s="71">
        <f>Datos!G225</f>
        <v>0</v>
      </c>
      <c r="G226" s="71">
        <f>Datos!H225</f>
        <v>0</v>
      </c>
      <c r="H226" s="71">
        <f>Datos!I225</f>
        <v>0</v>
      </c>
      <c r="I226" s="71">
        <f>Datos!J225</f>
        <v>0</v>
      </c>
      <c r="J226" s="6" t="s">
        <v>16</v>
      </c>
      <c r="K226" s="6" t="s">
        <v>16</v>
      </c>
      <c r="L226" s="6" t="s">
        <v>16</v>
      </c>
      <c r="M226" s="6" t="s">
        <v>16</v>
      </c>
      <c r="N226" s="6" t="s">
        <v>16</v>
      </c>
      <c r="O226" s="6" t="s">
        <v>16</v>
      </c>
      <c r="P226" s="6" t="s">
        <v>16</v>
      </c>
      <c r="Q226" s="6" t="str">
        <f t="shared" si="3"/>
        <v>Ausencia total del riesgo, reevaluar cada 3 años con nueva identificación inicial</v>
      </c>
    </row>
    <row r="227" spans="1:17" ht="28.5">
      <c r="A227" s="70">
        <f>Datos!A226</f>
        <v>225</v>
      </c>
      <c r="B227" s="70">
        <f>Datos!B226</f>
        <v>0</v>
      </c>
      <c r="C227" s="71">
        <f>Datos!C226</f>
        <v>0</v>
      </c>
      <c r="D227" s="71">
        <f>Datos!D226</f>
        <v>0</v>
      </c>
      <c r="E227" s="71">
        <f>Datos!F226</f>
        <v>0</v>
      </c>
      <c r="F227" s="71">
        <f>Datos!G226</f>
        <v>0</v>
      </c>
      <c r="G227" s="71">
        <f>Datos!H226</f>
        <v>0</v>
      </c>
      <c r="H227" s="71">
        <f>Datos!I226</f>
        <v>0</v>
      </c>
      <c r="I227" s="71">
        <f>Datos!J226</f>
        <v>0</v>
      </c>
      <c r="J227" s="6" t="s">
        <v>16</v>
      </c>
      <c r="K227" s="6" t="s">
        <v>16</v>
      </c>
      <c r="L227" s="6" t="s">
        <v>16</v>
      </c>
      <c r="M227" s="6" t="s">
        <v>16</v>
      </c>
      <c r="N227" s="6" t="s">
        <v>16</v>
      </c>
      <c r="O227" s="6" t="s">
        <v>16</v>
      </c>
      <c r="P227" s="6" t="s">
        <v>16</v>
      </c>
      <c r="Q227" s="6" t="str">
        <f t="shared" si="3"/>
        <v>Ausencia total del riesgo, reevaluar cada 3 años con nueva identificación inicial</v>
      </c>
    </row>
    <row r="228" spans="1:17" ht="28.5">
      <c r="A228" s="70">
        <f>Datos!A227</f>
        <v>226</v>
      </c>
      <c r="B228" s="70">
        <f>Datos!B227</f>
        <v>0</v>
      </c>
      <c r="C228" s="71">
        <f>Datos!C227</f>
        <v>0</v>
      </c>
      <c r="D228" s="71">
        <f>Datos!D227</f>
        <v>0</v>
      </c>
      <c r="E228" s="71">
        <f>Datos!F227</f>
        <v>0</v>
      </c>
      <c r="F228" s="71">
        <f>Datos!G227</f>
        <v>0</v>
      </c>
      <c r="G228" s="71">
        <f>Datos!H227</f>
        <v>0</v>
      </c>
      <c r="H228" s="71">
        <f>Datos!I227</f>
        <v>0</v>
      </c>
      <c r="I228" s="71">
        <f>Datos!J227</f>
        <v>0</v>
      </c>
      <c r="J228" s="6" t="s">
        <v>16</v>
      </c>
      <c r="K228" s="6" t="s">
        <v>16</v>
      </c>
      <c r="L228" s="6" t="s">
        <v>16</v>
      </c>
      <c r="M228" s="6" t="s">
        <v>16</v>
      </c>
      <c r="N228" s="6" t="s">
        <v>16</v>
      </c>
      <c r="O228" s="6" t="s">
        <v>16</v>
      </c>
      <c r="P228" s="6" t="s">
        <v>16</v>
      </c>
      <c r="Q228" s="6" t="str">
        <f t="shared" si="3"/>
        <v>Ausencia total del riesgo, reevaluar cada 3 años con nueva identificación inicial</v>
      </c>
    </row>
    <row r="229" spans="1:17" ht="28.5">
      <c r="A229" s="70">
        <f>Datos!A228</f>
        <v>227</v>
      </c>
      <c r="B229" s="70">
        <f>Datos!B228</f>
        <v>0</v>
      </c>
      <c r="C229" s="71">
        <f>Datos!C228</f>
        <v>0</v>
      </c>
      <c r="D229" s="71">
        <f>Datos!D228</f>
        <v>0</v>
      </c>
      <c r="E229" s="71">
        <f>Datos!F228</f>
        <v>0</v>
      </c>
      <c r="F229" s="71">
        <f>Datos!G228</f>
        <v>0</v>
      </c>
      <c r="G229" s="71">
        <f>Datos!H228</f>
        <v>0</v>
      </c>
      <c r="H229" s="71">
        <f>Datos!I228</f>
        <v>0</v>
      </c>
      <c r="I229" s="71">
        <f>Datos!J228</f>
        <v>0</v>
      </c>
      <c r="J229" s="6" t="s">
        <v>16</v>
      </c>
      <c r="K229" s="6" t="s">
        <v>16</v>
      </c>
      <c r="L229" s="6" t="s">
        <v>16</v>
      </c>
      <c r="M229" s="6" t="s">
        <v>16</v>
      </c>
      <c r="N229" s="6" t="s">
        <v>16</v>
      </c>
      <c r="O229" s="6" t="s">
        <v>16</v>
      </c>
      <c r="P229" s="6" t="s">
        <v>16</v>
      </c>
      <c r="Q229" s="6" t="str">
        <f t="shared" si="3"/>
        <v>Ausencia total del riesgo, reevaluar cada 3 años con nueva identificación inicial</v>
      </c>
    </row>
    <row r="230" spans="1:17" ht="28.5">
      <c r="A230" s="70">
        <f>Datos!A229</f>
        <v>228</v>
      </c>
      <c r="B230" s="70">
        <f>Datos!B229</f>
        <v>0</v>
      </c>
      <c r="C230" s="71">
        <f>Datos!C229</f>
        <v>0</v>
      </c>
      <c r="D230" s="71">
        <f>Datos!D229</f>
        <v>0</v>
      </c>
      <c r="E230" s="71">
        <f>Datos!F229</f>
        <v>0</v>
      </c>
      <c r="F230" s="71">
        <f>Datos!G229</f>
        <v>0</v>
      </c>
      <c r="G230" s="71">
        <f>Datos!H229</f>
        <v>0</v>
      </c>
      <c r="H230" s="71">
        <f>Datos!I229</f>
        <v>0</v>
      </c>
      <c r="I230" s="71">
        <f>Datos!J229</f>
        <v>0</v>
      </c>
      <c r="J230" s="6" t="s">
        <v>16</v>
      </c>
      <c r="K230" s="6" t="s">
        <v>16</v>
      </c>
      <c r="L230" s="6" t="s">
        <v>16</v>
      </c>
      <c r="M230" s="6" t="s">
        <v>16</v>
      </c>
      <c r="N230" s="6" t="s">
        <v>16</v>
      </c>
      <c r="O230" s="6" t="s">
        <v>16</v>
      </c>
      <c r="P230" s="6" t="s">
        <v>16</v>
      </c>
      <c r="Q230" s="6" t="str">
        <f t="shared" si="3"/>
        <v>Ausencia total del riesgo, reevaluar cada 3 años con nueva identificación inicial</v>
      </c>
    </row>
    <row r="231" spans="1:17" ht="28.5">
      <c r="A231" s="70">
        <f>Datos!A230</f>
        <v>229</v>
      </c>
      <c r="B231" s="70">
        <f>Datos!B230</f>
        <v>0</v>
      </c>
      <c r="C231" s="71">
        <f>Datos!C230</f>
        <v>0</v>
      </c>
      <c r="D231" s="71">
        <f>Datos!D230</f>
        <v>0</v>
      </c>
      <c r="E231" s="71">
        <f>Datos!F230</f>
        <v>0</v>
      </c>
      <c r="F231" s="71">
        <f>Datos!G230</f>
        <v>0</v>
      </c>
      <c r="G231" s="71">
        <f>Datos!H230</f>
        <v>0</v>
      </c>
      <c r="H231" s="71">
        <f>Datos!I230</f>
        <v>0</v>
      </c>
      <c r="I231" s="71">
        <f>Datos!J230</f>
        <v>0</v>
      </c>
      <c r="J231" s="6" t="s">
        <v>16</v>
      </c>
      <c r="K231" s="6" t="s">
        <v>16</v>
      </c>
      <c r="L231" s="6" t="s">
        <v>16</v>
      </c>
      <c r="M231" s="6" t="s">
        <v>16</v>
      </c>
      <c r="N231" s="6" t="s">
        <v>16</v>
      </c>
      <c r="O231" s="6" t="s">
        <v>16</v>
      </c>
      <c r="P231" s="6" t="s">
        <v>16</v>
      </c>
      <c r="Q231" s="6" t="str">
        <f t="shared" si="3"/>
        <v>Ausencia total del riesgo, reevaluar cada 3 años con nueva identificación inicial</v>
      </c>
    </row>
    <row r="232" spans="1:17" ht="28.5">
      <c r="A232" s="70">
        <f>Datos!A231</f>
        <v>230</v>
      </c>
      <c r="B232" s="70">
        <f>Datos!B231</f>
        <v>0</v>
      </c>
      <c r="C232" s="71">
        <f>Datos!C231</f>
        <v>0</v>
      </c>
      <c r="D232" s="71">
        <f>Datos!D231</f>
        <v>0</v>
      </c>
      <c r="E232" s="71">
        <f>Datos!F231</f>
        <v>0</v>
      </c>
      <c r="F232" s="71">
        <f>Datos!G231</f>
        <v>0</v>
      </c>
      <c r="G232" s="71">
        <f>Datos!H231</f>
        <v>0</v>
      </c>
      <c r="H232" s="71">
        <f>Datos!I231</f>
        <v>0</v>
      </c>
      <c r="I232" s="71">
        <f>Datos!J231</f>
        <v>0</v>
      </c>
      <c r="J232" s="6" t="s">
        <v>16</v>
      </c>
      <c r="K232" s="6" t="s">
        <v>16</v>
      </c>
      <c r="L232" s="6" t="s">
        <v>16</v>
      </c>
      <c r="M232" s="6" t="s">
        <v>16</v>
      </c>
      <c r="N232" s="6" t="s">
        <v>16</v>
      </c>
      <c r="O232" s="6" t="s">
        <v>16</v>
      </c>
      <c r="P232" s="6" t="s">
        <v>16</v>
      </c>
      <c r="Q232" s="6" t="str">
        <f t="shared" si="3"/>
        <v>Ausencia total del riesgo, reevaluar cada 3 años con nueva identificación inicial</v>
      </c>
    </row>
    <row r="233" spans="1:17" ht="28.5">
      <c r="A233" s="70">
        <f>Datos!A232</f>
        <v>231</v>
      </c>
      <c r="B233" s="70">
        <f>Datos!B232</f>
        <v>0</v>
      </c>
      <c r="C233" s="71">
        <f>Datos!C232</f>
        <v>0</v>
      </c>
      <c r="D233" s="71">
        <f>Datos!D232</f>
        <v>0</v>
      </c>
      <c r="E233" s="71">
        <f>Datos!F232</f>
        <v>0</v>
      </c>
      <c r="F233" s="71">
        <f>Datos!G232</f>
        <v>0</v>
      </c>
      <c r="G233" s="71">
        <f>Datos!H232</f>
        <v>0</v>
      </c>
      <c r="H233" s="71">
        <f>Datos!I232</f>
        <v>0</v>
      </c>
      <c r="I233" s="71">
        <f>Datos!J232</f>
        <v>0</v>
      </c>
      <c r="J233" s="6" t="s">
        <v>16</v>
      </c>
      <c r="K233" s="6" t="s">
        <v>16</v>
      </c>
      <c r="L233" s="6" t="s">
        <v>16</v>
      </c>
      <c r="M233" s="6" t="s">
        <v>16</v>
      </c>
      <c r="N233" s="6" t="s">
        <v>16</v>
      </c>
      <c r="O233" s="6" t="s">
        <v>16</v>
      </c>
      <c r="P233" s="6" t="s">
        <v>16</v>
      </c>
      <c r="Q233" s="6" t="str">
        <f t="shared" si="3"/>
        <v>Ausencia total del riesgo, reevaluar cada 3 años con nueva identificación inicial</v>
      </c>
    </row>
    <row r="234" spans="1:17" ht="28.5">
      <c r="A234" s="70">
        <f>Datos!A233</f>
        <v>232</v>
      </c>
      <c r="B234" s="70">
        <f>Datos!B233</f>
        <v>0</v>
      </c>
      <c r="C234" s="71">
        <f>Datos!C233</f>
        <v>0</v>
      </c>
      <c r="D234" s="71">
        <f>Datos!D233</f>
        <v>0</v>
      </c>
      <c r="E234" s="71">
        <f>Datos!F233</f>
        <v>0</v>
      </c>
      <c r="F234" s="71">
        <f>Datos!G233</f>
        <v>0</v>
      </c>
      <c r="G234" s="71">
        <f>Datos!H233</f>
        <v>0</v>
      </c>
      <c r="H234" s="71">
        <f>Datos!I233</f>
        <v>0</v>
      </c>
      <c r="I234" s="71">
        <f>Datos!J233</f>
        <v>0</v>
      </c>
      <c r="J234" s="6" t="s">
        <v>16</v>
      </c>
      <c r="K234" s="6" t="s">
        <v>16</v>
      </c>
      <c r="L234" s="6" t="s">
        <v>16</v>
      </c>
      <c r="M234" s="6" t="s">
        <v>16</v>
      </c>
      <c r="N234" s="6" t="s">
        <v>16</v>
      </c>
      <c r="O234" s="6" t="s">
        <v>16</v>
      </c>
      <c r="P234" s="6" t="s">
        <v>16</v>
      </c>
      <c r="Q234" s="6" t="str">
        <f t="shared" si="3"/>
        <v>Ausencia total del riesgo, reevaluar cada 3 años con nueva identificación inicial</v>
      </c>
    </row>
    <row r="235" spans="1:17" ht="28.5">
      <c r="A235" s="70">
        <f>Datos!A234</f>
        <v>233</v>
      </c>
      <c r="B235" s="70">
        <f>Datos!B234</f>
        <v>0</v>
      </c>
      <c r="C235" s="71">
        <f>Datos!C234</f>
        <v>0</v>
      </c>
      <c r="D235" s="71">
        <f>Datos!D234</f>
        <v>0</v>
      </c>
      <c r="E235" s="71">
        <f>Datos!F234</f>
        <v>0</v>
      </c>
      <c r="F235" s="71">
        <f>Datos!G234</f>
        <v>0</v>
      </c>
      <c r="G235" s="71">
        <f>Datos!H234</f>
        <v>0</v>
      </c>
      <c r="H235" s="71">
        <f>Datos!I234</f>
        <v>0</v>
      </c>
      <c r="I235" s="71">
        <f>Datos!J234</f>
        <v>0</v>
      </c>
      <c r="J235" s="6" t="s">
        <v>16</v>
      </c>
      <c r="K235" s="6" t="s">
        <v>16</v>
      </c>
      <c r="L235" s="6" t="s">
        <v>16</v>
      </c>
      <c r="M235" s="6" t="s">
        <v>16</v>
      </c>
      <c r="N235" s="6" t="s">
        <v>16</v>
      </c>
      <c r="O235" s="6" t="s">
        <v>16</v>
      </c>
      <c r="P235" s="6" t="s">
        <v>16</v>
      </c>
      <c r="Q235" s="6" t="str">
        <f t="shared" si="3"/>
        <v>Ausencia total del riesgo, reevaluar cada 3 años con nueva identificación inicial</v>
      </c>
    </row>
    <row r="236" spans="1:17" ht="28.5">
      <c r="A236" s="70">
        <f>Datos!A235</f>
        <v>234</v>
      </c>
      <c r="B236" s="70">
        <f>Datos!B235</f>
        <v>0</v>
      </c>
      <c r="C236" s="71">
        <f>Datos!C235</f>
        <v>0</v>
      </c>
      <c r="D236" s="71">
        <f>Datos!D235</f>
        <v>0</v>
      </c>
      <c r="E236" s="71">
        <f>Datos!F235</f>
        <v>0</v>
      </c>
      <c r="F236" s="71">
        <f>Datos!G235</f>
        <v>0</v>
      </c>
      <c r="G236" s="71">
        <f>Datos!H235</f>
        <v>0</v>
      </c>
      <c r="H236" s="71">
        <f>Datos!I235</f>
        <v>0</v>
      </c>
      <c r="I236" s="71">
        <f>Datos!J235</f>
        <v>0</v>
      </c>
      <c r="J236" s="6" t="s">
        <v>16</v>
      </c>
      <c r="K236" s="6" t="s">
        <v>16</v>
      </c>
      <c r="L236" s="6" t="s">
        <v>16</v>
      </c>
      <c r="M236" s="6" t="s">
        <v>16</v>
      </c>
      <c r="N236" s="6" t="s">
        <v>16</v>
      </c>
      <c r="O236" s="6" t="s">
        <v>16</v>
      </c>
      <c r="P236" s="6" t="s">
        <v>16</v>
      </c>
      <c r="Q236" s="6" t="str">
        <f t="shared" si="3"/>
        <v>Ausencia total del riesgo, reevaluar cada 3 años con nueva identificación inicial</v>
      </c>
    </row>
    <row r="237" spans="1:17" ht="28.5">
      <c r="A237" s="70">
        <f>Datos!A236</f>
        <v>235</v>
      </c>
      <c r="B237" s="70">
        <f>Datos!B236</f>
        <v>0</v>
      </c>
      <c r="C237" s="71">
        <f>Datos!C236</f>
        <v>0</v>
      </c>
      <c r="D237" s="71">
        <f>Datos!D236</f>
        <v>0</v>
      </c>
      <c r="E237" s="71">
        <f>Datos!F236</f>
        <v>0</v>
      </c>
      <c r="F237" s="71">
        <f>Datos!G236</f>
        <v>0</v>
      </c>
      <c r="G237" s="71">
        <f>Datos!H236</f>
        <v>0</v>
      </c>
      <c r="H237" s="71">
        <f>Datos!I236</f>
        <v>0</v>
      </c>
      <c r="I237" s="71">
        <f>Datos!J236</f>
        <v>0</v>
      </c>
      <c r="J237" s="6" t="s">
        <v>16</v>
      </c>
      <c r="K237" s="6" t="s">
        <v>16</v>
      </c>
      <c r="L237" s="6" t="s">
        <v>16</v>
      </c>
      <c r="M237" s="6" t="s">
        <v>16</v>
      </c>
      <c r="N237" s="6" t="s">
        <v>16</v>
      </c>
      <c r="O237" s="6" t="s">
        <v>16</v>
      </c>
      <c r="P237" s="6" t="s">
        <v>16</v>
      </c>
      <c r="Q237" s="6" t="str">
        <f t="shared" si="3"/>
        <v>Ausencia total del riesgo, reevaluar cada 3 años con nueva identificación inicial</v>
      </c>
    </row>
    <row r="238" spans="1:17" ht="28.5">
      <c r="A238" s="70">
        <f>Datos!A237</f>
        <v>236</v>
      </c>
      <c r="B238" s="70">
        <f>Datos!B237</f>
        <v>0</v>
      </c>
      <c r="C238" s="71">
        <f>Datos!C237</f>
        <v>0</v>
      </c>
      <c r="D238" s="71">
        <f>Datos!D237</f>
        <v>0</v>
      </c>
      <c r="E238" s="71">
        <f>Datos!F237</f>
        <v>0</v>
      </c>
      <c r="F238" s="71">
        <f>Datos!G237</f>
        <v>0</v>
      </c>
      <c r="G238" s="71">
        <f>Datos!H237</f>
        <v>0</v>
      </c>
      <c r="H238" s="71">
        <f>Datos!I237</f>
        <v>0</v>
      </c>
      <c r="I238" s="71">
        <f>Datos!J237</f>
        <v>0</v>
      </c>
      <c r="J238" s="6" t="s">
        <v>16</v>
      </c>
      <c r="K238" s="6" t="s">
        <v>16</v>
      </c>
      <c r="L238" s="6" t="s">
        <v>16</v>
      </c>
      <c r="M238" s="6" t="s">
        <v>16</v>
      </c>
      <c r="N238" s="6" t="s">
        <v>16</v>
      </c>
      <c r="O238" s="6" t="s">
        <v>16</v>
      </c>
      <c r="P238" s="6" t="s">
        <v>16</v>
      </c>
      <c r="Q238" s="6" t="str">
        <f t="shared" si="3"/>
        <v>Ausencia total del riesgo, reevaluar cada 3 años con nueva identificación inicial</v>
      </c>
    </row>
    <row r="239" spans="1:17" ht="28.5">
      <c r="A239" s="70">
        <f>Datos!A238</f>
        <v>237</v>
      </c>
      <c r="B239" s="70">
        <f>Datos!B238</f>
        <v>0</v>
      </c>
      <c r="C239" s="71">
        <f>Datos!C238</f>
        <v>0</v>
      </c>
      <c r="D239" s="71">
        <f>Datos!D238</f>
        <v>0</v>
      </c>
      <c r="E239" s="71">
        <f>Datos!F238</f>
        <v>0</v>
      </c>
      <c r="F239" s="71">
        <f>Datos!G238</f>
        <v>0</v>
      </c>
      <c r="G239" s="71">
        <f>Datos!H238</f>
        <v>0</v>
      </c>
      <c r="H239" s="71">
        <f>Datos!I238</f>
        <v>0</v>
      </c>
      <c r="I239" s="71">
        <f>Datos!J238</f>
        <v>0</v>
      </c>
      <c r="J239" s="6" t="s">
        <v>16</v>
      </c>
      <c r="K239" s="6" t="s">
        <v>16</v>
      </c>
      <c r="L239" s="6" t="s">
        <v>16</v>
      </c>
      <c r="M239" s="6" t="s">
        <v>16</v>
      </c>
      <c r="N239" s="6" t="s">
        <v>16</v>
      </c>
      <c r="O239" s="6" t="s">
        <v>16</v>
      </c>
      <c r="P239" s="6" t="s">
        <v>16</v>
      </c>
      <c r="Q239" s="6" t="str">
        <f t="shared" si="3"/>
        <v>Ausencia total del riesgo, reevaluar cada 3 años con nueva identificación inicial</v>
      </c>
    </row>
    <row r="240" spans="1:17" ht="28.5">
      <c r="A240" s="70">
        <f>Datos!A239</f>
        <v>238</v>
      </c>
      <c r="B240" s="70">
        <f>Datos!B239</f>
        <v>0</v>
      </c>
      <c r="C240" s="71">
        <f>Datos!C239</f>
        <v>0</v>
      </c>
      <c r="D240" s="71">
        <f>Datos!D239</f>
        <v>0</v>
      </c>
      <c r="E240" s="71">
        <f>Datos!F239</f>
        <v>0</v>
      </c>
      <c r="F240" s="71">
        <f>Datos!G239</f>
        <v>0</v>
      </c>
      <c r="G240" s="71">
        <f>Datos!H239</f>
        <v>0</v>
      </c>
      <c r="H240" s="71">
        <f>Datos!I239</f>
        <v>0</v>
      </c>
      <c r="I240" s="71">
        <f>Datos!J239</f>
        <v>0</v>
      </c>
      <c r="J240" s="6" t="s">
        <v>16</v>
      </c>
      <c r="K240" s="6" t="s">
        <v>16</v>
      </c>
      <c r="L240" s="6" t="s">
        <v>16</v>
      </c>
      <c r="M240" s="6" t="s">
        <v>16</v>
      </c>
      <c r="N240" s="6" t="s">
        <v>16</v>
      </c>
      <c r="O240" s="6" t="s">
        <v>16</v>
      </c>
      <c r="P240" s="6" t="s">
        <v>16</v>
      </c>
      <c r="Q240" s="6" t="str">
        <f t="shared" ref="Q240:Q303" si="4">IF(AND(J240="NO",K240="NO",L240="NO",M240="NO",N240="NO",O240="NO",P240="NO"),"Ausencia total del riesgo, reevaluar cada 3 años con nueva identificación inicial","Aplicar identificación avanzada-condición aceptable para cada tipo de factor de riesgo identificado")</f>
        <v>Ausencia total del riesgo, reevaluar cada 3 años con nueva identificación inicial</v>
      </c>
    </row>
    <row r="241" spans="1:17" ht="28.5">
      <c r="A241" s="70">
        <f>Datos!A240</f>
        <v>239</v>
      </c>
      <c r="B241" s="70">
        <f>Datos!B240</f>
        <v>0</v>
      </c>
      <c r="C241" s="71">
        <f>Datos!C240</f>
        <v>0</v>
      </c>
      <c r="D241" s="71">
        <f>Datos!D240</f>
        <v>0</v>
      </c>
      <c r="E241" s="71">
        <f>Datos!F240</f>
        <v>0</v>
      </c>
      <c r="F241" s="71">
        <f>Datos!G240</f>
        <v>0</v>
      </c>
      <c r="G241" s="71">
        <f>Datos!H240</f>
        <v>0</v>
      </c>
      <c r="H241" s="71">
        <f>Datos!I240</f>
        <v>0</v>
      </c>
      <c r="I241" s="71">
        <f>Datos!J240</f>
        <v>0</v>
      </c>
      <c r="J241" s="6" t="s">
        <v>16</v>
      </c>
      <c r="K241" s="6" t="s">
        <v>16</v>
      </c>
      <c r="L241" s="6" t="s">
        <v>16</v>
      </c>
      <c r="M241" s="6" t="s">
        <v>16</v>
      </c>
      <c r="N241" s="6" t="s">
        <v>16</v>
      </c>
      <c r="O241" s="6" t="s">
        <v>16</v>
      </c>
      <c r="P241" s="6" t="s">
        <v>16</v>
      </c>
      <c r="Q241" s="6" t="str">
        <f t="shared" si="4"/>
        <v>Ausencia total del riesgo, reevaluar cada 3 años con nueva identificación inicial</v>
      </c>
    </row>
    <row r="242" spans="1:17" ht="28.5">
      <c r="A242" s="70">
        <f>Datos!A241</f>
        <v>240</v>
      </c>
      <c r="B242" s="70">
        <f>Datos!B241</f>
        <v>0</v>
      </c>
      <c r="C242" s="71">
        <f>Datos!C241</f>
        <v>0</v>
      </c>
      <c r="D242" s="71">
        <f>Datos!D241</f>
        <v>0</v>
      </c>
      <c r="E242" s="71">
        <f>Datos!F241</f>
        <v>0</v>
      </c>
      <c r="F242" s="71">
        <f>Datos!G241</f>
        <v>0</v>
      </c>
      <c r="G242" s="71">
        <f>Datos!H241</f>
        <v>0</v>
      </c>
      <c r="H242" s="71">
        <f>Datos!I241</f>
        <v>0</v>
      </c>
      <c r="I242" s="71">
        <f>Datos!J241</f>
        <v>0</v>
      </c>
      <c r="J242" s="6" t="s">
        <v>16</v>
      </c>
      <c r="K242" s="6" t="s">
        <v>16</v>
      </c>
      <c r="L242" s="6" t="s">
        <v>16</v>
      </c>
      <c r="M242" s="6" t="s">
        <v>16</v>
      </c>
      <c r="N242" s="6" t="s">
        <v>16</v>
      </c>
      <c r="O242" s="6" t="s">
        <v>16</v>
      </c>
      <c r="P242" s="6" t="s">
        <v>16</v>
      </c>
      <c r="Q242" s="6" t="str">
        <f t="shared" si="4"/>
        <v>Ausencia total del riesgo, reevaluar cada 3 años con nueva identificación inicial</v>
      </c>
    </row>
    <row r="243" spans="1:17" ht="28.5">
      <c r="A243" s="70">
        <f>Datos!A242</f>
        <v>241</v>
      </c>
      <c r="B243" s="70">
        <f>Datos!B242</f>
        <v>0</v>
      </c>
      <c r="C243" s="71">
        <f>Datos!C242</f>
        <v>0</v>
      </c>
      <c r="D243" s="71">
        <f>Datos!D242</f>
        <v>0</v>
      </c>
      <c r="E243" s="71">
        <f>Datos!F242</f>
        <v>0</v>
      </c>
      <c r="F243" s="71">
        <f>Datos!G242</f>
        <v>0</v>
      </c>
      <c r="G243" s="71">
        <f>Datos!H242</f>
        <v>0</v>
      </c>
      <c r="H243" s="71">
        <f>Datos!I242</f>
        <v>0</v>
      </c>
      <c r="I243" s="71">
        <f>Datos!J242</f>
        <v>0</v>
      </c>
      <c r="J243" s="6" t="s">
        <v>16</v>
      </c>
      <c r="K243" s="6" t="s">
        <v>16</v>
      </c>
      <c r="L243" s="6" t="s">
        <v>16</v>
      </c>
      <c r="M243" s="6" t="s">
        <v>16</v>
      </c>
      <c r="N243" s="6" t="s">
        <v>16</v>
      </c>
      <c r="O243" s="6" t="s">
        <v>16</v>
      </c>
      <c r="P243" s="6" t="s">
        <v>16</v>
      </c>
      <c r="Q243" s="6" t="str">
        <f t="shared" si="4"/>
        <v>Ausencia total del riesgo, reevaluar cada 3 años con nueva identificación inicial</v>
      </c>
    </row>
    <row r="244" spans="1:17" ht="28.5">
      <c r="A244" s="70">
        <f>Datos!A243</f>
        <v>242</v>
      </c>
      <c r="B244" s="70">
        <f>Datos!B243</f>
        <v>0</v>
      </c>
      <c r="C244" s="71">
        <f>Datos!C243</f>
        <v>0</v>
      </c>
      <c r="D244" s="71">
        <f>Datos!D243</f>
        <v>0</v>
      </c>
      <c r="E244" s="71">
        <f>Datos!F243</f>
        <v>0</v>
      </c>
      <c r="F244" s="71">
        <f>Datos!G243</f>
        <v>0</v>
      </c>
      <c r="G244" s="71">
        <f>Datos!H243</f>
        <v>0</v>
      </c>
      <c r="H244" s="71">
        <f>Datos!I243</f>
        <v>0</v>
      </c>
      <c r="I244" s="71">
        <f>Datos!J243</f>
        <v>0</v>
      </c>
      <c r="J244" s="6" t="s">
        <v>16</v>
      </c>
      <c r="K244" s="6" t="s">
        <v>16</v>
      </c>
      <c r="L244" s="6" t="s">
        <v>16</v>
      </c>
      <c r="M244" s="6" t="s">
        <v>16</v>
      </c>
      <c r="N244" s="6" t="s">
        <v>16</v>
      </c>
      <c r="O244" s="6" t="s">
        <v>16</v>
      </c>
      <c r="P244" s="6" t="s">
        <v>16</v>
      </c>
      <c r="Q244" s="6" t="str">
        <f t="shared" si="4"/>
        <v>Ausencia total del riesgo, reevaluar cada 3 años con nueva identificación inicial</v>
      </c>
    </row>
    <row r="245" spans="1:17" ht="28.5">
      <c r="A245" s="70">
        <f>Datos!A244</f>
        <v>243</v>
      </c>
      <c r="B245" s="70">
        <f>Datos!B244</f>
        <v>0</v>
      </c>
      <c r="C245" s="71">
        <f>Datos!C244</f>
        <v>0</v>
      </c>
      <c r="D245" s="71">
        <f>Datos!D244</f>
        <v>0</v>
      </c>
      <c r="E245" s="71">
        <f>Datos!F244</f>
        <v>0</v>
      </c>
      <c r="F245" s="71">
        <f>Datos!G244</f>
        <v>0</v>
      </c>
      <c r="G245" s="71">
        <f>Datos!H244</f>
        <v>0</v>
      </c>
      <c r="H245" s="71">
        <f>Datos!I244</f>
        <v>0</v>
      </c>
      <c r="I245" s="71">
        <f>Datos!J244</f>
        <v>0</v>
      </c>
      <c r="J245" s="6" t="s">
        <v>16</v>
      </c>
      <c r="K245" s="6" t="s">
        <v>16</v>
      </c>
      <c r="L245" s="6" t="s">
        <v>16</v>
      </c>
      <c r="M245" s="6" t="s">
        <v>16</v>
      </c>
      <c r="N245" s="6" t="s">
        <v>16</v>
      </c>
      <c r="O245" s="6" t="s">
        <v>16</v>
      </c>
      <c r="P245" s="6" t="s">
        <v>16</v>
      </c>
      <c r="Q245" s="6" t="str">
        <f t="shared" si="4"/>
        <v>Ausencia total del riesgo, reevaluar cada 3 años con nueva identificación inicial</v>
      </c>
    </row>
    <row r="246" spans="1:17" ht="28.5">
      <c r="A246" s="70">
        <f>Datos!A245</f>
        <v>244</v>
      </c>
      <c r="B246" s="70">
        <f>Datos!B245</f>
        <v>0</v>
      </c>
      <c r="C246" s="71">
        <f>Datos!C245</f>
        <v>0</v>
      </c>
      <c r="D246" s="71">
        <f>Datos!D245</f>
        <v>0</v>
      </c>
      <c r="E246" s="71">
        <f>Datos!F245</f>
        <v>0</v>
      </c>
      <c r="F246" s="71">
        <f>Datos!G245</f>
        <v>0</v>
      </c>
      <c r="G246" s="71">
        <f>Datos!H245</f>
        <v>0</v>
      </c>
      <c r="H246" s="71">
        <f>Datos!I245</f>
        <v>0</v>
      </c>
      <c r="I246" s="71">
        <f>Datos!J245</f>
        <v>0</v>
      </c>
      <c r="J246" s="6" t="s">
        <v>16</v>
      </c>
      <c r="K246" s="6" t="s">
        <v>16</v>
      </c>
      <c r="L246" s="6" t="s">
        <v>16</v>
      </c>
      <c r="M246" s="6" t="s">
        <v>16</v>
      </c>
      <c r="N246" s="6" t="s">
        <v>16</v>
      </c>
      <c r="O246" s="6" t="s">
        <v>16</v>
      </c>
      <c r="P246" s="6" t="s">
        <v>16</v>
      </c>
      <c r="Q246" s="6" t="str">
        <f t="shared" si="4"/>
        <v>Ausencia total del riesgo, reevaluar cada 3 años con nueva identificación inicial</v>
      </c>
    </row>
    <row r="247" spans="1:17" ht="28.5">
      <c r="A247" s="70">
        <f>Datos!A246</f>
        <v>245</v>
      </c>
      <c r="B247" s="70">
        <f>Datos!B246</f>
        <v>0</v>
      </c>
      <c r="C247" s="71">
        <f>Datos!C246</f>
        <v>0</v>
      </c>
      <c r="D247" s="71">
        <f>Datos!D246</f>
        <v>0</v>
      </c>
      <c r="E247" s="71">
        <f>Datos!F246</f>
        <v>0</v>
      </c>
      <c r="F247" s="71">
        <f>Datos!G246</f>
        <v>0</v>
      </c>
      <c r="G247" s="71">
        <f>Datos!H246</f>
        <v>0</v>
      </c>
      <c r="H247" s="71">
        <f>Datos!I246</f>
        <v>0</v>
      </c>
      <c r="I247" s="71">
        <f>Datos!J246</f>
        <v>0</v>
      </c>
      <c r="J247" s="6" t="s">
        <v>16</v>
      </c>
      <c r="K247" s="6" t="s">
        <v>16</v>
      </c>
      <c r="L247" s="6" t="s">
        <v>16</v>
      </c>
      <c r="M247" s="6" t="s">
        <v>16</v>
      </c>
      <c r="N247" s="6" t="s">
        <v>16</v>
      </c>
      <c r="O247" s="6" t="s">
        <v>16</v>
      </c>
      <c r="P247" s="6" t="s">
        <v>16</v>
      </c>
      <c r="Q247" s="6" t="str">
        <f t="shared" si="4"/>
        <v>Ausencia total del riesgo, reevaluar cada 3 años con nueva identificación inicial</v>
      </c>
    </row>
    <row r="248" spans="1:17" ht="28.5">
      <c r="A248" s="70">
        <f>Datos!A247</f>
        <v>246</v>
      </c>
      <c r="B248" s="70">
        <f>Datos!B247</f>
        <v>0</v>
      </c>
      <c r="C248" s="71">
        <f>Datos!C247</f>
        <v>0</v>
      </c>
      <c r="D248" s="71">
        <f>Datos!D247</f>
        <v>0</v>
      </c>
      <c r="E248" s="71">
        <f>Datos!F247</f>
        <v>0</v>
      </c>
      <c r="F248" s="71">
        <f>Datos!G247</f>
        <v>0</v>
      </c>
      <c r="G248" s="71">
        <f>Datos!H247</f>
        <v>0</v>
      </c>
      <c r="H248" s="71">
        <f>Datos!I247</f>
        <v>0</v>
      </c>
      <c r="I248" s="71">
        <f>Datos!J247</f>
        <v>0</v>
      </c>
      <c r="J248" s="6" t="s">
        <v>16</v>
      </c>
      <c r="K248" s="6" t="s">
        <v>16</v>
      </c>
      <c r="L248" s="6" t="s">
        <v>16</v>
      </c>
      <c r="M248" s="6" t="s">
        <v>16</v>
      </c>
      <c r="N248" s="6" t="s">
        <v>16</v>
      </c>
      <c r="O248" s="6" t="s">
        <v>16</v>
      </c>
      <c r="P248" s="6" t="s">
        <v>16</v>
      </c>
      <c r="Q248" s="6" t="str">
        <f t="shared" si="4"/>
        <v>Ausencia total del riesgo, reevaluar cada 3 años con nueva identificación inicial</v>
      </c>
    </row>
    <row r="249" spans="1:17" ht="28.5">
      <c r="A249" s="70">
        <f>Datos!A248</f>
        <v>247</v>
      </c>
      <c r="B249" s="70">
        <f>Datos!B248</f>
        <v>0</v>
      </c>
      <c r="C249" s="71">
        <f>Datos!C248</f>
        <v>0</v>
      </c>
      <c r="D249" s="71">
        <f>Datos!D248</f>
        <v>0</v>
      </c>
      <c r="E249" s="71">
        <f>Datos!F248</f>
        <v>0</v>
      </c>
      <c r="F249" s="71">
        <f>Datos!G248</f>
        <v>0</v>
      </c>
      <c r="G249" s="71">
        <f>Datos!H248</f>
        <v>0</v>
      </c>
      <c r="H249" s="71">
        <f>Datos!I248</f>
        <v>0</v>
      </c>
      <c r="I249" s="71">
        <f>Datos!J248</f>
        <v>0</v>
      </c>
      <c r="J249" s="6" t="s">
        <v>16</v>
      </c>
      <c r="K249" s="6" t="s">
        <v>16</v>
      </c>
      <c r="L249" s="6" t="s">
        <v>16</v>
      </c>
      <c r="M249" s="6" t="s">
        <v>16</v>
      </c>
      <c r="N249" s="6" t="s">
        <v>16</v>
      </c>
      <c r="O249" s="6" t="s">
        <v>16</v>
      </c>
      <c r="P249" s="6" t="s">
        <v>16</v>
      </c>
      <c r="Q249" s="6" t="str">
        <f t="shared" si="4"/>
        <v>Ausencia total del riesgo, reevaluar cada 3 años con nueva identificación inicial</v>
      </c>
    </row>
    <row r="250" spans="1:17" ht="28.5">
      <c r="A250" s="70">
        <f>Datos!A249</f>
        <v>248</v>
      </c>
      <c r="B250" s="70">
        <f>Datos!B249</f>
        <v>0</v>
      </c>
      <c r="C250" s="71">
        <f>Datos!C249</f>
        <v>0</v>
      </c>
      <c r="D250" s="71">
        <f>Datos!D249</f>
        <v>0</v>
      </c>
      <c r="E250" s="71">
        <f>Datos!F249</f>
        <v>0</v>
      </c>
      <c r="F250" s="71">
        <f>Datos!G249</f>
        <v>0</v>
      </c>
      <c r="G250" s="71">
        <f>Datos!H249</f>
        <v>0</v>
      </c>
      <c r="H250" s="71">
        <f>Datos!I249</f>
        <v>0</v>
      </c>
      <c r="I250" s="71">
        <f>Datos!J249</f>
        <v>0</v>
      </c>
      <c r="J250" s="6" t="s">
        <v>16</v>
      </c>
      <c r="K250" s="6" t="s">
        <v>16</v>
      </c>
      <c r="L250" s="6" t="s">
        <v>16</v>
      </c>
      <c r="M250" s="6" t="s">
        <v>16</v>
      </c>
      <c r="N250" s="6" t="s">
        <v>16</v>
      </c>
      <c r="O250" s="6" t="s">
        <v>16</v>
      </c>
      <c r="P250" s="6" t="s">
        <v>16</v>
      </c>
      <c r="Q250" s="6" t="str">
        <f t="shared" si="4"/>
        <v>Ausencia total del riesgo, reevaluar cada 3 años con nueva identificación inicial</v>
      </c>
    </row>
    <row r="251" spans="1:17" ht="28.5">
      <c r="A251" s="70">
        <f>Datos!A250</f>
        <v>249</v>
      </c>
      <c r="B251" s="70">
        <f>Datos!B250</f>
        <v>0</v>
      </c>
      <c r="C251" s="71">
        <f>Datos!C250</f>
        <v>0</v>
      </c>
      <c r="D251" s="71">
        <f>Datos!D250</f>
        <v>0</v>
      </c>
      <c r="E251" s="71">
        <f>Datos!F250</f>
        <v>0</v>
      </c>
      <c r="F251" s="71">
        <f>Datos!G250</f>
        <v>0</v>
      </c>
      <c r="G251" s="71">
        <f>Datos!H250</f>
        <v>0</v>
      </c>
      <c r="H251" s="71">
        <f>Datos!I250</f>
        <v>0</v>
      </c>
      <c r="I251" s="71">
        <f>Datos!J250</f>
        <v>0</v>
      </c>
      <c r="J251" s="6" t="s">
        <v>16</v>
      </c>
      <c r="K251" s="6" t="s">
        <v>16</v>
      </c>
      <c r="L251" s="6" t="s">
        <v>16</v>
      </c>
      <c r="M251" s="6" t="s">
        <v>16</v>
      </c>
      <c r="N251" s="6" t="s">
        <v>16</v>
      </c>
      <c r="O251" s="6" t="s">
        <v>16</v>
      </c>
      <c r="P251" s="6" t="s">
        <v>16</v>
      </c>
      <c r="Q251" s="6" t="str">
        <f t="shared" si="4"/>
        <v>Ausencia total del riesgo, reevaluar cada 3 años con nueva identificación inicial</v>
      </c>
    </row>
    <row r="252" spans="1:17" ht="28.5">
      <c r="A252" s="70">
        <f>Datos!A251</f>
        <v>250</v>
      </c>
      <c r="B252" s="70">
        <f>Datos!B251</f>
        <v>0</v>
      </c>
      <c r="C252" s="71">
        <f>Datos!C251</f>
        <v>0</v>
      </c>
      <c r="D252" s="71">
        <f>Datos!D251</f>
        <v>0</v>
      </c>
      <c r="E252" s="71">
        <f>Datos!F251</f>
        <v>0</v>
      </c>
      <c r="F252" s="71">
        <f>Datos!G251</f>
        <v>0</v>
      </c>
      <c r="G252" s="71">
        <f>Datos!H251</f>
        <v>0</v>
      </c>
      <c r="H252" s="71">
        <f>Datos!I251</f>
        <v>0</v>
      </c>
      <c r="I252" s="71">
        <f>Datos!J251</f>
        <v>0</v>
      </c>
      <c r="J252" s="6" t="s">
        <v>16</v>
      </c>
      <c r="K252" s="6" t="s">
        <v>16</v>
      </c>
      <c r="L252" s="6" t="s">
        <v>16</v>
      </c>
      <c r="M252" s="6" t="s">
        <v>16</v>
      </c>
      <c r="N252" s="6" t="s">
        <v>16</v>
      </c>
      <c r="O252" s="6" t="s">
        <v>16</v>
      </c>
      <c r="P252" s="6" t="s">
        <v>16</v>
      </c>
      <c r="Q252" s="6" t="str">
        <f t="shared" si="4"/>
        <v>Ausencia total del riesgo, reevaluar cada 3 años con nueva identificación inicial</v>
      </c>
    </row>
    <row r="253" spans="1:17" ht="28.5">
      <c r="A253" s="70">
        <f>Datos!A252</f>
        <v>251</v>
      </c>
      <c r="B253" s="70">
        <f>Datos!B252</f>
        <v>0</v>
      </c>
      <c r="C253" s="71">
        <f>Datos!C252</f>
        <v>0</v>
      </c>
      <c r="D253" s="71">
        <f>Datos!D252</f>
        <v>0</v>
      </c>
      <c r="E253" s="71">
        <f>Datos!F252</f>
        <v>0</v>
      </c>
      <c r="F253" s="71">
        <f>Datos!G252</f>
        <v>0</v>
      </c>
      <c r="G253" s="71">
        <f>Datos!H252</f>
        <v>0</v>
      </c>
      <c r="H253" s="71">
        <f>Datos!I252</f>
        <v>0</v>
      </c>
      <c r="I253" s="71">
        <f>Datos!J252</f>
        <v>0</v>
      </c>
      <c r="J253" s="6" t="s">
        <v>16</v>
      </c>
      <c r="K253" s="6" t="s">
        <v>16</v>
      </c>
      <c r="L253" s="6" t="s">
        <v>16</v>
      </c>
      <c r="M253" s="6" t="s">
        <v>16</v>
      </c>
      <c r="N253" s="6" t="s">
        <v>16</v>
      </c>
      <c r="O253" s="6" t="s">
        <v>16</v>
      </c>
      <c r="P253" s="6" t="s">
        <v>16</v>
      </c>
      <c r="Q253" s="6" t="str">
        <f t="shared" si="4"/>
        <v>Ausencia total del riesgo, reevaluar cada 3 años con nueva identificación inicial</v>
      </c>
    </row>
    <row r="254" spans="1:17" ht="28.5">
      <c r="A254" s="70">
        <f>Datos!A253</f>
        <v>252</v>
      </c>
      <c r="B254" s="70">
        <f>Datos!B253</f>
        <v>0</v>
      </c>
      <c r="C254" s="71">
        <f>Datos!C253</f>
        <v>0</v>
      </c>
      <c r="D254" s="71">
        <f>Datos!D253</f>
        <v>0</v>
      </c>
      <c r="E254" s="71">
        <f>Datos!F253</f>
        <v>0</v>
      </c>
      <c r="F254" s="71">
        <f>Datos!G253</f>
        <v>0</v>
      </c>
      <c r="G254" s="71">
        <f>Datos!H253</f>
        <v>0</v>
      </c>
      <c r="H254" s="71">
        <f>Datos!I253</f>
        <v>0</v>
      </c>
      <c r="I254" s="71">
        <f>Datos!J253</f>
        <v>0</v>
      </c>
      <c r="J254" s="6" t="s">
        <v>16</v>
      </c>
      <c r="K254" s="6" t="s">
        <v>16</v>
      </c>
      <c r="L254" s="6" t="s">
        <v>16</v>
      </c>
      <c r="M254" s="6" t="s">
        <v>16</v>
      </c>
      <c r="N254" s="6" t="s">
        <v>16</v>
      </c>
      <c r="O254" s="6" t="s">
        <v>16</v>
      </c>
      <c r="P254" s="6" t="s">
        <v>16</v>
      </c>
      <c r="Q254" s="6" t="str">
        <f t="shared" si="4"/>
        <v>Ausencia total del riesgo, reevaluar cada 3 años con nueva identificación inicial</v>
      </c>
    </row>
    <row r="255" spans="1:17" ht="28.5">
      <c r="A255" s="70">
        <f>Datos!A254</f>
        <v>253</v>
      </c>
      <c r="B255" s="70">
        <f>Datos!B254</f>
        <v>0</v>
      </c>
      <c r="C255" s="71">
        <f>Datos!C254</f>
        <v>0</v>
      </c>
      <c r="D255" s="71">
        <f>Datos!D254</f>
        <v>0</v>
      </c>
      <c r="E255" s="71">
        <f>Datos!F254</f>
        <v>0</v>
      </c>
      <c r="F255" s="71">
        <f>Datos!G254</f>
        <v>0</v>
      </c>
      <c r="G255" s="71">
        <f>Datos!H254</f>
        <v>0</v>
      </c>
      <c r="H255" s="71">
        <f>Datos!I254</f>
        <v>0</v>
      </c>
      <c r="I255" s="71">
        <f>Datos!J254</f>
        <v>0</v>
      </c>
      <c r="J255" s="6" t="s">
        <v>16</v>
      </c>
      <c r="K255" s="6" t="s">
        <v>16</v>
      </c>
      <c r="L255" s="6" t="s">
        <v>16</v>
      </c>
      <c r="M255" s="6" t="s">
        <v>16</v>
      </c>
      <c r="N255" s="6" t="s">
        <v>16</v>
      </c>
      <c r="O255" s="6" t="s">
        <v>16</v>
      </c>
      <c r="P255" s="6" t="s">
        <v>16</v>
      </c>
      <c r="Q255" s="6" t="str">
        <f t="shared" si="4"/>
        <v>Ausencia total del riesgo, reevaluar cada 3 años con nueva identificación inicial</v>
      </c>
    </row>
    <row r="256" spans="1:17" ht="28.5">
      <c r="A256" s="70">
        <f>Datos!A255</f>
        <v>254</v>
      </c>
      <c r="B256" s="70">
        <f>Datos!B255</f>
        <v>0</v>
      </c>
      <c r="C256" s="71">
        <f>Datos!C255</f>
        <v>0</v>
      </c>
      <c r="D256" s="71">
        <f>Datos!D255</f>
        <v>0</v>
      </c>
      <c r="E256" s="71">
        <f>Datos!F255</f>
        <v>0</v>
      </c>
      <c r="F256" s="71">
        <f>Datos!G255</f>
        <v>0</v>
      </c>
      <c r="G256" s="71">
        <f>Datos!H255</f>
        <v>0</v>
      </c>
      <c r="H256" s="71">
        <f>Datos!I255</f>
        <v>0</v>
      </c>
      <c r="I256" s="71">
        <f>Datos!J255</f>
        <v>0</v>
      </c>
      <c r="J256" s="6" t="s">
        <v>16</v>
      </c>
      <c r="K256" s="6" t="s">
        <v>16</v>
      </c>
      <c r="L256" s="6" t="s">
        <v>16</v>
      </c>
      <c r="M256" s="6" t="s">
        <v>16</v>
      </c>
      <c r="N256" s="6" t="s">
        <v>16</v>
      </c>
      <c r="O256" s="6" t="s">
        <v>16</v>
      </c>
      <c r="P256" s="6" t="s">
        <v>16</v>
      </c>
      <c r="Q256" s="6" t="str">
        <f t="shared" si="4"/>
        <v>Ausencia total del riesgo, reevaluar cada 3 años con nueva identificación inicial</v>
      </c>
    </row>
    <row r="257" spans="1:17" ht="28.5">
      <c r="A257" s="70">
        <f>Datos!A256</f>
        <v>255</v>
      </c>
      <c r="B257" s="70">
        <f>Datos!B256</f>
        <v>0</v>
      </c>
      <c r="C257" s="71">
        <f>Datos!C256</f>
        <v>0</v>
      </c>
      <c r="D257" s="71">
        <f>Datos!D256</f>
        <v>0</v>
      </c>
      <c r="E257" s="71">
        <f>Datos!F256</f>
        <v>0</v>
      </c>
      <c r="F257" s="71">
        <f>Datos!G256</f>
        <v>0</v>
      </c>
      <c r="G257" s="71">
        <f>Datos!H256</f>
        <v>0</v>
      </c>
      <c r="H257" s="71">
        <f>Datos!I256</f>
        <v>0</v>
      </c>
      <c r="I257" s="71">
        <f>Datos!J256</f>
        <v>0</v>
      </c>
      <c r="J257" s="6" t="s">
        <v>16</v>
      </c>
      <c r="K257" s="6" t="s">
        <v>16</v>
      </c>
      <c r="L257" s="6" t="s">
        <v>16</v>
      </c>
      <c r="M257" s="6" t="s">
        <v>16</v>
      </c>
      <c r="N257" s="6" t="s">
        <v>16</v>
      </c>
      <c r="O257" s="6" t="s">
        <v>16</v>
      </c>
      <c r="P257" s="6" t="s">
        <v>16</v>
      </c>
      <c r="Q257" s="6" t="str">
        <f t="shared" si="4"/>
        <v>Ausencia total del riesgo, reevaluar cada 3 años con nueva identificación inicial</v>
      </c>
    </row>
    <row r="258" spans="1:17" ht="28.5">
      <c r="A258" s="70">
        <f>Datos!A257</f>
        <v>256</v>
      </c>
      <c r="B258" s="70">
        <f>Datos!B257</f>
        <v>0</v>
      </c>
      <c r="C258" s="71">
        <f>Datos!C257</f>
        <v>0</v>
      </c>
      <c r="D258" s="71">
        <f>Datos!D257</f>
        <v>0</v>
      </c>
      <c r="E258" s="71">
        <f>Datos!F257</f>
        <v>0</v>
      </c>
      <c r="F258" s="71">
        <f>Datos!G257</f>
        <v>0</v>
      </c>
      <c r="G258" s="71">
        <f>Datos!H257</f>
        <v>0</v>
      </c>
      <c r="H258" s="71">
        <f>Datos!I257</f>
        <v>0</v>
      </c>
      <c r="I258" s="71">
        <f>Datos!J257</f>
        <v>0</v>
      </c>
      <c r="J258" s="6" t="s">
        <v>16</v>
      </c>
      <c r="K258" s="6" t="s">
        <v>16</v>
      </c>
      <c r="L258" s="6" t="s">
        <v>16</v>
      </c>
      <c r="M258" s="6" t="s">
        <v>16</v>
      </c>
      <c r="N258" s="6" t="s">
        <v>16</v>
      </c>
      <c r="O258" s="6" t="s">
        <v>16</v>
      </c>
      <c r="P258" s="6" t="s">
        <v>16</v>
      </c>
      <c r="Q258" s="6" t="str">
        <f t="shared" si="4"/>
        <v>Ausencia total del riesgo, reevaluar cada 3 años con nueva identificación inicial</v>
      </c>
    </row>
    <row r="259" spans="1:17" ht="28.5">
      <c r="A259" s="70">
        <f>Datos!A258</f>
        <v>257</v>
      </c>
      <c r="B259" s="70">
        <f>Datos!B258</f>
        <v>0</v>
      </c>
      <c r="C259" s="71">
        <f>Datos!C258</f>
        <v>0</v>
      </c>
      <c r="D259" s="71">
        <f>Datos!D258</f>
        <v>0</v>
      </c>
      <c r="E259" s="71">
        <f>Datos!F258</f>
        <v>0</v>
      </c>
      <c r="F259" s="71">
        <f>Datos!G258</f>
        <v>0</v>
      </c>
      <c r="G259" s="71">
        <f>Datos!H258</f>
        <v>0</v>
      </c>
      <c r="H259" s="71">
        <f>Datos!I258</f>
        <v>0</v>
      </c>
      <c r="I259" s="71">
        <f>Datos!J258</f>
        <v>0</v>
      </c>
      <c r="J259" s="6" t="s">
        <v>16</v>
      </c>
      <c r="K259" s="6" t="s">
        <v>16</v>
      </c>
      <c r="L259" s="6" t="s">
        <v>16</v>
      </c>
      <c r="M259" s="6" t="s">
        <v>16</v>
      </c>
      <c r="N259" s="6" t="s">
        <v>16</v>
      </c>
      <c r="O259" s="6" t="s">
        <v>16</v>
      </c>
      <c r="P259" s="6" t="s">
        <v>16</v>
      </c>
      <c r="Q259" s="6" t="str">
        <f t="shared" si="4"/>
        <v>Ausencia total del riesgo, reevaluar cada 3 años con nueva identificación inicial</v>
      </c>
    </row>
    <row r="260" spans="1:17" ht="28.5">
      <c r="A260" s="70">
        <f>Datos!A259</f>
        <v>258</v>
      </c>
      <c r="B260" s="70">
        <f>Datos!B259</f>
        <v>0</v>
      </c>
      <c r="C260" s="71">
        <f>Datos!C259</f>
        <v>0</v>
      </c>
      <c r="D260" s="71">
        <f>Datos!D259</f>
        <v>0</v>
      </c>
      <c r="E260" s="71">
        <f>Datos!F259</f>
        <v>0</v>
      </c>
      <c r="F260" s="71">
        <f>Datos!G259</f>
        <v>0</v>
      </c>
      <c r="G260" s="71">
        <f>Datos!H259</f>
        <v>0</v>
      </c>
      <c r="H260" s="71">
        <f>Datos!I259</f>
        <v>0</v>
      </c>
      <c r="I260" s="71">
        <f>Datos!J259</f>
        <v>0</v>
      </c>
      <c r="J260" s="6" t="s">
        <v>16</v>
      </c>
      <c r="K260" s="6" t="s">
        <v>16</v>
      </c>
      <c r="L260" s="6" t="s">
        <v>16</v>
      </c>
      <c r="M260" s="6" t="s">
        <v>16</v>
      </c>
      <c r="N260" s="6" t="s">
        <v>16</v>
      </c>
      <c r="O260" s="6" t="s">
        <v>16</v>
      </c>
      <c r="P260" s="6" t="s">
        <v>16</v>
      </c>
      <c r="Q260" s="6" t="str">
        <f t="shared" si="4"/>
        <v>Ausencia total del riesgo, reevaluar cada 3 años con nueva identificación inicial</v>
      </c>
    </row>
    <row r="261" spans="1:17" ht="28.5">
      <c r="A261" s="70">
        <f>Datos!A260</f>
        <v>259</v>
      </c>
      <c r="B261" s="70">
        <f>Datos!B260</f>
        <v>0</v>
      </c>
      <c r="C261" s="71">
        <f>Datos!C260</f>
        <v>0</v>
      </c>
      <c r="D261" s="71">
        <f>Datos!D260</f>
        <v>0</v>
      </c>
      <c r="E261" s="71">
        <f>Datos!F260</f>
        <v>0</v>
      </c>
      <c r="F261" s="71">
        <f>Datos!G260</f>
        <v>0</v>
      </c>
      <c r="G261" s="71">
        <f>Datos!H260</f>
        <v>0</v>
      </c>
      <c r="H261" s="71">
        <f>Datos!I260</f>
        <v>0</v>
      </c>
      <c r="I261" s="71">
        <f>Datos!J260</f>
        <v>0</v>
      </c>
      <c r="J261" s="6" t="s">
        <v>16</v>
      </c>
      <c r="K261" s="6" t="s">
        <v>16</v>
      </c>
      <c r="L261" s="6" t="s">
        <v>16</v>
      </c>
      <c r="M261" s="6" t="s">
        <v>16</v>
      </c>
      <c r="N261" s="6" t="s">
        <v>16</v>
      </c>
      <c r="O261" s="6" t="s">
        <v>16</v>
      </c>
      <c r="P261" s="6" t="s">
        <v>16</v>
      </c>
      <c r="Q261" s="6" t="str">
        <f t="shared" si="4"/>
        <v>Ausencia total del riesgo, reevaluar cada 3 años con nueva identificación inicial</v>
      </c>
    </row>
    <row r="262" spans="1:17" ht="28.5">
      <c r="A262" s="70">
        <f>Datos!A261</f>
        <v>260</v>
      </c>
      <c r="B262" s="70">
        <f>Datos!B261</f>
        <v>0</v>
      </c>
      <c r="C262" s="71">
        <f>Datos!C261</f>
        <v>0</v>
      </c>
      <c r="D262" s="71">
        <f>Datos!D261</f>
        <v>0</v>
      </c>
      <c r="E262" s="71">
        <f>Datos!F261</f>
        <v>0</v>
      </c>
      <c r="F262" s="71">
        <f>Datos!G261</f>
        <v>0</v>
      </c>
      <c r="G262" s="71">
        <f>Datos!H261</f>
        <v>0</v>
      </c>
      <c r="H262" s="71">
        <f>Datos!I261</f>
        <v>0</v>
      </c>
      <c r="I262" s="71">
        <f>Datos!J261</f>
        <v>0</v>
      </c>
      <c r="J262" s="6" t="s">
        <v>16</v>
      </c>
      <c r="K262" s="6" t="s">
        <v>16</v>
      </c>
      <c r="L262" s="6" t="s">
        <v>16</v>
      </c>
      <c r="M262" s="6" t="s">
        <v>16</v>
      </c>
      <c r="N262" s="6" t="s">
        <v>16</v>
      </c>
      <c r="O262" s="6" t="s">
        <v>16</v>
      </c>
      <c r="P262" s="6" t="s">
        <v>16</v>
      </c>
      <c r="Q262" s="6" t="str">
        <f t="shared" si="4"/>
        <v>Ausencia total del riesgo, reevaluar cada 3 años con nueva identificación inicial</v>
      </c>
    </row>
    <row r="263" spans="1:17" ht="28.5">
      <c r="A263" s="70">
        <f>Datos!A262</f>
        <v>261</v>
      </c>
      <c r="B263" s="70">
        <f>Datos!B262</f>
        <v>0</v>
      </c>
      <c r="C263" s="71">
        <f>Datos!C262</f>
        <v>0</v>
      </c>
      <c r="D263" s="71">
        <f>Datos!D262</f>
        <v>0</v>
      </c>
      <c r="E263" s="71">
        <f>Datos!F262</f>
        <v>0</v>
      </c>
      <c r="F263" s="71">
        <f>Datos!G262</f>
        <v>0</v>
      </c>
      <c r="G263" s="71">
        <f>Datos!H262</f>
        <v>0</v>
      </c>
      <c r="H263" s="71">
        <f>Datos!I262</f>
        <v>0</v>
      </c>
      <c r="I263" s="71">
        <f>Datos!J262</f>
        <v>0</v>
      </c>
      <c r="J263" s="6" t="s">
        <v>16</v>
      </c>
      <c r="K263" s="6" t="s">
        <v>16</v>
      </c>
      <c r="L263" s="6" t="s">
        <v>16</v>
      </c>
      <c r="M263" s="6" t="s">
        <v>16</v>
      </c>
      <c r="N263" s="6" t="s">
        <v>16</v>
      </c>
      <c r="O263" s="6" t="s">
        <v>16</v>
      </c>
      <c r="P263" s="6" t="s">
        <v>16</v>
      </c>
      <c r="Q263" s="6" t="str">
        <f t="shared" si="4"/>
        <v>Ausencia total del riesgo, reevaluar cada 3 años con nueva identificación inicial</v>
      </c>
    </row>
    <row r="264" spans="1:17" ht="28.5">
      <c r="A264" s="70">
        <f>Datos!A263</f>
        <v>262</v>
      </c>
      <c r="B264" s="70">
        <f>Datos!B263</f>
        <v>0</v>
      </c>
      <c r="C264" s="71">
        <f>Datos!C263</f>
        <v>0</v>
      </c>
      <c r="D264" s="71">
        <f>Datos!D263</f>
        <v>0</v>
      </c>
      <c r="E264" s="71">
        <f>Datos!F263</f>
        <v>0</v>
      </c>
      <c r="F264" s="71">
        <f>Datos!G263</f>
        <v>0</v>
      </c>
      <c r="G264" s="71">
        <f>Datos!H263</f>
        <v>0</v>
      </c>
      <c r="H264" s="71">
        <f>Datos!I263</f>
        <v>0</v>
      </c>
      <c r="I264" s="71">
        <f>Datos!J263</f>
        <v>0</v>
      </c>
      <c r="J264" s="6" t="s">
        <v>16</v>
      </c>
      <c r="K264" s="6" t="s">
        <v>16</v>
      </c>
      <c r="L264" s="6" t="s">
        <v>16</v>
      </c>
      <c r="M264" s="6" t="s">
        <v>16</v>
      </c>
      <c r="N264" s="6" t="s">
        <v>16</v>
      </c>
      <c r="O264" s="6" t="s">
        <v>16</v>
      </c>
      <c r="P264" s="6" t="s">
        <v>16</v>
      </c>
      <c r="Q264" s="6" t="str">
        <f t="shared" si="4"/>
        <v>Ausencia total del riesgo, reevaluar cada 3 años con nueva identificación inicial</v>
      </c>
    </row>
    <row r="265" spans="1:17" ht="28.5">
      <c r="A265" s="70">
        <f>Datos!A264</f>
        <v>263</v>
      </c>
      <c r="B265" s="70">
        <f>Datos!B264</f>
        <v>0</v>
      </c>
      <c r="C265" s="71">
        <f>Datos!C264</f>
        <v>0</v>
      </c>
      <c r="D265" s="71">
        <f>Datos!D264</f>
        <v>0</v>
      </c>
      <c r="E265" s="71">
        <f>Datos!F264</f>
        <v>0</v>
      </c>
      <c r="F265" s="71">
        <f>Datos!G264</f>
        <v>0</v>
      </c>
      <c r="G265" s="71">
        <f>Datos!H264</f>
        <v>0</v>
      </c>
      <c r="H265" s="71">
        <f>Datos!I264</f>
        <v>0</v>
      </c>
      <c r="I265" s="71">
        <f>Datos!J264</f>
        <v>0</v>
      </c>
      <c r="J265" s="6" t="s">
        <v>16</v>
      </c>
      <c r="K265" s="6" t="s">
        <v>16</v>
      </c>
      <c r="L265" s="6" t="s">
        <v>16</v>
      </c>
      <c r="M265" s="6" t="s">
        <v>16</v>
      </c>
      <c r="N265" s="6" t="s">
        <v>16</v>
      </c>
      <c r="O265" s="6" t="s">
        <v>16</v>
      </c>
      <c r="P265" s="6" t="s">
        <v>16</v>
      </c>
      <c r="Q265" s="6" t="str">
        <f t="shared" si="4"/>
        <v>Ausencia total del riesgo, reevaluar cada 3 años con nueva identificación inicial</v>
      </c>
    </row>
    <row r="266" spans="1:17" ht="28.5">
      <c r="A266" s="70">
        <f>Datos!A265</f>
        <v>264</v>
      </c>
      <c r="B266" s="70">
        <f>Datos!B265</f>
        <v>0</v>
      </c>
      <c r="C266" s="71">
        <f>Datos!C265</f>
        <v>0</v>
      </c>
      <c r="D266" s="71">
        <f>Datos!D265</f>
        <v>0</v>
      </c>
      <c r="E266" s="71">
        <f>Datos!F265</f>
        <v>0</v>
      </c>
      <c r="F266" s="71">
        <f>Datos!G265</f>
        <v>0</v>
      </c>
      <c r="G266" s="71">
        <f>Datos!H265</f>
        <v>0</v>
      </c>
      <c r="H266" s="71">
        <f>Datos!I265</f>
        <v>0</v>
      </c>
      <c r="I266" s="71">
        <f>Datos!J265</f>
        <v>0</v>
      </c>
      <c r="J266" s="6" t="s">
        <v>16</v>
      </c>
      <c r="K266" s="6" t="s">
        <v>16</v>
      </c>
      <c r="L266" s="6" t="s">
        <v>16</v>
      </c>
      <c r="M266" s="6" t="s">
        <v>16</v>
      </c>
      <c r="N266" s="6" t="s">
        <v>16</v>
      </c>
      <c r="O266" s="6" t="s">
        <v>16</v>
      </c>
      <c r="P266" s="6" t="s">
        <v>16</v>
      </c>
      <c r="Q266" s="6" t="str">
        <f t="shared" si="4"/>
        <v>Ausencia total del riesgo, reevaluar cada 3 años con nueva identificación inicial</v>
      </c>
    </row>
    <row r="267" spans="1:17" ht="28.5">
      <c r="A267" s="70">
        <f>Datos!A266</f>
        <v>265</v>
      </c>
      <c r="B267" s="70">
        <f>Datos!B266</f>
        <v>0</v>
      </c>
      <c r="C267" s="71">
        <f>Datos!C266</f>
        <v>0</v>
      </c>
      <c r="D267" s="71">
        <f>Datos!D266</f>
        <v>0</v>
      </c>
      <c r="E267" s="71">
        <f>Datos!F266</f>
        <v>0</v>
      </c>
      <c r="F267" s="71">
        <f>Datos!G266</f>
        <v>0</v>
      </c>
      <c r="G267" s="71">
        <f>Datos!H266</f>
        <v>0</v>
      </c>
      <c r="H267" s="71">
        <f>Datos!I266</f>
        <v>0</v>
      </c>
      <c r="I267" s="71">
        <f>Datos!J266</f>
        <v>0</v>
      </c>
      <c r="J267" s="6" t="s">
        <v>16</v>
      </c>
      <c r="K267" s="6" t="s">
        <v>16</v>
      </c>
      <c r="L267" s="6" t="s">
        <v>16</v>
      </c>
      <c r="M267" s="6" t="s">
        <v>16</v>
      </c>
      <c r="N267" s="6" t="s">
        <v>16</v>
      </c>
      <c r="O267" s="6" t="s">
        <v>16</v>
      </c>
      <c r="P267" s="6" t="s">
        <v>16</v>
      </c>
      <c r="Q267" s="6" t="str">
        <f t="shared" si="4"/>
        <v>Ausencia total del riesgo, reevaluar cada 3 años con nueva identificación inicial</v>
      </c>
    </row>
    <row r="268" spans="1:17" ht="28.5">
      <c r="A268" s="70">
        <f>Datos!A267</f>
        <v>266</v>
      </c>
      <c r="B268" s="70">
        <f>Datos!B267</f>
        <v>0</v>
      </c>
      <c r="C268" s="71">
        <f>Datos!C267</f>
        <v>0</v>
      </c>
      <c r="D268" s="71">
        <f>Datos!D267</f>
        <v>0</v>
      </c>
      <c r="E268" s="71">
        <f>Datos!F267</f>
        <v>0</v>
      </c>
      <c r="F268" s="71">
        <f>Datos!G267</f>
        <v>0</v>
      </c>
      <c r="G268" s="71">
        <f>Datos!H267</f>
        <v>0</v>
      </c>
      <c r="H268" s="71">
        <f>Datos!I267</f>
        <v>0</v>
      </c>
      <c r="I268" s="71">
        <f>Datos!J267</f>
        <v>0</v>
      </c>
      <c r="J268" s="6" t="s">
        <v>16</v>
      </c>
      <c r="K268" s="6" t="s">
        <v>16</v>
      </c>
      <c r="L268" s="6" t="s">
        <v>16</v>
      </c>
      <c r="M268" s="6" t="s">
        <v>16</v>
      </c>
      <c r="N268" s="6" t="s">
        <v>16</v>
      </c>
      <c r="O268" s="6" t="s">
        <v>16</v>
      </c>
      <c r="P268" s="6" t="s">
        <v>16</v>
      </c>
      <c r="Q268" s="6" t="str">
        <f t="shared" si="4"/>
        <v>Ausencia total del riesgo, reevaluar cada 3 años con nueva identificación inicial</v>
      </c>
    </row>
    <row r="269" spans="1:17" ht="28.5">
      <c r="A269" s="70">
        <f>Datos!A268</f>
        <v>267</v>
      </c>
      <c r="B269" s="70">
        <f>Datos!B268</f>
        <v>0</v>
      </c>
      <c r="C269" s="71">
        <f>Datos!C268</f>
        <v>0</v>
      </c>
      <c r="D269" s="71">
        <f>Datos!D268</f>
        <v>0</v>
      </c>
      <c r="E269" s="71">
        <f>Datos!F268</f>
        <v>0</v>
      </c>
      <c r="F269" s="71">
        <f>Datos!G268</f>
        <v>0</v>
      </c>
      <c r="G269" s="71">
        <f>Datos!H268</f>
        <v>0</v>
      </c>
      <c r="H269" s="71">
        <f>Datos!I268</f>
        <v>0</v>
      </c>
      <c r="I269" s="71">
        <f>Datos!J268</f>
        <v>0</v>
      </c>
      <c r="J269" s="6" t="s">
        <v>16</v>
      </c>
      <c r="K269" s="6" t="s">
        <v>16</v>
      </c>
      <c r="L269" s="6" t="s">
        <v>16</v>
      </c>
      <c r="M269" s="6" t="s">
        <v>16</v>
      </c>
      <c r="N269" s="6" t="s">
        <v>16</v>
      </c>
      <c r="O269" s="6" t="s">
        <v>16</v>
      </c>
      <c r="P269" s="6" t="s">
        <v>16</v>
      </c>
      <c r="Q269" s="6" t="str">
        <f t="shared" si="4"/>
        <v>Ausencia total del riesgo, reevaluar cada 3 años con nueva identificación inicial</v>
      </c>
    </row>
    <row r="270" spans="1:17" ht="28.5">
      <c r="A270" s="70">
        <f>Datos!A269</f>
        <v>268</v>
      </c>
      <c r="B270" s="70">
        <f>Datos!B269</f>
        <v>0</v>
      </c>
      <c r="C270" s="71">
        <f>Datos!C269</f>
        <v>0</v>
      </c>
      <c r="D270" s="71">
        <f>Datos!D269</f>
        <v>0</v>
      </c>
      <c r="E270" s="71">
        <f>Datos!F269</f>
        <v>0</v>
      </c>
      <c r="F270" s="71">
        <f>Datos!G269</f>
        <v>0</v>
      </c>
      <c r="G270" s="71">
        <f>Datos!H269</f>
        <v>0</v>
      </c>
      <c r="H270" s="71">
        <f>Datos!I269</f>
        <v>0</v>
      </c>
      <c r="I270" s="71">
        <f>Datos!J269</f>
        <v>0</v>
      </c>
      <c r="J270" s="6" t="s">
        <v>16</v>
      </c>
      <c r="K270" s="6" t="s">
        <v>16</v>
      </c>
      <c r="L270" s="6" t="s">
        <v>16</v>
      </c>
      <c r="M270" s="6" t="s">
        <v>16</v>
      </c>
      <c r="N270" s="6" t="s">
        <v>16</v>
      </c>
      <c r="O270" s="6" t="s">
        <v>16</v>
      </c>
      <c r="P270" s="6" t="s">
        <v>16</v>
      </c>
      <c r="Q270" s="6" t="str">
        <f t="shared" si="4"/>
        <v>Ausencia total del riesgo, reevaluar cada 3 años con nueva identificación inicial</v>
      </c>
    </row>
    <row r="271" spans="1:17" ht="28.5">
      <c r="A271" s="70">
        <f>Datos!A270</f>
        <v>269</v>
      </c>
      <c r="B271" s="70">
        <f>Datos!B270</f>
        <v>0</v>
      </c>
      <c r="C271" s="71">
        <f>Datos!C270</f>
        <v>0</v>
      </c>
      <c r="D271" s="71">
        <f>Datos!D270</f>
        <v>0</v>
      </c>
      <c r="E271" s="71">
        <f>Datos!F270</f>
        <v>0</v>
      </c>
      <c r="F271" s="71">
        <f>Datos!G270</f>
        <v>0</v>
      </c>
      <c r="G271" s="71">
        <f>Datos!H270</f>
        <v>0</v>
      </c>
      <c r="H271" s="71">
        <f>Datos!I270</f>
        <v>0</v>
      </c>
      <c r="I271" s="71">
        <f>Datos!J270</f>
        <v>0</v>
      </c>
      <c r="J271" s="6" t="s">
        <v>16</v>
      </c>
      <c r="K271" s="6" t="s">
        <v>16</v>
      </c>
      <c r="L271" s="6" t="s">
        <v>16</v>
      </c>
      <c r="M271" s="6" t="s">
        <v>16</v>
      </c>
      <c r="N271" s="6" t="s">
        <v>16</v>
      </c>
      <c r="O271" s="6" t="s">
        <v>16</v>
      </c>
      <c r="P271" s="6" t="s">
        <v>16</v>
      </c>
      <c r="Q271" s="6" t="str">
        <f t="shared" si="4"/>
        <v>Ausencia total del riesgo, reevaluar cada 3 años con nueva identificación inicial</v>
      </c>
    </row>
    <row r="272" spans="1:17" ht="28.5">
      <c r="A272" s="70">
        <f>Datos!A271</f>
        <v>270</v>
      </c>
      <c r="B272" s="70">
        <f>Datos!B271</f>
        <v>0</v>
      </c>
      <c r="C272" s="71">
        <f>Datos!C271</f>
        <v>0</v>
      </c>
      <c r="D272" s="71">
        <f>Datos!D271</f>
        <v>0</v>
      </c>
      <c r="E272" s="71">
        <f>Datos!F271</f>
        <v>0</v>
      </c>
      <c r="F272" s="71">
        <f>Datos!G271</f>
        <v>0</v>
      </c>
      <c r="G272" s="71">
        <f>Datos!H271</f>
        <v>0</v>
      </c>
      <c r="H272" s="71">
        <f>Datos!I271</f>
        <v>0</v>
      </c>
      <c r="I272" s="71">
        <f>Datos!J271</f>
        <v>0</v>
      </c>
      <c r="J272" s="6" t="s">
        <v>16</v>
      </c>
      <c r="K272" s="6" t="s">
        <v>16</v>
      </c>
      <c r="L272" s="6" t="s">
        <v>16</v>
      </c>
      <c r="M272" s="6" t="s">
        <v>16</v>
      </c>
      <c r="N272" s="6" t="s">
        <v>16</v>
      </c>
      <c r="O272" s="6" t="s">
        <v>16</v>
      </c>
      <c r="P272" s="6" t="s">
        <v>16</v>
      </c>
      <c r="Q272" s="6" t="str">
        <f t="shared" si="4"/>
        <v>Ausencia total del riesgo, reevaluar cada 3 años con nueva identificación inicial</v>
      </c>
    </row>
    <row r="273" spans="1:17" ht="28.5">
      <c r="A273" s="70">
        <f>Datos!A272</f>
        <v>271</v>
      </c>
      <c r="B273" s="70">
        <f>Datos!B272</f>
        <v>0</v>
      </c>
      <c r="C273" s="71">
        <f>Datos!C272</f>
        <v>0</v>
      </c>
      <c r="D273" s="71">
        <f>Datos!D272</f>
        <v>0</v>
      </c>
      <c r="E273" s="71">
        <f>Datos!F272</f>
        <v>0</v>
      </c>
      <c r="F273" s="71">
        <f>Datos!G272</f>
        <v>0</v>
      </c>
      <c r="G273" s="71">
        <f>Datos!H272</f>
        <v>0</v>
      </c>
      <c r="H273" s="71">
        <f>Datos!I272</f>
        <v>0</v>
      </c>
      <c r="I273" s="71">
        <f>Datos!J272</f>
        <v>0</v>
      </c>
      <c r="J273" s="6" t="s">
        <v>16</v>
      </c>
      <c r="K273" s="6" t="s">
        <v>16</v>
      </c>
      <c r="L273" s="6" t="s">
        <v>16</v>
      </c>
      <c r="M273" s="6" t="s">
        <v>16</v>
      </c>
      <c r="N273" s="6" t="s">
        <v>16</v>
      </c>
      <c r="O273" s="6" t="s">
        <v>16</v>
      </c>
      <c r="P273" s="6" t="s">
        <v>16</v>
      </c>
      <c r="Q273" s="6" t="str">
        <f t="shared" si="4"/>
        <v>Ausencia total del riesgo, reevaluar cada 3 años con nueva identificación inicial</v>
      </c>
    </row>
    <row r="274" spans="1:17" ht="28.5">
      <c r="A274" s="70">
        <f>Datos!A273</f>
        <v>272</v>
      </c>
      <c r="B274" s="70">
        <f>Datos!B273</f>
        <v>0</v>
      </c>
      <c r="C274" s="71">
        <f>Datos!C273</f>
        <v>0</v>
      </c>
      <c r="D274" s="71">
        <f>Datos!D273</f>
        <v>0</v>
      </c>
      <c r="E274" s="71">
        <f>Datos!F273</f>
        <v>0</v>
      </c>
      <c r="F274" s="71">
        <f>Datos!G273</f>
        <v>0</v>
      </c>
      <c r="G274" s="71">
        <f>Datos!H273</f>
        <v>0</v>
      </c>
      <c r="H274" s="71">
        <f>Datos!I273</f>
        <v>0</v>
      </c>
      <c r="I274" s="71">
        <f>Datos!J273</f>
        <v>0</v>
      </c>
      <c r="J274" s="6" t="s">
        <v>16</v>
      </c>
      <c r="K274" s="6" t="s">
        <v>16</v>
      </c>
      <c r="L274" s="6" t="s">
        <v>16</v>
      </c>
      <c r="M274" s="6" t="s">
        <v>16</v>
      </c>
      <c r="N274" s="6" t="s">
        <v>16</v>
      </c>
      <c r="O274" s="6" t="s">
        <v>16</v>
      </c>
      <c r="P274" s="6" t="s">
        <v>16</v>
      </c>
      <c r="Q274" s="6" t="str">
        <f t="shared" si="4"/>
        <v>Ausencia total del riesgo, reevaluar cada 3 años con nueva identificación inicial</v>
      </c>
    </row>
    <row r="275" spans="1:17" ht="28.5">
      <c r="A275" s="70">
        <f>Datos!A274</f>
        <v>273</v>
      </c>
      <c r="B275" s="70">
        <f>Datos!B274</f>
        <v>0</v>
      </c>
      <c r="C275" s="71">
        <f>Datos!C274</f>
        <v>0</v>
      </c>
      <c r="D275" s="71">
        <f>Datos!D274</f>
        <v>0</v>
      </c>
      <c r="E275" s="71">
        <f>Datos!F274</f>
        <v>0</v>
      </c>
      <c r="F275" s="71">
        <f>Datos!G274</f>
        <v>0</v>
      </c>
      <c r="G275" s="71">
        <f>Datos!H274</f>
        <v>0</v>
      </c>
      <c r="H275" s="71">
        <f>Datos!I274</f>
        <v>0</v>
      </c>
      <c r="I275" s="71">
        <f>Datos!J274</f>
        <v>0</v>
      </c>
      <c r="J275" s="6" t="s">
        <v>16</v>
      </c>
      <c r="K275" s="6" t="s">
        <v>16</v>
      </c>
      <c r="L275" s="6" t="s">
        <v>16</v>
      </c>
      <c r="M275" s="6" t="s">
        <v>16</v>
      </c>
      <c r="N275" s="6" t="s">
        <v>16</v>
      </c>
      <c r="O275" s="6" t="s">
        <v>16</v>
      </c>
      <c r="P275" s="6" t="s">
        <v>16</v>
      </c>
      <c r="Q275" s="6" t="str">
        <f t="shared" si="4"/>
        <v>Ausencia total del riesgo, reevaluar cada 3 años con nueva identificación inicial</v>
      </c>
    </row>
    <row r="276" spans="1:17" ht="28.5">
      <c r="A276" s="70">
        <f>Datos!A275</f>
        <v>274</v>
      </c>
      <c r="B276" s="70">
        <f>Datos!B275</f>
        <v>0</v>
      </c>
      <c r="C276" s="71">
        <f>Datos!C275</f>
        <v>0</v>
      </c>
      <c r="D276" s="71">
        <f>Datos!D275</f>
        <v>0</v>
      </c>
      <c r="E276" s="71">
        <f>Datos!F275</f>
        <v>0</v>
      </c>
      <c r="F276" s="71">
        <f>Datos!G275</f>
        <v>0</v>
      </c>
      <c r="G276" s="71">
        <f>Datos!H275</f>
        <v>0</v>
      </c>
      <c r="H276" s="71">
        <f>Datos!I275</f>
        <v>0</v>
      </c>
      <c r="I276" s="71">
        <f>Datos!J275</f>
        <v>0</v>
      </c>
      <c r="J276" s="6" t="s">
        <v>16</v>
      </c>
      <c r="K276" s="6" t="s">
        <v>16</v>
      </c>
      <c r="L276" s="6" t="s">
        <v>16</v>
      </c>
      <c r="M276" s="6" t="s">
        <v>16</v>
      </c>
      <c r="N276" s="6" t="s">
        <v>16</v>
      </c>
      <c r="O276" s="6" t="s">
        <v>16</v>
      </c>
      <c r="P276" s="6" t="s">
        <v>16</v>
      </c>
      <c r="Q276" s="6" t="str">
        <f t="shared" si="4"/>
        <v>Ausencia total del riesgo, reevaluar cada 3 años con nueva identificación inicial</v>
      </c>
    </row>
    <row r="277" spans="1:17" ht="28.5">
      <c r="A277" s="70">
        <f>Datos!A276</f>
        <v>275</v>
      </c>
      <c r="B277" s="70">
        <f>Datos!B276</f>
        <v>0</v>
      </c>
      <c r="C277" s="71">
        <f>Datos!C276</f>
        <v>0</v>
      </c>
      <c r="D277" s="71">
        <f>Datos!D276</f>
        <v>0</v>
      </c>
      <c r="E277" s="71">
        <f>Datos!F276</f>
        <v>0</v>
      </c>
      <c r="F277" s="71">
        <f>Datos!G276</f>
        <v>0</v>
      </c>
      <c r="G277" s="71">
        <f>Datos!H276</f>
        <v>0</v>
      </c>
      <c r="H277" s="71">
        <f>Datos!I276</f>
        <v>0</v>
      </c>
      <c r="I277" s="71">
        <f>Datos!J276</f>
        <v>0</v>
      </c>
      <c r="J277" s="6" t="s">
        <v>16</v>
      </c>
      <c r="K277" s="6" t="s">
        <v>16</v>
      </c>
      <c r="L277" s="6" t="s">
        <v>16</v>
      </c>
      <c r="M277" s="6" t="s">
        <v>16</v>
      </c>
      <c r="N277" s="6" t="s">
        <v>16</v>
      </c>
      <c r="O277" s="6" t="s">
        <v>16</v>
      </c>
      <c r="P277" s="6" t="s">
        <v>16</v>
      </c>
      <c r="Q277" s="6" t="str">
        <f t="shared" si="4"/>
        <v>Ausencia total del riesgo, reevaluar cada 3 años con nueva identificación inicial</v>
      </c>
    </row>
    <row r="278" spans="1:17" ht="28.5">
      <c r="A278" s="70">
        <f>Datos!A277</f>
        <v>276</v>
      </c>
      <c r="B278" s="70">
        <f>Datos!B277</f>
        <v>0</v>
      </c>
      <c r="C278" s="71">
        <f>Datos!C277</f>
        <v>0</v>
      </c>
      <c r="D278" s="71">
        <f>Datos!D277</f>
        <v>0</v>
      </c>
      <c r="E278" s="71">
        <f>Datos!F277</f>
        <v>0</v>
      </c>
      <c r="F278" s="71">
        <f>Datos!G277</f>
        <v>0</v>
      </c>
      <c r="G278" s="71">
        <f>Datos!H277</f>
        <v>0</v>
      </c>
      <c r="H278" s="71">
        <f>Datos!I277</f>
        <v>0</v>
      </c>
      <c r="I278" s="71">
        <f>Datos!J277</f>
        <v>0</v>
      </c>
      <c r="J278" s="6" t="s">
        <v>16</v>
      </c>
      <c r="K278" s="6" t="s">
        <v>16</v>
      </c>
      <c r="L278" s="6" t="s">
        <v>16</v>
      </c>
      <c r="M278" s="6" t="s">
        <v>16</v>
      </c>
      <c r="N278" s="6" t="s">
        <v>16</v>
      </c>
      <c r="O278" s="6" t="s">
        <v>16</v>
      </c>
      <c r="P278" s="6" t="s">
        <v>16</v>
      </c>
      <c r="Q278" s="6" t="str">
        <f t="shared" si="4"/>
        <v>Ausencia total del riesgo, reevaluar cada 3 años con nueva identificación inicial</v>
      </c>
    </row>
    <row r="279" spans="1:17" ht="28.5">
      <c r="A279" s="70">
        <f>Datos!A278</f>
        <v>277</v>
      </c>
      <c r="B279" s="70">
        <f>Datos!B278</f>
        <v>0</v>
      </c>
      <c r="C279" s="71">
        <f>Datos!C278</f>
        <v>0</v>
      </c>
      <c r="D279" s="71">
        <f>Datos!D278</f>
        <v>0</v>
      </c>
      <c r="E279" s="71">
        <f>Datos!F278</f>
        <v>0</v>
      </c>
      <c r="F279" s="71">
        <f>Datos!G278</f>
        <v>0</v>
      </c>
      <c r="G279" s="71">
        <f>Datos!H278</f>
        <v>0</v>
      </c>
      <c r="H279" s="71">
        <f>Datos!I278</f>
        <v>0</v>
      </c>
      <c r="I279" s="71">
        <f>Datos!J278</f>
        <v>0</v>
      </c>
      <c r="J279" s="6" t="s">
        <v>16</v>
      </c>
      <c r="K279" s="6" t="s">
        <v>16</v>
      </c>
      <c r="L279" s="6" t="s">
        <v>16</v>
      </c>
      <c r="M279" s="6" t="s">
        <v>16</v>
      </c>
      <c r="N279" s="6" t="s">
        <v>16</v>
      </c>
      <c r="O279" s="6" t="s">
        <v>16</v>
      </c>
      <c r="P279" s="6" t="s">
        <v>16</v>
      </c>
      <c r="Q279" s="6" t="str">
        <f t="shared" si="4"/>
        <v>Ausencia total del riesgo, reevaluar cada 3 años con nueva identificación inicial</v>
      </c>
    </row>
    <row r="280" spans="1:17" ht="28.5">
      <c r="A280" s="70">
        <f>Datos!A279</f>
        <v>278</v>
      </c>
      <c r="B280" s="70">
        <f>Datos!B279</f>
        <v>0</v>
      </c>
      <c r="C280" s="71">
        <f>Datos!C279</f>
        <v>0</v>
      </c>
      <c r="D280" s="71">
        <f>Datos!D279</f>
        <v>0</v>
      </c>
      <c r="E280" s="71">
        <f>Datos!F279</f>
        <v>0</v>
      </c>
      <c r="F280" s="71">
        <f>Datos!G279</f>
        <v>0</v>
      </c>
      <c r="G280" s="71">
        <f>Datos!H279</f>
        <v>0</v>
      </c>
      <c r="H280" s="71">
        <f>Datos!I279</f>
        <v>0</v>
      </c>
      <c r="I280" s="71">
        <f>Datos!J279</f>
        <v>0</v>
      </c>
      <c r="J280" s="6" t="s">
        <v>16</v>
      </c>
      <c r="K280" s="6" t="s">
        <v>16</v>
      </c>
      <c r="L280" s="6" t="s">
        <v>16</v>
      </c>
      <c r="M280" s="6" t="s">
        <v>16</v>
      </c>
      <c r="N280" s="6" t="s">
        <v>16</v>
      </c>
      <c r="O280" s="6" t="s">
        <v>16</v>
      </c>
      <c r="P280" s="6" t="s">
        <v>16</v>
      </c>
      <c r="Q280" s="6" t="str">
        <f t="shared" si="4"/>
        <v>Ausencia total del riesgo, reevaluar cada 3 años con nueva identificación inicial</v>
      </c>
    </row>
    <row r="281" spans="1:17" ht="28.5">
      <c r="A281" s="70">
        <f>Datos!A280</f>
        <v>279</v>
      </c>
      <c r="B281" s="70">
        <f>Datos!B280</f>
        <v>0</v>
      </c>
      <c r="C281" s="71">
        <f>Datos!C280</f>
        <v>0</v>
      </c>
      <c r="D281" s="71">
        <f>Datos!D280</f>
        <v>0</v>
      </c>
      <c r="E281" s="71">
        <f>Datos!F280</f>
        <v>0</v>
      </c>
      <c r="F281" s="71">
        <f>Datos!G280</f>
        <v>0</v>
      </c>
      <c r="G281" s="71">
        <f>Datos!H280</f>
        <v>0</v>
      </c>
      <c r="H281" s="71">
        <f>Datos!I280</f>
        <v>0</v>
      </c>
      <c r="I281" s="71">
        <f>Datos!J280</f>
        <v>0</v>
      </c>
      <c r="J281" s="6" t="s">
        <v>16</v>
      </c>
      <c r="K281" s="6" t="s">
        <v>16</v>
      </c>
      <c r="L281" s="6" t="s">
        <v>16</v>
      </c>
      <c r="M281" s="6" t="s">
        <v>16</v>
      </c>
      <c r="N281" s="6" t="s">
        <v>16</v>
      </c>
      <c r="O281" s="6" t="s">
        <v>16</v>
      </c>
      <c r="P281" s="6" t="s">
        <v>16</v>
      </c>
      <c r="Q281" s="6" t="str">
        <f t="shared" si="4"/>
        <v>Ausencia total del riesgo, reevaluar cada 3 años con nueva identificación inicial</v>
      </c>
    </row>
    <row r="282" spans="1:17" ht="28.5">
      <c r="A282" s="70">
        <f>Datos!A281</f>
        <v>280</v>
      </c>
      <c r="B282" s="70">
        <f>Datos!B281</f>
        <v>0</v>
      </c>
      <c r="C282" s="71">
        <f>Datos!C281</f>
        <v>0</v>
      </c>
      <c r="D282" s="71">
        <f>Datos!D281</f>
        <v>0</v>
      </c>
      <c r="E282" s="71">
        <f>Datos!F281</f>
        <v>0</v>
      </c>
      <c r="F282" s="71">
        <f>Datos!G281</f>
        <v>0</v>
      </c>
      <c r="G282" s="71">
        <f>Datos!H281</f>
        <v>0</v>
      </c>
      <c r="H282" s="71">
        <f>Datos!I281</f>
        <v>0</v>
      </c>
      <c r="I282" s="71">
        <f>Datos!J281</f>
        <v>0</v>
      </c>
      <c r="J282" s="6" t="s">
        <v>16</v>
      </c>
      <c r="K282" s="6" t="s">
        <v>16</v>
      </c>
      <c r="L282" s="6" t="s">
        <v>16</v>
      </c>
      <c r="M282" s="6" t="s">
        <v>16</v>
      </c>
      <c r="N282" s="6" t="s">
        <v>16</v>
      </c>
      <c r="O282" s="6" t="s">
        <v>16</v>
      </c>
      <c r="P282" s="6" t="s">
        <v>16</v>
      </c>
      <c r="Q282" s="6" t="str">
        <f t="shared" si="4"/>
        <v>Ausencia total del riesgo, reevaluar cada 3 años con nueva identificación inicial</v>
      </c>
    </row>
    <row r="283" spans="1:17" ht="28.5">
      <c r="A283" s="70">
        <f>Datos!A282</f>
        <v>281</v>
      </c>
      <c r="B283" s="70">
        <f>Datos!B282</f>
        <v>0</v>
      </c>
      <c r="C283" s="71">
        <f>Datos!C282</f>
        <v>0</v>
      </c>
      <c r="D283" s="71">
        <f>Datos!D282</f>
        <v>0</v>
      </c>
      <c r="E283" s="71">
        <f>Datos!F282</f>
        <v>0</v>
      </c>
      <c r="F283" s="71">
        <f>Datos!G282</f>
        <v>0</v>
      </c>
      <c r="G283" s="71">
        <f>Datos!H282</f>
        <v>0</v>
      </c>
      <c r="H283" s="71">
        <f>Datos!I282</f>
        <v>0</v>
      </c>
      <c r="I283" s="71">
        <f>Datos!J282</f>
        <v>0</v>
      </c>
      <c r="J283" s="6" t="s">
        <v>16</v>
      </c>
      <c r="K283" s="6" t="s">
        <v>16</v>
      </c>
      <c r="L283" s="6" t="s">
        <v>16</v>
      </c>
      <c r="M283" s="6" t="s">
        <v>16</v>
      </c>
      <c r="N283" s="6" t="s">
        <v>16</v>
      </c>
      <c r="O283" s="6" t="s">
        <v>16</v>
      </c>
      <c r="P283" s="6" t="s">
        <v>16</v>
      </c>
      <c r="Q283" s="6" t="str">
        <f t="shared" si="4"/>
        <v>Ausencia total del riesgo, reevaluar cada 3 años con nueva identificación inicial</v>
      </c>
    </row>
    <row r="284" spans="1:17" ht="28.5">
      <c r="A284" s="70">
        <f>Datos!A283</f>
        <v>282</v>
      </c>
      <c r="B284" s="70">
        <f>Datos!B283</f>
        <v>0</v>
      </c>
      <c r="C284" s="71">
        <f>Datos!C283</f>
        <v>0</v>
      </c>
      <c r="D284" s="71">
        <f>Datos!D283</f>
        <v>0</v>
      </c>
      <c r="E284" s="71">
        <f>Datos!F283</f>
        <v>0</v>
      </c>
      <c r="F284" s="71">
        <f>Datos!G283</f>
        <v>0</v>
      </c>
      <c r="G284" s="71">
        <f>Datos!H283</f>
        <v>0</v>
      </c>
      <c r="H284" s="71">
        <f>Datos!I283</f>
        <v>0</v>
      </c>
      <c r="I284" s="71">
        <f>Datos!J283</f>
        <v>0</v>
      </c>
      <c r="J284" s="6" t="s">
        <v>16</v>
      </c>
      <c r="K284" s="6" t="s">
        <v>16</v>
      </c>
      <c r="L284" s="6" t="s">
        <v>16</v>
      </c>
      <c r="M284" s="6" t="s">
        <v>16</v>
      </c>
      <c r="N284" s="6" t="s">
        <v>16</v>
      </c>
      <c r="O284" s="6" t="s">
        <v>16</v>
      </c>
      <c r="P284" s="6" t="s">
        <v>16</v>
      </c>
      <c r="Q284" s="6" t="str">
        <f t="shared" si="4"/>
        <v>Ausencia total del riesgo, reevaluar cada 3 años con nueva identificación inicial</v>
      </c>
    </row>
    <row r="285" spans="1:17" ht="28.5">
      <c r="A285" s="70">
        <f>Datos!A284</f>
        <v>283</v>
      </c>
      <c r="B285" s="70">
        <f>Datos!B284</f>
        <v>0</v>
      </c>
      <c r="C285" s="71">
        <f>Datos!C284</f>
        <v>0</v>
      </c>
      <c r="D285" s="71">
        <f>Datos!D284</f>
        <v>0</v>
      </c>
      <c r="E285" s="71">
        <f>Datos!F284</f>
        <v>0</v>
      </c>
      <c r="F285" s="71">
        <f>Datos!G284</f>
        <v>0</v>
      </c>
      <c r="G285" s="71">
        <f>Datos!H284</f>
        <v>0</v>
      </c>
      <c r="H285" s="71">
        <f>Datos!I284</f>
        <v>0</v>
      </c>
      <c r="I285" s="71">
        <f>Datos!J284</f>
        <v>0</v>
      </c>
      <c r="J285" s="6" t="s">
        <v>16</v>
      </c>
      <c r="K285" s="6" t="s">
        <v>16</v>
      </c>
      <c r="L285" s="6" t="s">
        <v>16</v>
      </c>
      <c r="M285" s="6" t="s">
        <v>16</v>
      </c>
      <c r="N285" s="6" t="s">
        <v>16</v>
      </c>
      <c r="O285" s="6" t="s">
        <v>16</v>
      </c>
      <c r="P285" s="6" t="s">
        <v>16</v>
      </c>
      <c r="Q285" s="6" t="str">
        <f t="shared" si="4"/>
        <v>Ausencia total del riesgo, reevaluar cada 3 años con nueva identificación inicial</v>
      </c>
    </row>
    <row r="286" spans="1:17" ht="28.5">
      <c r="A286" s="70">
        <f>Datos!A285</f>
        <v>284</v>
      </c>
      <c r="B286" s="70">
        <f>Datos!B285</f>
        <v>0</v>
      </c>
      <c r="C286" s="71">
        <f>Datos!C285</f>
        <v>0</v>
      </c>
      <c r="D286" s="71">
        <f>Datos!D285</f>
        <v>0</v>
      </c>
      <c r="E286" s="71">
        <f>Datos!F285</f>
        <v>0</v>
      </c>
      <c r="F286" s="71">
        <f>Datos!G285</f>
        <v>0</v>
      </c>
      <c r="G286" s="71">
        <f>Datos!H285</f>
        <v>0</v>
      </c>
      <c r="H286" s="71">
        <f>Datos!I285</f>
        <v>0</v>
      </c>
      <c r="I286" s="71">
        <f>Datos!J285</f>
        <v>0</v>
      </c>
      <c r="J286" s="6" t="s">
        <v>16</v>
      </c>
      <c r="K286" s="6" t="s">
        <v>16</v>
      </c>
      <c r="L286" s="6" t="s">
        <v>16</v>
      </c>
      <c r="M286" s="6" t="s">
        <v>16</v>
      </c>
      <c r="N286" s="6" t="s">
        <v>16</v>
      </c>
      <c r="O286" s="6" t="s">
        <v>16</v>
      </c>
      <c r="P286" s="6" t="s">
        <v>16</v>
      </c>
      <c r="Q286" s="6" t="str">
        <f t="shared" si="4"/>
        <v>Ausencia total del riesgo, reevaluar cada 3 años con nueva identificación inicial</v>
      </c>
    </row>
    <row r="287" spans="1:17" ht="28.5">
      <c r="A287" s="70">
        <f>Datos!A286</f>
        <v>285</v>
      </c>
      <c r="B287" s="70">
        <f>Datos!B286</f>
        <v>0</v>
      </c>
      <c r="C287" s="71">
        <f>Datos!C286</f>
        <v>0</v>
      </c>
      <c r="D287" s="71">
        <f>Datos!D286</f>
        <v>0</v>
      </c>
      <c r="E287" s="71">
        <f>Datos!F286</f>
        <v>0</v>
      </c>
      <c r="F287" s="71">
        <f>Datos!G286</f>
        <v>0</v>
      </c>
      <c r="G287" s="71">
        <f>Datos!H286</f>
        <v>0</v>
      </c>
      <c r="H287" s="71">
        <f>Datos!I286</f>
        <v>0</v>
      </c>
      <c r="I287" s="71">
        <f>Datos!J286</f>
        <v>0</v>
      </c>
      <c r="J287" s="6" t="s">
        <v>16</v>
      </c>
      <c r="K287" s="6" t="s">
        <v>16</v>
      </c>
      <c r="L287" s="6" t="s">
        <v>16</v>
      </c>
      <c r="M287" s="6" t="s">
        <v>16</v>
      </c>
      <c r="N287" s="6" t="s">
        <v>16</v>
      </c>
      <c r="O287" s="6" t="s">
        <v>16</v>
      </c>
      <c r="P287" s="6" t="s">
        <v>16</v>
      </c>
      <c r="Q287" s="6" t="str">
        <f t="shared" si="4"/>
        <v>Ausencia total del riesgo, reevaluar cada 3 años con nueva identificación inicial</v>
      </c>
    </row>
    <row r="288" spans="1:17" ht="28.5">
      <c r="A288" s="70">
        <f>Datos!A287</f>
        <v>286</v>
      </c>
      <c r="B288" s="70">
        <f>Datos!B287</f>
        <v>0</v>
      </c>
      <c r="C288" s="71">
        <f>Datos!C287</f>
        <v>0</v>
      </c>
      <c r="D288" s="71">
        <f>Datos!D287</f>
        <v>0</v>
      </c>
      <c r="E288" s="71">
        <f>Datos!F287</f>
        <v>0</v>
      </c>
      <c r="F288" s="71">
        <f>Datos!G287</f>
        <v>0</v>
      </c>
      <c r="G288" s="71">
        <f>Datos!H287</f>
        <v>0</v>
      </c>
      <c r="H288" s="71">
        <f>Datos!I287</f>
        <v>0</v>
      </c>
      <c r="I288" s="71">
        <f>Datos!J287</f>
        <v>0</v>
      </c>
      <c r="J288" s="6" t="s">
        <v>16</v>
      </c>
      <c r="K288" s="6" t="s">
        <v>16</v>
      </c>
      <c r="L288" s="6" t="s">
        <v>16</v>
      </c>
      <c r="M288" s="6" t="s">
        <v>16</v>
      </c>
      <c r="N288" s="6" t="s">
        <v>16</v>
      </c>
      <c r="O288" s="6" t="s">
        <v>16</v>
      </c>
      <c r="P288" s="6" t="s">
        <v>16</v>
      </c>
      <c r="Q288" s="6" t="str">
        <f t="shared" si="4"/>
        <v>Ausencia total del riesgo, reevaluar cada 3 años con nueva identificación inicial</v>
      </c>
    </row>
    <row r="289" spans="1:17" ht="28.5">
      <c r="A289" s="70">
        <f>Datos!A288</f>
        <v>287</v>
      </c>
      <c r="B289" s="70">
        <f>Datos!B288</f>
        <v>0</v>
      </c>
      <c r="C289" s="71">
        <f>Datos!C288</f>
        <v>0</v>
      </c>
      <c r="D289" s="71">
        <f>Datos!D288</f>
        <v>0</v>
      </c>
      <c r="E289" s="71">
        <f>Datos!F288</f>
        <v>0</v>
      </c>
      <c r="F289" s="71">
        <f>Datos!G288</f>
        <v>0</v>
      </c>
      <c r="G289" s="71">
        <f>Datos!H288</f>
        <v>0</v>
      </c>
      <c r="H289" s="71">
        <f>Datos!I288</f>
        <v>0</v>
      </c>
      <c r="I289" s="71">
        <f>Datos!J288</f>
        <v>0</v>
      </c>
      <c r="J289" s="6" t="s">
        <v>16</v>
      </c>
      <c r="K289" s="6" t="s">
        <v>16</v>
      </c>
      <c r="L289" s="6" t="s">
        <v>16</v>
      </c>
      <c r="M289" s="6" t="s">
        <v>16</v>
      </c>
      <c r="N289" s="6" t="s">
        <v>16</v>
      </c>
      <c r="O289" s="6" t="s">
        <v>16</v>
      </c>
      <c r="P289" s="6" t="s">
        <v>16</v>
      </c>
      <c r="Q289" s="6" t="str">
        <f t="shared" si="4"/>
        <v>Ausencia total del riesgo, reevaluar cada 3 años con nueva identificación inicial</v>
      </c>
    </row>
    <row r="290" spans="1:17" ht="28.5">
      <c r="A290" s="70">
        <f>Datos!A289</f>
        <v>288</v>
      </c>
      <c r="B290" s="70">
        <f>Datos!B289</f>
        <v>0</v>
      </c>
      <c r="C290" s="71">
        <f>Datos!C289</f>
        <v>0</v>
      </c>
      <c r="D290" s="71">
        <f>Datos!D289</f>
        <v>0</v>
      </c>
      <c r="E290" s="71">
        <f>Datos!F289</f>
        <v>0</v>
      </c>
      <c r="F290" s="71">
        <f>Datos!G289</f>
        <v>0</v>
      </c>
      <c r="G290" s="71">
        <f>Datos!H289</f>
        <v>0</v>
      </c>
      <c r="H290" s="71">
        <f>Datos!I289</f>
        <v>0</v>
      </c>
      <c r="I290" s="71">
        <f>Datos!J289</f>
        <v>0</v>
      </c>
      <c r="J290" s="6" t="s">
        <v>16</v>
      </c>
      <c r="K290" s="6" t="s">
        <v>16</v>
      </c>
      <c r="L290" s="6" t="s">
        <v>16</v>
      </c>
      <c r="M290" s="6" t="s">
        <v>16</v>
      </c>
      <c r="N290" s="6" t="s">
        <v>16</v>
      </c>
      <c r="O290" s="6" t="s">
        <v>16</v>
      </c>
      <c r="P290" s="6" t="s">
        <v>16</v>
      </c>
      <c r="Q290" s="6" t="str">
        <f t="shared" si="4"/>
        <v>Ausencia total del riesgo, reevaluar cada 3 años con nueva identificación inicial</v>
      </c>
    </row>
    <row r="291" spans="1:17" ht="28.5">
      <c r="A291" s="70">
        <f>Datos!A290</f>
        <v>289</v>
      </c>
      <c r="B291" s="70">
        <f>Datos!B290</f>
        <v>0</v>
      </c>
      <c r="C291" s="71">
        <f>Datos!C290</f>
        <v>0</v>
      </c>
      <c r="D291" s="71">
        <f>Datos!D290</f>
        <v>0</v>
      </c>
      <c r="E291" s="71">
        <f>Datos!F290</f>
        <v>0</v>
      </c>
      <c r="F291" s="71">
        <f>Datos!G290</f>
        <v>0</v>
      </c>
      <c r="G291" s="71">
        <f>Datos!H290</f>
        <v>0</v>
      </c>
      <c r="H291" s="71">
        <f>Datos!I290</f>
        <v>0</v>
      </c>
      <c r="I291" s="71">
        <f>Datos!J290</f>
        <v>0</v>
      </c>
      <c r="J291" s="6" t="s">
        <v>16</v>
      </c>
      <c r="K291" s="6" t="s">
        <v>16</v>
      </c>
      <c r="L291" s="6" t="s">
        <v>16</v>
      </c>
      <c r="M291" s="6" t="s">
        <v>16</v>
      </c>
      <c r="N291" s="6" t="s">
        <v>16</v>
      </c>
      <c r="O291" s="6" t="s">
        <v>16</v>
      </c>
      <c r="P291" s="6" t="s">
        <v>16</v>
      </c>
      <c r="Q291" s="6" t="str">
        <f t="shared" si="4"/>
        <v>Ausencia total del riesgo, reevaluar cada 3 años con nueva identificación inicial</v>
      </c>
    </row>
    <row r="292" spans="1:17" ht="28.5">
      <c r="A292" s="70">
        <f>Datos!A291</f>
        <v>290</v>
      </c>
      <c r="B292" s="70">
        <f>Datos!B291</f>
        <v>0</v>
      </c>
      <c r="C292" s="71">
        <f>Datos!C291</f>
        <v>0</v>
      </c>
      <c r="D292" s="71">
        <f>Datos!D291</f>
        <v>0</v>
      </c>
      <c r="E292" s="71">
        <f>Datos!F291</f>
        <v>0</v>
      </c>
      <c r="F292" s="71">
        <f>Datos!G291</f>
        <v>0</v>
      </c>
      <c r="G292" s="71">
        <f>Datos!H291</f>
        <v>0</v>
      </c>
      <c r="H292" s="71">
        <f>Datos!I291</f>
        <v>0</v>
      </c>
      <c r="I292" s="71">
        <f>Datos!J291</f>
        <v>0</v>
      </c>
      <c r="J292" s="6" t="s">
        <v>16</v>
      </c>
      <c r="K292" s="6" t="s">
        <v>16</v>
      </c>
      <c r="L292" s="6" t="s">
        <v>16</v>
      </c>
      <c r="M292" s="6" t="s">
        <v>16</v>
      </c>
      <c r="N292" s="6" t="s">
        <v>16</v>
      </c>
      <c r="O292" s="6" t="s">
        <v>16</v>
      </c>
      <c r="P292" s="6" t="s">
        <v>16</v>
      </c>
      <c r="Q292" s="6" t="str">
        <f t="shared" si="4"/>
        <v>Ausencia total del riesgo, reevaluar cada 3 años con nueva identificación inicial</v>
      </c>
    </row>
    <row r="293" spans="1:17" ht="28.5">
      <c r="A293" s="70">
        <f>Datos!A292</f>
        <v>291</v>
      </c>
      <c r="B293" s="70">
        <f>Datos!B292</f>
        <v>0</v>
      </c>
      <c r="C293" s="71">
        <f>Datos!C292</f>
        <v>0</v>
      </c>
      <c r="D293" s="71">
        <f>Datos!D292</f>
        <v>0</v>
      </c>
      <c r="E293" s="71">
        <f>Datos!F292</f>
        <v>0</v>
      </c>
      <c r="F293" s="71">
        <f>Datos!G292</f>
        <v>0</v>
      </c>
      <c r="G293" s="71">
        <f>Datos!H292</f>
        <v>0</v>
      </c>
      <c r="H293" s="71">
        <f>Datos!I292</f>
        <v>0</v>
      </c>
      <c r="I293" s="71">
        <f>Datos!J292</f>
        <v>0</v>
      </c>
      <c r="J293" s="6" t="s">
        <v>16</v>
      </c>
      <c r="K293" s="6" t="s">
        <v>16</v>
      </c>
      <c r="L293" s="6" t="s">
        <v>16</v>
      </c>
      <c r="M293" s="6" t="s">
        <v>16</v>
      </c>
      <c r="N293" s="6" t="s">
        <v>16</v>
      </c>
      <c r="O293" s="6" t="s">
        <v>16</v>
      </c>
      <c r="P293" s="6" t="s">
        <v>16</v>
      </c>
      <c r="Q293" s="6" t="str">
        <f t="shared" si="4"/>
        <v>Ausencia total del riesgo, reevaluar cada 3 años con nueva identificación inicial</v>
      </c>
    </row>
    <row r="294" spans="1:17" ht="28.5">
      <c r="A294" s="70">
        <f>Datos!A293</f>
        <v>292</v>
      </c>
      <c r="B294" s="70">
        <f>Datos!B293</f>
        <v>0</v>
      </c>
      <c r="C294" s="71">
        <f>Datos!C293</f>
        <v>0</v>
      </c>
      <c r="D294" s="71">
        <f>Datos!D293</f>
        <v>0</v>
      </c>
      <c r="E294" s="71">
        <f>Datos!F293</f>
        <v>0</v>
      </c>
      <c r="F294" s="71">
        <f>Datos!G293</f>
        <v>0</v>
      </c>
      <c r="G294" s="71">
        <f>Datos!H293</f>
        <v>0</v>
      </c>
      <c r="H294" s="71">
        <f>Datos!I293</f>
        <v>0</v>
      </c>
      <c r="I294" s="71">
        <f>Datos!J293</f>
        <v>0</v>
      </c>
      <c r="J294" s="6" t="s">
        <v>16</v>
      </c>
      <c r="K294" s="6" t="s">
        <v>16</v>
      </c>
      <c r="L294" s="6" t="s">
        <v>16</v>
      </c>
      <c r="M294" s="6" t="s">
        <v>16</v>
      </c>
      <c r="N294" s="6" t="s">
        <v>16</v>
      </c>
      <c r="O294" s="6" t="s">
        <v>16</v>
      </c>
      <c r="P294" s="6" t="s">
        <v>16</v>
      </c>
      <c r="Q294" s="6" t="str">
        <f t="shared" si="4"/>
        <v>Ausencia total del riesgo, reevaluar cada 3 años con nueva identificación inicial</v>
      </c>
    </row>
    <row r="295" spans="1:17" ht="28.5">
      <c r="A295" s="70">
        <f>Datos!A294</f>
        <v>293</v>
      </c>
      <c r="B295" s="70">
        <f>Datos!B294</f>
        <v>0</v>
      </c>
      <c r="C295" s="71">
        <f>Datos!C294</f>
        <v>0</v>
      </c>
      <c r="D295" s="71">
        <f>Datos!D294</f>
        <v>0</v>
      </c>
      <c r="E295" s="71">
        <f>Datos!F294</f>
        <v>0</v>
      </c>
      <c r="F295" s="71">
        <f>Datos!G294</f>
        <v>0</v>
      </c>
      <c r="G295" s="71">
        <f>Datos!H294</f>
        <v>0</v>
      </c>
      <c r="H295" s="71">
        <f>Datos!I294</f>
        <v>0</v>
      </c>
      <c r="I295" s="71">
        <f>Datos!J294</f>
        <v>0</v>
      </c>
      <c r="J295" s="6" t="s">
        <v>16</v>
      </c>
      <c r="K295" s="6" t="s">
        <v>16</v>
      </c>
      <c r="L295" s="6" t="s">
        <v>16</v>
      </c>
      <c r="M295" s="6" t="s">
        <v>16</v>
      </c>
      <c r="N295" s="6" t="s">
        <v>16</v>
      </c>
      <c r="O295" s="6" t="s">
        <v>16</v>
      </c>
      <c r="P295" s="6" t="s">
        <v>16</v>
      </c>
      <c r="Q295" s="6" t="str">
        <f t="shared" si="4"/>
        <v>Ausencia total del riesgo, reevaluar cada 3 años con nueva identificación inicial</v>
      </c>
    </row>
    <row r="296" spans="1:17" ht="28.5">
      <c r="A296" s="70">
        <f>Datos!A295</f>
        <v>294</v>
      </c>
      <c r="B296" s="70">
        <f>Datos!B295</f>
        <v>0</v>
      </c>
      <c r="C296" s="71">
        <f>Datos!C295</f>
        <v>0</v>
      </c>
      <c r="D296" s="71">
        <f>Datos!D295</f>
        <v>0</v>
      </c>
      <c r="E296" s="71">
        <f>Datos!F295</f>
        <v>0</v>
      </c>
      <c r="F296" s="71">
        <f>Datos!G295</f>
        <v>0</v>
      </c>
      <c r="G296" s="71">
        <f>Datos!H295</f>
        <v>0</v>
      </c>
      <c r="H296" s="71">
        <f>Datos!I295</f>
        <v>0</v>
      </c>
      <c r="I296" s="71">
        <f>Datos!J295</f>
        <v>0</v>
      </c>
      <c r="J296" s="6" t="s">
        <v>16</v>
      </c>
      <c r="K296" s="6" t="s">
        <v>16</v>
      </c>
      <c r="L296" s="6" t="s">
        <v>16</v>
      </c>
      <c r="M296" s="6" t="s">
        <v>16</v>
      </c>
      <c r="N296" s="6" t="s">
        <v>16</v>
      </c>
      <c r="O296" s="6" t="s">
        <v>16</v>
      </c>
      <c r="P296" s="6" t="s">
        <v>16</v>
      </c>
      <c r="Q296" s="6" t="str">
        <f t="shared" si="4"/>
        <v>Ausencia total del riesgo, reevaluar cada 3 años con nueva identificación inicial</v>
      </c>
    </row>
    <row r="297" spans="1:17" ht="28.5">
      <c r="A297" s="70">
        <f>Datos!A296</f>
        <v>295</v>
      </c>
      <c r="B297" s="70">
        <f>Datos!B296</f>
        <v>0</v>
      </c>
      <c r="C297" s="71">
        <f>Datos!C296</f>
        <v>0</v>
      </c>
      <c r="D297" s="71">
        <f>Datos!D296</f>
        <v>0</v>
      </c>
      <c r="E297" s="71">
        <f>Datos!F296</f>
        <v>0</v>
      </c>
      <c r="F297" s="71">
        <f>Datos!G296</f>
        <v>0</v>
      </c>
      <c r="G297" s="71">
        <f>Datos!H296</f>
        <v>0</v>
      </c>
      <c r="H297" s="71">
        <f>Datos!I296</f>
        <v>0</v>
      </c>
      <c r="I297" s="71">
        <f>Datos!J296</f>
        <v>0</v>
      </c>
      <c r="J297" s="6" t="s">
        <v>16</v>
      </c>
      <c r="K297" s="6" t="s">
        <v>16</v>
      </c>
      <c r="L297" s="6" t="s">
        <v>16</v>
      </c>
      <c r="M297" s="6" t="s">
        <v>16</v>
      </c>
      <c r="N297" s="6" t="s">
        <v>16</v>
      </c>
      <c r="O297" s="6" t="s">
        <v>16</v>
      </c>
      <c r="P297" s="6" t="s">
        <v>16</v>
      </c>
      <c r="Q297" s="6" t="str">
        <f t="shared" si="4"/>
        <v>Ausencia total del riesgo, reevaluar cada 3 años con nueva identificación inicial</v>
      </c>
    </row>
    <row r="298" spans="1:17" ht="28.5">
      <c r="A298" s="70">
        <f>Datos!A297</f>
        <v>296</v>
      </c>
      <c r="B298" s="70">
        <f>Datos!B297</f>
        <v>0</v>
      </c>
      <c r="C298" s="71">
        <f>Datos!C297</f>
        <v>0</v>
      </c>
      <c r="D298" s="71">
        <f>Datos!D297</f>
        <v>0</v>
      </c>
      <c r="E298" s="71">
        <f>Datos!F297</f>
        <v>0</v>
      </c>
      <c r="F298" s="71">
        <f>Datos!G297</f>
        <v>0</v>
      </c>
      <c r="G298" s="71">
        <f>Datos!H297</f>
        <v>0</v>
      </c>
      <c r="H298" s="71">
        <f>Datos!I297</f>
        <v>0</v>
      </c>
      <c r="I298" s="71">
        <f>Datos!J297</f>
        <v>0</v>
      </c>
      <c r="J298" s="6" t="s">
        <v>16</v>
      </c>
      <c r="K298" s="6" t="s">
        <v>16</v>
      </c>
      <c r="L298" s="6" t="s">
        <v>16</v>
      </c>
      <c r="M298" s="6" t="s">
        <v>16</v>
      </c>
      <c r="N298" s="6" t="s">
        <v>16</v>
      </c>
      <c r="O298" s="6" t="s">
        <v>16</v>
      </c>
      <c r="P298" s="6" t="s">
        <v>16</v>
      </c>
      <c r="Q298" s="6" t="str">
        <f t="shared" si="4"/>
        <v>Ausencia total del riesgo, reevaluar cada 3 años con nueva identificación inicial</v>
      </c>
    </row>
    <row r="299" spans="1:17" ht="28.5">
      <c r="A299" s="70">
        <f>Datos!A298</f>
        <v>297</v>
      </c>
      <c r="B299" s="70">
        <f>Datos!B298</f>
        <v>0</v>
      </c>
      <c r="C299" s="71">
        <f>Datos!C298</f>
        <v>0</v>
      </c>
      <c r="D299" s="71">
        <f>Datos!D298</f>
        <v>0</v>
      </c>
      <c r="E299" s="71">
        <f>Datos!F298</f>
        <v>0</v>
      </c>
      <c r="F299" s="71">
        <f>Datos!G298</f>
        <v>0</v>
      </c>
      <c r="G299" s="71">
        <f>Datos!H298</f>
        <v>0</v>
      </c>
      <c r="H299" s="71">
        <f>Datos!I298</f>
        <v>0</v>
      </c>
      <c r="I299" s="71">
        <f>Datos!J298</f>
        <v>0</v>
      </c>
      <c r="J299" s="6" t="s">
        <v>16</v>
      </c>
      <c r="K299" s="6" t="s">
        <v>16</v>
      </c>
      <c r="L299" s="6" t="s">
        <v>16</v>
      </c>
      <c r="M299" s="6" t="s">
        <v>16</v>
      </c>
      <c r="N299" s="6" t="s">
        <v>16</v>
      </c>
      <c r="O299" s="6" t="s">
        <v>16</v>
      </c>
      <c r="P299" s="6" t="s">
        <v>16</v>
      </c>
      <c r="Q299" s="6" t="str">
        <f t="shared" si="4"/>
        <v>Ausencia total del riesgo, reevaluar cada 3 años con nueva identificación inicial</v>
      </c>
    </row>
    <row r="300" spans="1:17" ht="28.5">
      <c r="A300" s="70">
        <f>Datos!A299</f>
        <v>298</v>
      </c>
      <c r="B300" s="70">
        <f>Datos!B299</f>
        <v>0</v>
      </c>
      <c r="C300" s="71">
        <f>Datos!C299</f>
        <v>0</v>
      </c>
      <c r="D300" s="71">
        <f>Datos!D299</f>
        <v>0</v>
      </c>
      <c r="E300" s="71">
        <f>Datos!F299</f>
        <v>0</v>
      </c>
      <c r="F300" s="71">
        <f>Datos!G299</f>
        <v>0</v>
      </c>
      <c r="G300" s="71">
        <f>Datos!H299</f>
        <v>0</v>
      </c>
      <c r="H300" s="71">
        <f>Datos!I299</f>
        <v>0</v>
      </c>
      <c r="I300" s="71">
        <f>Datos!J299</f>
        <v>0</v>
      </c>
      <c r="J300" s="6" t="s">
        <v>16</v>
      </c>
      <c r="K300" s="6" t="s">
        <v>16</v>
      </c>
      <c r="L300" s="6" t="s">
        <v>16</v>
      </c>
      <c r="M300" s="6" t="s">
        <v>16</v>
      </c>
      <c r="N300" s="6" t="s">
        <v>16</v>
      </c>
      <c r="O300" s="6" t="s">
        <v>16</v>
      </c>
      <c r="P300" s="6" t="s">
        <v>16</v>
      </c>
      <c r="Q300" s="6" t="str">
        <f t="shared" si="4"/>
        <v>Ausencia total del riesgo, reevaluar cada 3 años con nueva identificación inicial</v>
      </c>
    </row>
    <row r="301" spans="1:17" ht="28.5">
      <c r="A301" s="70">
        <f>Datos!A300</f>
        <v>299</v>
      </c>
      <c r="B301" s="70">
        <f>Datos!B300</f>
        <v>0</v>
      </c>
      <c r="C301" s="71">
        <f>Datos!C300</f>
        <v>0</v>
      </c>
      <c r="D301" s="71">
        <f>Datos!D300</f>
        <v>0</v>
      </c>
      <c r="E301" s="71">
        <f>Datos!F300</f>
        <v>0</v>
      </c>
      <c r="F301" s="71">
        <f>Datos!G300</f>
        <v>0</v>
      </c>
      <c r="G301" s="71">
        <f>Datos!H300</f>
        <v>0</v>
      </c>
      <c r="H301" s="71">
        <f>Datos!I300</f>
        <v>0</v>
      </c>
      <c r="I301" s="71">
        <f>Datos!J300</f>
        <v>0</v>
      </c>
      <c r="J301" s="6" t="s">
        <v>16</v>
      </c>
      <c r="K301" s="6" t="s">
        <v>16</v>
      </c>
      <c r="L301" s="6" t="s">
        <v>16</v>
      </c>
      <c r="M301" s="6" t="s">
        <v>16</v>
      </c>
      <c r="N301" s="6" t="s">
        <v>16</v>
      </c>
      <c r="O301" s="6" t="s">
        <v>16</v>
      </c>
      <c r="P301" s="6" t="s">
        <v>16</v>
      </c>
      <c r="Q301" s="6" t="str">
        <f t="shared" si="4"/>
        <v>Ausencia total del riesgo, reevaluar cada 3 años con nueva identificación inicial</v>
      </c>
    </row>
    <row r="302" spans="1:17" ht="28.5">
      <c r="A302" s="70">
        <f>Datos!A301</f>
        <v>300</v>
      </c>
      <c r="B302" s="70">
        <f>Datos!B301</f>
        <v>0</v>
      </c>
      <c r="C302" s="71">
        <f>Datos!C301</f>
        <v>0</v>
      </c>
      <c r="D302" s="71">
        <f>Datos!D301</f>
        <v>0</v>
      </c>
      <c r="E302" s="71">
        <f>Datos!F301</f>
        <v>0</v>
      </c>
      <c r="F302" s="71">
        <f>Datos!G301</f>
        <v>0</v>
      </c>
      <c r="G302" s="71">
        <f>Datos!H301</f>
        <v>0</v>
      </c>
      <c r="H302" s="71">
        <f>Datos!I301</f>
        <v>0</v>
      </c>
      <c r="I302" s="71">
        <f>Datos!J301</f>
        <v>0</v>
      </c>
      <c r="J302" s="6" t="s">
        <v>16</v>
      </c>
      <c r="K302" s="6" t="s">
        <v>16</v>
      </c>
      <c r="L302" s="6" t="s">
        <v>16</v>
      </c>
      <c r="M302" s="6" t="s">
        <v>16</v>
      </c>
      <c r="N302" s="6" t="s">
        <v>16</v>
      </c>
      <c r="O302" s="6" t="s">
        <v>16</v>
      </c>
      <c r="P302" s="6" t="s">
        <v>16</v>
      </c>
      <c r="Q302" s="6" t="str">
        <f t="shared" si="4"/>
        <v>Ausencia total del riesgo, reevaluar cada 3 años con nueva identificación inicial</v>
      </c>
    </row>
    <row r="303" spans="1:17" ht="28.5">
      <c r="A303" s="70">
        <f>Datos!A302</f>
        <v>301</v>
      </c>
      <c r="B303" s="70">
        <f>Datos!B302</f>
        <v>0</v>
      </c>
      <c r="C303" s="71">
        <f>Datos!C302</f>
        <v>0</v>
      </c>
      <c r="D303" s="71">
        <f>Datos!D302</f>
        <v>0</v>
      </c>
      <c r="E303" s="71">
        <f>Datos!F302</f>
        <v>0</v>
      </c>
      <c r="F303" s="71">
        <f>Datos!G302</f>
        <v>0</v>
      </c>
      <c r="G303" s="71">
        <f>Datos!H302</f>
        <v>0</v>
      </c>
      <c r="H303" s="71">
        <f>Datos!I302</f>
        <v>0</v>
      </c>
      <c r="I303" s="71">
        <f>Datos!J302</f>
        <v>0</v>
      </c>
      <c r="J303" s="6" t="s">
        <v>16</v>
      </c>
      <c r="K303" s="6" t="s">
        <v>16</v>
      </c>
      <c r="L303" s="6" t="s">
        <v>16</v>
      </c>
      <c r="M303" s="6" t="s">
        <v>16</v>
      </c>
      <c r="N303" s="6" t="s">
        <v>16</v>
      </c>
      <c r="O303" s="6" t="s">
        <v>16</v>
      </c>
      <c r="P303" s="6" t="s">
        <v>16</v>
      </c>
      <c r="Q303" s="6" t="str">
        <f t="shared" si="4"/>
        <v>Ausencia total del riesgo, reevaluar cada 3 años con nueva identificación inicial</v>
      </c>
    </row>
    <row r="304" spans="1:17" ht="28.5">
      <c r="A304" s="70">
        <f>Datos!A303</f>
        <v>302</v>
      </c>
      <c r="B304" s="70">
        <f>Datos!B303</f>
        <v>0</v>
      </c>
      <c r="C304" s="71">
        <f>Datos!C303</f>
        <v>0</v>
      </c>
      <c r="D304" s="71">
        <f>Datos!D303</f>
        <v>0</v>
      </c>
      <c r="E304" s="71">
        <f>Datos!F303</f>
        <v>0</v>
      </c>
      <c r="F304" s="71">
        <f>Datos!G303</f>
        <v>0</v>
      </c>
      <c r="G304" s="71">
        <f>Datos!H303</f>
        <v>0</v>
      </c>
      <c r="H304" s="71">
        <f>Datos!I303</f>
        <v>0</v>
      </c>
      <c r="I304" s="71">
        <f>Datos!J303</f>
        <v>0</v>
      </c>
      <c r="J304" s="6" t="s">
        <v>16</v>
      </c>
      <c r="K304" s="6" t="s">
        <v>16</v>
      </c>
      <c r="L304" s="6" t="s">
        <v>16</v>
      </c>
      <c r="M304" s="6" t="s">
        <v>16</v>
      </c>
      <c r="N304" s="6" t="s">
        <v>16</v>
      </c>
      <c r="O304" s="6" t="s">
        <v>16</v>
      </c>
      <c r="P304" s="6" t="s">
        <v>16</v>
      </c>
      <c r="Q304" s="6" t="str">
        <f t="shared" ref="Q304:Q366" si="5">IF(AND(J304="NO",K304="NO",L304="NO",M304="NO",N304="NO",O304="NO",P304="NO"),"Ausencia total del riesgo, reevaluar cada 3 años con nueva identificación inicial","Aplicar identificación avanzada-condición aceptable para cada tipo de factor de riesgo identificado")</f>
        <v>Ausencia total del riesgo, reevaluar cada 3 años con nueva identificación inicial</v>
      </c>
    </row>
    <row r="305" spans="1:17" ht="28.5">
      <c r="A305" s="70">
        <f>Datos!A304</f>
        <v>303</v>
      </c>
      <c r="B305" s="70">
        <f>Datos!B304</f>
        <v>0</v>
      </c>
      <c r="C305" s="71">
        <f>Datos!C304</f>
        <v>0</v>
      </c>
      <c r="D305" s="71">
        <f>Datos!D304</f>
        <v>0</v>
      </c>
      <c r="E305" s="71">
        <f>Datos!F304</f>
        <v>0</v>
      </c>
      <c r="F305" s="71">
        <f>Datos!G304</f>
        <v>0</v>
      </c>
      <c r="G305" s="71">
        <f>Datos!H304</f>
        <v>0</v>
      </c>
      <c r="H305" s="71">
        <f>Datos!I304</f>
        <v>0</v>
      </c>
      <c r="I305" s="71">
        <f>Datos!J304</f>
        <v>0</v>
      </c>
      <c r="J305" s="6" t="s">
        <v>16</v>
      </c>
      <c r="K305" s="6" t="s">
        <v>16</v>
      </c>
      <c r="L305" s="6" t="s">
        <v>16</v>
      </c>
      <c r="M305" s="6" t="s">
        <v>16</v>
      </c>
      <c r="N305" s="6" t="s">
        <v>16</v>
      </c>
      <c r="O305" s="6" t="s">
        <v>16</v>
      </c>
      <c r="P305" s="6" t="s">
        <v>16</v>
      </c>
      <c r="Q305" s="6" t="str">
        <f t="shared" si="5"/>
        <v>Ausencia total del riesgo, reevaluar cada 3 años con nueva identificación inicial</v>
      </c>
    </row>
    <row r="306" spans="1:17" ht="28.5">
      <c r="A306" s="70">
        <f>Datos!A305</f>
        <v>304</v>
      </c>
      <c r="B306" s="70">
        <f>Datos!B305</f>
        <v>0</v>
      </c>
      <c r="C306" s="71">
        <f>Datos!C305</f>
        <v>0</v>
      </c>
      <c r="D306" s="71">
        <f>Datos!D305</f>
        <v>0</v>
      </c>
      <c r="E306" s="71">
        <f>Datos!F305</f>
        <v>0</v>
      </c>
      <c r="F306" s="71">
        <f>Datos!G305</f>
        <v>0</v>
      </c>
      <c r="G306" s="71">
        <f>Datos!H305</f>
        <v>0</v>
      </c>
      <c r="H306" s="71">
        <f>Datos!I305</f>
        <v>0</v>
      </c>
      <c r="I306" s="71">
        <f>Datos!J305</f>
        <v>0</v>
      </c>
      <c r="J306" s="6" t="s">
        <v>16</v>
      </c>
      <c r="K306" s="6" t="s">
        <v>16</v>
      </c>
      <c r="L306" s="6" t="s">
        <v>16</v>
      </c>
      <c r="M306" s="6" t="s">
        <v>16</v>
      </c>
      <c r="N306" s="6" t="s">
        <v>16</v>
      </c>
      <c r="O306" s="6" t="s">
        <v>16</v>
      </c>
      <c r="P306" s="6" t="s">
        <v>16</v>
      </c>
      <c r="Q306" s="6" t="str">
        <f t="shared" si="5"/>
        <v>Ausencia total del riesgo, reevaluar cada 3 años con nueva identificación inicial</v>
      </c>
    </row>
    <row r="307" spans="1:17" ht="28.5">
      <c r="A307" s="70">
        <f>Datos!A306</f>
        <v>305</v>
      </c>
      <c r="B307" s="70">
        <f>Datos!B306</f>
        <v>0</v>
      </c>
      <c r="C307" s="71">
        <f>Datos!C306</f>
        <v>0</v>
      </c>
      <c r="D307" s="71">
        <f>Datos!D306</f>
        <v>0</v>
      </c>
      <c r="E307" s="71">
        <f>Datos!F306</f>
        <v>0</v>
      </c>
      <c r="F307" s="71">
        <f>Datos!G306</f>
        <v>0</v>
      </c>
      <c r="G307" s="71">
        <f>Datos!H306</f>
        <v>0</v>
      </c>
      <c r="H307" s="71">
        <f>Datos!I306</f>
        <v>0</v>
      </c>
      <c r="I307" s="71">
        <f>Datos!J306</f>
        <v>0</v>
      </c>
      <c r="J307" s="6" t="s">
        <v>16</v>
      </c>
      <c r="K307" s="6" t="s">
        <v>16</v>
      </c>
      <c r="L307" s="6" t="s">
        <v>16</v>
      </c>
      <c r="M307" s="6" t="s">
        <v>16</v>
      </c>
      <c r="N307" s="6" t="s">
        <v>16</v>
      </c>
      <c r="O307" s="6" t="s">
        <v>16</v>
      </c>
      <c r="P307" s="6" t="s">
        <v>16</v>
      </c>
      <c r="Q307" s="6" t="str">
        <f t="shared" si="5"/>
        <v>Ausencia total del riesgo, reevaluar cada 3 años con nueva identificación inicial</v>
      </c>
    </row>
    <row r="308" spans="1:17" ht="28.5">
      <c r="A308" s="70">
        <f>Datos!A307</f>
        <v>306</v>
      </c>
      <c r="B308" s="70">
        <f>Datos!B307</f>
        <v>0</v>
      </c>
      <c r="C308" s="71">
        <f>Datos!C307</f>
        <v>0</v>
      </c>
      <c r="D308" s="71">
        <f>Datos!D307</f>
        <v>0</v>
      </c>
      <c r="E308" s="71">
        <f>Datos!F307</f>
        <v>0</v>
      </c>
      <c r="F308" s="71">
        <f>Datos!G307</f>
        <v>0</v>
      </c>
      <c r="G308" s="71">
        <f>Datos!H307</f>
        <v>0</v>
      </c>
      <c r="H308" s="71">
        <f>Datos!I307</f>
        <v>0</v>
      </c>
      <c r="I308" s="71">
        <f>Datos!J307</f>
        <v>0</v>
      </c>
      <c r="J308" s="6" t="s">
        <v>16</v>
      </c>
      <c r="K308" s="6" t="s">
        <v>16</v>
      </c>
      <c r="L308" s="6" t="s">
        <v>16</v>
      </c>
      <c r="M308" s="6" t="s">
        <v>16</v>
      </c>
      <c r="N308" s="6" t="s">
        <v>16</v>
      </c>
      <c r="O308" s="6" t="s">
        <v>16</v>
      </c>
      <c r="P308" s="6" t="s">
        <v>16</v>
      </c>
      <c r="Q308" s="6" t="str">
        <f t="shared" si="5"/>
        <v>Ausencia total del riesgo, reevaluar cada 3 años con nueva identificación inicial</v>
      </c>
    </row>
    <row r="309" spans="1:17" ht="28.5">
      <c r="A309" s="70">
        <f>Datos!A308</f>
        <v>307</v>
      </c>
      <c r="B309" s="70">
        <f>Datos!B308</f>
        <v>0</v>
      </c>
      <c r="C309" s="71">
        <f>Datos!C308</f>
        <v>0</v>
      </c>
      <c r="D309" s="71">
        <f>Datos!D308</f>
        <v>0</v>
      </c>
      <c r="E309" s="71">
        <f>Datos!F308</f>
        <v>0</v>
      </c>
      <c r="F309" s="71">
        <f>Datos!G308</f>
        <v>0</v>
      </c>
      <c r="G309" s="71">
        <f>Datos!H308</f>
        <v>0</v>
      </c>
      <c r="H309" s="71">
        <f>Datos!I308</f>
        <v>0</v>
      </c>
      <c r="I309" s="71">
        <f>Datos!J308</f>
        <v>0</v>
      </c>
      <c r="J309" s="6" t="s">
        <v>16</v>
      </c>
      <c r="K309" s="6" t="s">
        <v>16</v>
      </c>
      <c r="L309" s="6" t="s">
        <v>16</v>
      </c>
      <c r="M309" s="6" t="s">
        <v>16</v>
      </c>
      <c r="N309" s="6" t="s">
        <v>16</v>
      </c>
      <c r="O309" s="6" t="s">
        <v>16</v>
      </c>
      <c r="P309" s="6" t="s">
        <v>16</v>
      </c>
      <c r="Q309" s="6" t="str">
        <f t="shared" si="5"/>
        <v>Ausencia total del riesgo, reevaluar cada 3 años con nueva identificación inicial</v>
      </c>
    </row>
    <row r="310" spans="1:17" ht="28.5">
      <c r="A310" s="70">
        <f>Datos!A309</f>
        <v>308</v>
      </c>
      <c r="B310" s="70">
        <f>Datos!B309</f>
        <v>0</v>
      </c>
      <c r="C310" s="71">
        <f>Datos!C309</f>
        <v>0</v>
      </c>
      <c r="D310" s="71">
        <f>Datos!D309</f>
        <v>0</v>
      </c>
      <c r="E310" s="71">
        <f>Datos!F309</f>
        <v>0</v>
      </c>
      <c r="F310" s="71">
        <f>Datos!G309</f>
        <v>0</v>
      </c>
      <c r="G310" s="71">
        <f>Datos!H309</f>
        <v>0</v>
      </c>
      <c r="H310" s="71">
        <f>Datos!I309</f>
        <v>0</v>
      </c>
      <c r="I310" s="71">
        <f>Datos!J309</f>
        <v>0</v>
      </c>
      <c r="J310" s="6" t="s">
        <v>16</v>
      </c>
      <c r="K310" s="6" t="s">
        <v>16</v>
      </c>
      <c r="L310" s="6" t="s">
        <v>16</v>
      </c>
      <c r="M310" s="6" t="s">
        <v>16</v>
      </c>
      <c r="N310" s="6" t="s">
        <v>16</v>
      </c>
      <c r="O310" s="6" t="s">
        <v>16</v>
      </c>
      <c r="P310" s="6" t="s">
        <v>16</v>
      </c>
      <c r="Q310" s="6" t="str">
        <f t="shared" si="5"/>
        <v>Ausencia total del riesgo, reevaluar cada 3 años con nueva identificación inicial</v>
      </c>
    </row>
    <row r="311" spans="1:17" ht="28.5">
      <c r="A311" s="70">
        <f>Datos!A310</f>
        <v>309</v>
      </c>
      <c r="B311" s="70">
        <f>Datos!B310</f>
        <v>0</v>
      </c>
      <c r="C311" s="71">
        <f>Datos!C310</f>
        <v>0</v>
      </c>
      <c r="D311" s="71">
        <f>Datos!D310</f>
        <v>0</v>
      </c>
      <c r="E311" s="71">
        <f>Datos!F310</f>
        <v>0</v>
      </c>
      <c r="F311" s="71">
        <f>Datos!G310</f>
        <v>0</v>
      </c>
      <c r="G311" s="71">
        <f>Datos!H310</f>
        <v>0</v>
      </c>
      <c r="H311" s="71">
        <f>Datos!I310</f>
        <v>0</v>
      </c>
      <c r="I311" s="71">
        <f>Datos!J310</f>
        <v>0</v>
      </c>
      <c r="J311" s="6" t="s">
        <v>16</v>
      </c>
      <c r="K311" s="6" t="s">
        <v>16</v>
      </c>
      <c r="L311" s="6" t="s">
        <v>16</v>
      </c>
      <c r="M311" s="6" t="s">
        <v>16</v>
      </c>
      <c r="N311" s="6" t="s">
        <v>16</v>
      </c>
      <c r="O311" s="6" t="s">
        <v>16</v>
      </c>
      <c r="P311" s="6" t="s">
        <v>16</v>
      </c>
      <c r="Q311" s="6" t="str">
        <f t="shared" si="5"/>
        <v>Ausencia total del riesgo, reevaluar cada 3 años con nueva identificación inicial</v>
      </c>
    </row>
    <row r="312" spans="1:17" ht="28.5">
      <c r="A312" s="70">
        <f>Datos!A311</f>
        <v>310</v>
      </c>
      <c r="B312" s="70">
        <f>Datos!B311</f>
        <v>0</v>
      </c>
      <c r="C312" s="71">
        <f>Datos!C311</f>
        <v>0</v>
      </c>
      <c r="D312" s="71">
        <f>Datos!D311</f>
        <v>0</v>
      </c>
      <c r="E312" s="71">
        <f>Datos!F311</f>
        <v>0</v>
      </c>
      <c r="F312" s="71">
        <f>Datos!G311</f>
        <v>0</v>
      </c>
      <c r="G312" s="71">
        <f>Datos!H311</f>
        <v>0</v>
      </c>
      <c r="H312" s="71">
        <f>Datos!I311</f>
        <v>0</v>
      </c>
      <c r="I312" s="71">
        <f>Datos!J311</f>
        <v>0</v>
      </c>
      <c r="J312" s="6" t="s">
        <v>16</v>
      </c>
      <c r="K312" s="6" t="s">
        <v>16</v>
      </c>
      <c r="L312" s="6" t="s">
        <v>16</v>
      </c>
      <c r="M312" s="6" t="s">
        <v>16</v>
      </c>
      <c r="N312" s="6" t="s">
        <v>16</v>
      </c>
      <c r="O312" s="6" t="s">
        <v>16</v>
      </c>
      <c r="P312" s="6" t="s">
        <v>16</v>
      </c>
      <c r="Q312" s="6" t="str">
        <f t="shared" si="5"/>
        <v>Ausencia total del riesgo, reevaluar cada 3 años con nueva identificación inicial</v>
      </c>
    </row>
    <row r="313" spans="1:17" ht="28.5">
      <c r="A313" s="70">
        <f>Datos!A312</f>
        <v>311</v>
      </c>
      <c r="B313" s="70">
        <f>Datos!B312</f>
        <v>0</v>
      </c>
      <c r="C313" s="71">
        <f>Datos!C312</f>
        <v>0</v>
      </c>
      <c r="D313" s="71">
        <f>Datos!D312</f>
        <v>0</v>
      </c>
      <c r="E313" s="71">
        <f>Datos!F312</f>
        <v>0</v>
      </c>
      <c r="F313" s="71">
        <f>Datos!G312</f>
        <v>0</v>
      </c>
      <c r="G313" s="71">
        <f>Datos!H312</f>
        <v>0</v>
      </c>
      <c r="H313" s="71">
        <f>Datos!I312</f>
        <v>0</v>
      </c>
      <c r="I313" s="71">
        <f>Datos!J312</f>
        <v>0</v>
      </c>
      <c r="J313" s="6" t="s">
        <v>16</v>
      </c>
      <c r="K313" s="6" t="s">
        <v>16</v>
      </c>
      <c r="L313" s="6" t="s">
        <v>16</v>
      </c>
      <c r="M313" s="6" t="s">
        <v>16</v>
      </c>
      <c r="N313" s="6" t="s">
        <v>16</v>
      </c>
      <c r="O313" s="6" t="s">
        <v>16</v>
      </c>
      <c r="P313" s="6" t="s">
        <v>16</v>
      </c>
      <c r="Q313" s="6" t="str">
        <f t="shared" si="5"/>
        <v>Ausencia total del riesgo, reevaluar cada 3 años con nueva identificación inicial</v>
      </c>
    </row>
    <row r="314" spans="1:17" ht="28.5">
      <c r="A314" s="70">
        <f>Datos!A313</f>
        <v>312</v>
      </c>
      <c r="B314" s="70">
        <f>Datos!B313</f>
        <v>0</v>
      </c>
      <c r="C314" s="71">
        <f>Datos!C313</f>
        <v>0</v>
      </c>
      <c r="D314" s="71">
        <f>Datos!D313</f>
        <v>0</v>
      </c>
      <c r="E314" s="71">
        <f>Datos!F313</f>
        <v>0</v>
      </c>
      <c r="F314" s="71">
        <f>Datos!G313</f>
        <v>0</v>
      </c>
      <c r="G314" s="71">
        <f>Datos!H313</f>
        <v>0</v>
      </c>
      <c r="H314" s="71">
        <f>Datos!I313</f>
        <v>0</v>
      </c>
      <c r="I314" s="71">
        <f>Datos!J313</f>
        <v>0</v>
      </c>
      <c r="J314" s="6" t="s">
        <v>16</v>
      </c>
      <c r="K314" s="6" t="s">
        <v>16</v>
      </c>
      <c r="L314" s="6" t="s">
        <v>16</v>
      </c>
      <c r="M314" s="6" t="s">
        <v>16</v>
      </c>
      <c r="N314" s="6" t="s">
        <v>16</v>
      </c>
      <c r="O314" s="6" t="s">
        <v>16</v>
      </c>
      <c r="P314" s="6" t="s">
        <v>16</v>
      </c>
      <c r="Q314" s="6" t="str">
        <f t="shared" si="5"/>
        <v>Ausencia total del riesgo, reevaluar cada 3 años con nueva identificación inicial</v>
      </c>
    </row>
    <row r="315" spans="1:17" ht="28.5">
      <c r="A315" s="70">
        <f>Datos!A314</f>
        <v>313</v>
      </c>
      <c r="B315" s="70">
        <f>Datos!B314</f>
        <v>0</v>
      </c>
      <c r="C315" s="71">
        <f>Datos!C314</f>
        <v>0</v>
      </c>
      <c r="D315" s="71">
        <f>Datos!D314</f>
        <v>0</v>
      </c>
      <c r="E315" s="71">
        <f>Datos!F314</f>
        <v>0</v>
      </c>
      <c r="F315" s="71">
        <f>Datos!G314</f>
        <v>0</v>
      </c>
      <c r="G315" s="71">
        <f>Datos!H314</f>
        <v>0</v>
      </c>
      <c r="H315" s="71">
        <f>Datos!I314</f>
        <v>0</v>
      </c>
      <c r="I315" s="71">
        <f>Datos!J314</f>
        <v>0</v>
      </c>
      <c r="J315" s="6" t="s">
        <v>16</v>
      </c>
      <c r="K315" s="6" t="s">
        <v>16</v>
      </c>
      <c r="L315" s="6" t="s">
        <v>16</v>
      </c>
      <c r="M315" s="6" t="s">
        <v>16</v>
      </c>
      <c r="N315" s="6" t="s">
        <v>16</v>
      </c>
      <c r="O315" s="6" t="s">
        <v>16</v>
      </c>
      <c r="P315" s="6" t="s">
        <v>16</v>
      </c>
      <c r="Q315" s="6" t="str">
        <f t="shared" si="5"/>
        <v>Ausencia total del riesgo, reevaluar cada 3 años con nueva identificación inicial</v>
      </c>
    </row>
    <row r="316" spans="1:17" ht="28.5">
      <c r="A316" s="70">
        <f>Datos!A315</f>
        <v>314</v>
      </c>
      <c r="B316" s="70">
        <f>Datos!B315</f>
        <v>0</v>
      </c>
      <c r="C316" s="71">
        <f>Datos!C315</f>
        <v>0</v>
      </c>
      <c r="D316" s="71">
        <f>Datos!D315</f>
        <v>0</v>
      </c>
      <c r="E316" s="71">
        <f>Datos!F315</f>
        <v>0</v>
      </c>
      <c r="F316" s="71">
        <f>Datos!G315</f>
        <v>0</v>
      </c>
      <c r="G316" s="71">
        <f>Datos!H315</f>
        <v>0</v>
      </c>
      <c r="H316" s="71">
        <f>Datos!I315</f>
        <v>0</v>
      </c>
      <c r="I316" s="71">
        <f>Datos!J315</f>
        <v>0</v>
      </c>
      <c r="J316" s="6" t="s">
        <v>16</v>
      </c>
      <c r="K316" s="6" t="s">
        <v>16</v>
      </c>
      <c r="L316" s="6" t="s">
        <v>16</v>
      </c>
      <c r="M316" s="6" t="s">
        <v>16</v>
      </c>
      <c r="N316" s="6" t="s">
        <v>16</v>
      </c>
      <c r="O316" s="6" t="s">
        <v>16</v>
      </c>
      <c r="P316" s="6" t="s">
        <v>16</v>
      </c>
      <c r="Q316" s="6" t="str">
        <f t="shared" si="5"/>
        <v>Ausencia total del riesgo, reevaluar cada 3 años con nueva identificación inicial</v>
      </c>
    </row>
    <row r="317" spans="1:17" ht="28.5">
      <c r="A317" s="70">
        <f>Datos!A316</f>
        <v>315</v>
      </c>
      <c r="B317" s="70">
        <f>Datos!B316</f>
        <v>0</v>
      </c>
      <c r="C317" s="71">
        <f>Datos!C316</f>
        <v>0</v>
      </c>
      <c r="D317" s="71">
        <f>Datos!D316</f>
        <v>0</v>
      </c>
      <c r="E317" s="71">
        <f>Datos!F316</f>
        <v>0</v>
      </c>
      <c r="F317" s="71">
        <f>Datos!G316</f>
        <v>0</v>
      </c>
      <c r="G317" s="71">
        <f>Datos!H316</f>
        <v>0</v>
      </c>
      <c r="H317" s="71">
        <f>Datos!I316</f>
        <v>0</v>
      </c>
      <c r="I317" s="71">
        <f>Datos!J316</f>
        <v>0</v>
      </c>
      <c r="J317" s="6" t="s">
        <v>16</v>
      </c>
      <c r="K317" s="6" t="s">
        <v>16</v>
      </c>
      <c r="L317" s="6" t="s">
        <v>16</v>
      </c>
      <c r="M317" s="6" t="s">
        <v>16</v>
      </c>
      <c r="N317" s="6" t="s">
        <v>16</v>
      </c>
      <c r="O317" s="6" t="s">
        <v>16</v>
      </c>
      <c r="P317" s="6" t="s">
        <v>16</v>
      </c>
      <c r="Q317" s="6" t="str">
        <f t="shared" si="5"/>
        <v>Ausencia total del riesgo, reevaluar cada 3 años con nueva identificación inicial</v>
      </c>
    </row>
    <row r="318" spans="1:17" ht="28.5">
      <c r="A318" s="70">
        <f>Datos!A317</f>
        <v>316</v>
      </c>
      <c r="B318" s="70">
        <f>Datos!B317</f>
        <v>0</v>
      </c>
      <c r="C318" s="71">
        <f>Datos!C317</f>
        <v>0</v>
      </c>
      <c r="D318" s="71">
        <f>Datos!D317</f>
        <v>0</v>
      </c>
      <c r="E318" s="71">
        <f>Datos!F317</f>
        <v>0</v>
      </c>
      <c r="F318" s="71">
        <f>Datos!G317</f>
        <v>0</v>
      </c>
      <c r="G318" s="71">
        <f>Datos!H317</f>
        <v>0</v>
      </c>
      <c r="H318" s="71">
        <f>Datos!I317</f>
        <v>0</v>
      </c>
      <c r="I318" s="71">
        <f>Datos!J317</f>
        <v>0</v>
      </c>
      <c r="J318" s="6" t="s">
        <v>16</v>
      </c>
      <c r="K318" s="6" t="s">
        <v>16</v>
      </c>
      <c r="L318" s="6" t="s">
        <v>16</v>
      </c>
      <c r="M318" s="6" t="s">
        <v>16</v>
      </c>
      <c r="N318" s="6" t="s">
        <v>16</v>
      </c>
      <c r="O318" s="6" t="s">
        <v>16</v>
      </c>
      <c r="P318" s="6" t="s">
        <v>16</v>
      </c>
      <c r="Q318" s="6" t="str">
        <f t="shared" si="5"/>
        <v>Ausencia total del riesgo, reevaluar cada 3 años con nueva identificación inicial</v>
      </c>
    </row>
    <row r="319" spans="1:17" ht="28.5">
      <c r="A319" s="70">
        <f>Datos!A318</f>
        <v>317</v>
      </c>
      <c r="B319" s="70">
        <f>Datos!B318</f>
        <v>0</v>
      </c>
      <c r="C319" s="71">
        <f>Datos!C318</f>
        <v>0</v>
      </c>
      <c r="D319" s="71">
        <f>Datos!D318</f>
        <v>0</v>
      </c>
      <c r="E319" s="71">
        <f>Datos!F318</f>
        <v>0</v>
      </c>
      <c r="F319" s="71">
        <f>Datos!G318</f>
        <v>0</v>
      </c>
      <c r="G319" s="71">
        <f>Datos!H318</f>
        <v>0</v>
      </c>
      <c r="H319" s="71">
        <f>Datos!I318</f>
        <v>0</v>
      </c>
      <c r="I319" s="71">
        <f>Datos!J318</f>
        <v>0</v>
      </c>
      <c r="J319" s="6" t="s">
        <v>16</v>
      </c>
      <c r="K319" s="6" t="s">
        <v>16</v>
      </c>
      <c r="L319" s="6" t="s">
        <v>16</v>
      </c>
      <c r="M319" s="6" t="s">
        <v>16</v>
      </c>
      <c r="N319" s="6" t="s">
        <v>16</v>
      </c>
      <c r="O319" s="6" t="s">
        <v>16</v>
      </c>
      <c r="P319" s="6" t="s">
        <v>16</v>
      </c>
      <c r="Q319" s="6" t="str">
        <f t="shared" si="5"/>
        <v>Ausencia total del riesgo, reevaluar cada 3 años con nueva identificación inicial</v>
      </c>
    </row>
    <row r="320" spans="1:17" ht="28.5">
      <c r="A320" s="70">
        <f>Datos!A319</f>
        <v>318</v>
      </c>
      <c r="B320" s="70">
        <f>Datos!B319</f>
        <v>0</v>
      </c>
      <c r="C320" s="71">
        <f>Datos!C319</f>
        <v>0</v>
      </c>
      <c r="D320" s="71">
        <f>Datos!D319</f>
        <v>0</v>
      </c>
      <c r="E320" s="71">
        <f>Datos!F319</f>
        <v>0</v>
      </c>
      <c r="F320" s="71">
        <f>Datos!G319</f>
        <v>0</v>
      </c>
      <c r="G320" s="71">
        <f>Datos!H319</f>
        <v>0</v>
      </c>
      <c r="H320" s="71">
        <f>Datos!I319</f>
        <v>0</v>
      </c>
      <c r="I320" s="71">
        <f>Datos!J319</f>
        <v>0</v>
      </c>
      <c r="J320" s="6" t="s">
        <v>16</v>
      </c>
      <c r="K320" s="6" t="s">
        <v>16</v>
      </c>
      <c r="L320" s="6" t="s">
        <v>16</v>
      </c>
      <c r="M320" s="6" t="s">
        <v>16</v>
      </c>
      <c r="N320" s="6" t="s">
        <v>16</v>
      </c>
      <c r="O320" s="6" t="s">
        <v>16</v>
      </c>
      <c r="P320" s="6" t="s">
        <v>16</v>
      </c>
      <c r="Q320" s="6" t="str">
        <f t="shared" si="5"/>
        <v>Ausencia total del riesgo, reevaluar cada 3 años con nueva identificación inicial</v>
      </c>
    </row>
    <row r="321" spans="1:17" ht="28.5">
      <c r="A321" s="70">
        <f>Datos!A320</f>
        <v>319</v>
      </c>
      <c r="B321" s="70">
        <f>Datos!B320</f>
        <v>0</v>
      </c>
      <c r="C321" s="71">
        <f>Datos!C320</f>
        <v>0</v>
      </c>
      <c r="D321" s="71">
        <f>Datos!D320</f>
        <v>0</v>
      </c>
      <c r="E321" s="71">
        <f>Datos!F320</f>
        <v>0</v>
      </c>
      <c r="F321" s="71">
        <f>Datos!G320</f>
        <v>0</v>
      </c>
      <c r="G321" s="71">
        <f>Datos!H320</f>
        <v>0</v>
      </c>
      <c r="H321" s="71">
        <f>Datos!I320</f>
        <v>0</v>
      </c>
      <c r="I321" s="71">
        <f>Datos!J320</f>
        <v>0</v>
      </c>
      <c r="J321" s="6" t="s">
        <v>16</v>
      </c>
      <c r="K321" s="6" t="s">
        <v>16</v>
      </c>
      <c r="L321" s="6" t="s">
        <v>16</v>
      </c>
      <c r="M321" s="6" t="s">
        <v>16</v>
      </c>
      <c r="N321" s="6" t="s">
        <v>16</v>
      </c>
      <c r="O321" s="6" t="s">
        <v>16</v>
      </c>
      <c r="P321" s="6" t="s">
        <v>16</v>
      </c>
      <c r="Q321" s="6" t="str">
        <f t="shared" si="5"/>
        <v>Ausencia total del riesgo, reevaluar cada 3 años con nueva identificación inicial</v>
      </c>
    </row>
    <row r="322" spans="1:17" ht="28.5">
      <c r="A322" s="70">
        <f>Datos!A321</f>
        <v>320</v>
      </c>
      <c r="B322" s="70">
        <f>Datos!B321</f>
        <v>0</v>
      </c>
      <c r="C322" s="71">
        <f>Datos!C321</f>
        <v>0</v>
      </c>
      <c r="D322" s="71">
        <f>Datos!D321</f>
        <v>0</v>
      </c>
      <c r="E322" s="71">
        <f>Datos!F321</f>
        <v>0</v>
      </c>
      <c r="F322" s="71">
        <f>Datos!G321</f>
        <v>0</v>
      </c>
      <c r="G322" s="71">
        <f>Datos!H321</f>
        <v>0</v>
      </c>
      <c r="H322" s="71">
        <f>Datos!I321</f>
        <v>0</v>
      </c>
      <c r="I322" s="71">
        <f>Datos!J321</f>
        <v>0</v>
      </c>
      <c r="J322" s="6" t="s">
        <v>16</v>
      </c>
      <c r="K322" s="6" t="s">
        <v>16</v>
      </c>
      <c r="L322" s="6" t="s">
        <v>16</v>
      </c>
      <c r="M322" s="6" t="s">
        <v>16</v>
      </c>
      <c r="N322" s="6" t="s">
        <v>16</v>
      </c>
      <c r="O322" s="6" t="s">
        <v>16</v>
      </c>
      <c r="P322" s="6" t="s">
        <v>16</v>
      </c>
      <c r="Q322" s="6" t="str">
        <f t="shared" si="5"/>
        <v>Ausencia total del riesgo, reevaluar cada 3 años con nueva identificación inicial</v>
      </c>
    </row>
    <row r="323" spans="1:17" ht="28.5">
      <c r="A323" s="70">
        <f>Datos!A322</f>
        <v>321</v>
      </c>
      <c r="B323" s="70">
        <f>Datos!B322</f>
        <v>0</v>
      </c>
      <c r="C323" s="71">
        <f>Datos!C322</f>
        <v>0</v>
      </c>
      <c r="D323" s="71">
        <f>Datos!D322</f>
        <v>0</v>
      </c>
      <c r="E323" s="71">
        <f>Datos!F322</f>
        <v>0</v>
      </c>
      <c r="F323" s="71">
        <f>Datos!G322</f>
        <v>0</v>
      </c>
      <c r="G323" s="71">
        <f>Datos!H322</f>
        <v>0</v>
      </c>
      <c r="H323" s="71">
        <f>Datos!I322</f>
        <v>0</v>
      </c>
      <c r="I323" s="71">
        <f>Datos!J322</f>
        <v>0</v>
      </c>
      <c r="J323" s="6" t="s">
        <v>16</v>
      </c>
      <c r="K323" s="6" t="s">
        <v>16</v>
      </c>
      <c r="L323" s="6" t="s">
        <v>16</v>
      </c>
      <c r="M323" s="6" t="s">
        <v>16</v>
      </c>
      <c r="N323" s="6" t="s">
        <v>16</v>
      </c>
      <c r="O323" s="6" t="s">
        <v>16</v>
      </c>
      <c r="P323" s="6" t="s">
        <v>16</v>
      </c>
      <c r="Q323" s="6" t="str">
        <f t="shared" si="5"/>
        <v>Ausencia total del riesgo, reevaluar cada 3 años con nueva identificación inicial</v>
      </c>
    </row>
    <row r="324" spans="1:17" ht="28.5">
      <c r="A324" s="70">
        <f>Datos!A323</f>
        <v>322</v>
      </c>
      <c r="B324" s="70">
        <f>Datos!B323</f>
        <v>0</v>
      </c>
      <c r="C324" s="71">
        <f>Datos!C323</f>
        <v>0</v>
      </c>
      <c r="D324" s="71">
        <f>Datos!D323</f>
        <v>0</v>
      </c>
      <c r="E324" s="71">
        <f>Datos!F323</f>
        <v>0</v>
      </c>
      <c r="F324" s="71">
        <f>Datos!G323</f>
        <v>0</v>
      </c>
      <c r="G324" s="71">
        <f>Datos!H323</f>
        <v>0</v>
      </c>
      <c r="H324" s="71">
        <f>Datos!I323</f>
        <v>0</v>
      </c>
      <c r="I324" s="71">
        <f>Datos!J323</f>
        <v>0</v>
      </c>
      <c r="J324" s="6" t="s">
        <v>16</v>
      </c>
      <c r="K324" s="6" t="s">
        <v>16</v>
      </c>
      <c r="L324" s="6" t="s">
        <v>16</v>
      </c>
      <c r="M324" s="6" t="s">
        <v>16</v>
      </c>
      <c r="N324" s="6" t="s">
        <v>16</v>
      </c>
      <c r="O324" s="6" t="s">
        <v>16</v>
      </c>
      <c r="P324" s="6" t="s">
        <v>16</v>
      </c>
      <c r="Q324" s="6" t="str">
        <f t="shared" si="5"/>
        <v>Ausencia total del riesgo, reevaluar cada 3 años con nueva identificación inicial</v>
      </c>
    </row>
    <row r="325" spans="1:17" ht="28.5">
      <c r="A325" s="70">
        <f>Datos!A324</f>
        <v>323</v>
      </c>
      <c r="B325" s="70">
        <f>Datos!B324</f>
        <v>0</v>
      </c>
      <c r="C325" s="71">
        <f>Datos!C324</f>
        <v>0</v>
      </c>
      <c r="D325" s="71">
        <f>Datos!D324</f>
        <v>0</v>
      </c>
      <c r="E325" s="71">
        <f>Datos!F324</f>
        <v>0</v>
      </c>
      <c r="F325" s="71">
        <f>Datos!G324</f>
        <v>0</v>
      </c>
      <c r="G325" s="71">
        <f>Datos!H324</f>
        <v>0</v>
      </c>
      <c r="H325" s="71">
        <f>Datos!I324</f>
        <v>0</v>
      </c>
      <c r="I325" s="71">
        <f>Datos!J324</f>
        <v>0</v>
      </c>
      <c r="J325" s="6" t="s">
        <v>16</v>
      </c>
      <c r="K325" s="6" t="s">
        <v>16</v>
      </c>
      <c r="L325" s="6" t="s">
        <v>16</v>
      </c>
      <c r="M325" s="6" t="s">
        <v>16</v>
      </c>
      <c r="N325" s="6" t="s">
        <v>16</v>
      </c>
      <c r="O325" s="6" t="s">
        <v>16</v>
      </c>
      <c r="P325" s="6" t="s">
        <v>16</v>
      </c>
      <c r="Q325" s="6" t="str">
        <f t="shared" si="5"/>
        <v>Ausencia total del riesgo, reevaluar cada 3 años con nueva identificación inicial</v>
      </c>
    </row>
    <row r="326" spans="1:17" ht="28.5">
      <c r="A326" s="70">
        <f>Datos!A325</f>
        <v>324</v>
      </c>
      <c r="B326" s="70">
        <f>Datos!B325</f>
        <v>0</v>
      </c>
      <c r="C326" s="71">
        <f>Datos!C325</f>
        <v>0</v>
      </c>
      <c r="D326" s="71">
        <f>Datos!D325</f>
        <v>0</v>
      </c>
      <c r="E326" s="71">
        <f>Datos!F325</f>
        <v>0</v>
      </c>
      <c r="F326" s="71">
        <f>Datos!G325</f>
        <v>0</v>
      </c>
      <c r="G326" s="71">
        <f>Datos!H325</f>
        <v>0</v>
      </c>
      <c r="H326" s="71">
        <f>Datos!I325</f>
        <v>0</v>
      </c>
      <c r="I326" s="71">
        <f>Datos!J325</f>
        <v>0</v>
      </c>
      <c r="J326" s="6" t="s">
        <v>16</v>
      </c>
      <c r="K326" s="6" t="s">
        <v>16</v>
      </c>
      <c r="L326" s="6" t="s">
        <v>16</v>
      </c>
      <c r="M326" s="6" t="s">
        <v>16</v>
      </c>
      <c r="N326" s="6" t="s">
        <v>16</v>
      </c>
      <c r="O326" s="6" t="s">
        <v>16</v>
      </c>
      <c r="P326" s="6" t="s">
        <v>16</v>
      </c>
      <c r="Q326" s="6" t="str">
        <f t="shared" si="5"/>
        <v>Ausencia total del riesgo, reevaluar cada 3 años con nueva identificación inicial</v>
      </c>
    </row>
    <row r="327" spans="1:17" ht="28.5">
      <c r="A327" s="70">
        <f>Datos!A326</f>
        <v>325</v>
      </c>
      <c r="B327" s="70">
        <f>Datos!B326</f>
        <v>0</v>
      </c>
      <c r="C327" s="71">
        <f>Datos!C326</f>
        <v>0</v>
      </c>
      <c r="D327" s="71">
        <f>Datos!D326</f>
        <v>0</v>
      </c>
      <c r="E327" s="71">
        <f>Datos!F326</f>
        <v>0</v>
      </c>
      <c r="F327" s="71">
        <f>Datos!G326</f>
        <v>0</v>
      </c>
      <c r="G327" s="71">
        <f>Datos!H326</f>
        <v>0</v>
      </c>
      <c r="H327" s="71">
        <f>Datos!I326</f>
        <v>0</v>
      </c>
      <c r="I327" s="71">
        <f>Datos!J326</f>
        <v>0</v>
      </c>
      <c r="J327" s="6" t="s">
        <v>16</v>
      </c>
      <c r="K327" s="6" t="s">
        <v>16</v>
      </c>
      <c r="L327" s="6" t="s">
        <v>16</v>
      </c>
      <c r="M327" s="6" t="s">
        <v>16</v>
      </c>
      <c r="N327" s="6" t="s">
        <v>16</v>
      </c>
      <c r="O327" s="6" t="s">
        <v>16</v>
      </c>
      <c r="P327" s="6" t="s">
        <v>16</v>
      </c>
      <c r="Q327" s="6" t="str">
        <f t="shared" si="5"/>
        <v>Ausencia total del riesgo, reevaluar cada 3 años con nueva identificación inicial</v>
      </c>
    </row>
    <row r="328" spans="1:17" ht="28.5">
      <c r="A328" s="70">
        <f>Datos!A327</f>
        <v>326</v>
      </c>
      <c r="B328" s="70">
        <f>Datos!B327</f>
        <v>0</v>
      </c>
      <c r="C328" s="71">
        <f>Datos!C327</f>
        <v>0</v>
      </c>
      <c r="D328" s="71">
        <f>Datos!D327</f>
        <v>0</v>
      </c>
      <c r="E328" s="71">
        <f>Datos!F327</f>
        <v>0</v>
      </c>
      <c r="F328" s="71">
        <f>Datos!G327</f>
        <v>0</v>
      </c>
      <c r="G328" s="71">
        <f>Datos!H327</f>
        <v>0</v>
      </c>
      <c r="H328" s="71">
        <f>Datos!I327</f>
        <v>0</v>
      </c>
      <c r="I328" s="71">
        <f>Datos!J327</f>
        <v>0</v>
      </c>
      <c r="J328" s="6" t="s">
        <v>16</v>
      </c>
      <c r="K328" s="6" t="s">
        <v>16</v>
      </c>
      <c r="L328" s="6" t="s">
        <v>16</v>
      </c>
      <c r="M328" s="6" t="s">
        <v>16</v>
      </c>
      <c r="N328" s="6" t="s">
        <v>16</v>
      </c>
      <c r="O328" s="6" t="s">
        <v>16</v>
      </c>
      <c r="P328" s="6" t="s">
        <v>16</v>
      </c>
      <c r="Q328" s="6" t="str">
        <f t="shared" si="5"/>
        <v>Ausencia total del riesgo, reevaluar cada 3 años con nueva identificación inicial</v>
      </c>
    </row>
    <row r="329" spans="1:17" ht="28.5">
      <c r="A329" s="70">
        <f>Datos!A328</f>
        <v>327</v>
      </c>
      <c r="B329" s="70">
        <f>Datos!B328</f>
        <v>0</v>
      </c>
      <c r="C329" s="71">
        <f>Datos!C328</f>
        <v>0</v>
      </c>
      <c r="D329" s="71">
        <f>Datos!D328</f>
        <v>0</v>
      </c>
      <c r="E329" s="71">
        <f>Datos!F328</f>
        <v>0</v>
      </c>
      <c r="F329" s="71">
        <f>Datos!G328</f>
        <v>0</v>
      </c>
      <c r="G329" s="71">
        <f>Datos!H328</f>
        <v>0</v>
      </c>
      <c r="H329" s="71">
        <f>Datos!I328</f>
        <v>0</v>
      </c>
      <c r="I329" s="71">
        <f>Datos!J328</f>
        <v>0</v>
      </c>
      <c r="J329" s="6" t="s">
        <v>16</v>
      </c>
      <c r="K329" s="6" t="s">
        <v>16</v>
      </c>
      <c r="L329" s="6" t="s">
        <v>16</v>
      </c>
      <c r="M329" s="6" t="s">
        <v>16</v>
      </c>
      <c r="N329" s="6" t="s">
        <v>16</v>
      </c>
      <c r="O329" s="6" t="s">
        <v>16</v>
      </c>
      <c r="P329" s="6" t="s">
        <v>16</v>
      </c>
      <c r="Q329" s="6" t="str">
        <f t="shared" si="5"/>
        <v>Ausencia total del riesgo, reevaluar cada 3 años con nueva identificación inicial</v>
      </c>
    </row>
    <row r="330" spans="1:17" ht="28.5">
      <c r="A330" s="70">
        <f>Datos!A329</f>
        <v>328</v>
      </c>
      <c r="B330" s="70">
        <f>Datos!B329</f>
        <v>0</v>
      </c>
      <c r="C330" s="71">
        <f>Datos!C329</f>
        <v>0</v>
      </c>
      <c r="D330" s="71">
        <f>Datos!D329</f>
        <v>0</v>
      </c>
      <c r="E330" s="71">
        <f>Datos!F329</f>
        <v>0</v>
      </c>
      <c r="F330" s="71">
        <f>Datos!G329</f>
        <v>0</v>
      </c>
      <c r="G330" s="71">
        <f>Datos!H329</f>
        <v>0</v>
      </c>
      <c r="H330" s="71">
        <f>Datos!I329</f>
        <v>0</v>
      </c>
      <c r="I330" s="71">
        <f>Datos!J329</f>
        <v>0</v>
      </c>
      <c r="J330" s="6" t="s">
        <v>16</v>
      </c>
      <c r="K330" s="6" t="s">
        <v>16</v>
      </c>
      <c r="L330" s="6" t="s">
        <v>16</v>
      </c>
      <c r="M330" s="6" t="s">
        <v>16</v>
      </c>
      <c r="N330" s="6" t="s">
        <v>16</v>
      </c>
      <c r="O330" s="6" t="s">
        <v>16</v>
      </c>
      <c r="P330" s="6" t="s">
        <v>16</v>
      </c>
      <c r="Q330" s="6" t="str">
        <f t="shared" si="5"/>
        <v>Ausencia total del riesgo, reevaluar cada 3 años con nueva identificación inicial</v>
      </c>
    </row>
    <row r="331" spans="1:17" ht="28.5">
      <c r="A331" s="70">
        <f>Datos!A330</f>
        <v>329</v>
      </c>
      <c r="B331" s="70">
        <f>Datos!B330</f>
        <v>0</v>
      </c>
      <c r="C331" s="71">
        <f>Datos!C330</f>
        <v>0</v>
      </c>
      <c r="D331" s="71">
        <f>Datos!D330</f>
        <v>0</v>
      </c>
      <c r="E331" s="71">
        <f>Datos!F330</f>
        <v>0</v>
      </c>
      <c r="F331" s="71">
        <f>Datos!G330</f>
        <v>0</v>
      </c>
      <c r="G331" s="71">
        <f>Datos!H330</f>
        <v>0</v>
      </c>
      <c r="H331" s="71">
        <f>Datos!I330</f>
        <v>0</v>
      </c>
      <c r="I331" s="71">
        <f>Datos!J330</f>
        <v>0</v>
      </c>
      <c r="J331" s="6" t="s">
        <v>16</v>
      </c>
      <c r="K331" s="6" t="s">
        <v>16</v>
      </c>
      <c r="L331" s="6" t="s">
        <v>16</v>
      </c>
      <c r="M331" s="6" t="s">
        <v>16</v>
      </c>
      <c r="N331" s="6" t="s">
        <v>16</v>
      </c>
      <c r="O331" s="6" t="s">
        <v>16</v>
      </c>
      <c r="P331" s="6" t="s">
        <v>16</v>
      </c>
      <c r="Q331" s="6" t="str">
        <f t="shared" si="5"/>
        <v>Ausencia total del riesgo, reevaluar cada 3 años con nueva identificación inicial</v>
      </c>
    </row>
    <row r="332" spans="1:17" ht="28.5">
      <c r="A332" s="70">
        <f>Datos!A331</f>
        <v>330</v>
      </c>
      <c r="B332" s="70">
        <f>Datos!B331</f>
        <v>0</v>
      </c>
      <c r="C332" s="71">
        <f>Datos!C331</f>
        <v>0</v>
      </c>
      <c r="D332" s="71">
        <f>Datos!D331</f>
        <v>0</v>
      </c>
      <c r="E332" s="71">
        <f>Datos!F331</f>
        <v>0</v>
      </c>
      <c r="F332" s="71">
        <f>Datos!G331</f>
        <v>0</v>
      </c>
      <c r="G332" s="71">
        <f>Datos!H331</f>
        <v>0</v>
      </c>
      <c r="H332" s="71">
        <f>Datos!I331</f>
        <v>0</v>
      </c>
      <c r="I332" s="71">
        <f>Datos!J331</f>
        <v>0</v>
      </c>
      <c r="J332" s="6" t="s">
        <v>16</v>
      </c>
      <c r="K332" s="6" t="s">
        <v>16</v>
      </c>
      <c r="L332" s="6" t="s">
        <v>16</v>
      </c>
      <c r="M332" s="6" t="s">
        <v>16</v>
      </c>
      <c r="N332" s="6" t="s">
        <v>16</v>
      </c>
      <c r="O332" s="6" t="s">
        <v>16</v>
      </c>
      <c r="P332" s="6" t="s">
        <v>16</v>
      </c>
      <c r="Q332" s="6" t="str">
        <f t="shared" si="5"/>
        <v>Ausencia total del riesgo, reevaluar cada 3 años con nueva identificación inicial</v>
      </c>
    </row>
    <row r="333" spans="1:17" ht="28.5">
      <c r="A333" s="70">
        <f>Datos!A332</f>
        <v>331</v>
      </c>
      <c r="B333" s="70">
        <f>Datos!B332</f>
        <v>0</v>
      </c>
      <c r="C333" s="71">
        <f>Datos!C332</f>
        <v>0</v>
      </c>
      <c r="D333" s="71">
        <f>Datos!D332</f>
        <v>0</v>
      </c>
      <c r="E333" s="71">
        <f>Datos!F332</f>
        <v>0</v>
      </c>
      <c r="F333" s="71">
        <f>Datos!G332</f>
        <v>0</v>
      </c>
      <c r="G333" s="71">
        <f>Datos!H332</f>
        <v>0</v>
      </c>
      <c r="H333" s="71">
        <f>Datos!I332</f>
        <v>0</v>
      </c>
      <c r="I333" s="71">
        <f>Datos!J332</f>
        <v>0</v>
      </c>
      <c r="J333" s="6" t="s">
        <v>16</v>
      </c>
      <c r="K333" s="6" t="s">
        <v>16</v>
      </c>
      <c r="L333" s="6" t="s">
        <v>16</v>
      </c>
      <c r="M333" s="6" t="s">
        <v>16</v>
      </c>
      <c r="N333" s="6" t="s">
        <v>16</v>
      </c>
      <c r="O333" s="6" t="s">
        <v>16</v>
      </c>
      <c r="P333" s="6" t="s">
        <v>16</v>
      </c>
      <c r="Q333" s="6" t="str">
        <f t="shared" si="5"/>
        <v>Ausencia total del riesgo, reevaluar cada 3 años con nueva identificación inicial</v>
      </c>
    </row>
    <row r="334" spans="1:17" ht="28.5">
      <c r="A334" s="70">
        <f>Datos!A333</f>
        <v>332</v>
      </c>
      <c r="B334" s="70">
        <f>Datos!B333</f>
        <v>0</v>
      </c>
      <c r="C334" s="71">
        <f>Datos!C333</f>
        <v>0</v>
      </c>
      <c r="D334" s="71">
        <f>Datos!D333</f>
        <v>0</v>
      </c>
      <c r="E334" s="71">
        <f>Datos!F333</f>
        <v>0</v>
      </c>
      <c r="F334" s="71">
        <f>Datos!G333</f>
        <v>0</v>
      </c>
      <c r="G334" s="71">
        <f>Datos!H333</f>
        <v>0</v>
      </c>
      <c r="H334" s="71">
        <f>Datos!I333</f>
        <v>0</v>
      </c>
      <c r="I334" s="71">
        <f>Datos!J333</f>
        <v>0</v>
      </c>
      <c r="J334" s="6" t="s">
        <v>16</v>
      </c>
      <c r="K334" s="6" t="s">
        <v>16</v>
      </c>
      <c r="L334" s="6" t="s">
        <v>16</v>
      </c>
      <c r="M334" s="6" t="s">
        <v>16</v>
      </c>
      <c r="N334" s="6" t="s">
        <v>16</v>
      </c>
      <c r="O334" s="6" t="s">
        <v>16</v>
      </c>
      <c r="P334" s="6" t="s">
        <v>16</v>
      </c>
      <c r="Q334" s="6" t="str">
        <f t="shared" si="5"/>
        <v>Ausencia total del riesgo, reevaluar cada 3 años con nueva identificación inicial</v>
      </c>
    </row>
    <row r="335" spans="1:17" ht="28.5">
      <c r="A335" s="70">
        <f>Datos!A334</f>
        <v>333</v>
      </c>
      <c r="B335" s="70">
        <f>Datos!B334</f>
        <v>0</v>
      </c>
      <c r="C335" s="71">
        <f>Datos!C334</f>
        <v>0</v>
      </c>
      <c r="D335" s="71">
        <f>Datos!D334</f>
        <v>0</v>
      </c>
      <c r="E335" s="71">
        <f>Datos!F334</f>
        <v>0</v>
      </c>
      <c r="F335" s="71">
        <f>Datos!G334</f>
        <v>0</v>
      </c>
      <c r="G335" s="71">
        <f>Datos!H334</f>
        <v>0</v>
      </c>
      <c r="H335" s="71">
        <f>Datos!I334</f>
        <v>0</v>
      </c>
      <c r="I335" s="71">
        <f>Datos!J334</f>
        <v>0</v>
      </c>
      <c r="J335" s="6" t="s">
        <v>16</v>
      </c>
      <c r="K335" s="6" t="s">
        <v>16</v>
      </c>
      <c r="L335" s="6" t="s">
        <v>16</v>
      </c>
      <c r="M335" s="6" t="s">
        <v>16</v>
      </c>
      <c r="N335" s="6" t="s">
        <v>16</v>
      </c>
      <c r="O335" s="6" t="s">
        <v>16</v>
      </c>
      <c r="P335" s="6" t="s">
        <v>16</v>
      </c>
      <c r="Q335" s="6" t="str">
        <f t="shared" si="5"/>
        <v>Ausencia total del riesgo, reevaluar cada 3 años con nueva identificación inicial</v>
      </c>
    </row>
    <row r="336" spans="1:17" ht="28.5">
      <c r="A336" s="70">
        <f>Datos!A335</f>
        <v>334</v>
      </c>
      <c r="B336" s="70">
        <f>Datos!B335</f>
        <v>0</v>
      </c>
      <c r="C336" s="71">
        <f>Datos!C335</f>
        <v>0</v>
      </c>
      <c r="D336" s="71">
        <f>Datos!D335</f>
        <v>0</v>
      </c>
      <c r="E336" s="71">
        <f>Datos!F335</f>
        <v>0</v>
      </c>
      <c r="F336" s="71">
        <f>Datos!G335</f>
        <v>0</v>
      </c>
      <c r="G336" s="71">
        <f>Datos!H335</f>
        <v>0</v>
      </c>
      <c r="H336" s="71">
        <f>Datos!I335</f>
        <v>0</v>
      </c>
      <c r="I336" s="71">
        <f>Datos!J335</f>
        <v>0</v>
      </c>
      <c r="J336" s="6" t="s">
        <v>16</v>
      </c>
      <c r="K336" s="6" t="s">
        <v>16</v>
      </c>
      <c r="L336" s="6" t="s">
        <v>16</v>
      </c>
      <c r="M336" s="6" t="s">
        <v>16</v>
      </c>
      <c r="N336" s="6" t="s">
        <v>16</v>
      </c>
      <c r="O336" s="6" t="s">
        <v>16</v>
      </c>
      <c r="P336" s="6" t="s">
        <v>16</v>
      </c>
      <c r="Q336" s="6" t="str">
        <f t="shared" si="5"/>
        <v>Ausencia total del riesgo, reevaluar cada 3 años con nueva identificación inicial</v>
      </c>
    </row>
    <row r="337" spans="1:17" ht="28.5">
      <c r="A337" s="70">
        <f>Datos!A336</f>
        <v>335</v>
      </c>
      <c r="B337" s="70">
        <f>Datos!B336</f>
        <v>0</v>
      </c>
      <c r="C337" s="71">
        <f>Datos!C336</f>
        <v>0</v>
      </c>
      <c r="D337" s="71">
        <f>Datos!D336</f>
        <v>0</v>
      </c>
      <c r="E337" s="71">
        <f>Datos!F336</f>
        <v>0</v>
      </c>
      <c r="F337" s="71">
        <f>Datos!G336</f>
        <v>0</v>
      </c>
      <c r="G337" s="71">
        <f>Datos!H336</f>
        <v>0</v>
      </c>
      <c r="H337" s="71">
        <f>Datos!I336</f>
        <v>0</v>
      </c>
      <c r="I337" s="71">
        <f>Datos!J336</f>
        <v>0</v>
      </c>
      <c r="J337" s="6" t="s">
        <v>16</v>
      </c>
      <c r="K337" s="6" t="s">
        <v>16</v>
      </c>
      <c r="L337" s="6" t="s">
        <v>16</v>
      </c>
      <c r="M337" s="6" t="s">
        <v>16</v>
      </c>
      <c r="N337" s="6" t="s">
        <v>16</v>
      </c>
      <c r="O337" s="6" t="s">
        <v>16</v>
      </c>
      <c r="P337" s="6" t="s">
        <v>16</v>
      </c>
      <c r="Q337" s="6" t="str">
        <f t="shared" si="5"/>
        <v>Ausencia total del riesgo, reevaluar cada 3 años con nueva identificación inicial</v>
      </c>
    </row>
    <row r="338" spans="1:17" ht="28.5">
      <c r="A338" s="70">
        <f>Datos!A337</f>
        <v>336</v>
      </c>
      <c r="B338" s="70">
        <f>Datos!B337</f>
        <v>0</v>
      </c>
      <c r="C338" s="71">
        <f>Datos!C337</f>
        <v>0</v>
      </c>
      <c r="D338" s="71">
        <f>Datos!D337</f>
        <v>0</v>
      </c>
      <c r="E338" s="71">
        <f>Datos!F337</f>
        <v>0</v>
      </c>
      <c r="F338" s="71">
        <f>Datos!G337</f>
        <v>0</v>
      </c>
      <c r="G338" s="71">
        <f>Datos!H337</f>
        <v>0</v>
      </c>
      <c r="H338" s="71">
        <f>Datos!I337</f>
        <v>0</v>
      </c>
      <c r="I338" s="71">
        <f>Datos!J337</f>
        <v>0</v>
      </c>
      <c r="J338" s="6" t="s">
        <v>16</v>
      </c>
      <c r="K338" s="6" t="s">
        <v>16</v>
      </c>
      <c r="L338" s="6" t="s">
        <v>16</v>
      </c>
      <c r="M338" s="6" t="s">
        <v>16</v>
      </c>
      <c r="N338" s="6" t="s">
        <v>16</v>
      </c>
      <c r="O338" s="6" t="s">
        <v>16</v>
      </c>
      <c r="P338" s="6" t="s">
        <v>16</v>
      </c>
      <c r="Q338" s="6" t="str">
        <f t="shared" si="5"/>
        <v>Ausencia total del riesgo, reevaluar cada 3 años con nueva identificación inicial</v>
      </c>
    </row>
    <row r="339" spans="1:17" ht="28.5">
      <c r="A339" s="70">
        <f>Datos!A338</f>
        <v>337</v>
      </c>
      <c r="B339" s="70">
        <f>Datos!B338</f>
        <v>0</v>
      </c>
      <c r="C339" s="71">
        <f>Datos!C338</f>
        <v>0</v>
      </c>
      <c r="D339" s="71">
        <f>Datos!D338</f>
        <v>0</v>
      </c>
      <c r="E339" s="71">
        <f>Datos!F338</f>
        <v>0</v>
      </c>
      <c r="F339" s="71">
        <f>Datos!G338</f>
        <v>0</v>
      </c>
      <c r="G339" s="71">
        <f>Datos!H338</f>
        <v>0</v>
      </c>
      <c r="H339" s="71">
        <f>Datos!I338</f>
        <v>0</v>
      </c>
      <c r="I339" s="71">
        <f>Datos!J338</f>
        <v>0</v>
      </c>
      <c r="J339" s="6" t="s">
        <v>16</v>
      </c>
      <c r="K339" s="6" t="s">
        <v>16</v>
      </c>
      <c r="L339" s="6" t="s">
        <v>16</v>
      </c>
      <c r="M339" s="6" t="s">
        <v>16</v>
      </c>
      <c r="N339" s="6" t="s">
        <v>16</v>
      </c>
      <c r="O339" s="6" t="s">
        <v>16</v>
      </c>
      <c r="P339" s="6" t="s">
        <v>16</v>
      </c>
      <c r="Q339" s="6" t="str">
        <f t="shared" si="5"/>
        <v>Ausencia total del riesgo, reevaluar cada 3 años con nueva identificación inicial</v>
      </c>
    </row>
    <row r="340" spans="1:17" ht="28.5">
      <c r="A340" s="70">
        <f>Datos!A339</f>
        <v>338</v>
      </c>
      <c r="B340" s="70">
        <f>Datos!B339</f>
        <v>0</v>
      </c>
      <c r="C340" s="71">
        <f>Datos!C339</f>
        <v>0</v>
      </c>
      <c r="D340" s="71">
        <f>Datos!D339</f>
        <v>0</v>
      </c>
      <c r="E340" s="71">
        <f>Datos!F339</f>
        <v>0</v>
      </c>
      <c r="F340" s="71">
        <f>Datos!G339</f>
        <v>0</v>
      </c>
      <c r="G340" s="71">
        <f>Datos!H339</f>
        <v>0</v>
      </c>
      <c r="H340" s="71">
        <f>Datos!I339</f>
        <v>0</v>
      </c>
      <c r="I340" s="71">
        <f>Datos!J339</f>
        <v>0</v>
      </c>
      <c r="J340" s="6" t="s">
        <v>16</v>
      </c>
      <c r="K340" s="6" t="s">
        <v>16</v>
      </c>
      <c r="L340" s="6" t="s">
        <v>16</v>
      </c>
      <c r="M340" s="6" t="s">
        <v>16</v>
      </c>
      <c r="N340" s="6" t="s">
        <v>16</v>
      </c>
      <c r="O340" s="6" t="s">
        <v>16</v>
      </c>
      <c r="P340" s="6" t="s">
        <v>16</v>
      </c>
      <c r="Q340" s="6" t="str">
        <f t="shared" si="5"/>
        <v>Ausencia total del riesgo, reevaluar cada 3 años con nueva identificación inicial</v>
      </c>
    </row>
    <row r="341" spans="1:17" ht="28.5">
      <c r="A341" s="70">
        <f>Datos!A340</f>
        <v>339</v>
      </c>
      <c r="B341" s="70">
        <f>Datos!B340</f>
        <v>0</v>
      </c>
      <c r="C341" s="71">
        <f>Datos!C340</f>
        <v>0</v>
      </c>
      <c r="D341" s="71">
        <f>Datos!D340</f>
        <v>0</v>
      </c>
      <c r="E341" s="71">
        <f>Datos!F340</f>
        <v>0</v>
      </c>
      <c r="F341" s="71">
        <f>Datos!G340</f>
        <v>0</v>
      </c>
      <c r="G341" s="71">
        <f>Datos!H340</f>
        <v>0</v>
      </c>
      <c r="H341" s="71">
        <f>Datos!I340</f>
        <v>0</v>
      </c>
      <c r="I341" s="71">
        <f>Datos!J340</f>
        <v>0</v>
      </c>
      <c r="J341" s="6" t="s">
        <v>16</v>
      </c>
      <c r="K341" s="6" t="s">
        <v>16</v>
      </c>
      <c r="L341" s="6" t="s">
        <v>16</v>
      </c>
      <c r="M341" s="6" t="s">
        <v>16</v>
      </c>
      <c r="N341" s="6" t="s">
        <v>16</v>
      </c>
      <c r="O341" s="6" t="s">
        <v>16</v>
      </c>
      <c r="P341" s="6" t="s">
        <v>16</v>
      </c>
      <c r="Q341" s="6" t="str">
        <f t="shared" si="5"/>
        <v>Ausencia total del riesgo, reevaluar cada 3 años con nueva identificación inicial</v>
      </c>
    </row>
    <row r="342" spans="1:17" ht="28.5">
      <c r="A342" s="70">
        <f>Datos!A341</f>
        <v>340</v>
      </c>
      <c r="B342" s="70">
        <f>Datos!B341</f>
        <v>0</v>
      </c>
      <c r="C342" s="71">
        <f>Datos!C341</f>
        <v>0</v>
      </c>
      <c r="D342" s="71">
        <f>Datos!D341</f>
        <v>0</v>
      </c>
      <c r="E342" s="71">
        <f>Datos!F341</f>
        <v>0</v>
      </c>
      <c r="F342" s="71">
        <f>Datos!G341</f>
        <v>0</v>
      </c>
      <c r="G342" s="71">
        <f>Datos!H341</f>
        <v>0</v>
      </c>
      <c r="H342" s="71">
        <f>Datos!I341</f>
        <v>0</v>
      </c>
      <c r="I342" s="71">
        <f>Datos!J341</f>
        <v>0</v>
      </c>
      <c r="J342" s="6" t="s">
        <v>16</v>
      </c>
      <c r="K342" s="6" t="s">
        <v>16</v>
      </c>
      <c r="L342" s="6" t="s">
        <v>16</v>
      </c>
      <c r="M342" s="6" t="s">
        <v>16</v>
      </c>
      <c r="N342" s="6" t="s">
        <v>16</v>
      </c>
      <c r="O342" s="6" t="s">
        <v>16</v>
      </c>
      <c r="P342" s="6" t="s">
        <v>16</v>
      </c>
      <c r="Q342" s="6" t="str">
        <f t="shared" si="5"/>
        <v>Ausencia total del riesgo, reevaluar cada 3 años con nueva identificación inicial</v>
      </c>
    </row>
    <row r="343" spans="1:17" ht="28.5">
      <c r="A343" s="70">
        <f>Datos!A342</f>
        <v>341</v>
      </c>
      <c r="B343" s="70">
        <f>Datos!B342</f>
        <v>0</v>
      </c>
      <c r="C343" s="71">
        <f>Datos!C342</f>
        <v>0</v>
      </c>
      <c r="D343" s="71">
        <f>Datos!D342</f>
        <v>0</v>
      </c>
      <c r="E343" s="71">
        <f>Datos!F342</f>
        <v>0</v>
      </c>
      <c r="F343" s="71">
        <f>Datos!G342</f>
        <v>0</v>
      </c>
      <c r="G343" s="71">
        <f>Datos!H342</f>
        <v>0</v>
      </c>
      <c r="H343" s="71">
        <f>Datos!I342</f>
        <v>0</v>
      </c>
      <c r="I343" s="71">
        <f>Datos!J342</f>
        <v>0</v>
      </c>
      <c r="J343" s="6" t="s">
        <v>16</v>
      </c>
      <c r="K343" s="6" t="s">
        <v>16</v>
      </c>
      <c r="L343" s="6" t="s">
        <v>16</v>
      </c>
      <c r="M343" s="6" t="s">
        <v>16</v>
      </c>
      <c r="N343" s="6" t="s">
        <v>16</v>
      </c>
      <c r="O343" s="6" t="s">
        <v>16</v>
      </c>
      <c r="P343" s="6" t="s">
        <v>16</v>
      </c>
      <c r="Q343" s="6" t="str">
        <f t="shared" si="5"/>
        <v>Ausencia total del riesgo, reevaluar cada 3 años con nueva identificación inicial</v>
      </c>
    </row>
    <row r="344" spans="1:17" ht="28.5">
      <c r="A344" s="70">
        <f>Datos!A343</f>
        <v>342</v>
      </c>
      <c r="B344" s="70">
        <f>Datos!B343</f>
        <v>0</v>
      </c>
      <c r="C344" s="71">
        <f>Datos!C343</f>
        <v>0</v>
      </c>
      <c r="D344" s="71">
        <f>Datos!D343</f>
        <v>0</v>
      </c>
      <c r="E344" s="71">
        <f>Datos!F343</f>
        <v>0</v>
      </c>
      <c r="F344" s="71">
        <f>Datos!G343</f>
        <v>0</v>
      </c>
      <c r="G344" s="71">
        <f>Datos!H343</f>
        <v>0</v>
      </c>
      <c r="H344" s="71">
        <f>Datos!I343</f>
        <v>0</v>
      </c>
      <c r="I344" s="71">
        <f>Datos!J343</f>
        <v>0</v>
      </c>
      <c r="J344" s="6" t="s">
        <v>16</v>
      </c>
      <c r="K344" s="6" t="s">
        <v>16</v>
      </c>
      <c r="L344" s="6" t="s">
        <v>16</v>
      </c>
      <c r="M344" s="6" t="s">
        <v>16</v>
      </c>
      <c r="N344" s="6" t="s">
        <v>16</v>
      </c>
      <c r="O344" s="6" t="s">
        <v>16</v>
      </c>
      <c r="P344" s="6" t="s">
        <v>16</v>
      </c>
      <c r="Q344" s="6" t="str">
        <f t="shared" si="5"/>
        <v>Ausencia total del riesgo, reevaluar cada 3 años con nueva identificación inicial</v>
      </c>
    </row>
    <row r="345" spans="1:17" ht="28.5">
      <c r="A345" s="70">
        <f>Datos!A344</f>
        <v>343</v>
      </c>
      <c r="B345" s="70">
        <f>Datos!B344</f>
        <v>0</v>
      </c>
      <c r="C345" s="71">
        <f>Datos!C344</f>
        <v>0</v>
      </c>
      <c r="D345" s="71">
        <f>Datos!D344</f>
        <v>0</v>
      </c>
      <c r="E345" s="71">
        <f>Datos!F344</f>
        <v>0</v>
      </c>
      <c r="F345" s="71">
        <f>Datos!G344</f>
        <v>0</v>
      </c>
      <c r="G345" s="71">
        <f>Datos!H344</f>
        <v>0</v>
      </c>
      <c r="H345" s="71">
        <f>Datos!I344</f>
        <v>0</v>
      </c>
      <c r="I345" s="71">
        <f>Datos!J344</f>
        <v>0</v>
      </c>
      <c r="J345" s="6" t="s">
        <v>16</v>
      </c>
      <c r="K345" s="6" t="s">
        <v>16</v>
      </c>
      <c r="L345" s="6" t="s">
        <v>16</v>
      </c>
      <c r="M345" s="6" t="s">
        <v>16</v>
      </c>
      <c r="N345" s="6" t="s">
        <v>16</v>
      </c>
      <c r="O345" s="6" t="s">
        <v>16</v>
      </c>
      <c r="P345" s="6" t="s">
        <v>16</v>
      </c>
      <c r="Q345" s="6" t="str">
        <f t="shared" si="5"/>
        <v>Ausencia total del riesgo, reevaluar cada 3 años con nueva identificación inicial</v>
      </c>
    </row>
    <row r="346" spans="1:17" ht="28.5">
      <c r="A346" s="70">
        <f>Datos!A345</f>
        <v>344</v>
      </c>
      <c r="B346" s="70">
        <f>Datos!B345</f>
        <v>0</v>
      </c>
      <c r="C346" s="71">
        <f>Datos!C345</f>
        <v>0</v>
      </c>
      <c r="D346" s="71">
        <f>Datos!D345</f>
        <v>0</v>
      </c>
      <c r="E346" s="71">
        <f>Datos!F345</f>
        <v>0</v>
      </c>
      <c r="F346" s="71">
        <f>Datos!G345</f>
        <v>0</v>
      </c>
      <c r="G346" s="71">
        <f>Datos!H345</f>
        <v>0</v>
      </c>
      <c r="H346" s="71">
        <f>Datos!I345</f>
        <v>0</v>
      </c>
      <c r="I346" s="71">
        <f>Datos!J345</f>
        <v>0</v>
      </c>
      <c r="J346" s="6" t="s">
        <v>16</v>
      </c>
      <c r="K346" s="6" t="s">
        <v>16</v>
      </c>
      <c r="L346" s="6" t="s">
        <v>16</v>
      </c>
      <c r="M346" s="6" t="s">
        <v>16</v>
      </c>
      <c r="N346" s="6" t="s">
        <v>16</v>
      </c>
      <c r="O346" s="6" t="s">
        <v>16</v>
      </c>
      <c r="P346" s="6" t="s">
        <v>16</v>
      </c>
      <c r="Q346" s="6" t="str">
        <f t="shared" si="5"/>
        <v>Ausencia total del riesgo, reevaluar cada 3 años con nueva identificación inicial</v>
      </c>
    </row>
    <row r="347" spans="1:17" ht="28.5">
      <c r="A347" s="70">
        <f>Datos!A346</f>
        <v>345</v>
      </c>
      <c r="B347" s="70">
        <f>Datos!B346</f>
        <v>0</v>
      </c>
      <c r="C347" s="71">
        <f>Datos!C346</f>
        <v>0</v>
      </c>
      <c r="D347" s="71">
        <f>Datos!D346</f>
        <v>0</v>
      </c>
      <c r="E347" s="71">
        <f>Datos!F346</f>
        <v>0</v>
      </c>
      <c r="F347" s="71">
        <f>Datos!G346</f>
        <v>0</v>
      </c>
      <c r="G347" s="71">
        <f>Datos!H346</f>
        <v>0</v>
      </c>
      <c r="H347" s="71">
        <f>Datos!I346</f>
        <v>0</v>
      </c>
      <c r="I347" s="71">
        <f>Datos!J346</f>
        <v>0</v>
      </c>
      <c r="J347" s="6" t="s">
        <v>16</v>
      </c>
      <c r="K347" s="6" t="s">
        <v>16</v>
      </c>
      <c r="L347" s="6" t="s">
        <v>16</v>
      </c>
      <c r="M347" s="6" t="s">
        <v>16</v>
      </c>
      <c r="N347" s="6" t="s">
        <v>16</v>
      </c>
      <c r="O347" s="6" t="s">
        <v>16</v>
      </c>
      <c r="P347" s="6" t="s">
        <v>16</v>
      </c>
      <c r="Q347" s="6" t="str">
        <f t="shared" si="5"/>
        <v>Ausencia total del riesgo, reevaluar cada 3 años con nueva identificación inicial</v>
      </c>
    </row>
    <row r="348" spans="1:17" ht="28.5">
      <c r="A348" s="70">
        <f>Datos!A347</f>
        <v>346</v>
      </c>
      <c r="B348" s="70">
        <f>Datos!B347</f>
        <v>0</v>
      </c>
      <c r="C348" s="71">
        <f>Datos!C347</f>
        <v>0</v>
      </c>
      <c r="D348" s="71">
        <f>Datos!D347</f>
        <v>0</v>
      </c>
      <c r="E348" s="71">
        <f>Datos!F347</f>
        <v>0</v>
      </c>
      <c r="F348" s="71">
        <f>Datos!G347</f>
        <v>0</v>
      </c>
      <c r="G348" s="71">
        <f>Datos!H347</f>
        <v>0</v>
      </c>
      <c r="H348" s="71">
        <f>Datos!I347</f>
        <v>0</v>
      </c>
      <c r="I348" s="71">
        <f>Datos!J347</f>
        <v>0</v>
      </c>
      <c r="J348" s="6" t="s">
        <v>16</v>
      </c>
      <c r="K348" s="6" t="s">
        <v>16</v>
      </c>
      <c r="L348" s="6" t="s">
        <v>16</v>
      </c>
      <c r="M348" s="6" t="s">
        <v>16</v>
      </c>
      <c r="N348" s="6" t="s">
        <v>16</v>
      </c>
      <c r="O348" s="6" t="s">
        <v>16</v>
      </c>
      <c r="P348" s="6" t="s">
        <v>16</v>
      </c>
      <c r="Q348" s="6" t="str">
        <f t="shared" si="5"/>
        <v>Ausencia total del riesgo, reevaluar cada 3 años con nueva identificación inicial</v>
      </c>
    </row>
    <row r="349" spans="1:17" ht="28.5">
      <c r="A349" s="70">
        <f>Datos!A348</f>
        <v>347</v>
      </c>
      <c r="B349" s="70">
        <f>Datos!B348</f>
        <v>0</v>
      </c>
      <c r="C349" s="71">
        <f>Datos!C348</f>
        <v>0</v>
      </c>
      <c r="D349" s="71">
        <f>Datos!D348</f>
        <v>0</v>
      </c>
      <c r="E349" s="71">
        <f>Datos!F348</f>
        <v>0</v>
      </c>
      <c r="F349" s="71">
        <f>Datos!G348</f>
        <v>0</v>
      </c>
      <c r="G349" s="71">
        <f>Datos!H348</f>
        <v>0</v>
      </c>
      <c r="H349" s="71">
        <f>Datos!I348</f>
        <v>0</v>
      </c>
      <c r="I349" s="71">
        <f>Datos!J348</f>
        <v>0</v>
      </c>
      <c r="J349" s="6" t="s">
        <v>16</v>
      </c>
      <c r="K349" s="6" t="s">
        <v>16</v>
      </c>
      <c r="L349" s="6" t="s">
        <v>16</v>
      </c>
      <c r="M349" s="6" t="s">
        <v>16</v>
      </c>
      <c r="N349" s="6" t="s">
        <v>16</v>
      </c>
      <c r="O349" s="6" t="s">
        <v>16</v>
      </c>
      <c r="P349" s="6" t="s">
        <v>16</v>
      </c>
      <c r="Q349" s="6" t="str">
        <f t="shared" si="5"/>
        <v>Ausencia total del riesgo, reevaluar cada 3 años con nueva identificación inicial</v>
      </c>
    </row>
    <row r="350" spans="1:17" ht="28.5">
      <c r="A350" s="70">
        <f>Datos!A349</f>
        <v>348</v>
      </c>
      <c r="B350" s="70">
        <f>Datos!B349</f>
        <v>0</v>
      </c>
      <c r="C350" s="71">
        <f>Datos!C349</f>
        <v>0</v>
      </c>
      <c r="D350" s="71">
        <f>Datos!D349</f>
        <v>0</v>
      </c>
      <c r="E350" s="71">
        <f>Datos!F349</f>
        <v>0</v>
      </c>
      <c r="F350" s="71">
        <f>Datos!G349</f>
        <v>0</v>
      </c>
      <c r="G350" s="71">
        <f>Datos!H349</f>
        <v>0</v>
      </c>
      <c r="H350" s="71">
        <f>Datos!I349</f>
        <v>0</v>
      </c>
      <c r="I350" s="71">
        <f>Datos!J349</f>
        <v>0</v>
      </c>
      <c r="J350" s="6" t="s">
        <v>16</v>
      </c>
      <c r="K350" s="6" t="s">
        <v>16</v>
      </c>
      <c r="L350" s="6" t="s">
        <v>16</v>
      </c>
      <c r="M350" s="6" t="s">
        <v>16</v>
      </c>
      <c r="N350" s="6" t="s">
        <v>16</v>
      </c>
      <c r="O350" s="6" t="s">
        <v>16</v>
      </c>
      <c r="P350" s="6" t="s">
        <v>16</v>
      </c>
      <c r="Q350" s="6" t="str">
        <f t="shared" si="5"/>
        <v>Ausencia total del riesgo, reevaluar cada 3 años con nueva identificación inicial</v>
      </c>
    </row>
    <row r="351" spans="1:17" ht="28.5">
      <c r="A351" s="70">
        <f>Datos!A350</f>
        <v>349</v>
      </c>
      <c r="B351" s="70">
        <f>Datos!B350</f>
        <v>0</v>
      </c>
      <c r="C351" s="71">
        <f>Datos!C350</f>
        <v>0</v>
      </c>
      <c r="D351" s="71">
        <f>Datos!D350</f>
        <v>0</v>
      </c>
      <c r="E351" s="71">
        <f>Datos!F350</f>
        <v>0</v>
      </c>
      <c r="F351" s="71">
        <f>Datos!G350</f>
        <v>0</v>
      </c>
      <c r="G351" s="71">
        <f>Datos!H350</f>
        <v>0</v>
      </c>
      <c r="H351" s="71">
        <f>Datos!I350</f>
        <v>0</v>
      </c>
      <c r="I351" s="71">
        <f>Datos!J350</f>
        <v>0</v>
      </c>
      <c r="J351" s="6" t="s">
        <v>16</v>
      </c>
      <c r="K351" s="6" t="s">
        <v>16</v>
      </c>
      <c r="L351" s="6" t="s">
        <v>16</v>
      </c>
      <c r="M351" s="6" t="s">
        <v>16</v>
      </c>
      <c r="N351" s="6" t="s">
        <v>16</v>
      </c>
      <c r="O351" s="6" t="s">
        <v>16</v>
      </c>
      <c r="P351" s="6" t="s">
        <v>16</v>
      </c>
      <c r="Q351" s="6" t="str">
        <f t="shared" si="5"/>
        <v>Ausencia total del riesgo, reevaluar cada 3 años con nueva identificación inicial</v>
      </c>
    </row>
    <row r="352" spans="1:17" ht="28.5">
      <c r="A352" s="70">
        <f>Datos!A351</f>
        <v>350</v>
      </c>
      <c r="B352" s="70">
        <f>Datos!B351</f>
        <v>0</v>
      </c>
      <c r="C352" s="71">
        <f>Datos!C351</f>
        <v>0</v>
      </c>
      <c r="D352" s="71">
        <f>Datos!D351</f>
        <v>0</v>
      </c>
      <c r="E352" s="71">
        <f>Datos!F351</f>
        <v>0</v>
      </c>
      <c r="F352" s="71">
        <f>Datos!G351</f>
        <v>0</v>
      </c>
      <c r="G352" s="71">
        <f>Datos!H351</f>
        <v>0</v>
      </c>
      <c r="H352" s="71">
        <f>Datos!I351</f>
        <v>0</v>
      </c>
      <c r="I352" s="71">
        <f>Datos!J351</f>
        <v>0</v>
      </c>
      <c r="J352" s="6" t="s">
        <v>16</v>
      </c>
      <c r="K352" s="6" t="s">
        <v>16</v>
      </c>
      <c r="L352" s="6" t="s">
        <v>16</v>
      </c>
      <c r="M352" s="6" t="s">
        <v>16</v>
      </c>
      <c r="N352" s="6" t="s">
        <v>16</v>
      </c>
      <c r="O352" s="6" t="s">
        <v>16</v>
      </c>
      <c r="P352" s="6" t="s">
        <v>16</v>
      </c>
      <c r="Q352" s="6" t="str">
        <f t="shared" si="5"/>
        <v>Ausencia total del riesgo, reevaluar cada 3 años con nueva identificación inicial</v>
      </c>
    </row>
    <row r="353" spans="1:17" ht="28.5">
      <c r="A353" s="70">
        <f>Datos!A352</f>
        <v>351</v>
      </c>
      <c r="B353" s="70">
        <f>Datos!B352</f>
        <v>0</v>
      </c>
      <c r="C353" s="71">
        <f>Datos!C352</f>
        <v>0</v>
      </c>
      <c r="D353" s="71">
        <f>Datos!D352</f>
        <v>0</v>
      </c>
      <c r="E353" s="71">
        <f>Datos!F352</f>
        <v>0</v>
      </c>
      <c r="F353" s="71">
        <f>Datos!G352</f>
        <v>0</v>
      </c>
      <c r="G353" s="71">
        <f>Datos!H352</f>
        <v>0</v>
      </c>
      <c r="H353" s="71">
        <f>Datos!I352</f>
        <v>0</v>
      </c>
      <c r="I353" s="71">
        <f>Datos!J352</f>
        <v>0</v>
      </c>
      <c r="J353" s="6" t="s">
        <v>16</v>
      </c>
      <c r="K353" s="6" t="s">
        <v>16</v>
      </c>
      <c r="L353" s="6" t="s">
        <v>16</v>
      </c>
      <c r="M353" s="6" t="s">
        <v>16</v>
      </c>
      <c r="N353" s="6" t="s">
        <v>16</v>
      </c>
      <c r="O353" s="6" t="s">
        <v>16</v>
      </c>
      <c r="P353" s="6" t="s">
        <v>16</v>
      </c>
      <c r="Q353" s="6" t="str">
        <f t="shared" si="5"/>
        <v>Ausencia total del riesgo, reevaluar cada 3 años con nueva identificación inicial</v>
      </c>
    </row>
    <row r="354" spans="1:17" ht="28.5">
      <c r="A354" s="70">
        <f>Datos!A353</f>
        <v>352</v>
      </c>
      <c r="B354" s="70">
        <f>Datos!B353</f>
        <v>0</v>
      </c>
      <c r="C354" s="71">
        <f>Datos!C353</f>
        <v>0</v>
      </c>
      <c r="D354" s="71">
        <f>Datos!D353</f>
        <v>0</v>
      </c>
      <c r="E354" s="71">
        <f>Datos!F353</f>
        <v>0</v>
      </c>
      <c r="F354" s="71">
        <f>Datos!G353</f>
        <v>0</v>
      </c>
      <c r="G354" s="71">
        <f>Datos!H353</f>
        <v>0</v>
      </c>
      <c r="H354" s="71">
        <f>Datos!I353</f>
        <v>0</v>
      </c>
      <c r="I354" s="71">
        <f>Datos!J353</f>
        <v>0</v>
      </c>
      <c r="J354" s="6" t="s">
        <v>16</v>
      </c>
      <c r="K354" s="6" t="s">
        <v>16</v>
      </c>
      <c r="L354" s="6" t="s">
        <v>16</v>
      </c>
      <c r="M354" s="6" t="s">
        <v>16</v>
      </c>
      <c r="N354" s="6" t="s">
        <v>16</v>
      </c>
      <c r="O354" s="6" t="s">
        <v>16</v>
      </c>
      <c r="P354" s="6" t="s">
        <v>16</v>
      </c>
      <c r="Q354" s="6" t="str">
        <f t="shared" si="5"/>
        <v>Ausencia total del riesgo, reevaluar cada 3 años con nueva identificación inicial</v>
      </c>
    </row>
    <row r="355" spans="1:17" ht="28.5">
      <c r="A355" s="70">
        <f>Datos!A354</f>
        <v>353</v>
      </c>
      <c r="B355" s="70">
        <f>Datos!B354</f>
        <v>0</v>
      </c>
      <c r="C355" s="71">
        <f>Datos!C354</f>
        <v>0</v>
      </c>
      <c r="D355" s="71">
        <f>Datos!D354</f>
        <v>0</v>
      </c>
      <c r="E355" s="71">
        <f>Datos!F354</f>
        <v>0</v>
      </c>
      <c r="F355" s="71">
        <f>Datos!G354</f>
        <v>0</v>
      </c>
      <c r="G355" s="71">
        <f>Datos!H354</f>
        <v>0</v>
      </c>
      <c r="H355" s="71">
        <f>Datos!I354</f>
        <v>0</v>
      </c>
      <c r="I355" s="71">
        <f>Datos!J354</f>
        <v>0</v>
      </c>
      <c r="J355" s="6" t="s">
        <v>16</v>
      </c>
      <c r="K355" s="6" t="s">
        <v>16</v>
      </c>
      <c r="L355" s="6" t="s">
        <v>16</v>
      </c>
      <c r="M355" s="6" t="s">
        <v>16</v>
      </c>
      <c r="N355" s="6" t="s">
        <v>16</v>
      </c>
      <c r="O355" s="6" t="s">
        <v>16</v>
      </c>
      <c r="P355" s="6" t="s">
        <v>16</v>
      </c>
      <c r="Q355" s="6" t="str">
        <f t="shared" si="5"/>
        <v>Ausencia total del riesgo, reevaluar cada 3 años con nueva identificación inicial</v>
      </c>
    </row>
    <row r="356" spans="1:17" ht="28.5">
      <c r="A356" s="70">
        <f>Datos!A355</f>
        <v>354</v>
      </c>
      <c r="B356" s="70">
        <f>Datos!B355</f>
        <v>0</v>
      </c>
      <c r="C356" s="71">
        <f>Datos!C355</f>
        <v>0</v>
      </c>
      <c r="D356" s="71">
        <f>Datos!D355</f>
        <v>0</v>
      </c>
      <c r="E356" s="71">
        <f>Datos!F355</f>
        <v>0</v>
      </c>
      <c r="F356" s="71">
        <f>Datos!G355</f>
        <v>0</v>
      </c>
      <c r="G356" s="71">
        <f>Datos!H355</f>
        <v>0</v>
      </c>
      <c r="H356" s="71">
        <f>Datos!I355</f>
        <v>0</v>
      </c>
      <c r="I356" s="71">
        <f>Datos!J355</f>
        <v>0</v>
      </c>
      <c r="J356" s="6" t="s">
        <v>16</v>
      </c>
      <c r="K356" s="6" t="s">
        <v>16</v>
      </c>
      <c r="L356" s="6" t="s">
        <v>16</v>
      </c>
      <c r="M356" s="6" t="s">
        <v>16</v>
      </c>
      <c r="N356" s="6" t="s">
        <v>16</v>
      </c>
      <c r="O356" s="6" t="s">
        <v>16</v>
      </c>
      <c r="P356" s="6" t="s">
        <v>16</v>
      </c>
      <c r="Q356" s="6" t="str">
        <f t="shared" si="5"/>
        <v>Ausencia total del riesgo, reevaluar cada 3 años con nueva identificación inicial</v>
      </c>
    </row>
    <row r="357" spans="1:17" ht="28.5">
      <c r="A357" s="70">
        <f>Datos!A356</f>
        <v>355</v>
      </c>
      <c r="B357" s="70">
        <f>Datos!B356</f>
        <v>0</v>
      </c>
      <c r="C357" s="71">
        <f>Datos!C356</f>
        <v>0</v>
      </c>
      <c r="D357" s="71">
        <f>Datos!D356</f>
        <v>0</v>
      </c>
      <c r="E357" s="71">
        <f>Datos!F356</f>
        <v>0</v>
      </c>
      <c r="F357" s="71">
        <f>Datos!G356</f>
        <v>0</v>
      </c>
      <c r="G357" s="71">
        <f>Datos!H356</f>
        <v>0</v>
      </c>
      <c r="H357" s="71">
        <f>Datos!I356</f>
        <v>0</v>
      </c>
      <c r="I357" s="71">
        <f>Datos!J356</f>
        <v>0</v>
      </c>
      <c r="J357" s="6" t="s">
        <v>16</v>
      </c>
      <c r="K357" s="6" t="s">
        <v>16</v>
      </c>
      <c r="L357" s="6" t="s">
        <v>16</v>
      </c>
      <c r="M357" s="6" t="s">
        <v>16</v>
      </c>
      <c r="N357" s="6" t="s">
        <v>16</v>
      </c>
      <c r="O357" s="6" t="s">
        <v>16</v>
      </c>
      <c r="P357" s="6" t="s">
        <v>16</v>
      </c>
      <c r="Q357" s="6" t="str">
        <f t="shared" si="5"/>
        <v>Ausencia total del riesgo, reevaluar cada 3 años con nueva identificación inicial</v>
      </c>
    </row>
    <row r="358" spans="1:17" ht="28.5">
      <c r="A358" s="70">
        <f>Datos!A357</f>
        <v>356</v>
      </c>
      <c r="B358" s="70">
        <f>Datos!B357</f>
        <v>0</v>
      </c>
      <c r="C358" s="71">
        <f>Datos!C357</f>
        <v>0</v>
      </c>
      <c r="D358" s="71">
        <f>Datos!D357</f>
        <v>0</v>
      </c>
      <c r="E358" s="71">
        <f>Datos!F357</f>
        <v>0</v>
      </c>
      <c r="F358" s="71">
        <f>Datos!G357</f>
        <v>0</v>
      </c>
      <c r="G358" s="71">
        <f>Datos!H357</f>
        <v>0</v>
      </c>
      <c r="H358" s="71">
        <f>Datos!I357</f>
        <v>0</v>
      </c>
      <c r="I358" s="71">
        <f>Datos!J357</f>
        <v>0</v>
      </c>
      <c r="J358" s="6" t="s">
        <v>16</v>
      </c>
      <c r="K358" s="6" t="s">
        <v>16</v>
      </c>
      <c r="L358" s="6" t="s">
        <v>16</v>
      </c>
      <c r="M358" s="6" t="s">
        <v>16</v>
      </c>
      <c r="N358" s="6" t="s">
        <v>16</v>
      </c>
      <c r="O358" s="6" t="s">
        <v>16</v>
      </c>
      <c r="P358" s="6" t="s">
        <v>16</v>
      </c>
      <c r="Q358" s="6" t="str">
        <f t="shared" si="5"/>
        <v>Ausencia total del riesgo, reevaluar cada 3 años con nueva identificación inicial</v>
      </c>
    </row>
    <row r="359" spans="1:17" ht="28.5">
      <c r="A359" s="70">
        <f>Datos!A358</f>
        <v>357</v>
      </c>
      <c r="B359" s="70">
        <f>Datos!B358</f>
        <v>0</v>
      </c>
      <c r="C359" s="71">
        <f>Datos!C358</f>
        <v>0</v>
      </c>
      <c r="D359" s="71">
        <f>Datos!D358</f>
        <v>0</v>
      </c>
      <c r="E359" s="71">
        <f>Datos!F358</f>
        <v>0</v>
      </c>
      <c r="F359" s="71">
        <f>Datos!G358</f>
        <v>0</v>
      </c>
      <c r="G359" s="71">
        <f>Datos!H358</f>
        <v>0</v>
      </c>
      <c r="H359" s="71">
        <f>Datos!I358</f>
        <v>0</v>
      </c>
      <c r="I359" s="71">
        <f>Datos!J358</f>
        <v>0</v>
      </c>
      <c r="J359" s="6" t="s">
        <v>16</v>
      </c>
      <c r="K359" s="6" t="s">
        <v>16</v>
      </c>
      <c r="L359" s="6" t="s">
        <v>16</v>
      </c>
      <c r="M359" s="6" t="s">
        <v>16</v>
      </c>
      <c r="N359" s="6" t="s">
        <v>16</v>
      </c>
      <c r="O359" s="6" t="s">
        <v>16</v>
      </c>
      <c r="P359" s="6" t="s">
        <v>16</v>
      </c>
      <c r="Q359" s="6" t="str">
        <f t="shared" si="5"/>
        <v>Ausencia total del riesgo, reevaluar cada 3 años con nueva identificación inicial</v>
      </c>
    </row>
    <row r="360" spans="1:17" ht="28.5">
      <c r="A360" s="70">
        <f>Datos!A359</f>
        <v>358</v>
      </c>
      <c r="B360" s="70">
        <f>Datos!B359</f>
        <v>0</v>
      </c>
      <c r="C360" s="71">
        <f>Datos!C359</f>
        <v>0</v>
      </c>
      <c r="D360" s="71">
        <f>Datos!D359</f>
        <v>0</v>
      </c>
      <c r="E360" s="71">
        <f>Datos!F359</f>
        <v>0</v>
      </c>
      <c r="F360" s="71">
        <f>Datos!G359</f>
        <v>0</v>
      </c>
      <c r="G360" s="71">
        <f>Datos!H359</f>
        <v>0</v>
      </c>
      <c r="H360" s="71">
        <f>Datos!I359</f>
        <v>0</v>
      </c>
      <c r="I360" s="71">
        <f>Datos!J359</f>
        <v>0</v>
      </c>
      <c r="J360" s="6" t="s">
        <v>16</v>
      </c>
      <c r="K360" s="6" t="s">
        <v>16</v>
      </c>
      <c r="L360" s="6" t="s">
        <v>16</v>
      </c>
      <c r="M360" s="6" t="s">
        <v>16</v>
      </c>
      <c r="N360" s="6" t="s">
        <v>16</v>
      </c>
      <c r="O360" s="6" t="s">
        <v>16</v>
      </c>
      <c r="P360" s="6" t="s">
        <v>16</v>
      </c>
      <c r="Q360" s="6" t="str">
        <f t="shared" si="5"/>
        <v>Ausencia total del riesgo, reevaluar cada 3 años con nueva identificación inicial</v>
      </c>
    </row>
    <row r="361" spans="1:17" ht="28.5">
      <c r="A361" s="70">
        <f>Datos!A360</f>
        <v>359</v>
      </c>
      <c r="B361" s="70">
        <f>Datos!B360</f>
        <v>0</v>
      </c>
      <c r="C361" s="71">
        <f>Datos!C360</f>
        <v>0</v>
      </c>
      <c r="D361" s="71">
        <f>Datos!D360</f>
        <v>0</v>
      </c>
      <c r="E361" s="71">
        <f>Datos!F360</f>
        <v>0</v>
      </c>
      <c r="F361" s="71">
        <f>Datos!G360</f>
        <v>0</v>
      </c>
      <c r="G361" s="71">
        <f>Datos!H360</f>
        <v>0</v>
      </c>
      <c r="H361" s="71">
        <f>Datos!I360</f>
        <v>0</v>
      </c>
      <c r="I361" s="71">
        <f>Datos!J360</f>
        <v>0</v>
      </c>
      <c r="J361" s="6" t="s">
        <v>16</v>
      </c>
      <c r="K361" s="6" t="s">
        <v>16</v>
      </c>
      <c r="L361" s="6" t="s">
        <v>16</v>
      </c>
      <c r="M361" s="6" t="s">
        <v>16</v>
      </c>
      <c r="N361" s="6" t="s">
        <v>16</v>
      </c>
      <c r="O361" s="6" t="s">
        <v>16</v>
      </c>
      <c r="P361" s="6" t="s">
        <v>16</v>
      </c>
      <c r="Q361" s="6" t="str">
        <f t="shared" si="5"/>
        <v>Ausencia total del riesgo, reevaluar cada 3 años con nueva identificación inicial</v>
      </c>
    </row>
    <row r="362" spans="1:17" ht="28.5">
      <c r="A362" s="70">
        <f>Datos!A361</f>
        <v>360</v>
      </c>
      <c r="B362" s="70">
        <f>Datos!B361</f>
        <v>0</v>
      </c>
      <c r="C362" s="71">
        <f>Datos!C361</f>
        <v>0</v>
      </c>
      <c r="D362" s="71">
        <f>Datos!D361</f>
        <v>0</v>
      </c>
      <c r="E362" s="71">
        <f>Datos!F361</f>
        <v>0</v>
      </c>
      <c r="F362" s="71">
        <f>Datos!G361</f>
        <v>0</v>
      </c>
      <c r="G362" s="71">
        <f>Datos!H361</f>
        <v>0</v>
      </c>
      <c r="H362" s="71">
        <f>Datos!I361</f>
        <v>0</v>
      </c>
      <c r="I362" s="71">
        <f>Datos!J361</f>
        <v>0</v>
      </c>
      <c r="J362" s="6" t="s">
        <v>16</v>
      </c>
      <c r="K362" s="6" t="s">
        <v>16</v>
      </c>
      <c r="L362" s="6" t="s">
        <v>16</v>
      </c>
      <c r="M362" s="6" t="s">
        <v>16</v>
      </c>
      <c r="N362" s="6" t="s">
        <v>16</v>
      </c>
      <c r="O362" s="6" t="s">
        <v>16</v>
      </c>
      <c r="P362" s="6" t="s">
        <v>16</v>
      </c>
      <c r="Q362" s="6" t="str">
        <f t="shared" si="5"/>
        <v>Ausencia total del riesgo, reevaluar cada 3 años con nueva identificación inicial</v>
      </c>
    </row>
    <row r="363" spans="1:17" ht="28.5">
      <c r="A363" s="70">
        <f>Datos!A362</f>
        <v>361</v>
      </c>
      <c r="B363" s="70">
        <f>Datos!B362</f>
        <v>0</v>
      </c>
      <c r="C363" s="71">
        <f>Datos!C362</f>
        <v>0</v>
      </c>
      <c r="D363" s="71">
        <f>Datos!D362</f>
        <v>0</v>
      </c>
      <c r="E363" s="71">
        <f>Datos!F362</f>
        <v>0</v>
      </c>
      <c r="F363" s="71">
        <f>Datos!G362</f>
        <v>0</v>
      </c>
      <c r="G363" s="71">
        <f>Datos!H362</f>
        <v>0</v>
      </c>
      <c r="H363" s="71">
        <f>Datos!I362</f>
        <v>0</v>
      </c>
      <c r="I363" s="71">
        <f>Datos!J362</f>
        <v>0</v>
      </c>
      <c r="J363" s="6" t="s">
        <v>16</v>
      </c>
      <c r="K363" s="6" t="s">
        <v>16</v>
      </c>
      <c r="L363" s="6" t="s">
        <v>16</v>
      </c>
      <c r="M363" s="6" t="s">
        <v>16</v>
      </c>
      <c r="N363" s="6" t="s">
        <v>16</v>
      </c>
      <c r="O363" s="6" t="s">
        <v>16</v>
      </c>
      <c r="P363" s="6" t="s">
        <v>16</v>
      </c>
      <c r="Q363" s="6" t="str">
        <f t="shared" si="5"/>
        <v>Ausencia total del riesgo, reevaluar cada 3 años con nueva identificación inicial</v>
      </c>
    </row>
    <row r="364" spans="1:17" ht="28.5">
      <c r="A364" s="70">
        <f>Datos!A363</f>
        <v>362</v>
      </c>
      <c r="B364" s="70">
        <f>Datos!B363</f>
        <v>0</v>
      </c>
      <c r="C364" s="71">
        <f>Datos!C363</f>
        <v>0</v>
      </c>
      <c r="D364" s="71">
        <f>Datos!D363</f>
        <v>0</v>
      </c>
      <c r="E364" s="71">
        <f>Datos!F363</f>
        <v>0</v>
      </c>
      <c r="F364" s="71">
        <f>Datos!G363</f>
        <v>0</v>
      </c>
      <c r="G364" s="71">
        <f>Datos!H363</f>
        <v>0</v>
      </c>
      <c r="H364" s="71">
        <f>Datos!I363</f>
        <v>0</v>
      </c>
      <c r="I364" s="71">
        <f>Datos!J363</f>
        <v>0</v>
      </c>
      <c r="J364" s="6" t="s">
        <v>16</v>
      </c>
      <c r="K364" s="6" t="s">
        <v>16</v>
      </c>
      <c r="L364" s="6" t="s">
        <v>16</v>
      </c>
      <c r="M364" s="6" t="s">
        <v>16</v>
      </c>
      <c r="N364" s="6" t="s">
        <v>16</v>
      </c>
      <c r="O364" s="6" t="s">
        <v>16</v>
      </c>
      <c r="P364" s="6" t="s">
        <v>16</v>
      </c>
      <c r="Q364" s="6" t="str">
        <f t="shared" si="5"/>
        <v>Ausencia total del riesgo, reevaluar cada 3 años con nueva identificación inicial</v>
      </c>
    </row>
    <row r="365" spans="1:17" ht="28.5">
      <c r="A365" s="70">
        <f>Datos!A364</f>
        <v>363</v>
      </c>
      <c r="B365" s="70">
        <f>Datos!B364</f>
        <v>0</v>
      </c>
      <c r="C365" s="71">
        <f>Datos!C364</f>
        <v>0</v>
      </c>
      <c r="D365" s="71">
        <f>Datos!D364</f>
        <v>0</v>
      </c>
      <c r="E365" s="71">
        <f>Datos!F364</f>
        <v>0</v>
      </c>
      <c r="F365" s="71">
        <f>Datos!G364</f>
        <v>0</v>
      </c>
      <c r="G365" s="71">
        <f>Datos!H364</f>
        <v>0</v>
      </c>
      <c r="H365" s="71">
        <f>Datos!I364</f>
        <v>0</v>
      </c>
      <c r="I365" s="71">
        <f>Datos!J364</f>
        <v>0</v>
      </c>
      <c r="J365" s="6" t="s">
        <v>16</v>
      </c>
      <c r="K365" s="6" t="s">
        <v>16</v>
      </c>
      <c r="L365" s="6" t="s">
        <v>16</v>
      </c>
      <c r="M365" s="6" t="s">
        <v>16</v>
      </c>
      <c r="N365" s="6" t="s">
        <v>16</v>
      </c>
      <c r="O365" s="6" t="s">
        <v>16</v>
      </c>
      <c r="P365" s="6" t="s">
        <v>16</v>
      </c>
      <c r="Q365" s="6" t="str">
        <f t="shared" si="5"/>
        <v>Ausencia total del riesgo, reevaluar cada 3 años con nueva identificación inicial</v>
      </c>
    </row>
    <row r="366" spans="1:17" ht="28.5">
      <c r="A366" s="70">
        <f>Datos!A365</f>
        <v>364</v>
      </c>
      <c r="B366" s="70">
        <f>Datos!B365</f>
        <v>0</v>
      </c>
      <c r="C366" s="71">
        <f>Datos!C365</f>
        <v>0</v>
      </c>
      <c r="D366" s="71">
        <f>Datos!D365</f>
        <v>0</v>
      </c>
      <c r="E366" s="71">
        <f>Datos!F365</f>
        <v>0</v>
      </c>
      <c r="F366" s="71">
        <f>Datos!G365</f>
        <v>0</v>
      </c>
      <c r="G366" s="71">
        <f>Datos!H365</f>
        <v>0</v>
      </c>
      <c r="H366" s="71">
        <f>Datos!I365</f>
        <v>0</v>
      </c>
      <c r="I366" s="71">
        <f>Datos!J365</f>
        <v>0</v>
      </c>
      <c r="J366" s="6" t="s">
        <v>16</v>
      </c>
      <c r="K366" s="6" t="s">
        <v>16</v>
      </c>
      <c r="L366" s="6" t="s">
        <v>16</v>
      </c>
      <c r="M366" s="6" t="s">
        <v>16</v>
      </c>
      <c r="N366" s="6" t="s">
        <v>16</v>
      </c>
      <c r="O366" s="6" t="s">
        <v>16</v>
      </c>
      <c r="P366" s="6" t="s">
        <v>16</v>
      </c>
      <c r="Q366" s="6" t="str">
        <f t="shared" si="5"/>
        <v>Ausencia total del riesgo, reevaluar cada 3 años con nueva identificación inicial</v>
      </c>
    </row>
  </sheetData>
  <mergeCells count="9">
    <mergeCell ref="A1:A2"/>
    <mergeCell ref="C1:C2"/>
    <mergeCell ref="D1:D2"/>
    <mergeCell ref="Q1:Q2"/>
    <mergeCell ref="E1:E2"/>
    <mergeCell ref="F1:F2"/>
    <mergeCell ref="G1:G2"/>
    <mergeCell ref="H1:H2"/>
    <mergeCell ref="I1:I2"/>
  </mergeCells>
  <conditionalFormatting sqref="J3:P366">
    <cfRule type="cellIs" dxfId="68" priority="3" operator="equal">
      <formula>"SI"</formula>
    </cfRule>
    <cfRule type="cellIs" dxfId="67" priority="4" operator="equal">
      <formula>"NO"</formula>
    </cfRule>
  </conditionalFormatting>
  <conditionalFormatting sqref="Q3:Q366">
    <cfRule type="cellIs" dxfId="66" priority="1" operator="equal">
      <formula>"Aplicar identificación avanzada-condición aceptable para cada tipo de factor de riesgo identificado"</formula>
    </cfRule>
    <cfRule type="cellIs" dxfId="65" priority="2" operator="equal">
      <formula>"Ausencia total del riesgo, reevaluar cada 3 años con nueva identificación inicial"</formula>
    </cfRule>
  </conditionalFormatting>
  <dataValidations count="1">
    <dataValidation type="list" allowBlank="1" showInputMessage="1" showErrorMessage="1" sqref="J3:P366">
      <formula1>"SI,NO"</formula1>
    </dataValidation>
  </dataValidations>
  <hyperlinks>
    <hyperlink ref="J1" location="'Mov. Rep.'!A1" display="Trabajo repetitivo de miembros superiores."/>
    <hyperlink ref="K1" location="'Postura estatica'!A1" display="Postura de trabajo estática"/>
    <hyperlink ref="L1" location="'MMC Levantamiento-Descenso'!A1" display="MMC Levantamiento/Descenso"/>
    <hyperlink ref="M1" location="'MMC Empuje-Arrastre '!A1" display="MMC Empuje/Arrastre"/>
    <hyperlink ref="N1" location="'Manejo manual PCTS'!A1" display="Manejo manual de pacientes / personas"/>
    <hyperlink ref="O1" location="'Vibración Cuerpo completo'!A1" display="Vibración de cuerpo completo"/>
    <hyperlink ref="P1" location="'Vibración Mano-Brazo'!A1" display="Vibración segmento mano – brazo"/>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C302"/>
  <sheetViews>
    <sheetView zoomScaleNormal="100" workbookViewId="0">
      <pane xSplit="4" ySplit="2" topLeftCell="E53" activePane="bottomRight" state="frozen"/>
      <selection pane="topRight" activeCell="E1" sqref="E1"/>
      <selection pane="bottomLeft" activeCell="A3" sqref="A3"/>
      <selection pane="bottomRight" activeCell="S43" sqref="S43"/>
    </sheetView>
  </sheetViews>
  <sheetFormatPr baseColWidth="10" defaultRowHeight="14.25"/>
  <cols>
    <col min="1" max="1" width="3.125" style="64" customWidth="1"/>
    <col min="2" max="3" width="11.5" style="65" customWidth="1"/>
    <col min="4" max="4" width="11.5" style="67"/>
    <col min="5" max="5" width="13.5" style="68" customWidth="1"/>
    <col min="6" max="6" width="11.5" style="65"/>
    <col min="7" max="8" width="11.5" style="66"/>
    <col min="9" max="9" width="11.5" style="69" customWidth="1"/>
    <col min="10" max="10" width="23.375" style="53" customWidth="1"/>
    <col min="11" max="11" width="28.625" style="46" customWidth="1"/>
    <col min="12" max="12" width="32" style="46" customWidth="1"/>
    <col min="13" max="13" width="18.875" style="46" customWidth="1"/>
    <col min="14" max="14" width="18.125" style="46" customWidth="1"/>
    <col min="15" max="15" width="12.125" style="46" customWidth="1"/>
    <col min="16" max="16" width="10.5" style="46" customWidth="1"/>
    <col min="17" max="17" width="22" style="46" customWidth="1"/>
    <col min="18" max="18" width="25.5" style="46" customWidth="1"/>
    <col min="19" max="19" width="20.375" style="46" customWidth="1"/>
    <col min="20" max="20" width="29.25" style="46" customWidth="1"/>
    <col min="21" max="21" width="16.875" style="46" customWidth="1"/>
    <col min="22" max="22" width="17.25" style="46" customWidth="1"/>
    <col min="23" max="28" width="11.5" style="46"/>
    <col min="29" max="29" width="11.5" style="1"/>
  </cols>
  <sheetData>
    <row r="1" spans="1:29" ht="21" customHeight="1" thickBot="1">
      <c r="A1" s="122" t="s">
        <v>285</v>
      </c>
      <c r="B1" s="123"/>
      <c r="C1" s="123"/>
      <c r="D1" s="123"/>
      <c r="E1" s="123"/>
      <c r="F1" s="126" t="s">
        <v>60</v>
      </c>
      <c r="G1" s="126"/>
      <c r="H1" s="126" t="s">
        <v>57</v>
      </c>
      <c r="I1" s="127"/>
      <c r="J1" s="124" t="s">
        <v>17</v>
      </c>
      <c r="K1" s="124"/>
      <c r="L1" s="124"/>
      <c r="M1" s="124"/>
      <c r="N1" s="124"/>
      <c r="O1" s="124"/>
      <c r="P1" s="124"/>
      <c r="Q1" s="125" t="s">
        <v>18</v>
      </c>
      <c r="R1" s="125"/>
      <c r="S1" s="125"/>
      <c r="T1" s="125"/>
      <c r="U1" s="125"/>
      <c r="V1" s="125"/>
      <c r="W1" s="125"/>
      <c r="X1" s="125" t="s">
        <v>19</v>
      </c>
      <c r="Y1" s="125"/>
      <c r="Z1" s="125"/>
      <c r="AA1" s="125"/>
      <c r="AB1" s="125"/>
    </row>
    <row r="2" spans="1:29" ht="88.15" customHeight="1">
      <c r="A2" s="49" t="s">
        <v>0</v>
      </c>
      <c r="B2" s="50" t="s">
        <v>20</v>
      </c>
      <c r="C2" s="50" t="s">
        <v>1</v>
      </c>
      <c r="D2" s="55" t="s">
        <v>2</v>
      </c>
      <c r="E2" s="54" t="s">
        <v>21</v>
      </c>
      <c r="F2" s="50" t="s">
        <v>40</v>
      </c>
      <c r="G2" s="50" t="s">
        <v>61</v>
      </c>
      <c r="H2" s="50" t="s">
        <v>58</v>
      </c>
      <c r="I2" s="51" t="s">
        <v>59</v>
      </c>
      <c r="J2" s="48" t="s">
        <v>22</v>
      </c>
      <c r="K2" s="47" t="s">
        <v>23</v>
      </c>
      <c r="L2" s="47" t="s">
        <v>24</v>
      </c>
      <c r="M2" s="47" t="s">
        <v>25</v>
      </c>
      <c r="N2" s="47" t="s">
        <v>26</v>
      </c>
      <c r="O2" s="47" t="s">
        <v>27</v>
      </c>
      <c r="P2" s="47" t="s">
        <v>28</v>
      </c>
      <c r="Q2" s="47" t="s">
        <v>29</v>
      </c>
      <c r="R2" s="47" t="s">
        <v>45</v>
      </c>
      <c r="S2" s="47" t="s">
        <v>46</v>
      </c>
      <c r="T2" s="47" t="s">
        <v>30</v>
      </c>
      <c r="U2" s="47" t="s">
        <v>31</v>
      </c>
      <c r="V2" s="47" t="s">
        <v>32</v>
      </c>
      <c r="W2" s="47" t="s">
        <v>33</v>
      </c>
      <c r="X2" s="47" t="s">
        <v>34</v>
      </c>
      <c r="Y2" s="47" t="s">
        <v>35</v>
      </c>
      <c r="Z2" s="47" t="s">
        <v>36</v>
      </c>
      <c r="AA2" s="47" t="s">
        <v>37</v>
      </c>
      <c r="AB2" s="47" t="s">
        <v>38</v>
      </c>
      <c r="AC2" s="47" t="s">
        <v>39</v>
      </c>
    </row>
    <row r="3" spans="1:29" s="5" customFormat="1" ht="39.6" customHeight="1">
      <c r="A3" s="60">
        <f>Inicial!A3</f>
        <v>1</v>
      </c>
      <c r="B3" s="61" t="str">
        <f>Inicial!B3</f>
        <v>Desposte</v>
      </c>
      <c r="C3" s="61" t="str">
        <f>Inicial!C3</f>
        <v>Operario de producción línea Principal 1</v>
      </c>
      <c r="D3" s="62" t="str">
        <f>Inicial!D3</f>
        <v>Marcaje de pernil</v>
      </c>
      <c r="E3" s="60" t="str">
        <f>IF(Inicial!J3="SI",Inicial!E3,"N/A")</f>
        <v>Am: 07:00 a 16:00 - PM: 17:15 a 02:45</v>
      </c>
      <c r="F3" s="61" t="str">
        <f>IF(Inicial!J3="SI",Inicial!F3,"N/A")</f>
        <v>0.5</v>
      </c>
      <c r="G3" s="61">
        <f>IF(Inicial!J3="SI",Inicial!G3,"N/A")</f>
        <v>4.5</v>
      </c>
      <c r="H3" s="61">
        <f>IF(Inicial!J3="SI",Inicial!H3,"N/A")</f>
        <v>72</v>
      </c>
      <c r="I3" s="63">
        <f>IF(Inicial!J3="SI",Inicial!I3,"N/A")</f>
        <v>0</v>
      </c>
      <c r="J3" s="52" t="s">
        <v>16</v>
      </c>
      <c r="K3" s="6" t="s">
        <v>346</v>
      </c>
      <c r="L3" s="6" t="s">
        <v>346</v>
      </c>
      <c r="M3" s="6" t="s">
        <v>346</v>
      </c>
      <c r="N3" s="6" t="s">
        <v>346</v>
      </c>
      <c r="O3" s="6" t="s">
        <v>346</v>
      </c>
      <c r="P3" s="6" t="str">
        <f>IF(OR(J3="NO",K3="NO",L3="NO",M3="NO",N3="NO",O3="NO"),"No Aceptable","Aceptable")</f>
        <v>No Aceptable</v>
      </c>
      <c r="Q3" s="6" t="s">
        <v>16</v>
      </c>
      <c r="R3" s="6" t="s">
        <v>16</v>
      </c>
      <c r="S3" s="6" t="s">
        <v>16</v>
      </c>
      <c r="T3" s="6" t="s">
        <v>16</v>
      </c>
      <c r="U3" s="6" t="s">
        <v>16</v>
      </c>
      <c r="V3" s="6" t="s">
        <v>16</v>
      </c>
      <c r="W3" s="6" t="str">
        <f>IF(AND(Q3="NO",R3="NO",S3="NO",T3="NO",U3="NO",V3="NO"),"No Critico","Critico")</f>
        <v>No Critico</v>
      </c>
      <c r="X3" s="6"/>
      <c r="Y3" s="6"/>
      <c r="Z3" s="6"/>
      <c r="AA3" s="6"/>
      <c r="AB3" s="6"/>
      <c r="AC3" s="2"/>
    </row>
    <row r="4" spans="1:29" ht="31.9" customHeight="1">
      <c r="A4" s="60">
        <f>Inicial!A4</f>
        <v>2</v>
      </c>
      <c r="B4" s="61" t="str">
        <f>Inicial!B4</f>
        <v>Desposte</v>
      </c>
      <c r="C4" s="61" t="str">
        <f>Inicial!C4</f>
        <v>Operario de producción línea Principal 1</v>
      </c>
      <c r="D4" s="62" t="str">
        <f>Inicial!D4</f>
        <v>Apertura de falda derecha</v>
      </c>
      <c r="E4" s="60" t="str">
        <f>IF(Inicial!J4="SI",Inicial!E4,"N/A")</f>
        <v>Am: 07:00 a 16:00 - PM: 17:15 a 02:45</v>
      </c>
      <c r="F4" s="61" t="str">
        <f>IF(Inicial!J4="SI",Inicial!F4,"N/A")</f>
        <v>0.5</v>
      </c>
      <c r="G4" s="61">
        <f>IF(Inicial!J4="SI",Inicial!G4,"N/A")</f>
        <v>4.5</v>
      </c>
      <c r="H4" s="61">
        <f>IF(Inicial!J4="SI",Inicial!H4,"N/A")</f>
        <v>72</v>
      </c>
      <c r="I4" s="63">
        <f>IF(Inicial!J4="SI",Inicial!I4,"N/A")</f>
        <v>0</v>
      </c>
      <c r="J4" s="52" t="s">
        <v>16</v>
      </c>
      <c r="K4" s="6" t="s">
        <v>346</v>
      </c>
      <c r="L4" s="6" t="s">
        <v>346</v>
      </c>
      <c r="M4" s="6" t="s">
        <v>346</v>
      </c>
      <c r="N4" s="6" t="s">
        <v>346</v>
      </c>
      <c r="O4" s="6" t="s">
        <v>346</v>
      </c>
      <c r="P4" s="6" t="str">
        <f t="shared" ref="P4:P67" si="0">IF(OR(J4="NO",K4="NO",L4="NO",M4="NO",N4="NO",O4="NO"),"No Aceptable","Aceptable")</f>
        <v>No Aceptable</v>
      </c>
      <c r="Q4" s="6" t="s">
        <v>16</v>
      </c>
      <c r="R4" s="6" t="s">
        <v>16</v>
      </c>
      <c r="S4" s="6" t="s">
        <v>16</v>
      </c>
      <c r="T4" s="6" t="s">
        <v>16</v>
      </c>
      <c r="U4" s="6" t="s">
        <v>16</v>
      </c>
      <c r="V4" s="6" t="s">
        <v>16</v>
      </c>
      <c r="W4" s="6" t="str">
        <f t="shared" ref="W4:W67" si="1">IF(AND(Q4="NO",R4="NO",S4="NO",T4="NO",U4="NO",V4="NO"),"No Critico","Critico")</f>
        <v>No Critico</v>
      </c>
    </row>
    <row r="5" spans="1:29" ht="38.25">
      <c r="A5" s="60">
        <f>Inicial!A5</f>
        <v>3</v>
      </c>
      <c r="B5" s="61" t="str">
        <f>Inicial!B5</f>
        <v>Desposte</v>
      </c>
      <c r="C5" s="61" t="str">
        <f>Inicial!C5</f>
        <v>Operario de producción línea Principal 1</v>
      </c>
      <c r="D5" s="62" t="str">
        <f>Inicial!D5</f>
        <v>Apertura de falda izquierda</v>
      </c>
      <c r="E5" s="60" t="str">
        <f>IF(Inicial!J5="SI",Inicial!E5,"N/A")</f>
        <v>Am: 07:00 a 16:00 - PM: 17:15 a 02:45</v>
      </c>
      <c r="F5" s="61" t="str">
        <f>IF(Inicial!J5="SI",Inicial!F5,"N/A")</f>
        <v>0.5</v>
      </c>
      <c r="G5" s="61">
        <f>IF(Inicial!J5="SI",Inicial!G5,"N/A")</f>
        <v>4.5</v>
      </c>
      <c r="H5" s="61">
        <f>IF(Inicial!J5="SI",Inicial!H5,"N/A")</f>
        <v>72</v>
      </c>
      <c r="I5" s="63">
        <f>IF(Inicial!J5="SI",Inicial!I5,"N/A")</f>
        <v>0</v>
      </c>
      <c r="J5" s="52" t="s">
        <v>16</v>
      </c>
      <c r="K5" s="6" t="s">
        <v>346</v>
      </c>
      <c r="L5" s="6" t="s">
        <v>346</v>
      </c>
      <c r="M5" s="6" t="s">
        <v>346</v>
      </c>
      <c r="N5" s="6" t="s">
        <v>346</v>
      </c>
      <c r="O5" s="6" t="s">
        <v>346</v>
      </c>
      <c r="P5" s="6" t="str">
        <f t="shared" si="0"/>
        <v>No Aceptable</v>
      </c>
      <c r="Q5" s="6" t="s">
        <v>16</v>
      </c>
      <c r="R5" s="6" t="s">
        <v>16</v>
      </c>
      <c r="S5" s="6" t="s">
        <v>16</v>
      </c>
      <c r="T5" s="6" t="s">
        <v>16</v>
      </c>
      <c r="U5" s="6" t="s">
        <v>16</v>
      </c>
      <c r="V5" s="6" t="s">
        <v>16</v>
      </c>
      <c r="W5" s="6" t="str">
        <f t="shared" si="1"/>
        <v>No Critico</v>
      </c>
    </row>
    <row r="6" spans="1:29" ht="38.25">
      <c r="A6" s="60">
        <f>Inicial!A6</f>
        <v>4</v>
      </c>
      <c r="B6" s="61" t="str">
        <f>Inicial!B6</f>
        <v>Desposte</v>
      </c>
      <c r="C6" s="61" t="str">
        <f>Inicial!C6</f>
        <v>Operario de producción línea Principal 1</v>
      </c>
      <c r="D6" s="62" t="str">
        <f>Inicial!D6</f>
        <v>Sierra cortadora de patas</v>
      </c>
      <c r="E6" s="60" t="str">
        <f>IF(Inicial!J6="SI",Inicial!E6,"N/A")</f>
        <v>Am: 07:00 a 16:00 - PM: 17:15 a 02:45</v>
      </c>
      <c r="F6" s="61" t="str">
        <f>IF(Inicial!J6="SI",Inicial!F6,"N/A")</f>
        <v>0.5</v>
      </c>
      <c r="G6" s="61">
        <f>IF(Inicial!J6="SI",Inicial!G6,"N/A")</f>
        <v>4.5</v>
      </c>
      <c r="H6" s="61">
        <f>IF(Inicial!J6="SI",Inicial!H6,"N/A")</f>
        <v>72</v>
      </c>
      <c r="I6" s="63">
        <f>IF(Inicial!J6="SI",Inicial!I6,"N/A")</f>
        <v>0</v>
      </c>
      <c r="J6" s="52" t="s">
        <v>16</v>
      </c>
      <c r="K6" s="6" t="s">
        <v>346</v>
      </c>
      <c r="L6" s="6" t="s">
        <v>346</v>
      </c>
      <c r="M6" s="6" t="s">
        <v>346</v>
      </c>
      <c r="N6" s="6" t="s">
        <v>346</v>
      </c>
      <c r="O6" s="6" t="s">
        <v>346</v>
      </c>
      <c r="P6" s="6" t="str">
        <f t="shared" si="0"/>
        <v>No Aceptable</v>
      </c>
      <c r="Q6" s="6" t="s">
        <v>16</v>
      </c>
      <c r="R6" s="6" t="s">
        <v>16</v>
      </c>
      <c r="S6" s="6" t="s">
        <v>16</v>
      </c>
      <c r="T6" s="6" t="s">
        <v>16</v>
      </c>
      <c r="U6" s="6" t="s">
        <v>16</v>
      </c>
      <c r="V6" s="6" t="s">
        <v>16</v>
      </c>
      <c r="W6" s="6" t="str">
        <f t="shared" si="1"/>
        <v>No Critico</v>
      </c>
    </row>
    <row r="7" spans="1:29" ht="38.25">
      <c r="A7" s="60">
        <f>Inicial!A7</f>
        <v>5</v>
      </c>
      <c r="B7" s="61" t="str">
        <f>Inicial!B7</f>
        <v>Desposte</v>
      </c>
      <c r="C7" s="61" t="str">
        <f>Inicial!C7</f>
        <v>Operario de producción línea Principal 1</v>
      </c>
      <c r="D7" s="62" t="str">
        <f>Inicial!D7</f>
        <v>Tijera cortadora de manos</v>
      </c>
      <c r="E7" s="60" t="str">
        <f>IF(Inicial!J7="SI",Inicial!E7,"N/A")</f>
        <v>Am: 07:00 a 16:00 - PM: 17:15 a 02:45</v>
      </c>
      <c r="F7" s="61" t="str">
        <f>IF(Inicial!J7="SI",Inicial!F7,"N/A")</f>
        <v>0.5</v>
      </c>
      <c r="G7" s="61">
        <f>IF(Inicial!J7="SI",Inicial!G7,"N/A")</f>
        <v>4.5</v>
      </c>
      <c r="H7" s="61">
        <f>IF(Inicial!J7="SI",Inicial!H7,"N/A")</f>
        <v>72</v>
      </c>
      <c r="I7" s="63">
        <f>IF(Inicial!J7="SI",Inicial!I7,"N/A")</f>
        <v>0</v>
      </c>
      <c r="J7" s="52" t="s">
        <v>16</v>
      </c>
      <c r="K7" s="6" t="s">
        <v>346</v>
      </c>
      <c r="L7" s="6" t="s">
        <v>346</v>
      </c>
      <c r="M7" s="6" t="s">
        <v>346</v>
      </c>
      <c r="N7" s="6" t="s">
        <v>346</v>
      </c>
      <c r="O7" s="6" t="s">
        <v>346</v>
      </c>
      <c r="P7" s="6" t="str">
        <f t="shared" si="0"/>
        <v>No Aceptable</v>
      </c>
      <c r="Q7" s="6" t="s">
        <v>16</v>
      </c>
      <c r="R7" s="6" t="s">
        <v>16</v>
      </c>
      <c r="S7" s="6" t="s">
        <v>16</v>
      </c>
      <c r="T7" s="6" t="s">
        <v>16</v>
      </c>
      <c r="U7" s="6" t="s">
        <v>16</v>
      </c>
      <c r="V7" s="6" t="s">
        <v>16</v>
      </c>
      <c r="W7" s="6" t="str">
        <f t="shared" si="1"/>
        <v>No Critico</v>
      </c>
    </row>
    <row r="8" spans="1:29" ht="38.25">
      <c r="A8" s="60">
        <f>Inicial!A8</f>
        <v>6</v>
      </c>
      <c r="B8" s="61" t="str">
        <f>Inicial!B8</f>
        <v>Desposte</v>
      </c>
      <c r="C8" s="61" t="str">
        <f>Inicial!C8</f>
        <v>Operario de producción línea Principal 1</v>
      </c>
      <c r="D8" s="62" t="str">
        <f>Inicial!D8</f>
        <v>Sierra EFA 86 corte de pernil</v>
      </c>
      <c r="E8" s="60" t="str">
        <f>IF(Inicial!J8="SI",Inicial!E8,"N/A")</f>
        <v>Am: 07:00 a 16:00 - PM: 17:15 a 02:45</v>
      </c>
      <c r="F8" s="61" t="str">
        <f>IF(Inicial!J8="SI",Inicial!F8,"N/A")</f>
        <v>0.5</v>
      </c>
      <c r="G8" s="61">
        <f>IF(Inicial!J8="SI",Inicial!G8,"N/A")</f>
        <v>4.5</v>
      </c>
      <c r="H8" s="61">
        <f>IF(Inicial!J8="SI",Inicial!H8,"N/A")</f>
        <v>72</v>
      </c>
      <c r="I8" s="63">
        <f>IF(Inicial!J8="SI",Inicial!I8,"N/A")</f>
        <v>0</v>
      </c>
      <c r="J8" s="52" t="s">
        <v>16</v>
      </c>
      <c r="K8" s="6" t="s">
        <v>346</v>
      </c>
      <c r="L8" s="6" t="s">
        <v>346</v>
      </c>
      <c r="M8" s="6" t="s">
        <v>346</v>
      </c>
      <c r="N8" s="6" t="s">
        <v>346</v>
      </c>
      <c r="O8" s="6" t="s">
        <v>346</v>
      </c>
      <c r="P8" s="6" t="str">
        <f t="shared" si="0"/>
        <v>No Aceptable</v>
      </c>
      <c r="Q8" s="6" t="s">
        <v>16</v>
      </c>
      <c r="R8" s="6" t="s">
        <v>16</v>
      </c>
      <c r="S8" s="6" t="s">
        <v>16</v>
      </c>
      <c r="T8" s="6" t="s">
        <v>16</v>
      </c>
      <c r="U8" s="6" t="s">
        <v>16</v>
      </c>
      <c r="V8" s="6" t="s">
        <v>16</v>
      </c>
      <c r="W8" s="6" t="str">
        <f t="shared" si="1"/>
        <v>No Critico</v>
      </c>
    </row>
    <row r="9" spans="1:29" ht="38.25">
      <c r="A9" s="60">
        <f>Inicial!A9</f>
        <v>7</v>
      </c>
      <c r="B9" s="61" t="str">
        <f>Inicial!B9</f>
        <v>Desposte</v>
      </c>
      <c r="C9" s="61" t="str">
        <f>Inicial!C9</f>
        <v>Operario de producción línea Principal 1</v>
      </c>
      <c r="D9" s="62" t="str">
        <f>Inicial!D9</f>
        <v>RK 11 cuarto trasero</v>
      </c>
      <c r="E9" s="60" t="str">
        <f>IF(Inicial!J9="SI",Inicial!E9,"N/A")</f>
        <v>Am: 07:00 a 16:00 - PM: 17:15 a 02:45</v>
      </c>
      <c r="F9" s="61" t="str">
        <f>IF(Inicial!J9="SI",Inicial!F9,"N/A")</f>
        <v>0.5</v>
      </c>
      <c r="G9" s="61">
        <f>IF(Inicial!J9="SI",Inicial!G9,"N/A")</f>
        <v>4.5</v>
      </c>
      <c r="H9" s="61">
        <f>IF(Inicial!J9="SI",Inicial!H9,"N/A")</f>
        <v>72</v>
      </c>
      <c r="I9" s="63">
        <f>IF(Inicial!J9="SI",Inicial!I9,"N/A")</f>
        <v>0</v>
      </c>
      <c r="J9" s="52" t="s">
        <v>16</v>
      </c>
      <c r="K9" s="6" t="s">
        <v>346</v>
      </c>
      <c r="L9" s="6" t="s">
        <v>346</v>
      </c>
      <c r="M9" s="6" t="s">
        <v>346</v>
      </c>
      <c r="N9" s="6" t="s">
        <v>346</v>
      </c>
      <c r="O9" s="6" t="s">
        <v>346</v>
      </c>
      <c r="P9" s="6" t="str">
        <f t="shared" si="0"/>
        <v>No Aceptable</v>
      </c>
      <c r="Q9" s="6" t="s">
        <v>16</v>
      </c>
      <c r="R9" s="6" t="s">
        <v>16</v>
      </c>
      <c r="S9" s="6" t="s">
        <v>16</v>
      </c>
      <c r="T9" s="6" t="s">
        <v>16</v>
      </c>
      <c r="U9" s="6" t="s">
        <v>16</v>
      </c>
      <c r="V9" s="6" t="s">
        <v>16</v>
      </c>
      <c r="W9" s="6" t="str">
        <f t="shared" si="1"/>
        <v>No Critico</v>
      </c>
    </row>
    <row r="10" spans="1:29" ht="38.25">
      <c r="A10" s="60">
        <f>Inicial!A10</f>
        <v>8</v>
      </c>
      <c r="B10" s="61" t="str">
        <f>Inicial!B10</f>
        <v>Desposte</v>
      </c>
      <c r="C10" s="61" t="str">
        <f>Inicial!C10</f>
        <v>Operario de producción línea Principal 1</v>
      </c>
      <c r="D10" s="62" t="str">
        <f>Inicial!D10</f>
        <v>RK 11 cuarto delantero</v>
      </c>
      <c r="E10" s="60" t="str">
        <f>IF(Inicial!J10="SI",Inicial!E10,"N/A")</f>
        <v>Am: 07:00 a 16:00 - PM: 17:15 a 02:45</v>
      </c>
      <c r="F10" s="61" t="str">
        <f>IF(Inicial!J10="SI",Inicial!F10,"N/A")</f>
        <v>0.5</v>
      </c>
      <c r="G10" s="61">
        <f>IF(Inicial!J10="SI",Inicial!G10,"N/A")</f>
        <v>4.5</v>
      </c>
      <c r="H10" s="61">
        <f>IF(Inicial!J10="SI",Inicial!H10,"N/A")</f>
        <v>72</v>
      </c>
      <c r="I10" s="63">
        <f>IF(Inicial!J10="SI",Inicial!I10,"N/A")</f>
        <v>0</v>
      </c>
      <c r="J10" s="52" t="s">
        <v>16</v>
      </c>
      <c r="K10" s="6" t="s">
        <v>346</v>
      </c>
      <c r="L10" s="6" t="s">
        <v>346</v>
      </c>
      <c r="M10" s="6" t="s">
        <v>346</v>
      </c>
      <c r="N10" s="6" t="s">
        <v>346</v>
      </c>
      <c r="O10" s="6" t="s">
        <v>346</v>
      </c>
      <c r="P10" s="6" t="str">
        <f t="shared" si="0"/>
        <v>No Aceptable</v>
      </c>
      <c r="Q10" s="6" t="s">
        <v>16</v>
      </c>
      <c r="R10" s="6" t="s">
        <v>16</v>
      </c>
      <c r="S10" s="6" t="s">
        <v>16</v>
      </c>
      <c r="T10" s="6" t="s">
        <v>16</v>
      </c>
      <c r="U10" s="6" t="s">
        <v>16</v>
      </c>
      <c r="V10" s="6" t="s">
        <v>16</v>
      </c>
      <c r="W10" s="6" t="str">
        <f t="shared" si="1"/>
        <v>No Critico</v>
      </c>
    </row>
    <row r="11" spans="1:29" ht="38.25">
      <c r="A11" s="60">
        <f>Inicial!A11</f>
        <v>9</v>
      </c>
      <c r="B11" s="61" t="str">
        <f>Inicial!B11</f>
        <v>Desposte</v>
      </c>
      <c r="C11" s="61" t="str">
        <f>Inicial!C11</f>
        <v>Operario de producción línea Principal 1</v>
      </c>
      <c r="D11" s="62" t="str">
        <f>Inicial!D11</f>
        <v>Sierra EFA 86 Punta costilla</v>
      </c>
      <c r="E11" s="60" t="str">
        <f>IF(Inicial!J11="SI",Inicial!E11,"N/A")</f>
        <v>Am: 07:00 a 16:00 - PM: 17:15 a 02:45</v>
      </c>
      <c r="F11" s="61" t="str">
        <f>IF(Inicial!J11="SI",Inicial!F11,"N/A")</f>
        <v>0.5</v>
      </c>
      <c r="G11" s="61">
        <f>IF(Inicial!J11="SI",Inicial!G11,"N/A")</f>
        <v>4.5</v>
      </c>
      <c r="H11" s="61">
        <f>IF(Inicial!J11="SI",Inicial!H11,"N/A")</f>
        <v>72</v>
      </c>
      <c r="I11" s="63">
        <f>IF(Inicial!J11="SI",Inicial!I11,"N/A")</f>
        <v>0</v>
      </c>
      <c r="J11" s="52" t="s">
        <v>16</v>
      </c>
      <c r="K11" s="6" t="s">
        <v>346</v>
      </c>
      <c r="L11" s="6" t="s">
        <v>346</v>
      </c>
      <c r="M11" s="6" t="s">
        <v>346</v>
      </c>
      <c r="N11" s="6" t="s">
        <v>346</v>
      </c>
      <c r="O11" s="6" t="s">
        <v>346</v>
      </c>
      <c r="P11" s="6" t="str">
        <f t="shared" si="0"/>
        <v>No Aceptable</v>
      </c>
      <c r="Q11" s="6" t="s">
        <v>16</v>
      </c>
      <c r="R11" s="6" t="s">
        <v>16</v>
      </c>
      <c r="S11" s="6" t="s">
        <v>16</v>
      </c>
      <c r="T11" s="6" t="s">
        <v>16</v>
      </c>
      <c r="U11" s="6" t="s">
        <v>16</v>
      </c>
      <c r="V11" s="6" t="s">
        <v>16</v>
      </c>
      <c r="W11" s="6" t="str">
        <f t="shared" si="1"/>
        <v>No Critico</v>
      </c>
    </row>
    <row r="12" spans="1:29" ht="38.25">
      <c r="A12" s="60">
        <f>Inicial!A12</f>
        <v>10</v>
      </c>
      <c r="B12" s="61" t="str">
        <f>Inicial!B12</f>
        <v>Desposte</v>
      </c>
      <c r="C12" s="61" t="str">
        <f>Inicial!C12</f>
        <v>Operario de producción línea Principal 1</v>
      </c>
      <c r="D12" s="62" t="str">
        <f>Inicial!D12</f>
        <v>Extracción de diafragma</v>
      </c>
      <c r="E12" s="60" t="str">
        <f>IF(Inicial!J12="SI",Inicial!E12,"N/A")</f>
        <v>Am: 07:00 a 16:00 - PM: 17:15 a 02:45</v>
      </c>
      <c r="F12" s="61" t="str">
        <f>IF(Inicial!J12="SI",Inicial!F12,"N/A")</f>
        <v>0.5</v>
      </c>
      <c r="G12" s="61">
        <f>IF(Inicial!J12="SI",Inicial!G12,"N/A")</f>
        <v>4.5</v>
      </c>
      <c r="H12" s="61">
        <f>IF(Inicial!J12="SI",Inicial!H12,"N/A")</f>
        <v>72</v>
      </c>
      <c r="I12" s="63">
        <f>IF(Inicial!J12="SI",Inicial!I12,"N/A")</f>
        <v>0</v>
      </c>
      <c r="J12" s="52" t="s">
        <v>16</v>
      </c>
      <c r="K12" s="6" t="s">
        <v>346</v>
      </c>
      <c r="L12" s="6" t="s">
        <v>346</v>
      </c>
      <c r="M12" s="6" t="s">
        <v>346</v>
      </c>
      <c r="N12" s="6" t="s">
        <v>346</v>
      </c>
      <c r="O12" s="6" t="s">
        <v>346</v>
      </c>
      <c r="P12" s="6" t="str">
        <f t="shared" si="0"/>
        <v>No Aceptable</v>
      </c>
      <c r="Q12" s="6" t="s">
        <v>16</v>
      </c>
      <c r="R12" s="6" t="s">
        <v>16</v>
      </c>
      <c r="S12" s="6" t="s">
        <v>16</v>
      </c>
      <c r="T12" s="6" t="s">
        <v>16</v>
      </c>
      <c r="U12" s="6" t="s">
        <v>16</v>
      </c>
      <c r="V12" s="6" t="s">
        <v>16</v>
      </c>
      <c r="W12" s="6" t="str">
        <f t="shared" si="1"/>
        <v>No Critico</v>
      </c>
    </row>
    <row r="13" spans="1:29" ht="38.25">
      <c r="A13" s="60">
        <f>Inicial!A13</f>
        <v>11</v>
      </c>
      <c r="B13" s="61" t="str">
        <f>Inicial!B13</f>
        <v>Desposte</v>
      </c>
      <c r="C13" s="61" t="str">
        <f>Inicial!C13</f>
        <v>Operario de producción línea Principal 1</v>
      </c>
      <c r="D13" s="62" t="str">
        <f>Inicial!D13</f>
        <v>Corte de pernil</v>
      </c>
      <c r="E13" s="60" t="str">
        <f>IF(Inicial!J13="SI",Inicial!E13,"N/A")</f>
        <v>Am: 07:00 a 16:00 - PM: 17:15 a 02:45</v>
      </c>
      <c r="F13" s="61" t="str">
        <f>IF(Inicial!J13="SI",Inicial!F13,"N/A")</f>
        <v>0.5</v>
      </c>
      <c r="G13" s="61">
        <f>IF(Inicial!J13="SI",Inicial!G13,"N/A")</f>
        <v>4.5</v>
      </c>
      <c r="H13" s="61">
        <f>IF(Inicial!J13="SI",Inicial!H13,"N/A")</f>
        <v>72</v>
      </c>
      <c r="I13" s="63">
        <f>IF(Inicial!J13="SI",Inicial!I13,"N/A")</f>
        <v>0</v>
      </c>
      <c r="J13" s="52" t="s">
        <v>16</v>
      </c>
      <c r="K13" s="6" t="s">
        <v>346</v>
      </c>
      <c r="L13" s="6" t="s">
        <v>346</v>
      </c>
      <c r="M13" s="6" t="s">
        <v>346</v>
      </c>
      <c r="N13" s="6" t="s">
        <v>346</v>
      </c>
      <c r="O13" s="6" t="s">
        <v>346</v>
      </c>
      <c r="P13" s="6" t="str">
        <f t="shared" si="0"/>
        <v>No Aceptable</v>
      </c>
      <c r="Q13" s="6" t="s">
        <v>16</v>
      </c>
      <c r="R13" s="6" t="s">
        <v>16</v>
      </c>
      <c r="S13" s="6" t="s">
        <v>16</v>
      </c>
      <c r="T13" s="6" t="s">
        <v>16</v>
      </c>
      <c r="U13" s="6" t="s">
        <v>16</v>
      </c>
      <c r="V13" s="6" t="s">
        <v>16</v>
      </c>
      <c r="W13" s="6" t="str">
        <f t="shared" si="1"/>
        <v>No Critico</v>
      </c>
    </row>
    <row r="14" spans="1:29" ht="38.25">
      <c r="A14" s="60">
        <f>Inicial!A14</f>
        <v>12</v>
      </c>
      <c r="B14" s="61" t="str">
        <f>Inicial!B14</f>
        <v>Desposte</v>
      </c>
      <c r="C14" s="61" t="str">
        <f>Inicial!C14</f>
        <v>Operario de producción línea Principal 1</v>
      </c>
      <c r="D14" s="62" t="str">
        <f>Inicial!D14</f>
        <v>Extracción de papada</v>
      </c>
      <c r="E14" s="60" t="str">
        <f>IF(Inicial!J14="SI",Inicial!E14,"N/A")</f>
        <v>Am: 07:00 a 16:00 - PM: 17:15 a 02:45</v>
      </c>
      <c r="F14" s="61" t="str">
        <f>IF(Inicial!J14="SI",Inicial!F14,"N/A")</f>
        <v>0.5</v>
      </c>
      <c r="G14" s="61">
        <f>IF(Inicial!J14="SI",Inicial!G14,"N/A")</f>
        <v>4.5</v>
      </c>
      <c r="H14" s="61">
        <f>IF(Inicial!J14="SI",Inicial!H14,"N/A")</f>
        <v>72</v>
      </c>
      <c r="I14" s="63">
        <f>IF(Inicial!J14="SI",Inicial!I14,"N/A")</f>
        <v>0</v>
      </c>
      <c r="J14" s="52" t="s">
        <v>16</v>
      </c>
      <c r="K14" s="6" t="s">
        <v>346</v>
      </c>
      <c r="L14" s="6" t="s">
        <v>346</v>
      </c>
      <c r="M14" s="6" t="s">
        <v>346</v>
      </c>
      <c r="N14" s="6" t="s">
        <v>346</v>
      </c>
      <c r="O14" s="6" t="s">
        <v>346</v>
      </c>
      <c r="P14" s="6" t="str">
        <f t="shared" si="0"/>
        <v>No Aceptable</v>
      </c>
      <c r="Q14" s="6" t="s">
        <v>16</v>
      </c>
      <c r="R14" s="6" t="s">
        <v>16</v>
      </c>
      <c r="S14" s="6" t="s">
        <v>16</v>
      </c>
      <c r="T14" s="6" t="s">
        <v>16</v>
      </c>
      <c r="U14" s="6" t="s">
        <v>16</v>
      </c>
      <c r="V14" s="6" t="s">
        <v>16</v>
      </c>
      <c r="W14" s="6" t="str">
        <f t="shared" si="1"/>
        <v>No Critico</v>
      </c>
    </row>
    <row r="15" spans="1:29" ht="38.25">
      <c r="A15" s="60">
        <f>Inicial!A15</f>
        <v>13</v>
      </c>
      <c r="B15" s="61" t="str">
        <f>Inicial!B15</f>
        <v>Desposte</v>
      </c>
      <c r="C15" s="61" t="str">
        <f>Inicial!C15</f>
        <v>Operario de producción línea Principal 1</v>
      </c>
      <c r="D15" s="62" t="str">
        <f>Inicial!D15</f>
        <v>Extracción de punta costilla izquierda</v>
      </c>
      <c r="E15" s="60" t="str">
        <f>IF(Inicial!J15="SI",Inicial!E15,"N/A")</f>
        <v>Am: 07:00 a 16:00 - PM: 17:15 a 02:45</v>
      </c>
      <c r="F15" s="61" t="str">
        <f>IF(Inicial!J15="SI",Inicial!F15,"N/A")</f>
        <v>0.5</v>
      </c>
      <c r="G15" s="61">
        <f>IF(Inicial!J15="SI",Inicial!G15,"N/A")</f>
        <v>4.5</v>
      </c>
      <c r="H15" s="61">
        <f>IF(Inicial!J15="SI",Inicial!H15,"N/A")</f>
        <v>72</v>
      </c>
      <c r="I15" s="63">
        <f>IF(Inicial!J15="SI",Inicial!I15,"N/A")</f>
        <v>0</v>
      </c>
      <c r="J15" s="52" t="s">
        <v>16</v>
      </c>
      <c r="K15" s="6" t="s">
        <v>346</v>
      </c>
      <c r="L15" s="6" t="s">
        <v>346</v>
      </c>
      <c r="M15" s="6" t="s">
        <v>346</v>
      </c>
      <c r="N15" s="6" t="s">
        <v>346</v>
      </c>
      <c r="O15" s="6" t="s">
        <v>346</v>
      </c>
      <c r="P15" s="6" t="str">
        <f t="shared" si="0"/>
        <v>No Aceptable</v>
      </c>
      <c r="Q15" s="6" t="s">
        <v>16</v>
      </c>
      <c r="R15" s="6" t="s">
        <v>16</v>
      </c>
      <c r="S15" s="6" t="s">
        <v>16</v>
      </c>
      <c r="T15" s="6" t="s">
        <v>16</v>
      </c>
      <c r="U15" s="6" t="s">
        <v>16</v>
      </c>
      <c r="V15" s="6" t="s">
        <v>16</v>
      </c>
      <c r="W15" s="6" t="str">
        <f t="shared" si="1"/>
        <v>No Critico</v>
      </c>
    </row>
    <row r="16" spans="1:29" ht="38.25">
      <c r="A16" s="60">
        <f>Inicial!A16</f>
        <v>14</v>
      </c>
      <c r="B16" s="61" t="str">
        <f>Inicial!B16</f>
        <v>Desposte</v>
      </c>
      <c r="C16" s="61" t="str">
        <f>Inicial!C16</f>
        <v>Operario de producción línea Principal 1</v>
      </c>
      <c r="D16" s="62" t="str">
        <f>Inicial!D16</f>
        <v>Extracción de punta costilla derecha</v>
      </c>
      <c r="E16" s="60" t="str">
        <f>IF(Inicial!J16="SI",Inicial!E16,"N/A")</f>
        <v>Am: 07:00 a 16:00 - PM: 17:15 a 02:45</v>
      </c>
      <c r="F16" s="61" t="str">
        <f>IF(Inicial!J16="SI",Inicial!F16,"N/A")</f>
        <v>0.5</v>
      </c>
      <c r="G16" s="61">
        <f>IF(Inicial!J16="SI",Inicial!G16,"N/A")</f>
        <v>4.5</v>
      </c>
      <c r="H16" s="61">
        <f>IF(Inicial!J16="SI",Inicial!H16,"N/A")</f>
        <v>72</v>
      </c>
      <c r="I16" s="63">
        <f>IF(Inicial!J16="SI",Inicial!I16,"N/A")</f>
        <v>0</v>
      </c>
      <c r="J16" s="52" t="s">
        <v>16</v>
      </c>
      <c r="K16" s="6" t="s">
        <v>346</v>
      </c>
      <c r="L16" s="6" t="s">
        <v>346</v>
      </c>
      <c r="M16" s="6" t="s">
        <v>346</v>
      </c>
      <c r="N16" s="6" t="s">
        <v>346</v>
      </c>
      <c r="O16" s="6" t="s">
        <v>346</v>
      </c>
      <c r="P16" s="6" t="str">
        <f t="shared" si="0"/>
        <v>No Aceptable</v>
      </c>
      <c r="Q16" s="6" t="s">
        <v>16</v>
      </c>
      <c r="R16" s="6" t="s">
        <v>16</v>
      </c>
      <c r="S16" s="6" t="s">
        <v>16</v>
      </c>
      <c r="T16" s="6" t="s">
        <v>16</v>
      </c>
      <c r="U16" s="6" t="s">
        <v>16</v>
      </c>
      <c r="V16" s="6" t="s">
        <v>16</v>
      </c>
      <c r="W16" s="6" t="str">
        <f t="shared" si="1"/>
        <v>No Critico</v>
      </c>
    </row>
    <row r="17" spans="1:23" ht="38.25">
      <c r="A17" s="60">
        <f>Inicial!A17</f>
        <v>15</v>
      </c>
      <c r="B17" s="61" t="str">
        <f>Inicial!B17</f>
        <v>Desposte</v>
      </c>
      <c r="C17" s="61" t="str">
        <f>Inicial!C17</f>
        <v>Operario de producción línea Principal 1</v>
      </c>
      <c r="D17" s="62" t="str">
        <f>Inicial!D17</f>
        <v>Operación de MSS</v>
      </c>
      <c r="E17" s="60" t="str">
        <f>IF(Inicial!J17="SI",Inicial!E17,"N/A")</f>
        <v>Am: 07:00 a 16:00 - PM: 17:15 a 02:45</v>
      </c>
      <c r="F17" s="61" t="str">
        <f>IF(Inicial!J17="SI",Inicial!F17,"N/A")</f>
        <v>0.5</v>
      </c>
      <c r="G17" s="61">
        <f>IF(Inicial!J17="SI",Inicial!G17,"N/A")</f>
        <v>4.5</v>
      </c>
      <c r="H17" s="61">
        <f>IF(Inicial!J17="SI",Inicial!H17,"N/A")</f>
        <v>72</v>
      </c>
      <c r="I17" s="63">
        <f>IF(Inicial!J17="SI",Inicial!I17,"N/A")</f>
        <v>0</v>
      </c>
      <c r="J17" s="52" t="s">
        <v>16</v>
      </c>
      <c r="K17" s="6" t="s">
        <v>346</v>
      </c>
      <c r="L17" s="6" t="s">
        <v>346</v>
      </c>
      <c r="M17" s="6" t="s">
        <v>346</v>
      </c>
      <c r="N17" s="6" t="s">
        <v>346</v>
      </c>
      <c r="O17" s="6" t="s">
        <v>346</v>
      </c>
      <c r="P17" s="6" t="str">
        <f t="shared" si="0"/>
        <v>No Aceptable</v>
      </c>
      <c r="Q17" s="6" t="s">
        <v>16</v>
      </c>
      <c r="R17" s="6" t="s">
        <v>16</v>
      </c>
      <c r="S17" s="6" t="s">
        <v>16</v>
      </c>
      <c r="T17" s="6" t="s">
        <v>16</v>
      </c>
      <c r="U17" s="6" t="s">
        <v>16</v>
      </c>
      <c r="V17" s="6" t="s">
        <v>16</v>
      </c>
      <c r="W17" s="6" t="str">
        <f t="shared" si="1"/>
        <v>No Critico</v>
      </c>
    </row>
    <row r="18" spans="1:23" ht="38.25">
      <c r="A18" s="60">
        <f>Inicial!A18</f>
        <v>16</v>
      </c>
      <c r="B18" s="61" t="str">
        <f>Inicial!B18</f>
        <v>Desposte</v>
      </c>
      <c r="C18" s="61" t="str">
        <f>Inicial!C18</f>
        <v>Operario de producción línea Principal 1</v>
      </c>
      <c r="D18" s="62" t="str">
        <f>Inicial!D18</f>
        <v>Extracción de hueso pecho</v>
      </c>
      <c r="E18" s="60" t="str">
        <f>IF(Inicial!J18="SI",Inicial!E18,"N/A")</f>
        <v>Am: 07:00 a 16:00 - PM: 17:15 a 02:45</v>
      </c>
      <c r="F18" s="61" t="str">
        <f>IF(Inicial!J18="SI",Inicial!F18,"N/A")</f>
        <v>0.5</v>
      </c>
      <c r="G18" s="61">
        <f>IF(Inicial!J18="SI",Inicial!G18,"N/A")</f>
        <v>4.5</v>
      </c>
      <c r="H18" s="61">
        <f>IF(Inicial!J18="SI",Inicial!H18,"N/A")</f>
        <v>72</v>
      </c>
      <c r="I18" s="63">
        <f>IF(Inicial!J18="SI",Inicial!I18,"N/A")</f>
        <v>0</v>
      </c>
      <c r="J18" s="52" t="s">
        <v>16</v>
      </c>
      <c r="K18" s="6" t="s">
        <v>346</v>
      </c>
      <c r="L18" s="6" t="s">
        <v>346</v>
      </c>
      <c r="M18" s="6" t="s">
        <v>346</v>
      </c>
      <c r="N18" s="6" t="s">
        <v>346</v>
      </c>
      <c r="O18" s="6" t="s">
        <v>346</v>
      </c>
      <c r="P18" s="6" t="str">
        <f t="shared" si="0"/>
        <v>No Aceptable</v>
      </c>
      <c r="Q18" s="6" t="s">
        <v>16</v>
      </c>
      <c r="R18" s="6" t="s">
        <v>16</v>
      </c>
      <c r="S18" s="6" t="s">
        <v>16</v>
      </c>
      <c r="T18" s="6" t="s">
        <v>16</v>
      </c>
      <c r="U18" s="6" t="s">
        <v>16</v>
      </c>
      <c r="V18" s="6" t="s">
        <v>16</v>
      </c>
      <c r="W18" s="6" t="str">
        <f t="shared" si="1"/>
        <v>No Critico</v>
      </c>
    </row>
    <row r="19" spans="1:23" ht="38.25">
      <c r="A19" s="60">
        <f>Inicial!A19</f>
        <v>17</v>
      </c>
      <c r="B19" s="61" t="str">
        <f>Inicial!B19</f>
        <v>Desposte</v>
      </c>
      <c r="C19" s="61" t="str">
        <f>Inicial!C19</f>
        <v>Operario de producción línea Principal 1</v>
      </c>
      <c r="D19" s="62" t="str">
        <f>Inicial!D19</f>
        <v>Deshuesado de panceta</v>
      </c>
      <c r="E19" s="60" t="str">
        <f>IF(Inicial!J19="SI",Inicial!E19,"N/A")</f>
        <v>Am: 07:00 a 16:00 - PM: 17:15 a 02:45</v>
      </c>
      <c r="F19" s="61" t="str">
        <f>IF(Inicial!J19="SI",Inicial!F19,"N/A")</f>
        <v>0.5</v>
      </c>
      <c r="G19" s="61">
        <f>IF(Inicial!J19="SI",Inicial!G19,"N/A")</f>
        <v>4.5</v>
      </c>
      <c r="H19" s="61">
        <f>IF(Inicial!J19="SI",Inicial!H19,"N/A")</f>
        <v>72</v>
      </c>
      <c r="I19" s="63">
        <f>IF(Inicial!J19="SI",Inicial!I19,"N/A")</f>
        <v>0</v>
      </c>
      <c r="J19" s="52" t="s">
        <v>16</v>
      </c>
      <c r="K19" s="6" t="s">
        <v>346</v>
      </c>
      <c r="L19" s="6" t="s">
        <v>346</v>
      </c>
      <c r="M19" s="6" t="s">
        <v>346</v>
      </c>
      <c r="N19" s="6" t="s">
        <v>346</v>
      </c>
      <c r="O19" s="6" t="s">
        <v>346</v>
      </c>
      <c r="P19" s="6" t="str">
        <f t="shared" si="0"/>
        <v>No Aceptable</v>
      </c>
      <c r="Q19" s="6" t="s">
        <v>16</v>
      </c>
      <c r="R19" s="6" t="s">
        <v>16</v>
      </c>
      <c r="S19" s="6" t="s">
        <v>16</v>
      </c>
      <c r="T19" s="6" t="s">
        <v>16</v>
      </c>
      <c r="U19" s="6" t="s">
        <v>16</v>
      </c>
      <c r="V19" s="6" t="s">
        <v>16</v>
      </c>
      <c r="W19" s="6" t="str">
        <f t="shared" si="1"/>
        <v>No Critico</v>
      </c>
    </row>
    <row r="20" spans="1:23" ht="38.25">
      <c r="A20" s="60">
        <f>Inicial!A20</f>
        <v>18</v>
      </c>
      <c r="B20" s="61" t="str">
        <f>Inicial!B20</f>
        <v>Desposte</v>
      </c>
      <c r="C20" s="61" t="str">
        <f>Inicial!C20</f>
        <v>Operario de producción Línea Lomos</v>
      </c>
      <c r="D20" s="62" t="str">
        <f>Inicial!D20</f>
        <v xml:space="preserve">Operador Descueradora Manual </v>
      </c>
      <c r="E20" s="60" t="str">
        <f>IF(Inicial!J20="SI",Inicial!E20,"N/A")</f>
        <v>Am: 07:00 a 16:00 - PM: 17:15 a 02:45</v>
      </c>
      <c r="F20" s="61" t="str">
        <f>IF(Inicial!J20="SI",Inicial!F20,"N/A")</f>
        <v>0.5</v>
      </c>
      <c r="G20" s="61">
        <f>IF(Inicial!J20="SI",Inicial!G20,"N/A")</f>
        <v>4.5</v>
      </c>
      <c r="H20" s="61">
        <f>IF(Inicial!J20="SI",Inicial!H20,"N/A")</f>
        <v>57</v>
      </c>
      <c r="I20" s="63">
        <f>IF(Inicial!J20="SI",Inicial!I20,"N/A")</f>
        <v>29</v>
      </c>
      <c r="J20" s="52" t="s">
        <v>16</v>
      </c>
      <c r="K20" s="6" t="s">
        <v>346</v>
      </c>
      <c r="L20" s="6" t="s">
        <v>346</v>
      </c>
      <c r="M20" s="6" t="s">
        <v>346</v>
      </c>
      <c r="N20" s="6" t="s">
        <v>346</v>
      </c>
      <c r="O20" s="6" t="s">
        <v>346</v>
      </c>
      <c r="P20" s="6" t="str">
        <f t="shared" si="0"/>
        <v>No Aceptable</v>
      </c>
      <c r="Q20" s="6" t="s">
        <v>16</v>
      </c>
      <c r="R20" s="6" t="s">
        <v>16</v>
      </c>
      <c r="S20" s="6" t="s">
        <v>16</v>
      </c>
      <c r="T20" s="6" t="s">
        <v>16</v>
      </c>
      <c r="U20" s="6" t="s">
        <v>16</v>
      </c>
      <c r="V20" s="6" t="s">
        <v>16</v>
      </c>
      <c r="W20" s="6" t="str">
        <f t="shared" si="1"/>
        <v>No Critico</v>
      </c>
    </row>
    <row r="21" spans="1:23" ht="38.25">
      <c r="A21" s="60">
        <f>Inicial!A21</f>
        <v>19</v>
      </c>
      <c r="B21" s="61" t="str">
        <f>Inicial!B21</f>
        <v>Desposte</v>
      </c>
      <c r="C21" s="61" t="str">
        <f>Inicial!C21</f>
        <v>Operario de producción Línea Lomos</v>
      </c>
      <c r="D21" s="62" t="str">
        <f>Inicial!D21</f>
        <v>Posicionamiento de lomo tecla</v>
      </c>
      <c r="E21" s="60" t="str">
        <f>IF(Inicial!J21="SI",Inicial!E21,"N/A")</f>
        <v>Am: 07:00 a 16:00 - PM: 17:15 a 02:45</v>
      </c>
      <c r="F21" s="61" t="str">
        <f>IF(Inicial!J21="SI",Inicial!F21,"N/A")</f>
        <v>0.5</v>
      </c>
      <c r="G21" s="61">
        <f>IF(Inicial!J21="SI",Inicial!G21,"N/A")</f>
        <v>4.5</v>
      </c>
      <c r="H21" s="61">
        <f>IF(Inicial!J21="SI",Inicial!H21,"N/A")</f>
        <v>57</v>
      </c>
      <c r="I21" s="63">
        <f>IF(Inicial!J21="SI",Inicial!I21,"N/A")</f>
        <v>0</v>
      </c>
      <c r="J21" s="52" t="s">
        <v>16</v>
      </c>
      <c r="K21" s="6" t="s">
        <v>346</v>
      </c>
      <c r="L21" s="6" t="s">
        <v>346</v>
      </c>
      <c r="M21" s="6" t="s">
        <v>346</v>
      </c>
      <c r="N21" s="6" t="s">
        <v>346</v>
      </c>
      <c r="O21" s="6" t="s">
        <v>346</v>
      </c>
      <c r="P21" s="6" t="str">
        <f t="shared" si="0"/>
        <v>No Aceptable</v>
      </c>
      <c r="Q21" s="6" t="s">
        <v>16</v>
      </c>
      <c r="R21" s="6" t="s">
        <v>16</v>
      </c>
      <c r="S21" s="6" t="s">
        <v>16</v>
      </c>
      <c r="T21" s="6" t="s">
        <v>16</v>
      </c>
      <c r="U21" s="6" t="s">
        <v>16</v>
      </c>
      <c r="V21" s="6" t="s">
        <v>16</v>
      </c>
      <c r="W21" s="6" t="str">
        <f t="shared" si="1"/>
        <v>No Critico</v>
      </c>
    </row>
    <row r="22" spans="1:23" ht="51">
      <c r="A22" s="60">
        <f>Inicial!A22</f>
        <v>20</v>
      </c>
      <c r="B22" s="61" t="str">
        <f>Inicial!B22</f>
        <v>Desposte</v>
      </c>
      <c r="C22" s="61" t="str">
        <f>Inicial!C22</f>
        <v>Operario de producción Línea Lomos</v>
      </c>
      <c r="D22" s="62" t="str">
        <f>Inicial!D22</f>
        <v>Prolijado de lomo tecla extracción de cordon</v>
      </c>
      <c r="E22" s="60" t="str">
        <f>IF(Inicial!J22="SI",Inicial!E22,"N/A")</f>
        <v>Am: 07:00 a 16:00 - PM: 17:15 a 02:45</v>
      </c>
      <c r="F22" s="61" t="str">
        <f>IF(Inicial!J22="SI",Inicial!F22,"N/A")</f>
        <v>0.5</v>
      </c>
      <c r="G22" s="61">
        <f>IF(Inicial!J22="SI",Inicial!G22,"N/A")</f>
        <v>4.5</v>
      </c>
      <c r="H22" s="61">
        <f>IF(Inicial!J22="SI",Inicial!H22,"N/A")</f>
        <v>57</v>
      </c>
      <c r="I22" s="63">
        <f>IF(Inicial!J22="SI",Inicial!I22,"N/A")</f>
        <v>0</v>
      </c>
      <c r="J22" s="52" t="s">
        <v>16</v>
      </c>
      <c r="K22" s="6" t="s">
        <v>346</v>
      </c>
      <c r="L22" s="6" t="s">
        <v>346</v>
      </c>
      <c r="M22" s="6" t="s">
        <v>346</v>
      </c>
      <c r="N22" s="6" t="s">
        <v>346</v>
      </c>
      <c r="O22" s="6" t="s">
        <v>346</v>
      </c>
      <c r="P22" s="6" t="str">
        <f t="shared" si="0"/>
        <v>No Aceptable</v>
      </c>
      <c r="Q22" s="6" t="s">
        <v>16</v>
      </c>
      <c r="R22" s="6" t="s">
        <v>16</v>
      </c>
      <c r="S22" s="6" t="s">
        <v>16</v>
      </c>
      <c r="T22" s="6" t="s">
        <v>16</v>
      </c>
      <c r="U22" s="6" t="s">
        <v>16</v>
      </c>
      <c r="V22" s="6" t="s">
        <v>16</v>
      </c>
      <c r="W22" s="6" t="str">
        <f t="shared" si="1"/>
        <v>No Critico</v>
      </c>
    </row>
    <row r="23" spans="1:23" ht="38.25">
      <c r="A23" s="60">
        <f>Inicial!A23</f>
        <v>21</v>
      </c>
      <c r="B23" s="61" t="str">
        <f>Inicial!B23</f>
        <v>Desposte</v>
      </c>
      <c r="C23" s="61" t="str">
        <f>Inicial!C23</f>
        <v>Operario de producción Línea Lomos</v>
      </c>
      <c r="D23" s="62" t="str">
        <f>Inicial!D23</f>
        <v>Extracción de cuero a tocino</v>
      </c>
      <c r="E23" s="60" t="str">
        <f>IF(Inicial!J23="SI",Inicial!E23,"N/A")</f>
        <v>Am: 07:00 a 16:00 - PM: 17:15 a 02:45</v>
      </c>
      <c r="F23" s="61" t="str">
        <f>IF(Inicial!J23="SI",Inicial!F23,"N/A")</f>
        <v>0.5</v>
      </c>
      <c r="G23" s="61">
        <f>IF(Inicial!J23="SI",Inicial!G23,"N/A")</f>
        <v>4.5</v>
      </c>
      <c r="H23" s="61">
        <f>IF(Inicial!J23="SI",Inicial!H23,"N/A")</f>
        <v>57</v>
      </c>
      <c r="I23" s="63">
        <f>IF(Inicial!J23="SI",Inicial!I23,"N/A")</f>
        <v>0</v>
      </c>
      <c r="J23" s="52" t="s">
        <v>16</v>
      </c>
      <c r="K23" s="6" t="s">
        <v>346</v>
      </c>
      <c r="L23" s="6" t="s">
        <v>346</v>
      </c>
      <c r="M23" s="6" t="s">
        <v>346</v>
      </c>
      <c r="N23" s="6" t="s">
        <v>346</v>
      </c>
      <c r="O23" s="6" t="s">
        <v>346</v>
      </c>
      <c r="P23" s="6" t="str">
        <f t="shared" si="0"/>
        <v>No Aceptable</v>
      </c>
      <c r="Q23" s="6" t="s">
        <v>16</v>
      </c>
      <c r="R23" s="6" t="s">
        <v>16</v>
      </c>
      <c r="S23" s="6" t="s">
        <v>16</v>
      </c>
      <c r="T23" s="6" t="s">
        <v>16</v>
      </c>
      <c r="U23" s="6" t="s">
        <v>16</v>
      </c>
      <c r="V23" s="6" t="s">
        <v>16</v>
      </c>
      <c r="W23" s="6" t="str">
        <f t="shared" si="1"/>
        <v>No Critico</v>
      </c>
    </row>
    <row r="24" spans="1:23" ht="38.25">
      <c r="A24" s="60">
        <f>Inicial!A24</f>
        <v>22</v>
      </c>
      <c r="B24" s="61" t="str">
        <f>Inicial!B24</f>
        <v>Desposte</v>
      </c>
      <c r="C24" s="61" t="str">
        <f>Inicial!C24</f>
        <v>Operario de producción Línea Lomos</v>
      </c>
      <c r="D24" s="62" t="str">
        <f>Inicial!D24</f>
        <v xml:space="preserve">Rayado de lomo tecla </v>
      </c>
      <c r="E24" s="60" t="str">
        <f>IF(Inicial!J24="SI",Inicial!E24,"N/A")</f>
        <v>Am: 07:00 a 16:00 - PM: 17:15 a 02:45</v>
      </c>
      <c r="F24" s="61" t="str">
        <f>IF(Inicial!J24="SI",Inicial!F24,"N/A")</f>
        <v>0.5</v>
      </c>
      <c r="G24" s="61">
        <f>IF(Inicial!J24="SI",Inicial!G24,"N/A")</f>
        <v>4.5</v>
      </c>
      <c r="H24" s="61">
        <f>IF(Inicial!J24="SI",Inicial!H24,"N/A")</f>
        <v>57</v>
      </c>
      <c r="I24" s="63">
        <f>IF(Inicial!J24="SI",Inicial!I24,"N/A")</f>
        <v>0</v>
      </c>
      <c r="J24" s="52" t="s">
        <v>16</v>
      </c>
      <c r="K24" s="6" t="s">
        <v>346</v>
      </c>
      <c r="L24" s="6" t="s">
        <v>346</v>
      </c>
      <c r="M24" s="6" t="s">
        <v>346</v>
      </c>
      <c r="N24" s="6" t="s">
        <v>346</v>
      </c>
      <c r="O24" s="6" t="s">
        <v>346</v>
      </c>
      <c r="P24" s="6" t="str">
        <f t="shared" si="0"/>
        <v>No Aceptable</v>
      </c>
      <c r="Q24" s="6" t="s">
        <v>16</v>
      </c>
      <c r="R24" s="6" t="s">
        <v>16</v>
      </c>
      <c r="S24" s="6" t="s">
        <v>16</v>
      </c>
      <c r="T24" s="6" t="s">
        <v>16</v>
      </c>
      <c r="U24" s="6" t="s">
        <v>16</v>
      </c>
      <c r="V24" s="6" t="s">
        <v>16</v>
      </c>
      <c r="W24" s="6" t="str">
        <f t="shared" si="1"/>
        <v>No Critico</v>
      </c>
    </row>
    <row r="25" spans="1:23" ht="38.25">
      <c r="A25" s="60">
        <f>Inicial!A25</f>
        <v>23</v>
      </c>
      <c r="B25" s="61" t="str">
        <f>Inicial!B25</f>
        <v>Desposte</v>
      </c>
      <c r="C25" s="61" t="str">
        <f>Inicial!C25</f>
        <v>Operario de producción Línea Lomos</v>
      </c>
      <c r="D25" s="62" t="str">
        <f>Inicial!D25</f>
        <v>Rayado de lomo</v>
      </c>
      <c r="E25" s="60" t="str">
        <f>IF(Inicial!J25="SI",Inicial!E25,"N/A")</f>
        <v>Am: 07:00 a 16:00 - PM: 17:15 a 02:45</v>
      </c>
      <c r="F25" s="61" t="str">
        <f>IF(Inicial!J25="SI",Inicial!F25,"N/A")</f>
        <v>0.5</v>
      </c>
      <c r="G25" s="61">
        <f>IF(Inicial!J25="SI",Inicial!G25,"N/A")</f>
        <v>4.5</v>
      </c>
      <c r="H25" s="61">
        <f>IF(Inicial!J25="SI",Inicial!H25,"N/A")</f>
        <v>57</v>
      </c>
      <c r="I25" s="63">
        <f>IF(Inicial!J25="SI",Inicial!I25,"N/A")</f>
        <v>0</v>
      </c>
      <c r="J25" s="52" t="s">
        <v>16</v>
      </c>
      <c r="K25" s="6" t="s">
        <v>346</v>
      </c>
      <c r="L25" s="6" t="s">
        <v>346</v>
      </c>
      <c r="M25" s="6" t="s">
        <v>346</v>
      </c>
      <c r="N25" s="6" t="s">
        <v>346</v>
      </c>
      <c r="O25" s="6" t="s">
        <v>346</v>
      </c>
      <c r="P25" s="6" t="str">
        <f t="shared" si="0"/>
        <v>No Aceptable</v>
      </c>
      <c r="Q25" s="6" t="s">
        <v>16</v>
      </c>
      <c r="R25" s="6" t="s">
        <v>16</v>
      </c>
      <c r="S25" s="6" t="s">
        <v>16</v>
      </c>
      <c r="T25" s="6" t="s">
        <v>16</v>
      </c>
      <c r="U25" s="6" t="s">
        <v>16</v>
      </c>
      <c r="V25" s="6" t="s">
        <v>16</v>
      </c>
      <c r="W25" s="6" t="str">
        <f t="shared" si="1"/>
        <v>No Critico</v>
      </c>
    </row>
    <row r="26" spans="1:23" ht="38.25">
      <c r="A26" s="60">
        <f>Inicial!A26</f>
        <v>24</v>
      </c>
      <c r="B26" s="61" t="str">
        <f>Inicial!B26</f>
        <v>Desposte</v>
      </c>
      <c r="C26" s="61" t="str">
        <f>Inicial!C26</f>
        <v>Operario de producción Línea Lomos</v>
      </c>
      <c r="D26" s="62" t="str">
        <f>Inicial!D26</f>
        <v>Operador de Desprendedora de Lomo</v>
      </c>
      <c r="E26" s="60" t="str">
        <f>IF(Inicial!J26="SI",Inicial!E26,"N/A")</f>
        <v>Am: 07:00 a 16:00 - PM: 17:15 a 02:45</v>
      </c>
      <c r="F26" s="61" t="str">
        <f>IF(Inicial!J26="SI",Inicial!F26,"N/A")</f>
        <v>0.5</v>
      </c>
      <c r="G26" s="61">
        <f>IF(Inicial!J26="SI",Inicial!G26,"N/A")</f>
        <v>4.5</v>
      </c>
      <c r="H26" s="61">
        <f>IF(Inicial!J26="SI",Inicial!H26,"N/A")</f>
        <v>57</v>
      </c>
      <c r="I26" s="63">
        <f>IF(Inicial!J26="SI",Inicial!I26,"N/A")</f>
        <v>0</v>
      </c>
      <c r="J26" s="52" t="s">
        <v>16</v>
      </c>
      <c r="K26" s="6" t="s">
        <v>346</v>
      </c>
      <c r="L26" s="6" t="s">
        <v>346</v>
      </c>
      <c r="M26" s="6" t="s">
        <v>346</v>
      </c>
      <c r="N26" s="6" t="s">
        <v>346</v>
      </c>
      <c r="O26" s="6" t="s">
        <v>346</v>
      </c>
      <c r="P26" s="6" t="str">
        <f t="shared" si="0"/>
        <v>No Aceptable</v>
      </c>
      <c r="Q26" s="6" t="s">
        <v>16</v>
      </c>
      <c r="R26" s="6" t="s">
        <v>16</v>
      </c>
      <c r="S26" s="6" t="s">
        <v>16</v>
      </c>
      <c r="T26" s="6" t="s">
        <v>16</v>
      </c>
      <c r="U26" s="6" t="s">
        <v>16</v>
      </c>
      <c r="V26" s="6" t="s">
        <v>16</v>
      </c>
      <c r="W26" s="6" t="str">
        <f t="shared" si="1"/>
        <v>No Critico</v>
      </c>
    </row>
    <row r="27" spans="1:23" ht="38.25">
      <c r="A27" s="60">
        <f>Inicial!A27</f>
        <v>25</v>
      </c>
      <c r="B27" s="61" t="str">
        <f>Inicial!B27</f>
        <v>Desposte</v>
      </c>
      <c r="C27" s="61" t="str">
        <f>Inicial!C27</f>
        <v>Operario de producción Línea Lomos</v>
      </c>
      <c r="D27" s="62" t="str">
        <f>Inicial!D27</f>
        <v>Prolijado de lomo tocino</v>
      </c>
      <c r="E27" s="60" t="str">
        <f>IF(Inicial!J27="SI",Inicial!E27,"N/A")</f>
        <v>Am: 07:00 a 16:00 - PM: 17:15 a 02:45</v>
      </c>
      <c r="F27" s="61" t="str">
        <f>IF(Inicial!J27="SI",Inicial!F27,"N/A")</f>
        <v>0.5</v>
      </c>
      <c r="G27" s="61">
        <f>IF(Inicial!J27="SI",Inicial!G27,"N/A")</f>
        <v>4.5</v>
      </c>
      <c r="H27" s="61">
        <f>IF(Inicial!J27="SI",Inicial!H27,"N/A")</f>
        <v>57</v>
      </c>
      <c r="I27" s="63">
        <f>IF(Inicial!J27="SI",Inicial!I27,"N/A")</f>
        <v>0</v>
      </c>
      <c r="J27" s="52" t="s">
        <v>16</v>
      </c>
      <c r="K27" s="6" t="s">
        <v>346</v>
      </c>
      <c r="L27" s="6" t="s">
        <v>346</v>
      </c>
      <c r="M27" s="6" t="s">
        <v>346</v>
      </c>
      <c r="N27" s="6" t="s">
        <v>346</v>
      </c>
      <c r="O27" s="6" t="s">
        <v>346</v>
      </c>
      <c r="P27" s="6" t="str">
        <f t="shared" si="0"/>
        <v>No Aceptable</v>
      </c>
      <c r="Q27" s="6" t="s">
        <v>16</v>
      </c>
      <c r="R27" s="6" t="s">
        <v>16</v>
      </c>
      <c r="S27" s="6" t="s">
        <v>16</v>
      </c>
      <c r="T27" s="6" t="s">
        <v>16</v>
      </c>
      <c r="U27" s="6" t="s">
        <v>16</v>
      </c>
      <c r="V27" s="6" t="s">
        <v>16</v>
      </c>
      <c r="W27" s="6" t="str">
        <f t="shared" si="1"/>
        <v>No Critico</v>
      </c>
    </row>
    <row r="28" spans="1:23" ht="38.25">
      <c r="A28" s="60">
        <f>Inicial!A28</f>
        <v>26</v>
      </c>
      <c r="B28" s="61" t="str">
        <f>Inicial!B28</f>
        <v>Desposte</v>
      </c>
      <c r="C28" s="61" t="str">
        <f>Inicial!C28</f>
        <v>Operario de producción Línea Lomos</v>
      </c>
      <c r="D28" s="62" t="str">
        <f>Inicial!D28</f>
        <v>Cuadrado de lomo tecla</v>
      </c>
      <c r="E28" s="60" t="str">
        <f>IF(Inicial!J28="SI",Inicial!E28,"N/A")</f>
        <v>Am: 07:00 a 16:00 - PM: 17:15 a 02:45</v>
      </c>
      <c r="F28" s="61" t="str">
        <f>IF(Inicial!J28="SI",Inicial!F28,"N/A")</f>
        <v>0.5</v>
      </c>
      <c r="G28" s="61">
        <f>IF(Inicial!J28="SI",Inicial!G28,"N/A")</f>
        <v>4.5</v>
      </c>
      <c r="H28" s="61">
        <f>IF(Inicial!J28="SI",Inicial!H28,"N/A")</f>
        <v>57</v>
      </c>
      <c r="I28" s="63">
        <f>IF(Inicial!J28="SI",Inicial!I28,"N/A")</f>
        <v>0</v>
      </c>
      <c r="J28" s="52" t="s">
        <v>16</v>
      </c>
      <c r="K28" s="6" t="s">
        <v>346</v>
      </c>
      <c r="L28" s="6" t="s">
        <v>346</v>
      </c>
      <c r="M28" s="6" t="s">
        <v>346</v>
      </c>
      <c r="N28" s="6" t="s">
        <v>346</v>
      </c>
      <c r="O28" s="6" t="s">
        <v>346</v>
      </c>
      <c r="P28" s="6" t="str">
        <f t="shared" si="0"/>
        <v>No Aceptable</v>
      </c>
      <c r="Q28" s="6" t="s">
        <v>16</v>
      </c>
      <c r="R28" s="6" t="s">
        <v>16</v>
      </c>
      <c r="S28" s="6" t="s">
        <v>16</v>
      </c>
      <c r="T28" s="6" t="s">
        <v>16</v>
      </c>
      <c r="U28" s="6" t="s">
        <v>16</v>
      </c>
      <c r="V28" s="6" t="s">
        <v>16</v>
      </c>
      <c r="W28" s="6" t="str">
        <f t="shared" si="1"/>
        <v>No Critico</v>
      </c>
    </row>
    <row r="29" spans="1:23" ht="38.25">
      <c r="A29" s="60">
        <f>Inicial!A29</f>
        <v>27</v>
      </c>
      <c r="B29" s="61" t="str">
        <f>Inicial!B29</f>
        <v>Desposte</v>
      </c>
      <c r="C29" s="61" t="str">
        <f>Inicial!C29</f>
        <v>Operario de producción Línea Lomos</v>
      </c>
      <c r="D29" s="62" t="str">
        <f>Inicial!D29</f>
        <v>Distribuidor de lomos</v>
      </c>
      <c r="E29" s="60" t="str">
        <f>IF(Inicial!J29="SI",Inicial!E29,"N/A")</f>
        <v>Am: 07:00 a 16:00 - PM: 17:15 a 02:45</v>
      </c>
      <c r="F29" s="61" t="str">
        <f>IF(Inicial!J29="SI",Inicial!F29,"N/A")</f>
        <v>0.5</v>
      </c>
      <c r="G29" s="61">
        <f>IF(Inicial!J29="SI",Inicial!G29,"N/A")</f>
        <v>4.5</v>
      </c>
      <c r="H29" s="61">
        <f>IF(Inicial!J29="SI",Inicial!H29,"N/A")</f>
        <v>57</v>
      </c>
      <c r="I29" s="63">
        <f>IF(Inicial!J29="SI",Inicial!I29,"N/A")</f>
        <v>0</v>
      </c>
      <c r="J29" s="52" t="s">
        <v>16</v>
      </c>
      <c r="K29" s="6" t="s">
        <v>346</v>
      </c>
      <c r="L29" s="6" t="s">
        <v>346</v>
      </c>
      <c r="M29" s="6" t="s">
        <v>346</v>
      </c>
      <c r="N29" s="6" t="s">
        <v>346</v>
      </c>
      <c r="O29" s="6" t="s">
        <v>346</v>
      </c>
      <c r="P29" s="6" t="str">
        <f t="shared" si="0"/>
        <v>No Aceptable</v>
      </c>
      <c r="Q29" s="6" t="s">
        <v>16</v>
      </c>
      <c r="R29" s="6" t="s">
        <v>16</v>
      </c>
      <c r="S29" s="6" t="s">
        <v>16</v>
      </c>
      <c r="T29" s="6" t="s">
        <v>16</v>
      </c>
      <c r="U29" s="6" t="s">
        <v>16</v>
      </c>
      <c r="V29" s="6" t="s">
        <v>16</v>
      </c>
      <c r="W29" s="6" t="str">
        <f t="shared" si="1"/>
        <v>No Critico</v>
      </c>
    </row>
    <row r="30" spans="1:23" ht="38.25">
      <c r="A30" s="60">
        <f>Inicial!A30</f>
        <v>28</v>
      </c>
      <c r="B30" s="61" t="str">
        <f>Inicial!B30</f>
        <v>Desposte</v>
      </c>
      <c r="C30" s="61" t="str">
        <f>Inicial!C30</f>
        <v>Operario de producción Línea Lomos</v>
      </c>
      <c r="D30" s="62" t="str">
        <f>Inicial!D30</f>
        <v>Extraccion de cordon de lomo</v>
      </c>
      <c r="E30" s="60" t="str">
        <f>IF(Inicial!J30="SI",Inicial!E30,"N/A")</f>
        <v>Am: 07:00 a 16:00 - PM: 17:15 a 02:45</v>
      </c>
      <c r="F30" s="61" t="str">
        <f>IF(Inicial!J30="SI",Inicial!F30,"N/A")</f>
        <v>0.5</v>
      </c>
      <c r="G30" s="61">
        <f>IF(Inicial!J30="SI",Inicial!G30,"N/A")</f>
        <v>4.5</v>
      </c>
      <c r="H30" s="61">
        <f>IF(Inicial!J30="SI",Inicial!H30,"N/A")</f>
        <v>57</v>
      </c>
      <c r="I30" s="63">
        <f>IF(Inicial!J30="SI",Inicial!I30,"N/A")</f>
        <v>0</v>
      </c>
      <c r="J30" s="52" t="s">
        <v>16</v>
      </c>
      <c r="K30" s="6" t="s">
        <v>346</v>
      </c>
      <c r="L30" s="6" t="s">
        <v>346</v>
      </c>
      <c r="M30" s="6" t="s">
        <v>346</v>
      </c>
      <c r="N30" s="6" t="s">
        <v>346</v>
      </c>
      <c r="O30" s="6" t="s">
        <v>346</v>
      </c>
      <c r="P30" s="6" t="str">
        <f t="shared" si="0"/>
        <v>No Aceptable</v>
      </c>
      <c r="Q30" s="6" t="s">
        <v>16</v>
      </c>
      <c r="R30" s="6" t="s">
        <v>16</v>
      </c>
      <c r="S30" s="6" t="s">
        <v>16</v>
      </c>
      <c r="T30" s="6" t="s">
        <v>16</v>
      </c>
      <c r="U30" s="6" t="s">
        <v>16</v>
      </c>
      <c r="V30" s="6" t="s">
        <v>16</v>
      </c>
      <c r="W30" s="6" t="str">
        <f t="shared" si="1"/>
        <v>No Critico</v>
      </c>
    </row>
    <row r="31" spans="1:23" ht="38.25">
      <c r="A31" s="60">
        <f>Inicial!A31</f>
        <v>29</v>
      </c>
      <c r="B31" s="61" t="str">
        <f>Inicial!B31</f>
        <v>Desposte</v>
      </c>
      <c r="C31" s="61" t="str">
        <f>Inicial!C31</f>
        <v>Operario de producción Línea Lomos</v>
      </c>
      <c r="D31" s="62" t="str">
        <f>Inicial!D31</f>
        <v>Prolijado de lomo con cuchillo circular</v>
      </c>
      <c r="E31" s="60" t="str">
        <f>IF(Inicial!J31="SI",Inicial!E31,"N/A")</f>
        <v>Am: 07:00 a 16:00 - PM: 17:15 a 02:45</v>
      </c>
      <c r="F31" s="61" t="str">
        <f>IF(Inicial!J31="SI",Inicial!F31,"N/A")</f>
        <v>0.5</v>
      </c>
      <c r="G31" s="61">
        <f>IF(Inicial!J31="SI",Inicial!G31,"N/A")</f>
        <v>4.5</v>
      </c>
      <c r="H31" s="61">
        <f>IF(Inicial!J31="SI",Inicial!H31,"N/A")</f>
        <v>57</v>
      </c>
      <c r="I31" s="63">
        <f>IF(Inicial!J31="SI",Inicial!I31,"N/A")</f>
        <v>0</v>
      </c>
      <c r="J31" s="52" t="s">
        <v>16</v>
      </c>
      <c r="K31" s="6" t="s">
        <v>346</v>
      </c>
      <c r="L31" s="6" t="s">
        <v>346</v>
      </c>
      <c r="M31" s="6" t="s">
        <v>346</v>
      </c>
      <c r="N31" s="6" t="s">
        <v>346</v>
      </c>
      <c r="O31" s="6" t="s">
        <v>346</v>
      </c>
      <c r="P31" s="6" t="str">
        <f t="shared" si="0"/>
        <v>No Aceptable</v>
      </c>
      <c r="Q31" s="6" t="s">
        <v>16</v>
      </c>
      <c r="R31" s="6" t="s">
        <v>16</v>
      </c>
      <c r="S31" s="6" t="s">
        <v>16</v>
      </c>
      <c r="T31" s="6" t="s">
        <v>16</v>
      </c>
      <c r="U31" s="6" t="s">
        <v>16</v>
      </c>
      <c r="V31" s="6" t="s">
        <v>16</v>
      </c>
      <c r="W31" s="6" t="str">
        <f t="shared" si="1"/>
        <v>No Critico</v>
      </c>
    </row>
    <row r="32" spans="1:23" ht="38.25">
      <c r="A32" s="60">
        <f>Inicial!A32</f>
        <v>30</v>
      </c>
      <c r="B32" s="61" t="str">
        <f>Inicial!B32</f>
        <v>Desposte</v>
      </c>
      <c r="C32" s="61" t="str">
        <f>Inicial!C32</f>
        <v>Operario de producción Línea Lomos</v>
      </c>
      <c r="D32" s="62" t="str">
        <f>Inicial!D32</f>
        <v>Cuadrado de lomo</v>
      </c>
      <c r="E32" s="60" t="str">
        <f>IF(Inicial!J32="SI",Inicial!E32,"N/A")</f>
        <v>Am: 07:00 a 16:00 - PM: 17:15 a 02:45</v>
      </c>
      <c r="F32" s="61" t="str">
        <f>IF(Inicial!J32="SI",Inicial!F32,"N/A")</f>
        <v>0.5</v>
      </c>
      <c r="G32" s="61">
        <f>IF(Inicial!J32="SI",Inicial!G32,"N/A")</f>
        <v>4.5</v>
      </c>
      <c r="H32" s="61">
        <f>IF(Inicial!J32="SI",Inicial!H32,"N/A")</f>
        <v>57</v>
      </c>
      <c r="I32" s="63">
        <f>IF(Inicial!J32="SI",Inicial!I32,"N/A")</f>
        <v>0</v>
      </c>
      <c r="J32" s="52" t="s">
        <v>16</v>
      </c>
      <c r="K32" s="6" t="s">
        <v>346</v>
      </c>
      <c r="L32" s="6" t="s">
        <v>346</v>
      </c>
      <c r="M32" s="6" t="s">
        <v>346</v>
      </c>
      <c r="N32" s="6" t="s">
        <v>346</v>
      </c>
      <c r="O32" s="6" t="s">
        <v>346</v>
      </c>
      <c r="P32" s="6" t="str">
        <f t="shared" si="0"/>
        <v>No Aceptable</v>
      </c>
      <c r="Q32" s="6" t="s">
        <v>16</v>
      </c>
      <c r="R32" s="6" t="s">
        <v>16</v>
      </c>
      <c r="S32" s="6" t="s">
        <v>16</v>
      </c>
      <c r="T32" s="6" t="s">
        <v>16</v>
      </c>
      <c r="U32" s="6" t="s">
        <v>16</v>
      </c>
      <c r="V32" s="6" t="s">
        <v>16</v>
      </c>
      <c r="W32" s="6" t="str">
        <f t="shared" si="1"/>
        <v>No Critico</v>
      </c>
    </row>
    <row r="33" spans="1:23" ht="38.25">
      <c r="A33" s="60">
        <f>Inicial!A33</f>
        <v>31</v>
      </c>
      <c r="B33" s="61" t="str">
        <f>Inicial!B33</f>
        <v>Desposte</v>
      </c>
      <c r="C33" s="61" t="str">
        <f>Inicial!C33</f>
        <v>Operario de producción Línea Lomos</v>
      </c>
      <c r="D33" s="62" t="str">
        <f>Inicial!D33</f>
        <v>Operador de equipo Freund</v>
      </c>
      <c r="E33" s="60" t="str">
        <f>IF(Inicial!J33="SI",Inicial!E33,"N/A")</f>
        <v>Am: 07:00 a 16:00 - PM: 17:15 a 02:45</v>
      </c>
      <c r="F33" s="61" t="str">
        <f>IF(Inicial!J33="SI",Inicial!F33,"N/A")</f>
        <v>0.5</v>
      </c>
      <c r="G33" s="61">
        <f>IF(Inicial!J33="SI",Inicial!G33,"N/A")</f>
        <v>4.5</v>
      </c>
      <c r="H33" s="61">
        <f>IF(Inicial!J33="SI",Inicial!H33,"N/A")</f>
        <v>57</v>
      </c>
      <c r="I33" s="63">
        <f>IF(Inicial!J33="SI",Inicial!I33,"N/A")</f>
        <v>0</v>
      </c>
      <c r="J33" s="52" t="s">
        <v>16</v>
      </c>
      <c r="K33" s="6" t="s">
        <v>346</v>
      </c>
      <c r="L33" s="6" t="s">
        <v>346</v>
      </c>
      <c r="M33" s="6" t="s">
        <v>346</v>
      </c>
      <c r="N33" s="6" t="s">
        <v>346</v>
      </c>
      <c r="O33" s="6" t="s">
        <v>346</v>
      </c>
      <c r="P33" s="6" t="str">
        <f t="shared" si="0"/>
        <v>No Aceptable</v>
      </c>
      <c r="Q33" s="6" t="s">
        <v>16</v>
      </c>
      <c r="R33" s="6" t="s">
        <v>16</v>
      </c>
      <c r="S33" s="6" t="s">
        <v>16</v>
      </c>
      <c r="T33" s="6" t="s">
        <v>16</v>
      </c>
      <c r="U33" s="6" t="s">
        <v>16</v>
      </c>
      <c r="V33" s="6" t="s">
        <v>16</v>
      </c>
      <c r="W33" s="6" t="str">
        <f t="shared" si="1"/>
        <v>No Critico</v>
      </c>
    </row>
    <row r="34" spans="1:23" ht="38.25">
      <c r="A34" s="60">
        <f>Inicial!A34</f>
        <v>32</v>
      </c>
      <c r="B34" s="61" t="str">
        <f>Inicial!B34</f>
        <v>Desposte</v>
      </c>
      <c r="C34" s="61" t="str">
        <f>Inicial!C34</f>
        <v>Operario de producción Línea Lomos</v>
      </c>
      <c r="D34" s="62" t="str">
        <f>Inicial!D34</f>
        <v>Operador de Tira Hueso</v>
      </c>
      <c r="E34" s="60" t="str">
        <f>IF(Inicial!J34="SI",Inicial!E34,"N/A")</f>
        <v>Am: 07:00 a 16:00 - PM: 17:15 a 02:45</v>
      </c>
      <c r="F34" s="61" t="str">
        <f>IF(Inicial!J34="SI",Inicial!F34,"N/A")</f>
        <v>0.5</v>
      </c>
      <c r="G34" s="61">
        <f>IF(Inicial!J34="SI",Inicial!G34,"N/A")</f>
        <v>4.5</v>
      </c>
      <c r="H34" s="61">
        <f>IF(Inicial!J34="SI",Inicial!H34,"N/A")</f>
        <v>57</v>
      </c>
      <c r="I34" s="63">
        <f>IF(Inicial!J34="SI",Inicial!I34,"N/A")</f>
        <v>0</v>
      </c>
      <c r="J34" s="52" t="s">
        <v>16</v>
      </c>
      <c r="K34" s="6" t="s">
        <v>346</v>
      </c>
      <c r="L34" s="6" t="s">
        <v>346</v>
      </c>
      <c r="M34" s="6" t="s">
        <v>346</v>
      </c>
      <c r="N34" s="6" t="s">
        <v>346</v>
      </c>
      <c r="O34" s="6" t="s">
        <v>346</v>
      </c>
      <c r="P34" s="6" t="str">
        <f t="shared" si="0"/>
        <v>No Aceptable</v>
      </c>
      <c r="Q34" s="6" t="s">
        <v>16</v>
      </c>
      <c r="R34" s="6" t="s">
        <v>16</v>
      </c>
      <c r="S34" s="6" t="s">
        <v>16</v>
      </c>
      <c r="T34" s="6" t="s">
        <v>16</v>
      </c>
      <c r="U34" s="6" t="s">
        <v>16</v>
      </c>
      <c r="V34" s="6" t="s">
        <v>16</v>
      </c>
      <c r="W34" s="6" t="str">
        <f t="shared" si="1"/>
        <v>No Critico</v>
      </c>
    </row>
    <row r="35" spans="1:23" ht="38.25">
      <c r="A35" s="60">
        <f>Inicial!A35</f>
        <v>33</v>
      </c>
      <c r="B35" s="61" t="str">
        <f>Inicial!B35</f>
        <v>Desposte</v>
      </c>
      <c r="C35" s="61" t="str">
        <f>Inicial!C35</f>
        <v>Operario de producción Línea Lomos</v>
      </c>
      <c r="D35" s="62" t="str">
        <f>Inicial!D35</f>
        <v>Operador de MA 100</v>
      </c>
      <c r="E35" s="60" t="str">
        <f>IF(Inicial!J35="SI",Inicial!E35,"N/A")</f>
        <v>Am: 07:00 a 16:00 - PM: 17:15 a 02:45</v>
      </c>
      <c r="F35" s="61" t="str">
        <f>IF(Inicial!J35="SI",Inicial!F35,"N/A")</f>
        <v>0.5</v>
      </c>
      <c r="G35" s="61">
        <f>IF(Inicial!J35="SI",Inicial!G35,"N/A")</f>
        <v>4.5</v>
      </c>
      <c r="H35" s="61">
        <f>IF(Inicial!J35="SI",Inicial!H35,"N/A")</f>
        <v>57</v>
      </c>
      <c r="I35" s="63">
        <f>IF(Inicial!J35="SI",Inicial!I35,"N/A")</f>
        <v>29</v>
      </c>
      <c r="J35" s="52" t="s">
        <v>16</v>
      </c>
      <c r="K35" s="6" t="s">
        <v>346</v>
      </c>
      <c r="L35" s="6" t="s">
        <v>346</v>
      </c>
      <c r="M35" s="6" t="s">
        <v>346</v>
      </c>
      <c r="N35" s="6" t="s">
        <v>346</v>
      </c>
      <c r="O35" s="6" t="s">
        <v>346</v>
      </c>
      <c r="P35" s="6" t="str">
        <f t="shared" si="0"/>
        <v>No Aceptable</v>
      </c>
      <c r="Q35" s="6" t="s">
        <v>16</v>
      </c>
      <c r="R35" s="6" t="s">
        <v>16</v>
      </c>
      <c r="S35" s="6" t="s">
        <v>16</v>
      </c>
      <c r="T35" s="6" t="s">
        <v>16</v>
      </c>
      <c r="U35" s="6" t="s">
        <v>16</v>
      </c>
      <c r="V35" s="6" t="s">
        <v>16</v>
      </c>
      <c r="W35" s="6" t="str">
        <f t="shared" si="1"/>
        <v>No Critico</v>
      </c>
    </row>
    <row r="36" spans="1:23" ht="38.25">
      <c r="A36" s="60">
        <f>Inicial!A36</f>
        <v>34</v>
      </c>
      <c r="B36" s="61" t="str">
        <f>Inicial!B36</f>
        <v>Desposte</v>
      </c>
      <c r="C36" s="61" t="str">
        <f>Inicial!C36</f>
        <v>Operario de producción Línea Lomos</v>
      </c>
      <c r="D36" s="62" t="str">
        <f>Inicial!D36</f>
        <v>Separación de resto tira hueso</v>
      </c>
      <c r="E36" s="60" t="str">
        <f>IF(Inicial!J36="SI",Inicial!E36,"N/A")</f>
        <v>Am: 07:00 a 16:00 - PM: 17:15 a 02:45</v>
      </c>
      <c r="F36" s="61" t="str">
        <f>IF(Inicial!J36="SI",Inicial!F36,"N/A")</f>
        <v>0.5</v>
      </c>
      <c r="G36" s="61">
        <f>IF(Inicial!J36="SI",Inicial!G36,"N/A")</f>
        <v>4.5</v>
      </c>
      <c r="H36" s="61">
        <f>IF(Inicial!J36="SI",Inicial!H36,"N/A")</f>
        <v>57</v>
      </c>
      <c r="I36" s="63">
        <f>IF(Inicial!J36="SI",Inicial!I36,"N/A")</f>
        <v>29</v>
      </c>
      <c r="J36" s="52" t="s">
        <v>16</v>
      </c>
      <c r="K36" s="6" t="s">
        <v>346</v>
      </c>
      <c r="L36" s="6" t="s">
        <v>346</v>
      </c>
      <c r="M36" s="6" t="s">
        <v>346</v>
      </c>
      <c r="N36" s="6" t="s">
        <v>346</v>
      </c>
      <c r="O36" s="6" t="s">
        <v>346</v>
      </c>
      <c r="P36" s="6" t="str">
        <f t="shared" si="0"/>
        <v>No Aceptable</v>
      </c>
      <c r="Q36" s="6" t="s">
        <v>16</v>
      </c>
      <c r="R36" s="6" t="s">
        <v>16</v>
      </c>
      <c r="S36" s="6" t="s">
        <v>16</v>
      </c>
      <c r="T36" s="6" t="s">
        <v>16</v>
      </c>
      <c r="U36" s="6" t="s">
        <v>16</v>
      </c>
      <c r="V36" s="6" t="s">
        <v>16</v>
      </c>
      <c r="W36" s="6" t="str">
        <f t="shared" si="1"/>
        <v>No Critico</v>
      </c>
    </row>
    <row r="37" spans="1:23" ht="38.25">
      <c r="A37" s="60">
        <f>Inicial!A37</f>
        <v>35</v>
      </c>
      <c r="B37" s="61" t="str">
        <f>Inicial!B37</f>
        <v>Desposte</v>
      </c>
      <c r="C37" s="61" t="str">
        <f>Inicial!C37</f>
        <v>Operario de producción Línea Lomos</v>
      </c>
      <c r="D37" s="62" t="str">
        <f>Inicial!D37</f>
        <v>Prolijado de tailen</v>
      </c>
      <c r="E37" s="60" t="str">
        <f>IF(Inicial!J37="SI",Inicial!E37,"N/A")</f>
        <v>Am: 07:00 a 16:00 - PM: 17:15 a 02:45</v>
      </c>
      <c r="F37" s="61" t="str">
        <f>IF(Inicial!J37="SI",Inicial!F37,"N/A")</f>
        <v>0.5</v>
      </c>
      <c r="G37" s="61">
        <f>IF(Inicial!J37="SI",Inicial!G37,"N/A")</f>
        <v>4.5</v>
      </c>
      <c r="H37" s="61">
        <f>IF(Inicial!J37="SI",Inicial!H37,"N/A")</f>
        <v>0</v>
      </c>
      <c r="I37" s="63">
        <f>IF(Inicial!J37="SI",Inicial!I37,"N/A")</f>
        <v>29</v>
      </c>
      <c r="J37" s="52" t="s">
        <v>16</v>
      </c>
      <c r="K37" s="6" t="s">
        <v>346</v>
      </c>
      <c r="L37" s="6" t="s">
        <v>346</v>
      </c>
      <c r="M37" s="6" t="s">
        <v>346</v>
      </c>
      <c r="N37" s="6" t="s">
        <v>346</v>
      </c>
      <c r="O37" s="6" t="s">
        <v>346</v>
      </c>
      <c r="P37" s="6" t="str">
        <f t="shared" si="0"/>
        <v>No Aceptable</v>
      </c>
      <c r="Q37" s="6" t="s">
        <v>16</v>
      </c>
      <c r="R37" s="6" t="s">
        <v>16</v>
      </c>
      <c r="S37" s="6" t="s">
        <v>16</v>
      </c>
      <c r="T37" s="6" t="s">
        <v>16</v>
      </c>
      <c r="U37" s="6" t="s">
        <v>16</v>
      </c>
      <c r="V37" s="6" t="s">
        <v>16</v>
      </c>
      <c r="W37" s="6" t="str">
        <f t="shared" si="1"/>
        <v>No Critico</v>
      </c>
    </row>
    <row r="38" spans="1:23" ht="38.25">
      <c r="A38" s="60">
        <f>Inicial!A38</f>
        <v>36</v>
      </c>
      <c r="B38" s="61" t="str">
        <f>Inicial!B38</f>
        <v>Desposte</v>
      </c>
      <c r="C38" s="61" t="str">
        <f>Inicial!C38</f>
        <v>Operario de producción Línea Lomos</v>
      </c>
      <c r="D38" s="62" t="str">
        <f>Inicial!D38</f>
        <v>Calibrado de tailen</v>
      </c>
      <c r="E38" s="60" t="str">
        <f>IF(Inicial!J38="SI",Inicial!E38,"N/A")</f>
        <v>Am: 07:00 a 16:00 - PM: 17:15 a 02:45</v>
      </c>
      <c r="F38" s="61" t="str">
        <f>IF(Inicial!J38="SI",Inicial!F38,"N/A")</f>
        <v>0.5</v>
      </c>
      <c r="G38" s="61">
        <f>IF(Inicial!J38="SI",Inicial!G38,"N/A")</f>
        <v>4.5</v>
      </c>
      <c r="H38" s="61">
        <f>IF(Inicial!J38="SI",Inicial!H38,"N/A")</f>
        <v>0</v>
      </c>
      <c r="I38" s="63">
        <f>IF(Inicial!J38="SI",Inicial!I38,"N/A")</f>
        <v>29</v>
      </c>
      <c r="J38" s="52" t="s">
        <v>16</v>
      </c>
      <c r="K38" s="6" t="s">
        <v>346</v>
      </c>
      <c r="L38" s="6" t="s">
        <v>346</v>
      </c>
      <c r="M38" s="6" t="s">
        <v>346</v>
      </c>
      <c r="N38" s="6" t="s">
        <v>346</v>
      </c>
      <c r="O38" s="6" t="s">
        <v>346</v>
      </c>
      <c r="P38" s="6" t="str">
        <f t="shared" si="0"/>
        <v>No Aceptable</v>
      </c>
      <c r="Q38" s="6" t="s">
        <v>16</v>
      </c>
      <c r="R38" s="6" t="s">
        <v>16</v>
      </c>
      <c r="S38" s="6" t="s">
        <v>16</v>
      </c>
      <c r="T38" s="6" t="s">
        <v>16</v>
      </c>
      <c r="U38" s="6" t="s">
        <v>16</v>
      </c>
      <c r="V38" s="6" t="s">
        <v>16</v>
      </c>
      <c r="W38" s="6" t="str">
        <f t="shared" si="1"/>
        <v>No Critico</v>
      </c>
    </row>
    <row r="39" spans="1:23" ht="38.25">
      <c r="A39" s="60">
        <f>Inicial!A39</f>
        <v>37</v>
      </c>
      <c r="B39" s="61" t="str">
        <f>Inicial!B39</f>
        <v>Desposte</v>
      </c>
      <c r="C39" s="61" t="str">
        <f>Inicial!C39</f>
        <v>Operario de producción Línea Lomos</v>
      </c>
      <c r="D39" s="62" t="str">
        <f>Inicial!D39</f>
        <v>Calibrado de baby back ribs</v>
      </c>
      <c r="E39" s="60" t="str">
        <f>IF(Inicial!J39="SI",Inicial!E39,"N/A")</f>
        <v>Am: 07:00 a 16:00 - PM: 17:15 a 02:45</v>
      </c>
      <c r="F39" s="61" t="str">
        <f>IF(Inicial!J39="SI",Inicial!F39,"N/A")</f>
        <v>0.5</v>
      </c>
      <c r="G39" s="61">
        <f>IF(Inicial!J39="SI",Inicial!G39,"N/A")</f>
        <v>4.5</v>
      </c>
      <c r="H39" s="61">
        <f>IF(Inicial!J39="SI",Inicial!H39,"N/A")</f>
        <v>0</v>
      </c>
      <c r="I39" s="63">
        <f>IF(Inicial!J39="SI",Inicial!I39,"N/A")</f>
        <v>29</v>
      </c>
      <c r="J39" s="52" t="s">
        <v>16</v>
      </c>
      <c r="K39" s="6" t="s">
        <v>346</v>
      </c>
      <c r="L39" s="6" t="s">
        <v>346</v>
      </c>
      <c r="M39" s="6" t="s">
        <v>346</v>
      </c>
      <c r="N39" s="6" t="s">
        <v>346</v>
      </c>
      <c r="O39" s="6" t="s">
        <v>346</v>
      </c>
      <c r="P39" s="6" t="str">
        <f t="shared" si="0"/>
        <v>No Aceptable</v>
      </c>
      <c r="Q39" s="6" t="s">
        <v>16</v>
      </c>
      <c r="R39" s="6" t="s">
        <v>16</v>
      </c>
      <c r="S39" s="6" t="s">
        <v>16</v>
      </c>
      <c r="T39" s="6" t="s">
        <v>16</v>
      </c>
      <c r="U39" s="6" t="s">
        <v>16</v>
      </c>
      <c r="V39" s="6" t="s">
        <v>16</v>
      </c>
      <c r="W39" s="6" t="str">
        <f t="shared" si="1"/>
        <v>No Critico</v>
      </c>
    </row>
    <row r="40" spans="1:23" ht="38.25">
      <c r="A40" s="60">
        <f>Inicial!A40</f>
        <v>38</v>
      </c>
      <c r="B40" s="61" t="str">
        <f>Inicial!B40</f>
        <v>Desposte</v>
      </c>
      <c r="C40" s="61" t="str">
        <f>Inicial!C40</f>
        <v>Operario de producción Línea Lomos</v>
      </c>
      <c r="D40" s="62" t="str">
        <f>Inicial!D40</f>
        <v>Embalaje de baby back ribs</v>
      </c>
      <c r="E40" s="60" t="str">
        <f>IF(Inicial!J40="SI",Inicial!E40,"N/A")</f>
        <v>Am: 07:00 a 16:00 - PM: 17:15 a 02:45</v>
      </c>
      <c r="F40" s="61" t="str">
        <f>IF(Inicial!J40="SI",Inicial!F40,"N/A")</f>
        <v>0.5</v>
      </c>
      <c r="G40" s="61">
        <f>IF(Inicial!J40="SI",Inicial!G40,"N/A")</f>
        <v>4.5</v>
      </c>
      <c r="H40" s="61">
        <f>IF(Inicial!J40="SI",Inicial!H40,"N/A")</f>
        <v>0</v>
      </c>
      <c r="I40" s="63">
        <f>IF(Inicial!J40="SI",Inicial!I40,"N/A")</f>
        <v>29</v>
      </c>
      <c r="J40" s="52" t="s">
        <v>16</v>
      </c>
      <c r="K40" s="6" t="s">
        <v>346</v>
      </c>
      <c r="L40" s="6" t="s">
        <v>346</v>
      </c>
      <c r="M40" s="6" t="s">
        <v>346</v>
      </c>
      <c r="N40" s="6" t="s">
        <v>346</v>
      </c>
      <c r="O40" s="6" t="s">
        <v>346</v>
      </c>
      <c r="P40" s="6" t="str">
        <f t="shared" si="0"/>
        <v>No Aceptable</v>
      </c>
      <c r="Q40" s="6" t="s">
        <v>16</v>
      </c>
      <c r="R40" s="6" t="s">
        <v>16</v>
      </c>
      <c r="S40" s="6" t="s">
        <v>16</v>
      </c>
      <c r="T40" s="6" t="s">
        <v>16</v>
      </c>
      <c r="U40" s="6" t="s">
        <v>16</v>
      </c>
      <c r="V40" s="6" t="s">
        <v>16</v>
      </c>
      <c r="W40" s="6" t="str">
        <f t="shared" si="1"/>
        <v>No Critico</v>
      </c>
    </row>
    <row r="41" spans="1:23" ht="38.25" hidden="1">
      <c r="A41" s="60">
        <f>Inicial!A41</f>
        <v>39</v>
      </c>
      <c r="B41" s="61" t="str">
        <f>Inicial!B41</f>
        <v>Desposte</v>
      </c>
      <c r="C41" s="61" t="str">
        <f>Inicial!C41</f>
        <v>Operario de producción Línea Lomos</v>
      </c>
      <c r="D41" s="62" t="str">
        <f>Inicial!D41</f>
        <v>Estuche</v>
      </c>
      <c r="E41" s="60" t="str">
        <f>IF(Inicial!J41="SI",Inicial!E41,"N/A")</f>
        <v>N/A</v>
      </c>
      <c r="F41" s="61" t="str">
        <f>IF(Inicial!J41="SI",Inicial!F41,"N/A")</f>
        <v>N/A</v>
      </c>
      <c r="G41" s="61" t="str">
        <f>IF(Inicial!J41="SI",Inicial!G41,"N/A")</f>
        <v>N/A</v>
      </c>
      <c r="H41" s="61" t="str">
        <f>IF(Inicial!J41="SI",Inicial!H41,"N/A")</f>
        <v>N/A</v>
      </c>
      <c r="I41" s="63" t="str">
        <f>IF(Inicial!J41="SI",Inicial!I41,"N/A")</f>
        <v>N/A</v>
      </c>
      <c r="J41" s="52"/>
      <c r="K41" s="52"/>
      <c r="L41" s="52"/>
      <c r="M41" s="52"/>
      <c r="N41" s="52"/>
      <c r="O41" s="52"/>
      <c r="P41" s="6" t="str">
        <f t="shared" si="0"/>
        <v>Aceptable</v>
      </c>
      <c r="Q41" s="6"/>
      <c r="R41" s="6"/>
      <c r="S41" s="6"/>
      <c r="T41" s="6"/>
      <c r="U41" s="6"/>
      <c r="V41" s="6"/>
      <c r="W41" s="6" t="str">
        <f t="shared" si="1"/>
        <v>Critico</v>
      </c>
    </row>
    <row r="42" spans="1:23" ht="38.25" hidden="1">
      <c r="A42" s="60">
        <f>Inicial!A42</f>
        <v>40</v>
      </c>
      <c r="B42" s="61" t="str">
        <f>Inicial!B42</f>
        <v>Desposte</v>
      </c>
      <c r="C42" s="61" t="str">
        <f>Inicial!C42</f>
        <v>Operario de producción Línea Lomos</v>
      </c>
      <c r="D42" s="62" t="str">
        <f>Inicial!D42</f>
        <v>Pegar fechas</v>
      </c>
      <c r="E42" s="60" t="str">
        <f>IF(Inicial!J42="SI",Inicial!E42,"N/A")</f>
        <v>N/A</v>
      </c>
      <c r="F42" s="61" t="str">
        <f>IF(Inicial!J42="SI",Inicial!F42,"N/A")</f>
        <v>N/A</v>
      </c>
      <c r="G42" s="61" t="str">
        <f>IF(Inicial!J42="SI",Inicial!G42,"N/A")</f>
        <v>N/A</v>
      </c>
      <c r="H42" s="61" t="str">
        <f>IF(Inicial!J42="SI",Inicial!H42,"N/A")</f>
        <v>N/A</v>
      </c>
      <c r="I42" s="63" t="str">
        <f>IF(Inicial!J42="SI",Inicial!I42,"N/A")</f>
        <v>N/A</v>
      </c>
      <c r="J42" s="52"/>
      <c r="K42" s="52"/>
      <c r="L42" s="52"/>
      <c r="M42" s="52"/>
      <c r="N42" s="52"/>
      <c r="O42" s="52"/>
      <c r="P42" s="6" t="str">
        <f t="shared" si="0"/>
        <v>Aceptable</v>
      </c>
      <c r="Q42" s="6"/>
      <c r="R42" s="6"/>
      <c r="S42" s="6"/>
      <c r="T42" s="6"/>
      <c r="U42" s="6"/>
      <c r="V42" s="6"/>
      <c r="W42" s="6" t="str">
        <f t="shared" si="1"/>
        <v>Critico</v>
      </c>
    </row>
    <row r="43" spans="1:23" ht="38.25" hidden="1">
      <c r="A43" s="60">
        <f>Inicial!A43</f>
        <v>41</v>
      </c>
      <c r="B43" s="61" t="str">
        <f>Inicial!B43</f>
        <v>Desposte</v>
      </c>
      <c r="C43" s="61" t="str">
        <f>Inicial!C43</f>
        <v>Operario de producción Línea Lomos</v>
      </c>
      <c r="D43" s="62" t="str">
        <f>Inicial!D43</f>
        <v>Operador de equipo Selladora C-500</v>
      </c>
      <c r="E43" s="60" t="str">
        <f>IF(Inicial!J43="SI",Inicial!E43,"N/A")</f>
        <v>N/A</v>
      </c>
      <c r="F43" s="61" t="str">
        <f>IF(Inicial!J43="SI",Inicial!F43,"N/A")</f>
        <v>N/A</v>
      </c>
      <c r="G43" s="61" t="str">
        <f>IF(Inicial!J43="SI",Inicial!G43,"N/A")</f>
        <v>N/A</v>
      </c>
      <c r="H43" s="61" t="str">
        <f>IF(Inicial!J43="SI",Inicial!H43,"N/A")</f>
        <v>N/A</v>
      </c>
      <c r="I43" s="63" t="str">
        <f>IF(Inicial!J43="SI",Inicial!I43,"N/A")</f>
        <v>N/A</v>
      </c>
      <c r="J43" s="52"/>
      <c r="P43" s="6" t="str">
        <f t="shared" si="0"/>
        <v>Aceptable</v>
      </c>
      <c r="Q43" s="6"/>
      <c r="R43" s="6"/>
      <c r="S43" s="6"/>
      <c r="T43" s="6"/>
      <c r="U43" s="6"/>
      <c r="V43" s="6"/>
      <c r="W43" s="6" t="str">
        <f t="shared" si="1"/>
        <v>Critico</v>
      </c>
    </row>
    <row r="44" spans="1:23" ht="38.25">
      <c r="A44" s="60">
        <f>Inicial!A44</f>
        <v>42</v>
      </c>
      <c r="B44" s="61" t="str">
        <f>Inicial!B44</f>
        <v>Desposte</v>
      </c>
      <c r="C44" s="61" t="str">
        <f>Inicial!C44</f>
        <v>Operario de producción Línea Paletas</v>
      </c>
      <c r="D44" s="62" t="str">
        <f>Inicial!D44</f>
        <v>Despunte Axilar</v>
      </c>
      <c r="E44" s="60" t="str">
        <f>IF(Inicial!J44="SI",Inicial!E44,"N/A")</f>
        <v>Am: 07:00 a 16:00 - PM: 17:15 a 02:45</v>
      </c>
      <c r="F44" s="61" t="str">
        <f>IF(Inicial!J44="SI",Inicial!F44,"N/A")</f>
        <v>0.5</v>
      </c>
      <c r="G44" s="61">
        <f>IF(Inicial!J44="SI",Inicial!G44,"N/A")</f>
        <v>4.5</v>
      </c>
      <c r="H44" s="61">
        <f>IF(Inicial!J44="SI",Inicial!H44,"N/A")</f>
        <v>100</v>
      </c>
      <c r="I44" s="63">
        <f>IF(Inicial!J44="SI",Inicial!I44,"N/A")</f>
        <v>0</v>
      </c>
      <c r="J44" s="52" t="s">
        <v>16</v>
      </c>
      <c r="K44" s="6" t="s">
        <v>346</v>
      </c>
      <c r="L44" s="6" t="s">
        <v>346</v>
      </c>
      <c r="M44" s="6" t="s">
        <v>346</v>
      </c>
      <c r="N44" s="6" t="s">
        <v>346</v>
      </c>
      <c r="O44" s="6" t="s">
        <v>346</v>
      </c>
      <c r="P44" s="6" t="str">
        <f t="shared" si="0"/>
        <v>No Aceptable</v>
      </c>
      <c r="Q44" s="6" t="s">
        <v>16</v>
      </c>
      <c r="R44" s="6" t="s">
        <v>16</v>
      </c>
      <c r="S44" s="6" t="s">
        <v>16</v>
      </c>
      <c r="T44" s="6" t="s">
        <v>16</v>
      </c>
      <c r="U44" s="6" t="s">
        <v>16</v>
      </c>
      <c r="V44" s="6" t="s">
        <v>16</v>
      </c>
      <c r="W44" s="6" t="str">
        <f t="shared" si="1"/>
        <v>No Critico</v>
      </c>
    </row>
    <row r="45" spans="1:23" ht="38.25">
      <c r="A45" s="60">
        <f>Inicial!A45</f>
        <v>43</v>
      </c>
      <c r="B45" s="61" t="str">
        <f>Inicial!B45</f>
        <v>Desposte</v>
      </c>
      <c r="C45" s="61" t="str">
        <f>Inicial!C45</f>
        <v>Operario de producción Línea Paletas</v>
      </c>
      <c r="D45" s="62" t="str">
        <f>Inicial!D45</f>
        <v>Desforrado de Paleta</v>
      </c>
      <c r="E45" s="60" t="str">
        <f>IF(Inicial!J45="SI",Inicial!E45,"N/A")</f>
        <v>Am: 07:00 a 16:00 - PM: 17:15 a 02:45</v>
      </c>
      <c r="F45" s="61" t="str">
        <f>IF(Inicial!J45="SI",Inicial!F45,"N/A")</f>
        <v>0.5</v>
      </c>
      <c r="G45" s="61">
        <f>IF(Inicial!J45="SI",Inicial!G45,"N/A")</f>
        <v>4.5</v>
      </c>
      <c r="H45" s="61">
        <f>IF(Inicial!J45="SI",Inicial!H45,"N/A")</f>
        <v>100</v>
      </c>
      <c r="I45" s="63">
        <f>IF(Inicial!J45="SI",Inicial!I45,"N/A")</f>
        <v>0</v>
      </c>
      <c r="J45" s="52" t="s">
        <v>16</v>
      </c>
      <c r="K45" s="6" t="s">
        <v>346</v>
      </c>
      <c r="L45" s="6" t="s">
        <v>346</v>
      </c>
      <c r="M45" s="6" t="s">
        <v>346</v>
      </c>
      <c r="N45" s="6" t="s">
        <v>346</v>
      </c>
      <c r="O45" s="6" t="s">
        <v>346</v>
      </c>
      <c r="P45" s="6" t="str">
        <f t="shared" si="0"/>
        <v>No Aceptable</v>
      </c>
      <c r="Q45" s="6" t="s">
        <v>16</v>
      </c>
      <c r="R45" s="6" t="s">
        <v>16</v>
      </c>
      <c r="S45" s="6" t="s">
        <v>16</v>
      </c>
      <c r="T45" s="6" t="s">
        <v>16</v>
      </c>
      <c r="U45" s="6" t="s">
        <v>16</v>
      </c>
      <c r="V45" s="6" t="s">
        <v>16</v>
      </c>
      <c r="W45" s="6" t="str">
        <f t="shared" si="1"/>
        <v>No Critico</v>
      </c>
    </row>
    <row r="46" spans="1:23" ht="38.25">
      <c r="A46" s="60">
        <f>Inicial!A46</f>
        <v>44</v>
      </c>
      <c r="B46" s="61" t="str">
        <f>Inicial!B46</f>
        <v>Desposte</v>
      </c>
      <c r="C46" s="61" t="str">
        <f>Inicial!C46</f>
        <v>Operario de producción Línea Paletas</v>
      </c>
      <c r="D46" s="62" t="str">
        <f>Inicial!D46</f>
        <v>Extracción de ganglios paleta</v>
      </c>
      <c r="E46" s="60" t="str">
        <f>IF(Inicial!J46="SI",Inicial!E46,"N/A")</f>
        <v>Am: 07:00 a 16:00 - PM: 17:15 a 02:45</v>
      </c>
      <c r="F46" s="61" t="str">
        <f>IF(Inicial!J46="SI",Inicial!F46,"N/A")</f>
        <v>0.5</v>
      </c>
      <c r="G46" s="61">
        <f>IF(Inicial!J46="SI",Inicial!G46,"N/A")</f>
        <v>4.5</v>
      </c>
      <c r="H46" s="61">
        <f>IF(Inicial!J46="SI",Inicial!H46,"N/A")</f>
        <v>100</v>
      </c>
      <c r="I46" s="63">
        <f>IF(Inicial!J46="SI",Inicial!I46,"N/A")</f>
        <v>0</v>
      </c>
      <c r="J46" s="52" t="s">
        <v>16</v>
      </c>
      <c r="K46" s="6" t="s">
        <v>346</v>
      </c>
      <c r="L46" s="6" t="s">
        <v>346</v>
      </c>
      <c r="M46" s="6" t="s">
        <v>346</v>
      </c>
      <c r="N46" s="6" t="s">
        <v>346</v>
      </c>
      <c r="O46" s="6" t="s">
        <v>346</v>
      </c>
      <c r="P46" s="6" t="str">
        <f t="shared" si="0"/>
        <v>No Aceptable</v>
      </c>
      <c r="Q46" s="6" t="s">
        <v>16</v>
      </c>
      <c r="R46" s="6" t="s">
        <v>16</v>
      </c>
      <c r="S46" s="6" t="s">
        <v>16</v>
      </c>
      <c r="T46" s="6" t="s">
        <v>16</v>
      </c>
      <c r="U46" s="6" t="s">
        <v>16</v>
      </c>
      <c r="V46" s="6" t="s">
        <v>16</v>
      </c>
      <c r="W46" s="6" t="str">
        <f t="shared" si="1"/>
        <v>No Critico</v>
      </c>
    </row>
    <row r="47" spans="1:23" ht="38.25">
      <c r="A47" s="60">
        <f>Inicial!A47</f>
        <v>45</v>
      </c>
      <c r="B47" s="61" t="str">
        <f>Inicial!B47</f>
        <v>Desposte</v>
      </c>
      <c r="C47" s="61" t="str">
        <f>Inicial!C47</f>
        <v>Operario de producción Línea Paletas</v>
      </c>
      <c r="D47" s="62" t="str">
        <f>Inicial!D47</f>
        <v>Extracción de plateada de paleta</v>
      </c>
      <c r="E47" s="60" t="str">
        <f>IF(Inicial!J47="SI",Inicial!E47,"N/A")</f>
        <v>Am: 07:00 a 16:00 - PM: 17:15 a 02:45</v>
      </c>
      <c r="F47" s="61" t="str">
        <f>IF(Inicial!J47="SI",Inicial!F47,"N/A")</f>
        <v>0.5</v>
      </c>
      <c r="G47" s="61">
        <f>IF(Inicial!J47="SI",Inicial!G47,"N/A")</f>
        <v>4.5</v>
      </c>
      <c r="H47" s="61">
        <f>IF(Inicial!J47="SI",Inicial!H47,"N/A")</f>
        <v>100</v>
      </c>
      <c r="I47" s="63">
        <f>IF(Inicial!J47="SI",Inicial!I47,"N/A")</f>
        <v>0</v>
      </c>
      <c r="J47" s="52" t="s">
        <v>16</v>
      </c>
      <c r="K47" s="6" t="s">
        <v>346</v>
      </c>
      <c r="L47" s="6" t="s">
        <v>346</v>
      </c>
      <c r="M47" s="6" t="s">
        <v>346</v>
      </c>
      <c r="N47" s="6" t="s">
        <v>346</v>
      </c>
      <c r="O47" s="6" t="s">
        <v>346</v>
      </c>
      <c r="P47" s="6" t="str">
        <f t="shared" si="0"/>
        <v>No Aceptable</v>
      </c>
      <c r="Q47" s="6" t="s">
        <v>16</v>
      </c>
      <c r="R47" s="6" t="s">
        <v>16</v>
      </c>
      <c r="S47" s="6" t="s">
        <v>16</v>
      </c>
      <c r="T47" s="6" t="s">
        <v>16</v>
      </c>
      <c r="U47" s="6" t="s">
        <v>16</v>
      </c>
      <c r="V47" s="6" t="s">
        <v>16</v>
      </c>
      <c r="W47" s="6" t="str">
        <f t="shared" si="1"/>
        <v>No Critico</v>
      </c>
    </row>
    <row r="48" spans="1:23" ht="38.25">
      <c r="A48" s="60">
        <f>Inicial!A48</f>
        <v>46</v>
      </c>
      <c r="B48" s="61" t="str">
        <f>Inicial!B48</f>
        <v>Desposte</v>
      </c>
      <c r="C48" s="61" t="str">
        <f>Inicial!C48</f>
        <v>Operario de producción Línea Paletas</v>
      </c>
      <c r="D48" s="62" t="str">
        <f>Inicial!D48</f>
        <v>Prolijado de plateada</v>
      </c>
      <c r="E48" s="60" t="str">
        <f>IF(Inicial!J48="SI",Inicial!E48,"N/A")</f>
        <v>Am: 07:00 a 16:00 - PM: 17:15 a 02:45</v>
      </c>
      <c r="F48" s="61" t="str">
        <f>IF(Inicial!J48="SI",Inicial!F48,"N/A")</f>
        <v>0.5</v>
      </c>
      <c r="G48" s="61">
        <f>IF(Inicial!J48="SI",Inicial!G48,"N/A")</f>
        <v>4.5</v>
      </c>
      <c r="H48" s="61">
        <f>IF(Inicial!J48="SI",Inicial!H48,"N/A")</f>
        <v>100</v>
      </c>
      <c r="I48" s="63">
        <f>IF(Inicial!J48="SI",Inicial!I48,"N/A")</f>
        <v>0</v>
      </c>
      <c r="J48" s="52" t="s">
        <v>16</v>
      </c>
      <c r="K48" s="6" t="s">
        <v>346</v>
      </c>
      <c r="L48" s="6" t="s">
        <v>346</v>
      </c>
      <c r="M48" s="6" t="s">
        <v>346</v>
      </c>
      <c r="N48" s="6" t="s">
        <v>346</v>
      </c>
      <c r="O48" s="6" t="s">
        <v>346</v>
      </c>
      <c r="P48" s="6" t="str">
        <f t="shared" si="0"/>
        <v>No Aceptable</v>
      </c>
      <c r="Q48" s="6" t="s">
        <v>16</v>
      </c>
      <c r="R48" s="6" t="s">
        <v>16</v>
      </c>
      <c r="S48" s="6" t="s">
        <v>16</v>
      </c>
      <c r="T48" s="6" t="s">
        <v>16</v>
      </c>
      <c r="U48" s="6" t="s">
        <v>16</v>
      </c>
      <c r="V48" s="6" t="s">
        <v>16</v>
      </c>
      <c r="W48" s="6" t="str">
        <f t="shared" si="1"/>
        <v>No Critico</v>
      </c>
    </row>
    <row r="49" spans="1:23" ht="38.25">
      <c r="A49" s="60">
        <f>Inicial!A49</f>
        <v>47</v>
      </c>
      <c r="B49" s="61" t="str">
        <f>Inicial!B49</f>
        <v>Desposte</v>
      </c>
      <c r="C49" s="61" t="str">
        <f>Inicial!C49</f>
        <v>Operario de producción Línea Paletas</v>
      </c>
      <c r="D49" s="62" t="str">
        <f>Inicial!D49</f>
        <v>Revisión de paleta con cuchillo</v>
      </c>
      <c r="E49" s="60" t="str">
        <f>IF(Inicial!J49="SI",Inicial!E49,"N/A")</f>
        <v>Am: 07:00 a 16:00 - PM: 17:15 a 02:45</v>
      </c>
      <c r="F49" s="61" t="str">
        <f>IF(Inicial!J49="SI",Inicial!F49,"N/A")</f>
        <v>0.5</v>
      </c>
      <c r="G49" s="61">
        <f>IF(Inicial!J49="SI",Inicial!G49,"N/A")</f>
        <v>4.5</v>
      </c>
      <c r="H49" s="61">
        <f>IF(Inicial!J49="SI",Inicial!H49,"N/A")</f>
        <v>100</v>
      </c>
      <c r="I49" s="63">
        <f>IF(Inicial!J49="SI",Inicial!I49,"N/A")</f>
        <v>9</v>
      </c>
      <c r="J49" s="52" t="s">
        <v>16</v>
      </c>
      <c r="K49" s="6" t="s">
        <v>346</v>
      </c>
      <c r="L49" s="6" t="s">
        <v>346</v>
      </c>
      <c r="M49" s="6" t="s">
        <v>346</v>
      </c>
      <c r="N49" s="6" t="s">
        <v>346</v>
      </c>
      <c r="O49" s="6" t="s">
        <v>346</v>
      </c>
      <c r="P49" s="6" t="str">
        <f t="shared" si="0"/>
        <v>No Aceptable</v>
      </c>
      <c r="Q49" s="6" t="s">
        <v>16</v>
      </c>
      <c r="R49" s="6" t="s">
        <v>16</v>
      </c>
      <c r="S49" s="6" t="s">
        <v>16</v>
      </c>
      <c r="T49" s="6" t="s">
        <v>16</v>
      </c>
      <c r="U49" s="6" t="s">
        <v>16</v>
      </c>
      <c r="V49" s="6" t="s">
        <v>16</v>
      </c>
      <c r="W49" s="6" t="str">
        <f t="shared" si="1"/>
        <v>No Critico</v>
      </c>
    </row>
    <row r="50" spans="1:23" ht="38.25">
      <c r="A50" s="60">
        <f>Inicial!A50</f>
        <v>48</v>
      </c>
      <c r="B50" s="61" t="str">
        <f>Inicial!B50</f>
        <v>Desposte</v>
      </c>
      <c r="C50" s="61" t="str">
        <f>Inicial!C50</f>
        <v>Operario de producción Línea Paletas</v>
      </c>
      <c r="D50" s="62" t="str">
        <f>Inicial!D50</f>
        <v>Prolijado de paleta</v>
      </c>
      <c r="E50" s="60" t="str">
        <f>IF(Inicial!J50="SI",Inicial!E50,"N/A")</f>
        <v>Am: 07:00 a 16:00 - PM: 17:15 a 02:45</v>
      </c>
      <c r="F50" s="61" t="str">
        <f>IF(Inicial!J50="SI",Inicial!F50,"N/A")</f>
        <v>0.5</v>
      </c>
      <c r="G50" s="61">
        <f>IF(Inicial!J50="SI",Inicial!G50,"N/A")</f>
        <v>4.5</v>
      </c>
      <c r="H50" s="61">
        <f>IF(Inicial!J50="SI",Inicial!H50,"N/A")</f>
        <v>100</v>
      </c>
      <c r="I50" s="63">
        <f>IF(Inicial!J50="SI",Inicial!I50,"N/A")</f>
        <v>9</v>
      </c>
      <c r="J50" s="52" t="s">
        <v>16</v>
      </c>
      <c r="K50" s="6" t="s">
        <v>346</v>
      </c>
      <c r="L50" s="6" t="s">
        <v>346</v>
      </c>
      <c r="M50" s="6" t="s">
        <v>346</v>
      </c>
      <c r="N50" s="6" t="s">
        <v>346</v>
      </c>
      <c r="O50" s="6" t="s">
        <v>346</v>
      </c>
      <c r="P50" s="6" t="str">
        <f t="shared" si="0"/>
        <v>No Aceptable</v>
      </c>
      <c r="Q50" s="6" t="s">
        <v>16</v>
      </c>
      <c r="R50" s="6" t="s">
        <v>16</v>
      </c>
      <c r="S50" s="6" t="s">
        <v>16</v>
      </c>
      <c r="T50" s="6" t="s">
        <v>16</v>
      </c>
      <c r="U50" s="6" t="s">
        <v>16</v>
      </c>
      <c r="V50" s="6" t="s">
        <v>16</v>
      </c>
      <c r="W50" s="6" t="str">
        <f t="shared" si="1"/>
        <v>No Critico</v>
      </c>
    </row>
    <row r="51" spans="1:23" ht="38.25">
      <c r="A51" s="60">
        <f>Inicial!A51</f>
        <v>49</v>
      </c>
      <c r="B51" s="61" t="str">
        <f>Inicial!B51</f>
        <v>Desposte</v>
      </c>
      <c r="C51" s="61" t="str">
        <f>Inicial!C51</f>
        <v>Operario de producción Línea Paletas</v>
      </c>
      <c r="D51" s="62" t="str">
        <f>Inicial!D51</f>
        <v>Operador de equipo cortador de pernil</v>
      </c>
      <c r="E51" s="60" t="str">
        <f>IF(Inicial!J51="SI",Inicial!E51,"N/A")</f>
        <v>Am: 07:00 a 16:00 - PM: 17:15 a 02:45</v>
      </c>
      <c r="F51" s="61" t="str">
        <f>IF(Inicial!J51="SI",Inicial!F51,"N/A")</f>
        <v>0.5</v>
      </c>
      <c r="G51" s="61">
        <f>IF(Inicial!J51="SI",Inicial!G51,"N/A")</f>
        <v>4.5</v>
      </c>
      <c r="H51" s="61">
        <f>IF(Inicial!J51="SI",Inicial!H51,"N/A")</f>
        <v>100</v>
      </c>
      <c r="I51" s="63">
        <f>IF(Inicial!J51="SI",Inicial!I51,"N/A")</f>
        <v>0</v>
      </c>
      <c r="J51" s="52" t="s">
        <v>16</v>
      </c>
      <c r="K51" s="6" t="s">
        <v>346</v>
      </c>
      <c r="L51" s="6" t="s">
        <v>346</v>
      </c>
      <c r="M51" s="6" t="s">
        <v>346</v>
      </c>
      <c r="N51" s="6" t="s">
        <v>346</v>
      </c>
      <c r="O51" s="6" t="s">
        <v>346</v>
      </c>
      <c r="P51" s="6" t="str">
        <f t="shared" si="0"/>
        <v>No Aceptable</v>
      </c>
      <c r="Q51" s="6" t="s">
        <v>16</v>
      </c>
      <c r="R51" s="6" t="s">
        <v>16</v>
      </c>
      <c r="S51" s="6" t="s">
        <v>16</v>
      </c>
      <c r="T51" s="6" t="s">
        <v>16</v>
      </c>
      <c r="U51" s="6" t="s">
        <v>16</v>
      </c>
      <c r="V51" s="6" t="s">
        <v>16</v>
      </c>
      <c r="W51" s="6" t="str">
        <f t="shared" si="1"/>
        <v>No Critico</v>
      </c>
    </row>
    <row r="52" spans="1:23" ht="38.25" hidden="1">
      <c r="A52" s="60">
        <f>Inicial!A52</f>
        <v>50</v>
      </c>
      <c r="B52" s="61" t="str">
        <f>Inicial!B52</f>
        <v>Desposte</v>
      </c>
      <c r="C52" s="61" t="str">
        <f>Inicial!C52</f>
        <v>Operario de producción Línea Paletas</v>
      </c>
      <c r="D52" s="62" t="str">
        <f>Inicial!D52</f>
        <v>Acomodado de pernil y cambio de bandeja</v>
      </c>
      <c r="E52" s="60" t="str">
        <f>IF(Inicial!J52="SI",Inicial!E52,"N/A")</f>
        <v>N/A</v>
      </c>
      <c r="F52" s="61" t="str">
        <f>IF(Inicial!J52="SI",Inicial!F52,"N/A")</f>
        <v>N/A</v>
      </c>
      <c r="G52" s="61" t="str">
        <f>IF(Inicial!J52="SI",Inicial!G52,"N/A")</f>
        <v>N/A</v>
      </c>
      <c r="H52" s="61" t="str">
        <f>IF(Inicial!J52="SI",Inicial!H52,"N/A")</f>
        <v>N/A</v>
      </c>
      <c r="I52" s="63" t="str">
        <f>IF(Inicial!J52="SI",Inicial!I52,"N/A")</f>
        <v>N/A</v>
      </c>
      <c r="J52" s="52"/>
      <c r="P52" s="6" t="str">
        <f t="shared" si="0"/>
        <v>Aceptable</v>
      </c>
      <c r="Q52" s="6"/>
      <c r="R52" s="6"/>
      <c r="S52" s="6"/>
      <c r="T52" s="6"/>
      <c r="U52" s="6"/>
      <c r="V52" s="6"/>
      <c r="W52" s="6" t="str">
        <f t="shared" si="1"/>
        <v>Critico</v>
      </c>
    </row>
    <row r="53" spans="1:23" ht="38.25">
      <c r="A53" s="60">
        <f>Inicial!A53</f>
        <v>51</v>
      </c>
      <c r="B53" s="61" t="str">
        <f>Inicial!B53</f>
        <v>Desposte</v>
      </c>
      <c r="C53" s="61" t="str">
        <f>Inicial!C53</f>
        <v>Operario de producción Línea Paletas</v>
      </c>
      <c r="D53" s="62" t="str">
        <f>Inicial!D53</f>
        <v>Extracción de ganglios paleta</v>
      </c>
      <c r="E53" s="60" t="str">
        <f>IF(Inicial!J53="SI",Inicial!E53,"N/A")</f>
        <v>Am: 07:00 a 16:00 - PM: 17:15 a 02:45</v>
      </c>
      <c r="F53" s="61" t="str">
        <f>IF(Inicial!J53="SI",Inicial!F53,"N/A")</f>
        <v>0.5</v>
      </c>
      <c r="G53" s="61">
        <f>IF(Inicial!J53="SI",Inicial!G53,"N/A")</f>
        <v>4.5</v>
      </c>
      <c r="H53" s="61">
        <f>IF(Inicial!J53="SI",Inicial!H53,"N/A")</f>
        <v>100</v>
      </c>
      <c r="I53" s="63">
        <f>IF(Inicial!J53="SI",Inicial!I53,"N/A")</f>
        <v>0</v>
      </c>
      <c r="J53" s="52" t="s">
        <v>16</v>
      </c>
      <c r="K53" s="6" t="s">
        <v>346</v>
      </c>
      <c r="L53" s="6" t="s">
        <v>346</v>
      </c>
      <c r="M53" s="6" t="s">
        <v>346</v>
      </c>
      <c r="N53" s="6" t="s">
        <v>346</v>
      </c>
      <c r="O53" s="6" t="s">
        <v>346</v>
      </c>
      <c r="P53" s="6" t="str">
        <f t="shared" si="0"/>
        <v>No Aceptable</v>
      </c>
      <c r="Q53" s="6" t="s">
        <v>16</v>
      </c>
      <c r="R53" s="6" t="s">
        <v>16</v>
      </c>
      <c r="S53" s="6" t="s">
        <v>16</v>
      </c>
      <c r="T53" s="6" t="s">
        <v>16</v>
      </c>
      <c r="U53" s="6" t="s">
        <v>16</v>
      </c>
      <c r="V53" s="6" t="s">
        <v>16</v>
      </c>
      <c r="W53" s="6" t="str">
        <f t="shared" si="1"/>
        <v>No Critico</v>
      </c>
    </row>
    <row r="54" spans="1:23" ht="38.25">
      <c r="A54" s="60">
        <f>Inicial!A54</f>
        <v>52</v>
      </c>
      <c r="B54" s="61" t="str">
        <f>Inicial!B54</f>
        <v>Desposte</v>
      </c>
      <c r="C54" s="61" t="str">
        <f>Inicial!C54</f>
        <v>Operario de producción Línea Paletas</v>
      </c>
      <c r="D54" s="62" t="str">
        <f>Inicial!D54</f>
        <v>Abertura de pulpa paleta</v>
      </c>
      <c r="E54" s="60" t="str">
        <f>IF(Inicial!J54="SI",Inicial!E54,"N/A")</f>
        <v>Am: 07:00 a 16:00 - PM: 17:15 a 02:45</v>
      </c>
      <c r="F54" s="61" t="str">
        <f>IF(Inicial!J54="SI",Inicial!F54,"N/A")</f>
        <v>0.5</v>
      </c>
      <c r="G54" s="61">
        <f>IF(Inicial!J54="SI",Inicial!G54,"N/A")</f>
        <v>4.5</v>
      </c>
      <c r="H54" s="61">
        <f>IF(Inicial!J54="SI",Inicial!H54,"N/A")</f>
        <v>100</v>
      </c>
      <c r="I54" s="63">
        <f>IF(Inicial!J54="SI",Inicial!I54,"N/A")</f>
        <v>0</v>
      </c>
      <c r="J54" s="52" t="s">
        <v>16</v>
      </c>
      <c r="K54" s="6" t="s">
        <v>346</v>
      </c>
      <c r="L54" s="6" t="s">
        <v>346</v>
      </c>
      <c r="M54" s="6" t="s">
        <v>346</v>
      </c>
      <c r="N54" s="6" t="s">
        <v>346</v>
      </c>
      <c r="O54" s="6" t="s">
        <v>346</v>
      </c>
      <c r="P54" s="6" t="str">
        <f t="shared" si="0"/>
        <v>No Aceptable</v>
      </c>
      <c r="Q54" s="6" t="s">
        <v>16</v>
      </c>
      <c r="R54" s="6" t="s">
        <v>16</v>
      </c>
      <c r="S54" s="6" t="s">
        <v>16</v>
      </c>
      <c r="T54" s="6" t="s">
        <v>16</v>
      </c>
      <c r="U54" s="6" t="s">
        <v>16</v>
      </c>
      <c r="V54" s="6" t="s">
        <v>16</v>
      </c>
      <c r="W54" s="6" t="str">
        <f t="shared" si="1"/>
        <v>No Critico</v>
      </c>
    </row>
    <row r="55" spans="1:23" ht="38.25">
      <c r="A55" s="60">
        <f>Inicial!A55</f>
        <v>53</v>
      </c>
      <c r="B55" s="61" t="str">
        <f>Inicial!B55</f>
        <v>Desposte</v>
      </c>
      <c r="C55" s="61" t="str">
        <f>Inicial!C55</f>
        <v>Operario de producción Línea Paletas</v>
      </c>
      <c r="D55" s="62" t="str">
        <f>Inicial!D55</f>
        <v>Rayado de escapula</v>
      </c>
      <c r="E55" s="60" t="str">
        <f>IF(Inicial!J55="SI",Inicial!E55,"N/A")</f>
        <v>Am: 07:00 a 16:00 - PM: 17:15 a 02:45</v>
      </c>
      <c r="F55" s="61" t="str">
        <f>IF(Inicial!J55="SI",Inicial!F55,"N/A")</f>
        <v>0.5</v>
      </c>
      <c r="G55" s="61">
        <f>IF(Inicial!J55="SI",Inicial!G55,"N/A")</f>
        <v>4.5</v>
      </c>
      <c r="H55" s="61">
        <f>IF(Inicial!J55="SI",Inicial!H55,"N/A")</f>
        <v>100</v>
      </c>
      <c r="I55" s="63">
        <f>IF(Inicial!J55="SI",Inicial!I55,"N/A")</f>
        <v>0</v>
      </c>
      <c r="J55" s="52" t="s">
        <v>16</v>
      </c>
      <c r="K55" s="6" t="s">
        <v>346</v>
      </c>
      <c r="L55" s="6" t="s">
        <v>346</v>
      </c>
      <c r="M55" s="6" t="s">
        <v>346</v>
      </c>
      <c r="N55" s="6" t="s">
        <v>346</v>
      </c>
      <c r="O55" s="6" t="s">
        <v>346</v>
      </c>
      <c r="P55" s="6" t="str">
        <f t="shared" si="0"/>
        <v>No Aceptable</v>
      </c>
      <c r="Q55" s="6" t="s">
        <v>16</v>
      </c>
      <c r="R55" s="6" t="s">
        <v>16</v>
      </c>
      <c r="S55" s="6" t="s">
        <v>16</v>
      </c>
      <c r="T55" s="6" t="s">
        <v>16</v>
      </c>
      <c r="U55" s="6" t="s">
        <v>16</v>
      </c>
      <c r="V55" s="6" t="s">
        <v>16</v>
      </c>
      <c r="W55" s="6" t="str">
        <f t="shared" si="1"/>
        <v>No Critico</v>
      </c>
    </row>
    <row r="56" spans="1:23" ht="51">
      <c r="A56" s="60">
        <f>Inicial!A56</f>
        <v>54</v>
      </c>
      <c r="B56" s="61" t="str">
        <f>Inicial!B56</f>
        <v>Desposte</v>
      </c>
      <c r="C56" s="61" t="str">
        <f>Inicial!C56</f>
        <v>Operario de producción Línea Paletas</v>
      </c>
      <c r="D56" s="62" t="str">
        <f>Inicial!D56</f>
        <v>Extracción de escapula con pistola neumatica</v>
      </c>
      <c r="E56" s="60" t="str">
        <f>IF(Inicial!J56="SI",Inicial!E56,"N/A")</f>
        <v>Am: 07:00 a 16:00 - PM: 17:15 a 02:45</v>
      </c>
      <c r="F56" s="61" t="str">
        <f>IF(Inicial!J56="SI",Inicial!F56,"N/A")</f>
        <v>0.5</v>
      </c>
      <c r="G56" s="61">
        <f>IF(Inicial!J56="SI",Inicial!G56,"N/A")</f>
        <v>4.5</v>
      </c>
      <c r="H56" s="61">
        <f>IF(Inicial!J56="SI",Inicial!H56,"N/A")</f>
        <v>100</v>
      </c>
      <c r="I56" s="63">
        <f>IF(Inicial!J56="SI",Inicial!I56,"N/A")</f>
        <v>0</v>
      </c>
      <c r="J56" s="52" t="s">
        <v>16</v>
      </c>
      <c r="K56" s="6" t="s">
        <v>346</v>
      </c>
      <c r="L56" s="6" t="s">
        <v>346</v>
      </c>
      <c r="M56" s="6" t="s">
        <v>346</v>
      </c>
      <c r="N56" s="6" t="s">
        <v>346</v>
      </c>
      <c r="O56" s="6" t="s">
        <v>346</v>
      </c>
      <c r="P56" s="6" t="str">
        <f t="shared" si="0"/>
        <v>No Aceptable</v>
      </c>
      <c r="Q56" s="6" t="s">
        <v>16</v>
      </c>
      <c r="R56" s="6" t="s">
        <v>16</v>
      </c>
      <c r="S56" s="6" t="s">
        <v>16</v>
      </c>
      <c r="T56" s="6" t="s">
        <v>16</v>
      </c>
      <c r="U56" s="6" t="s">
        <v>16</v>
      </c>
      <c r="V56" s="6" t="s">
        <v>16</v>
      </c>
      <c r="W56" s="6" t="str">
        <f t="shared" si="1"/>
        <v>No Critico</v>
      </c>
    </row>
    <row r="57" spans="1:23" ht="38.25">
      <c r="A57" s="60">
        <f>Inicial!A57</f>
        <v>55</v>
      </c>
      <c r="B57" s="61" t="str">
        <f>Inicial!B57</f>
        <v>Desposte</v>
      </c>
      <c r="C57" s="61" t="str">
        <f>Inicial!C57</f>
        <v>Operario de producción Línea Paletas</v>
      </c>
      <c r="D57" s="62" t="str">
        <f>Inicial!D57</f>
        <v>Extracción de escapula</v>
      </c>
      <c r="E57" s="60" t="str">
        <f>IF(Inicial!J57="SI",Inicial!E57,"N/A")</f>
        <v>Am: 07:00 a 16:00 - PM: 17:15 a 02:45</v>
      </c>
      <c r="F57" s="61" t="str">
        <f>IF(Inicial!J57="SI",Inicial!F57,"N/A")</f>
        <v>0.5</v>
      </c>
      <c r="G57" s="61">
        <f>IF(Inicial!J57="SI",Inicial!G57,"N/A")</f>
        <v>4.5</v>
      </c>
      <c r="H57" s="61">
        <f>IF(Inicial!J57="SI",Inicial!H57,"N/A")</f>
        <v>100</v>
      </c>
      <c r="I57" s="63">
        <f>IF(Inicial!J57="SI",Inicial!I57,"N/A")</f>
        <v>0</v>
      </c>
      <c r="J57" s="52" t="s">
        <v>16</v>
      </c>
      <c r="K57" s="6" t="s">
        <v>346</v>
      </c>
      <c r="L57" s="6" t="s">
        <v>346</v>
      </c>
      <c r="M57" s="6" t="s">
        <v>346</v>
      </c>
      <c r="N57" s="6" t="s">
        <v>346</v>
      </c>
      <c r="O57" s="6" t="s">
        <v>346</v>
      </c>
      <c r="P57" s="6" t="str">
        <f t="shared" si="0"/>
        <v>No Aceptable</v>
      </c>
      <c r="Q57" s="6" t="s">
        <v>16</v>
      </c>
      <c r="R57" s="6" t="s">
        <v>16</v>
      </c>
      <c r="S57" s="6" t="s">
        <v>16</v>
      </c>
      <c r="T57" s="6" t="s">
        <v>16</v>
      </c>
      <c r="U57" s="6" t="s">
        <v>16</v>
      </c>
      <c r="V57" s="6" t="s">
        <v>16</v>
      </c>
      <c r="W57" s="6" t="str">
        <f t="shared" si="1"/>
        <v>No Critico</v>
      </c>
    </row>
    <row r="58" spans="1:23" ht="38.25">
      <c r="A58" s="60">
        <f>Inicial!A58</f>
        <v>56</v>
      </c>
      <c r="B58" s="61" t="str">
        <f>Inicial!B58</f>
        <v>Desposte</v>
      </c>
      <c r="C58" s="61" t="str">
        <f>Inicial!C58</f>
        <v>Operario de producción Línea Paletas</v>
      </c>
      <c r="D58" s="62" t="str">
        <f>Inicial!D58</f>
        <v>Deshuesado de hueso humero</v>
      </c>
      <c r="E58" s="60" t="str">
        <f>IF(Inicial!J58="SI",Inicial!E58,"N/A")</f>
        <v>Am: 07:00 a 16:00 - PM: 17:15 a 02:45</v>
      </c>
      <c r="F58" s="61" t="str">
        <f>IF(Inicial!J58="SI",Inicial!F58,"N/A")</f>
        <v>0.5</v>
      </c>
      <c r="G58" s="61">
        <f>IF(Inicial!J58="SI",Inicial!G58,"N/A")</f>
        <v>4.5</v>
      </c>
      <c r="H58" s="61">
        <f>IF(Inicial!J58="SI",Inicial!H58,"N/A")</f>
        <v>100</v>
      </c>
      <c r="I58" s="63">
        <f>IF(Inicial!J58="SI",Inicial!I58,"N/A")</f>
        <v>0</v>
      </c>
      <c r="J58" s="52" t="s">
        <v>16</v>
      </c>
      <c r="K58" s="6" t="s">
        <v>346</v>
      </c>
      <c r="L58" s="6" t="s">
        <v>346</v>
      </c>
      <c r="M58" s="6" t="s">
        <v>346</v>
      </c>
      <c r="N58" s="6" t="s">
        <v>346</v>
      </c>
      <c r="O58" s="6" t="s">
        <v>346</v>
      </c>
      <c r="P58" s="6" t="str">
        <f t="shared" si="0"/>
        <v>No Aceptable</v>
      </c>
      <c r="Q58" s="6" t="s">
        <v>16</v>
      </c>
      <c r="R58" s="6" t="s">
        <v>16</v>
      </c>
      <c r="S58" s="6" t="s">
        <v>16</v>
      </c>
      <c r="T58" s="6" t="s">
        <v>16</v>
      </c>
      <c r="U58" s="6" t="s">
        <v>16</v>
      </c>
      <c r="V58" s="6" t="s">
        <v>16</v>
      </c>
      <c r="W58" s="6" t="str">
        <f t="shared" si="1"/>
        <v>No Critico</v>
      </c>
    </row>
    <row r="59" spans="1:23" ht="38.25">
      <c r="A59" s="60">
        <f>Inicial!A59</f>
        <v>57</v>
      </c>
      <c r="B59" s="61" t="str">
        <f>Inicial!B59</f>
        <v>Desposte</v>
      </c>
      <c r="C59" s="61" t="str">
        <f>Inicial!C59</f>
        <v>Operario de producción Línea Paletas</v>
      </c>
      <c r="D59" s="62" t="str">
        <f>Inicial!D59</f>
        <v>Extracción de cartilago de paleta</v>
      </c>
      <c r="E59" s="60" t="str">
        <f>IF(Inicial!J59="SI",Inicial!E59,"N/A")</f>
        <v>Am: 07:00 a 16:00 - PM: 17:15 a 02:45</v>
      </c>
      <c r="F59" s="61" t="str">
        <f>IF(Inicial!J59="SI",Inicial!F59,"N/A")</f>
        <v>0.5</v>
      </c>
      <c r="G59" s="61">
        <f>IF(Inicial!J59="SI",Inicial!G59,"N/A")</f>
        <v>4.5</v>
      </c>
      <c r="H59" s="61">
        <f>IF(Inicial!J59="SI",Inicial!H59,"N/A")</f>
        <v>100</v>
      </c>
      <c r="I59" s="63">
        <f>IF(Inicial!J59="SI",Inicial!I59,"N/A")</f>
        <v>0</v>
      </c>
      <c r="J59" s="52" t="s">
        <v>16</v>
      </c>
      <c r="K59" s="6" t="s">
        <v>346</v>
      </c>
      <c r="L59" s="6" t="s">
        <v>346</v>
      </c>
      <c r="M59" s="6" t="s">
        <v>346</v>
      </c>
      <c r="N59" s="6" t="s">
        <v>346</v>
      </c>
      <c r="O59" s="6" t="s">
        <v>346</v>
      </c>
      <c r="P59" s="6" t="str">
        <f t="shared" si="0"/>
        <v>No Aceptable</v>
      </c>
      <c r="Q59" s="6" t="s">
        <v>16</v>
      </c>
      <c r="R59" s="6" t="s">
        <v>16</v>
      </c>
      <c r="S59" s="6" t="s">
        <v>16</v>
      </c>
      <c r="T59" s="6" t="s">
        <v>16</v>
      </c>
      <c r="U59" s="6" t="s">
        <v>16</v>
      </c>
      <c r="V59" s="6" t="s">
        <v>16</v>
      </c>
      <c r="W59" s="6" t="str">
        <f t="shared" si="1"/>
        <v>No Critico</v>
      </c>
    </row>
    <row r="60" spans="1:23" ht="51">
      <c r="A60" s="60">
        <f>Inicial!A60</f>
        <v>58</v>
      </c>
      <c r="B60" s="61" t="str">
        <f>Inicial!B60</f>
        <v>Desposte</v>
      </c>
      <c r="C60" s="61" t="str">
        <f>Inicial!C60</f>
        <v>Operario de producción Línea Paletas</v>
      </c>
      <c r="D60" s="62" t="str">
        <f>Inicial!D60</f>
        <v>Acomodado de pulpa y direccionamiento de pernil</v>
      </c>
      <c r="E60" s="60" t="str">
        <f>IF(Inicial!J60="SI",Inicial!E60,"N/A")</f>
        <v>Am: 07:00 a 16:00 - PM: 17:15 a 02:45</v>
      </c>
      <c r="F60" s="61" t="str">
        <f>IF(Inicial!J60="SI",Inicial!F60,"N/A")</f>
        <v>0.5</v>
      </c>
      <c r="G60" s="61">
        <f>IF(Inicial!J60="SI",Inicial!G60,"N/A")</f>
        <v>4.5</v>
      </c>
      <c r="H60" s="61">
        <f>IF(Inicial!J60="SI",Inicial!H60,"N/A")</f>
        <v>100</v>
      </c>
      <c r="I60" s="63">
        <f>IF(Inicial!J60="SI",Inicial!I60,"N/A")</f>
        <v>0</v>
      </c>
      <c r="J60" s="52" t="s">
        <v>16</v>
      </c>
      <c r="K60" s="6" t="s">
        <v>346</v>
      </c>
      <c r="L60" s="6" t="s">
        <v>346</v>
      </c>
      <c r="M60" s="6" t="s">
        <v>346</v>
      </c>
      <c r="N60" s="6" t="s">
        <v>346</v>
      </c>
      <c r="O60" s="6" t="s">
        <v>346</v>
      </c>
      <c r="P60" s="6" t="str">
        <f t="shared" si="0"/>
        <v>No Aceptable</v>
      </c>
      <c r="Q60" s="6" t="s">
        <v>16</v>
      </c>
      <c r="R60" s="6" t="s">
        <v>16</v>
      </c>
      <c r="S60" s="6" t="s">
        <v>16</v>
      </c>
      <c r="T60" s="6" t="s">
        <v>16</v>
      </c>
      <c r="U60" s="6" t="s">
        <v>16</v>
      </c>
      <c r="V60" s="6" t="s">
        <v>16</v>
      </c>
      <c r="W60" s="6" t="str">
        <f t="shared" si="1"/>
        <v>No Critico</v>
      </c>
    </row>
    <row r="61" spans="1:23" ht="38.25">
      <c r="A61" s="60">
        <f>Inicial!A61</f>
        <v>59</v>
      </c>
      <c r="B61" s="61" t="str">
        <f>Inicial!B61</f>
        <v>Desposte</v>
      </c>
      <c r="C61" s="61" t="str">
        <f>Inicial!C61</f>
        <v>Operario de producción Línea Paletas</v>
      </c>
      <c r="D61" s="62" t="str">
        <f>Inicial!D61</f>
        <v>Extracción de membrana y cartilago</v>
      </c>
      <c r="E61" s="60" t="str">
        <f>IF(Inicial!J61="SI",Inicial!E61,"N/A")</f>
        <v>Am: 07:00 a 16:00 - PM: 17:15 a 02:45</v>
      </c>
      <c r="F61" s="61" t="str">
        <f>IF(Inicial!J61="SI",Inicial!F61,"N/A")</f>
        <v>0.5</v>
      </c>
      <c r="G61" s="61">
        <f>IF(Inicial!J61="SI",Inicial!G61,"N/A")</f>
        <v>4.5</v>
      </c>
      <c r="H61" s="61">
        <f>IF(Inicial!J61="SI",Inicial!H61,"N/A")</f>
        <v>100</v>
      </c>
      <c r="I61" s="63">
        <f>IF(Inicial!J61="SI",Inicial!I61,"N/A")</f>
        <v>0</v>
      </c>
      <c r="J61" s="52" t="s">
        <v>16</v>
      </c>
      <c r="K61" s="6" t="s">
        <v>346</v>
      </c>
      <c r="L61" s="6" t="s">
        <v>346</v>
      </c>
      <c r="M61" s="6" t="s">
        <v>346</v>
      </c>
      <c r="N61" s="6" t="s">
        <v>346</v>
      </c>
      <c r="O61" s="6" t="s">
        <v>346</v>
      </c>
      <c r="P61" s="6" t="str">
        <f t="shared" si="0"/>
        <v>No Aceptable</v>
      </c>
      <c r="Q61" s="6" t="s">
        <v>16</v>
      </c>
      <c r="R61" s="6" t="s">
        <v>16</v>
      </c>
      <c r="S61" s="6" t="s">
        <v>16</v>
      </c>
      <c r="T61" s="6" t="s">
        <v>16</v>
      </c>
      <c r="U61" s="6" t="s">
        <v>16</v>
      </c>
      <c r="V61" s="6" t="s">
        <v>16</v>
      </c>
      <c r="W61" s="6" t="str">
        <f t="shared" si="1"/>
        <v>No Critico</v>
      </c>
    </row>
    <row r="62" spans="1:23" ht="38.25" hidden="1">
      <c r="A62" s="60">
        <f>Inicial!A62</f>
        <v>60</v>
      </c>
      <c r="B62" s="61" t="str">
        <f>Inicial!B62</f>
        <v>Desposte</v>
      </c>
      <c r="C62" s="61" t="str">
        <f>Inicial!C62</f>
        <v>Operario de producción Línea Paletas</v>
      </c>
      <c r="D62" s="62" t="str">
        <f>Inicial!D62</f>
        <v>Ordenar cuero</v>
      </c>
      <c r="E62" s="60" t="str">
        <f>IF(Inicial!J62="SI",Inicial!E62,"N/A")</f>
        <v>N/A</v>
      </c>
      <c r="F62" s="61" t="str">
        <f>IF(Inicial!J62="SI",Inicial!F62,"N/A")</f>
        <v>N/A</v>
      </c>
      <c r="G62" s="61" t="str">
        <f>IF(Inicial!J62="SI",Inicial!G62,"N/A")</f>
        <v>N/A</v>
      </c>
      <c r="H62" s="61" t="str">
        <f>IF(Inicial!J62="SI",Inicial!H62,"N/A")</f>
        <v>N/A</v>
      </c>
      <c r="I62" s="63" t="str">
        <f>IF(Inicial!J62="SI",Inicial!I62,"N/A")</f>
        <v>N/A</v>
      </c>
      <c r="J62" s="52"/>
      <c r="P62" s="6" t="str">
        <f t="shared" si="0"/>
        <v>Aceptable</v>
      </c>
      <c r="Q62" s="6"/>
      <c r="R62" s="6"/>
      <c r="S62" s="6"/>
      <c r="T62" s="6"/>
      <c r="U62" s="6"/>
      <c r="V62" s="6"/>
      <c r="W62" s="6" t="str">
        <f t="shared" si="1"/>
        <v>Critico</v>
      </c>
    </row>
    <row r="63" spans="1:23" ht="51">
      <c r="A63" s="60">
        <f>Inicial!A63</f>
        <v>61</v>
      </c>
      <c r="B63" s="61" t="str">
        <f>Inicial!B63</f>
        <v>Desposte</v>
      </c>
      <c r="C63" s="61" t="str">
        <f>Inicial!C63</f>
        <v>Operario de producción Línea Paletas</v>
      </c>
      <c r="D63" s="62" t="str">
        <f>Inicial!D63</f>
        <v>Prolijado de paleta y extracción de cuero</v>
      </c>
      <c r="E63" s="60" t="str">
        <f>IF(Inicial!J63="SI",Inicial!E63,"N/A")</f>
        <v>Am: 07:00 a 16:00 - PM: 17:15 a 02:45</v>
      </c>
      <c r="F63" s="61" t="str">
        <f>IF(Inicial!J63="SI",Inicial!F63,"N/A")</f>
        <v>0.5</v>
      </c>
      <c r="G63" s="61">
        <f>IF(Inicial!J63="SI",Inicial!G63,"N/A")</f>
        <v>4.5</v>
      </c>
      <c r="H63" s="61">
        <f>IF(Inicial!J63="SI",Inicial!H63,"N/A")</f>
        <v>100</v>
      </c>
      <c r="I63" s="63">
        <f>IF(Inicial!J63="SI",Inicial!I63,"N/A")</f>
        <v>0</v>
      </c>
      <c r="J63" s="52" t="s">
        <v>16</v>
      </c>
      <c r="K63" s="6" t="s">
        <v>346</v>
      </c>
      <c r="L63" s="6" t="s">
        <v>346</v>
      </c>
      <c r="M63" s="6" t="s">
        <v>346</v>
      </c>
      <c r="N63" s="6" t="s">
        <v>346</v>
      </c>
      <c r="O63" s="6" t="s">
        <v>346</v>
      </c>
      <c r="P63" s="6" t="str">
        <f t="shared" si="0"/>
        <v>No Aceptable</v>
      </c>
      <c r="Q63" s="6" t="s">
        <v>16</v>
      </c>
      <c r="R63" s="6" t="s">
        <v>16</v>
      </c>
      <c r="S63" s="6" t="s">
        <v>16</v>
      </c>
      <c r="T63" s="6" t="s">
        <v>16</v>
      </c>
      <c r="U63" s="6" t="s">
        <v>16</v>
      </c>
      <c r="V63" s="6" t="s">
        <v>16</v>
      </c>
      <c r="W63" s="6" t="str">
        <f t="shared" si="1"/>
        <v>No Critico</v>
      </c>
    </row>
    <row r="64" spans="1:23" ht="38.25">
      <c r="A64" s="60">
        <f>Inicial!A64</f>
        <v>62</v>
      </c>
      <c r="B64" s="61" t="str">
        <f>Inicial!B64</f>
        <v>Desposte</v>
      </c>
      <c r="C64" s="61" t="str">
        <f>Inicial!C64</f>
        <v>Operario de producción Línea Paletas</v>
      </c>
      <c r="D64" s="62" t="str">
        <f>Inicial!D64</f>
        <v>Prolijado de pulpa paleta</v>
      </c>
      <c r="E64" s="60" t="str">
        <f>IF(Inicial!J64="SI",Inicial!E64,"N/A")</f>
        <v>Am: 07:00 a 16:00 - PM: 17:15 a 02:45</v>
      </c>
      <c r="F64" s="61" t="str">
        <f>IF(Inicial!J64="SI",Inicial!F64,"N/A")</f>
        <v>0.5</v>
      </c>
      <c r="G64" s="61">
        <f>IF(Inicial!J64="SI",Inicial!G64,"N/A")</f>
        <v>4.5</v>
      </c>
      <c r="H64" s="61">
        <f>IF(Inicial!J64="SI",Inicial!H64,"N/A")</f>
        <v>100</v>
      </c>
      <c r="I64" s="63">
        <f>IF(Inicial!J64="SI",Inicial!I64,"N/A")</f>
        <v>9</v>
      </c>
      <c r="J64" s="52" t="s">
        <v>16</v>
      </c>
      <c r="K64" s="6" t="s">
        <v>346</v>
      </c>
      <c r="L64" s="6" t="s">
        <v>346</v>
      </c>
      <c r="M64" s="6" t="s">
        <v>346</v>
      </c>
      <c r="N64" s="6" t="s">
        <v>346</v>
      </c>
      <c r="O64" s="6" t="s">
        <v>346</v>
      </c>
      <c r="P64" s="6" t="str">
        <f t="shared" si="0"/>
        <v>No Aceptable</v>
      </c>
      <c r="Q64" s="6" t="s">
        <v>16</v>
      </c>
      <c r="R64" s="6" t="s">
        <v>16</v>
      </c>
      <c r="S64" s="6" t="s">
        <v>16</v>
      </c>
      <c r="T64" s="6" t="s">
        <v>16</v>
      </c>
      <c r="U64" s="6" t="s">
        <v>16</v>
      </c>
      <c r="V64" s="6" t="s">
        <v>16</v>
      </c>
      <c r="W64" s="6" t="str">
        <f t="shared" si="1"/>
        <v>No Critico</v>
      </c>
    </row>
    <row r="65" spans="1:23" ht="38.25">
      <c r="A65" s="60">
        <f>Inicial!A65</f>
        <v>63</v>
      </c>
      <c r="B65" s="61" t="str">
        <f>Inicial!B65</f>
        <v>Desposte</v>
      </c>
      <c r="C65" s="61" t="str">
        <f>Inicial!C65</f>
        <v>Operario de producción Línea Paletas</v>
      </c>
      <c r="D65" s="62" t="str">
        <f>Inicial!D65</f>
        <v>Aspiradora de pulpa paleta</v>
      </c>
      <c r="E65" s="60" t="str">
        <f>IF(Inicial!J65="SI",Inicial!E65,"N/A")</f>
        <v>Am: 07:00 a 16:00 - PM: 17:15 a 02:45</v>
      </c>
      <c r="F65" s="61" t="str">
        <f>IF(Inicial!J65="SI",Inicial!F65,"N/A")</f>
        <v>0.5</v>
      </c>
      <c r="G65" s="61">
        <f>IF(Inicial!J65="SI",Inicial!G65,"N/A")</f>
        <v>4.5</v>
      </c>
      <c r="H65" s="61">
        <f>IF(Inicial!J65="SI",Inicial!H65,"N/A")</f>
        <v>100</v>
      </c>
      <c r="I65" s="63">
        <f>IF(Inicial!J65="SI",Inicial!I65,"N/A")</f>
        <v>9</v>
      </c>
      <c r="J65" s="52" t="s">
        <v>16</v>
      </c>
      <c r="K65" s="6" t="s">
        <v>346</v>
      </c>
      <c r="L65" s="6" t="s">
        <v>346</v>
      </c>
      <c r="M65" s="6" t="s">
        <v>346</v>
      </c>
      <c r="N65" s="6" t="s">
        <v>346</v>
      </c>
      <c r="O65" s="6" t="s">
        <v>346</v>
      </c>
      <c r="P65" s="6" t="str">
        <f t="shared" si="0"/>
        <v>No Aceptable</v>
      </c>
      <c r="Q65" s="6" t="s">
        <v>16</v>
      </c>
      <c r="R65" s="6" t="s">
        <v>16</v>
      </c>
      <c r="S65" s="6" t="s">
        <v>16</v>
      </c>
      <c r="T65" s="6" t="s">
        <v>16</v>
      </c>
      <c r="U65" s="6" t="s">
        <v>16</v>
      </c>
      <c r="V65" s="6" t="s">
        <v>16</v>
      </c>
      <c r="W65" s="6" t="str">
        <f t="shared" si="1"/>
        <v>No Critico</v>
      </c>
    </row>
    <row r="66" spans="1:23" ht="51">
      <c r="A66" s="60">
        <f>Inicial!A66</f>
        <v>64</v>
      </c>
      <c r="B66" s="61" t="str">
        <f>Inicial!B66</f>
        <v>Desposte</v>
      </c>
      <c r="C66" s="61" t="str">
        <f>Inicial!C66</f>
        <v>Operario de producción Línea Pulpa Piernas</v>
      </c>
      <c r="D66" s="62" t="str">
        <f>Inicial!D66</f>
        <v>Direccionador de piernas</v>
      </c>
      <c r="E66" s="60" t="str">
        <f>IF(Inicial!J66="SI",Inicial!E66,"N/A")</f>
        <v>Am: 07:00 a 16:00 - PM: 17:15 a 02:45</v>
      </c>
      <c r="F66" s="61" t="str">
        <f>IF(Inicial!J66="SI",Inicial!F66,"N/A")</f>
        <v>0.5</v>
      </c>
      <c r="G66" s="61">
        <f>IF(Inicial!J66="SI",Inicial!G66,"N/A")</f>
        <v>4.5</v>
      </c>
      <c r="H66" s="61">
        <f>IF(Inicial!J66="SI",Inicial!H66,"N/A")</f>
        <v>92</v>
      </c>
      <c r="I66" s="63">
        <f>IF(Inicial!J66="SI",Inicial!I66,"N/A")</f>
        <v>0</v>
      </c>
      <c r="J66" s="52" t="s">
        <v>16</v>
      </c>
      <c r="K66" s="6" t="s">
        <v>346</v>
      </c>
      <c r="L66" s="6" t="s">
        <v>346</v>
      </c>
      <c r="M66" s="6" t="s">
        <v>346</v>
      </c>
      <c r="N66" s="6" t="s">
        <v>346</v>
      </c>
      <c r="O66" s="6" t="s">
        <v>346</v>
      </c>
      <c r="P66" s="6" t="str">
        <f t="shared" si="0"/>
        <v>No Aceptable</v>
      </c>
      <c r="Q66" s="6" t="s">
        <v>16</v>
      </c>
      <c r="R66" s="6" t="s">
        <v>16</v>
      </c>
      <c r="S66" s="6" t="s">
        <v>16</v>
      </c>
      <c r="T66" s="6" t="s">
        <v>16</v>
      </c>
      <c r="U66" s="6" t="s">
        <v>16</v>
      </c>
      <c r="V66" s="6" t="s">
        <v>16</v>
      </c>
      <c r="W66" s="6" t="str">
        <f t="shared" si="1"/>
        <v>No Critico</v>
      </c>
    </row>
    <row r="67" spans="1:23" ht="51">
      <c r="A67" s="60">
        <f>Inicial!A67</f>
        <v>65</v>
      </c>
      <c r="B67" s="61" t="str">
        <f>Inicial!B67</f>
        <v>Desposte</v>
      </c>
      <c r="C67" s="61" t="str">
        <f>Inicial!C67</f>
        <v>Operario de producción Línea Pulpa Piernas</v>
      </c>
      <c r="D67" s="62" t="str">
        <f>Inicial!D67</f>
        <v>Extracción de pernil</v>
      </c>
      <c r="E67" s="60" t="str">
        <f>IF(Inicial!J67="SI",Inicial!E67,"N/A")</f>
        <v>Am: 07:00 a 16:00 - PM: 17:15 a 02:45</v>
      </c>
      <c r="F67" s="61" t="str">
        <f>IF(Inicial!J67="SI",Inicial!F67,"N/A")</f>
        <v>0.5</v>
      </c>
      <c r="G67" s="61">
        <f>IF(Inicial!J67="SI",Inicial!G67,"N/A")</f>
        <v>4.5</v>
      </c>
      <c r="H67" s="61">
        <f>IF(Inicial!J67="SI",Inicial!H67,"N/A")</f>
        <v>92</v>
      </c>
      <c r="I67" s="63">
        <f>IF(Inicial!J67="SI",Inicial!I67,"N/A")</f>
        <v>0</v>
      </c>
      <c r="J67" s="52" t="s">
        <v>16</v>
      </c>
      <c r="K67" s="6" t="s">
        <v>346</v>
      </c>
      <c r="L67" s="6" t="s">
        <v>346</v>
      </c>
      <c r="M67" s="6" t="s">
        <v>346</v>
      </c>
      <c r="N67" s="6" t="s">
        <v>346</v>
      </c>
      <c r="O67" s="6" t="s">
        <v>346</v>
      </c>
      <c r="P67" s="6" t="str">
        <f t="shared" si="0"/>
        <v>No Aceptable</v>
      </c>
      <c r="Q67" s="6" t="s">
        <v>16</v>
      </c>
      <c r="R67" s="6" t="s">
        <v>16</v>
      </c>
      <c r="S67" s="6" t="s">
        <v>16</v>
      </c>
      <c r="T67" s="6" t="s">
        <v>16</v>
      </c>
      <c r="U67" s="6" t="s">
        <v>16</v>
      </c>
      <c r="V67" s="6" t="s">
        <v>16</v>
      </c>
      <c r="W67" s="6" t="str">
        <f t="shared" si="1"/>
        <v>No Critico</v>
      </c>
    </row>
    <row r="68" spans="1:23" ht="51">
      <c r="A68" s="60">
        <f>Inicial!A68</f>
        <v>66</v>
      </c>
      <c r="B68" s="61" t="str">
        <f>Inicial!B68</f>
        <v>Desposte</v>
      </c>
      <c r="C68" s="61" t="str">
        <f>Inicial!C68</f>
        <v>Operario de producción Línea Pulpa Piernas</v>
      </c>
      <c r="D68" s="62" t="str">
        <f>Inicial!D68</f>
        <v xml:space="preserve">Extracción Cazuela y cola </v>
      </c>
      <c r="E68" s="60" t="str">
        <f>IF(Inicial!J68="SI",Inicial!E68,"N/A")</f>
        <v>Am: 07:00 a 16:00 - PM: 17:15 a 02:45</v>
      </c>
      <c r="F68" s="61" t="str">
        <f>IF(Inicial!J68="SI",Inicial!F68,"N/A")</f>
        <v>0.5</v>
      </c>
      <c r="G68" s="61">
        <f>IF(Inicial!J68="SI",Inicial!G68,"N/A")</f>
        <v>4.5</v>
      </c>
      <c r="H68" s="61">
        <f>IF(Inicial!J68="SI",Inicial!H68,"N/A")</f>
        <v>92</v>
      </c>
      <c r="I68" s="63">
        <f>IF(Inicial!J68="SI",Inicial!I68,"N/A")</f>
        <v>0</v>
      </c>
      <c r="J68" s="52" t="s">
        <v>16</v>
      </c>
      <c r="K68" s="6" t="s">
        <v>346</v>
      </c>
      <c r="L68" s="6" t="s">
        <v>346</v>
      </c>
      <c r="M68" s="6" t="s">
        <v>346</v>
      </c>
      <c r="N68" s="6" t="s">
        <v>346</v>
      </c>
      <c r="O68" s="6" t="s">
        <v>346</v>
      </c>
      <c r="P68" s="6" t="str">
        <f t="shared" ref="P68:P131" si="2">IF(OR(J68="NO",K68="NO",L68="NO",M68="NO",N68="NO",O68="NO"),"No Aceptable","Aceptable")</f>
        <v>No Aceptable</v>
      </c>
      <c r="Q68" s="6" t="s">
        <v>16</v>
      </c>
      <c r="R68" s="6" t="s">
        <v>16</v>
      </c>
      <c r="S68" s="6" t="s">
        <v>16</v>
      </c>
      <c r="T68" s="6" t="s">
        <v>16</v>
      </c>
      <c r="U68" s="6" t="s">
        <v>16</v>
      </c>
      <c r="V68" s="6" t="s">
        <v>16</v>
      </c>
      <c r="W68" s="6" t="str">
        <f t="shared" ref="W68:W131" si="3">IF(AND(Q68="NO",R68="NO",S68="NO",T68="NO",U68="NO",V68="NO"),"No Critico","Critico")</f>
        <v>No Critico</v>
      </c>
    </row>
    <row r="69" spans="1:23" ht="51">
      <c r="A69" s="60">
        <f>Inicial!A69</f>
        <v>67</v>
      </c>
      <c r="B69" s="61" t="str">
        <f>Inicial!B69</f>
        <v>Desposte</v>
      </c>
      <c r="C69" s="61" t="str">
        <f>Inicial!C69</f>
        <v>Operario de producción Línea Pulpa Piernas</v>
      </c>
      <c r="D69" s="62" t="str">
        <f>Inicial!D69</f>
        <v>Prolijado de pierna</v>
      </c>
      <c r="E69" s="60" t="str">
        <f>IF(Inicial!J69="SI",Inicial!E69,"N/A")</f>
        <v>Am: 07:00 a 16:00 - PM: 17:15 a 02:45</v>
      </c>
      <c r="F69" s="61" t="str">
        <f>IF(Inicial!J69="SI",Inicial!F69,"N/A")</f>
        <v>0.5</v>
      </c>
      <c r="G69" s="61">
        <f>IF(Inicial!J69="SI",Inicial!G69,"N/A")</f>
        <v>4.5</v>
      </c>
      <c r="H69" s="61">
        <f>IF(Inicial!J69="SI",Inicial!H69,"N/A")</f>
        <v>92</v>
      </c>
      <c r="I69" s="63">
        <f>IF(Inicial!J69="SI",Inicial!I69,"N/A")</f>
        <v>0</v>
      </c>
      <c r="J69" s="52" t="s">
        <v>16</v>
      </c>
      <c r="K69" s="6" t="s">
        <v>346</v>
      </c>
      <c r="L69" s="6" t="s">
        <v>346</v>
      </c>
      <c r="M69" s="6" t="s">
        <v>346</v>
      </c>
      <c r="N69" s="6" t="s">
        <v>346</v>
      </c>
      <c r="O69" s="6" t="s">
        <v>346</v>
      </c>
      <c r="P69" s="6" t="str">
        <f t="shared" si="2"/>
        <v>No Aceptable</v>
      </c>
      <c r="Q69" s="6" t="s">
        <v>16</v>
      </c>
      <c r="R69" s="6" t="s">
        <v>16</v>
      </c>
      <c r="S69" s="6" t="s">
        <v>16</v>
      </c>
      <c r="T69" s="6" t="s">
        <v>16</v>
      </c>
      <c r="U69" s="6" t="s">
        <v>16</v>
      </c>
      <c r="V69" s="6" t="s">
        <v>16</v>
      </c>
      <c r="W69" s="6" t="str">
        <f t="shared" si="3"/>
        <v>No Critico</v>
      </c>
    </row>
    <row r="70" spans="1:23" ht="51">
      <c r="A70" s="60">
        <f>Inicial!A70</f>
        <v>68</v>
      </c>
      <c r="B70" s="61" t="str">
        <f>Inicial!B70</f>
        <v>Desposte</v>
      </c>
      <c r="C70" s="61" t="str">
        <f>Inicial!C70</f>
        <v>Operario de producción Línea Pulpa Piernas</v>
      </c>
      <c r="D70" s="62" t="str">
        <f>Inicial!D70</f>
        <v>Deshuesado coxal</v>
      </c>
      <c r="E70" s="60" t="str">
        <f>IF(Inicial!J70="SI",Inicial!E70,"N/A")</f>
        <v>Am: 07:00 a 16:00 - PM: 17:15 a 02:45</v>
      </c>
      <c r="F70" s="61" t="str">
        <f>IF(Inicial!J70="SI",Inicial!F70,"N/A")</f>
        <v>0.5</v>
      </c>
      <c r="G70" s="61">
        <f>IF(Inicial!J70="SI",Inicial!G70,"N/A")</f>
        <v>4.5</v>
      </c>
      <c r="H70" s="61">
        <f>IF(Inicial!J70="SI",Inicial!H70,"N/A")</f>
        <v>92</v>
      </c>
      <c r="I70" s="63">
        <f>IF(Inicial!J70="SI",Inicial!I70,"N/A")</f>
        <v>0</v>
      </c>
      <c r="J70" s="52" t="s">
        <v>16</v>
      </c>
      <c r="K70" s="6" t="s">
        <v>346</v>
      </c>
      <c r="L70" s="6" t="s">
        <v>16</v>
      </c>
      <c r="M70" s="6" t="s">
        <v>16</v>
      </c>
      <c r="N70" s="6" t="s">
        <v>346</v>
      </c>
      <c r="O70" s="6" t="s">
        <v>346</v>
      </c>
      <c r="P70" s="6" t="str">
        <f t="shared" si="2"/>
        <v>No Aceptable</v>
      </c>
      <c r="Q70" s="6" t="s">
        <v>16</v>
      </c>
      <c r="R70" s="6" t="s">
        <v>16</v>
      </c>
      <c r="S70" s="6" t="s">
        <v>16</v>
      </c>
      <c r="T70" s="6" t="s">
        <v>16</v>
      </c>
      <c r="U70" s="6" t="s">
        <v>16</v>
      </c>
      <c r="V70" s="6" t="s">
        <v>16</v>
      </c>
      <c r="W70" s="6" t="str">
        <f t="shared" si="3"/>
        <v>No Critico</v>
      </c>
    </row>
    <row r="71" spans="1:23" ht="51">
      <c r="A71" s="60">
        <f>Inicial!A71</f>
        <v>69</v>
      </c>
      <c r="B71" s="61" t="str">
        <f>Inicial!B71</f>
        <v>Desposte</v>
      </c>
      <c r="C71" s="61" t="str">
        <f>Inicial!C71</f>
        <v>Operario de producción Línea Pulpa Piernas</v>
      </c>
      <c r="D71" s="62" t="str">
        <f>Inicial!D71</f>
        <v>Deshuesado fémur</v>
      </c>
      <c r="E71" s="60" t="str">
        <f>IF(Inicial!J71="SI",Inicial!E71,"N/A")</f>
        <v>Am: 07:00 a 16:00 - PM: 17:15 a 02:45</v>
      </c>
      <c r="F71" s="61" t="str">
        <f>IF(Inicial!J71="SI",Inicial!F71,"N/A")</f>
        <v>0.5</v>
      </c>
      <c r="G71" s="61">
        <f>IF(Inicial!J71="SI",Inicial!G71,"N/A")</f>
        <v>4.5</v>
      </c>
      <c r="H71" s="61">
        <f>IF(Inicial!J71="SI",Inicial!H71,"N/A")</f>
        <v>92</v>
      </c>
      <c r="I71" s="63">
        <f>IF(Inicial!J71="SI",Inicial!I71,"N/A")</f>
        <v>0</v>
      </c>
      <c r="J71" s="52" t="s">
        <v>16</v>
      </c>
      <c r="K71" s="6" t="s">
        <v>346</v>
      </c>
      <c r="L71" s="6" t="s">
        <v>16</v>
      </c>
      <c r="M71" s="6" t="s">
        <v>16</v>
      </c>
      <c r="N71" s="6" t="s">
        <v>346</v>
      </c>
      <c r="O71" s="6" t="s">
        <v>346</v>
      </c>
      <c r="P71" s="6" t="str">
        <f t="shared" si="2"/>
        <v>No Aceptable</v>
      </c>
      <c r="Q71" s="6" t="s">
        <v>16</v>
      </c>
      <c r="R71" s="6" t="s">
        <v>16</v>
      </c>
      <c r="S71" s="6" t="s">
        <v>16</v>
      </c>
      <c r="T71" s="6" t="s">
        <v>16</v>
      </c>
      <c r="U71" s="6" t="s">
        <v>16</v>
      </c>
      <c r="V71" s="6" t="s">
        <v>16</v>
      </c>
      <c r="W71" s="6" t="str">
        <f t="shared" si="3"/>
        <v>No Critico</v>
      </c>
    </row>
    <row r="72" spans="1:23" ht="51">
      <c r="A72" s="60">
        <f>Inicial!A72</f>
        <v>70</v>
      </c>
      <c r="B72" s="61" t="str">
        <f>Inicial!B72</f>
        <v>Desposte</v>
      </c>
      <c r="C72" s="61" t="str">
        <f>Inicial!C72</f>
        <v>Operario de producción Línea Pulpa Piernas</v>
      </c>
      <c r="D72" s="62" t="str">
        <f>Inicial!D72</f>
        <v>Prolijado de cartilago</v>
      </c>
      <c r="E72" s="60" t="str">
        <f>IF(Inicial!J72="SI",Inicial!E72,"N/A")</f>
        <v>Am: 07:00 a 16:00 - PM: 17:15 a 02:45</v>
      </c>
      <c r="F72" s="61" t="str">
        <f>IF(Inicial!J72="SI",Inicial!F72,"N/A")</f>
        <v>0.5</v>
      </c>
      <c r="G72" s="61">
        <f>IF(Inicial!J72="SI",Inicial!G72,"N/A")</f>
        <v>4.5</v>
      </c>
      <c r="H72" s="61">
        <f>IF(Inicial!J72="SI",Inicial!H72,"N/A")</f>
        <v>92</v>
      </c>
      <c r="I72" s="63">
        <f>IF(Inicial!J72="SI",Inicial!I72,"N/A")</f>
        <v>0</v>
      </c>
      <c r="J72" s="52" t="s">
        <v>16</v>
      </c>
      <c r="K72" s="6" t="s">
        <v>346</v>
      </c>
      <c r="L72" s="6" t="s">
        <v>346</v>
      </c>
      <c r="M72" s="6" t="s">
        <v>346</v>
      </c>
      <c r="N72" s="6" t="s">
        <v>346</v>
      </c>
      <c r="O72" s="6" t="s">
        <v>346</v>
      </c>
      <c r="P72" s="6" t="str">
        <f t="shared" si="2"/>
        <v>No Aceptable</v>
      </c>
      <c r="Q72" s="6" t="s">
        <v>16</v>
      </c>
      <c r="R72" s="6" t="s">
        <v>16</v>
      </c>
      <c r="S72" s="6" t="s">
        <v>16</v>
      </c>
      <c r="T72" s="6" t="s">
        <v>16</v>
      </c>
      <c r="U72" s="6" t="s">
        <v>16</v>
      </c>
      <c r="V72" s="6" t="s">
        <v>16</v>
      </c>
      <c r="W72" s="6" t="str">
        <f t="shared" si="3"/>
        <v>No Critico</v>
      </c>
    </row>
    <row r="73" spans="1:23" ht="51">
      <c r="A73" s="60">
        <f>Inicial!A73</f>
        <v>71</v>
      </c>
      <c r="B73" s="61" t="str">
        <f>Inicial!B73</f>
        <v>Desposte</v>
      </c>
      <c r="C73" s="61" t="str">
        <f>Inicial!C73</f>
        <v>Operario de producción Línea Pulpa Piernas</v>
      </c>
      <c r="D73" s="62" t="str">
        <f>Inicial!D73</f>
        <v>Prolijado de pulpa</v>
      </c>
      <c r="E73" s="60" t="str">
        <f>IF(Inicial!J73="SI",Inicial!E73,"N/A")</f>
        <v>Am: 07:00 a 16:00 - PM: 17:15 a 02:45</v>
      </c>
      <c r="F73" s="61" t="str">
        <f>IF(Inicial!J73="SI",Inicial!F73,"N/A")</f>
        <v>0.5</v>
      </c>
      <c r="G73" s="61">
        <f>IF(Inicial!J73="SI",Inicial!G73,"N/A")</f>
        <v>4.5</v>
      </c>
      <c r="H73" s="61">
        <f>IF(Inicial!J73="SI",Inicial!H73,"N/A")</f>
        <v>92</v>
      </c>
      <c r="I73" s="63">
        <f>IF(Inicial!J73="SI",Inicial!I73,"N/A")</f>
        <v>0</v>
      </c>
      <c r="J73" s="52" t="s">
        <v>16</v>
      </c>
      <c r="K73" s="6" t="s">
        <v>346</v>
      </c>
      <c r="L73" s="6" t="s">
        <v>346</v>
      </c>
      <c r="M73" s="6" t="s">
        <v>346</v>
      </c>
      <c r="N73" s="6" t="s">
        <v>346</v>
      </c>
      <c r="O73" s="6" t="s">
        <v>346</v>
      </c>
      <c r="P73" s="6" t="str">
        <f t="shared" si="2"/>
        <v>No Aceptable</v>
      </c>
      <c r="Q73" s="6" t="s">
        <v>16</v>
      </c>
      <c r="R73" s="6" t="s">
        <v>16</v>
      </c>
      <c r="S73" s="6" t="s">
        <v>16</v>
      </c>
      <c r="T73" s="6" t="s">
        <v>16</v>
      </c>
      <c r="U73" s="6" t="s">
        <v>16</v>
      </c>
      <c r="V73" s="6" t="s">
        <v>16</v>
      </c>
      <c r="W73" s="6" t="str">
        <f t="shared" si="3"/>
        <v>No Critico</v>
      </c>
    </row>
    <row r="74" spans="1:23" ht="51">
      <c r="A74" s="60">
        <f>Inicial!A74</f>
        <v>72</v>
      </c>
      <c r="B74" s="61" t="str">
        <f>Inicial!B74</f>
        <v>Desposte</v>
      </c>
      <c r="C74" s="61" t="str">
        <f>Inicial!C74</f>
        <v>Operario de producción Línea Pulpa Piernas</v>
      </c>
      <c r="D74" s="62" t="str">
        <f>Inicial!D74</f>
        <v>Extracción de posta rosada</v>
      </c>
      <c r="E74" s="60" t="str">
        <f>IF(Inicial!J74="SI",Inicial!E74,"N/A")</f>
        <v>Am: 07:00 a 16:00 - PM: 17:15 a 02:45</v>
      </c>
      <c r="F74" s="61" t="str">
        <f>IF(Inicial!J74="SI",Inicial!F74,"N/A")</f>
        <v>0.5</v>
      </c>
      <c r="G74" s="61">
        <f>IF(Inicial!J74="SI",Inicial!G74,"N/A")</f>
        <v>4.5</v>
      </c>
      <c r="H74" s="61">
        <f>IF(Inicial!J74="SI",Inicial!H74,"N/A")</f>
        <v>92</v>
      </c>
      <c r="I74" s="63">
        <f>IF(Inicial!J74="SI",Inicial!I74,"N/A")</f>
        <v>0</v>
      </c>
      <c r="J74" s="52" t="s">
        <v>16</v>
      </c>
      <c r="K74" s="6" t="s">
        <v>346</v>
      </c>
      <c r="L74" s="6" t="s">
        <v>346</v>
      </c>
      <c r="M74" s="6" t="s">
        <v>346</v>
      </c>
      <c r="N74" s="6" t="s">
        <v>346</v>
      </c>
      <c r="O74" s="6" t="s">
        <v>346</v>
      </c>
      <c r="P74" s="6" t="str">
        <f t="shared" si="2"/>
        <v>No Aceptable</v>
      </c>
      <c r="Q74" s="6" t="s">
        <v>16</v>
      </c>
      <c r="R74" s="6" t="s">
        <v>16</v>
      </c>
      <c r="S74" s="6" t="s">
        <v>16</v>
      </c>
      <c r="T74" s="6" t="s">
        <v>16</v>
      </c>
      <c r="U74" s="6" t="s">
        <v>16</v>
      </c>
      <c r="V74" s="6" t="s">
        <v>16</v>
      </c>
      <c r="W74" s="6" t="str">
        <f t="shared" si="3"/>
        <v>No Critico</v>
      </c>
    </row>
    <row r="75" spans="1:23" ht="51">
      <c r="A75" s="60">
        <f>Inicial!A75</f>
        <v>73</v>
      </c>
      <c r="B75" s="61" t="str">
        <f>Inicial!B75</f>
        <v>Desposte</v>
      </c>
      <c r="C75" s="61" t="str">
        <f>Inicial!C75</f>
        <v>Operario de producción Línea Pulpa Piernas</v>
      </c>
      <c r="D75" s="62" t="str">
        <f>Inicial!D75</f>
        <v>Extracción de posta negra</v>
      </c>
      <c r="E75" s="60" t="str">
        <f>IF(Inicial!J75="SI",Inicial!E75,"N/A")</f>
        <v>Am: 07:00 a 16:00 - PM: 17:15 a 02:45</v>
      </c>
      <c r="F75" s="61" t="str">
        <f>IF(Inicial!J75="SI",Inicial!F75,"N/A")</f>
        <v>0.5</v>
      </c>
      <c r="G75" s="61">
        <f>IF(Inicial!J75="SI",Inicial!G75,"N/A")</f>
        <v>4.5</v>
      </c>
      <c r="H75" s="61">
        <f>IF(Inicial!J75="SI",Inicial!H75,"N/A")</f>
        <v>92</v>
      </c>
      <c r="I75" s="63">
        <f>IF(Inicial!J75="SI",Inicial!I75,"N/A")</f>
        <v>0</v>
      </c>
      <c r="J75" s="52" t="s">
        <v>16</v>
      </c>
      <c r="K75" s="6" t="s">
        <v>346</v>
      </c>
      <c r="L75" s="6" t="s">
        <v>346</v>
      </c>
      <c r="M75" s="6" t="s">
        <v>346</v>
      </c>
      <c r="N75" s="6" t="s">
        <v>346</v>
      </c>
      <c r="O75" s="6" t="s">
        <v>346</v>
      </c>
      <c r="P75" s="6" t="str">
        <f t="shared" si="2"/>
        <v>No Aceptable</v>
      </c>
      <c r="Q75" s="6" t="s">
        <v>16</v>
      </c>
      <c r="R75" s="6" t="s">
        <v>16</v>
      </c>
      <c r="S75" s="6" t="s">
        <v>16</v>
      </c>
      <c r="T75" s="6" t="s">
        <v>16</v>
      </c>
      <c r="U75" s="6" t="s">
        <v>16</v>
      </c>
      <c r="V75" s="6" t="s">
        <v>16</v>
      </c>
      <c r="W75" s="6" t="str">
        <f t="shared" si="3"/>
        <v>No Critico</v>
      </c>
    </row>
    <row r="76" spans="1:23" ht="51">
      <c r="A76" s="60">
        <f>Inicial!A76</f>
        <v>74</v>
      </c>
      <c r="B76" s="61" t="str">
        <f>Inicial!B76</f>
        <v>Desposte</v>
      </c>
      <c r="C76" s="61" t="str">
        <f>Inicial!C76</f>
        <v>Operario de producción Línea Pulpa Piernas</v>
      </c>
      <c r="D76" s="62" t="str">
        <f>Inicial!D76</f>
        <v>Extracción de asiento</v>
      </c>
      <c r="E76" s="60" t="str">
        <f>IF(Inicial!J76="SI",Inicial!E76,"N/A")</f>
        <v>Am: 07:00 a 16:00 - PM: 17:15 a 02:45</v>
      </c>
      <c r="F76" s="61" t="str">
        <f>IF(Inicial!J76="SI",Inicial!F76,"N/A")</f>
        <v>0.5</v>
      </c>
      <c r="G76" s="61">
        <f>IF(Inicial!J76="SI",Inicial!G76,"N/A")</f>
        <v>4.5</v>
      </c>
      <c r="H76" s="61">
        <f>IF(Inicial!J76="SI",Inicial!H76,"N/A")</f>
        <v>92</v>
      </c>
      <c r="I76" s="63">
        <f>IF(Inicial!J76="SI",Inicial!I76,"N/A")</f>
        <v>0</v>
      </c>
      <c r="J76" s="52" t="s">
        <v>16</v>
      </c>
      <c r="K76" s="6" t="s">
        <v>346</v>
      </c>
      <c r="L76" s="6" t="s">
        <v>346</v>
      </c>
      <c r="M76" s="6" t="s">
        <v>346</v>
      </c>
      <c r="N76" s="6" t="s">
        <v>346</v>
      </c>
      <c r="O76" s="6" t="s">
        <v>346</v>
      </c>
      <c r="P76" s="6" t="str">
        <f t="shared" si="2"/>
        <v>No Aceptable</v>
      </c>
      <c r="Q76" s="6" t="s">
        <v>16</v>
      </c>
      <c r="R76" s="6" t="s">
        <v>16</v>
      </c>
      <c r="S76" s="6" t="s">
        <v>16</v>
      </c>
      <c r="T76" s="6" t="s">
        <v>16</v>
      </c>
      <c r="U76" s="6" t="s">
        <v>16</v>
      </c>
      <c r="V76" s="6" t="s">
        <v>16</v>
      </c>
      <c r="W76" s="6" t="str">
        <f t="shared" si="3"/>
        <v>No Critico</v>
      </c>
    </row>
    <row r="77" spans="1:23" ht="51">
      <c r="A77" s="60">
        <f>Inicial!A77</f>
        <v>75</v>
      </c>
      <c r="B77" s="61" t="str">
        <f>Inicial!B77</f>
        <v>Desposte</v>
      </c>
      <c r="C77" s="61" t="str">
        <f>Inicial!C77</f>
        <v>Operario de producción Línea Pulpa Piernas</v>
      </c>
      <c r="D77" s="62" t="str">
        <f>Inicial!D77</f>
        <v xml:space="preserve">Extracción de abastero </v>
      </c>
      <c r="E77" s="60" t="str">
        <f>IF(Inicial!J77="SI",Inicial!E77,"N/A")</f>
        <v>Am: 07:00 a 16:00 - PM: 17:15 a 02:45</v>
      </c>
      <c r="F77" s="61" t="str">
        <f>IF(Inicial!J77="SI",Inicial!F77,"N/A")</f>
        <v>0.5</v>
      </c>
      <c r="G77" s="61">
        <f>IF(Inicial!J77="SI",Inicial!G77,"N/A")</f>
        <v>4.5</v>
      </c>
      <c r="H77" s="61">
        <f>IF(Inicial!J77="SI",Inicial!H77,"N/A")</f>
        <v>92</v>
      </c>
      <c r="I77" s="63">
        <f>IF(Inicial!J77="SI",Inicial!I77,"N/A")</f>
        <v>0</v>
      </c>
      <c r="J77" s="52" t="s">
        <v>16</v>
      </c>
      <c r="K77" s="6" t="s">
        <v>346</v>
      </c>
      <c r="L77" s="6" t="s">
        <v>346</v>
      </c>
      <c r="M77" s="6" t="s">
        <v>346</v>
      </c>
      <c r="N77" s="6" t="s">
        <v>346</v>
      </c>
      <c r="O77" s="6" t="s">
        <v>346</v>
      </c>
      <c r="P77" s="6" t="str">
        <f t="shared" si="2"/>
        <v>No Aceptable</v>
      </c>
      <c r="Q77" s="6" t="s">
        <v>16</v>
      </c>
      <c r="R77" s="6" t="s">
        <v>16</v>
      </c>
      <c r="S77" s="6" t="s">
        <v>16</v>
      </c>
      <c r="T77" s="6" t="s">
        <v>16</v>
      </c>
      <c r="U77" s="6" t="s">
        <v>16</v>
      </c>
      <c r="V77" s="6" t="s">
        <v>16</v>
      </c>
      <c r="W77" s="6" t="str">
        <f t="shared" si="3"/>
        <v>No Critico</v>
      </c>
    </row>
    <row r="78" spans="1:23" ht="51">
      <c r="A78" s="60">
        <f>Inicial!A78</f>
        <v>76</v>
      </c>
      <c r="B78" s="61" t="str">
        <f>Inicial!B78</f>
        <v>Desposte</v>
      </c>
      <c r="C78" s="61" t="str">
        <f>Inicial!C78</f>
        <v>Operario de producción Línea Pulpa Piernas</v>
      </c>
      <c r="D78" s="62" t="str">
        <f>Inicial!D78</f>
        <v>Extracción de ganso</v>
      </c>
      <c r="E78" s="60" t="str">
        <f>IF(Inicial!J78="SI",Inicial!E78,"N/A")</f>
        <v>Am: 07:00 a 16:00 - PM: 17:15 a 02:45</v>
      </c>
      <c r="F78" s="61" t="str">
        <f>IF(Inicial!J78="SI",Inicial!F78,"N/A")</f>
        <v>0.5</v>
      </c>
      <c r="G78" s="61">
        <f>IF(Inicial!J78="SI",Inicial!G78,"N/A")</f>
        <v>4.5</v>
      </c>
      <c r="H78" s="61">
        <f>IF(Inicial!J78="SI",Inicial!H78,"N/A")</f>
        <v>92</v>
      </c>
      <c r="I78" s="63">
        <f>IF(Inicial!J78="SI",Inicial!I78,"N/A")</f>
        <v>0</v>
      </c>
      <c r="J78" s="52" t="s">
        <v>16</v>
      </c>
      <c r="K78" s="6" t="s">
        <v>346</v>
      </c>
      <c r="L78" s="6" t="s">
        <v>346</v>
      </c>
      <c r="M78" s="6" t="s">
        <v>346</v>
      </c>
      <c r="N78" s="6" t="s">
        <v>346</v>
      </c>
      <c r="O78" s="6" t="s">
        <v>346</v>
      </c>
      <c r="P78" s="6" t="str">
        <f t="shared" si="2"/>
        <v>No Aceptable</v>
      </c>
      <c r="Q78" s="6" t="s">
        <v>16</v>
      </c>
      <c r="R78" s="6" t="s">
        <v>16</v>
      </c>
      <c r="S78" s="6" t="s">
        <v>16</v>
      </c>
      <c r="T78" s="6" t="s">
        <v>16</v>
      </c>
      <c r="U78" s="6" t="s">
        <v>16</v>
      </c>
      <c r="V78" s="6" t="s">
        <v>16</v>
      </c>
      <c r="W78" s="6" t="str">
        <f t="shared" si="3"/>
        <v>No Critico</v>
      </c>
    </row>
    <row r="79" spans="1:23" ht="51">
      <c r="A79" s="60">
        <f>Inicial!A79</f>
        <v>77</v>
      </c>
      <c r="B79" s="61" t="str">
        <f>Inicial!B79</f>
        <v>Desposte</v>
      </c>
      <c r="C79" s="61" t="str">
        <f>Inicial!C79</f>
        <v>Operario de producción Línea Pulpa Piernas</v>
      </c>
      <c r="D79" s="62" t="str">
        <f>Inicial!D79</f>
        <v>Operador desmenbranadora</v>
      </c>
      <c r="E79" s="60" t="str">
        <f>IF(Inicial!J79="SI",Inicial!E79,"N/A")</f>
        <v>Am: 07:00 a 16:00 - PM: 17:15 a 02:45</v>
      </c>
      <c r="F79" s="61" t="str">
        <f>IF(Inicial!J79="SI",Inicial!F79,"N/A")</f>
        <v>0.5</v>
      </c>
      <c r="G79" s="61">
        <f>IF(Inicial!J79="SI",Inicial!G79,"N/A")</f>
        <v>4.5</v>
      </c>
      <c r="H79" s="61">
        <f>IF(Inicial!J79="SI",Inicial!H79,"N/A")</f>
        <v>92</v>
      </c>
      <c r="I79" s="63">
        <f>IF(Inicial!J79="SI",Inicial!I79,"N/A")</f>
        <v>0</v>
      </c>
      <c r="J79" s="52" t="s">
        <v>16</v>
      </c>
      <c r="K79" s="6" t="s">
        <v>346</v>
      </c>
      <c r="L79" s="6" t="s">
        <v>346</v>
      </c>
      <c r="M79" s="6" t="s">
        <v>346</v>
      </c>
      <c r="N79" s="6" t="s">
        <v>346</v>
      </c>
      <c r="O79" s="6" t="s">
        <v>346</v>
      </c>
      <c r="P79" s="6" t="str">
        <f t="shared" si="2"/>
        <v>No Aceptable</v>
      </c>
      <c r="Q79" s="6" t="s">
        <v>16</v>
      </c>
      <c r="R79" s="6" t="s">
        <v>16</v>
      </c>
      <c r="S79" s="6" t="s">
        <v>16</v>
      </c>
      <c r="T79" s="6" t="s">
        <v>16</v>
      </c>
      <c r="U79" s="6" t="s">
        <v>16</v>
      </c>
      <c r="V79" s="6" t="s">
        <v>16</v>
      </c>
      <c r="W79" s="6" t="str">
        <f t="shared" si="3"/>
        <v>No Critico</v>
      </c>
    </row>
    <row r="80" spans="1:23" ht="51">
      <c r="A80" s="60">
        <f>Inicial!A80</f>
        <v>78</v>
      </c>
      <c r="B80" s="61" t="str">
        <f>Inicial!B80</f>
        <v>Desposte</v>
      </c>
      <c r="C80" s="61" t="str">
        <f>Inicial!C80</f>
        <v>Operario de producción Línea Pulpa Piernas</v>
      </c>
      <c r="D80" s="62" t="str">
        <f>Inicial!D80</f>
        <v xml:space="preserve">Embalaje </v>
      </c>
      <c r="E80" s="60" t="str">
        <f>IF(Inicial!J80="SI",Inicial!E80,"N/A")</f>
        <v>Am: 07:00 a 16:00 - PM: 17:15 a 02:45</v>
      </c>
      <c r="F80" s="61" t="str">
        <f>IF(Inicial!J80="SI",Inicial!F80,"N/A")</f>
        <v>0.5</v>
      </c>
      <c r="G80" s="61">
        <f>IF(Inicial!J80="SI",Inicial!G80,"N/A")</f>
        <v>4.5</v>
      </c>
      <c r="H80" s="61">
        <f>IF(Inicial!J80="SI",Inicial!H80,"N/A")</f>
        <v>92</v>
      </c>
      <c r="I80" s="63">
        <f>IF(Inicial!J80="SI",Inicial!I80,"N/A")</f>
        <v>0</v>
      </c>
      <c r="J80" s="52" t="s">
        <v>16</v>
      </c>
      <c r="K80" s="6" t="s">
        <v>346</v>
      </c>
      <c r="L80" s="6" t="s">
        <v>346</v>
      </c>
      <c r="M80" s="6" t="s">
        <v>346</v>
      </c>
      <c r="N80" s="6" t="s">
        <v>346</v>
      </c>
      <c r="O80" s="6" t="s">
        <v>346</v>
      </c>
      <c r="P80" s="6" t="str">
        <f t="shared" si="2"/>
        <v>No Aceptable</v>
      </c>
      <c r="Q80" s="6" t="s">
        <v>16</v>
      </c>
      <c r="R80" s="6" t="s">
        <v>16</v>
      </c>
      <c r="S80" s="6" t="s">
        <v>16</v>
      </c>
      <c r="T80" s="6" t="s">
        <v>16</v>
      </c>
      <c r="U80" s="6" t="s">
        <v>16</v>
      </c>
      <c r="V80" s="6" t="s">
        <v>16</v>
      </c>
      <c r="W80" s="6" t="str">
        <f t="shared" si="3"/>
        <v>No Critico</v>
      </c>
    </row>
    <row r="81" spans="1:23" ht="51" hidden="1">
      <c r="A81" s="60">
        <f>Inicial!A81</f>
        <v>79</v>
      </c>
      <c r="B81" s="61" t="str">
        <f>Inicial!B81</f>
        <v>Desposte</v>
      </c>
      <c r="C81" s="61" t="str">
        <f>Inicial!C81</f>
        <v>Operario de producción Línea Pulpa Piernas</v>
      </c>
      <c r="D81" s="62" t="str">
        <f>Inicial!D81</f>
        <v>Prolijado de Cueros</v>
      </c>
      <c r="E81" s="60" t="str">
        <f>IF(Inicial!J81="SI",Inicial!E81,"N/A")</f>
        <v>N/A</v>
      </c>
      <c r="F81" s="61" t="str">
        <f>IF(Inicial!J81="SI",Inicial!F81,"N/A")</f>
        <v>N/A</v>
      </c>
      <c r="G81" s="61" t="str">
        <f>IF(Inicial!J81="SI",Inicial!G81,"N/A")</f>
        <v>N/A</v>
      </c>
      <c r="H81" s="61" t="str">
        <f>IF(Inicial!J81="SI",Inicial!H81,"N/A")</f>
        <v>N/A</v>
      </c>
      <c r="I81" s="63" t="str">
        <f>IF(Inicial!J81="SI",Inicial!I81,"N/A")</f>
        <v>N/A</v>
      </c>
      <c r="J81" s="52"/>
      <c r="P81" s="6" t="str">
        <f t="shared" si="2"/>
        <v>Aceptable</v>
      </c>
      <c r="Q81" s="6"/>
      <c r="R81" s="6"/>
      <c r="S81" s="6"/>
      <c r="T81" s="6"/>
      <c r="U81" s="6"/>
      <c r="V81" s="6"/>
      <c r="W81" s="6" t="str">
        <f t="shared" si="3"/>
        <v>Critico</v>
      </c>
    </row>
    <row r="82" spans="1:23" ht="51">
      <c r="A82" s="60">
        <f>Inicial!A82</f>
        <v>80</v>
      </c>
      <c r="B82" s="61" t="str">
        <f>Inicial!B82</f>
        <v>Desposte</v>
      </c>
      <c r="C82" s="61" t="str">
        <f>Inicial!C82</f>
        <v>Operario de producción Línea Pulpa Piernas</v>
      </c>
      <c r="D82" s="62" t="str">
        <f>Inicial!D82</f>
        <v>Operador descueradora</v>
      </c>
      <c r="E82" s="60" t="str">
        <f>IF(Inicial!J82="SI",Inicial!E82,"N/A")</f>
        <v>Am: 07:00 a 16:00 - PM: 17:15 a 02:45</v>
      </c>
      <c r="F82" s="61" t="str">
        <f>IF(Inicial!J82="SI",Inicial!F82,"N/A")</f>
        <v>0.5</v>
      </c>
      <c r="G82" s="61">
        <f>IF(Inicial!J82="SI",Inicial!G82,"N/A")</f>
        <v>4.5</v>
      </c>
      <c r="H82" s="61">
        <f>IF(Inicial!J82="SI",Inicial!H82,"N/A")</f>
        <v>92</v>
      </c>
      <c r="I82" s="63">
        <f>IF(Inicial!J82="SI",Inicial!I82,"N/A")</f>
        <v>0</v>
      </c>
      <c r="J82" s="52" t="s">
        <v>16</v>
      </c>
      <c r="K82" s="6" t="s">
        <v>346</v>
      </c>
      <c r="L82" s="6" t="s">
        <v>346</v>
      </c>
      <c r="M82" s="6" t="s">
        <v>346</v>
      </c>
      <c r="N82" s="6" t="s">
        <v>346</v>
      </c>
      <c r="O82" s="6" t="s">
        <v>346</v>
      </c>
      <c r="P82" s="6" t="str">
        <f t="shared" si="2"/>
        <v>No Aceptable</v>
      </c>
      <c r="Q82" s="6" t="s">
        <v>16</v>
      </c>
      <c r="R82" s="6" t="s">
        <v>16</v>
      </c>
      <c r="S82" s="6" t="s">
        <v>16</v>
      </c>
      <c r="T82" s="6" t="s">
        <v>16</v>
      </c>
      <c r="U82" s="6" t="s">
        <v>16</v>
      </c>
      <c r="V82" s="6" t="s">
        <v>16</v>
      </c>
      <c r="W82" s="6" t="str">
        <f t="shared" si="3"/>
        <v>No Critico</v>
      </c>
    </row>
    <row r="83" spans="1:23" ht="51" hidden="1">
      <c r="A83" s="60">
        <f>Inicial!A83</f>
        <v>81</v>
      </c>
      <c r="B83" s="61" t="str">
        <f>Inicial!B83</f>
        <v>Desposte</v>
      </c>
      <c r="C83" s="61" t="str">
        <f>Inicial!C83</f>
        <v>Operario de producción Línea Embolsado</v>
      </c>
      <c r="D83" s="62" t="str">
        <f>Inicial!D83</f>
        <v>Revision de pancetas robot</v>
      </c>
      <c r="E83" s="60" t="str">
        <f>IF(Inicial!J83="SI",Inicial!E83,"N/A")</f>
        <v>N/A</v>
      </c>
      <c r="F83" s="61" t="str">
        <f>IF(Inicial!J83="SI",Inicial!F83,"N/A")</f>
        <v>N/A</v>
      </c>
      <c r="G83" s="61" t="str">
        <f>IF(Inicial!J83="SI",Inicial!G83,"N/A")</f>
        <v>N/A</v>
      </c>
      <c r="H83" s="61" t="str">
        <f>IF(Inicial!J83="SI",Inicial!H83,"N/A")</f>
        <v>N/A</v>
      </c>
      <c r="I83" s="63" t="str">
        <f>IF(Inicial!J83="SI",Inicial!I83,"N/A")</f>
        <v>N/A</v>
      </c>
      <c r="J83" s="52"/>
      <c r="P83" s="6" t="str">
        <f t="shared" si="2"/>
        <v>Aceptable</v>
      </c>
      <c r="Q83" s="6"/>
      <c r="R83" s="6"/>
      <c r="S83" s="6"/>
      <c r="T83" s="6"/>
      <c r="U83" s="6"/>
      <c r="V83" s="6"/>
      <c r="W83" s="6" t="str">
        <f t="shared" si="3"/>
        <v>Critico</v>
      </c>
    </row>
    <row r="84" spans="1:23" ht="51">
      <c r="A84" s="60">
        <f>Inicial!A84</f>
        <v>82</v>
      </c>
      <c r="B84" s="61" t="str">
        <f>Inicial!B84</f>
        <v>Desposte</v>
      </c>
      <c r="C84" s="61" t="str">
        <f>Inicial!C84</f>
        <v>Operario de producción Línea Embolsado</v>
      </c>
      <c r="D84" s="62" t="str">
        <f>Inicial!D84</f>
        <v>Operador de robot</v>
      </c>
      <c r="E84" s="60" t="str">
        <f>IF(Inicial!J84="SI",Inicial!E84,"N/A")</f>
        <v>Am: 07:30 a 16:15 - PM: 17:30 a 03:00</v>
      </c>
      <c r="F84" s="61" t="str">
        <f>IF(Inicial!J84="SI",Inicial!F84,"N/A")</f>
        <v>0.5</v>
      </c>
      <c r="G84" s="61">
        <f>IF(Inicial!J84="SI",Inicial!G84,"N/A")</f>
        <v>4.5</v>
      </c>
      <c r="H84" s="61">
        <f>IF(Inicial!J84="SI",Inicial!H84,"N/A")</f>
        <v>15</v>
      </c>
      <c r="I84" s="63">
        <f>IF(Inicial!J84="SI",Inicial!I84,"N/A")</f>
        <v>60</v>
      </c>
      <c r="J84" s="52" t="s">
        <v>16</v>
      </c>
      <c r="K84" s="6" t="s">
        <v>346</v>
      </c>
      <c r="L84" s="6" t="s">
        <v>346</v>
      </c>
      <c r="M84" s="6" t="s">
        <v>346</v>
      </c>
      <c r="N84" s="6" t="s">
        <v>346</v>
      </c>
      <c r="O84" s="6" t="s">
        <v>346</v>
      </c>
      <c r="P84" s="6" t="str">
        <f t="shared" si="2"/>
        <v>No Aceptable</v>
      </c>
      <c r="Q84" s="6" t="s">
        <v>16</v>
      </c>
      <c r="R84" s="6" t="s">
        <v>16</v>
      </c>
      <c r="S84" s="6" t="s">
        <v>16</v>
      </c>
      <c r="T84" s="6" t="s">
        <v>16</v>
      </c>
      <c r="U84" s="6" t="s">
        <v>16</v>
      </c>
      <c r="V84" s="6" t="s">
        <v>16</v>
      </c>
      <c r="W84" s="6" t="str">
        <f t="shared" si="3"/>
        <v>No Critico</v>
      </c>
    </row>
    <row r="85" spans="1:23" ht="51">
      <c r="A85" s="60">
        <f>Inicial!A85</f>
        <v>83</v>
      </c>
      <c r="B85" s="61" t="str">
        <f>Inicial!B85</f>
        <v>Desposte</v>
      </c>
      <c r="C85" s="61" t="str">
        <f>Inicial!C85</f>
        <v>Operario de producción Línea Embolsado</v>
      </c>
      <c r="D85" s="62" t="str">
        <f>Inicial!D85</f>
        <v>Operador de rotativa</v>
      </c>
      <c r="E85" s="60" t="str">
        <f>IF(Inicial!J85="SI",Inicial!E85,"N/A")</f>
        <v>Am: 07:30 a 16:15 - PM: 17:30 a 03:00</v>
      </c>
      <c r="F85" s="61" t="str">
        <f>IF(Inicial!J85="SI",Inicial!F85,"N/A")</f>
        <v>0.5</v>
      </c>
      <c r="G85" s="61">
        <f>IF(Inicial!J85="SI",Inicial!G85,"N/A")</f>
        <v>4.5</v>
      </c>
      <c r="H85" s="61">
        <f>IF(Inicial!J85="SI",Inicial!H85,"N/A")</f>
        <v>0</v>
      </c>
      <c r="I85" s="63">
        <f>IF(Inicial!J85="SI",Inicial!I85,"N/A")</f>
        <v>60</v>
      </c>
      <c r="J85" s="52" t="s">
        <v>16</v>
      </c>
      <c r="K85" s="6" t="s">
        <v>346</v>
      </c>
      <c r="L85" s="6" t="s">
        <v>346</v>
      </c>
      <c r="M85" s="6" t="s">
        <v>346</v>
      </c>
      <c r="N85" s="6" t="s">
        <v>346</v>
      </c>
      <c r="O85" s="6" t="s">
        <v>346</v>
      </c>
      <c r="P85" s="6" t="str">
        <f t="shared" si="2"/>
        <v>No Aceptable</v>
      </c>
      <c r="Q85" s="6" t="s">
        <v>16</v>
      </c>
      <c r="R85" s="6" t="s">
        <v>16</v>
      </c>
      <c r="S85" s="6" t="s">
        <v>16</v>
      </c>
      <c r="T85" s="6" t="s">
        <v>16</v>
      </c>
      <c r="U85" s="6" t="s">
        <v>16</v>
      </c>
      <c r="V85" s="6" t="s">
        <v>16</v>
      </c>
      <c r="W85" s="6" t="str">
        <f t="shared" si="3"/>
        <v>No Critico</v>
      </c>
    </row>
    <row r="86" spans="1:23" ht="51">
      <c r="A86" s="60">
        <f>Inicial!A86</f>
        <v>84</v>
      </c>
      <c r="B86" s="61" t="str">
        <f>Inicial!B86</f>
        <v>Desposte</v>
      </c>
      <c r="C86" s="61" t="str">
        <f>Inicial!C86</f>
        <v>Operario de producción Línea Embolsado</v>
      </c>
      <c r="D86" s="62" t="str">
        <f>Inicial!D86</f>
        <v>Traspaso de productos</v>
      </c>
      <c r="E86" s="60" t="str">
        <f>IF(Inicial!J86="SI",Inicial!E86,"N/A")</f>
        <v>Am: 07:30 a 16:15 - PM: 17:30 a 03:00</v>
      </c>
      <c r="F86" s="61" t="str">
        <f>IF(Inicial!J86="SI",Inicial!F86,"N/A")</f>
        <v>0.5</v>
      </c>
      <c r="G86" s="61">
        <f>IF(Inicial!J86="SI",Inicial!G86,"N/A")</f>
        <v>4.5</v>
      </c>
      <c r="H86" s="61">
        <f>IF(Inicial!J86="SI",Inicial!H86,"N/A")</f>
        <v>0</v>
      </c>
      <c r="I86" s="63">
        <f>IF(Inicial!J86="SI",Inicial!I86,"N/A")</f>
        <v>60</v>
      </c>
      <c r="J86" s="52" t="s">
        <v>16</v>
      </c>
      <c r="K86" s="6" t="s">
        <v>346</v>
      </c>
      <c r="L86" s="6" t="s">
        <v>346</v>
      </c>
      <c r="M86" s="6" t="s">
        <v>346</v>
      </c>
      <c r="N86" s="6" t="s">
        <v>346</v>
      </c>
      <c r="O86" s="6" t="s">
        <v>346</v>
      </c>
      <c r="P86" s="6" t="str">
        <f t="shared" si="2"/>
        <v>No Aceptable</v>
      </c>
      <c r="Q86" s="6" t="s">
        <v>16</v>
      </c>
      <c r="R86" s="6" t="s">
        <v>16</v>
      </c>
      <c r="S86" s="6" t="s">
        <v>16</v>
      </c>
      <c r="T86" s="6" t="s">
        <v>16</v>
      </c>
      <c r="U86" s="6" t="s">
        <v>16</v>
      </c>
      <c r="V86" s="6" t="s">
        <v>16</v>
      </c>
      <c r="W86" s="6" t="str">
        <f t="shared" si="3"/>
        <v>No Critico</v>
      </c>
    </row>
    <row r="87" spans="1:23" ht="51" hidden="1">
      <c r="A87" s="60">
        <f>Inicial!A87</f>
        <v>85</v>
      </c>
      <c r="B87" s="61" t="str">
        <f>Inicial!B87</f>
        <v>Desposte</v>
      </c>
      <c r="C87" s="61" t="str">
        <f>Inicial!C87</f>
        <v>Operario de producción Línea Embolsado</v>
      </c>
      <c r="D87" s="62" t="str">
        <f>Inicial!D87</f>
        <v>Operador Rayos X</v>
      </c>
      <c r="E87" s="60" t="str">
        <f>IF(Inicial!J87="SI",Inicial!E87,"N/A")</f>
        <v>N/A</v>
      </c>
      <c r="F87" s="61" t="str">
        <f>IF(Inicial!J87="SI",Inicial!F87,"N/A")</f>
        <v>N/A</v>
      </c>
      <c r="G87" s="61" t="str">
        <f>IF(Inicial!J87="SI",Inicial!G87,"N/A")</f>
        <v>N/A</v>
      </c>
      <c r="H87" s="61" t="str">
        <f>IF(Inicial!J87="SI",Inicial!H87,"N/A")</f>
        <v>N/A</v>
      </c>
      <c r="I87" s="63" t="str">
        <f>IF(Inicial!J87="SI",Inicial!I87,"N/A")</f>
        <v>N/A</v>
      </c>
      <c r="J87" s="52"/>
      <c r="P87" s="6" t="str">
        <f t="shared" si="2"/>
        <v>Aceptable</v>
      </c>
      <c r="Q87" s="6"/>
      <c r="R87" s="6"/>
      <c r="S87" s="6"/>
      <c r="T87" s="6"/>
      <c r="U87" s="6"/>
      <c r="V87" s="6"/>
      <c r="W87" s="6" t="str">
        <f t="shared" si="3"/>
        <v>Critico</v>
      </c>
    </row>
    <row r="88" spans="1:23" ht="51">
      <c r="A88" s="60">
        <f>Inicial!A88</f>
        <v>86</v>
      </c>
      <c r="B88" s="61" t="str">
        <f>Inicial!B88</f>
        <v>Desposte</v>
      </c>
      <c r="C88" s="61" t="str">
        <f>Inicial!C88</f>
        <v>Operario de producción Línea Embolsado</v>
      </c>
      <c r="D88" s="62" t="str">
        <f>Inicial!D88</f>
        <v>Termoformadora</v>
      </c>
      <c r="E88" s="60" t="str">
        <f>IF(Inicial!J88="SI",Inicial!E88,"N/A")</f>
        <v>Am: 07:30 a 16:15 - PM: 17:30 a 03:00</v>
      </c>
      <c r="F88" s="61" t="str">
        <f>IF(Inicial!J88="SI",Inicial!F88,"N/A")</f>
        <v>0.5</v>
      </c>
      <c r="G88" s="61">
        <f>IF(Inicial!J88="SI",Inicial!G88,"N/A")</f>
        <v>4.5</v>
      </c>
      <c r="H88" s="61">
        <f>IF(Inicial!J88="SI",Inicial!H88,"N/A")</f>
        <v>15</v>
      </c>
      <c r="I88" s="63">
        <f>IF(Inicial!J88="SI",Inicial!I88,"N/A")</f>
        <v>0</v>
      </c>
      <c r="J88" s="52" t="s">
        <v>16</v>
      </c>
      <c r="K88" s="6" t="s">
        <v>346</v>
      </c>
      <c r="L88" s="6" t="s">
        <v>346</v>
      </c>
      <c r="M88" s="6" t="s">
        <v>346</v>
      </c>
      <c r="N88" s="6" t="s">
        <v>346</v>
      </c>
      <c r="O88" s="6" t="s">
        <v>346</v>
      </c>
      <c r="P88" s="6" t="str">
        <f t="shared" si="2"/>
        <v>No Aceptable</v>
      </c>
      <c r="Q88" s="6" t="s">
        <v>16</v>
      </c>
      <c r="R88" s="6" t="s">
        <v>16</v>
      </c>
      <c r="S88" s="6" t="s">
        <v>16</v>
      </c>
      <c r="T88" s="6" t="s">
        <v>16</v>
      </c>
      <c r="U88" s="6" t="s">
        <v>16</v>
      </c>
      <c r="V88" s="6" t="s">
        <v>16</v>
      </c>
      <c r="W88" s="6" t="str">
        <f t="shared" si="3"/>
        <v>No Critico</v>
      </c>
    </row>
    <row r="89" spans="1:23" ht="51">
      <c r="A89" s="60">
        <f>Inicial!A89</f>
        <v>87</v>
      </c>
      <c r="B89" s="61" t="str">
        <f>Inicial!B89</f>
        <v>Desposte</v>
      </c>
      <c r="C89" s="61" t="str">
        <f>Inicial!C89</f>
        <v>Operario de producción Línea Embolsado</v>
      </c>
      <c r="D89" s="62" t="str">
        <f>Inicial!D89</f>
        <v>Revision de pancetas termoformadora</v>
      </c>
      <c r="E89" s="60" t="str">
        <f>IF(Inicial!J89="SI",Inicial!E89,"N/A")</f>
        <v>Am: 07:30 a 16:15 - PM: 17:30 a 03:00</v>
      </c>
      <c r="F89" s="61" t="str">
        <f>IF(Inicial!J89="SI",Inicial!F89,"N/A")</f>
        <v>0.5</v>
      </c>
      <c r="G89" s="61">
        <f>IF(Inicial!J89="SI",Inicial!G89,"N/A")</f>
        <v>4.5</v>
      </c>
      <c r="H89" s="61">
        <f>IF(Inicial!J89="SI",Inicial!H89,"N/A")</f>
        <v>15</v>
      </c>
      <c r="I89" s="63">
        <f>IF(Inicial!J89="SI",Inicial!I89,"N/A")</f>
        <v>0</v>
      </c>
      <c r="J89" s="52" t="s">
        <v>16</v>
      </c>
      <c r="K89" s="6" t="s">
        <v>346</v>
      </c>
      <c r="L89" s="6" t="s">
        <v>346</v>
      </c>
      <c r="M89" s="6" t="s">
        <v>346</v>
      </c>
      <c r="N89" s="6" t="s">
        <v>346</v>
      </c>
      <c r="O89" s="6" t="s">
        <v>346</v>
      </c>
      <c r="P89" s="6" t="str">
        <f t="shared" si="2"/>
        <v>No Aceptable</v>
      </c>
      <c r="Q89" s="6" t="s">
        <v>16</v>
      </c>
      <c r="R89" s="6" t="s">
        <v>16</v>
      </c>
      <c r="S89" s="6" t="s">
        <v>16</v>
      </c>
      <c r="T89" s="6" t="s">
        <v>16</v>
      </c>
      <c r="U89" s="6" t="s">
        <v>16</v>
      </c>
      <c r="V89" s="6" t="s">
        <v>16</v>
      </c>
      <c r="W89" s="6" t="str">
        <f t="shared" si="3"/>
        <v>No Critico</v>
      </c>
    </row>
    <row r="90" spans="1:23" ht="51">
      <c r="A90" s="60">
        <f>Inicial!A90</f>
        <v>88</v>
      </c>
      <c r="B90" s="61" t="str">
        <f>Inicial!B90</f>
        <v>Desposte</v>
      </c>
      <c r="C90" s="61" t="str">
        <f>Inicial!C90</f>
        <v>Operario de producción Línea Embolsado</v>
      </c>
      <c r="D90" s="62" t="str">
        <f>Inicial!D90</f>
        <v>Embolsado lomo mm loin</v>
      </c>
      <c r="E90" s="60" t="str">
        <f>IF(Inicial!J90="SI",Inicial!E90,"N/A")</f>
        <v>Am: 07:30 a 16:15 - PM: 17:30 a 03:00</v>
      </c>
      <c r="F90" s="61" t="str">
        <f>IF(Inicial!J90="SI",Inicial!F90,"N/A")</f>
        <v>0.5</v>
      </c>
      <c r="G90" s="61">
        <f>IF(Inicial!J90="SI",Inicial!G90,"N/A")</f>
        <v>4.5</v>
      </c>
      <c r="H90" s="61">
        <f>IF(Inicial!J90="SI",Inicial!H90,"N/A")</f>
        <v>0</v>
      </c>
      <c r="I90" s="63">
        <f>IF(Inicial!J90="SI",Inicial!I90,"N/A")</f>
        <v>60</v>
      </c>
      <c r="J90" s="52" t="s">
        <v>16</v>
      </c>
      <c r="K90" s="6" t="s">
        <v>346</v>
      </c>
      <c r="L90" s="6" t="s">
        <v>346</v>
      </c>
      <c r="M90" s="6" t="s">
        <v>346</v>
      </c>
      <c r="N90" s="6" t="s">
        <v>346</v>
      </c>
      <c r="O90" s="6" t="s">
        <v>346</v>
      </c>
      <c r="P90" s="6" t="str">
        <f t="shared" si="2"/>
        <v>No Aceptable</v>
      </c>
      <c r="Q90" s="6" t="s">
        <v>16</v>
      </c>
      <c r="R90" s="6" t="s">
        <v>16</v>
      </c>
      <c r="S90" s="6" t="s">
        <v>16</v>
      </c>
      <c r="T90" s="6" t="s">
        <v>16</v>
      </c>
      <c r="U90" s="6" t="s">
        <v>16</v>
      </c>
      <c r="V90" s="6" t="s">
        <v>16</v>
      </c>
      <c r="W90" s="6" t="str">
        <f t="shared" si="3"/>
        <v>No Critico</v>
      </c>
    </row>
    <row r="91" spans="1:23" ht="51">
      <c r="A91" s="60">
        <f>Inicial!A91</f>
        <v>89</v>
      </c>
      <c r="B91" s="61" t="str">
        <f>Inicial!B91</f>
        <v>Desposte</v>
      </c>
      <c r="C91" s="61" t="str">
        <f>Inicial!C91</f>
        <v>Operario de producción Línea Embolsado</v>
      </c>
      <c r="D91" s="62" t="str">
        <f>Inicial!D91</f>
        <v>Embolsado  lomo  vetado</v>
      </c>
      <c r="E91" s="60" t="str">
        <f>IF(Inicial!J91="SI",Inicial!E91,"N/A")</f>
        <v>Am: 07:30 a 16:15 - PM: 17:30 a 03:00</v>
      </c>
      <c r="F91" s="61" t="str">
        <f>IF(Inicial!J91="SI",Inicial!F91,"N/A")</f>
        <v>0.5</v>
      </c>
      <c r="G91" s="61">
        <f>IF(Inicial!J91="SI",Inicial!G91,"N/A")</f>
        <v>4.5</v>
      </c>
      <c r="H91" s="61">
        <f>IF(Inicial!J91="SI",Inicial!H91,"N/A")</f>
        <v>0</v>
      </c>
      <c r="I91" s="63">
        <f>IF(Inicial!J91="SI",Inicial!I91,"N/A")</f>
        <v>60</v>
      </c>
      <c r="J91" s="52" t="s">
        <v>16</v>
      </c>
      <c r="K91" s="6" t="s">
        <v>346</v>
      </c>
      <c r="L91" s="6" t="s">
        <v>346</v>
      </c>
      <c r="M91" s="6" t="s">
        <v>346</v>
      </c>
      <c r="N91" s="6" t="s">
        <v>346</v>
      </c>
      <c r="O91" s="6" t="s">
        <v>346</v>
      </c>
      <c r="P91" s="6" t="str">
        <f t="shared" si="2"/>
        <v>No Aceptable</v>
      </c>
      <c r="Q91" s="6" t="s">
        <v>16</v>
      </c>
      <c r="R91" s="6" t="s">
        <v>16</v>
      </c>
      <c r="S91" s="6" t="s">
        <v>16</v>
      </c>
      <c r="T91" s="6" t="s">
        <v>16</v>
      </c>
      <c r="U91" s="6" t="s">
        <v>16</v>
      </c>
      <c r="V91" s="6" t="s">
        <v>16</v>
      </c>
      <c r="W91" s="6" t="str">
        <f t="shared" si="3"/>
        <v>No Critico</v>
      </c>
    </row>
    <row r="92" spans="1:23" ht="51">
      <c r="A92" s="60">
        <f>Inicial!A92</f>
        <v>90</v>
      </c>
      <c r="B92" s="61" t="str">
        <f>Inicial!B92</f>
        <v>Desposte</v>
      </c>
      <c r="C92" s="61" t="str">
        <f>Inicial!C92</f>
        <v>Operario de producción Línea Embolsado</v>
      </c>
      <c r="D92" s="62" t="str">
        <f>Inicial!D92</f>
        <v>Embolsado de pancetas</v>
      </c>
      <c r="E92" s="60" t="str">
        <f>IF(Inicial!J92="SI",Inicial!E92,"N/A")</f>
        <v>Am: 07:30 a 16:15 - PM: 17:30 a 03:00</v>
      </c>
      <c r="F92" s="61" t="str">
        <f>IF(Inicial!J92="SI",Inicial!F92,"N/A")</f>
        <v>0.5</v>
      </c>
      <c r="G92" s="61">
        <f>IF(Inicial!J92="SI",Inicial!G92,"N/A")</f>
        <v>4.5</v>
      </c>
      <c r="H92" s="61">
        <f>IF(Inicial!J92="SI",Inicial!H92,"N/A")</f>
        <v>0</v>
      </c>
      <c r="I92" s="63">
        <f>IF(Inicial!J92="SI",Inicial!I92,"N/A")</f>
        <v>60</v>
      </c>
      <c r="J92" s="52" t="s">
        <v>16</v>
      </c>
      <c r="K92" s="6" t="s">
        <v>346</v>
      </c>
      <c r="L92" s="6" t="s">
        <v>346</v>
      </c>
      <c r="M92" s="6" t="s">
        <v>346</v>
      </c>
      <c r="N92" s="6" t="s">
        <v>346</v>
      </c>
      <c r="O92" s="6" t="s">
        <v>346</v>
      </c>
      <c r="P92" s="6" t="str">
        <f t="shared" si="2"/>
        <v>No Aceptable</v>
      </c>
      <c r="Q92" s="6" t="s">
        <v>16</v>
      </c>
      <c r="R92" s="6" t="s">
        <v>16</v>
      </c>
      <c r="S92" s="6" t="s">
        <v>16</v>
      </c>
      <c r="T92" s="6" t="s">
        <v>16</v>
      </c>
      <c r="U92" s="6" t="s">
        <v>16</v>
      </c>
      <c r="V92" s="6" t="s">
        <v>16</v>
      </c>
      <c r="W92" s="6" t="str">
        <f t="shared" si="3"/>
        <v>No Critico</v>
      </c>
    </row>
    <row r="93" spans="1:23" ht="51">
      <c r="A93" s="60">
        <f>Inicial!A93</f>
        <v>91</v>
      </c>
      <c r="B93" s="61" t="str">
        <f>Inicial!B93</f>
        <v>Desposte</v>
      </c>
      <c r="C93" s="61" t="str">
        <f>Inicial!C93</f>
        <v>Operario de producción Línea Embolsado</v>
      </c>
      <c r="D93" s="62" t="str">
        <f>Inicial!D93</f>
        <v>Embolsado de lomo tecla</v>
      </c>
      <c r="E93" s="60" t="str">
        <f>IF(Inicial!J93="SI",Inicial!E93,"N/A")</f>
        <v>Am: 07:30 a 16:15 - PM: 17:30 a 03:00</v>
      </c>
      <c r="F93" s="61" t="str">
        <f>IF(Inicial!J93="SI",Inicial!F93,"N/A")</f>
        <v>0.5</v>
      </c>
      <c r="G93" s="61">
        <f>IF(Inicial!J93="SI",Inicial!G93,"N/A")</f>
        <v>4.5</v>
      </c>
      <c r="H93" s="61">
        <f>IF(Inicial!J93="SI",Inicial!H93,"N/A")</f>
        <v>0</v>
      </c>
      <c r="I93" s="63">
        <f>IF(Inicial!J93="SI",Inicial!I93,"N/A")</f>
        <v>60</v>
      </c>
      <c r="J93" s="52" t="s">
        <v>16</v>
      </c>
      <c r="K93" s="6" t="s">
        <v>346</v>
      </c>
      <c r="L93" s="6" t="s">
        <v>346</v>
      </c>
      <c r="M93" s="6" t="s">
        <v>346</v>
      </c>
      <c r="N93" s="6" t="s">
        <v>346</v>
      </c>
      <c r="O93" s="6" t="s">
        <v>346</v>
      </c>
      <c r="P93" s="6" t="str">
        <f t="shared" si="2"/>
        <v>No Aceptable</v>
      </c>
      <c r="Q93" s="6" t="s">
        <v>16</v>
      </c>
      <c r="R93" s="6" t="s">
        <v>16</v>
      </c>
      <c r="S93" s="6" t="s">
        <v>16</v>
      </c>
      <c r="T93" s="6" t="s">
        <v>16</v>
      </c>
      <c r="U93" s="6" t="s">
        <v>16</v>
      </c>
      <c r="V93" s="6" t="s">
        <v>16</v>
      </c>
      <c r="W93" s="6" t="str">
        <f t="shared" si="3"/>
        <v>No Critico</v>
      </c>
    </row>
    <row r="94" spans="1:23" ht="51" hidden="1">
      <c r="A94" s="60">
        <f>Inicial!A94</f>
        <v>92</v>
      </c>
      <c r="B94" s="61" t="str">
        <f>Inicial!B94</f>
        <v>Desposte</v>
      </c>
      <c r="C94" s="61" t="str">
        <f>Inicial!C94</f>
        <v>Operario de producción Línea Embolsado</v>
      </c>
      <c r="D94" s="62" t="str">
        <f>Inicial!D94</f>
        <v>Reproceso</v>
      </c>
      <c r="E94" s="60" t="str">
        <f>IF(Inicial!J94="SI",Inicial!E94,"N/A")</f>
        <v>N/A</v>
      </c>
      <c r="F94" s="61" t="str">
        <f>IF(Inicial!J94="SI",Inicial!F94,"N/A")</f>
        <v>N/A</v>
      </c>
      <c r="G94" s="61" t="str">
        <f>IF(Inicial!J94="SI",Inicial!G94,"N/A")</f>
        <v>N/A</v>
      </c>
      <c r="H94" s="61" t="str">
        <f>IF(Inicial!J94="SI",Inicial!H94,"N/A")</f>
        <v>N/A</v>
      </c>
      <c r="I94" s="63" t="str">
        <f>IF(Inicial!J94="SI",Inicial!I94,"N/A")</f>
        <v>N/A</v>
      </c>
      <c r="J94" s="52"/>
      <c r="P94" s="6" t="str">
        <f t="shared" si="2"/>
        <v>Aceptable</v>
      </c>
      <c r="Q94" s="6"/>
      <c r="R94" s="6"/>
      <c r="S94" s="6"/>
      <c r="T94" s="6"/>
      <c r="U94" s="6"/>
      <c r="V94" s="6"/>
      <c r="W94" s="6" t="str">
        <f t="shared" si="3"/>
        <v>Critico</v>
      </c>
    </row>
    <row r="95" spans="1:23" ht="51">
      <c r="A95" s="60">
        <f>Inicial!A95</f>
        <v>93</v>
      </c>
      <c r="B95" s="61" t="str">
        <f>Inicial!B95</f>
        <v>Desposte</v>
      </c>
      <c r="C95" s="61" t="str">
        <f>Inicial!C95</f>
        <v>Operario de producción Línea Pancetas</v>
      </c>
      <c r="D95" s="62" t="str">
        <f>Inicial!D95</f>
        <v>Operador de descueradora automatica (ABT)</v>
      </c>
      <c r="E95" s="60" t="str">
        <f>IF(Inicial!J95="SI",Inicial!E95,"N/A")</f>
        <v>Am: 07:00 a 16:00 - PM: 17:15 a 02:45</v>
      </c>
      <c r="F95" s="61" t="str">
        <f>IF(Inicial!J95="SI",Inicial!F95,"N/A")</f>
        <v>0.5</v>
      </c>
      <c r="G95" s="61">
        <f>IF(Inicial!J95="SI",Inicial!G95,"N/A")</f>
        <v>4.5</v>
      </c>
      <c r="H95" s="61">
        <f>IF(Inicial!J95="SI",Inicial!H95,"N/A")</f>
        <v>61</v>
      </c>
      <c r="I95" s="63">
        <f>IF(Inicial!J95="SI",Inicial!I95,"N/A")</f>
        <v>0</v>
      </c>
      <c r="J95" s="52" t="s">
        <v>16</v>
      </c>
      <c r="K95" s="6" t="s">
        <v>346</v>
      </c>
      <c r="L95" s="6" t="s">
        <v>346</v>
      </c>
      <c r="M95" s="6" t="s">
        <v>346</v>
      </c>
      <c r="N95" s="6" t="s">
        <v>346</v>
      </c>
      <c r="O95" s="6" t="s">
        <v>346</v>
      </c>
      <c r="P95" s="6" t="str">
        <f t="shared" si="2"/>
        <v>No Aceptable</v>
      </c>
      <c r="Q95" s="6" t="s">
        <v>16</v>
      </c>
      <c r="R95" s="6" t="s">
        <v>16</v>
      </c>
      <c r="S95" s="6" t="s">
        <v>16</v>
      </c>
      <c r="T95" s="6" t="s">
        <v>16</v>
      </c>
      <c r="U95" s="6" t="s">
        <v>16</v>
      </c>
      <c r="V95" s="6" t="s">
        <v>16</v>
      </c>
      <c r="W95" s="6" t="str">
        <f t="shared" si="3"/>
        <v>No Critico</v>
      </c>
    </row>
    <row r="96" spans="1:23" ht="38.25">
      <c r="A96" s="60">
        <f>Inicial!A96</f>
        <v>94</v>
      </c>
      <c r="B96" s="61" t="str">
        <f>Inicial!B96</f>
        <v>Desposte</v>
      </c>
      <c r="C96" s="61" t="str">
        <f>Inicial!C96</f>
        <v>Operario de producción Línea Pancetas</v>
      </c>
      <c r="D96" s="62" t="str">
        <f>Inicial!D96</f>
        <v>Acomodador de pancetas</v>
      </c>
      <c r="E96" s="60" t="str">
        <f>IF(Inicial!J96="SI",Inicial!E96,"N/A")</f>
        <v>Am: 07:00 a 16:00 - PM: 17:15 a 02:45</v>
      </c>
      <c r="F96" s="61" t="str">
        <f>IF(Inicial!J96="SI",Inicial!F96,"N/A")</f>
        <v>0.5</v>
      </c>
      <c r="G96" s="61">
        <f>IF(Inicial!J96="SI",Inicial!G96,"N/A")</f>
        <v>4.5</v>
      </c>
      <c r="H96" s="61">
        <f>IF(Inicial!J96="SI",Inicial!H96,"N/A")</f>
        <v>61</v>
      </c>
      <c r="I96" s="63">
        <f>IF(Inicial!J96="SI",Inicial!I96,"N/A")</f>
        <v>0</v>
      </c>
      <c r="J96" s="52" t="s">
        <v>16</v>
      </c>
      <c r="K96" s="6" t="s">
        <v>346</v>
      </c>
      <c r="L96" s="6" t="s">
        <v>346</v>
      </c>
      <c r="M96" s="6" t="s">
        <v>346</v>
      </c>
      <c r="N96" s="6" t="s">
        <v>346</v>
      </c>
      <c r="O96" s="6" t="s">
        <v>346</v>
      </c>
      <c r="P96" s="6" t="str">
        <f t="shared" si="2"/>
        <v>No Aceptable</v>
      </c>
      <c r="Q96" s="6" t="s">
        <v>16</v>
      </c>
      <c r="R96" s="6" t="s">
        <v>16</v>
      </c>
      <c r="S96" s="6" t="s">
        <v>16</v>
      </c>
      <c r="T96" s="6" t="s">
        <v>16</v>
      </c>
      <c r="U96" s="6" t="s">
        <v>16</v>
      </c>
      <c r="V96" s="6" t="s">
        <v>16</v>
      </c>
      <c r="W96" s="6" t="str">
        <f t="shared" si="3"/>
        <v>No Critico</v>
      </c>
    </row>
    <row r="97" spans="1:23" ht="38.25">
      <c r="A97" s="60">
        <f>Inicial!A97</f>
        <v>95</v>
      </c>
      <c r="B97" s="61" t="str">
        <f>Inicial!B97</f>
        <v>Desposte</v>
      </c>
      <c r="C97" s="61" t="str">
        <f>Inicial!C97</f>
        <v>Operario de producción Línea Pancetas</v>
      </c>
      <c r="D97" s="62" t="str">
        <f>Inicial!D97</f>
        <v xml:space="preserve">Separación de recortes falda y laterales </v>
      </c>
      <c r="E97" s="60" t="str">
        <f>IF(Inicial!J97="SI",Inicial!E97,"N/A")</f>
        <v>Am: 07:00 a 16:00 - PM: 17:15 a 02:45</v>
      </c>
      <c r="F97" s="61" t="str">
        <f>IF(Inicial!J97="SI",Inicial!F97,"N/A")</f>
        <v>0.5</v>
      </c>
      <c r="G97" s="61">
        <f>IF(Inicial!J97="SI",Inicial!G97,"N/A")</f>
        <v>4.5</v>
      </c>
      <c r="H97" s="61">
        <f>IF(Inicial!J97="SI",Inicial!H97,"N/A")</f>
        <v>61</v>
      </c>
      <c r="I97" s="63">
        <f>IF(Inicial!J97="SI",Inicial!I97,"N/A")</f>
        <v>0</v>
      </c>
      <c r="J97" s="52" t="s">
        <v>16</v>
      </c>
      <c r="K97" s="6" t="s">
        <v>346</v>
      </c>
      <c r="L97" s="6" t="s">
        <v>346</v>
      </c>
      <c r="M97" s="6" t="s">
        <v>346</v>
      </c>
      <c r="N97" s="6" t="s">
        <v>346</v>
      </c>
      <c r="O97" s="6" t="s">
        <v>346</v>
      </c>
      <c r="P97" s="6" t="str">
        <f t="shared" si="2"/>
        <v>No Aceptable</v>
      </c>
      <c r="Q97" s="6" t="s">
        <v>16</v>
      </c>
      <c r="R97" s="6" t="s">
        <v>16</v>
      </c>
      <c r="S97" s="6" t="s">
        <v>16</v>
      </c>
      <c r="T97" s="6" t="s">
        <v>16</v>
      </c>
      <c r="U97" s="6" t="s">
        <v>16</v>
      </c>
      <c r="V97" s="6" t="s">
        <v>16</v>
      </c>
      <c r="W97" s="6" t="str">
        <f t="shared" si="3"/>
        <v>No Critico</v>
      </c>
    </row>
    <row r="98" spans="1:23" ht="38.25" hidden="1">
      <c r="A98" s="60">
        <f>Inicial!A98</f>
        <v>96</v>
      </c>
      <c r="B98" s="61" t="str">
        <f>Inicial!B98</f>
        <v>Desposte</v>
      </c>
      <c r="C98" s="61" t="str">
        <f>Inicial!C98</f>
        <v>Operario de producción Línea Pancetas</v>
      </c>
      <c r="D98" s="62" t="str">
        <f>Inicial!D98</f>
        <v>Prolijado de Cueros</v>
      </c>
      <c r="E98" s="60" t="str">
        <f>IF(Inicial!J98="SI",Inicial!E98,"N/A")</f>
        <v>N/A</v>
      </c>
      <c r="F98" s="61" t="str">
        <f>IF(Inicial!J98="SI",Inicial!F98,"N/A")</f>
        <v>N/A</v>
      </c>
      <c r="G98" s="61" t="str">
        <f>IF(Inicial!J98="SI",Inicial!G98,"N/A")</f>
        <v>N/A</v>
      </c>
      <c r="H98" s="61" t="str">
        <f>IF(Inicial!J98="SI",Inicial!H98,"N/A")</f>
        <v>N/A</v>
      </c>
      <c r="I98" s="63" t="str">
        <f>IF(Inicial!J98="SI",Inicial!I98,"N/A")</f>
        <v>N/A</v>
      </c>
      <c r="J98" s="52"/>
      <c r="P98" s="6" t="str">
        <f t="shared" si="2"/>
        <v>Aceptable</v>
      </c>
      <c r="Q98" s="6"/>
      <c r="R98" s="6"/>
      <c r="S98" s="6"/>
      <c r="T98" s="6"/>
      <c r="U98" s="6"/>
      <c r="V98" s="6"/>
      <c r="W98" s="6" t="str">
        <f t="shared" si="3"/>
        <v>Critico</v>
      </c>
    </row>
    <row r="99" spans="1:23" ht="38.25">
      <c r="A99" s="60">
        <f>Inicial!A99</f>
        <v>97</v>
      </c>
      <c r="B99" s="61" t="str">
        <f>Inicial!B99</f>
        <v>Desposte</v>
      </c>
      <c r="C99" s="61" t="str">
        <f>Inicial!C99</f>
        <v>Operario de producción Línea Pancetas</v>
      </c>
      <c r="D99" s="62" t="str">
        <f>Inicial!D99</f>
        <v>Prolijado de tiras de panceta</v>
      </c>
      <c r="E99" s="60" t="str">
        <f>IF(Inicial!J99="SI",Inicial!E99,"N/A")</f>
        <v>Am: 07:00 a 16:00 - PM: 17:15 a 02:45</v>
      </c>
      <c r="F99" s="61" t="str">
        <f>IF(Inicial!J99="SI",Inicial!F99,"N/A")</f>
        <v>0.5</v>
      </c>
      <c r="G99" s="61">
        <f>IF(Inicial!J99="SI",Inicial!G99,"N/A")</f>
        <v>4.5</v>
      </c>
      <c r="H99" s="61">
        <f>IF(Inicial!J99="SI",Inicial!H99,"N/A")</f>
        <v>0</v>
      </c>
      <c r="I99" s="63">
        <f>IF(Inicial!J99="SI",Inicial!I99,"N/A")</f>
        <v>6</v>
      </c>
      <c r="J99" s="52" t="s">
        <v>16</v>
      </c>
      <c r="K99" s="6" t="s">
        <v>346</v>
      </c>
      <c r="L99" s="6" t="s">
        <v>346</v>
      </c>
      <c r="M99" s="6" t="s">
        <v>346</v>
      </c>
      <c r="N99" s="6" t="s">
        <v>346</v>
      </c>
      <c r="O99" s="6" t="s">
        <v>346</v>
      </c>
      <c r="P99" s="6" t="str">
        <f t="shared" si="2"/>
        <v>No Aceptable</v>
      </c>
      <c r="Q99" s="6" t="s">
        <v>16</v>
      </c>
      <c r="R99" s="6" t="s">
        <v>16</v>
      </c>
      <c r="S99" s="6" t="s">
        <v>16</v>
      </c>
      <c r="T99" s="6" t="s">
        <v>16</v>
      </c>
      <c r="U99" s="6" t="s">
        <v>16</v>
      </c>
      <c r="V99" s="6" t="s">
        <v>16</v>
      </c>
      <c r="W99" s="6" t="str">
        <f t="shared" si="3"/>
        <v>No Critico</v>
      </c>
    </row>
    <row r="100" spans="1:23" ht="38.25">
      <c r="A100" s="60">
        <f>Inicial!A100</f>
        <v>98</v>
      </c>
      <c r="B100" s="61" t="str">
        <f>Inicial!B100</f>
        <v>Desposte</v>
      </c>
      <c r="C100" s="61" t="str">
        <f>Inicial!C100</f>
        <v>Operario de producción Línea Pancetas</v>
      </c>
      <c r="D100" s="62" t="str">
        <f>Inicial!D100</f>
        <v>Prolijado de falda</v>
      </c>
      <c r="E100" s="60" t="str">
        <f>IF(Inicial!J100="SI",Inicial!E100,"N/A")</f>
        <v>Am: 07:00 a 16:00 - PM: 17:15 a 02:45</v>
      </c>
      <c r="F100" s="61" t="str">
        <f>IF(Inicial!J100="SI",Inicial!F100,"N/A")</f>
        <v>0.5</v>
      </c>
      <c r="G100" s="61">
        <f>IF(Inicial!J100="SI",Inicial!G100,"N/A")</f>
        <v>4.5</v>
      </c>
      <c r="H100" s="61">
        <f>IF(Inicial!J100="SI",Inicial!H100,"N/A")</f>
        <v>0</v>
      </c>
      <c r="I100" s="63">
        <f>IF(Inicial!J100="SI",Inicial!I100,"N/A")</f>
        <v>6</v>
      </c>
      <c r="J100" s="52" t="s">
        <v>16</v>
      </c>
      <c r="K100" s="6" t="s">
        <v>346</v>
      </c>
      <c r="L100" s="6" t="s">
        <v>346</v>
      </c>
      <c r="M100" s="6" t="s">
        <v>346</v>
      </c>
      <c r="N100" s="6" t="s">
        <v>346</v>
      </c>
      <c r="O100" s="6" t="s">
        <v>346</v>
      </c>
      <c r="P100" s="6" t="str">
        <f t="shared" si="2"/>
        <v>No Aceptable</v>
      </c>
      <c r="Q100" s="6" t="s">
        <v>16</v>
      </c>
      <c r="R100" s="6" t="s">
        <v>16</v>
      </c>
      <c r="S100" s="6" t="s">
        <v>16</v>
      </c>
      <c r="T100" s="6" t="s">
        <v>16</v>
      </c>
      <c r="U100" s="6" t="s">
        <v>16</v>
      </c>
      <c r="V100" s="6" t="s">
        <v>16</v>
      </c>
      <c r="W100" s="6" t="str">
        <f t="shared" si="3"/>
        <v>No Critico</v>
      </c>
    </row>
    <row r="101" spans="1:23" ht="38.25">
      <c r="A101" s="60">
        <f>Inicial!A101</f>
        <v>99</v>
      </c>
      <c r="B101" s="61" t="str">
        <f>Inicial!B101</f>
        <v>Desposte</v>
      </c>
      <c r="C101" s="61" t="str">
        <f>Inicial!C101</f>
        <v>Operario de producción Línea Pancetas</v>
      </c>
      <c r="D101" s="62" t="str">
        <f>Inicial!D101</f>
        <v>Acomodador de pancetas salida de ABT</v>
      </c>
      <c r="E101" s="60" t="str">
        <f>IF(Inicial!J101="SI",Inicial!E101,"N/A")</f>
        <v>Am: 07:00 a 16:00 - PM: 17:15 a 02:45</v>
      </c>
      <c r="F101" s="61" t="str">
        <f>IF(Inicial!J101="SI",Inicial!F101,"N/A")</f>
        <v>0.5</v>
      </c>
      <c r="G101" s="61">
        <f>IF(Inicial!J101="SI",Inicial!G101,"N/A")</f>
        <v>4.5</v>
      </c>
      <c r="H101" s="61">
        <f>IF(Inicial!J101="SI",Inicial!H101,"N/A")</f>
        <v>61</v>
      </c>
      <c r="I101" s="63">
        <f>IF(Inicial!J101="SI",Inicial!I101,"N/A")</f>
        <v>0</v>
      </c>
      <c r="J101" s="52" t="s">
        <v>16</v>
      </c>
      <c r="K101" s="6" t="s">
        <v>346</v>
      </c>
      <c r="L101" s="6" t="s">
        <v>346</v>
      </c>
      <c r="M101" s="6" t="s">
        <v>346</v>
      </c>
      <c r="N101" s="6" t="s">
        <v>346</v>
      </c>
      <c r="O101" s="6" t="s">
        <v>346</v>
      </c>
      <c r="P101" s="6" t="str">
        <f t="shared" si="2"/>
        <v>No Aceptable</v>
      </c>
      <c r="Q101" s="6" t="s">
        <v>16</v>
      </c>
      <c r="R101" s="6" t="s">
        <v>16</v>
      </c>
      <c r="S101" s="6" t="s">
        <v>16</v>
      </c>
      <c r="T101" s="6" t="s">
        <v>16</v>
      </c>
      <c r="U101" s="6" t="s">
        <v>16</v>
      </c>
      <c r="V101" s="6" t="s">
        <v>16</v>
      </c>
      <c r="W101" s="6" t="str">
        <f t="shared" si="3"/>
        <v>No Critico</v>
      </c>
    </row>
    <row r="102" spans="1:23" ht="38.25">
      <c r="A102" s="60">
        <f>Inicial!A102</f>
        <v>100</v>
      </c>
      <c r="B102" s="61" t="str">
        <f>Inicial!B102</f>
        <v>Desposte</v>
      </c>
      <c r="C102" s="61" t="str">
        <f>Inicial!C102</f>
        <v>Operario de producción Línea Pancetas</v>
      </c>
      <c r="D102" s="62" t="str">
        <f>Inicial!D102</f>
        <v>Biselado</v>
      </c>
      <c r="E102" s="60" t="str">
        <f>IF(Inicial!J102="SI",Inicial!E102,"N/A")</f>
        <v>Am: 07:00 a 16:00 - PM: 17:15 a 02:45</v>
      </c>
      <c r="F102" s="61" t="str">
        <f>IF(Inicial!J102="SI",Inicial!F102,"N/A")</f>
        <v>0.5</v>
      </c>
      <c r="G102" s="61">
        <f>IF(Inicial!J102="SI",Inicial!G102,"N/A")</f>
        <v>4.5</v>
      </c>
      <c r="H102" s="61">
        <f>IF(Inicial!J102="SI",Inicial!H102,"N/A")</f>
        <v>61</v>
      </c>
      <c r="I102" s="63">
        <f>IF(Inicial!J102="SI",Inicial!I102,"N/A")</f>
        <v>0</v>
      </c>
      <c r="J102" s="52" t="s">
        <v>16</v>
      </c>
      <c r="K102" s="6" t="s">
        <v>346</v>
      </c>
      <c r="L102" s="6" t="s">
        <v>346</v>
      </c>
      <c r="M102" s="6" t="s">
        <v>346</v>
      </c>
      <c r="N102" s="6" t="s">
        <v>346</v>
      </c>
      <c r="O102" s="6" t="s">
        <v>346</v>
      </c>
      <c r="P102" s="6" t="str">
        <f t="shared" si="2"/>
        <v>No Aceptable</v>
      </c>
      <c r="Q102" s="6" t="s">
        <v>16</v>
      </c>
      <c r="R102" s="6" t="s">
        <v>16</v>
      </c>
      <c r="S102" s="6" t="s">
        <v>16</v>
      </c>
      <c r="T102" s="6" t="s">
        <v>16</v>
      </c>
      <c r="U102" s="6" t="s">
        <v>16</v>
      </c>
      <c r="V102" s="6" t="s">
        <v>16</v>
      </c>
      <c r="W102" s="6" t="str">
        <f t="shared" si="3"/>
        <v>No Critico</v>
      </c>
    </row>
    <row r="103" spans="1:23" ht="38.25">
      <c r="A103" s="60">
        <f>Inicial!A103</f>
        <v>101</v>
      </c>
      <c r="B103" s="61" t="str">
        <f>Inicial!B103</f>
        <v>Desposte</v>
      </c>
      <c r="C103" s="61" t="str">
        <f>Inicial!C103</f>
        <v>Operario de producción Línea Pancetas</v>
      </c>
      <c r="D103" s="62" t="str">
        <f>Inicial!D103</f>
        <v>Prolijado de panceta / pecho</v>
      </c>
      <c r="E103" s="60" t="str">
        <f>IF(Inicial!J103="SI",Inicial!E103,"N/A")</f>
        <v>Am: 07:00 a 16:00 - PM: 17:15 a 02:45</v>
      </c>
      <c r="F103" s="61" t="str">
        <f>IF(Inicial!J103="SI",Inicial!F103,"N/A")</f>
        <v>0.5</v>
      </c>
      <c r="G103" s="61">
        <f>IF(Inicial!J103="SI",Inicial!G103,"N/A")</f>
        <v>4.5</v>
      </c>
      <c r="H103" s="61">
        <f>IF(Inicial!J103="SI",Inicial!H103,"N/A")</f>
        <v>61</v>
      </c>
      <c r="I103" s="63">
        <f>IF(Inicial!J103="SI",Inicial!I103,"N/A")</f>
        <v>0</v>
      </c>
      <c r="J103" s="52" t="s">
        <v>16</v>
      </c>
      <c r="K103" s="6" t="s">
        <v>346</v>
      </c>
      <c r="L103" s="6" t="s">
        <v>346</v>
      </c>
      <c r="M103" s="6" t="s">
        <v>346</v>
      </c>
      <c r="N103" s="6" t="s">
        <v>346</v>
      </c>
      <c r="O103" s="6" t="s">
        <v>346</v>
      </c>
      <c r="P103" s="6" t="str">
        <f t="shared" si="2"/>
        <v>No Aceptable</v>
      </c>
      <c r="Q103" s="6" t="s">
        <v>16</v>
      </c>
      <c r="R103" s="6" t="s">
        <v>16</v>
      </c>
      <c r="S103" s="6" t="s">
        <v>16</v>
      </c>
      <c r="T103" s="6" t="s">
        <v>16</v>
      </c>
      <c r="U103" s="6" t="s">
        <v>16</v>
      </c>
      <c r="V103" s="6" t="s">
        <v>16</v>
      </c>
      <c r="W103" s="6" t="str">
        <f t="shared" si="3"/>
        <v>No Critico</v>
      </c>
    </row>
    <row r="104" spans="1:23" ht="38.25">
      <c r="A104" s="60">
        <f>Inicial!A104</f>
        <v>102</v>
      </c>
      <c r="B104" s="61" t="str">
        <f>Inicial!B104</f>
        <v>Desposte</v>
      </c>
      <c r="C104" s="61" t="str">
        <f>Inicial!C104</f>
        <v>Operario de producción Línea Pancetas</v>
      </c>
      <c r="D104" s="62" t="str">
        <f>Inicial!D104</f>
        <v>Calibrado de panceta</v>
      </c>
      <c r="E104" s="60" t="str">
        <f>IF(Inicial!J104="SI",Inicial!E104,"N/A")</f>
        <v>Am: 07:00 a 16:00 - PM: 17:15 a 02:45</v>
      </c>
      <c r="F104" s="61" t="str">
        <f>IF(Inicial!J104="SI",Inicial!F104,"N/A")</f>
        <v>0.5</v>
      </c>
      <c r="G104" s="61">
        <f>IF(Inicial!J104="SI",Inicial!G104,"N/A")</f>
        <v>4.5</v>
      </c>
      <c r="H104" s="61">
        <f>IF(Inicial!J104="SI",Inicial!H104,"N/A")</f>
        <v>61</v>
      </c>
      <c r="I104" s="63">
        <f>IF(Inicial!J104="SI",Inicial!I104,"N/A")</f>
        <v>0</v>
      </c>
      <c r="J104" s="52" t="s">
        <v>16</v>
      </c>
      <c r="K104" s="6" t="s">
        <v>346</v>
      </c>
      <c r="L104" s="6" t="s">
        <v>346</v>
      </c>
      <c r="M104" s="6" t="s">
        <v>346</v>
      </c>
      <c r="N104" s="6" t="s">
        <v>346</v>
      </c>
      <c r="O104" s="6" t="s">
        <v>346</v>
      </c>
      <c r="P104" s="6" t="str">
        <f t="shared" si="2"/>
        <v>No Aceptable</v>
      </c>
      <c r="Q104" s="6" t="s">
        <v>16</v>
      </c>
      <c r="R104" s="6" t="s">
        <v>16</v>
      </c>
      <c r="S104" s="6" t="s">
        <v>16</v>
      </c>
      <c r="T104" s="6" t="s">
        <v>16</v>
      </c>
      <c r="U104" s="6" t="s">
        <v>16</v>
      </c>
      <c r="V104" s="6" t="s">
        <v>16</v>
      </c>
      <c r="W104" s="6" t="str">
        <f t="shared" si="3"/>
        <v>No Critico</v>
      </c>
    </row>
    <row r="105" spans="1:23" ht="38.25">
      <c r="A105" s="60">
        <f>Inicial!A105</f>
        <v>103</v>
      </c>
      <c r="B105" s="61" t="str">
        <f>Inicial!B105</f>
        <v>Desposte</v>
      </c>
      <c r="C105" s="61" t="str">
        <f>Inicial!C105</f>
        <v>Operario de producción Línea Pancetas</v>
      </c>
      <c r="D105" s="62" t="str">
        <f>Inicial!D105</f>
        <v>Revisión final de panceta</v>
      </c>
      <c r="E105" s="60" t="str">
        <f>IF(Inicial!J105="SI",Inicial!E105,"N/A")</f>
        <v>Am: 07:00 a 16:00 - PM: 17:15 a 02:45</v>
      </c>
      <c r="F105" s="61" t="str">
        <f>IF(Inicial!J105="SI",Inicial!F105,"N/A")</f>
        <v>0.5</v>
      </c>
      <c r="G105" s="61">
        <f>IF(Inicial!J105="SI",Inicial!G105,"N/A")</f>
        <v>4.5</v>
      </c>
      <c r="H105" s="61">
        <f>IF(Inicial!J105="SI",Inicial!H105,"N/A")</f>
        <v>61</v>
      </c>
      <c r="I105" s="63">
        <f>IF(Inicial!J105="SI",Inicial!I105,"N/A")</f>
        <v>0</v>
      </c>
      <c r="J105" s="52" t="s">
        <v>16</v>
      </c>
      <c r="K105" s="6" t="s">
        <v>346</v>
      </c>
      <c r="L105" s="6" t="s">
        <v>346</v>
      </c>
      <c r="M105" s="6" t="s">
        <v>346</v>
      </c>
      <c r="N105" s="6" t="s">
        <v>346</v>
      </c>
      <c r="O105" s="6" t="s">
        <v>346</v>
      </c>
      <c r="P105" s="6" t="str">
        <f t="shared" si="2"/>
        <v>No Aceptable</v>
      </c>
      <c r="Q105" s="6" t="s">
        <v>16</v>
      </c>
      <c r="R105" s="6" t="s">
        <v>16</v>
      </c>
      <c r="S105" s="6" t="s">
        <v>16</v>
      </c>
      <c r="T105" s="6" t="s">
        <v>16</v>
      </c>
      <c r="U105" s="6" t="s">
        <v>16</v>
      </c>
      <c r="V105" s="6" t="s">
        <v>16</v>
      </c>
      <c r="W105" s="6" t="str">
        <f t="shared" si="3"/>
        <v>No Critico</v>
      </c>
    </row>
    <row r="106" spans="1:23" ht="38.25">
      <c r="A106" s="60">
        <f>Inicial!A106</f>
        <v>104</v>
      </c>
      <c r="B106" s="61" t="str">
        <f>Inicial!B106</f>
        <v>Desposte</v>
      </c>
      <c r="C106" s="61" t="str">
        <f>Inicial!C106</f>
        <v>Operario de producción Línea Pancetas</v>
      </c>
      <c r="D106" s="62" t="str">
        <f>Inicial!D106</f>
        <v>Extracción de tetillas ABT</v>
      </c>
      <c r="E106" s="60" t="str">
        <f>IF(Inicial!J106="SI",Inicial!E106,"N/A")</f>
        <v>Am: 07:00 a 16:00 - PM: 17:15 a 02:45</v>
      </c>
      <c r="F106" s="61" t="str">
        <f>IF(Inicial!J106="SI",Inicial!F106,"N/A")</f>
        <v>0.5</v>
      </c>
      <c r="G106" s="61">
        <f>IF(Inicial!J106="SI",Inicial!G106,"N/A")</f>
        <v>4.5</v>
      </c>
      <c r="H106" s="61">
        <f>IF(Inicial!J106="SI",Inicial!H106,"N/A")</f>
        <v>61</v>
      </c>
      <c r="I106" s="63">
        <f>IF(Inicial!J106="SI",Inicial!I106,"N/A")</f>
        <v>0</v>
      </c>
      <c r="J106" s="52" t="s">
        <v>16</v>
      </c>
      <c r="K106" s="6" t="s">
        <v>346</v>
      </c>
      <c r="L106" s="6" t="s">
        <v>346</v>
      </c>
      <c r="M106" s="6" t="s">
        <v>346</v>
      </c>
      <c r="N106" s="6" t="s">
        <v>346</v>
      </c>
      <c r="O106" s="6" t="s">
        <v>346</v>
      </c>
      <c r="P106" s="6" t="str">
        <f t="shared" si="2"/>
        <v>No Aceptable</v>
      </c>
      <c r="Q106" s="6" t="s">
        <v>16</v>
      </c>
      <c r="R106" s="6" t="s">
        <v>16</v>
      </c>
      <c r="S106" s="6" t="s">
        <v>16</v>
      </c>
      <c r="T106" s="6" t="s">
        <v>16</v>
      </c>
      <c r="U106" s="6" t="s">
        <v>16</v>
      </c>
      <c r="V106" s="6" t="s">
        <v>16</v>
      </c>
      <c r="W106" s="6" t="str">
        <f t="shared" si="3"/>
        <v>No Critico</v>
      </c>
    </row>
    <row r="107" spans="1:23" ht="38.25">
      <c r="A107" s="60">
        <f>Inicial!A107</f>
        <v>105</v>
      </c>
      <c r="B107" s="61" t="str">
        <f>Inicial!B107</f>
        <v>Desposte</v>
      </c>
      <c r="C107" s="61" t="str">
        <f>Inicial!C107</f>
        <v>Operario de producción Línea Pancetas</v>
      </c>
      <c r="D107" s="62" t="str">
        <f>Inicial!D107</f>
        <v>Extracción de manteca</v>
      </c>
      <c r="E107" s="60" t="str">
        <f>IF(Inicial!J107="SI",Inicial!E107,"N/A")</f>
        <v>Am: 07:00 a 16:00 - PM: 17:15 a 02:45</v>
      </c>
      <c r="F107" s="61" t="str">
        <f>IF(Inicial!J107="SI",Inicial!F107,"N/A")</f>
        <v>0.5</v>
      </c>
      <c r="G107" s="61">
        <f>IF(Inicial!J107="SI",Inicial!G107,"N/A")</f>
        <v>4.5</v>
      </c>
      <c r="H107" s="61">
        <f>IF(Inicial!J107="SI",Inicial!H107,"N/A")</f>
        <v>61</v>
      </c>
      <c r="I107" s="63">
        <f>IF(Inicial!J107="SI",Inicial!I107,"N/A")</f>
        <v>0</v>
      </c>
      <c r="J107" s="52" t="s">
        <v>16</v>
      </c>
      <c r="K107" s="6" t="s">
        <v>346</v>
      </c>
      <c r="L107" s="6" t="s">
        <v>346</v>
      </c>
      <c r="M107" s="6" t="s">
        <v>346</v>
      </c>
      <c r="N107" s="6" t="s">
        <v>346</v>
      </c>
      <c r="O107" s="6" t="s">
        <v>346</v>
      </c>
      <c r="P107" s="6" t="str">
        <f t="shared" si="2"/>
        <v>No Aceptable</v>
      </c>
      <c r="Q107" s="6" t="s">
        <v>16</v>
      </c>
      <c r="R107" s="6" t="s">
        <v>16</v>
      </c>
      <c r="S107" s="6" t="s">
        <v>16</v>
      </c>
      <c r="T107" s="6" t="s">
        <v>16</v>
      </c>
      <c r="U107" s="6" t="s">
        <v>16</v>
      </c>
      <c r="V107" s="6" t="s">
        <v>16</v>
      </c>
      <c r="W107" s="6" t="str">
        <f t="shared" si="3"/>
        <v>No Critico</v>
      </c>
    </row>
    <row r="108" spans="1:23" ht="15" hidden="1">
      <c r="A108" s="60">
        <f>Inicial!A108</f>
        <v>106</v>
      </c>
      <c r="B108" s="61">
        <f>Inicial!B108</f>
        <v>0</v>
      </c>
      <c r="C108" s="61">
        <f>Inicial!C108</f>
        <v>0</v>
      </c>
      <c r="D108" s="62">
        <f>Inicial!D108</f>
        <v>0</v>
      </c>
      <c r="E108" s="60" t="str">
        <f>IF(Inicial!J108="SI",Inicial!E108,"N/A")</f>
        <v>N/A</v>
      </c>
      <c r="F108" s="61" t="str">
        <f>IF(Inicial!J108="SI",Inicial!F108,"N/A")</f>
        <v>N/A</v>
      </c>
      <c r="G108" s="61" t="str">
        <f>IF(Inicial!J108="SI",Inicial!G108,"N/A")</f>
        <v>N/A</v>
      </c>
      <c r="H108" s="61" t="str">
        <f>IF(Inicial!J108="SI",Inicial!H108,"N/A")</f>
        <v>N/A</v>
      </c>
      <c r="I108" s="63" t="str">
        <f>IF(Inicial!J108="SI",Inicial!I108,"N/A")</f>
        <v>N/A</v>
      </c>
      <c r="P108" s="6" t="str">
        <f t="shared" si="2"/>
        <v>Aceptable</v>
      </c>
      <c r="Q108" s="6"/>
      <c r="R108" s="6"/>
      <c r="S108" s="6"/>
      <c r="T108" s="6"/>
      <c r="U108" s="6"/>
      <c r="V108" s="6"/>
      <c r="W108" s="6" t="str">
        <f t="shared" si="3"/>
        <v>Critico</v>
      </c>
    </row>
    <row r="109" spans="1:23" ht="15" hidden="1">
      <c r="A109" s="60">
        <f>Inicial!A109</f>
        <v>107</v>
      </c>
      <c r="B109" s="61">
        <f>Inicial!B109</f>
        <v>0</v>
      </c>
      <c r="C109" s="61">
        <f>Inicial!C109</f>
        <v>0</v>
      </c>
      <c r="D109" s="62">
        <f>Inicial!D109</f>
        <v>0</v>
      </c>
      <c r="E109" s="60" t="str">
        <f>IF(Inicial!J109="SI",Inicial!E109,"N/A")</f>
        <v>N/A</v>
      </c>
      <c r="F109" s="61" t="str">
        <f>IF(Inicial!J109="SI",Inicial!F109,"N/A")</f>
        <v>N/A</v>
      </c>
      <c r="G109" s="61" t="str">
        <f>IF(Inicial!J109="SI",Inicial!G109,"N/A")</f>
        <v>N/A</v>
      </c>
      <c r="H109" s="61" t="str">
        <f>IF(Inicial!J109="SI",Inicial!H109,"N/A")</f>
        <v>N/A</v>
      </c>
      <c r="I109" s="63" t="str">
        <f>IF(Inicial!J109="SI",Inicial!I109,"N/A")</f>
        <v>N/A</v>
      </c>
      <c r="P109" s="6" t="str">
        <f t="shared" si="2"/>
        <v>Aceptable</v>
      </c>
      <c r="Q109" s="6"/>
      <c r="R109" s="6"/>
      <c r="S109" s="6"/>
      <c r="T109" s="6"/>
      <c r="U109" s="6"/>
      <c r="V109" s="6"/>
      <c r="W109" s="6" t="str">
        <f t="shared" si="3"/>
        <v>Critico</v>
      </c>
    </row>
    <row r="110" spans="1:23" ht="15" hidden="1">
      <c r="A110" s="60">
        <f>Inicial!A110</f>
        <v>108</v>
      </c>
      <c r="B110" s="61">
        <f>Inicial!B110</f>
        <v>0</v>
      </c>
      <c r="C110" s="61">
        <f>Inicial!C110</f>
        <v>0</v>
      </c>
      <c r="D110" s="62">
        <f>Inicial!D110</f>
        <v>0</v>
      </c>
      <c r="E110" s="60" t="str">
        <f>IF(Inicial!J110="SI",Inicial!E110,"N/A")</f>
        <v>N/A</v>
      </c>
      <c r="F110" s="61" t="str">
        <f>IF(Inicial!J110="SI",Inicial!F110,"N/A")</f>
        <v>N/A</v>
      </c>
      <c r="G110" s="61" t="str">
        <f>IF(Inicial!J110="SI",Inicial!G110,"N/A")</f>
        <v>N/A</v>
      </c>
      <c r="H110" s="61" t="str">
        <f>IF(Inicial!J110="SI",Inicial!H110,"N/A")</f>
        <v>N/A</v>
      </c>
      <c r="I110" s="63" t="str">
        <f>IF(Inicial!J110="SI",Inicial!I110,"N/A")</f>
        <v>N/A</v>
      </c>
      <c r="P110" s="6" t="str">
        <f t="shared" si="2"/>
        <v>Aceptable</v>
      </c>
      <c r="Q110" s="6"/>
      <c r="R110" s="6"/>
      <c r="S110" s="6"/>
      <c r="T110" s="6"/>
      <c r="U110" s="6"/>
      <c r="V110" s="6"/>
      <c r="W110" s="6" t="str">
        <f t="shared" si="3"/>
        <v>Critico</v>
      </c>
    </row>
    <row r="111" spans="1:23" ht="15" hidden="1">
      <c r="A111" s="60">
        <f>Inicial!A111</f>
        <v>109</v>
      </c>
      <c r="B111" s="61">
        <f>Inicial!B111</f>
        <v>0</v>
      </c>
      <c r="C111" s="61">
        <f>Inicial!C111</f>
        <v>0</v>
      </c>
      <c r="D111" s="62">
        <f>Inicial!D111</f>
        <v>0</v>
      </c>
      <c r="E111" s="60" t="str">
        <f>IF(Inicial!J111="SI",Inicial!E111,"N/A")</f>
        <v>N/A</v>
      </c>
      <c r="F111" s="61" t="str">
        <f>IF(Inicial!J111="SI",Inicial!F111,"N/A")</f>
        <v>N/A</v>
      </c>
      <c r="G111" s="61" t="str">
        <f>IF(Inicial!J111="SI",Inicial!G111,"N/A")</f>
        <v>N/A</v>
      </c>
      <c r="H111" s="61" t="str">
        <f>IF(Inicial!J111="SI",Inicial!H111,"N/A")</f>
        <v>N/A</v>
      </c>
      <c r="I111" s="63" t="str">
        <f>IF(Inicial!J111="SI",Inicial!I111,"N/A")</f>
        <v>N/A</v>
      </c>
      <c r="P111" s="6" t="str">
        <f t="shared" si="2"/>
        <v>Aceptable</v>
      </c>
      <c r="Q111" s="6"/>
      <c r="R111" s="6"/>
      <c r="S111" s="6"/>
      <c r="T111" s="6"/>
      <c r="U111" s="6"/>
      <c r="V111" s="6"/>
      <c r="W111" s="6" t="str">
        <f t="shared" si="3"/>
        <v>Critico</v>
      </c>
    </row>
    <row r="112" spans="1:23" ht="15" hidden="1">
      <c r="A112" s="60">
        <f>Inicial!A112</f>
        <v>110</v>
      </c>
      <c r="B112" s="61">
        <f>Inicial!B112</f>
        <v>0</v>
      </c>
      <c r="C112" s="61">
        <f>Inicial!C112</f>
        <v>0</v>
      </c>
      <c r="D112" s="62">
        <f>Inicial!D112</f>
        <v>0</v>
      </c>
      <c r="E112" s="60" t="str">
        <f>IF(Inicial!J112="SI",Inicial!E112,"N/A")</f>
        <v>N/A</v>
      </c>
      <c r="F112" s="61" t="str">
        <f>IF(Inicial!J112="SI",Inicial!F112,"N/A")</f>
        <v>N/A</v>
      </c>
      <c r="G112" s="61" t="str">
        <f>IF(Inicial!J112="SI",Inicial!G112,"N/A")</f>
        <v>N/A</v>
      </c>
      <c r="H112" s="61" t="str">
        <f>IF(Inicial!J112="SI",Inicial!H112,"N/A")</f>
        <v>N/A</v>
      </c>
      <c r="I112" s="63" t="str">
        <f>IF(Inicial!J112="SI",Inicial!I112,"N/A")</f>
        <v>N/A</v>
      </c>
      <c r="P112" s="6" t="str">
        <f t="shared" si="2"/>
        <v>Aceptable</v>
      </c>
      <c r="Q112" s="6"/>
      <c r="R112" s="6"/>
      <c r="S112" s="6"/>
      <c r="T112" s="6"/>
      <c r="U112" s="6"/>
      <c r="V112" s="6"/>
      <c r="W112" s="6" t="str">
        <f t="shared" si="3"/>
        <v>Critico</v>
      </c>
    </row>
    <row r="113" spans="1:23" ht="15" hidden="1">
      <c r="A113" s="60">
        <f>Inicial!A113</f>
        <v>111</v>
      </c>
      <c r="B113" s="61">
        <f>Inicial!B113</f>
        <v>0</v>
      </c>
      <c r="C113" s="61">
        <f>Inicial!C113</f>
        <v>0</v>
      </c>
      <c r="D113" s="62">
        <f>Inicial!D113</f>
        <v>0</v>
      </c>
      <c r="E113" s="60" t="str">
        <f>IF(Inicial!J113="SI",Inicial!E113,"N/A")</f>
        <v>N/A</v>
      </c>
      <c r="F113" s="61" t="str">
        <f>IF(Inicial!J113="SI",Inicial!F113,"N/A")</f>
        <v>N/A</v>
      </c>
      <c r="G113" s="61" t="str">
        <f>IF(Inicial!J113="SI",Inicial!G113,"N/A")</f>
        <v>N/A</v>
      </c>
      <c r="H113" s="61" t="str">
        <f>IF(Inicial!J113="SI",Inicial!H113,"N/A")</f>
        <v>N/A</v>
      </c>
      <c r="I113" s="63" t="str">
        <f>IF(Inicial!J113="SI",Inicial!I113,"N/A")</f>
        <v>N/A</v>
      </c>
      <c r="P113" s="6" t="str">
        <f t="shared" si="2"/>
        <v>Aceptable</v>
      </c>
      <c r="Q113" s="6"/>
      <c r="R113" s="6"/>
      <c r="S113" s="6"/>
      <c r="T113" s="6"/>
      <c r="U113" s="6"/>
      <c r="V113" s="6"/>
      <c r="W113" s="6" t="str">
        <f t="shared" si="3"/>
        <v>Critico</v>
      </c>
    </row>
    <row r="114" spans="1:23" ht="15" hidden="1">
      <c r="A114" s="60">
        <f>Inicial!A114</f>
        <v>112</v>
      </c>
      <c r="B114" s="61">
        <f>Inicial!B114</f>
        <v>0</v>
      </c>
      <c r="C114" s="61">
        <f>Inicial!C114</f>
        <v>0</v>
      </c>
      <c r="D114" s="62">
        <f>Inicial!D114</f>
        <v>0</v>
      </c>
      <c r="E114" s="60" t="str">
        <f>IF(Inicial!J114="SI",Inicial!E114,"N/A")</f>
        <v>N/A</v>
      </c>
      <c r="F114" s="61" t="str">
        <f>IF(Inicial!J114="SI",Inicial!F114,"N/A")</f>
        <v>N/A</v>
      </c>
      <c r="G114" s="61" t="str">
        <f>IF(Inicial!J114="SI",Inicial!G114,"N/A")</f>
        <v>N/A</v>
      </c>
      <c r="H114" s="61" t="str">
        <f>IF(Inicial!J114="SI",Inicial!H114,"N/A")</f>
        <v>N/A</v>
      </c>
      <c r="I114" s="63" t="str">
        <f>IF(Inicial!J114="SI",Inicial!I114,"N/A")</f>
        <v>N/A</v>
      </c>
      <c r="P114" s="6" t="str">
        <f t="shared" si="2"/>
        <v>Aceptable</v>
      </c>
      <c r="Q114" s="6"/>
      <c r="R114" s="6"/>
      <c r="S114" s="6"/>
      <c r="T114" s="6"/>
      <c r="U114" s="6"/>
      <c r="V114" s="6"/>
      <c r="W114" s="6" t="str">
        <f t="shared" si="3"/>
        <v>Critico</v>
      </c>
    </row>
    <row r="115" spans="1:23" ht="15" hidden="1">
      <c r="A115" s="60">
        <f>Inicial!A115</f>
        <v>113</v>
      </c>
      <c r="B115" s="61">
        <f>Inicial!B115</f>
        <v>0</v>
      </c>
      <c r="C115" s="61">
        <f>Inicial!C115</f>
        <v>0</v>
      </c>
      <c r="D115" s="62">
        <f>Inicial!D115</f>
        <v>0</v>
      </c>
      <c r="E115" s="60" t="str">
        <f>IF(Inicial!J115="SI",Inicial!E115,"N/A")</f>
        <v>N/A</v>
      </c>
      <c r="F115" s="61" t="str">
        <f>IF(Inicial!J115="SI",Inicial!F115,"N/A")</f>
        <v>N/A</v>
      </c>
      <c r="G115" s="61" t="str">
        <f>IF(Inicial!J115="SI",Inicial!G115,"N/A")</f>
        <v>N/A</v>
      </c>
      <c r="H115" s="61" t="str">
        <f>IF(Inicial!J115="SI",Inicial!H115,"N/A")</f>
        <v>N/A</v>
      </c>
      <c r="I115" s="63" t="str">
        <f>IF(Inicial!J115="SI",Inicial!I115,"N/A")</f>
        <v>N/A</v>
      </c>
      <c r="P115" s="6" t="str">
        <f t="shared" si="2"/>
        <v>Aceptable</v>
      </c>
      <c r="Q115" s="6"/>
      <c r="R115" s="6"/>
      <c r="S115" s="6"/>
      <c r="T115" s="6"/>
      <c r="U115" s="6"/>
      <c r="V115" s="6"/>
      <c r="W115" s="6" t="str">
        <f t="shared" si="3"/>
        <v>Critico</v>
      </c>
    </row>
    <row r="116" spans="1:23" ht="15" hidden="1">
      <c r="A116" s="60">
        <f>Inicial!A116</f>
        <v>114</v>
      </c>
      <c r="B116" s="61">
        <f>Inicial!B116</f>
        <v>0</v>
      </c>
      <c r="C116" s="61">
        <f>Inicial!C116</f>
        <v>0</v>
      </c>
      <c r="D116" s="62">
        <f>Inicial!D116</f>
        <v>0</v>
      </c>
      <c r="E116" s="60" t="str">
        <f>IF(Inicial!J116="SI",Inicial!E116,"N/A")</f>
        <v>N/A</v>
      </c>
      <c r="F116" s="61" t="str">
        <f>IF(Inicial!J116="SI",Inicial!F116,"N/A")</f>
        <v>N/A</v>
      </c>
      <c r="G116" s="61" t="str">
        <f>IF(Inicial!J116="SI",Inicial!G116,"N/A")</f>
        <v>N/A</v>
      </c>
      <c r="H116" s="61" t="str">
        <f>IF(Inicial!J116="SI",Inicial!H116,"N/A")</f>
        <v>N/A</v>
      </c>
      <c r="I116" s="63" t="str">
        <f>IF(Inicial!J116="SI",Inicial!I116,"N/A")</f>
        <v>N/A</v>
      </c>
      <c r="P116" s="6" t="str">
        <f t="shared" si="2"/>
        <v>Aceptable</v>
      </c>
      <c r="Q116" s="6"/>
      <c r="R116" s="6"/>
      <c r="S116" s="6"/>
      <c r="T116" s="6"/>
      <c r="U116" s="6"/>
      <c r="V116" s="6"/>
      <c r="W116" s="6" t="str">
        <f t="shared" si="3"/>
        <v>Critico</v>
      </c>
    </row>
    <row r="117" spans="1:23" ht="15" hidden="1">
      <c r="A117" s="60">
        <f>Inicial!A117</f>
        <v>115</v>
      </c>
      <c r="B117" s="61">
        <f>Inicial!B117</f>
        <v>0</v>
      </c>
      <c r="C117" s="61">
        <f>Inicial!C117</f>
        <v>0</v>
      </c>
      <c r="D117" s="62">
        <f>Inicial!D117</f>
        <v>0</v>
      </c>
      <c r="E117" s="60" t="str">
        <f>IF(Inicial!J117="SI",Inicial!E117,"N/A")</f>
        <v>N/A</v>
      </c>
      <c r="F117" s="61" t="str">
        <f>IF(Inicial!J117="SI",Inicial!F117,"N/A")</f>
        <v>N/A</v>
      </c>
      <c r="G117" s="61" t="str">
        <f>IF(Inicial!J117="SI",Inicial!G117,"N/A")</f>
        <v>N/A</v>
      </c>
      <c r="H117" s="61" t="str">
        <f>IF(Inicial!J117="SI",Inicial!H117,"N/A")</f>
        <v>N/A</v>
      </c>
      <c r="I117" s="63" t="str">
        <f>IF(Inicial!J117="SI",Inicial!I117,"N/A")</f>
        <v>N/A</v>
      </c>
      <c r="P117" s="6" t="str">
        <f t="shared" si="2"/>
        <v>Aceptable</v>
      </c>
      <c r="Q117" s="6"/>
      <c r="R117" s="6"/>
      <c r="S117" s="6"/>
      <c r="T117" s="6"/>
      <c r="U117" s="6"/>
      <c r="V117" s="6"/>
      <c r="W117" s="6" t="str">
        <f t="shared" si="3"/>
        <v>Critico</v>
      </c>
    </row>
    <row r="118" spans="1:23" ht="15" hidden="1">
      <c r="A118" s="60">
        <f>Inicial!A118</f>
        <v>116</v>
      </c>
      <c r="B118" s="61">
        <f>Inicial!B118</f>
        <v>0</v>
      </c>
      <c r="C118" s="61">
        <f>Inicial!C118</f>
        <v>0</v>
      </c>
      <c r="D118" s="62">
        <f>Inicial!D118</f>
        <v>0</v>
      </c>
      <c r="E118" s="60" t="str">
        <f>IF(Inicial!J118="SI",Inicial!E118,"N/A")</f>
        <v>N/A</v>
      </c>
      <c r="F118" s="61" t="str">
        <f>IF(Inicial!J118="SI",Inicial!F118,"N/A")</f>
        <v>N/A</v>
      </c>
      <c r="G118" s="61" t="str">
        <f>IF(Inicial!J118="SI",Inicial!G118,"N/A")</f>
        <v>N/A</v>
      </c>
      <c r="H118" s="61" t="str">
        <f>IF(Inicial!J118="SI",Inicial!H118,"N/A")</f>
        <v>N/A</v>
      </c>
      <c r="I118" s="63" t="str">
        <f>IF(Inicial!J118="SI",Inicial!I118,"N/A")</f>
        <v>N/A</v>
      </c>
      <c r="P118" s="6" t="str">
        <f t="shared" si="2"/>
        <v>Aceptable</v>
      </c>
      <c r="Q118" s="6"/>
      <c r="R118" s="6"/>
      <c r="S118" s="6"/>
      <c r="T118" s="6"/>
      <c r="U118" s="6"/>
      <c r="V118" s="6"/>
      <c r="W118" s="6" t="str">
        <f t="shared" si="3"/>
        <v>Critico</v>
      </c>
    </row>
    <row r="119" spans="1:23" ht="15" hidden="1">
      <c r="A119" s="60">
        <f>Inicial!A119</f>
        <v>117</v>
      </c>
      <c r="B119" s="61">
        <f>Inicial!B119</f>
        <v>0</v>
      </c>
      <c r="C119" s="61">
        <f>Inicial!C119</f>
        <v>0</v>
      </c>
      <c r="D119" s="62">
        <f>Inicial!D119</f>
        <v>0</v>
      </c>
      <c r="E119" s="60" t="str">
        <f>IF(Inicial!J119="SI",Inicial!E119,"N/A")</f>
        <v>N/A</v>
      </c>
      <c r="F119" s="61" t="str">
        <f>IF(Inicial!J119="SI",Inicial!F119,"N/A")</f>
        <v>N/A</v>
      </c>
      <c r="G119" s="61" t="str">
        <f>IF(Inicial!J119="SI",Inicial!G119,"N/A")</f>
        <v>N/A</v>
      </c>
      <c r="H119" s="61" t="str">
        <f>IF(Inicial!J119="SI",Inicial!H119,"N/A")</f>
        <v>N/A</v>
      </c>
      <c r="I119" s="63" t="str">
        <f>IF(Inicial!J119="SI",Inicial!I119,"N/A")</f>
        <v>N/A</v>
      </c>
      <c r="P119" s="6" t="str">
        <f t="shared" si="2"/>
        <v>Aceptable</v>
      </c>
      <c r="Q119" s="6"/>
      <c r="R119" s="6"/>
      <c r="S119" s="6"/>
      <c r="T119" s="6"/>
      <c r="U119" s="6"/>
      <c r="V119" s="6"/>
      <c r="W119" s="6" t="str">
        <f t="shared" si="3"/>
        <v>Critico</v>
      </c>
    </row>
    <row r="120" spans="1:23" ht="15" hidden="1">
      <c r="A120" s="60">
        <f>Inicial!A120</f>
        <v>118</v>
      </c>
      <c r="B120" s="61">
        <f>Inicial!B120</f>
        <v>0</v>
      </c>
      <c r="C120" s="61">
        <f>Inicial!C120</f>
        <v>0</v>
      </c>
      <c r="D120" s="62">
        <f>Inicial!D120</f>
        <v>0</v>
      </c>
      <c r="E120" s="60" t="str">
        <f>IF(Inicial!J120="SI",Inicial!E120,"N/A")</f>
        <v>N/A</v>
      </c>
      <c r="F120" s="61" t="str">
        <f>IF(Inicial!J120="SI",Inicial!F120,"N/A")</f>
        <v>N/A</v>
      </c>
      <c r="G120" s="61" t="str">
        <f>IF(Inicial!J120="SI",Inicial!G120,"N/A")</f>
        <v>N/A</v>
      </c>
      <c r="H120" s="61" t="str">
        <f>IF(Inicial!J120="SI",Inicial!H120,"N/A")</f>
        <v>N/A</v>
      </c>
      <c r="I120" s="63" t="str">
        <f>IF(Inicial!J120="SI",Inicial!I120,"N/A")</f>
        <v>N/A</v>
      </c>
      <c r="P120" s="6" t="str">
        <f t="shared" si="2"/>
        <v>Aceptable</v>
      </c>
      <c r="Q120" s="6"/>
      <c r="R120" s="6"/>
      <c r="S120" s="6"/>
      <c r="T120" s="6"/>
      <c r="U120" s="6"/>
      <c r="V120" s="6"/>
      <c r="W120" s="6" t="str">
        <f t="shared" si="3"/>
        <v>Critico</v>
      </c>
    </row>
    <row r="121" spans="1:23" ht="15" hidden="1">
      <c r="A121" s="60">
        <f>Inicial!A121</f>
        <v>119</v>
      </c>
      <c r="B121" s="61">
        <f>Inicial!B121</f>
        <v>0</v>
      </c>
      <c r="C121" s="61">
        <f>Inicial!C121</f>
        <v>0</v>
      </c>
      <c r="D121" s="62">
        <f>Inicial!D121</f>
        <v>0</v>
      </c>
      <c r="E121" s="60" t="str">
        <f>IF(Inicial!J121="SI",Inicial!E121,"N/A")</f>
        <v>N/A</v>
      </c>
      <c r="F121" s="61" t="str">
        <f>IF(Inicial!J121="SI",Inicial!F121,"N/A")</f>
        <v>N/A</v>
      </c>
      <c r="G121" s="61" t="str">
        <f>IF(Inicial!J121="SI",Inicial!G121,"N/A")</f>
        <v>N/A</v>
      </c>
      <c r="H121" s="61" t="str">
        <f>IF(Inicial!J121="SI",Inicial!H121,"N/A")</f>
        <v>N/A</v>
      </c>
      <c r="I121" s="63" t="str">
        <f>IF(Inicial!J121="SI",Inicial!I121,"N/A")</f>
        <v>N/A</v>
      </c>
      <c r="P121" s="6" t="str">
        <f t="shared" si="2"/>
        <v>Aceptable</v>
      </c>
      <c r="Q121" s="6"/>
      <c r="R121" s="6"/>
      <c r="S121" s="6"/>
      <c r="T121" s="6"/>
      <c r="U121" s="6"/>
      <c r="V121" s="6"/>
      <c r="W121" s="6" t="str">
        <f t="shared" si="3"/>
        <v>Critico</v>
      </c>
    </row>
    <row r="122" spans="1:23" ht="15" hidden="1">
      <c r="A122" s="60">
        <f>Inicial!A122</f>
        <v>120</v>
      </c>
      <c r="B122" s="61">
        <f>Inicial!B122</f>
        <v>0</v>
      </c>
      <c r="C122" s="61">
        <f>Inicial!C122</f>
        <v>0</v>
      </c>
      <c r="D122" s="62">
        <f>Inicial!D122</f>
        <v>0</v>
      </c>
      <c r="E122" s="60" t="str">
        <f>IF(Inicial!J122="SI",Inicial!E122,"N/A")</f>
        <v>N/A</v>
      </c>
      <c r="F122" s="61" t="str">
        <f>IF(Inicial!J122="SI",Inicial!F122,"N/A")</f>
        <v>N/A</v>
      </c>
      <c r="G122" s="61" t="str">
        <f>IF(Inicial!J122="SI",Inicial!G122,"N/A")</f>
        <v>N/A</v>
      </c>
      <c r="H122" s="61" t="str">
        <f>IF(Inicial!J122="SI",Inicial!H122,"N/A")</f>
        <v>N/A</v>
      </c>
      <c r="I122" s="63" t="str">
        <f>IF(Inicial!J122="SI",Inicial!I122,"N/A")</f>
        <v>N/A</v>
      </c>
      <c r="P122" s="6" t="str">
        <f t="shared" si="2"/>
        <v>Aceptable</v>
      </c>
      <c r="Q122" s="6"/>
      <c r="R122" s="6"/>
      <c r="S122" s="6"/>
      <c r="T122" s="6"/>
      <c r="U122" s="6"/>
      <c r="V122" s="6"/>
      <c r="W122" s="6" t="str">
        <f t="shared" si="3"/>
        <v>Critico</v>
      </c>
    </row>
    <row r="123" spans="1:23" ht="15" hidden="1">
      <c r="A123" s="60">
        <f>Inicial!A123</f>
        <v>121</v>
      </c>
      <c r="B123" s="61">
        <f>Inicial!B123</f>
        <v>0</v>
      </c>
      <c r="C123" s="61">
        <f>Inicial!C123</f>
        <v>0</v>
      </c>
      <c r="D123" s="62">
        <f>Inicial!D123</f>
        <v>0</v>
      </c>
      <c r="E123" s="60" t="str">
        <f>IF(Inicial!J123="SI",Inicial!E123,"N/A")</f>
        <v>N/A</v>
      </c>
      <c r="F123" s="61" t="str">
        <f>IF(Inicial!J123="SI",Inicial!F123,"N/A")</f>
        <v>N/A</v>
      </c>
      <c r="G123" s="61" t="str">
        <f>IF(Inicial!J123="SI",Inicial!G123,"N/A")</f>
        <v>N/A</v>
      </c>
      <c r="H123" s="61" t="str">
        <f>IF(Inicial!J123="SI",Inicial!H123,"N/A")</f>
        <v>N/A</v>
      </c>
      <c r="I123" s="63" t="str">
        <f>IF(Inicial!J123="SI",Inicial!I123,"N/A")</f>
        <v>N/A</v>
      </c>
      <c r="P123" s="6" t="str">
        <f t="shared" si="2"/>
        <v>Aceptable</v>
      </c>
      <c r="Q123" s="6"/>
      <c r="R123" s="6"/>
      <c r="S123" s="6"/>
      <c r="T123" s="6"/>
      <c r="U123" s="6"/>
      <c r="V123" s="6"/>
      <c r="W123" s="6" t="str">
        <f t="shared" si="3"/>
        <v>Critico</v>
      </c>
    </row>
    <row r="124" spans="1:23" ht="15" hidden="1">
      <c r="A124" s="60">
        <f>Inicial!A124</f>
        <v>122</v>
      </c>
      <c r="B124" s="61">
        <f>Inicial!B124</f>
        <v>0</v>
      </c>
      <c r="C124" s="61">
        <f>Inicial!C124</f>
        <v>0</v>
      </c>
      <c r="D124" s="62">
        <f>Inicial!D124</f>
        <v>0</v>
      </c>
      <c r="E124" s="60" t="str">
        <f>IF(Inicial!J124="SI",Inicial!E124,"N/A")</f>
        <v>N/A</v>
      </c>
      <c r="F124" s="61" t="str">
        <f>IF(Inicial!J124="SI",Inicial!F124,"N/A")</f>
        <v>N/A</v>
      </c>
      <c r="G124" s="61" t="str">
        <f>IF(Inicial!J124="SI",Inicial!G124,"N/A")</f>
        <v>N/A</v>
      </c>
      <c r="H124" s="61" t="str">
        <f>IF(Inicial!J124="SI",Inicial!H124,"N/A")</f>
        <v>N/A</v>
      </c>
      <c r="I124" s="63" t="str">
        <f>IF(Inicial!J124="SI",Inicial!I124,"N/A")</f>
        <v>N/A</v>
      </c>
      <c r="P124" s="6" t="str">
        <f t="shared" si="2"/>
        <v>Aceptable</v>
      </c>
      <c r="Q124" s="6"/>
      <c r="R124" s="6"/>
      <c r="S124" s="6"/>
      <c r="T124" s="6"/>
      <c r="U124" s="6"/>
      <c r="V124" s="6"/>
      <c r="W124" s="6" t="str">
        <f t="shared" si="3"/>
        <v>Critico</v>
      </c>
    </row>
    <row r="125" spans="1:23" ht="15" hidden="1">
      <c r="A125" s="60">
        <f>Inicial!A125</f>
        <v>123</v>
      </c>
      <c r="B125" s="61">
        <f>Inicial!B125</f>
        <v>0</v>
      </c>
      <c r="C125" s="61">
        <f>Inicial!C125</f>
        <v>0</v>
      </c>
      <c r="D125" s="62">
        <f>Inicial!D125</f>
        <v>0</v>
      </c>
      <c r="E125" s="60" t="str">
        <f>IF(Inicial!J125="SI",Inicial!E125,"N/A")</f>
        <v>N/A</v>
      </c>
      <c r="F125" s="61" t="str">
        <f>IF(Inicial!J125="SI",Inicial!F125,"N/A")</f>
        <v>N/A</v>
      </c>
      <c r="G125" s="61" t="str">
        <f>IF(Inicial!J125="SI",Inicial!G125,"N/A")</f>
        <v>N/A</v>
      </c>
      <c r="H125" s="61" t="str">
        <f>IF(Inicial!J125="SI",Inicial!H125,"N/A")</f>
        <v>N/A</v>
      </c>
      <c r="I125" s="63" t="str">
        <f>IF(Inicial!J125="SI",Inicial!I125,"N/A")</f>
        <v>N/A</v>
      </c>
      <c r="P125" s="6" t="str">
        <f t="shared" si="2"/>
        <v>Aceptable</v>
      </c>
      <c r="Q125" s="6"/>
      <c r="R125" s="6"/>
      <c r="S125" s="6"/>
      <c r="T125" s="6"/>
      <c r="U125" s="6"/>
      <c r="V125" s="6"/>
      <c r="W125" s="6" t="str">
        <f t="shared" si="3"/>
        <v>Critico</v>
      </c>
    </row>
    <row r="126" spans="1:23" ht="15" hidden="1">
      <c r="A126" s="60">
        <f>Inicial!A126</f>
        <v>124</v>
      </c>
      <c r="B126" s="61">
        <f>Inicial!B126</f>
        <v>0</v>
      </c>
      <c r="C126" s="61">
        <f>Inicial!C126</f>
        <v>0</v>
      </c>
      <c r="D126" s="62">
        <f>Inicial!D126</f>
        <v>0</v>
      </c>
      <c r="E126" s="60" t="str">
        <f>IF(Inicial!J126="SI",Inicial!E126,"N/A")</f>
        <v>N/A</v>
      </c>
      <c r="F126" s="61" t="str">
        <f>IF(Inicial!J126="SI",Inicial!F126,"N/A")</f>
        <v>N/A</v>
      </c>
      <c r="G126" s="61" t="str">
        <f>IF(Inicial!J126="SI",Inicial!G126,"N/A")</f>
        <v>N/A</v>
      </c>
      <c r="H126" s="61" t="str">
        <f>IF(Inicial!J126="SI",Inicial!H126,"N/A")</f>
        <v>N/A</v>
      </c>
      <c r="I126" s="63" t="str">
        <f>IF(Inicial!J126="SI",Inicial!I126,"N/A")</f>
        <v>N/A</v>
      </c>
      <c r="P126" s="6" t="str">
        <f t="shared" si="2"/>
        <v>Aceptable</v>
      </c>
      <c r="Q126" s="6"/>
      <c r="R126" s="6"/>
      <c r="S126" s="6"/>
      <c r="T126" s="6"/>
      <c r="U126" s="6"/>
      <c r="V126" s="6"/>
      <c r="W126" s="6" t="str">
        <f t="shared" si="3"/>
        <v>Critico</v>
      </c>
    </row>
    <row r="127" spans="1:23" ht="15" hidden="1">
      <c r="A127" s="60">
        <f>Inicial!A127</f>
        <v>125</v>
      </c>
      <c r="B127" s="61">
        <f>Inicial!B127</f>
        <v>0</v>
      </c>
      <c r="C127" s="61">
        <f>Inicial!C127</f>
        <v>0</v>
      </c>
      <c r="D127" s="62">
        <f>Inicial!D127</f>
        <v>0</v>
      </c>
      <c r="E127" s="60" t="str">
        <f>IF(Inicial!J127="SI",Inicial!E127,"N/A")</f>
        <v>N/A</v>
      </c>
      <c r="F127" s="61" t="str">
        <f>IF(Inicial!J127="SI",Inicial!F127,"N/A")</f>
        <v>N/A</v>
      </c>
      <c r="G127" s="61" t="str">
        <f>IF(Inicial!J127="SI",Inicial!G127,"N/A")</f>
        <v>N/A</v>
      </c>
      <c r="H127" s="61" t="str">
        <f>IF(Inicial!J127="SI",Inicial!H127,"N/A")</f>
        <v>N/A</v>
      </c>
      <c r="I127" s="63" t="str">
        <f>IF(Inicial!J127="SI",Inicial!I127,"N/A")</f>
        <v>N/A</v>
      </c>
      <c r="P127" s="6" t="str">
        <f t="shared" si="2"/>
        <v>Aceptable</v>
      </c>
      <c r="Q127" s="6"/>
      <c r="R127" s="6"/>
      <c r="S127" s="6"/>
      <c r="T127" s="6"/>
      <c r="U127" s="6"/>
      <c r="V127" s="6"/>
      <c r="W127" s="6" t="str">
        <f t="shared" si="3"/>
        <v>Critico</v>
      </c>
    </row>
    <row r="128" spans="1:23" ht="15" hidden="1">
      <c r="A128" s="60">
        <f>Inicial!A128</f>
        <v>126</v>
      </c>
      <c r="B128" s="61">
        <f>Inicial!B128</f>
        <v>0</v>
      </c>
      <c r="C128" s="61">
        <f>Inicial!C128</f>
        <v>0</v>
      </c>
      <c r="D128" s="62">
        <f>Inicial!D128</f>
        <v>0</v>
      </c>
      <c r="E128" s="60" t="str">
        <f>IF(Inicial!J128="SI",Inicial!E128,"N/A")</f>
        <v>N/A</v>
      </c>
      <c r="F128" s="61" t="str">
        <f>IF(Inicial!J128="SI",Inicial!F128,"N/A")</f>
        <v>N/A</v>
      </c>
      <c r="G128" s="61" t="str">
        <f>IF(Inicial!J128="SI",Inicial!G128,"N/A")</f>
        <v>N/A</v>
      </c>
      <c r="H128" s="61" t="str">
        <f>IF(Inicial!J128="SI",Inicial!H128,"N/A")</f>
        <v>N/A</v>
      </c>
      <c r="I128" s="63" t="str">
        <f>IF(Inicial!J128="SI",Inicial!I128,"N/A")</f>
        <v>N/A</v>
      </c>
      <c r="P128" s="6" t="str">
        <f t="shared" si="2"/>
        <v>Aceptable</v>
      </c>
      <c r="Q128" s="6"/>
      <c r="R128" s="6"/>
      <c r="S128" s="6"/>
      <c r="T128" s="6"/>
      <c r="U128" s="6"/>
      <c r="V128" s="6"/>
      <c r="W128" s="6" t="str">
        <f t="shared" si="3"/>
        <v>Critico</v>
      </c>
    </row>
    <row r="129" spans="1:23" ht="15" hidden="1">
      <c r="A129" s="60">
        <f>Inicial!A129</f>
        <v>127</v>
      </c>
      <c r="B129" s="61">
        <f>Inicial!B129</f>
        <v>0</v>
      </c>
      <c r="C129" s="61">
        <f>Inicial!C129</f>
        <v>0</v>
      </c>
      <c r="D129" s="62">
        <f>Inicial!D129</f>
        <v>0</v>
      </c>
      <c r="E129" s="60" t="str">
        <f>IF(Inicial!J129="SI",Inicial!E129,"N/A")</f>
        <v>N/A</v>
      </c>
      <c r="F129" s="61" t="str">
        <f>IF(Inicial!J129="SI",Inicial!F129,"N/A")</f>
        <v>N/A</v>
      </c>
      <c r="G129" s="61" t="str">
        <f>IF(Inicial!J129="SI",Inicial!G129,"N/A")</f>
        <v>N/A</v>
      </c>
      <c r="H129" s="61" t="str">
        <f>IF(Inicial!J129="SI",Inicial!H129,"N/A")</f>
        <v>N/A</v>
      </c>
      <c r="I129" s="63" t="str">
        <f>IF(Inicial!J129="SI",Inicial!I129,"N/A")</f>
        <v>N/A</v>
      </c>
      <c r="P129" s="6" t="str">
        <f t="shared" si="2"/>
        <v>Aceptable</v>
      </c>
      <c r="Q129" s="6"/>
      <c r="R129" s="6"/>
      <c r="S129" s="6"/>
      <c r="T129" s="6"/>
      <c r="U129" s="6"/>
      <c r="V129" s="6"/>
      <c r="W129" s="6" t="str">
        <f t="shared" si="3"/>
        <v>Critico</v>
      </c>
    </row>
    <row r="130" spans="1:23" ht="15" hidden="1">
      <c r="A130" s="60">
        <f>Inicial!A130</f>
        <v>128</v>
      </c>
      <c r="B130" s="61">
        <f>Inicial!B130</f>
        <v>0</v>
      </c>
      <c r="C130" s="61">
        <f>Inicial!C130</f>
        <v>0</v>
      </c>
      <c r="D130" s="62">
        <f>Inicial!D130</f>
        <v>0</v>
      </c>
      <c r="E130" s="60" t="str">
        <f>IF(Inicial!J130="SI",Inicial!E130,"N/A")</f>
        <v>N/A</v>
      </c>
      <c r="F130" s="61" t="str">
        <f>IF(Inicial!J130="SI",Inicial!F130,"N/A")</f>
        <v>N/A</v>
      </c>
      <c r="G130" s="61" t="str">
        <f>IF(Inicial!J130="SI",Inicial!G130,"N/A")</f>
        <v>N/A</v>
      </c>
      <c r="H130" s="61" t="str">
        <f>IF(Inicial!J130="SI",Inicial!H130,"N/A")</f>
        <v>N/A</v>
      </c>
      <c r="I130" s="63" t="str">
        <f>IF(Inicial!J130="SI",Inicial!I130,"N/A")</f>
        <v>N/A</v>
      </c>
      <c r="P130" s="6" t="str">
        <f t="shared" si="2"/>
        <v>Aceptable</v>
      </c>
      <c r="Q130" s="6"/>
      <c r="R130" s="6"/>
      <c r="S130" s="6"/>
      <c r="T130" s="6"/>
      <c r="U130" s="6"/>
      <c r="V130" s="6"/>
      <c r="W130" s="6" t="str">
        <f t="shared" si="3"/>
        <v>Critico</v>
      </c>
    </row>
    <row r="131" spans="1:23" ht="15" hidden="1">
      <c r="A131" s="60">
        <f>Inicial!A131</f>
        <v>129</v>
      </c>
      <c r="B131" s="61">
        <f>Inicial!B131</f>
        <v>0</v>
      </c>
      <c r="C131" s="61">
        <f>Inicial!C131</f>
        <v>0</v>
      </c>
      <c r="D131" s="62">
        <f>Inicial!D131</f>
        <v>0</v>
      </c>
      <c r="E131" s="60" t="str">
        <f>IF(Inicial!J131="SI",Inicial!E131,"N/A")</f>
        <v>N/A</v>
      </c>
      <c r="F131" s="61" t="str">
        <f>IF(Inicial!J131="SI",Inicial!F131,"N/A")</f>
        <v>N/A</v>
      </c>
      <c r="G131" s="61" t="str">
        <f>IF(Inicial!J131="SI",Inicial!G131,"N/A")</f>
        <v>N/A</v>
      </c>
      <c r="H131" s="61" t="str">
        <f>IF(Inicial!J131="SI",Inicial!H131,"N/A")</f>
        <v>N/A</v>
      </c>
      <c r="I131" s="63" t="str">
        <f>IF(Inicial!J131="SI",Inicial!I131,"N/A")</f>
        <v>N/A</v>
      </c>
      <c r="P131" s="6" t="str">
        <f t="shared" si="2"/>
        <v>Aceptable</v>
      </c>
      <c r="Q131" s="6"/>
      <c r="R131" s="6"/>
      <c r="S131" s="6"/>
      <c r="T131" s="6"/>
      <c r="U131" s="6"/>
      <c r="V131" s="6"/>
      <c r="W131" s="6" t="str">
        <f t="shared" si="3"/>
        <v>Critico</v>
      </c>
    </row>
    <row r="132" spans="1:23" ht="15" hidden="1">
      <c r="A132" s="60">
        <f>Inicial!A132</f>
        <v>130</v>
      </c>
      <c r="B132" s="61">
        <f>Inicial!B132</f>
        <v>0</v>
      </c>
      <c r="C132" s="61">
        <f>Inicial!C132</f>
        <v>0</v>
      </c>
      <c r="D132" s="62">
        <f>Inicial!D132</f>
        <v>0</v>
      </c>
      <c r="E132" s="60" t="str">
        <f>IF(Inicial!J132="SI",Inicial!E132,"N/A")</f>
        <v>N/A</v>
      </c>
      <c r="F132" s="61" t="str">
        <f>IF(Inicial!J132="SI",Inicial!F132,"N/A")</f>
        <v>N/A</v>
      </c>
      <c r="G132" s="61" t="str">
        <f>IF(Inicial!J132="SI",Inicial!G132,"N/A")</f>
        <v>N/A</v>
      </c>
      <c r="H132" s="61" t="str">
        <f>IF(Inicial!J132="SI",Inicial!H132,"N/A")</f>
        <v>N/A</v>
      </c>
      <c r="I132" s="63" t="str">
        <f>IF(Inicial!J132="SI",Inicial!I132,"N/A")</f>
        <v>N/A</v>
      </c>
      <c r="P132" s="6" t="str">
        <f t="shared" ref="P132:P195" si="4">IF(OR(J132="NO",K132="NO",L132="NO",M132="NO",N132="NO",O132="NO"),"No Aceptable","Aceptable")</f>
        <v>Aceptable</v>
      </c>
      <c r="Q132" s="6"/>
      <c r="R132" s="6"/>
      <c r="S132" s="6"/>
      <c r="T132" s="6"/>
      <c r="U132" s="6"/>
      <c r="V132" s="6"/>
      <c r="W132" s="6" t="str">
        <f t="shared" ref="W132:W195" si="5">IF(AND(Q132="NO",R132="NO",S132="NO",T132="NO",U132="NO",V132="NO"),"No Critico","Critico")</f>
        <v>Critico</v>
      </c>
    </row>
    <row r="133" spans="1:23" ht="15" hidden="1">
      <c r="A133" s="60">
        <f>Inicial!A133</f>
        <v>131</v>
      </c>
      <c r="B133" s="61">
        <f>Inicial!B133</f>
        <v>0</v>
      </c>
      <c r="C133" s="61">
        <f>Inicial!C133</f>
        <v>0</v>
      </c>
      <c r="D133" s="62">
        <f>Inicial!D133</f>
        <v>0</v>
      </c>
      <c r="E133" s="60" t="str">
        <f>IF(Inicial!J133="SI",Inicial!E133,"N/A")</f>
        <v>N/A</v>
      </c>
      <c r="F133" s="61" t="str">
        <f>IF(Inicial!J133="SI",Inicial!F133,"N/A")</f>
        <v>N/A</v>
      </c>
      <c r="G133" s="61" t="str">
        <f>IF(Inicial!J133="SI",Inicial!G133,"N/A")</f>
        <v>N/A</v>
      </c>
      <c r="H133" s="61" t="str">
        <f>IF(Inicial!J133="SI",Inicial!H133,"N/A")</f>
        <v>N/A</v>
      </c>
      <c r="I133" s="63" t="str">
        <f>IF(Inicial!J133="SI",Inicial!I133,"N/A")</f>
        <v>N/A</v>
      </c>
      <c r="P133" s="6" t="str">
        <f t="shared" si="4"/>
        <v>Aceptable</v>
      </c>
      <c r="Q133" s="6"/>
      <c r="R133" s="6"/>
      <c r="S133" s="6"/>
      <c r="T133" s="6"/>
      <c r="U133" s="6"/>
      <c r="V133" s="6"/>
      <c r="W133" s="6" t="str">
        <f t="shared" si="5"/>
        <v>Critico</v>
      </c>
    </row>
    <row r="134" spans="1:23" ht="15" hidden="1">
      <c r="A134" s="60">
        <f>Inicial!A134</f>
        <v>132</v>
      </c>
      <c r="B134" s="61">
        <f>Inicial!B134</f>
        <v>0</v>
      </c>
      <c r="C134" s="61">
        <f>Inicial!C134</f>
        <v>0</v>
      </c>
      <c r="D134" s="62">
        <f>Inicial!D134</f>
        <v>0</v>
      </c>
      <c r="E134" s="60" t="str">
        <f>IF(Inicial!J134="SI",Inicial!E134,"N/A")</f>
        <v>N/A</v>
      </c>
      <c r="F134" s="61" t="str">
        <f>IF(Inicial!J134="SI",Inicial!F134,"N/A")</f>
        <v>N/A</v>
      </c>
      <c r="G134" s="61" t="str">
        <f>IF(Inicial!J134="SI",Inicial!G134,"N/A")</f>
        <v>N/A</v>
      </c>
      <c r="H134" s="61" t="str">
        <f>IF(Inicial!J134="SI",Inicial!H134,"N/A")</f>
        <v>N/A</v>
      </c>
      <c r="I134" s="63" t="str">
        <f>IF(Inicial!J134="SI",Inicial!I134,"N/A")</f>
        <v>N/A</v>
      </c>
      <c r="P134" s="6" t="str">
        <f t="shared" si="4"/>
        <v>Aceptable</v>
      </c>
      <c r="Q134" s="6"/>
      <c r="R134" s="6"/>
      <c r="S134" s="6"/>
      <c r="T134" s="6"/>
      <c r="U134" s="6"/>
      <c r="V134" s="6"/>
      <c r="W134" s="6" t="str">
        <f t="shared" si="5"/>
        <v>Critico</v>
      </c>
    </row>
    <row r="135" spans="1:23" ht="15" hidden="1">
      <c r="A135" s="60">
        <f>Inicial!A135</f>
        <v>133</v>
      </c>
      <c r="B135" s="61">
        <f>Inicial!B135</f>
        <v>0</v>
      </c>
      <c r="C135" s="61">
        <f>Inicial!C135</f>
        <v>0</v>
      </c>
      <c r="D135" s="62">
        <f>Inicial!D135</f>
        <v>0</v>
      </c>
      <c r="E135" s="60" t="str">
        <f>IF(Inicial!J135="SI",Inicial!E135,"N/A")</f>
        <v>N/A</v>
      </c>
      <c r="F135" s="61" t="str">
        <f>IF(Inicial!J135="SI",Inicial!F135,"N/A")</f>
        <v>N/A</v>
      </c>
      <c r="G135" s="61" t="str">
        <f>IF(Inicial!J135="SI",Inicial!G135,"N/A")</f>
        <v>N/A</v>
      </c>
      <c r="H135" s="61" t="str">
        <f>IF(Inicial!J135="SI",Inicial!H135,"N/A")</f>
        <v>N/A</v>
      </c>
      <c r="I135" s="63" t="str">
        <f>IF(Inicial!J135="SI",Inicial!I135,"N/A")</f>
        <v>N/A</v>
      </c>
      <c r="P135" s="6" t="str">
        <f t="shared" si="4"/>
        <v>Aceptable</v>
      </c>
      <c r="Q135" s="6"/>
      <c r="R135" s="6"/>
      <c r="S135" s="6"/>
      <c r="T135" s="6"/>
      <c r="U135" s="6"/>
      <c r="V135" s="6"/>
      <c r="W135" s="6" t="str">
        <f t="shared" si="5"/>
        <v>Critico</v>
      </c>
    </row>
    <row r="136" spans="1:23" ht="15" hidden="1">
      <c r="A136" s="60">
        <f>Inicial!A136</f>
        <v>134</v>
      </c>
      <c r="B136" s="61">
        <f>Inicial!B136</f>
        <v>0</v>
      </c>
      <c r="C136" s="61">
        <f>Inicial!C136</f>
        <v>0</v>
      </c>
      <c r="D136" s="62">
        <f>Inicial!D136</f>
        <v>0</v>
      </c>
      <c r="E136" s="60" t="str">
        <f>IF(Inicial!J136="SI",Inicial!E136,"N/A")</f>
        <v>N/A</v>
      </c>
      <c r="F136" s="61" t="str">
        <f>IF(Inicial!J136="SI",Inicial!F136,"N/A")</f>
        <v>N/A</v>
      </c>
      <c r="G136" s="61" t="str">
        <f>IF(Inicial!J136="SI",Inicial!G136,"N/A")</f>
        <v>N/A</v>
      </c>
      <c r="H136" s="61" t="str">
        <f>IF(Inicial!J136="SI",Inicial!H136,"N/A")</f>
        <v>N/A</v>
      </c>
      <c r="I136" s="63" t="str">
        <f>IF(Inicial!J136="SI",Inicial!I136,"N/A")</f>
        <v>N/A</v>
      </c>
      <c r="P136" s="6" t="str">
        <f t="shared" si="4"/>
        <v>Aceptable</v>
      </c>
      <c r="Q136" s="6"/>
      <c r="R136" s="6"/>
      <c r="S136" s="6"/>
      <c r="T136" s="6"/>
      <c r="U136" s="6"/>
      <c r="V136" s="6"/>
      <c r="W136" s="6" t="str">
        <f t="shared" si="5"/>
        <v>Critico</v>
      </c>
    </row>
    <row r="137" spans="1:23" ht="15" hidden="1">
      <c r="A137" s="60">
        <f>Inicial!A137</f>
        <v>135</v>
      </c>
      <c r="B137" s="61">
        <f>Inicial!B137</f>
        <v>0</v>
      </c>
      <c r="C137" s="61">
        <f>Inicial!C137</f>
        <v>0</v>
      </c>
      <c r="D137" s="62">
        <f>Inicial!D137</f>
        <v>0</v>
      </c>
      <c r="E137" s="60" t="str">
        <f>IF(Inicial!J137="SI",Inicial!E137,"N/A")</f>
        <v>N/A</v>
      </c>
      <c r="F137" s="61" t="str">
        <f>IF(Inicial!J137="SI",Inicial!F137,"N/A")</f>
        <v>N/A</v>
      </c>
      <c r="G137" s="61" t="str">
        <f>IF(Inicial!J137="SI",Inicial!G137,"N/A")</f>
        <v>N/A</v>
      </c>
      <c r="H137" s="61" t="str">
        <f>IF(Inicial!J137="SI",Inicial!H137,"N/A")</f>
        <v>N/A</v>
      </c>
      <c r="I137" s="63" t="str">
        <f>IF(Inicial!J137="SI",Inicial!I137,"N/A")</f>
        <v>N/A</v>
      </c>
      <c r="P137" s="6" t="str">
        <f t="shared" si="4"/>
        <v>Aceptable</v>
      </c>
      <c r="Q137" s="6"/>
      <c r="R137" s="6"/>
      <c r="S137" s="6"/>
      <c r="T137" s="6"/>
      <c r="U137" s="6"/>
      <c r="V137" s="6"/>
      <c r="W137" s="6" t="str">
        <f t="shared" si="5"/>
        <v>Critico</v>
      </c>
    </row>
    <row r="138" spans="1:23" ht="15" hidden="1">
      <c r="A138" s="60">
        <f>Inicial!A138</f>
        <v>136</v>
      </c>
      <c r="B138" s="61">
        <f>Inicial!B138</f>
        <v>0</v>
      </c>
      <c r="C138" s="61">
        <f>Inicial!C138</f>
        <v>0</v>
      </c>
      <c r="D138" s="62">
        <f>Inicial!D138</f>
        <v>0</v>
      </c>
      <c r="E138" s="60" t="str">
        <f>IF(Inicial!J138="SI",Inicial!E138,"N/A")</f>
        <v>N/A</v>
      </c>
      <c r="F138" s="61" t="str">
        <f>IF(Inicial!J138="SI",Inicial!F138,"N/A")</f>
        <v>N/A</v>
      </c>
      <c r="G138" s="61" t="str">
        <f>IF(Inicial!J138="SI",Inicial!G138,"N/A")</f>
        <v>N/A</v>
      </c>
      <c r="H138" s="61" t="str">
        <f>IF(Inicial!J138="SI",Inicial!H138,"N/A")</f>
        <v>N/A</v>
      </c>
      <c r="I138" s="63" t="str">
        <f>IF(Inicial!J138="SI",Inicial!I138,"N/A")</f>
        <v>N/A</v>
      </c>
      <c r="P138" s="6" t="str">
        <f t="shared" si="4"/>
        <v>Aceptable</v>
      </c>
      <c r="Q138" s="6"/>
      <c r="R138" s="6"/>
      <c r="S138" s="6"/>
      <c r="T138" s="6"/>
      <c r="U138" s="6"/>
      <c r="V138" s="6"/>
      <c r="W138" s="6" t="str">
        <f t="shared" si="5"/>
        <v>Critico</v>
      </c>
    </row>
    <row r="139" spans="1:23" ht="15" hidden="1">
      <c r="A139" s="60">
        <f>Inicial!A139</f>
        <v>137</v>
      </c>
      <c r="B139" s="61">
        <f>Inicial!B139</f>
        <v>0</v>
      </c>
      <c r="C139" s="61">
        <f>Inicial!C139</f>
        <v>0</v>
      </c>
      <c r="D139" s="62">
        <f>Inicial!D139</f>
        <v>0</v>
      </c>
      <c r="E139" s="60" t="str">
        <f>IF(Inicial!J139="SI",Inicial!E139,"N/A")</f>
        <v>N/A</v>
      </c>
      <c r="F139" s="61" t="str">
        <f>IF(Inicial!J139="SI",Inicial!F139,"N/A")</f>
        <v>N/A</v>
      </c>
      <c r="G139" s="61" t="str">
        <f>IF(Inicial!J139="SI",Inicial!G139,"N/A")</f>
        <v>N/A</v>
      </c>
      <c r="H139" s="61" t="str">
        <f>IF(Inicial!J139="SI",Inicial!H139,"N/A")</f>
        <v>N/A</v>
      </c>
      <c r="I139" s="63" t="str">
        <f>IF(Inicial!J139="SI",Inicial!I139,"N/A")</f>
        <v>N/A</v>
      </c>
      <c r="P139" s="6" t="str">
        <f t="shared" si="4"/>
        <v>Aceptable</v>
      </c>
      <c r="Q139" s="6"/>
      <c r="R139" s="6"/>
      <c r="S139" s="6"/>
      <c r="T139" s="6"/>
      <c r="U139" s="6"/>
      <c r="V139" s="6"/>
      <c r="W139" s="6" t="str">
        <f t="shared" si="5"/>
        <v>Critico</v>
      </c>
    </row>
    <row r="140" spans="1:23" ht="15" hidden="1">
      <c r="A140" s="60">
        <f>Inicial!A140</f>
        <v>138</v>
      </c>
      <c r="B140" s="61">
        <f>Inicial!B140</f>
        <v>0</v>
      </c>
      <c r="C140" s="61">
        <f>Inicial!C140</f>
        <v>0</v>
      </c>
      <c r="D140" s="62">
        <f>Inicial!D140</f>
        <v>0</v>
      </c>
      <c r="E140" s="60" t="str">
        <f>IF(Inicial!J140="SI",Inicial!E140,"N/A")</f>
        <v>N/A</v>
      </c>
      <c r="F140" s="61" t="str">
        <f>IF(Inicial!J140="SI",Inicial!F140,"N/A")</f>
        <v>N/A</v>
      </c>
      <c r="G140" s="61" t="str">
        <f>IF(Inicial!J140="SI",Inicial!G140,"N/A")</f>
        <v>N/A</v>
      </c>
      <c r="H140" s="61" t="str">
        <f>IF(Inicial!J140="SI",Inicial!H140,"N/A")</f>
        <v>N/A</v>
      </c>
      <c r="I140" s="63" t="str">
        <f>IF(Inicial!J140="SI",Inicial!I140,"N/A")</f>
        <v>N/A</v>
      </c>
      <c r="P140" s="6" t="str">
        <f t="shared" si="4"/>
        <v>Aceptable</v>
      </c>
      <c r="Q140" s="6"/>
      <c r="R140" s="6"/>
      <c r="S140" s="6"/>
      <c r="T140" s="6"/>
      <c r="U140" s="6"/>
      <c r="V140" s="6"/>
      <c r="W140" s="6" t="str">
        <f t="shared" si="5"/>
        <v>Critico</v>
      </c>
    </row>
    <row r="141" spans="1:23" ht="15" hidden="1">
      <c r="A141" s="60">
        <f>Inicial!A141</f>
        <v>139</v>
      </c>
      <c r="B141" s="61">
        <f>Inicial!B141</f>
        <v>0</v>
      </c>
      <c r="C141" s="61">
        <f>Inicial!C141</f>
        <v>0</v>
      </c>
      <c r="D141" s="62">
        <f>Inicial!D141</f>
        <v>0</v>
      </c>
      <c r="E141" s="60" t="str">
        <f>IF(Inicial!J141="SI",Inicial!E141,"N/A")</f>
        <v>N/A</v>
      </c>
      <c r="F141" s="61" t="str">
        <f>IF(Inicial!J141="SI",Inicial!F141,"N/A")</f>
        <v>N/A</v>
      </c>
      <c r="G141" s="61" t="str">
        <f>IF(Inicial!J141="SI",Inicial!G141,"N/A")</f>
        <v>N/A</v>
      </c>
      <c r="H141" s="61" t="str">
        <f>IF(Inicial!J141="SI",Inicial!H141,"N/A")</f>
        <v>N/A</v>
      </c>
      <c r="I141" s="63" t="str">
        <f>IF(Inicial!J141="SI",Inicial!I141,"N/A")</f>
        <v>N/A</v>
      </c>
      <c r="P141" s="6" t="str">
        <f t="shared" si="4"/>
        <v>Aceptable</v>
      </c>
      <c r="Q141" s="6"/>
      <c r="R141" s="6"/>
      <c r="S141" s="6"/>
      <c r="T141" s="6"/>
      <c r="U141" s="6"/>
      <c r="V141" s="6"/>
      <c r="W141" s="6" t="str">
        <f t="shared" si="5"/>
        <v>Critico</v>
      </c>
    </row>
    <row r="142" spans="1:23" ht="15" hidden="1">
      <c r="A142" s="60">
        <f>Inicial!A142</f>
        <v>140</v>
      </c>
      <c r="B142" s="61">
        <f>Inicial!B142</f>
        <v>0</v>
      </c>
      <c r="C142" s="61">
        <f>Inicial!C142</f>
        <v>0</v>
      </c>
      <c r="D142" s="62">
        <f>Inicial!D142</f>
        <v>0</v>
      </c>
      <c r="E142" s="60" t="str">
        <f>IF(Inicial!J142="SI",Inicial!E142,"N/A")</f>
        <v>N/A</v>
      </c>
      <c r="F142" s="61" t="str">
        <f>IF(Inicial!J142="SI",Inicial!F142,"N/A")</f>
        <v>N/A</v>
      </c>
      <c r="G142" s="61" t="str">
        <f>IF(Inicial!J142="SI",Inicial!G142,"N/A")</f>
        <v>N/A</v>
      </c>
      <c r="H142" s="61" t="str">
        <f>IF(Inicial!J142="SI",Inicial!H142,"N/A")</f>
        <v>N/A</v>
      </c>
      <c r="I142" s="63" t="str">
        <f>IF(Inicial!J142="SI",Inicial!I142,"N/A")</f>
        <v>N/A</v>
      </c>
      <c r="P142" s="6" t="str">
        <f t="shared" si="4"/>
        <v>Aceptable</v>
      </c>
      <c r="Q142" s="6"/>
      <c r="R142" s="6"/>
      <c r="S142" s="6"/>
      <c r="T142" s="6"/>
      <c r="U142" s="6"/>
      <c r="V142" s="6"/>
      <c r="W142" s="6" t="str">
        <f t="shared" si="5"/>
        <v>Critico</v>
      </c>
    </row>
    <row r="143" spans="1:23" ht="15" hidden="1">
      <c r="A143" s="60">
        <f>Inicial!A143</f>
        <v>141</v>
      </c>
      <c r="B143" s="61">
        <f>Inicial!B143</f>
        <v>0</v>
      </c>
      <c r="C143" s="61">
        <f>Inicial!C143</f>
        <v>0</v>
      </c>
      <c r="D143" s="62">
        <f>Inicial!D143</f>
        <v>0</v>
      </c>
      <c r="E143" s="60" t="str">
        <f>IF(Inicial!J143="SI",Inicial!E143,"N/A")</f>
        <v>N/A</v>
      </c>
      <c r="F143" s="61" t="str">
        <f>IF(Inicial!J143="SI",Inicial!F143,"N/A")</f>
        <v>N/A</v>
      </c>
      <c r="G143" s="61" t="str">
        <f>IF(Inicial!J143="SI",Inicial!G143,"N/A")</f>
        <v>N/A</v>
      </c>
      <c r="H143" s="61" t="str">
        <f>IF(Inicial!J143="SI",Inicial!H143,"N/A")</f>
        <v>N/A</v>
      </c>
      <c r="I143" s="63" t="str">
        <f>IF(Inicial!J143="SI",Inicial!I143,"N/A")</f>
        <v>N/A</v>
      </c>
      <c r="P143" s="6" t="str">
        <f t="shared" si="4"/>
        <v>Aceptable</v>
      </c>
      <c r="Q143" s="6"/>
      <c r="R143" s="6"/>
      <c r="S143" s="6"/>
      <c r="T143" s="6"/>
      <c r="U143" s="6"/>
      <c r="V143" s="6"/>
      <c r="W143" s="6" t="str">
        <f t="shared" si="5"/>
        <v>Critico</v>
      </c>
    </row>
    <row r="144" spans="1:23" ht="15" hidden="1">
      <c r="A144" s="60">
        <f>Inicial!A144</f>
        <v>142</v>
      </c>
      <c r="B144" s="61">
        <f>Inicial!B144</f>
        <v>0</v>
      </c>
      <c r="C144" s="61">
        <f>Inicial!C144</f>
        <v>0</v>
      </c>
      <c r="D144" s="62">
        <f>Inicial!D144</f>
        <v>0</v>
      </c>
      <c r="E144" s="60" t="str">
        <f>IF(Inicial!J144="SI",Inicial!E144,"N/A")</f>
        <v>N/A</v>
      </c>
      <c r="F144" s="61" t="str">
        <f>IF(Inicial!J144="SI",Inicial!F144,"N/A")</f>
        <v>N/A</v>
      </c>
      <c r="G144" s="61" t="str">
        <f>IF(Inicial!J144="SI",Inicial!G144,"N/A")</f>
        <v>N/A</v>
      </c>
      <c r="H144" s="61" t="str">
        <f>IF(Inicial!J144="SI",Inicial!H144,"N/A")</f>
        <v>N/A</v>
      </c>
      <c r="I144" s="63" t="str">
        <f>IF(Inicial!J144="SI",Inicial!I144,"N/A")</f>
        <v>N/A</v>
      </c>
      <c r="P144" s="6" t="str">
        <f t="shared" si="4"/>
        <v>Aceptable</v>
      </c>
      <c r="Q144" s="6"/>
      <c r="R144" s="6"/>
      <c r="S144" s="6"/>
      <c r="T144" s="6"/>
      <c r="U144" s="6"/>
      <c r="V144" s="6"/>
      <c r="W144" s="6" t="str">
        <f t="shared" si="5"/>
        <v>Critico</v>
      </c>
    </row>
    <row r="145" spans="1:23" ht="15" hidden="1">
      <c r="A145" s="60">
        <f>Inicial!A145</f>
        <v>143</v>
      </c>
      <c r="B145" s="61">
        <f>Inicial!B145</f>
        <v>0</v>
      </c>
      <c r="C145" s="61">
        <f>Inicial!C145</f>
        <v>0</v>
      </c>
      <c r="D145" s="62">
        <f>Inicial!D145</f>
        <v>0</v>
      </c>
      <c r="E145" s="60" t="str">
        <f>IF(Inicial!J145="SI",Inicial!E145,"N/A")</f>
        <v>N/A</v>
      </c>
      <c r="F145" s="61" t="str">
        <f>IF(Inicial!J145="SI",Inicial!F145,"N/A")</f>
        <v>N/A</v>
      </c>
      <c r="G145" s="61" t="str">
        <f>IF(Inicial!J145="SI",Inicial!G145,"N/A")</f>
        <v>N/A</v>
      </c>
      <c r="H145" s="61" t="str">
        <f>IF(Inicial!J145="SI",Inicial!H145,"N/A")</f>
        <v>N/A</v>
      </c>
      <c r="I145" s="63" t="str">
        <f>IF(Inicial!J145="SI",Inicial!I145,"N/A")</f>
        <v>N/A</v>
      </c>
      <c r="P145" s="6" t="str">
        <f t="shared" si="4"/>
        <v>Aceptable</v>
      </c>
      <c r="Q145" s="6"/>
      <c r="R145" s="6"/>
      <c r="S145" s="6"/>
      <c r="T145" s="6"/>
      <c r="U145" s="6"/>
      <c r="V145" s="6"/>
      <c r="W145" s="6" t="str">
        <f t="shared" si="5"/>
        <v>Critico</v>
      </c>
    </row>
    <row r="146" spans="1:23" ht="15" hidden="1">
      <c r="A146" s="60">
        <f>Inicial!A146</f>
        <v>144</v>
      </c>
      <c r="B146" s="61">
        <f>Inicial!B146</f>
        <v>0</v>
      </c>
      <c r="C146" s="61">
        <f>Inicial!C146</f>
        <v>0</v>
      </c>
      <c r="D146" s="62">
        <f>Inicial!D146</f>
        <v>0</v>
      </c>
      <c r="E146" s="60" t="str">
        <f>IF(Inicial!J146="SI",Inicial!E146,"N/A")</f>
        <v>N/A</v>
      </c>
      <c r="F146" s="61" t="str">
        <f>IF(Inicial!J146="SI",Inicial!F146,"N/A")</f>
        <v>N/A</v>
      </c>
      <c r="G146" s="61" t="str">
        <f>IF(Inicial!J146="SI",Inicial!G146,"N/A")</f>
        <v>N/A</v>
      </c>
      <c r="H146" s="61" t="str">
        <f>IF(Inicial!J146="SI",Inicial!H146,"N/A")</f>
        <v>N/A</v>
      </c>
      <c r="I146" s="63" t="str">
        <f>IF(Inicial!J146="SI",Inicial!I146,"N/A")</f>
        <v>N/A</v>
      </c>
      <c r="P146" s="6" t="str">
        <f t="shared" si="4"/>
        <v>Aceptable</v>
      </c>
      <c r="Q146" s="6"/>
      <c r="R146" s="6"/>
      <c r="S146" s="6"/>
      <c r="T146" s="6"/>
      <c r="U146" s="6"/>
      <c r="V146" s="6"/>
      <c r="W146" s="6" t="str">
        <f t="shared" si="5"/>
        <v>Critico</v>
      </c>
    </row>
    <row r="147" spans="1:23" ht="15" hidden="1">
      <c r="A147" s="60">
        <f>Inicial!A147</f>
        <v>145</v>
      </c>
      <c r="B147" s="61">
        <f>Inicial!B147</f>
        <v>0</v>
      </c>
      <c r="C147" s="61">
        <f>Inicial!C147</f>
        <v>0</v>
      </c>
      <c r="D147" s="62">
        <f>Inicial!D147</f>
        <v>0</v>
      </c>
      <c r="E147" s="60" t="str">
        <f>IF(Inicial!J147="SI",Inicial!E147,"N/A")</f>
        <v>N/A</v>
      </c>
      <c r="F147" s="61" t="str">
        <f>IF(Inicial!J147="SI",Inicial!F147,"N/A")</f>
        <v>N/A</v>
      </c>
      <c r="G147" s="61" t="str">
        <f>IF(Inicial!J147="SI",Inicial!G147,"N/A")</f>
        <v>N/A</v>
      </c>
      <c r="H147" s="61" t="str">
        <f>IF(Inicial!J147="SI",Inicial!H147,"N/A")</f>
        <v>N/A</v>
      </c>
      <c r="I147" s="63" t="str">
        <f>IF(Inicial!J147="SI",Inicial!I147,"N/A")</f>
        <v>N/A</v>
      </c>
      <c r="P147" s="6" t="str">
        <f t="shared" si="4"/>
        <v>Aceptable</v>
      </c>
      <c r="Q147" s="6"/>
      <c r="R147" s="6"/>
      <c r="S147" s="6"/>
      <c r="T147" s="6"/>
      <c r="U147" s="6"/>
      <c r="V147" s="6"/>
      <c r="W147" s="6" t="str">
        <f t="shared" si="5"/>
        <v>Critico</v>
      </c>
    </row>
    <row r="148" spans="1:23" ht="15" hidden="1">
      <c r="A148" s="60">
        <f>Inicial!A148</f>
        <v>146</v>
      </c>
      <c r="B148" s="61">
        <f>Inicial!B148</f>
        <v>0</v>
      </c>
      <c r="C148" s="61">
        <f>Inicial!C148</f>
        <v>0</v>
      </c>
      <c r="D148" s="62">
        <f>Inicial!D148</f>
        <v>0</v>
      </c>
      <c r="E148" s="60" t="str">
        <f>IF(Inicial!J148="SI",Inicial!E148,"N/A")</f>
        <v>N/A</v>
      </c>
      <c r="F148" s="61" t="str">
        <f>IF(Inicial!J148="SI",Inicial!F148,"N/A")</f>
        <v>N/A</v>
      </c>
      <c r="G148" s="61" t="str">
        <f>IF(Inicial!J148="SI",Inicial!G148,"N/A")</f>
        <v>N/A</v>
      </c>
      <c r="H148" s="61" t="str">
        <f>IF(Inicial!J148="SI",Inicial!H148,"N/A")</f>
        <v>N/A</v>
      </c>
      <c r="I148" s="63" t="str">
        <f>IF(Inicial!J148="SI",Inicial!I148,"N/A")</f>
        <v>N/A</v>
      </c>
      <c r="P148" s="6" t="str">
        <f t="shared" si="4"/>
        <v>Aceptable</v>
      </c>
      <c r="Q148" s="6"/>
      <c r="R148" s="6"/>
      <c r="S148" s="6"/>
      <c r="T148" s="6"/>
      <c r="U148" s="6"/>
      <c r="V148" s="6"/>
      <c r="W148" s="6" t="str">
        <f t="shared" si="5"/>
        <v>Critico</v>
      </c>
    </row>
    <row r="149" spans="1:23" ht="15" hidden="1">
      <c r="A149" s="60">
        <f>Inicial!A149</f>
        <v>147</v>
      </c>
      <c r="B149" s="61">
        <f>Inicial!B149</f>
        <v>0</v>
      </c>
      <c r="C149" s="61">
        <f>Inicial!C149</f>
        <v>0</v>
      </c>
      <c r="D149" s="62">
        <f>Inicial!D149</f>
        <v>0</v>
      </c>
      <c r="E149" s="60" t="str">
        <f>IF(Inicial!J149="SI",Inicial!E149,"N/A")</f>
        <v>N/A</v>
      </c>
      <c r="F149" s="61" t="str">
        <f>IF(Inicial!J149="SI",Inicial!F149,"N/A")</f>
        <v>N/A</v>
      </c>
      <c r="G149" s="61" t="str">
        <f>IF(Inicial!J149="SI",Inicial!G149,"N/A")</f>
        <v>N/A</v>
      </c>
      <c r="H149" s="61" t="str">
        <f>IF(Inicial!J149="SI",Inicial!H149,"N/A")</f>
        <v>N/A</v>
      </c>
      <c r="I149" s="63" t="str">
        <f>IF(Inicial!J149="SI",Inicial!I149,"N/A")</f>
        <v>N/A</v>
      </c>
      <c r="P149" s="6" t="str">
        <f t="shared" si="4"/>
        <v>Aceptable</v>
      </c>
      <c r="Q149" s="6"/>
      <c r="R149" s="6"/>
      <c r="S149" s="6"/>
      <c r="T149" s="6"/>
      <c r="U149" s="6"/>
      <c r="V149" s="6"/>
      <c r="W149" s="6" t="str">
        <f t="shared" si="5"/>
        <v>Critico</v>
      </c>
    </row>
    <row r="150" spans="1:23" ht="15" hidden="1">
      <c r="A150" s="60">
        <f>Inicial!A150</f>
        <v>148</v>
      </c>
      <c r="B150" s="61">
        <f>Inicial!B150</f>
        <v>0</v>
      </c>
      <c r="C150" s="61">
        <f>Inicial!C150</f>
        <v>0</v>
      </c>
      <c r="D150" s="62">
        <f>Inicial!D150</f>
        <v>0</v>
      </c>
      <c r="E150" s="60" t="str">
        <f>IF(Inicial!J150="SI",Inicial!E150,"N/A")</f>
        <v>N/A</v>
      </c>
      <c r="F150" s="61" t="str">
        <f>IF(Inicial!J150="SI",Inicial!F150,"N/A")</f>
        <v>N/A</v>
      </c>
      <c r="G150" s="61" t="str">
        <f>IF(Inicial!J150="SI",Inicial!G150,"N/A")</f>
        <v>N/A</v>
      </c>
      <c r="H150" s="61" t="str">
        <f>IF(Inicial!J150="SI",Inicial!H150,"N/A")</f>
        <v>N/A</v>
      </c>
      <c r="I150" s="63" t="str">
        <f>IF(Inicial!J150="SI",Inicial!I150,"N/A")</f>
        <v>N/A</v>
      </c>
      <c r="P150" s="6" t="str">
        <f t="shared" si="4"/>
        <v>Aceptable</v>
      </c>
      <c r="Q150" s="6"/>
      <c r="R150" s="6"/>
      <c r="S150" s="6"/>
      <c r="T150" s="6"/>
      <c r="U150" s="6"/>
      <c r="V150" s="6"/>
      <c r="W150" s="6" t="str">
        <f t="shared" si="5"/>
        <v>Critico</v>
      </c>
    </row>
    <row r="151" spans="1:23" ht="15" hidden="1">
      <c r="A151" s="60">
        <f>Inicial!A151</f>
        <v>149</v>
      </c>
      <c r="B151" s="61">
        <f>Inicial!B151</f>
        <v>0</v>
      </c>
      <c r="C151" s="61">
        <f>Inicial!C151</f>
        <v>0</v>
      </c>
      <c r="D151" s="62">
        <f>Inicial!D151</f>
        <v>0</v>
      </c>
      <c r="E151" s="60" t="str">
        <f>IF(Inicial!J151="SI",Inicial!E151,"N/A")</f>
        <v>N/A</v>
      </c>
      <c r="F151" s="61" t="str">
        <f>IF(Inicial!J151="SI",Inicial!F151,"N/A")</f>
        <v>N/A</v>
      </c>
      <c r="G151" s="61" t="str">
        <f>IF(Inicial!J151="SI",Inicial!G151,"N/A")</f>
        <v>N/A</v>
      </c>
      <c r="H151" s="61" t="str">
        <f>IF(Inicial!J151="SI",Inicial!H151,"N/A")</f>
        <v>N/A</v>
      </c>
      <c r="I151" s="63" t="str">
        <f>IF(Inicial!J151="SI",Inicial!I151,"N/A")</f>
        <v>N/A</v>
      </c>
      <c r="P151" s="6" t="str">
        <f t="shared" si="4"/>
        <v>Aceptable</v>
      </c>
      <c r="Q151" s="6"/>
      <c r="R151" s="6"/>
      <c r="S151" s="6"/>
      <c r="T151" s="6"/>
      <c r="U151" s="6"/>
      <c r="V151" s="6"/>
      <c r="W151" s="6" t="str">
        <f t="shared" si="5"/>
        <v>Critico</v>
      </c>
    </row>
    <row r="152" spans="1:23" ht="15" hidden="1">
      <c r="A152" s="60">
        <f>Inicial!A152</f>
        <v>150</v>
      </c>
      <c r="B152" s="61">
        <f>Inicial!B152</f>
        <v>0</v>
      </c>
      <c r="C152" s="61">
        <f>Inicial!C152</f>
        <v>0</v>
      </c>
      <c r="D152" s="62">
        <f>Inicial!D152</f>
        <v>0</v>
      </c>
      <c r="E152" s="60" t="str">
        <f>IF(Inicial!J152="SI",Inicial!E152,"N/A")</f>
        <v>N/A</v>
      </c>
      <c r="F152" s="61" t="str">
        <f>IF(Inicial!J152="SI",Inicial!F152,"N/A")</f>
        <v>N/A</v>
      </c>
      <c r="G152" s="61" t="str">
        <f>IF(Inicial!J152="SI",Inicial!G152,"N/A")</f>
        <v>N/A</v>
      </c>
      <c r="H152" s="61" t="str">
        <f>IF(Inicial!J152="SI",Inicial!H152,"N/A")</f>
        <v>N/A</v>
      </c>
      <c r="I152" s="63" t="str">
        <f>IF(Inicial!J152="SI",Inicial!I152,"N/A")</f>
        <v>N/A</v>
      </c>
      <c r="P152" s="6" t="str">
        <f t="shared" si="4"/>
        <v>Aceptable</v>
      </c>
      <c r="Q152" s="6"/>
      <c r="R152" s="6"/>
      <c r="S152" s="6"/>
      <c r="T152" s="6"/>
      <c r="U152" s="6"/>
      <c r="V152" s="6"/>
      <c r="W152" s="6" t="str">
        <f t="shared" si="5"/>
        <v>Critico</v>
      </c>
    </row>
    <row r="153" spans="1:23" ht="15" hidden="1">
      <c r="A153" s="60">
        <f>Inicial!A153</f>
        <v>151</v>
      </c>
      <c r="B153" s="61">
        <f>Inicial!B153</f>
        <v>0</v>
      </c>
      <c r="C153" s="61">
        <f>Inicial!C153</f>
        <v>0</v>
      </c>
      <c r="D153" s="62">
        <f>Inicial!D153</f>
        <v>0</v>
      </c>
      <c r="E153" s="60" t="str">
        <f>IF(Inicial!J153="SI",Inicial!E153,"N/A")</f>
        <v>N/A</v>
      </c>
      <c r="F153" s="61" t="str">
        <f>IF(Inicial!J153="SI",Inicial!F153,"N/A")</f>
        <v>N/A</v>
      </c>
      <c r="G153" s="61" t="str">
        <f>IF(Inicial!J153="SI",Inicial!G153,"N/A")</f>
        <v>N/A</v>
      </c>
      <c r="H153" s="61" t="str">
        <f>IF(Inicial!J153="SI",Inicial!H153,"N/A")</f>
        <v>N/A</v>
      </c>
      <c r="I153" s="63" t="str">
        <f>IF(Inicial!J153="SI",Inicial!I153,"N/A")</f>
        <v>N/A</v>
      </c>
      <c r="P153" s="6" t="str">
        <f t="shared" si="4"/>
        <v>Aceptable</v>
      </c>
      <c r="Q153" s="6"/>
      <c r="R153" s="6"/>
      <c r="S153" s="6"/>
      <c r="T153" s="6"/>
      <c r="U153" s="6"/>
      <c r="V153" s="6"/>
      <c r="W153" s="6" t="str">
        <f t="shared" si="5"/>
        <v>Critico</v>
      </c>
    </row>
    <row r="154" spans="1:23" ht="15" hidden="1">
      <c r="A154" s="60">
        <f>Inicial!A154</f>
        <v>152</v>
      </c>
      <c r="B154" s="61">
        <f>Inicial!B154</f>
        <v>0</v>
      </c>
      <c r="C154" s="61">
        <f>Inicial!C154</f>
        <v>0</v>
      </c>
      <c r="D154" s="62">
        <f>Inicial!D154</f>
        <v>0</v>
      </c>
      <c r="E154" s="60" t="str">
        <f>IF(Inicial!J154="SI",Inicial!E154,"N/A")</f>
        <v>N/A</v>
      </c>
      <c r="F154" s="61" t="str">
        <f>IF(Inicial!J154="SI",Inicial!F154,"N/A")</f>
        <v>N/A</v>
      </c>
      <c r="G154" s="61" t="str">
        <f>IF(Inicial!J154="SI",Inicial!G154,"N/A")</f>
        <v>N/A</v>
      </c>
      <c r="H154" s="61" t="str">
        <f>IF(Inicial!J154="SI",Inicial!H154,"N/A")</f>
        <v>N/A</v>
      </c>
      <c r="I154" s="63" t="str">
        <f>IF(Inicial!J154="SI",Inicial!I154,"N/A")</f>
        <v>N/A</v>
      </c>
      <c r="P154" s="6" t="str">
        <f t="shared" si="4"/>
        <v>Aceptable</v>
      </c>
      <c r="Q154" s="6"/>
      <c r="R154" s="6"/>
      <c r="S154" s="6"/>
      <c r="T154" s="6"/>
      <c r="U154" s="6"/>
      <c r="V154" s="6"/>
      <c r="W154" s="6" t="str">
        <f t="shared" si="5"/>
        <v>Critico</v>
      </c>
    </row>
    <row r="155" spans="1:23" ht="15" hidden="1">
      <c r="A155" s="60">
        <f>Inicial!A155</f>
        <v>153</v>
      </c>
      <c r="B155" s="61">
        <f>Inicial!B155</f>
        <v>0</v>
      </c>
      <c r="C155" s="61">
        <f>Inicial!C155</f>
        <v>0</v>
      </c>
      <c r="D155" s="62">
        <f>Inicial!D155</f>
        <v>0</v>
      </c>
      <c r="E155" s="60" t="str">
        <f>IF(Inicial!J155="SI",Inicial!E155,"N/A")</f>
        <v>N/A</v>
      </c>
      <c r="F155" s="61" t="str">
        <f>IF(Inicial!J155="SI",Inicial!F155,"N/A")</f>
        <v>N/A</v>
      </c>
      <c r="G155" s="61" t="str">
        <f>IF(Inicial!J155="SI",Inicial!G155,"N/A")</f>
        <v>N/A</v>
      </c>
      <c r="H155" s="61" t="str">
        <f>IF(Inicial!J155="SI",Inicial!H155,"N/A")</f>
        <v>N/A</v>
      </c>
      <c r="I155" s="63" t="str">
        <f>IF(Inicial!J155="SI",Inicial!I155,"N/A")</f>
        <v>N/A</v>
      </c>
      <c r="P155" s="6" t="str">
        <f t="shared" si="4"/>
        <v>Aceptable</v>
      </c>
      <c r="Q155" s="6"/>
      <c r="R155" s="6"/>
      <c r="S155" s="6"/>
      <c r="T155" s="6"/>
      <c r="U155" s="6"/>
      <c r="V155" s="6"/>
      <c r="W155" s="6" t="str">
        <f t="shared" si="5"/>
        <v>Critico</v>
      </c>
    </row>
    <row r="156" spans="1:23" ht="15" hidden="1">
      <c r="A156" s="60">
        <f>Inicial!A156</f>
        <v>154</v>
      </c>
      <c r="B156" s="61">
        <f>Inicial!B156</f>
        <v>0</v>
      </c>
      <c r="C156" s="61">
        <f>Inicial!C156</f>
        <v>0</v>
      </c>
      <c r="D156" s="62">
        <f>Inicial!D156</f>
        <v>0</v>
      </c>
      <c r="E156" s="60" t="str">
        <f>IF(Inicial!J156="SI",Inicial!E156,"N/A")</f>
        <v>N/A</v>
      </c>
      <c r="F156" s="61" t="str">
        <f>IF(Inicial!J156="SI",Inicial!F156,"N/A")</f>
        <v>N/A</v>
      </c>
      <c r="G156" s="61" t="str">
        <f>IF(Inicial!J156="SI",Inicial!G156,"N/A")</f>
        <v>N/A</v>
      </c>
      <c r="H156" s="61" t="str">
        <f>IF(Inicial!J156="SI",Inicial!H156,"N/A")</f>
        <v>N/A</v>
      </c>
      <c r="I156" s="63" t="str">
        <f>IF(Inicial!J156="SI",Inicial!I156,"N/A")</f>
        <v>N/A</v>
      </c>
      <c r="P156" s="6" t="str">
        <f t="shared" si="4"/>
        <v>Aceptable</v>
      </c>
      <c r="Q156" s="6"/>
      <c r="R156" s="6"/>
      <c r="S156" s="6"/>
      <c r="T156" s="6"/>
      <c r="U156" s="6"/>
      <c r="V156" s="6"/>
      <c r="W156" s="6" t="str">
        <f t="shared" si="5"/>
        <v>Critico</v>
      </c>
    </row>
    <row r="157" spans="1:23" ht="15" hidden="1">
      <c r="A157" s="60">
        <f>Inicial!A157</f>
        <v>155</v>
      </c>
      <c r="B157" s="61">
        <f>Inicial!B157</f>
        <v>0</v>
      </c>
      <c r="C157" s="61">
        <f>Inicial!C157</f>
        <v>0</v>
      </c>
      <c r="D157" s="62">
        <f>Inicial!D157</f>
        <v>0</v>
      </c>
      <c r="E157" s="60" t="str">
        <f>IF(Inicial!J157="SI",Inicial!E157,"N/A")</f>
        <v>N/A</v>
      </c>
      <c r="F157" s="61" t="str">
        <f>IF(Inicial!J157="SI",Inicial!F157,"N/A")</f>
        <v>N/A</v>
      </c>
      <c r="G157" s="61" t="str">
        <f>IF(Inicial!J157="SI",Inicial!G157,"N/A")</f>
        <v>N/A</v>
      </c>
      <c r="H157" s="61" t="str">
        <f>IF(Inicial!J157="SI",Inicial!H157,"N/A")</f>
        <v>N/A</v>
      </c>
      <c r="I157" s="63" t="str">
        <f>IF(Inicial!J157="SI",Inicial!I157,"N/A")</f>
        <v>N/A</v>
      </c>
      <c r="P157" s="6" t="str">
        <f t="shared" si="4"/>
        <v>Aceptable</v>
      </c>
      <c r="Q157" s="6"/>
      <c r="R157" s="6"/>
      <c r="S157" s="6"/>
      <c r="T157" s="6"/>
      <c r="U157" s="6"/>
      <c r="V157" s="6"/>
      <c r="W157" s="6" t="str">
        <f t="shared" si="5"/>
        <v>Critico</v>
      </c>
    </row>
    <row r="158" spans="1:23" ht="15" hidden="1">
      <c r="A158" s="60">
        <f>Inicial!A158</f>
        <v>156</v>
      </c>
      <c r="B158" s="61">
        <f>Inicial!B158</f>
        <v>0</v>
      </c>
      <c r="C158" s="61">
        <f>Inicial!C158</f>
        <v>0</v>
      </c>
      <c r="D158" s="62">
        <f>Inicial!D158</f>
        <v>0</v>
      </c>
      <c r="E158" s="60" t="str">
        <f>IF(Inicial!J158="SI",Inicial!E158,"N/A")</f>
        <v>N/A</v>
      </c>
      <c r="F158" s="61" t="str">
        <f>IF(Inicial!J158="SI",Inicial!F158,"N/A")</f>
        <v>N/A</v>
      </c>
      <c r="G158" s="61" t="str">
        <f>IF(Inicial!J158="SI",Inicial!G158,"N/A")</f>
        <v>N/A</v>
      </c>
      <c r="H158" s="61" t="str">
        <f>IF(Inicial!J158="SI",Inicial!H158,"N/A")</f>
        <v>N/A</v>
      </c>
      <c r="I158" s="63" t="str">
        <f>IF(Inicial!J158="SI",Inicial!I158,"N/A")</f>
        <v>N/A</v>
      </c>
      <c r="P158" s="6" t="str">
        <f t="shared" si="4"/>
        <v>Aceptable</v>
      </c>
      <c r="Q158" s="6"/>
      <c r="R158" s="6"/>
      <c r="S158" s="6"/>
      <c r="T158" s="6"/>
      <c r="U158" s="6"/>
      <c r="V158" s="6"/>
      <c r="W158" s="6" t="str">
        <f t="shared" si="5"/>
        <v>Critico</v>
      </c>
    </row>
    <row r="159" spans="1:23" ht="15" hidden="1">
      <c r="A159" s="60">
        <f>Inicial!A159</f>
        <v>157</v>
      </c>
      <c r="B159" s="61">
        <f>Inicial!B159</f>
        <v>0</v>
      </c>
      <c r="C159" s="61">
        <f>Inicial!C159</f>
        <v>0</v>
      </c>
      <c r="D159" s="62">
        <f>Inicial!D159</f>
        <v>0</v>
      </c>
      <c r="E159" s="60" t="str">
        <f>IF(Inicial!J159="SI",Inicial!E159,"N/A")</f>
        <v>N/A</v>
      </c>
      <c r="F159" s="61" t="str">
        <f>IF(Inicial!J159="SI",Inicial!F159,"N/A")</f>
        <v>N/A</v>
      </c>
      <c r="G159" s="61" t="str">
        <f>IF(Inicial!J159="SI",Inicial!G159,"N/A")</f>
        <v>N/A</v>
      </c>
      <c r="H159" s="61" t="str">
        <f>IF(Inicial!J159="SI",Inicial!H159,"N/A")</f>
        <v>N/A</v>
      </c>
      <c r="I159" s="63" t="str">
        <f>IF(Inicial!J159="SI",Inicial!I159,"N/A")</f>
        <v>N/A</v>
      </c>
      <c r="P159" s="6" t="str">
        <f t="shared" si="4"/>
        <v>Aceptable</v>
      </c>
      <c r="Q159" s="6"/>
      <c r="R159" s="6"/>
      <c r="S159" s="6"/>
      <c r="T159" s="6"/>
      <c r="U159" s="6"/>
      <c r="V159" s="6"/>
      <c r="W159" s="6" t="str">
        <f t="shared" si="5"/>
        <v>Critico</v>
      </c>
    </row>
    <row r="160" spans="1:23" ht="15" hidden="1">
      <c r="A160" s="60">
        <f>Inicial!A160</f>
        <v>158</v>
      </c>
      <c r="B160" s="61">
        <f>Inicial!B160</f>
        <v>0</v>
      </c>
      <c r="C160" s="61">
        <f>Inicial!C160</f>
        <v>0</v>
      </c>
      <c r="D160" s="62">
        <f>Inicial!D160</f>
        <v>0</v>
      </c>
      <c r="E160" s="60" t="str">
        <f>IF(Inicial!J160="SI",Inicial!E160,"N/A")</f>
        <v>N/A</v>
      </c>
      <c r="F160" s="61" t="str">
        <f>IF(Inicial!J160="SI",Inicial!F160,"N/A")</f>
        <v>N/A</v>
      </c>
      <c r="G160" s="61" t="str">
        <f>IF(Inicial!J160="SI",Inicial!G160,"N/A")</f>
        <v>N/A</v>
      </c>
      <c r="H160" s="61" t="str">
        <f>IF(Inicial!J160="SI",Inicial!H160,"N/A")</f>
        <v>N/A</v>
      </c>
      <c r="I160" s="63" t="str">
        <f>IF(Inicial!J160="SI",Inicial!I160,"N/A")</f>
        <v>N/A</v>
      </c>
      <c r="P160" s="6" t="str">
        <f t="shared" si="4"/>
        <v>Aceptable</v>
      </c>
      <c r="Q160" s="6"/>
      <c r="R160" s="6"/>
      <c r="S160" s="6"/>
      <c r="T160" s="6"/>
      <c r="U160" s="6"/>
      <c r="V160" s="6"/>
      <c r="W160" s="6" t="str">
        <f t="shared" si="5"/>
        <v>Critico</v>
      </c>
    </row>
    <row r="161" spans="1:23" ht="15" hidden="1">
      <c r="A161" s="60">
        <f>Inicial!A161</f>
        <v>159</v>
      </c>
      <c r="B161" s="61">
        <f>Inicial!B161</f>
        <v>0</v>
      </c>
      <c r="C161" s="61">
        <f>Inicial!C161</f>
        <v>0</v>
      </c>
      <c r="D161" s="62">
        <f>Inicial!D161</f>
        <v>0</v>
      </c>
      <c r="E161" s="60" t="str">
        <f>IF(Inicial!J161="SI",Inicial!E161,"N/A")</f>
        <v>N/A</v>
      </c>
      <c r="F161" s="61" t="str">
        <f>IF(Inicial!J161="SI",Inicial!F161,"N/A")</f>
        <v>N/A</v>
      </c>
      <c r="G161" s="61" t="str">
        <f>IF(Inicial!J161="SI",Inicial!G161,"N/A")</f>
        <v>N/A</v>
      </c>
      <c r="H161" s="61" t="str">
        <f>IF(Inicial!J161="SI",Inicial!H161,"N/A")</f>
        <v>N/A</v>
      </c>
      <c r="I161" s="63" t="str">
        <f>IF(Inicial!J161="SI",Inicial!I161,"N/A")</f>
        <v>N/A</v>
      </c>
      <c r="P161" s="6" t="str">
        <f t="shared" si="4"/>
        <v>Aceptable</v>
      </c>
      <c r="Q161" s="6"/>
      <c r="R161" s="6"/>
      <c r="S161" s="6"/>
      <c r="T161" s="6"/>
      <c r="U161" s="6"/>
      <c r="V161" s="6"/>
      <c r="W161" s="6" t="str">
        <f t="shared" si="5"/>
        <v>Critico</v>
      </c>
    </row>
    <row r="162" spans="1:23" ht="15" hidden="1">
      <c r="A162" s="60">
        <f>Inicial!A162</f>
        <v>160</v>
      </c>
      <c r="B162" s="61">
        <f>Inicial!B162</f>
        <v>0</v>
      </c>
      <c r="C162" s="61">
        <f>Inicial!C162</f>
        <v>0</v>
      </c>
      <c r="D162" s="62">
        <f>Inicial!D162</f>
        <v>0</v>
      </c>
      <c r="E162" s="60" t="str">
        <f>IF(Inicial!J162="SI",Inicial!E162,"N/A")</f>
        <v>N/A</v>
      </c>
      <c r="F162" s="61" t="str">
        <f>IF(Inicial!J162="SI",Inicial!F162,"N/A")</f>
        <v>N/A</v>
      </c>
      <c r="G162" s="61" t="str">
        <f>IF(Inicial!J162="SI",Inicial!G162,"N/A")</f>
        <v>N/A</v>
      </c>
      <c r="H162" s="61" t="str">
        <f>IF(Inicial!J162="SI",Inicial!H162,"N/A")</f>
        <v>N/A</v>
      </c>
      <c r="I162" s="63" t="str">
        <f>IF(Inicial!J162="SI",Inicial!I162,"N/A")</f>
        <v>N/A</v>
      </c>
      <c r="P162" s="6" t="str">
        <f t="shared" si="4"/>
        <v>Aceptable</v>
      </c>
      <c r="Q162" s="6"/>
      <c r="R162" s="6"/>
      <c r="S162" s="6"/>
      <c r="T162" s="6"/>
      <c r="U162" s="6"/>
      <c r="V162" s="6"/>
      <c r="W162" s="6" t="str">
        <f t="shared" si="5"/>
        <v>Critico</v>
      </c>
    </row>
    <row r="163" spans="1:23" ht="15" hidden="1">
      <c r="A163" s="60">
        <f>Inicial!A163</f>
        <v>161</v>
      </c>
      <c r="B163" s="61">
        <f>Inicial!B163</f>
        <v>0</v>
      </c>
      <c r="C163" s="61">
        <f>Inicial!C163</f>
        <v>0</v>
      </c>
      <c r="D163" s="62">
        <f>Inicial!D163</f>
        <v>0</v>
      </c>
      <c r="E163" s="60" t="str">
        <f>IF(Inicial!J163="SI",Inicial!E163,"N/A")</f>
        <v>N/A</v>
      </c>
      <c r="F163" s="61" t="str">
        <f>IF(Inicial!J163="SI",Inicial!F163,"N/A")</f>
        <v>N/A</v>
      </c>
      <c r="G163" s="61" t="str">
        <f>IF(Inicial!J163="SI",Inicial!G163,"N/A")</f>
        <v>N/A</v>
      </c>
      <c r="H163" s="61" t="str">
        <f>IF(Inicial!J163="SI",Inicial!H163,"N/A")</f>
        <v>N/A</v>
      </c>
      <c r="I163" s="63" t="str">
        <f>IF(Inicial!J163="SI",Inicial!I163,"N/A")</f>
        <v>N/A</v>
      </c>
      <c r="P163" s="6" t="str">
        <f t="shared" si="4"/>
        <v>Aceptable</v>
      </c>
      <c r="Q163" s="6"/>
      <c r="R163" s="6"/>
      <c r="S163" s="6"/>
      <c r="T163" s="6"/>
      <c r="U163" s="6"/>
      <c r="V163" s="6"/>
      <c r="W163" s="6" t="str">
        <f t="shared" si="5"/>
        <v>Critico</v>
      </c>
    </row>
    <row r="164" spans="1:23" ht="15" hidden="1">
      <c r="A164" s="60">
        <f>Inicial!A164</f>
        <v>162</v>
      </c>
      <c r="B164" s="61">
        <f>Inicial!B164</f>
        <v>0</v>
      </c>
      <c r="C164" s="61">
        <f>Inicial!C164</f>
        <v>0</v>
      </c>
      <c r="D164" s="62">
        <f>Inicial!D164</f>
        <v>0</v>
      </c>
      <c r="E164" s="60" t="str">
        <f>IF(Inicial!J164="SI",Inicial!E164,"N/A")</f>
        <v>N/A</v>
      </c>
      <c r="F164" s="61" t="str">
        <f>IF(Inicial!J164="SI",Inicial!F164,"N/A")</f>
        <v>N/A</v>
      </c>
      <c r="G164" s="61" t="str">
        <f>IF(Inicial!J164="SI",Inicial!G164,"N/A")</f>
        <v>N/A</v>
      </c>
      <c r="H164" s="61" t="str">
        <f>IF(Inicial!J164="SI",Inicial!H164,"N/A")</f>
        <v>N/A</v>
      </c>
      <c r="I164" s="63" t="str">
        <f>IF(Inicial!J164="SI",Inicial!I164,"N/A")</f>
        <v>N/A</v>
      </c>
      <c r="P164" s="6" t="str">
        <f t="shared" si="4"/>
        <v>Aceptable</v>
      </c>
      <c r="Q164" s="6"/>
      <c r="R164" s="6"/>
      <c r="S164" s="6"/>
      <c r="T164" s="6"/>
      <c r="U164" s="6"/>
      <c r="V164" s="6"/>
      <c r="W164" s="6" t="str">
        <f t="shared" si="5"/>
        <v>Critico</v>
      </c>
    </row>
    <row r="165" spans="1:23" ht="15" hidden="1">
      <c r="A165" s="60">
        <f>Inicial!A165</f>
        <v>163</v>
      </c>
      <c r="B165" s="61">
        <f>Inicial!B165</f>
        <v>0</v>
      </c>
      <c r="C165" s="61">
        <f>Inicial!C165</f>
        <v>0</v>
      </c>
      <c r="D165" s="62">
        <f>Inicial!D165</f>
        <v>0</v>
      </c>
      <c r="E165" s="60" t="str">
        <f>IF(Inicial!J165="SI",Inicial!E165,"N/A")</f>
        <v>N/A</v>
      </c>
      <c r="F165" s="61" t="str">
        <f>IF(Inicial!J165="SI",Inicial!F165,"N/A")</f>
        <v>N/A</v>
      </c>
      <c r="G165" s="61" t="str">
        <f>IF(Inicial!J165="SI",Inicial!G165,"N/A")</f>
        <v>N/A</v>
      </c>
      <c r="H165" s="61" t="str">
        <f>IF(Inicial!J165="SI",Inicial!H165,"N/A")</f>
        <v>N/A</v>
      </c>
      <c r="I165" s="63" t="str">
        <f>IF(Inicial!J165="SI",Inicial!I165,"N/A")</f>
        <v>N/A</v>
      </c>
      <c r="P165" s="6" t="str">
        <f t="shared" si="4"/>
        <v>Aceptable</v>
      </c>
      <c r="Q165" s="6"/>
      <c r="R165" s="6"/>
      <c r="S165" s="6"/>
      <c r="T165" s="6"/>
      <c r="U165" s="6"/>
      <c r="V165" s="6"/>
      <c r="W165" s="6" t="str">
        <f t="shared" si="5"/>
        <v>Critico</v>
      </c>
    </row>
    <row r="166" spans="1:23" ht="15" hidden="1">
      <c r="A166" s="60">
        <f>Inicial!A166</f>
        <v>164</v>
      </c>
      <c r="B166" s="61">
        <f>Inicial!B166</f>
        <v>0</v>
      </c>
      <c r="C166" s="61">
        <f>Inicial!C166</f>
        <v>0</v>
      </c>
      <c r="D166" s="62">
        <f>Inicial!D166</f>
        <v>0</v>
      </c>
      <c r="E166" s="60" t="str">
        <f>IF(Inicial!J166="SI",Inicial!E166,"N/A")</f>
        <v>N/A</v>
      </c>
      <c r="F166" s="61" t="str">
        <f>IF(Inicial!J166="SI",Inicial!F166,"N/A")</f>
        <v>N/A</v>
      </c>
      <c r="G166" s="61" t="str">
        <f>IF(Inicial!J166="SI",Inicial!G166,"N/A")</f>
        <v>N/A</v>
      </c>
      <c r="H166" s="61" t="str">
        <f>IF(Inicial!J166="SI",Inicial!H166,"N/A")</f>
        <v>N/A</v>
      </c>
      <c r="I166" s="63" t="str">
        <f>IF(Inicial!J166="SI",Inicial!I166,"N/A")</f>
        <v>N/A</v>
      </c>
      <c r="P166" s="6" t="str">
        <f t="shared" si="4"/>
        <v>Aceptable</v>
      </c>
      <c r="Q166" s="6"/>
      <c r="R166" s="6"/>
      <c r="S166" s="6"/>
      <c r="T166" s="6"/>
      <c r="U166" s="6"/>
      <c r="V166" s="6"/>
      <c r="W166" s="6" t="str">
        <f t="shared" si="5"/>
        <v>Critico</v>
      </c>
    </row>
    <row r="167" spans="1:23" ht="15" hidden="1">
      <c r="A167" s="60">
        <f>Inicial!A167</f>
        <v>165</v>
      </c>
      <c r="B167" s="61">
        <f>Inicial!B167</f>
        <v>0</v>
      </c>
      <c r="C167" s="61">
        <f>Inicial!C167</f>
        <v>0</v>
      </c>
      <c r="D167" s="62">
        <f>Inicial!D167</f>
        <v>0</v>
      </c>
      <c r="E167" s="60" t="str">
        <f>IF(Inicial!J167="SI",Inicial!E167,"N/A")</f>
        <v>N/A</v>
      </c>
      <c r="F167" s="61" t="str">
        <f>IF(Inicial!J167="SI",Inicial!F167,"N/A")</f>
        <v>N/A</v>
      </c>
      <c r="G167" s="61" t="str">
        <f>IF(Inicial!J167="SI",Inicial!G167,"N/A")</f>
        <v>N/A</v>
      </c>
      <c r="H167" s="61" t="str">
        <f>IF(Inicial!J167="SI",Inicial!H167,"N/A")</f>
        <v>N/A</v>
      </c>
      <c r="I167" s="63" t="str">
        <f>IF(Inicial!J167="SI",Inicial!I167,"N/A")</f>
        <v>N/A</v>
      </c>
      <c r="P167" s="6" t="str">
        <f t="shared" si="4"/>
        <v>Aceptable</v>
      </c>
      <c r="Q167" s="6"/>
      <c r="R167" s="6"/>
      <c r="S167" s="6"/>
      <c r="T167" s="6"/>
      <c r="U167" s="6"/>
      <c r="V167" s="6"/>
      <c r="W167" s="6" t="str">
        <f t="shared" si="5"/>
        <v>Critico</v>
      </c>
    </row>
    <row r="168" spans="1:23" ht="15" hidden="1">
      <c r="A168" s="60">
        <f>Inicial!A168</f>
        <v>166</v>
      </c>
      <c r="B168" s="61">
        <f>Inicial!B168</f>
        <v>0</v>
      </c>
      <c r="C168" s="61">
        <f>Inicial!C168</f>
        <v>0</v>
      </c>
      <c r="D168" s="62">
        <f>Inicial!D168</f>
        <v>0</v>
      </c>
      <c r="E168" s="60" t="str">
        <f>IF(Inicial!J168="SI",Inicial!E168,"N/A")</f>
        <v>N/A</v>
      </c>
      <c r="F168" s="61" t="str">
        <f>IF(Inicial!J168="SI",Inicial!F168,"N/A")</f>
        <v>N/A</v>
      </c>
      <c r="G168" s="61" t="str">
        <f>IF(Inicial!J168="SI",Inicial!G168,"N/A")</f>
        <v>N/A</v>
      </c>
      <c r="H168" s="61" t="str">
        <f>IF(Inicial!J168="SI",Inicial!H168,"N/A")</f>
        <v>N/A</v>
      </c>
      <c r="I168" s="63" t="str">
        <f>IF(Inicial!J168="SI",Inicial!I168,"N/A")</f>
        <v>N/A</v>
      </c>
      <c r="P168" s="6" t="str">
        <f t="shared" si="4"/>
        <v>Aceptable</v>
      </c>
      <c r="Q168" s="6"/>
      <c r="R168" s="6"/>
      <c r="S168" s="6"/>
      <c r="T168" s="6"/>
      <c r="U168" s="6"/>
      <c r="V168" s="6"/>
      <c r="W168" s="6" t="str">
        <f t="shared" si="5"/>
        <v>Critico</v>
      </c>
    </row>
    <row r="169" spans="1:23" ht="15" hidden="1">
      <c r="A169" s="60">
        <f>Inicial!A169</f>
        <v>167</v>
      </c>
      <c r="B169" s="61">
        <f>Inicial!B169</f>
        <v>0</v>
      </c>
      <c r="C169" s="61">
        <f>Inicial!C169</f>
        <v>0</v>
      </c>
      <c r="D169" s="62">
        <f>Inicial!D169</f>
        <v>0</v>
      </c>
      <c r="E169" s="60" t="str">
        <f>IF(Inicial!J169="SI",Inicial!E169,"N/A")</f>
        <v>N/A</v>
      </c>
      <c r="F169" s="61" t="str">
        <f>IF(Inicial!J169="SI",Inicial!F169,"N/A")</f>
        <v>N/A</v>
      </c>
      <c r="G169" s="61" t="str">
        <f>IF(Inicial!J169="SI",Inicial!G169,"N/A")</f>
        <v>N/A</v>
      </c>
      <c r="H169" s="61" t="str">
        <f>IF(Inicial!J169="SI",Inicial!H169,"N/A")</f>
        <v>N/A</v>
      </c>
      <c r="I169" s="63" t="str">
        <f>IF(Inicial!J169="SI",Inicial!I169,"N/A")</f>
        <v>N/A</v>
      </c>
      <c r="P169" s="6" t="str">
        <f t="shared" si="4"/>
        <v>Aceptable</v>
      </c>
      <c r="Q169" s="6"/>
      <c r="R169" s="6"/>
      <c r="S169" s="6"/>
      <c r="T169" s="6"/>
      <c r="U169" s="6"/>
      <c r="V169" s="6"/>
      <c r="W169" s="6" t="str">
        <f t="shared" si="5"/>
        <v>Critico</v>
      </c>
    </row>
    <row r="170" spans="1:23" ht="15" hidden="1">
      <c r="A170" s="60">
        <f>Inicial!A170</f>
        <v>168</v>
      </c>
      <c r="B170" s="61">
        <f>Inicial!B170</f>
        <v>0</v>
      </c>
      <c r="C170" s="61">
        <f>Inicial!C170</f>
        <v>0</v>
      </c>
      <c r="D170" s="62">
        <f>Inicial!D170</f>
        <v>0</v>
      </c>
      <c r="E170" s="60" t="str">
        <f>IF(Inicial!J170="SI",Inicial!E170,"N/A")</f>
        <v>N/A</v>
      </c>
      <c r="F170" s="61" t="str">
        <f>IF(Inicial!J170="SI",Inicial!F170,"N/A")</f>
        <v>N/A</v>
      </c>
      <c r="G170" s="61" t="str">
        <f>IF(Inicial!J170="SI",Inicial!G170,"N/A")</f>
        <v>N/A</v>
      </c>
      <c r="H170" s="61" t="str">
        <f>IF(Inicial!J170="SI",Inicial!H170,"N/A")</f>
        <v>N/A</v>
      </c>
      <c r="I170" s="63" t="str">
        <f>IF(Inicial!J170="SI",Inicial!I170,"N/A")</f>
        <v>N/A</v>
      </c>
      <c r="P170" s="6" t="str">
        <f t="shared" si="4"/>
        <v>Aceptable</v>
      </c>
      <c r="Q170" s="6"/>
      <c r="R170" s="6"/>
      <c r="S170" s="6"/>
      <c r="T170" s="6"/>
      <c r="U170" s="6"/>
      <c r="V170" s="6"/>
      <c r="W170" s="6" t="str">
        <f t="shared" si="5"/>
        <v>Critico</v>
      </c>
    </row>
    <row r="171" spans="1:23" ht="15" hidden="1">
      <c r="A171" s="60">
        <f>Inicial!A171</f>
        <v>169</v>
      </c>
      <c r="B171" s="61">
        <f>Inicial!B171</f>
        <v>0</v>
      </c>
      <c r="C171" s="61">
        <f>Inicial!C171</f>
        <v>0</v>
      </c>
      <c r="D171" s="62">
        <f>Inicial!D171</f>
        <v>0</v>
      </c>
      <c r="E171" s="60" t="str">
        <f>IF(Inicial!J171="SI",Inicial!E171,"N/A")</f>
        <v>N/A</v>
      </c>
      <c r="F171" s="61" t="str">
        <f>IF(Inicial!J171="SI",Inicial!F171,"N/A")</f>
        <v>N/A</v>
      </c>
      <c r="G171" s="61" t="str">
        <f>IF(Inicial!J171="SI",Inicial!G171,"N/A")</f>
        <v>N/A</v>
      </c>
      <c r="H171" s="61" t="str">
        <f>IF(Inicial!J171="SI",Inicial!H171,"N/A")</f>
        <v>N/A</v>
      </c>
      <c r="I171" s="63" t="str">
        <f>IF(Inicial!J171="SI",Inicial!I171,"N/A")</f>
        <v>N/A</v>
      </c>
      <c r="P171" s="6" t="str">
        <f t="shared" si="4"/>
        <v>Aceptable</v>
      </c>
      <c r="Q171" s="6"/>
      <c r="R171" s="6"/>
      <c r="S171" s="6"/>
      <c r="T171" s="6"/>
      <c r="U171" s="6"/>
      <c r="V171" s="6"/>
      <c r="W171" s="6" t="str">
        <f t="shared" si="5"/>
        <v>Critico</v>
      </c>
    </row>
    <row r="172" spans="1:23" ht="15" hidden="1">
      <c r="A172" s="60">
        <f>Inicial!A172</f>
        <v>170</v>
      </c>
      <c r="B172" s="61">
        <f>Inicial!B172</f>
        <v>0</v>
      </c>
      <c r="C172" s="61">
        <f>Inicial!C172</f>
        <v>0</v>
      </c>
      <c r="D172" s="62">
        <f>Inicial!D172</f>
        <v>0</v>
      </c>
      <c r="E172" s="60" t="str">
        <f>IF(Inicial!J172="SI",Inicial!E172,"N/A")</f>
        <v>N/A</v>
      </c>
      <c r="F172" s="61" t="str">
        <f>IF(Inicial!J172="SI",Inicial!F172,"N/A")</f>
        <v>N/A</v>
      </c>
      <c r="G172" s="61" t="str">
        <f>IF(Inicial!J172="SI",Inicial!G172,"N/A")</f>
        <v>N/A</v>
      </c>
      <c r="H172" s="61" t="str">
        <f>IF(Inicial!J172="SI",Inicial!H172,"N/A")</f>
        <v>N/A</v>
      </c>
      <c r="I172" s="63" t="str">
        <f>IF(Inicial!J172="SI",Inicial!I172,"N/A")</f>
        <v>N/A</v>
      </c>
      <c r="P172" s="6" t="str">
        <f t="shared" si="4"/>
        <v>Aceptable</v>
      </c>
      <c r="Q172" s="6"/>
      <c r="R172" s="6"/>
      <c r="S172" s="6"/>
      <c r="T172" s="6"/>
      <c r="U172" s="6"/>
      <c r="V172" s="6"/>
      <c r="W172" s="6" t="str">
        <f t="shared" si="5"/>
        <v>Critico</v>
      </c>
    </row>
    <row r="173" spans="1:23" ht="15" hidden="1">
      <c r="A173" s="60">
        <f>Inicial!A173</f>
        <v>171</v>
      </c>
      <c r="B173" s="61">
        <f>Inicial!B173</f>
        <v>0</v>
      </c>
      <c r="C173" s="61">
        <f>Inicial!C173</f>
        <v>0</v>
      </c>
      <c r="D173" s="62">
        <f>Inicial!D173</f>
        <v>0</v>
      </c>
      <c r="E173" s="60" t="str">
        <f>IF(Inicial!J173="SI",Inicial!E173,"N/A")</f>
        <v>N/A</v>
      </c>
      <c r="F173" s="61" t="str">
        <f>IF(Inicial!J173="SI",Inicial!F173,"N/A")</f>
        <v>N/A</v>
      </c>
      <c r="G173" s="61" t="str">
        <f>IF(Inicial!J173="SI",Inicial!G173,"N/A")</f>
        <v>N/A</v>
      </c>
      <c r="H173" s="61" t="str">
        <f>IF(Inicial!J173="SI",Inicial!H173,"N/A")</f>
        <v>N/A</v>
      </c>
      <c r="I173" s="63" t="str">
        <f>IF(Inicial!J173="SI",Inicial!I173,"N/A")</f>
        <v>N/A</v>
      </c>
      <c r="P173" s="6" t="str">
        <f t="shared" si="4"/>
        <v>Aceptable</v>
      </c>
      <c r="Q173" s="6"/>
      <c r="R173" s="6"/>
      <c r="S173" s="6"/>
      <c r="T173" s="6"/>
      <c r="U173" s="6"/>
      <c r="V173" s="6"/>
      <c r="W173" s="6" t="str">
        <f t="shared" si="5"/>
        <v>Critico</v>
      </c>
    </row>
    <row r="174" spans="1:23" ht="15" hidden="1">
      <c r="A174" s="60">
        <f>Inicial!A174</f>
        <v>172</v>
      </c>
      <c r="B174" s="61">
        <f>Inicial!B174</f>
        <v>0</v>
      </c>
      <c r="C174" s="61">
        <f>Inicial!C174</f>
        <v>0</v>
      </c>
      <c r="D174" s="62">
        <f>Inicial!D174</f>
        <v>0</v>
      </c>
      <c r="E174" s="60" t="str">
        <f>IF(Inicial!J174="SI",Inicial!E174,"N/A")</f>
        <v>N/A</v>
      </c>
      <c r="F174" s="61" t="str">
        <f>IF(Inicial!J174="SI",Inicial!F174,"N/A")</f>
        <v>N/A</v>
      </c>
      <c r="G174" s="61" t="str">
        <f>IF(Inicial!J174="SI",Inicial!G174,"N/A")</f>
        <v>N/A</v>
      </c>
      <c r="H174" s="61" t="str">
        <f>IF(Inicial!J174="SI",Inicial!H174,"N/A")</f>
        <v>N/A</v>
      </c>
      <c r="I174" s="63" t="str">
        <f>IF(Inicial!J174="SI",Inicial!I174,"N/A")</f>
        <v>N/A</v>
      </c>
      <c r="P174" s="6" t="str">
        <f t="shared" si="4"/>
        <v>Aceptable</v>
      </c>
      <c r="Q174" s="6"/>
      <c r="R174" s="6"/>
      <c r="S174" s="6"/>
      <c r="T174" s="6"/>
      <c r="U174" s="6"/>
      <c r="V174" s="6"/>
      <c r="W174" s="6" t="str">
        <f t="shared" si="5"/>
        <v>Critico</v>
      </c>
    </row>
    <row r="175" spans="1:23" ht="15" hidden="1">
      <c r="A175" s="60">
        <f>Inicial!A175</f>
        <v>173</v>
      </c>
      <c r="B175" s="61">
        <f>Inicial!B175</f>
        <v>0</v>
      </c>
      <c r="C175" s="61">
        <f>Inicial!C175</f>
        <v>0</v>
      </c>
      <c r="D175" s="62">
        <f>Inicial!D175</f>
        <v>0</v>
      </c>
      <c r="E175" s="60" t="str">
        <f>IF(Inicial!J175="SI",Inicial!E175,"N/A")</f>
        <v>N/A</v>
      </c>
      <c r="F175" s="61" t="str">
        <f>IF(Inicial!J175="SI",Inicial!F175,"N/A")</f>
        <v>N/A</v>
      </c>
      <c r="G175" s="61" t="str">
        <f>IF(Inicial!J175="SI",Inicial!G175,"N/A")</f>
        <v>N/A</v>
      </c>
      <c r="H175" s="61" t="str">
        <f>IF(Inicial!J175="SI",Inicial!H175,"N/A")</f>
        <v>N/A</v>
      </c>
      <c r="I175" s="63" t="str">
        <f>IF(Inicial!J175="SI",Inicial!I175,"N/A")</f>
        <v>N/A</v>
      </c>
      <c r="P175" s="6" t="str">
        <f t="shared" si="4"/>
        <v>Aceptable</v>
      </c>
      <c r="Q175" s="6"/>
      <c r="R175" s="6"/>
      <c r="S175" s="6"/>
      <c r="T175" s="6"/>
      <c r="U175" s="6"/>
      <c r="V175" s="6"/>
      <c r="W175" s="6" t="str">
        <f t="shared" si="5"/>
        <v>Critico</v>
      </c>
    </row>
    <row r="176" spans="1:23" ht="15" hidden="1">
      <c r="A176" s="60">
        <f>Inicial!A176</f>
        <v>174</v>
      </c>
      <c r="B176" s="61">
        <f>Inicial!B176</f>
        <v>0</v>
      </c>
      <c r="C176" s="61">
        <f>Inicial!C176</f>
        <v>0</v>
      </c>
      <c r="D176" s="62">
        <f>Inicial!D176</f>
        <v>0</v>
      </c>
      <c r="E176" s="60" t="str">
        <f>IF(Inicial!J176="SI",Inicial!E176,"N/A")</f>
        <v>N/A</v>
      </c>
      <c r="F176" s="61" t="str">
        <f>IF(Inicial!J176="SI",Inicial!F176,"N/A")</f>
        <v>N/A</v>
      </c>
      <c r="G176" s="61" t="str">
        <f>IF(Inicial!J176="SI",Inicial!G176,"N/A")</f>
        <v>N/A</v>
      </c>
      <c r="H176" s="61" t="str">
        <f>IF(Inicial!J176="SI",Inicial!H176,"N/A")</f>
        <v>N/A</v>
      </c>
      <c r="I176" s="63" t="str">
        <f>IF(Inicial!J176="SI",Inicial!I176,"N/A")</f>
        <v>N/A</v>
      </c>
      <c r="P176" s="6" t="str">
        <f t="shared" si="4"/>
        <v>Aceptable</v>
      </c>
      <c r="Q176" s="6"/>
      <c r="R176" s="6"/>
      <c r="S176" s="6"/>
      <c r="T176" s="6"/>
      <c r="U176" s="6"/>
      <c r="V176" s="6"/>
      <c r="W176" s="6" t="str">
        <f t="shared" si="5"/>
        <v>Critico</v>
      </c>
    </row>
    <row r="177" spans="1:23" ht="15" hidden="1">
      <c r="A177" s="60">
        <f>Inicial!A177</f>
        <v>175</v>
      </c>
      <c r="B177" s="61">
        <f>Inicial!B177</f>
        <v>0</v>
      </c>
      <c r="C177" s="61">
        <f>Inicial!C177</f>
        <v>0</v>
      </c>
      <c r="D177" s="62">
        <f>Inicial!D177</f>
        <v>0</v>
      </c>
      <c r="E177" s="60" t="str">
        <f>IF(Inicial!J177="SI",Inicial!E177,"N/A")</f>
        <v>N/A</v>
      </c>
      <c r="F177" s="61" t="str">
        <f>IF(Inicial!J177="SI",Inicial!F177,"N/A")</f>
        <v>N/A</v>
      </c>
      <c r="G177" s="61" t="str">
        <f>IF(Inicial!J177="SI",Inicial!G177,"N/A")</f>
        <v>N/A</v>
      </c>
      <c r="H177" s="61" t="str">
        <f>IF(Inicial!J177="SI",Inicial!H177,"N/A")</f>
        <v>N/A</v>
      </c>
      <c r="I177" s="63" t="str">
        <f>IF(Inicial!J177="SI",Inicial!I177,"N/A")</f>
        <v>N/A</v>
      </c>
      <c r="P177" s="6" t="str">
        <f t="shared" si="4"/>
        <v>Aceptable</v>
      </c>
      <c r="Q177" s="6"/>
      <c r="R177" s="6"/>
      <c r="S177" s="6"/>
      <c r="T177" s="6"/>
      <c r="U177" s="6"/>
      <c r="V177" s="6"/>
      <c r="W177" s="6" t="str">
        <f t="shared" si="5"/>
        <v>Critico</v>
      </c>
    </row>
    <row r="178" spans="1:23" ht="15" hidden="1">
      <c r="A178" s="60">
        <f>Inicial!A178</f>
        <v>176</v>
      </c>
      <c r="B178" s="61">
        <f>Inicial!B178</f>
        <v>0</v>
      </c>
      <c r="C178" s="61">
        <f>Inicial!C178</f>
        <v>0</v>
      </c>
      <c r="D178" s="62">
        <f>Inicial!D178</f>
        <v>0</v>
      </c>
      <c r="E178" s="60" t="str">
        <f>IF(Inicial!J178="SI",Inicial!E178,"N/A")</f>
        <v>N/A</v>
      </c>
      <c r="F178" s="61" t="str">
        <f>IF(Inicial!J178="SI",Inicial!F178,"N/A")</f>
        <v>N/A</v>
      </c>
      <c r="G178" s="61" t="str">
        <f>IF(Inicial!J178="SI",Inicial!G178,"N/A")</f>
        <v>N/A</v>
      </c>
      <c r="H178" s="61" t="str">
        <f>IF(Inicial!J178="SI",Inicial!H178,"N/A")</f>
        <v>N/A</v>
      </c>
      <c r="I178" s="63" t="str">
        <f>IF(Inicial!J178="SI",Inicial!I178,"N/A")</f>
        <v>N/A</v>
      </c>
      <c r="P178" s="6" t="str">
        <f t="shared" si="4"/>
        <v>Aceptable</v>
      </c>
      <c r="Q178" s="6"/>
      <c r="R178" s="6"/>
      <c r="S178" s="6"/>
      <c r="T178" s="6"/>
      <c r="U178" s="6"/>
      <c r="V178" s="6"/>
      <c r="W178" s="6" t="str">
        <f t="shared" si="5"/>
        <v>Critico</v>
      </c>
    </row>
    <row r="179" spans="1:23" ht="15" hidden="1">
      <c r="A179" s="60">
        <f>Inicial!A179</f>
        <v>177</v>
      </c>
      <c r="B179" s="61">
        <f>Inicial!B179</f>
        <v>0</v>
      </c>
      <c r="C179" s="61">
        <f>Inicial!C179</f>
        <v>0</v>
      </c>
      <c r="D179" s="62">
        <f>Inicial!D179</f>
        <v>0</v>
      </c>
      <c r="E179" s="60" t="str">
        <f>IF(Inicial!J179="SI",Inicial!E179,"N/A")</f>
        <v>N/A</v>
      </c>
      <c r="F179" s="61" t="str">
        <f>IF(Inicial!J179="SI",Inicial!F179,"N/A")</f>
        <v>N/A</v>
      </c>
      <c r="G179" s="61" t="str">
        <f>IF(Inicial!J179="SI",Inicial!G179,"N/A")</f>
        <v>N/A</v>
      </c>
      <c r="H179" s="61" t="str">
        <f>IF(Inicial!J179="SI",Inicial!H179,"N/A")</f>
        <v>N/A</v>
      </c>
      <c r="I179" s="63" t="str">
        <f>IF(Inicial!J179="SI",Inicial!I179,"N/A")</f>
        <v>N/A</v>
      </c>
      <c r="P179" s="6" t="str">
        <f t="shared" si="4"/>
        <v>Aceptable</v>
      </c>
      <c r="Q179" s="6"/>
      <c r="R179" s="6"/>
      <c r="S179" s="6"/>
      <c r="T179" s="6"/>
      <c r="U179" s="6"/>
      <c r="V179" s="6"/>
      <c r="W179" s="6" t="str">
        <f t="shared" si="5"/>
        <v>Critico</v>
      </c>
    </row>
    <row r="180" spans="1:23" ht="15" hidden="1">
      <c r="A180" s="60">
        <f>Inicial!A180</f>
        <v>178</v>
      </c>
      <c r="B180" s="61">
        <f>Inicial!B180</f>
        <v>0</v>
      </c>
      <c r="C180" s="61">
        <f>Inicial!C180</f>
        <v>0</v>
      </c>
      <c r="D180" s="62">
        <f>Inicial!D180</f>
        <v>0</v>
      </c>
      <c r="E180" s="60" t="str">
        <f>IF(Inicial!J180="SI",Inicial!E180,"N/A")</f>
        <v>N/A</v>
      </c>
      <c r="F180" s="61" t="str">
        <f>IF(Inicial!J180="SI",Inicial!F180,"N/A")</f>
        <v>N/A</v>
      </c>
      <c r="G180" s="61" t="str">
        <f>IF(Inicial!J180="SI",Inicial!G180,"N/A")</f>
        <v>N/A</v>
      </c>
      <c r="H180" s="61" t="str">
        <f>IF(Inicial!J180="SI",Inicial!H180,"N/A")</f>
        <v>N/A</v>
      </c>
      <c r="I180" s="63" t="str">
        <f>IF(Inicial!J180="SI",Inicial!I180,"N/A")</f>
        <v>N/A</v>
      </c>
      <c r="P180" s="6" t="str">
        <f t="shared" si="4"/>
        <v>Aceptable</v>
      </c>
      <c r="Q180" s="6"/>
      <c r="R180" s="6"/>
      <c r="S180" s="6"/>
      <c r="T180" s="6"/>
      <c r="U180" s="6"/>
      <c r="V180" s="6"/>
      <c r="W180" s="6" t="str">
        <f t="shared" si="5"/>
        <v>Critico</v>
      </c>
    </row>
    <row r="181" spans="1:23" ht="15" hidden="1">
      <c r="A181" s="60">
        <f>Inicial!A181</f>
        <v>179</v>
      </c>
      <c r="B181" s="61">
        <f>Inicial!B181</f>
        <v>0</v>
      </c>
      <c r="C181" s="61">
        <f>Inicial!C181</f>
        <v>0</v>
      </c>
      <c r="D181" s="62">
        <f>Inicial!D181</f>
        <v>0</v>
      </c>
      <c r="E181" s="60" t="str">
        <f>IF(Inicial!J181="SI",Inicial!E181,"N/A")</f>
        <v>N/A</v>
      </c>
      <c r="F181" s="61" t="str">
        <f>IF(Inicial!J181="SI",Inicial!F181,"N/A")</f>
        <v>N/A</v>
      </c>
      <c r="G181" s="61" t="str">
        <f>IF(Inicial!J181="SI",Inicial!G181,"N/A")</f>
        <v>N/A</v>
      </c>
      <c r="H181" s="61" t="str">
        <f>IF(Inicial!J181="SI",Inicial!H181,"N/A")</f>
        <v>N/A</v>
      </c>
      <c r="I181" s="63" t="str">
        <f>IF(Inicial!J181="SI",Inicial!I181,"N/A")</f>
        <v>N/A</v>
      </c>
      <c r="P181" s="6" t="str">
        <f t="shared" si="4"/>
        <v>Aceptable</v>
      </c>
      <c r="Q181" s="6"/>
      <c r="R181" s="6"/>
      <c r="S181" s="6"/>
      <c r="T181" s="6"/>
      <c r="U181" s="6"/>
      <c r="V181" s="6"/>
      <c r="W181" s="6" t="str">
        <f t="shared" si="5"/>
        <v>Critico</v>
      </c>
    </row>
    <row r="182" spans="1:23" ht="15" hidden="1">
      <c r="A182" s="60">
        <f>Inicial!A182</f>
        <v>180</v>
      </c>
      <c r="B182" s="61">
        <f>Inicial!B182</f>
        <v>0</v>
      </c>
      <c r="C182" s="61">
        <f>Inicial!C182</f>
        <v>0</v>
      </c>
      <c r="D182" s="62">
        <f>Inicial!D182</f>
        <v>0</v>
      </c>
      <c r="E182" s="60" t="str">
        <f>IF(Inicial!J182="SI",Inicial!E182,"N/A")</f>
        <v>N/A</v>
      </c>
      <c r="F182" s="61" t="str">
        <f>IF(Inicial!J182="SI",Inicial!F182,"N/A")</f>
        <v>N/A</v>
      </c>
      <c r="G182" s="61" t="str">
        <f>IF(Inicial!J182="SI",Inicial!G182,"N/A")</f>
        <v>N/A</v>
      </c>
      <c r="H182" s="61" t="str">
        <f>IF(Inicial!J182="SI",Inicial!H182,"N/A")</f>
        <v>N/A</v>
      </c>
      <c r="I182" s="63" t="str">
        <f>IF(Inicial!J182="SI",Inicial!I182,"N/A")</f>
        <v>N/A</v>
      </c>
      <c r="P182" s="6" t="str">
        <f t="shared" si="4"/>
        <v>Aceptable</v>
      </c>
      <c r="Q182" s="6"/>
      <c r="R182" s="6"/>
      <c r="S182" s="6"/>
      <c r="T182" s="6"/>
      <c r="U182" s="6"/>
      <c r="V182" s="6"/>
      <c r="W182" s="6" t="str">
        <f t="shared" si="5"/>
        <v>Critico</v>
      </c>
    </row>
    <row r="183" spans="1:23" ht="15" hidden="1">
      <c r="A183" s="60">
        <f>Inicial!A183</f>
        <v>181</v>
      </c>
      <c r="B183" s="61">
        <f>Inicial!B183</f>
        <v>0</v>
      </c>
      <c r="C183" s="61">
        <f>Inicial!C183</f>
        <v>0</v>
      </c>
      <c r="D183" s="62">
        <f>Inicial!D183</f>
        <v>0</v>
      </c>
      <c r="E183" s="60" t="str">
        <f>IF(Inicial!J183="SI",Inicial!E183,"N/A")</f>
        <v>N/A</v>
      </c>
      <c r="F183" s="61" t="str">
        <f>IF(Inicial!J183="SI",Inicial!F183,"N/A")</f>
        <v>N/A</v>
      </c>
      <c r="G183" s="61" t="str">
        <f>IF(Inicial!J183="SI",Inicial!G183,"N/A")</f>
        <v>N/A</v>
      </c>
      <c r="H183" s="61" t="str">
        <f>IF(Inicial!J183="SI",Inicial!H183,"N/A")</f>
        <v>N/A</v>
      </c>
      <c r="I183" s="63" t="str">
        <f>IF(Inicial!J183="SI",Inicial!I183,"N/A")</f>
        <v>N/A</v>
      </c>
      <c r="P183" s="6" t="str">
        <f t="shared" si="4"/>
        <v>Aceptable</v>
      </c>
      <c r="Q183" s="6"/>
      <c r="R183" s="6"/>
      <c r="S183" s="6"/>
      <c r="T183" s="6"/>
      <c r="U183" s="6"/>
      <c r="V183" s="6"/>
      <c r="W183" s="6" t="str">
        <f t="shared" si="5"/>
        <v>Critico</v>
      </c>
    </row>
    <row r="184" spans="1:23" ht="15" hidden="1">
      <c r="A184" s="60">
        <f>Inicial!A184</f>
        <v>182</v>
      </c>
      <c r="B184" s="61">
        <f>Inicial!B184</f>
        <v>0</v>
      </c>
      <c r="C184" s="61">
        <f>Inicial!C184</f>
        <v>0</v>
      </c>
      <c r="D184" s="62">
        <f>Inicial!D184</f>
        <v>0</v>
      </c>
      <c r="E184" s="60" t="str">
        <f>IF(Inicial!J184="SI",Inicial!E184,"N/A")</f>
        <v>N/A</v>
      </c>
      <c r="F184" s="61" t="str">
        <f>IF(Inicial!J184="SI",Inicial!F184,"N/A")</f>
        <v>N/A</v>
      </c>
      <c r="G184" s="61" t="str">
        <f>IF(Inicial!J184="SI",Inicial!G184,"N/A")</f>
        <v>N/A</v>
      </c>
      <c r="H184" s="61" t="str">
        <f>IF(Inicial!J184="SI",Inicial!H184,"N/A")</f>
        <v>N/A</v>
      </c>
      <c r="I184" s="63" t="str">
        <f>IF(Inicial!J184="SI",Inicial!I184,"N/A")</f>
        <v>N/A</v>
      </c>
      <c r="P184" s="6" t="str">
        <f t="shared" si="4"/>
        <v>Aceptable</v>
      </c>
      <c r="Q184" s="6"/>
      <c r="R184" s="6"/>
      <c r="S184" s="6"/>
      <c r="T184" s="6"/>
      <c r="U184" s="6"/>
      <c r="V184" s="6"/>
      <c r="W184" s="6" t="str">
        <f t="shared" si="5"/>
        <v>Critico</v>
      </c>
    </row>
    <row r="185" spans="1:23" ht="15" hidden="1">
      <c r="A185" s="60">
        <f>Inicial!A185</f>
        <v>183</v>
      </c>
      <c r="B185" s="61">
        <f>Inicial!B185</f>
        <v>0</v>
      </c>
      <c r="C185" s="61">
        <f>Inicial!C185</f>
        <v>0</v>
      </c>
      <c r="D185" s="62">
        <f>Inicial!D185</f>
        <v>0</v>
      </c>
      <c r="E185" s="60" t="str">
        <f>IF(Inicial!J185="SI",Inicial!E185,"N/A")</f>
        <v>N/A</v>
      </c>
      <c r="F185" s="61" t="str">
        <f>IF(Inicial!J185="SI",Inicial!F185,"N/A")</f>
        <v>N/A</v>
      </c>
      <c r="G185" s="61" t="str">
        <f>IF(Inicial!J185="SI",Inicial!G185,"N/A")</f>
        <v>N/A</v>
      </c>
      <c r="H185" s="61" t="str">
        <f>IF(Inicial!J185="SI",Inicial!H185,"N/A")</f>
        <v>N/A</v>
      </c>
      <c r="I185" s="63" t="str">
        <f>IF(Inicial!J185="SI",Inicial!I185,"N/A")</f>
        <v>N/A</v>
      </c>
      <c r="P185" s="6" t="str">
        <f t="shared" si="4"/>
        <v>Aceptable</v>
      </c>
      <c r="Q185" s="6"/>
      <c r="R185" s="6"/>
      <c r="S185" s="6"/>
      <c r="T185" s="6"/>
      <c r="U185" s="6"/>
      <c r="V185" s="6"/>
      <c r="W185" s="6" t="str">
        <f t="shared" si="5"/>
        <v>Critico</v>
      </c>
    </row>
    <row r="186" spans="1:23" ht="15" hidden="1">
      <c r="A186" s="60">
        <f>Inicial!A186</f>
        <v>184</v>
      </c>
      <c r="B186" s="61">
        <f>Inicial!B186</f>
        <v>0</v>
      </c>
      <c r="C186" s="61">
        <f>Inicial!C186</f>
        <v>0</v>
      </c>
      <c r="D186" s="62">
        <f>Inicial!D186</f>
        <v>0</v>
      </c>
      <c r="E186" s="60" t="str">
        <f>IF(Inicial!J186="SI",Inicial!E186,"N/A")</f>
        <v>N/A</v>
      </c>
      <c r="F186" s="61" t="str">
        <f>IF(Inicial!J186="SI",Inicial!F186,"N/A")</f>
        <v>N/A</v>
      </c>
      <c r="G186" s="61" t="str">
        <f>IF(Inicial!J186="SI",Inicial!G186,"N/A")</f>
        <v>N/A</v>
      </c>
      <c r="H186" s="61" t="str">
        <f>IF(Inicial!J186="SI",Inicial!H186,"N/A")</f>
        <v>N/A</v>
      </c>
      <c r="I186" s="63" t="str">
        <f>IF(Inicial!J186="SI",Inicial!I186,"N/A")</f>
        <v>N/A</v>
      </c>
      <c r="P186" s="6" t="str">
        <f t="shared" si="4"/>
        <v>Aceptable</v>
      </c>
      <c r="Q186" s="6"/>
      <c r="R186" s="6"/>
      <c r="S186" s="6"/>
      <c r="T186" s="6"/>
      <c r="U186" s="6"/>
      <c r="V186" s="6"/>
      <c r="W186" s="6" t="str">
        <f t="shared" si="5"/>
        <v>Critico</v>
      </c>
    </row>
    <row r="187" spans="1:23" ht="15" hidden="1">
      <c r="A187" s="60">
        <f>Inicial!A187</f>
        <v>185</v>
      </c>
      <c r="B187" s="61">
        <f>Inicial!B187</f>
        <v>0</v>
      </c>
      <c r="C187" s="61">
        <f>Inicial!C187</f>
        <v>0</v>
      </c>
      <c r="D187" s="62">
        <f>Inicial!D187</f>
        <v>0</v>
      </c>
      <c r="E187" s="60" t="str">
        <f>IF(Inicial!J187="SI",Inicial!E187,"N/A")</f>
        <v>N/A</v>
      </c>
      <c r="F187" s="61" t="str">
        <f>IF(Inicial!J187="SI",Inicial!F187,"N/A")</f>
        <v>N/A</v>
      </c>
      <c r="G187" s="61" t="str">
        <f>IF(Inicial!J187="SI",Inicial!G187,"N/A")</f>
        <v>N/A</v>
      </c>
      <c r="H187" s="61" t="str">
        <f>IF(Inicial!J187="SI",Inicial!H187,"N/A")</f>
        <v>N/A</v>
      </c>
      <c r="I187" s="63" t="str">
        <f>IF(Inicial!J187="SI",Inicial!I187,"N/A")</f>
        <v>N/A</v>
      </c>
      <c r="P187" s="6" t="str">
        <f t="shared" si="4"/>
        <v>Aceptable</v>
      </c>
      <c r="Q187" s="6"/>
      <c r="R187" s="6"/>
      <c r="S187" s="6"/>
      <c r="T187" s="6"/>
      <c r="U187" s="6"/>
      <c r="V187" s="6"/>
      <c r="W187" s="6" t="str">
        <f t="shared" si="5"/>
        <v>Critico</v>
      </c>
    </row>
    <row r="188" spans="1:23" ht="15" hidden="1">
      <c r="A188" s="60">
        <f>Inicial!A188</f>
        <v>186</v>
      </c>
      <c r="B188" s="61">
        <f>Inicial!B188</f>
        <v>0</v>
      </c>
      <c r="C188" s="61">
        <f>Inicial!C188</f>
        <v>0</v>
      </c>
      <c r="D188" s="62">
        <f>Inicial!D188</f>
        <v>0</v>
      </c>
      <c r="E188" s="60" t="str">
        <f>IF(Inicial!J188="SI",Inicial!E188,"N/A")</f>
        <v>N/A</v>
      </c>
      <c r="F188" s="61" t="str">
        <f>IF(Inicial!J188="SI",Inicial!F188,"N/A")</f>
        <v>N/A</v>
      </c>
      <c r="G188" s="61" t="str">
        <f>IF(Inicial!J188="SI",Inicial!G188,"N/A")</f>
        <v>N/A</v>
      </c>
      <c r="H188" s="61" t="str">
        <f>IF(Inicial!J188="SI",Inicial!H188,"N/A")</f>
        <v>N/A</v>
      </c>
      <c r="I188" s="63" t="str">
        <f>IF(Inicial!J188="SI",Inicial!I188,"N/A")</f>
        <v>N/A</v>
      </c>
      <c r="P188" s="6" t="str">
        <f t="shared" si="4"/>
        <v>Aceptable</v>
      </c>
      <c r="Q188" s="6"/>
      <c r="R188" s="6"/>
      <c r="S188" s="6"/>
      <c r="T188" s="6"/>
      <c r="U188" s="6"/>
      <c r="V188" s="6"/>
      <c r="W188" s="6" t="str">
        <f t="shared" si="5"/>
        <v>Critico</v>
      </c>
    </row>
    <row r="189" spans="1:23" ht="15" hidden="1">
      <c r="A189" s="60">
        <f>Inicial!A189</f>
        <v>187</v>
      </c>
      <c r="B189" s="61">
        <f>Inicial!B189</f>
        <v>0</v>
      </c>
      <c r="C189" s="61">
        <f>Inicial!C189</f>
        <v>0</v>
      </c>
      <c r="D189" s="62">
        <f>Inicial!D189</f>
        <v>0</v>
      </c>
      <c r="E189" s="60" t="str">
        <f>IF(Inicial!J189="SI",Inicial!E189,"N/A")</f>
        <v>N/A</v>
      </c>
      <c r="F189" s="61" t="str">
        <f>IF(Inicial!J189="SI",Inicial!F189,"N/A")</f>
        <v>N/A</v>
      </c>
      <c r="G189" s="61" t="str">
        <f>IF(Inicial!J189="SI",Inicial!G189,"N/A")</f>
        <v>N/A</v>
      </c>
      <c r="H189" s="61" t="str">
        <f>IF(Inicial!J189="SI",Inicial!H189,"N/A")</f>
        <v>N/A</v>
      </c>
      <c r="I189" s="63" t="str">
        <f>IF(Inicial!J189="SI",Inicial!I189,"N/A")</f>
        <v>N/A</v>
      </c>
      <c r="P189" s="6" t="str">
        <f t="shared" si="4"/>
        <v>Aceptable</v>
      </c>
      <c r="Q189" s="6"/>
      <c r="R189" s="6"/>
      <c r="S189" s="6"/>
      <c r="T189" s="6"/>
      <c r="U189" s="6"/>
      <c r="V189" s="6"/>
      <c r="W189" s="6" t="str">
        <f t="shared" si="5"/>
        <v>Critico</v>
      </c>
    </row>
    <row r="190" spans="1:23" ht="15" hidden="1">
      <c r="A190" s="60">
        <f>Inicial!A190</f>
        <v>188</v>
      </c>
      <c r="B190" s="61">
        <f>Inicial!B190</f>
        <v>0</v>
      </c>
      <c r="C190" s="61">
        <f>Inicial!C190</f>
        <v>0</v>
      </c>
      <c r="D190" s="62">
        <f>Inicial!D190</f>
        <v>0</v>
      </c>
      <c r="E190" s="60" t="str">
        <f>IF(Inicial!J190="SI",Inicial!E190,"N/A")</f>
        <v>N/A</v>
      </c>
      <c r="F190" s="61" t="str">
        <f>IF(Inicial!J190="SI",Inicial!F190,"N/A")</f>
        <v>N/A</v>
      </c>
      <c r="G190" s="61" t="str">
        <f>IF(Inicial!J190="SI",Inicial!G190,"N/A")</f>
        <v>N/A</v>
      </c>
      <c r="H190" s="61" t="str">
        <f>IF(Inicial!J190="SI",Inicial!H190,"N/A")</f>
        <v>N/A</v>
      </c>
      <c r="I190" s="63" t="str">
        <f>IF(Inicial!J190="SI",Inicial!I190,"N/A")</f>
        <v>N/A</v>
      </c>
      <c r="P190" s="6" t="str">
        <f t="shared" si="4"/>
        <v>Aceptable</v>
      </c>
      <c r="Q190" s="6"/>
      <c r="R190" s="6"/>
      <c r="S190" s="6"/>
      <c r="T190" s="6"/>
      <c r="U190" s="6"/>
      <c r="V190" s="6"/>
      <c r="W190" s="6" t="str">
        <f t="shared" si="5"/>
        <v>Critico</v>
      </c>
    </row>
    <row r="191" spans="1:23" ht="15" hidden="1">
      <c r="A191" s="60">
        <f>Inicial!A191</f>
        <v>189</v>
      </c>
      <c r="B191" s="61">
        <f>Inicial!B191</f>
        <v>0</v>
      </c>
      <c r="C191" s="61">
        <f>Inicial!C191</f>
        <v>0</v>
      </c>
      <c r="D191" s="62">
        <f>Inicial!D191</f>
        <v>0</v>
      </c>
      <c r="E191" s="60" t="str">
        <f>IF(Inicial!J191="SI",Inicial!E191,"N/A")</f>
        <v>N/A</v>
      </c>
      <c r="F191" s="61" t="str">
        <f>IF(Inicial!J191="SI",Inicial!F191,"N/A")</f>
        <v>N/A</v>
      </c>
      <c r="G191" s="61" t="str">
        <f>IF(Inicial!J191="SI",Inicial!G191,"N/A")</f>
        <v>N/A</v>
      </c>
      <c r="H191" s="61" t="str">
        <f>IF(Inicial!J191="SI",Inicial!H191,"N/A")</f>
        <v>N/A</v>
      </c>
      <c r="I191" s="63" t="str">
        <f>IF(Inicial!J191="SI",Inicial!I191,"N/A")</f>
        <v>N/A</v>
      </c>
      <c r="P191" s="6" t="str">
        <f t="shared" si="4"/>
        <v>Aceptable</v>
      </c>
      <c r="Q191" s="6"/>
      <c r="R191" s="6"/>
      <c r="S191" s="6"/>
      <c r="T191" s="6"/>
      <c r="U191" s="6"/>
      <c r="V191" s="6"/>
      <c r="W191" s="6" t="str">
        <f t="shared" si="5"/>
        <v>Critico</v>
      </c>
    </row>
    <row r="192" spans="1:23" ht="15" hidden="1">
      <c r="A192" s="60">
        <f>Inicial!A192</f>
        <v>190</v>
      </c>
      <c r="B192" s="61">
        <f>Inicial!B192</f>
        <v>0</v>
      </c>
      <c r="C192" s="61">
        <f>Inicial!C192</f>
        <v>0</v>
      </c>
      <c r="D192" s="62">
        <f>Inicial!D192</f>
        <v>0</v>
      </c>
      <c r="E192" s="60" t="str">
        <f>IF(Inicial!J192="SI",Inicial!E192,"N/A")</f>
        <v>N/A</v>
      </c>
      <c r="F192" s="61" t="str">
        <f>IF(Inicial!J192="SI",Inicial!F192,"N/A")</f>
        <v>N/A</v>
      </c>
      <c r="G192" s="61" t="str">
        <f>IF(Inicial!J192="SI",Inicial!G192,"N/A")</f>
        <v>N/A</v>
      </c>
      <c r="H192" s="61" t="str">
        <f>IF(Inicial!J192="SI",Inicial!H192,"N/A")</f>
        <v>N/A</v>
      </c>
      <c r="I192" s="63" t="str">
        <f>IF(Inicial!J192="SI",Inicial!I192,"N/A")</f>
        <v>N/A</v>
      </c>
      <c r="P192" s="6" t="str">
        <f t="shared" si="4"/>
        <v>Aceptable</v>
      </c>
      <c r="Q192" s="6"/>
      <c r="R192" s="6"/>
      <c r="S192" s="6"/>
      <c r="T192" s="6"/>
      <c r="U192" s="6"/>
      <c r="V192" s="6"/>
      <c r="W192" s="6" t="str">
        <f t="shared" si="5"/>
        <v>Critico</v>
      </c>
    </row>
    <row r="193" spans="1:23" ht="15" hidden="1">
      <c r="A193" s="60">
        <f>Inicial!A193</f>
        <v>191</v>
      </c>
      <c r="B193" s="61">
        <f>Inicial!B193</f>
        <v>0</v>
      </c>
      <c r="C193" s="61">
        <f>Inicial!C193</f>
        <v>0</v>
      </c>
      <c r="D193" s="62">
        <f>Inicial!D193</f>
        <v>0</v>
      </c>
      <c r="E193" s="60" t="str">
        <f>IF(Inicial!J193="SI",Inicial!E193,"N/A")</f>
        <v>N/A</v>
      </c>
      <c r="F193" s="61" t="str">
        <f>IF(Inicial!J193="SI",Inicial!F193,"N/A")</f>
        <v>N/A</v>
      </c>
      <c r="G193" s="61" t="str">
        <f>IF(Inicial!J193="SI",Inicial!G193,"N/A")</f>
        <v>N/A</v>
      </c>
      <c r="H193" s="61" t="str">
        <f>IF(Inicial!J193="SI",Inicial!H193,"N/A")</f>
        <v>N/A</v>
      </c>
      <c r="I193" s="63" t="str">
        <f>IF(Inicial!J193="SI",Inicial!I193,"N/A")</f>
        <v>N/A</v>
      </c>
      <c r="P193" s="6" t="str">
        <f t="shared" si="4"/>
        <v>Aceptable</v>
      </c>
      <c r="Q193" s="6"/>
      <c r="R193" s="6"/>
      <c r="S193" s="6"/>
      <c r="T193" s="6"/>
      <c r="U193" s="6"/>
      <c r="V193" s="6"/>
      <c r="W193" s="6" t="str">
        <f t="shared" si="5"/>
        <v>Critico</v>
      </c>
    </row>
    <row r="194" spans="1:23" ht="15" hidden="1">
      <c r="A194" s="60">
        <f>Inicial!A194</f>
        <v>192</v>
      </c>
      <c r="B194" s="61">
        <f>Inicial!B194</f>
        <v>0</v>
      </c>
      <c r="C194" s="61">
        <f>Inicial!C194</f>
        <v>0</v>
      </c>
      <c r="D194" s="62">
        <f>Inicial!D194</f>
        <v>0</v>
      </c>
      <c r="E194" s="60" t="str">
        <f>IF(Inicial!J194="SI",Inicial!E194,"N/A")</f>
        <v>N/A</v>
      </c>
      <c r="F194" s="61" t="str">
        <f>IF(Inicial!J194="SI",Inicial!F194,"N/A")</f>
        <v>N/A</v>
      </c>
      <c r="G194" s="61" t="str">
        <f>IF(Inicial!J194="SI",Inicial!G194,"N/A")</f>
        <v>N/A</v>
      </c>
      <c r="H194" s="61" t="str">
        <f>IF(Inicial!J194="SI",Inicial!H194,"N/A")</f>
        <v>N/A</v>
      </c>
      <c r="I194" s="63" t="str">
        <f>IF(Inicial!J194="SI",Inicial!I194,"N/A")</f>
        <v>N/A</v>
      </c>
      <c r="P194" s="6" t="str">
        <f t="shared" si="4"/>
        <v>Aceptable</v>
      </c>
      <c r="Q194" s="6"/>
      <c r="R194" s="6"/>
      <c r="S194" s="6"/>
      <c r="T194" s="6"/>
      <c r="U194" s="6"/>
      <c r="V194" s="6"/>
      <c r="W194" s="6" t="str">
        <f t="shared" si="5"/>
        <v>Critico</v>
      </c>
    </row>
    <row r="195" spans="1:23" ht="15" hidden="1">
      <c r="A195" s="60">
        <f>Inicial!A195</f>
        <v>193</v>
      </c>
      <c r="B195" s="61">
        <f>Inicial!B195</f>
        <v>0</v>
      </c>
      <c r="C195" s="61">
        <f>Inicial!C195</f>
        <v>0</v>
      </c>
      <c r="D195" s="62">
        <f>Inicial!D195</f>
        <v>0</v>
      </c>
      <c r="E195" s="60" t="str">
        <f>IF(Inicial!J195="SI",Inicial!E195,"N/A")</f>
        <v>N/A</v>
      </c>
      <c r="F195" s="61" t="str">
        <f>IF(Inicial!J195="SI",Inicial!F195,"N/A")</f>
        <v>N/A</v>
      </c>
      <c r="G195" s="61" t="str">
        <f>IF(Inicial!J195="SI",Inicial!G195,"N/A")</f>
        <v>N/A</v>
      </c>
      <c r="H195" s="61" t="str">
        <f>IF(Inicial!J195="SI",Inicial!H195,"N/A")</f>
        <v>N/A</v>
      </c>
      <c r="I195" s="63" t="str">
        <f>IF(Inicial!J195="SI",Inicial!I195,"N/A")</f>
        <v>N/A</v>
      </c>
      <c r="P195" s="6" t="str">
        <f t="shared" si="4"/>
        <v>Aceptable</v>
      </c>
      <c r="Q195" s="6"/>
      <c r="R195" s="6"/>
      <c r="S195" s="6"/>
      <c r="T195" s="6"/>
      <c r="U195" s="6"/>
      <c r="V195" s="6"/>
      <c r="W195" s="6" t="str">
        <f t="shared" si="5"/>
        <v>Critico</v>
      </c>
    </row>
    <row r="196" spans="1:23" ht="15" hidden="1">
      <c r="A196" s="60">
        <f>Inicial!A196</f>
        <v>194</v>
      </c>
      <c r="B196" s="61">
        <f>Inicial!B196</f>
        <v>0</v>
      </c>
      <c r="C196" s="61">
        <f>Inicial!C196</f>
        <v>0</v>
      </c>
      <c r="D196" s="62">
        <f>Inicial!D196</f>
        <v>0</v>
      </c>
      <c r="E196" s="60" t="str">
        <f>IF(Inicial!J196="SI",Inicial!E196,"N/A")</f>
        <v>N/A</v>
      </c>
      <c r="F196" s="61" t="str">
        <f>IF(Inicial!J196="SI",Inicial!F196,"N/A")</f>
        <v>N/A</v>
      </c>
      <c r="G196" s="61" t="str">
        <f>IF(Inicial!J196="SI",Inicial!G196,"N/A")</f>
        <v>N/A</v>
      </c>
      <c r="H196" s="61" t="str">
        <f>IF(Inicial!J196="SI",Inicial!H196,"N/A")</f>
        <v>N/A</v>
      </c>
      <c r="I196" s="63" t="str">
        <f>IF(Inicial!J196="SI",Inicial!I196,"N/A")</f>
        <v>N/A</v>
      </c>
      <c r="P196" s="6" t="str">
        <f t="shared" ref="P196:P251" si="6">IF(OR(J196="NO",K196="NO",L196="NO",M196="NO",N196="NO",O196="NO"),"No Aceptable","Aceptable")</f>
        <v>Aceptable</v>
      </c>
      <c r="Q196" s="6"/>
      <c r="R196" s="6"/>
      <c r="S196" s="6"/>
      <c r="T196" s="6"/>
      <c r="U196" s="6"/>
      <c r="V196" s="6"/>
      <c r="W196" s="6" t="str">
        <f t="shared" ref="W196:W251" si="7">IF(AND(Q196="NO",R196="NO",S196="NO",T196="NO",U196="NO",V196="NO"),"No Critico","Critico")</f>
        <v>Critico</v>
      </c>
    </row>
    <row r="197" spans="1:23" ht="15" hidden="1">
      <c r="A197" s="60">
        <f>Inicial!A197</f>
        <v>195</v>
      </c>
      <c r="B197" s="61">
        <f>Inicial!B197</f>
        <v>0</v>
      </c>
      <c r="C197" s="61">
        <f>Inicial!C197</f>
        <v>0</v>
      </c>
      <c r="D197" s="62">
        <f>Inicial!D197</f>
        <v>0</v>
      </c>
      <c r="E197" s="60" t="str">
        <f>IF(Inicial!J197="SI",Inicial!E197,"N/A")</f>
        <v>N/A</v>
      </c>
      <c r="F197" s="61" t="str">
        <f>IF(Inicial!J197="SI",Inicial!F197,"N/A")</f>
        <v>N/A</v>
      </c>
      <c r="G197" s="61" t="str">
        <f>IF(Inicial!J197="SI",Inicial!G197,"N/A")</f>
        <v>N/A</v>
      </c>
      <c r="H197" s="61" t="str">
        <f>IF(Inicial!J197="SI",Inicial!H197,"N/A")</f>
        <v>N/A</v>
      </c>
      <c r="I197" s="63" t="str">
        <f>IF(Inicial!J197="SI",Inicial!I197,"N/A")</f>
        <v>N/A</v>
      </c>
      <c r="P197" s="6" t="str">
        <f t="shared" si="6"/>
        <v>Aceptable</v>
      </c>
      <c r="Q197" s="6"/>
      <c r="R197" s="6"/>
      <c r="S197" s="6"/>
      <c r="T197" s="6"/>
      <c r="U197" s="6"/>
      <c r="V197" s="6"/>
      <c r="W197" s="6" t="str">
        <f t="shared" si="7"/>
        <v>Critico</v>
      </c>
    </row>
    <row r="198" spans="1:23" ht="15" hidden="1">
      <c r="A198" s="60">
        <f>Inicial!A198</f>
        <v>196</v>
      </c>
      <c r="B198" s="61">
        <f>Inicial!B198</f>
        <v>0</v>
      </c>
      <c r="C198" s="61">
        <f>Inicial!C198</f>
        <v>0</v>
      </c>
      <c r="D198" s="62">
        <f>Inicial!D198</f>
        <v>0</v>
      </c>
      <c r="E198" s="60" t="str">
        <f>IF(Inicial!J198="SI",Inicial!E198,"N/A")</f>
        <v>N/A</v>
      </c>
      <c r="F198" s="61" t="str">
        <f>IF(Inicial!J198="SI",Inicial!F198,"N/A")</f>
        <v>N/A</v>
      </c>
      <c r="G198" s="61" t="str">
        <f>IF(Inicial!J198="SI",Inicial!G198,"N/A")</f>
        <v>N/A</v>
      </c>
      <c r="H198" s="61" t="str">
        <f>IF(Inicial!J198="SI",Inicial!H198,"N/A")</f>
        <v>N/A</v>
      </c>
      <c r="I198" s="63" t="str">
        <f>IF(Inicial!J198="SI",Inicial!I198,"N/A")</f>
        <v>N/A</v>
      </c>
      <c r="P198" s="6" t="str">
        <f t="shared" si="6"/>
        <v>Aceptable</v>
      </c>
      <c r="Q198" s="6"/>
      <c r="R198" s="6"/>
      <c r="S198" s="6"/>
      <c r="T198" s="6"/>
      <c r="U198" s="6"/>
      <c r="V198" s="6"/>
      <c r="W198" s="6" t="str">
        <f t="shared" si="7"/>
        <v>Critico</v>
      </c>
    </row>
    <row r="199" spans="1:23" ht="15" hidden="1">
      <c r="A199" s="60">
        <f>Inicial!A199</f>
        <v>197</v>
      </c>
      <c r="B199" s="61">
        <f>Inicial!B199</f>
        <v>0</v>
      </c>
      <c r="C199" s="61">
        <f>Inicial!C199</f>
        <v>0</v>
      </c>
      <c r="D199" s="62">
        <f>Inicial!D199</f>
        <v>0</v>
      </c>
      <c r="E199" s="60" t="str">
        <f>IF(Inicial!J199="SI",Inicial!E199,"N/A")</f>
        <v>N/A</v>
      </c>
      <c r="F199" s="61" t="str">
        <f>IF(Inicial!J199="SI",Inicial!F199,"N/A")</f>
        <v>N/A</v>
      </c>
      <c r="G199" s="61" t="str">
        <f>IF(Inicial!J199="SI",Inicial!G199,"N/A")</f>
        <v>N/A</v>
      </c>
      <c r="H199" s="61" t="str">
        <f>IF(Inicial!J199="SI",Inicial!H199,"N/A")</f>
        <v>N/A</v>
      </c>
      <c r="I199" s="63" t="str">
        <f>IF(Inicial!J199="SI",Inicial!I199,"N/A")</f>
        <v>N/A</v>
      </c>
      <c r="P199" s="6" t="str">
        <f t="shared" si="6"/>
        <v>Aceptable</v>
      </c>
      <c r="Q199" s="6"/>
      <c r="R199" s="6"/>
      <c r="S199" s="6"/>
      <c r="T199" s="6"/>
      <c r="U199" s="6"/>
      <c r="V199" s="6"/>
      <c r="W199" s="6" t="str">
        <f t="shared" si="7"/>
        <v>Critico</v>
      </c>
    </row>
    <row r="200" spans="1:23" ht="15" hidden="1">
      <c r="A200" s="60">
        <f>Inicial!A200</f>
        <v>198</v>
      </c>
      <c r="B200" s="61">
        <f>Inicial!B200</f>
        <v>0</v>
      </c>
      <c r="C200" s="61">
        <f>Inicial!C200</f>
        <v>0</v>
      </c>
      <c r="D200" s="62">
        <f>Inicial!D200</f>
        <v>0</v>
      </c>
      <c r="E200" s="60" t="str">
        <f>IF(Inicial!J200="SI",Inicial!E200,"N/A")</f>
        <v>N/A</v>
      </c>
      <c r="F200" s="61" t="str">
        <f>IF(Inicial!J200="SI",Inicial!F200,"N/A")</f>
        <v>N/A</v>
      </c>
      <c r="G200" s="61" t="str">
        <f>IF(Inicial!J200="SI",Inicial!G200,"N/A")</f>
        <v>N/A</v>
      </c>
      <c r="H200" s="61" t="str">
        <f>IF(Inicial!J200="SI",Inicial!H200,"N/A")</f>
        <v>N/A</v>
      </c>
      <c r="I200" s="63" t="str">
        <f>IF(Inicial!J200="SI",Inicial!I200,"N/A")</f>
        <v>N/A</v>
      </c>
      <c r="P200" s="6" t="str">
        <f t="shared" si="6"/>
        <v>Aceptable</v>
      </c>
      <c r="Q200" s="6"/>
      <c r="R200" s="6"/>
      <c r="S200" s="6"/>
      <c r="T200" s="6"/>
      <c r="U200" s="6"/>
      <c r="V200" s="6"/>
      <c r="W200" s="6" t="str">
        <f t="shared" si="7"/>
        <v>Critico</v>
      </c>
    </row>
    <row r="201" spans="1:23" ht="15" hidden="1">
      <c r="A201" s="60">
        <f>Inicial!A201</f>
        <v>199</v>
      </c>
      <c r="B201" s="61">
        <f>Inicial!B201</f>
        <v>0</v>
      </c>
      <c r="C201" s="61">
        <f>Inicial!C201</f>
        <v>0</v>
      </c>
      <c r="D201" s="62">
        <f>Inicial!D201</f>
        <v>0</v>
      </c>
      <c r="E201" s="60" t="str">
        <f>IF(Inicial!J201="SI",Inicial!E201,"N/A")</f>
        <v>N/A</v>
      </c>
      <c r="F201" s="61" t="str">
        <f>IF(Inicial!J201="SI",Inicial!F201,"N/A")</f>
        <v>N/A</v>
      </c>
      <c r="G201" s="61" t="str">
        <f>IF(Inicial!J201="SI",Inicial!G201,"N/A")</f>
        <v>N/A</v>
      </c>
      <c r="H201" s="61" t="str">
        <f>IF(Inicial!J201="SI",Inicial!H201,"N/A")</f>
        <v>N/A</v>
      </c>
      <c r="I201" s="63" t="str">
        <f>IF(Inicial!J201="SI",Inicial!I201,"N/A")</f>
        <v>N/A</v>
      </c>
      <c r="P201" s="6" t="str">
        <f t="shared" si="6"/>
        <v>Aceptable</v>
      </c>
      <c r="Q201" s="6"/>
      <c r="R201" s="6"/>
      <c r="S201" s="6"/>
      <c r="T201" s="6"/>
      <c r="U201" s="6"/>
      <c r="V201" s="6"/>
      <c r="W201" s="6" t="str">
        <f t="shared" si="7"/>
        <v>Critico</v>
      </c>
    </row>
    <row r="202" spans="1:23" ht="15" hidden="1">
      <c r="A202" s="60">
        <f>Inicial!A202</f>
        <v>200</v>
      </c>
      <c r="B202" s="61">
        <f>Inicial!B202</f>
        <v>0</v>
      </c>
      <c r="C202" s="61">
        <f>Inicial!C202</f>
        <v>0</v>
      </c>
      <c r="D202" s="62">
        <f>Inicial!D202</f>
        <v>0</v>
      </c>
      <c r="E202" s="60" t="str">
        <f>IF(Inicial!J202="SI",Inicial!E202,"N/A")</f>
        <v>N/A</v>
      </c>
      <c r="F202" s="61" t="str">
        <f>IF(Inicial!J202="SI",Inicial!F202,"N/A")</f>
        <v>N/A</v>
      </c>
      <c r="G202" s="61" t="str">
        <f>IF(Inicial!J202="SI",Inicial!G202,"N/A")</f>
        <v>N/A</v>
      </c>
      <c r="H202" s="61" t="str">
        <f>IF(Inicial!J202="SI",Inicial!H202,"N/A")</f>
        <v>N/A</v>
      </c>
      <c r="I202" s="63" t="str">
        <f>IF(Inicial!J202="SI",Inicial!I202,"N/A")</f>
        <v>N/A</v>
      </c>
      <c r="P202" s="6" t="str">
        <f t="shared" si="6"/>
        <v>Aceptable</v>
      </c>
      <c r="Q202" s="6"/>
      <c r="R202" s="6"/>
      <c r="S202" s="6"/>
      <c r="T202" s="6"/>
      <c r="U202" s="6"/>
      <c r="V202" s="6"/>
      <c r="W202" s="6" t="str">
        <f t="shared" si="7"/>
        <v>Critico</v>
      </c>
    </row>
    <row r="203" spans="1:23" ht="15" hidden="1">
      <c r="A203" s="60">
        <f>Inicial!A203</f>
        <v>201</v>
      </c>
      <c r="B203" s="61">
        <f>Inicial!B203</f>
        <v>0</v>
      </c>
      <c r="C203" s="61">
        <f>Inicial!C203</f>
        <v>0</v>
      </c>
      <c r="D203" s="62">
        <f>Inicial!D203</f>
        <v>0</v>
      </c>
      <c r="E203" s="60" t="str">
        <f>IF(Inicial!J203="SI",Inicial!E203,"N/A")</f>
        <v>N/A</v>
      </c>
      <c r="F203" s="61" t="str">
        <f>IF(Inicial!J203="SI",Inicial!F203,"N/A")</f>
        <v>N/A</v>
      </c>
      <c r="G203" s="61" t="str">
        <f>IF(Inicial!J203="SI",Inicial!G203,"N/A")</f>
        <v>N/A</v>
      </c>
      <c r="H203" s="61" t="str">
        <f>IF(Inicial!J203="SI",Inicial!H203,"N/A")</f>
        <v>N/A</v>
      </c>
      <c r="I203" s="63" t="str">
        <f>IF(Inicial!J203="SI",Inicial!I203,"N/A")</f>
        <v>N/A</v>
      </c>
      <c r="P203" s="6" t="str">
        <f t="shared" si="6"/>
        <v>Aceptable</v>
      </c>
      <c r="Q203" s="6"/>
      <c r="R203" s="6"/>
      <c r="S203" s="6"/>
      <c r="T203" s="6"/>
      <c r="U203" s="6"/>
      <c r="V203" s="6"/>
      <c r="W203" s="6" t="str">
        <f t="shared" si="7"/>
        <v>Critico</v>
      </c>
    </row>
    <row r="204" spans="1:23" ht="15" hidden="1">
      <c r="A204" s="60">
        <f>Inicial!A204</f>
        <v>202</v>
      </c>
      <c r="B204" s="61">
        <f>Inicial!B204</f>
        <v>0</v>
      </c>
      <c r="C204" s="61">
        <f>Inicial!C204</f>
        <v>0</v>
      </c>
      <c r="D204" s="62">
        <f>Inicial!D204</f>
        <v>0</v>
      </c>
      <c r="E204" s="60" t="str">
        <f>IF(Inicial!J204="SI",Inicial!E204,"N/A")</f>
        <v>N/A</v>
      </c>
      <c r="F204" s="61" t="str">
        <f>IF(Inicial!J204="SI",Inicial!F204,"N/A")</f>
        <v>N/A</v>
      </c>
      <c r="G204" s="61" t="str">
        <f>IF(Inicial!J204="SI",Inicial!G204,"N/A")</f>
        <v>N/A</v>
      </c>
      <c r="H204" s="61" t="str">
        <f>IF(Inicial!J204="SI",Inicial!H204,"N/A")</f>
        <v>N/A</v>
      </c>
      <c r="I204" s="63" t="str">
        <f>IF(Inicial!J204="SI",Inicial!I204,"N/A")</f>
        <v>N/A</v>
      </c>
      <c r="P204" s="6" t="str">
        <f t="shared" si="6"/>
        <v>Aceptable</v>
      </c>
      <c r="Q204" s="6"/>
      <c r="R204" s="6"/>
      <c r="S204" s="6"/>
      <c r="T204" s="6"/>
      <c r="U204" s="6"/>
      <c r="V204" s="6"/>
      <c r="W204" s="6" t="str">
        <f t="shared" si="7"/>
        <v>Critico</v>
      </c>
    </row>
    <row r="205" spans="1:23" ht="15" hidden="1">
      <c r="A205" s="60">
        <f>Inicial!A205</f>
        <v>203</v>
      </c>
      <c r="B205" s="61">
        <f>Inicial!B205</f>
        <v>0</v>
      </c>
      <c r="C205" s="61">
        <f>Inicial!C205</f>
        <v>0</v>
      </c>
      <c r="D205" s="62">
        <f>Inicial!D205</f>
        <v>0</v>
      </c>
      <c r="E205" s="60" t="str">
        <f>IF(Inicial!J205="SI",Inicial!E205,"N/A")</f>
        <v>N/A</v>
      </c>
      <c r="F205" s="61" t="str">
        <f>IF(Inicial!J205="SI",Inicial!F205,"N/A")</f>
        <v>N/A</v>
      </c>
      <c r="G205" s="61" t="str">
        <f>IF(Inicial!J205="SI",Inicial!G205,"N/A")</f>
        <v>N/A</v>
      </c>
      <c r="H205" s="61" t="str">
        <f>IF(Inicial!J205="SI",Inicial!H205,"N/A")</f>
        <v>N/A</v>
      </c>
      <c r="I205" s="63" t="str">
        <f>IF(Inicial!J205="SI",Inicial!I205,"N/A")</f>
        <v>N/A</v>
      </c>
      <c r="P205" s="6" t="str">
        <f t="shared" si="6"/>
        <v>Aceptable</v>
      </c>
      <c r="Q205" s="6"/>
      <c r="R205" s="6"/>
      <c r="S205" s="6"/>
      <c r="T205" s="6"/>
      <c r="U205" s="6"/>
      <c r="V205" s="6"/>
      <c r="W205" s="6" t="str">
        <f t="shared" si="7"/>
        <v>Critico</v>
      </c>
    </row>
    <row r="206" spans="1:23" ht="15" hidden="1">
      <c r="A206" s="60">
        <f>Inicial!A206</f>
        <v>204</v>
      </c>
      <c r="B206" s="61">
        <f>Inicial!B206</f>
        <v>0</v>
      </c>
      <c r="C206" s="61">
        <f>Inicial!C206</f>
        <v>0</v>
      </c>
      <c r="D206" s="62">
        <f>Inicial!D206</f>
        <v>0</v>
      </c>
      <c r="E206" s="60" t="str">
        <f>IF(Inicial!J206="SI",Inicial!E206,"N/A")</f>
        <v>N/A</v>
      </c>
      <c r="F206" s="61" t="str">
        <f>IF(Inicial!J206="SI",Inicial!F206,"N/A")</f>
        <v>N/A</v>
      </c>
      <c r="G206" s="61" t="str">
        <f>IF(Inicial!J206="SI",Inicial!G206,"N/A")</f>
        <v>N/A</v>
      </c>
      <c r="H206" s="61" t="str">
        <f>IF(Inicial!J206="SI",Inicial!H206,"N/A")</f>
        <v>N/A</v>
      </c>
      <c r="I206" s="63" t="str">
        <f>IF(Inicial!J206="SI",Inicial!I206,"N/A")</f>
        <v>N/A</v>
      </c>
      <c r="P206" s="6" t="str">
        <f t="shared" si="6"/>
        <v>Aceptable</v>
      </c>
      <c r="Q206" s="6"/>
      <c r="R206" s="6"/>
      <c r="S206" s="6"/>
      <c r="T206" s="6"/>
      <c r="U206" s="6"/>
      <c r="V206" s="6"/>
      <c r="W206" s="6" t="str">
        <f t="shared" si="7"/>
        <v>Critico</v>
      </c>
    </row>
    <row r="207" spans="1:23" ht="15" hidden="1">
      <c r="A207" s="60">
        <f>Inicial!A207</f>
        <v>205</v>
      </c>
      <c r="B207" s="61">
        <f>Inicial!B207</f>
        <v>0</v>
      </c>
      <c r="C207" s="61">
        <f>Inicial!C207</f>
        <v>0</v>
      </c>
      <c r="D207" s="62">
        <f>Inicial!D207</f>
        <v>0</v>
      </c>
      <c r="E207" s="60" t="str">
        <f>IF(Inicial!J207="SI",Inicial!E207,"N/A")</f>
        <v>N/A</v>
      </c>
      <c r="F207" s="61" t="str">
        <f>IF(Inicial!J207="SI",Inicial!F207,"N/A")</f>
        <v>N/A</v>
      </c>
      <c r="G207" s="61" t="str">
        <f>IF(Inicial!J207="SI",Inicial!G207,"N/A")</f>
        <v>N/A</v>
      </c>
      <c r="H207" s="61" t="str">
        <f>IF(Inicial!J207="SI",Inicial!H207,"N/A")</f>
        <v>N/A</v>
      </c>
      <c r="I207" s="63" t="str">
        <f>IF(Inicial!J207="SI",Inicial!I207,"N/A")</f>
        <v>N/A</v>
      </c>
      <c r="P207" s="6" t="str">
        <f t="shared" si="6"/>
        <v>Aceptable</v>
      </c>
      <c r="Q207" s="6"/>
      <c r="R207" s="6"/>
      <c r="S207" s="6"/>
      <c r="T207" s="6"/>
      <c r="U207" s="6"/>
      <c r="V207" s="6"/>
      <c r="W207" s="6" t="str">
        <f t="shared" si="7"/>
        <v>Critico</v>
      </c>
    </row>
    <row r="208" spans="1:23" ht="15" hidden="1">
      <c r="A208" s="60">
        <f>Inicial!A208</f>
        <v>206</v>
      </c>
      <c r="B208" s="61">
        <f>Inicial!B208</f>
        <v>0</v>
      </c>
      <c r="C208" s="61">
        <f>Inicial!C208</f>
        <v>0</v>
      </c>
      <c r="D208" s="62">
        <f>Inicial!D208</f>
        <v>0</v>
      </c>
      <c r="E208" s="60" t="str">
        <f>IF(Inicial!J208="SI",Inicial!E208,"N/A")</f>
        <v>N/A</v>
      </c>
      <c r="F208" s="61" t="str">
        <f>IF(Inicial!J208="SI",Inicial!F208,"N/A")</f>
        <v>N/A</v>
      </c>
      <c r="G208" s="61" t="str">
        <f>IF(Inicial!J208="SI",Inicial!G208,"N/A")</f>
        <v>N/A</v>
      </c>
      <c r="H208" s="61" t="str">
        <f>IF(Inicial!J208="SI",Inicial!H208,"N/A")</f>
        <v>N/A</v>
      </c>
      <c r="I208" s="63" t="str">
        <f>IF(Inicial!J208="SI",Inicial!I208,"N/A")</f>
        <v>N/A</v>
      </c>
      <c r="P208" s="6" t="str">
        <f t="shared" si="6"/>
        <v>Aceptable</v>
      </c>
      <c r="Q208" s="6"/>
      <c r="R208" s="6"/>
      <c r="S208" s="6"/>
      <c r="T208" s="6"/>
      <c r="U208" s="6"/>
      <c r="V208" s="6"/>
      <c r="W208" s="6" t="str">
        <f t="shared" si="7"/>
        <v>Critico</v>
      </c>
    </row>
    <row r="209" spans="1:23" ht="15" hidden="1">
      <c r="A209" s="60">
        <f>Inicial!A209</f>
        <v>207</v>
      </c>
      <c r="B209" s="61">
        <f>Inicial!B209</f>
        <v>0</v>
      </c>
      <c r="C209" s="61">
        <f>Inicial!C209</f>
        <v>0</v>
      </c>
      <c r="D209" s="62">
        <f>Inicial!D209</f>
        <v>0</v>
      </c>
      <c r="E209" s="60" t="str">
        <f>IF(Inicial!J209="SI",Inicial!E209,"N/A")</f>
        <v>N/A</v>
      </c>
      <c r="F209" s="61" t="str">
        <f>IF(Inicial!J209="SI",Inicial!F209,"N/A")</f>
        <v>N/A</v>
      </c>
      <c r="G209" s="61" t="str">
        <f>IF(Inicial!J209="SI",Inicial!G209,"N/A")</f>
        <v>N/A</v>
      </c>
      <c r="H209" s="61" t="str">
        <f>IF(Inicial!J209="SI",Inicial!H209,"N/A")</f>
        <v>N/A</v>
      </c>
      <c r="I209" s="63" t="str">
        <f>IF(Inicial!J209="SI",Inicial!I209,"N/A")</f>
        <v>N/A</v>
      </c>
      <c r="P209" s="6" t="str">
        <f t="shared" si="6"/>
        <v>Aceptable</v>
      </c>
      <c r="Q209" s="6"/>
      <c r="R209" s="6"/>
      <c r="S209" s="6"/>
      <c r="T209" s="6"/>
      <c r="U209" s="6"/>
      <c r="V209" s="6"/>
      <c r="W209" s="6" t="str">
        <f t="shared" si="7"/>
        <v>Critico</v>
      </c>
    </row>
    <row r="210" spans="1:23" ht="15" hidden="1">
      <c r="A210" s="60">
        <f>Inicial!A210</f>
        <v>208</v>
      </c>
      <c r="B210" s="61">
        <f>Inicial!B210</f>
        <v>0</v>
      </c>
      <c r="C210" s="61">
        <f>Inicial!C210</f>
        <v>0</v>
      </c>
      <c r="D210" s="62">
        <f>Inicial!D210</f>
        <v>0</v>
      </c>
      <c r="E210" s="60" t="str">
        <f>IF(Inicial!J210="SI",Inicial!E210,"N/A")</f>
        <v>N/A</v>
      </c>
      <c r="F210" s="61" t="str">
        <f>IF(Inicial!J210="SI",Inicial!F210,"N/A")</f>
        <v>N/A</v>
      </c>
      <c r="G210" s="61" t="str">
        <f>IF(Inicial!J210="SI",Inicial!G210,"N/A")</f>
        <v>N/A</v>
      </c>
      <c r="H210" s="61" t="str">
        <f>IF(Inicial!J210="SI",Inicial!H210,"N/A")</f>
        <v>N/A</v>
      </c>
      <c r="I210" s="63" t="str">
        <f>IF(Inicial!J210="SI",Inicial!I210,"N/A")</f>
        <v>N/A</v>
      </c>
      <c r="P210" s="6" t="str">
        <f t="shared" si="6"/>
        <v>Aceptable</v>
      </c>
      <c r="Q210" s="6"/>
      <c r="R210" s="6"/>
      <c r="S210" s="6"/>
      <c r="T210" s="6"/>
      <c r="U210" s="6"/>
      <c r="V210" s="6"/>
      <c r="W210" s="6" t="str">
        <f t="shared" si="7"/>
        <v>Critico</v>
      </c>
    </row>
    <row r="211" spans="1:23" ht="15" hidden="1">
      <c r="A211" s="60">
        <f>Inicial!A211</f>
        <v>209</v>
      </c>
      <c r="B211" s="61">
        <f>Inicial!B211</f>
        <v>0</v>
      </c>
      <c r="C211" s="61">
        <f>Inicial!C211</f>
        <v>0</v>
      </c>
      <c r="D211" s="62">
        <f>Inicial!D211</f>
        <v>0</v>
      </c>
      <c r="E211" s="60" t="str">
        <f>IF(Inicial!J211="SI",Inicial!E211,"N/A")</f>
        <v>N/A</v>
      </c>
      <c r="F211" s="61" t="str">
        <f>IF(Inicial!J211="SI",Inicial!F211,"N/A")</f>
        <v>N/A</v>
      </c>
      <c r="G211" s="61" t="str">
        <f>IF(Inicial!J211="SI",Inicial!G211,"N/A")</f>
        <v>N/A</v>
      </c>
      <c r="H211" s="61" t="str">
        <f>IF(Inicial!J211="SI",Inicial!H211,"N/A")</f>
        <v>N/A</v>
      </c>
      <c r="I211" s="63" t="str">
        <f>IF(Inicial!J211="SI",Inicial!I211,"N/A")</f>
        <v>N/A</v>
      </c>
      <c r="P211" s="6" t="str">
        <f t="shared" si="6"/>
        <v>Aceptable</v>
      </c>
      <c r="Q211" s="6"/>
      <c r="R211" s="6"/>
      <c r="S211" s="6"/>
      <c r="T211" s="6"/>
      <c r="U211" s="6"/>
      <c r="V211" s="6"/>
      <c r="W211" s="6" t="str">
        <f t="shared" si="7"/>
        <v>Critico</v>
      </c>
    </row>
    <row r="212" spans="1:23" ht="15" hidden="1">
      <c r="A212" s="60">
        <f>Inicial!A212</f>
        <v>210</v>
      </c>
      <c r="B212" s="61">
        <f>Inicial!B212</f>
        <v>0</v>
      </c>
      <c r="C212" s="61">
        <f>Inicial!C212</f>
        <v>0</v>
      </c>
      <c r="D212" s="62">
        <f>Inicial!D212</f>
        <v>0</v>
      </c>
      <c r="E212" s="60" t="str">
        <f>IF(Inicial!J212="SI",Inicial!E212,"N/A")</f>
        <v>N/A</v>
      </c>
      <c r="F212" s="61" t="str">
        <f>IF(Inicial!J212="SI",Inicial!F212,"N/A")</f>
        <v>N/A</v>
      </c>
      <c r="G212" s="61" t="str">
        <f>IF(Inicial!J212="SI",Inicial!G212,"N/A")</f>
        <v>N/A</v>
      </c>
      <c r="H212" s="61" t="str">
        <f>IF(Inicial!J212="SI",Inicial!H212,"N/A")</f>
        <v>N/A</v>
      </c>
      <c r="I212" s="63" t="str">
        <f>IF(Inicial!J212="SI",Inicial!I212,"N/A")</f>
        <v>N/A</v>
      </c>
      <c r="P212" s="6" t="str">
        <f t="shared" si="6"/>
        <v>Aceptable</v>
      </c>
      <c r="Q212" s="6"/>
      <c r="R212" s="6"/>
      <c r="S212" s="6"/>
      <c r="T212" s="6"/>
      <c r="U212" s="6"/>
      <c r="V212" s="6"/>
      <c r="W212" s="6" t="str">
        <f t="shared" si="7"/>
        <v>Critico</v>
      </c>
    </row>
    <row r="213" spans="1:23" ht="15" hidden="1">
      <c r="A213" s="60">
        <f>Inicial!A213</f>
        <v>211</v>
      </c>
      <c r="B213" s="61">
        <f>Inicial!B213</f>
        <v>0</v>
      </c>
      <c r="C213" s="61">
        <f>Inicial!C213</f>
        <v>0</v>
      </c>
      <c r="D213" s="62">
        <f>Inicial!D213</f>
        <v>0</v>
      </c>
      <c r="E213" s="60" t="str">
        <f>IF(Inicial!J213="SI",Inicial!E213,"N/A")</f>
        <v>N/A</v>
      </c>
      <c r="F213" s="61" t="str">
        <f>IF(Inicial!J213="SI",Inicial!F213,"N/A")</f>
        <v>N/A</v>
      </c>
      <c r="G213" s="61" t="str">
        <f>IF(Inicial!J213="SI",Inicial!G213,"N/A")</f>
        <v>N/A</v>
      </c>
      <c r="H213" s="61" t="str">
        <f>IF(Inicial!J213="SI",Inicial!H213,"N/A")</f>
        <v>N/A</v>
      </c>
      <c r="I213" s="63" t="str">
        <f>IF(Inicial!J213="SI",Inicial!I213,"N/A")</f>
        <v>N/A</v>
      </c>
      <c r="P213" s="6" t="str">
        <f t="shared" si="6"/>
        <v>Aceptable</v>
      </c>
      <c r="Q213" s="6"/>
      <c r="R213" s="6"/>
      <c r="S213" s="6"/>
      <c r="T213" s="6"/>
      <c r="U213" s="6"/>
      <c r="V213" s="6"/>
      <c r="W213" s="6" t="str">
        <f t="shared" si="7"/>
        <v>Critico</v>
      </c>
    </row>
    <row r="214" spans="1:23" ht="15" hidden="1">
      <c r="A214" s="60">
        <f>Inicial!A214</f>
        <v>212</v>
      </c>
      <c r="B214" s="61">
        <f>Inicial!B214</f>
        <v>0</v>
      </c>
      <c r="C214" s="61">
        <f>Inicial!C214</f>
        <v>0</v>
      </c>
      <c r="D214" s="62">
        <f>Inicial!D214</f>
        <v>0</v>
      </c>
      <c r="E214" s="60" t="str">
        <f>IF(Inicial!J214="SI",Inicial!E214,"N/A")</f>
        <v>N/A</v>
      </c>
      <c r="F214" s="61" t="str">
        <f>IF(Inicial!J214="SI",Inicial!F214,"N/A")</f>
        <v>N/A</v>
      </c>
      <c r="G214" s="61" t="str">
        <f>IF(Inicial!J214="SI",Inicial!G214,"N/A")</f>
        <v>N/A</v>
      </c>
      <c r="H214" s="61" t="str">
        <f>IF(Inicial!J214="SI",Inicial!H214,"N/A")</f>
        <v>N/A</v>
      </c>
      <c r="I214" s="63" t="str">
        <f>IF(Inicial!J214="SI",Inicial!I214,"N/A")</f>
        <v>N/A</v>
      </c>
      <c r="P214" s="6" t="str">
        <f t="shared" si="6"/>
        <v>Aceptable</v>
      </c>
      <c r="Q214" s="6"/>
      <c r="R214" s="6"/>
      <c r="S214" s="6"/>
      <c r="T214" s="6"/>
      <c r="U214" s="6"/>
      <c r="V214" s="6"/>
      <c r="W214" s="6" t="str">
        <f t="shared" si="7"/>
        <v>Critico</v>
      </c>
    </row>
    <row r="215" spans="1:23" ht="15" hidden="1">
      <c r="A215" s="60">
        <f>Inicial!A215</f>
        <v>213</v>
      </c>
      <c r="B215" s="61">
        <f>Inicial!B215</f>
        <v>0</v>
      </c>
      <c r="C215" s="61">
        <f>Inicial!C215</f>
        <v>0</v>
      </c>
      <c r="D215" s="62">
        <f>Inicial!D215</f>
        <v>0</v>
      </c>
      <c r="E215" s="60" t="str">
        <f>IF(Inicial!J215="SI",Inicial!E215,"N/A")</f>
        <v>N/A</v>
      </c>
      <c r="F215" s="61" t="str">
        <f>IF(Inicial!J215="SI",Inicial!F215,"N/A")</f>
        <v>N/A</v>
      </c>
      <c r="G215" s="61" t="str">
        <f>IF(Inicial!J215="SI",Inicial!G215,"N/A")</f>
        <v>N/A</v>
      </c>
      <c r="H215" s="61" t="str">
        <f>IF(Inicial!J215="SI",Inicial!H215,"N/A")</f>
        <v>N/A</v>
      </c>
      <c r="I215" s="63" t="str">
        <f>IF(Inicial!J215="SI",Inicial!I215,"N/A")</f>
        <v>N/A</v>
      </c>
      <c r="P215" s="6" t="str">
        <f t="shared" si="6"/>
        <v>Aceptable</v>
      </c>
      <c r="Q215" s="6"/>
      <c r="R215" s="6"/>
      <c r="S215" s="6"/>
      <c r="T215" s="6"/>
      <c r="U215" s="6"/>
      <c r="V215" s="6"/>
      <c r="W215" s="6" t="str">
        <f t="shared" si="7"/>
        <v>Critico</v>
      </c>
    </row>
    <row r="216" spans="1:23" ht="15" hidden="1">
      <c r="A216" s="60">
        <f>Inicial!A216</f>
        <v>214</v>
      </c>
      <c r="B216" s="61">
        <f>Inicial!B216</f>
        <v>0</v>
      </c>
      <c r="C216" s="61">
        <f>Inicial!C216</f>
        <v>0</v>
      </c>
      <c r="D216" s="62">
        <f>Inicial!D216</f>
        <v>0</v>
      </c>
      <c r="E216" s="60" t="str">
        <f>IF(Inicial!J216="SI",Inicial!E216,"N/A")</f>
        <v>N/A</v>
      </c>
      <c r="F216" s="61" t="str">
        <f>IF(Inicial!J216="SI",Inicial!F216,"N/A")</f>
        <v>N/A</v>
      </c>
      <c r="G216" s="61" t="str">
        <f>IF(Inicial!J216="SI",Inicial!G216,"N/A")</f>
        <v>N/A</v>
      </c>
      <c r="H216" s="61" t="str">
        <f>IF(Inicial!J216="SI",Inicial!H216,"N/A")</f>
        <v>N/A</v>
      </c>
      <c r="I216" s="63" t="str">
        <f>IF(Inicial!J216="SI",Inicial!I216,"N/A")</f>
        <v>N/A</v>
      </c>
      <c r="P216" s="6" t="str">
        <f t="shared" si="6"/>
        <v>Aceptable</v>
      </c>
      <c r="Q216" s="6"/>
      <c r="R216" s="6"/>
      <c r="S216" s="6"/>
      <c r="T216" s="6"/>
      <c r="U216" s="6"/>
      <c r="V216" s="6"/>
      <c r="W216" s="6" t="str">
        <f t="shared" si="7"/>
        <v>Critico</v>
      </c>
    </row>
    <row r="217" spans="1:23" ht="15" hidden="1">
      <c r="A217" s="60">
        <f>Inicial!A217</f>
        <v>215</v>
      </c>
      <c r="B217" s="61">
        <f>Inicial!B217</f>
        <v>0</v>
      </c>
      <c r="C217" s="61">
        <f>Inicial!C217</f>
        <v>0</v>
      </c>
      <c r="D217" s="62">
        <f>Inicial!D217</f>
        <v>0</v>
      </c>
      <c r="E217" s="60" t="str">
        <f>IF(Inicial!J217="SI",Inicial!E217,"N/A")</f>
        <v>N/A</v>
      </c>
      <c r="F217" s="61" t="str">
        <f>IF(Inicial!J217="SI",Inicial!F217,"N/A")</f>
        <v>N/A</v>
      </c>
      <c r="G217" s="61" t="str">
        <f>IF(Inicial!J217="SI",Inicial!G217,"N/A")</f>
        <v>N/A</v>
      </c>
      <c r="H217" s="61" t="str">
        <f>IF(Inicial!J217="SI",Inicial!H217,"N/A")</f>
        <v>N/A</v>
      </c>
      <c r="I217" s="63" t="str">
        <f>IF(Inicial!J217="SI",Inicial!I217,"N/A")</f>
        <v>N/A</v>
      </c>
      <c r="P217" s="6" t="str">
        <f t="shared" si="6"/>
        <v>Aceptable</v>
      </c>
      <c r="Q217" s="6"/>
      <c r="R217" s="6"/>
      <c r="S217" s="6"/>
      <c r="T217" s="6"/>
      <c r="U217" s="6"/>
      <c r="V217" s="6"/>
      <c r="W217" s="6" t="str">
        <f t="shared" si="7"/>
        <v>Critico</v>
      </c>
    </row>
    <row r="218" spans="1:23" ht="15" hidden="1">
      <c r="A218" s="60">
        <f>Inicial!A218</f>
        <v>216</v>
      </c>
      <c r="B218" s="61">
        <f>Inicial!B218</f>
        <v>0</v>
      </c>
      <c r="C218" s="61">
        <f>Inicial!C218</f>
        <v>0</v>
      </c>
      <c r="D218" s="62">
        <f>Inicial!D218</f>
        <v>0</v>
      </c>
      <c r="E218" s="60" t="str">
        <f>IF(Inicial!J218="SI",Inicial!E218,"N/A")</f>
        <v>N/A</v>
      </c>
      <c r="F218" s="61" t="str">
        <f>IF(Inicial!J218="SI",Inicial!F218,"N/A")</f>
        <v>N/A</v>
      </c>
      <c r="G218" s="61" t="str">
        <f>IF(Inicial!J218="SI",Inicial!G218,"N/A")</f>
        <v>N/A</v>
      </c>
      <c r="H218" s="61" t="str">
        <f>IF(Inicial!J218="SI",Inicial!H218,"N/A")</f>
        <v>N/A</v>
      </c>
      <c r="I218" s="63" t="str">
        <f>IF(Inicial!J218="SI",Inicial!I218,"N/A")</f>
        <v>N/A</v>
      </c>
      <c r="P218" s="6" t="str">
        <f t="shared" si="6"/>
        <v>Aceptable</v>
      </c>
      <c r="Q218" s="6"/>
      <c r="R218" s="6"/>
      <c r="S218" s="6"/>
      <c r="T218" s="6"/>
      <c r="U218" s="6"/>
      <c r="V218" s="6"/>
      <c r="W218" s="6" t="str">
        <f t="shared" si="7"/>
        <v>Critico</v>
      </c>
    </row>
    <row r="219" spans="1:23" ht="15" hidden="1">
      <c r="A219" s="60">
        <f>Inicial!A219</f>
        <v>217</v>
      </c>
      <c r="B219" s="61">
        <f>Inicial!B219</f>
        <v>0</v>
      </c>
      <c r="C219" s="61">
        <f>Inicial!C219</f>
        <v>0</v>
      </c>
      <c r="D219" s="62">
        <f>Inicial!D219</f>
        <v>0</v>
      </c>
      <c r="E219" s="60" t="str">
        <f>IF(Inicial!J219="SI",Inicial!E219,"N/A")</f>
        <v>N/A</v>
      </c>
      <c r="F219" s="61" t="str">
        <f>IF(Inicial!J219="SI",Inicial!F219,"N/A")</f>
        <v>N/A</v>
      </c>
      <c r="G219" s="61" t="str">
        <f>IF(Inicial!J219="SI",Inicial!G219,"N/A")</f>
        <v>N/A</v>
      </c>
      <c r="H219" s="61" t="str">
        <f>IF(Inicial!J219="SI",Inicial!H219,"N/A")</f>
        <v>N/A</v>
      </c>
      <c r="I219" s="63" t="str">
        <f>IF(Inicial!J219="SI",Inicial!I219,"N/A")</f>
        <v>N/A</v>
      </c>
      <c r="P219" s="6" t="str">
        <f t="shared" si="6"/>
        <v>Aceptable</v>
      </c>
      <c r="Q219" s="6"/>
      <c r="R219" s="6"/>
      <c r="S219" s="6"/>
      <c r="T219" s="6"/>
      <c r="U219" s="6"/>
      <c r="V219" s="6"/>
      <c r="W219" s="6" t="str">
        <f t="shared" si="7"/>
        <v>Critico</v>
      </c>
    </row>
    <row r="220" spans="1:23" ht="15" hidden="1">
      <c r="A220" s="60">
        <f>Inicial!A220</f>
        <v>218</v>
      </c>
      <c r="P220" s="6" t="str">
        <f t="shared" si="6"/>
        <v>Aceptable</v>
      </c>
      <c r="Q220" s="6"/>
      <c r="R220" s="6"/>
      <c r="S220" s="6"/>
      <c r="T220" s="6"/>
      <c r="U220" s="6"/>
      <c r="V220" s="6"/>
      <c r="W220" s="6" t="str">
        <f t="shared" si="7"/>
        <v>Critico</v>
      </c>
    </row>
    <row r="221" spans="1:23" ht="15" hidden="1">
      <c r="A221" s="60">
        <f>Inicial!A221</f>
        <v>219</v>
      </c>
      <c r="P221" s="6" t="str">
        <f t="shared" si="6"/>
        <v>Aceptable</v>
      </c>
      <c r="Q221" s="6"/>
      <c r="R221" s="6"/>
      <c r="S221" s="6"/>
      <c r="T221" s="6"/>
      <c r="U221" s="6"/>
      <c r="V221" s="6"/>
      <c r="W221" s="6" t="str">
        <f t="shared" si="7"/>
        <v>Critico</v>
      </c>
    </row>
    <row r="222" spans="1:23" ht="15" hidden="1">
      <c r="A222" s="60">
        <f>Inicial!A222</f>
        <v>220</v>
      </c>
      <c r="P222" s="6" t="str">
        <f t="shared" si="6"/>
        <v>Aceptable</v>
      </c>
      <c r="Q222" s="6"/>
      <c r="R222" s="6"/>
      <c r="S222" s="6"/>
      <c r="T222" s="6"/>
      <c r="U222" s="6"/>
      <c r="V222" s="6"/>
      <c r="W222" s="6" t="str">
        <f t="shared" si="7"/>
        <v>Critico</v>
      </c>
    </row>
    <row r="223" spans="1:23" ht="15" hidden="1">
      <c r="A223" s="60">
        <f>Inicial!A223</f>
        <v>221</v>
      </c>
      <c r="P223" s="6" t="str">
        <f t="shared" si="6"/>
        <v>Aceptable</v>
      </c>
      <c r="Q223" s="6"/>
      <c r="R223" s="6"/>
      <c r="S223" s="6"/>
      <c r="T223" s="6"/>
      <c r="U223" s="6"/>
      <c r="V223" s="6"/>
      <c r="W223" s="6" t="str">
        <f t="shared" si="7"/>
        <v>Critico</v>
      </c>
    </row>
    <row r="224" spans="1:23" ht="15" hidden="1">
      <c r="A224" s="60">
        <f>Inicial!A224</f>
        <v>222</v>
      </c>
      <c r="P224" s="6" t="str">
        <f t="shared" si="6"/>
        <v>Aceptable</v>
      </c>
      <c r="Q224" s="6"/>
      <c r="R224" s="6"/>
      <c r="S224" s="6"/>
      <c r="T224" s="6"/>
      <c r="U224" s="6"/>
      <c r="V224" s="6"/>
      <c r="W224" s="6" t="str">
        <f t="shared" si="7"/>
        <v>Critico</v>
      </c>
    </row>
    <row r="225" spans="1:23" ht="15" hidden="1">
      <c r="A225" s="60">
        <f>Inicial!A225</f>
        <v>223</v>
      </c>
      <c r="P225" s="6" t="str">
        <f t="shared" si="6"/>
        <v>Aceptable</v>
      </c>
      <c r="Q225" s="6"/>
      <c r="R225" s="6"/>
      <c r="S225" s="6"/>
      <c r="T225" s="6"/>
      <c r="U225" s="6"/>
      <c r="V225" s="6"/>
      <c r="W225" s="6" t="str">
        <f t="shared" si="7"/>
        <v>Critico</v>
      </c>
    </row>
    <row r="226" spans="1:23" ht="15" hidden="1">
      <c r="A226" s="60">
        <f>Inicial!A226</f>
        <v>224</v>
      </c>
      <c r="P226" s="6" t="str">
        <f t="shared" si="6"/>
        <v>Aceptable</v>
      </c>
      <c r="Q226" s="6"/>
      <c r="R226" s="6"/>
      <c r="S226" s="6"/>
      <c r="T226" s="6"/>
      <c r="U226" s="6"/>
      <c r="V226" s="6"/>
      <c r="W226" s="6" t="str">
        <f t="shared" si="7"/>
        <v>Critico</v>
      </c>
    </row>
    <row r="227" spans="1:23" ht="15" hidden="1">
      <c r="A227" s="60">
        <f>Inicial!A227</f>
        <v>225</v>
      </c>
      <c r="P227" s="6" t="str">
        <f t="shared" si="6"/>
        <v>Aceptable</v>
      </c>
      <c r="Q227" s="6"/>
      <c r="R227" s="6"/>
      <c r="S227" s="6"/>
      <c r="T227" s="6"/>
      <c r="U227" s="6"/>
      <c r="V227" s="6"/>
      <c r="W227" s="6" t="str">
        <f t="shared" si="7"/>
        <v>Critico</v>
      </c>
    </row>
    <row r="228" spans="1:23" ht="15" hidden="1">
      <c r="A228" s="60">
        <f>Inicial!A228</f>
        <v>226</v>
      </c>
      <c r="P228" s="6" t="str">
        <f t="shared" si="6"/>
        <v>Aceptable</v>
      </c>
      <c r="Q228" s="6"/>
      <c r="R228" s="6"/>
      <c r="S228" s="6"/>
      <c r="T228" s="6"/>
      <c r="U228" s="6"/>
      <c r="V228" s="6"/>
      <c r="W228" s="6" t="str">
        <f t="shared" si="7"/>
        <v>Critico</v>
      </c>
    </row>
    <row r="229" spans="1:23" ht="15" hidden="1">
      <c r="A229" s="60">
        <f>Inicial!A229</f>
        <v>227</v>
      </c>
      <c r="P229" s="6" t="str">
        <f t="shared" si="6"/>
        <v>Aceptable</v>
      </c>
      <c r="Q229" s="6"/>
      <c r="R229" s="6"/>
      <c r="S229" s="6"/>
      <c r="T229" s="6"/>
      <c r="U229" s="6"/>
      <c r="V229" s="6"/>
      <c r="W229" s="6" t="str">
        <f t="shared" si="7"/>
        <v>Critico</v>
      </c>
    </row>
    <row r="230" spans="1:23" ht="15" hidden="1">
      <c r="A230" s="60">
        <f>Inicial!A230</f>
        <v>228</v>
      </c>
      <c r="P230" s="6" t="str">
        <f t="shared" si="6"/>
        <v>Aceptable</v>
      </c>
      <c r="Q230" s="6"/>
      <c r="R230" s="6"/>
      <c r="S230" s="6"/>
      <c r="T230" s="6"/>
      <c r="U230" s="6"/>
      <c r="V230" s="6"/>
      <c r="W230" s="6" t="str">
        <f t="shared" si="7"/>
        <v>Critico</v>
      </c>
    </row>
    <row r="231" spans="1:23" ht="15" hidden="1">
      <c r="A231" s="60">
        <f>Inicial!A231</f>
        <v>229</v>
      </c>
      <c r="P231" s="6" t="str">
        <f t="shared" si="6"/>
        <v>Aceptable</v>
      </c>
      <c r="Q231" s="6"/>
      <c r="R231" s="6"/>
      <c r="S231" s="6"/>
      <c r="T231" s="6"/>
      <c r="U231" s="6"/>
      <c r="V231" s="6"/>
      <c r="W231" s="6" t="str">
        <f t="shared" si="7"/>
        <v>Critico</v>
      </c>
    </row>
    <row r="232" spans="1:23" ht="15" hidden="1">
      <c r="A232" s="60">
        <f>Inicial!A232</f>
        <v>230</v>
      </c>
      <c r="P232" s="6" t="str">
        <f t="shared" si="6"/>
        <v>Aceptable</v>
      </c>
      <c r="Q232" s="6"/>
      <c r="R232" s="6"/>
      <c r="S232" s="6"/>
      <c r="T232" s="6"/>
      <c r="U232" s="6"/>
      <c r="V232" s="6"/>
      <c r="W232" s="6" t="str">
        <f t="shared" si="7"/>
        <v>Critico</v>
      </c>
    </row>
    <row r="233" spans="1:23" ht="15" hidden="1">
      <c r="A233" s="60">
        <f>Inicial!A233</f>
        <v>231</v>
      </c>
      <c r="P233" s="6" t="str">
        <f t="shared" si="6"/>
        <v>Aceptable</v>
      </c>
      <c r="Q233" s="6"/>
      <c r="R233" s="6"/>
      <c r="S233" s="6"/>
      <c r="T233" s="6"/>
      <c r="U233" s="6"/>
      <c r="V233" s="6"/>
      <c r="W233" s="6" t="str">
        <f t="shared" si="7"/>
        <v>Critico</v>
      </c>
    </row>
    <row r="234" spans="1:23" ht="15" hidden="1">
      <c r="A234" s="60">
        <f>Inicial!A234</f>
        <v>232</v>
      </c>
      <c r="P234" s="6" t="str">
        <f t="shared" si="6"/>
        <v>Aceptable</v>
      </c>
      <c r="Q234" s="6"/>
      <c r="R234" s="6"/>
      <c r="S234" s="6"/>
      <c r="T234" s="6"/>
      <c r="U234" s="6"/>
      <c r="V234" s="6"/>
      <c r="W234" s="6" t="str">
        <f t="shared" si="7"/>
        <v>Critico</v>
      </c>
    </row>
    <row r="235" spans="1:23" ht="15" hidden="1">
      <c r="A235" s="60">
        <f>Inicial!A235</f>
        <v>233</v>
      </c>
      <c r="P235" s="6" t="str">
        <f t="shared" si="6"/>
        <v>Aceptable</v>
      </c>
      <c r="Q235" s="6"/>
      <c r="R235" s="6"/>
      <c r="S235" s="6"/>
      <c r="T235" s="6"/>
      <c r="U235" s="6"/>
      <c r="V235" s="6"/>
      <c r="W235" s="6" t="str">
        <f t="shared" si="7"/>
        <v>Critico</v>
      </c>
    </row>
    <row r="236" spans="1:23" ht="15" hidden="1">
      <c r="A236" s="60">
        <f>Inicial!A236</f>
        <v>234</v>
      </c>
      <c r="P236" s="6" t="str">
        <f t="shared" si="6"/>
        <v>Aceptable</v>
      </c>
      <c r="Q236" s="6"/>
      <c r="R236" s="6"/>
      <c r="S236" s="6"/>
      <c r="T236" s="6"/>
      <c r="U236" s="6"/>
      <c r="V236" s="6"/>
      <c r="W236" s="6" t="str">
        <f t="shared" si="7"/>
        <v>Critico</v>
      </c>
    </row>
    <row r="237" spans="1:23" ht="15" hidden="1">
      <c r="A237" s="60">
        <f>Inicial!A237</f>
        <v>235</v>
      </c>
      <c r="P237" s="6" t="str">
        <f t="shared" si="6"/>
        <v>Aceptable</v>
      </c>
      <c r="Q237" s="6"/>
      <c r="R237" s="6"/>
      <c r="S237" s="6"/>
      <c r="T237" s="6"/>
      <c r="U237" s="6"/>
      <c r="V237" s="6"/>
      <c r="W237" s="6" t="str">
        <f t="shared" si="7"/>
        <v>Critico</v>
      </c>
    </row>
    <row r="238" spans="1:23" ht="15" hidden="1">
      <c r="A238" s="60">
        <f>Inicial!A238</f>
        <v>236</v>
      </c>
      <c r="P238" s="6" t="str">
        <f t="shared" si="6"/>
        <v>Aceptable</v>
      </c>
      <c r="Q238" s="6"/>
      <c r="R238" s="6"/>
      <c r="S238" s="6"/>
      <c r="T238" s="6"/>
      <c r="U238" s="6"/>
      <c r="V238" s="6"/>
      <c r="W238" s="6" t="str">
        <f t="shared" si="7"/>
        <v>Critico</v>
      </c>
    </row>
    <row r="239" spans="1:23" ht="15" hidden="1">
      <c r="A239" s="60">
        <f>Inicial!A239</f>
        <v>237</v>
      </c>
      <c r="P239" s="6" t="str">
        <f t="shared" si="6"/>
        <v>Aceptable</v>
      </c>
      <c r="Q239" s="6"/>
      <c r="R239" s="6"/>
      <c r="S239" s="6"/>
      <c r="T239" s="6"/>
      <c r="U239" s="6"/>
      <c r="V239" s="6"/>
      <c r="W239" s="6" t="str">
        <f t="shared" si="7"/>
        <v>Critico</v>
      </c>
    </row>
    <row r="240" spans="1:23" ht="15" hidden="1">
      <c r="A240" s="60">
        <f>Inicial!A240</f>
        <v>238</v>
      </c>
      <c r="P240" s="6" t="str">
        <f t="shared" si="6"/>
        <v>Aceptable</v>
      </c>
      <c r="Q240" s="6"/>
      <c r="R240" s="6"/>
      <c r="S240" s="6"/>
      <c r="T240" s="6"/>
      <c r="U240" s="6"/>
      <c r="V240" s="6"/>
      <c r="W240" s="6" t="str">
        <f t="shared" si="7"/>
        <v>Critico</v>
      </c>
    </row>
    <row r="241" spans="1:23" ht="15" hidden="1">
      <c r="A241" s="60">
        <f>Inicial!A241</f>
        <v>239</v>
      </c>
      <c r="P241" s="6" t="str">
        <f t="shared" si="6"/>
        <v>Aceptable</v>
      </c>
      <c r="Q241" s="6"/>
      <c r="R241" s="6"/>
      <c r="S241" s="6"/>
      <c r="T241" s="6"/>
      <c r="U241" s="6"/>
      <c r="V241" s="6"/>
      <c r="W241" s="6" t="str">
        <f t="shared" si="7"/>
        <v>Critico</v>
      </c>
    </row>
    <row r="242" spans="1:23" ht="15" hidden="1">
      <c r="A242" s="60">
        <f>Inicial!A242</f>
        <v>240</v>
      </c>
      <c r="P242" s="6" t="str">
        <f t="shared" si="6"/>
        <v>Aceptable</v>
      </c>
      <c r="Q242" s="6"/>
      <c r="R242" s="6"/>
      <c r="S242" s="6"/>
      <c r="T242" s="6"/>
      <c r="U242" s="6"/>
      <c r="V242" s="6"/>
      <c r="W242" s="6" t="str">
        <f t="shared" si="7"/>
        <v>Critico</v>
      </c>
    </row>
    <row r="243" spans="1:23" ht="15" hidden="1">
      <c r="A243" s="60">
        <f>Inicial!A243</f>
        <v>241</v>
      </c>
      <c r="P243" s="6" t="str">
        <f t="shared" si="6"/>
        <v>Aceptable</v>
      </c>
      <c r="Q243" s="6"/>
      <c r="R243" s="6"/>
      <c r="S243" s="6"/>
      <c r="T243" s="6"/>
      <c r="U243" s="6"/>
      <c r="V243" s="6"/>
      <c r="W243" s="6" t="str">
        <f t="shared" si="7"/>
        <v>Critico</v>
      </c>
    </row>
    <row r="244" spans="1:23" ht="15" hidden="1">
      <c r="A244" s="60">
        <f>Inicial!A244</f>
        <v>242</v>
      </c>
      <c r="P244" s="6" t="str">
        <f t="shared" si="6"/>
        <v>Aceptable</v>
      </c>
      <c r="Q244" s="6"/>
      <c r="R244" s="6"/>
      <c r="S244" s="6"/>
      <c r="T244" s="6"/>
      <c r="U244" s="6"/>
      <c r="V244" s="6"/>
      <c r="W244" s="6" t="str">
        <f t="shared" si="7"/>
        <v>Critico</v>
      </c>
    </row>
    <row r="245" spans="1:23" ht="15" hidden="1">
      <c r="A245" s="60">
        <f>Inicial!A245</f>
        <v>243</v>
      </c>
      <c r="P245" s="6" t="str">
        <f t="shared" si="6"/>
        <v>Aceptable</v>
      </c>
      <c r="Q245" s="6"/>
      <c r="R245" s="6"/>
      <c r="S245" s="6"/>
      <c r="T245" s="6"/>
      <c r="U245" s="6"/>
      <c r="V245" s="6"/>
      <c r="W245" s="6" t="str">
        <f t="shared" si="7"/>
        <v>Critico</v>
      </c>
    </row>
    <row r="246" spans="1:23" ht="15" hidden="1">
      <c r="A246" s="60">
        <f>Inicial!A246</f>
        <v>244</v>
      </c>
      <c r="P246" s="6" t="str">
        <f t="shared" si="6"/>
        <v>Aceptable</v>
      </c>
      <c r="Q246" s="6"/>
      <c r="R246" s="6"/>
      <c r="S246" s="6"/>
      <c r="T246" s="6"/>
      <c r="U246" s="6"/>
      <c r="V246" s="6"/>
      <c r="W246" s="6" t="str">
        <f t="shared" si="7"/>
        <v>Critico</v>
      </c>
    </row>
    <row r="247" spans="1:23" ht="15" hidden="1">
      <c r="A247" s="60">
        <f>Inicial!A247</f>
        <v>245</v>
      </c>
      <c r="P247" s="6" t="str">
        <f t="shared" si="6"/>
        <v>Aceptable</v>
      </c>
      <c r="Q247" s="6"/>
      <c r="R247" s="6"/>
      <c r="S247" s="6"/>
      <c r="T247" s="6"/>
      <c r="U247" s="6"/>
      <c r="V247" s="6"/>
      <c r="W247" s="6" t="str">
        <f t="shared" si="7"/>
        <v>Critico</v>
      </c>
    </row>
    <row r="248" spans="1:23" ht="15" hidden="1">
      <c r="A248" s="60">
        <f>Inicial!A248</f>
        <v>246</v>
      </c>
      <c r="P248" s="6" t="str">
        <f t="shared" si="6"/>
        <v>Aceptable</v>
      </c>
      <c r="Q248" s="6"/>
      <c r="R248" s="6"/>
      <c r="S248" s="6"/>
      <c r="T248" s="6"/>
      <c r="U248" s="6"/>
      <c r="V248" s="6"/>
      <c r="W248" s="6" t="str">
        <f t="shared" si="7"/>
        <v>Critico</v>
      </c>
    </row>
    <row r="249" spans="1:23" ht="15" hidden="1">
      <c r="A249" s="60">
        <f>Inicial!A249</f>
        <v>247</v>
      </c>
      <c r="P249" s="6" t="str">
        <f t="shared" si="6"/>
        <v>Aceptable</v>
      </c>
      <c r="Q249" s="6"/>
      <c r="R249" s="6"/>
      <c r="S249" s="6"/>
      <c r="T249" s="6"/>
      <c r="U249" s="6"/>
      <c r="V249" s="6"/>
      <c r="W249" s="6" t="str">
        <f t="shared" si="7"/>
        <v>Critico</v>
      </c>
    </row>
    <row r="250" spans="1:23" ht="15" hidden="1">
      <c r="A250" s="60">
        <f>Inicial!A250</f>
        <v>248</v>
      </c>
      <c r="P250" s="6" t="str">
        <f t="shared" si="6"/>
        <v>Aceptable</v>
      </c>
      <c r="Q250" s="6"/>
      <c r="R250" s="6"/>
      <c r="S250" s="6"/>
      <c r="T250" s="6"/>
      <c r="U250" s="6"/>
      <c r="V250" s="6"/>
      <c r="W250" s="6" t="str">
        <f t="shared" si="7"/>
        <v>Critico</v>
      </c>
    </row>
    <row r="251" spans="1:23" ht="15" hidden="1">
      <c r="A251" s="60">
        <f>Inicial!A251</f>
        <v>249</v>
      </c>
      <c r="P251" s="6" t="str">
        <f t="shared" si="6"/>
        <v>Aceptable</v>
      </c>
      <c r="Q251" s="6"/>
      <c r="R251" s="6"/>
      <c r="S251" s="6"/>
      <c r="T251" s="6"/>
      <c r="U251" s="6"/>
      <c r="V251" s="6"/>
      <c r="W251" s="6" t="str">
        <f t="shared" si="7"/>
        <v>Critico</v>
      </c>
    </row>
    <row r="252" spans="1:23">
      <c r="Q252" s="6"/>
      <c r="R252" s="6"/>
      <c r="S252" s="6"/>
      <c r="T252" s="6"/>
      <c r="U252" s="6"/>
      <c r="V252" s="6"/>
    </row>
    <row r="253" spans="1:23">
      <c r="Q253" s="6"/>
      <c r="R253" s="6"/>
      <c r="S253" s="6"/>
      <c r="T253" s="6"/>
      <c r="U253" s="6"/>
      <c r="V253" s="6"/>
    </row>
    <row r="254" spans="1:23">
      <c r="Q254" s="6"/>
      <c r="R254" s="6"/>
      <c r="S254" s="6"/>
      <c r="T254" s="6"/>
      <c r="U254" s="6"/>
      <c r="V254" s="6"/>
    </row>
    <row r="255" spans="1:23">
      <c r="Q255" s="6"/>
      <c r="R255" s="6"/>
      <c r="S255" s="6"/>
      <c r="T255" s="6"/>
      <c r="U255" s="6"/>
      <c r="V255" s="6"/>
    </row>
    <row r="256" spans="1:23">
      <c r="Q256" s="6"/>
      <c r="R256" s="6"/>
      <c r="S256" s="6"/>
      <c r="T256" s="6"/>
      <c r="U256" s="6"/>
      <c r="V256" s="6"/>
    </row>
    <row r="257" spans="17:22">
      <c r="Q257" s="6"/>
      <c r="R257" s="6"/>
      <c r="S257" s="6"/>
      <c r="T257" s="6"/>
      <c r="U257" s="6"/>
      <c r="V257" s="6"/>
    </row>
    <row r="258" spans="17:22">
      <c r="Q258" s="6"/>
      <c r="R258" s="6"/>
      <c r="S258" s="6"/>
      <c r="T258" s="6"/>
      <c r="U258" s="6"/>
      <c r="V258" s="6"/>
    </row>
    <row r="259" spans="17:22">
      <c r="Q259" s="6"/>
      <c r="R259" s="6"/>
      <c r="S259" s="6"/>
      <c r="T259" s="6"/>
      <c r="U259" s="6"/>
      <c r="V259" s="6"/>
    </row>
    <row r="260" spans="17:22">
      <c r="Q260" s="6"/>
      <c r="R260" s="6"/>
      <c r="S260" s="6"/>
      <c r="T260" s="6"/>
      <c r="U260" s="6"/>
      <c r="V260" s="6"/>
    </row>
    <row r="261" spans="17:22">
      <c r="Q261" s="6"/>
      <c r="R261" s="6"/>
      <c r="S261" s="6"/>
      <c r="T261" s="6"/>
      <c r="U261" s="6"/>
      <c r="V261" s="6"/>
    </row>
    <row r="262" spans="17:22">
      <c r="Q262" s="6"/>
      <c r="R262" s="6"/>
      <c r="S262" s="6"/>
      <c r="T262" s="6"/>
      <c r="U262" s="6"/>
      <c r="V262" s="6"/>
    </row>
    <row r="263" spans="17:22">
      <c r="Q263" s="6"/>
      <c r="R263" s="6"/>
      <c r="S263" s="6"/>
      <c r="T263" s="6"/>
      <c r="U263" s="6"/>
      <c r="V263" s="6"/>
    </row>
    <row r="264" spans="17:22">
      <c r="Q264" s="6"/>
      <c r="R264" s="6"/>
      <c r="S264" s="6"/>
      <c r="T264" s="6"/>
      <c r="U264" s="6"/>
      <c r="V264" s="6"/>
    </row>
    <row r="265" spans="17:22">
      <c r="Q265" s="6"/>
      <c r="R265" s="6"/>
      <c r="S265" s="6"/>
      <c r="T265" s="6"/>
      <c r="U265" s="6"/>
      <c r="V265" s="6"/>
    </row>
    <row r="266" spans="17:22">
      <c r="Q266" s="6"/>
      <c r="R266" s="6"/>
      <c r="S266" s="6"/>
      <c r="T266" s="6"/>
      <c r="U266" s="6"/>
      <c r="V266" s="6"/>
    </row>
    <row r="267" spans="17:22">
      <c r="Q267" s="6"/>
      <c r="R267" s="6"/>
      <c r="S267" s="6"/>
      <c r="T267" s="6"/>
      <c r="U267" s="6"/>
      <c r="V267" s="6"/>
    </row>
    <row r="268" spans="17:22">
      <c r="Q268" s="6"/>
      <c r="R268" s="6"/>
      <c r="S268" s="6"/>
      <c r="T268" s="6"/>
      <c r="U268" s="6"/>
      <c r="V268" s="6"/>
    </row>
    <row r="269" spans="17:22">
      <c r="Q269" s="6"/>
      <c r="R269" s="6"/>
      <c r="S269" s="6"/>
      <c r="T269" s="6"/>
      <c r="U269" s="6"/>
      <c r="V269" s="6"/>
    </row>
    <row r="270" spans="17:22">
      <c r="Q270" s="6"/>
      <c r="R270" s="6"/>
      <c r="S270" s="6"/>
      <c r="T270" s="6"/>
      <c r="U270" s="6"/>
      <c r="V270" s="6"/>
    </row>
    <row r="271" spans="17:22">
      <c r="Q271" s="6"/>
      <c r="R271" s="6"/>
      <c r="S271" s="6"/>
      <c r="T271" s="6"/>
      <c r="U271" s="6"/>
      <c r="V271" s="6"/>
    </row>
    <row r="272" spans="17:22">
      <c r="Q272" s="6"/>
      <c r="R272" s="6"/>
      <c r="S272" s="6"/>
      <c r="T272" s="6"/>
      <c r="U272" s="6"/>
      <c r="V272" s="6"/>
    </row>
    <row r="273" spans="17:22">
      <c r="Q273" s="6"/>
      <c r="R273" s="6"/>
      <c r="S273" s="6"/>
      <c r="T273" s="6"/>
      <c r="U273" s="6"/>
      <c r="V273" s="6"/>
    </row>
    <row r="274" spans="17:22">
      <c r="Q274" s="6"/>
      <c r="R274" s="6"/>
      <c r="S274" s="6"/>
      <c r="T274" s="6"/>
      <c r="U274" s="6"/>
      <c r="V274" s="6"/>
    </row>
    <row r="275" spans="17:22">
      <c r="Q275" s="6"/>
      <c r="R275" s="6"/>
      <c r="S275" s="6"/>
      <c r="T275" s="6"/>
      <c r="U275" s="6"/>
      <c r="V275" s="6"/>
    </row>
    <row r="276" spans="17:22">
      <c r="Q276" s="6"/>
      <c r="R276" s="6"/>
      <c r="S276" s="6"/>
      <c r="T276" s="6"/>
      <c r="U276" s="6"/>
      <c r="V276" s="6"/>
    </row>
    <row r="277" spans="17:22">
      <c r="Q277" s="6"/>
      <c r="R277" s="6"/>
      <c r="S277" s="6"/>
      <c r="T277" s="6"/>
      <c r="U277" s="6"/>
      <c r="V277" s="6"/>
    </row>
    <row r="278" spans="17:22">
      <c r="Q278" s="6"/>
      <c r="R278" s="6"/>
      <c r="S278" s="6"/>
      <c r="T278" s="6"/>
      <c r="U278" s="6"/>
      <c r="V278" s="6"/>
    </row>
    <row r="279" spans="17:22">
      <c r="Q279" s="6"/>
      <c r="R279" s="6"/>
      <c r="S279" s="6"/>
      <c r="T279" s="6"/>
      <c r="U279" s="6"/>
      <c r="V279" s="6"/>
    </row>
    <row r="280" spans="17:22">
      <c r="Q280" s="6"/>
      <c r="R280" s="6"/>
      <c r="S280" s="6"/>
      <c r="T280" s="6"/>
      <c r="U280" s="6"/>
      <c r="V280" s="6"/>
    </row>
    <row r="281" spans="17:22">
      <c r="Q281" s="6"/>
      <c r="R281" s="6"/>
      <c r="S281" s="6"/>
      <c r="T281" s="6"/>
      <c r="U281" s="6"/>
      <c r="V281" s="6"/>
    </row>
    <row r="282" spans="17:22">
      <c r="Q282" s="6"/>
      <c r="R282" s="6"/>
      <c r="S282" s="6"/>
      <c r="T282" s="6"/>
      <c r="U282" s="6"/>
      <c r="V282" s="6"/>
    </row>
    <row r="283" spans="17:22">
      <c r="Q283" s="6"/>
      <c r="R283" s="6"/>
      <c r="S283" s="6"/>
      <c r="T283" s="6"/>
      <c r="U283" s="6"/>
      <c r="V283" s="6"/>
    </row>
    <row r="284" spans="17:22">
      <c r="Q284" s="6"/>
      <c r="R284" s="6"/>
      <c r="S284" s="6"/>
      <c r="T284" s="6"/>
      <c r="U284" s="6"/>
      <c r="V284" s="6"/>
    </row>
    <row r="285" spans="17:22">
      <c r="Q285" s="6"/>
      <c r="R285" s="6"/>
      <c r="S285" s="6"/>
      <c r="T285" s="6"/>
      <c r="U285" s="6"/>
      <c r="V285" s="6"/>
    </row>
    <row r="286" spans="17:22">
      <c r="Q286" s="6"/>
      <c r="R286" s="6"/>
      <c r="S286" s="6"/>
      <c r="T286" s="6"/>
      <c r="U286" s="6"/>
      <c r="V286" s="6"/>
    </row>
    <row r="287" spans="17:22">
      <c r="Q287" s="6"/>
      <c r="R287" s="6"/>
      <c r="S287" s="6"/>
      <c r="T287" s="6"/>
      <c r="U287" s="6"/>
      <c r="V287" s="6"/>
    </row>
    <row r="288" spans="17:22">
      <c r="Q288" s="6"/>
      <c r="R288" s="6"/>
      <c r="S288" s="6"/>
      <c r="T288" s="6"/>
      <c r="U288" s="6"/>
      <c r="V288" s="6"/>
    </row>
    <row r="289" spans="17:22">
      <c r="Q289" s="6"/>
      <c r="R289" s="6"/>
      <c r="S289" s="6"/>
      <c r="T289" s="6"/>
      <c r="U289" s="6"/>
      <c r="V289" s="6"/>
    </row>
    <row r="290" spans="17:22">
      <c r="Q290" s="6"/>
      <c r="R290" s="6"/>
      <c r="S290" s="6"/>
      <c r="T290" s="6"/>
      <c r="U290" s="6"/>
      <c r="V290" s="6"/>
    </row>
    <row r="291" spans="17:22">
      <c r="Q291" s="6"/>
      <c r="R291" s="6"/>
      <c r="S291" s="6"/>
      <c r="T291" s="6"/>
      <c r="U291" s="6"/>
      <c r="V291" s="6"/>
    </row>
    <row r="292" spans="17:22">
      <c r="Q292" s="6"/>
      <c r="R292" s="6"/>
      <c r="S292" s="6"/>
      <c r="T292" s="6"/>
      <c r="U292" s="6"/>
      <c r="V292" s="6"/>
    </row>
    <row r="293" spans="17:22">
      <c r="Q293" s="6"/>
      <c r="R293" s="6"/>
      <c r="S293" s="6"/>
      <c r="T293" s="6"/>
      <c r="U293" s="6"/>
      <c r="V293" s="6"/>
    </row>
    <row r="294" spans="17:22">
      <c r="Q294" s="6"/>
      <c r="R294" s="6"/>
      <c r="S294" s="6"/>
      <c r="T294" s="6"/>
      <c r="U294" s="6"/>
      <c r="V294" s="6"/>
    </row>
    <row r="295" spans="17:22">
      <c r="Q295" s="6"/>
      <c r="R295" s="6"/>
      <c r="S295" s="6"/>
      <c r="T295" s="6"/>
      <c r="U295" s="6"/>
      <c r="V295" s="6"/>
    </row>
    <row r="296" spans="17:22">
      <c r="Q296" s="6"/>
      <c r="R296" s="6"/>
      <c r="S296" s="6"/>
      <c r="T296" s="6"/>
      <c r="U296" s="6"/>
      <c r="V296" s="6"/>
    </row>
    <row r="297" spans="17:22">
      <c r="Q297" s="6"/>
      <c r="R297" s="6"/>
      <c r="S297" s="6"/>
      <c r="T297" s="6"/>
      <c r="U297" s="6"/>
      <c r="V297" s="6"/>
    </row>
    <row r="298" spans="17:22">
      <c r="Q298" s="6"/>
      <c r="R298" s="6"/>
      <c r="S298" s="6"/>
      <c r="T298" s="6"/>
      <c r="U298" s="6"/>
      <c r="V298" s="6"/>
    </row>
    <row r="299" spans="17:22">
      <c r="Q299" s="6"/>
      <c r="R299" s="6"/>
      <c r="S299" s="6"/>
      <c r="T299" s="6"/>
      <c r="U299" s="6"/>
      <c r="V299" s="6"/>
    </row>
    <row r="300" spans="17:22">
      <c r="Q300" s="6"/>
      <c r="R300" s="6"/>
      <c r="S300" s="6"/>
      <c r="T300" s="6"/>
      <c r="U300" s="6"/>
      <c r="V300" s="6"/>
    </row>
    <row r="301" spans="17:22">
      <c r="Q301" s="6"/>
      <c r="R301" s="6"/>
      <c r="S301" s="6"/>
      <c r="T301" s="6"/>
      <c r="U301" s="6"/>
      <c r="V301" s="6"/>
    </row>
    <row r="302" spans="17:22">
      <c r="Q302" s="6"/>
      <c r="R302" s="6"/>
      <c r="S302" s="6"/>
      <c r="T302" s="6"/>
      <c r="U302" s="6"/>
      <c r="V302" s="6"/>
    </row>
  </sheetData>
  <autoFilter ref="A2:AC251">
    <filterColumn colId="4">
      <filters>
        <filter val="Am: 07:00 a 16:00 - PM: 17:15 a 02:45"/>
        <filter val="Am: 07:30 a 16:15 - PM: 17:30 a 03:00"/>
      </filters>
    </filterColumn>
  </autoFilter>
  <mergeCells count="6">
    <mergeCell ref="A1:E1"/>
    <mergeCell ref="J1:P1"/>
    <mergeCell ref="Q1:W1"/>
    <mergeCell ref="X1:AB1"/>
    <mergeCell ref="H1:I1"/>
    <mergeCell ref="F1:G1"/>
  </mergeCells>
  <conditionalFormatting sqref="J3:O1048576">
    <cfRule type="cellIs" dxfId="64" priority="8" operator="equal">
      <formula>"NO"</formula>
    </cfRule>
    <cfRule type="cellIs" dxfId="63" priority="9" operator="equal">
      <formula>"SI"</formula>
    </cfRule>
  </conditionalFormatting>
  <conditionalFormatting sqref="P3:P1048576">
    <cfRule type="cellIs" dxfId="62" priority="10" operator="equal">
      <formula>"No Aceptable"</formula>
    </cfRule>
    <cfRule type="cellIs" dxfId="61" priority="11" operator="equal">
      <formula>"Aceptable"</formula>
    </cfRule>
  </conditionalFormatting>
  <conditionalFormatting sqref="Q3:V248">
    <cfRule type="cellIs" dxfId="60" priority="1" operator="equal">
      <formula>"N/A"</formula>
    </cfRule>
  </conditionalFormatting>
  <conditionalFormatting sqref="Q3:V302">
    <cfRule type="cellIs" dxfId="59" priority="4" operator="equal">
      <formula>"SI"</formula>
    </cfRule>
    <cfRule type="cellIs" dxfId="58" priority="5" operator="equal">
      <formula>"NO"</formula>
    </cfRule>
  </conditionalFormatting>
  <conditionalFormatting sqref="W3:W251">
    <cfRule type="cellIs" dxfId="57" priority="2" operator="equal">
      <formula>"No Critico"</formula>
    </cfRule>
    <cfRule type="cellIs" dxfId="56" priority="3" operator="equal">
      <formula>"Critico"</formula>
    </cfRule>
  </conditionalFormatting>
  <dataValidations count="1">
    <dataValidation type="list" allowBlank="1" showInputMessage="1" showErrorMessage="1" sqref="K99:O107 J3:J107 K82:O82 K3:O42 K44:O51 K53:O61 K63:O80 K84:O86 K88:O93 K95:O97 Q3:V302">
      <formula1>"SI,NO,N/A"</formula1>
    </dataValidation>
  </dataValidation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95"/>
  <sheetViews>
    <sheetView workbookViewId="0">
      <pane xSplit="4" ySplit="2" topLeftCell="AI31" activePane="bottomRight" state="frozen"/>
      <selection pane="topRight" activeCell="E1" sqref="E1"/>
      <selection pane="bottomLeft" activeCell="A3" sqref="A3"/>
      <selection pane="bottomRight" activeCell="AP2" sqref="AP2"/>
    </sheetView>
  </sheetViews>
  <sheetFormatPr baseColWidth="10" defaultRowHeight="14.25"/>
  <cols>
    <col min="1" max="1" width="3.125" style="59" customWidth="1"/>
    <col min="2" max="3" width="11.5" style="3" customWidth="1"/>
    <col min="4" max="4" width="14.375" style="58" customWidth="1"/>
    <col min="5" max="5" width="13.5" style="3" customWidth="1"/>
    <col min="6" max="6" width="11.5" style="3"/>
    <col min="7" max="8" width="11.5" style="7"/>
    <col min="9" max="9" width="11.5" style="7" customWidth="1"/>
    <col min="10" max="10" width="11.5" style="93"/>
    <col min="11" max="11" width="20.5" style="45" customWidth="1"/>
    <col min="12" max="12" width="12.5" style="45" customWidth="1"/>
    <col min="13" max="14" width="11.5" style="45"/>
    <col min="15" max="15" width="18.625" style="45" customWidth="1"/>
    <col min="16" max="16" width="11.5" style="98"/>
    <col min="17" max="17" width="11.5" style="104"/>
    <col min="18" max="22" width="11.5" style="45"/>
    <col min="23" max="23" width="11.5" style="95"/>
    <col min="24" max="24" width="11.5" style="104"/>
    <col min="25" max="28" width="11.5" style="45"/>
    <col min="29" max="29" width="11.5" style="95"/>
    <col min="30" max="30" width="11.5" style="102"/>
    <col min="31" max="37" width="11.5" style="45"/>
    <col min="38" max="38" width="14.375" style="45" customWidth="1"/>
    <col min="39" max="39" width="11.5" style="45"/>
    <col min="40" max="40" width="13.5" style="45" customWidth="1"/>
    <col min="41" max="54" width="11.5" style="45"/>
  </cols>
  <sheetData>
    <row r="1" spans="1:54" ht="22.15" customHeight="1">
      <c r="A1" s="133" t="s">
        <v>286</v>
      </c>
      <c r="B1" s="126"/>
      <c r="C1" s="126"/>
      <c r="D1" s="126"/>
      <c r="E1" s="126"/>
      <c r="F1" s="126" t="s">
        <v>60</v>
      </c>
      <c r="G1" s="126"/>
      <c r="H1" s="126" t="s">
        <v>57</v>
      </c>
      <c r="I1" s="127"/>
      <c r="J1" s="130" t="s">
        <v>96</v>
      </c>
      <c r="K1" s="131"/>
      <c r="L1" s="131"/>
      <c r="M1" s="131"/>
      <c r="N1" s="131"/>
      <c r="O1" s="131"/>
      <c r="P1" s="132"/>
      <c r="Q1" s="130" t="s">
        <v>97</v>
      </c>
      <c r="R1" s="131"/>
      <c r="S1" s="131"/>
      <c r="T1" s="131"/>
      <c r="U1" s="131"/>
      <c r="V1" s="131"/>
      <c r="W1" s="132"/>
      <c r="X1" s="128" t="s">
        <v>99</v>
      </c>
      <c r="Y1" s="128"/>
      <c r="Z1" s="128"/>
      <c r="AA1" s="128"/>
      <c r="AB1" s="128"/>
      <c r="AC1" s="128"/>
      <c r="AD1" s="128"/>
      <c r="AE1" s="128" t="s">
        <v>100</v>
      </c>
      <c r="AF1" s="128"/>
      <c r="AG1" s="128"/>
      <c r="AH1" s="128"/>
      <c r="AI1" s="128"/>
      <c r="AJ1" s="128"/>
      <c r="AK1" s="128"/>
      <c r="AL1" s="128" t="s">
        <v>102</v>
      </c>
      <c r="AM1" s="128"/>
      <c r="AN1" s="128"/>
      <c r="AO1" s="128"/>
      <c r="AP1" s="128"/>
      <c r="AQ1" s="128" t="s">
        <v>103</v>
      </c>
      <c r="AR1" s="128"/>
      <c r="AS1" s="128"/>
      <c r="AT1" s="128"/>
      <c r="AU1" s="128"/>
      <c r="AV1" s="128"/>
      <c r="AW1" s="129" t="s">
        <v>104</v>
      </c>
      <c r="AX1" s="129"/>
      <c r="AY1" s="129"/>
      <c r="AZ1" s="129"/>
      <c r="BA1" s="129"/>
      <c r="BB1" s="129"/>
    </row>
    <row r="2" spans="1:54" ht="88.15" customHeight="1">
      <c r="A2" s="56" t="s">
        <v>0</v>
      </c>
      <c r="B2" s="9" t="s">
        <v>20</v>
      </c>
      <c r="C2" s="9" t="s">
        <v>1</v>
      </c>
      <c r="D2" s="57" t="s">
        <v>2</v>
      </c>
      <c r="E2" s="9" t="s">
        <v>21</v>
      </c>
      <c r="F2" s="9" t="s">
        <v>40</v>
      </c>
      <c r="G2" s="9" t="s">
        <v>61</v>
      </c>
      <c r="H2" s="9" t="s">
        <v>58</v>
      </c>
      <c r="I2" s="9" t="s">
        <v>59</v>
      </c>
      <c r="J2" s="91" t="s">
        <v>62</v>
      </c>
      <c r="K2" s="90" t="s">
        <v>63</v>
      </c>
      <c r="L2" s="90" t="s">
        <v>64</v>
      </c>
      <c r="M2" s="90" t="s">
        <v>65</v>
      </c>
      <c r="N2" s="90" t="s">
        <v>66</v>
      </c>
      <c r="O2" s="90" t="s">
        <v>67</v>
      </c>
      <c r="P2" s="96" t="s">
        <v>68</v>
      </c>
      <c r="Q2" s="91" t="s">
        <v>69</v>
      </c>
      <c r="R2" s="99" t="s">
        <v>98</v>
      </c>
      <c r="S2" s="99" t="s">
        <v>70</v>
      </c>
      <c r="T2" s="99" t="s">
        <v>71</v>
      </c>
      <c r="U2" s="99" t="s">
        <v>72</v>
      </c>
      <c r="V2" s="99" t="s">
        <v>73</v>
      </c>
      <c r="W2" s="103" t="s">
        <v>74</v>
      </c>
      <c r="X2" s="91" t="s">
        <v>69</v>
      </c>
      <c r="Y2" s="90" t="s">
        <v>75</v>
      </c>
      <c r="Z2" s="90" t="s">
        <v>76</v>
      </c>
      <c r="AA2" s="90" t="s">
        <v>77</v>
      </c>
      <c r="AB2" s="90" t="s">
        <v>78</v>
      </c>
      <c r="AC2" s="92" t="s">
        <v>79</v>
      </c>
      <c r="AD2" s="101" t="s">
        <v>28</v>
      </c>
      <c r="AE2" s="90" t="s">
        <v>80</v>
      </c>
      <c r="AF2" s="90" t="s">
        <v>81</v>
      </c>
      <c r="AG2" s="90" t="s">
        <v>82</v>
      </c>
      <c r="AH2" s="90" t="s">
        <v>83</v>
      </c>
      <c r="AI2" s="90" t="s">
        <v>84</v>
      </c>
      <c r="AJ2" s="90" t="s">
        <v>85</v>
      </c>
      <c r="AK2" s="90" t="s">
        <v>86</v>
      </c>
      <c r="AL2" s="90" t="s">
        <v>101</v>
      </c>
      <c r="AM2" s="90" t="s">
        <v>87</v>
      </c>
      <c r="AN2" s="90" t="s">
        <v>88</v>
      </c>
      <c r="AO2" s="90" t="s">
        <v>89</v>
      </c>
      <c r="AP2" s="90" t="s">
        <v>90</v>
      </c>
      <c r="AQ2" s="90" t="s">
        <v>91</v>
      </c>
      <c r="AR2" s="90" t="s">
        <v>92</v>
      </c>
      <c r="AS2" s="90" t="s">
        <v>93</v>
      </c>
      <c r="AT2" s="90" t="s">
        <v>94</v>
      </c>
      <c r="AU2" s="90" t="s">
        <v>95</v>
      </c>
      <c r="AV2" s="90" t="s">
        <v>33</v>
      </c>
      <c r="AW2" s="90" t="s">
        <v>34</v>
      </c>
      <c r="AX2" s="90" t="s">
        <v>35</v>
      </c>
      <c r="AY2" s="90" t="s">
        <v>36</v>
      </c>
      <c r="AZ2" s="90" t="s">
        <v>37</v>
      </c>
      <c r="BA2" s="90" t="s">
        <v>38</v>
      </c>
      <c r="BB2" s="90" t="s">
        <v>39</v>
      </c>
    </row>
    <row r="3" spans="1:54" s="5" customFormat="1" ht="90.6" customHeight="1">
      <c r="A3" s="60">
        <f>Inicial!A3</f>
        <v>1</v>
      </c>
      <c r="B3" s="61" t="str">
        <f>Inicial!B3</f>
        <v>Desposte</v>
      </c>
      <c r="C3" s="61" t="str">
        <f>Inicial!C3</f>
        <v>Operario de producción línea Principal 1</v>
      </c>
      <c r="D3" s="62" t="str">
        <f>Inicial!D3</f>
        <v>Marcaje de pernil</v>
      </c>
      <c r="E3" s="60" t="str">
        <f>IF(Inicial!K3="SI",Inicial!E3,"N/A")</f>
        <v>N/A</v>
      </c>
      <c r="F3" s="61" t="str">
        <f>IF(Inicial!K3="SI",Inicial!F3,"N/A")</f>
        <v>N/A</v>
      </c>
      <c r="G3" s="61" t="str">
        <f>IF(Inicial!K3="SI",Inicial!G3,"N/A")</f>
        <v>N/A</v>
      </c>
      <c r="H3" s="61" t="str">
        <f>IF(Inicial!K3="SI",Inicial!H3,"N/A")</f>
        <v>N/A</v>
      </c>
      <c r="I3" s="72" t="str">
        <f>IF(Inicial!K3="SI",Inicial!I3,"N/A")</f>
        <v>N/A</v>
      </c>
      <c r="J3" s="93"/>
      <c r="K3" s="6"/>
      <c r="L3" s="6"/>
      <c r="M3" s="6"/>
      <c r="N3" s="6"/>
      <c r="O3" s="6"/>
      <c r="P3" s="97"/>
      <c r="Q3" s="93"/>
      <c r="R3" s="6"/>
      <c r="S3" s="6"/>
      <c r="T3" s="6"/>
      <c r="U3" s="6"/>
      <c r="V3" s="6"/>
      <c r="W3" s="94"/>
      <c r="X3" s="93"/>
      <c r="Y3" s="6"/>
      <c r="Z3" s="6"/>
      <c r="AA3" s="6"/>
      <c r="AB3" s="6"/>
      <c r="AC3" s="94"/>
      <c r="AD3" s="102" t="str">
        <f>IF(OR(J3="NO",K3="NO",L3="NO",M3="NO",N3="NO",O3="NO",P3="NO",R3="NO",S3="NO",T3="NO",U3="NO", V3="NO",W3="NO",Y3="NO",Z3="NO",AA3="NO",AB3="NO",AC3="NO"),"No aceptable","Aceptable")</f>
        <v>Aceptable</v>
      </c>
      <c r="AE3" s="6"/>
      <c r="AF3" s="6"/>
      <c r="AG3" s="6"/>
      <c r="AH3" s="6"/>
      <c r="AI3" s="6"/>
      <c r="AJ3" s="6"/>
      <c r="AK3" s="6"/>
      <c r="AL3" s="6"/>
      <c r="AM3" s="6"/>
      <c r="AN3" s="6"/>
      <c r="AO3" s="6"/>
      <c r="AP3" s="6"/>
      <c r="AQ3" s="6"/>
      <c r="AR3" s="6"/>
      <c r="AS3" s="6"/>
      <c r="AT3" s="6"/>
      <c r="AU3" s="6"/>
      <c r="AV3" s="45" t="str" cm="1">
        <f t="array" ref="AV3">IF(OR(AE3:AU3="SI"),"Critico","No critico")</f>
        <v>No critico</v>
      </c>
      <c r="AW3" s="100"/>
      <c r="AX3" s="100"/>
      <c r="AY3" s="100"/>
      <c r="AZ3" s="100"/>
      <c r="BA3" s="100"/>
      <c r="BB3" s="100"/>
    </row>
    <row r="4" spans="1:54" ht="33.6" customHeight="1">
      <c r="A4" s="60">
        <f>Inicial!A4</f>
        <v>2</v>
      </c>
      <c r="B4" s="61" t="str">
        <f>Inicial!B4</f>
        <v>Desposte</v>
      </c>
      <c r="C4" s="61" t="str">
        <f>Inicial!C4</f>
        <v>Operario de producción línea Principal 1</v>
      </c>
      <c r="D4" s="62" t="str">
        <f>Inicial!D4</f>
        <v>Apertura de falda derecha</v>
      </c>
      <c r="E4" s="60" t="str">
        <f>IF(Inicial!K4="SI",Inicial!E4,"N/A")</f>
        <v>N/A</v>
      </c>
      <c r="F4" s="61" t="str">
        <f>IF(Inicial!K4="SI",Inicial!F4,"N/A")</f>
        <v>N/A</v>
      </c>
      <c r="G4" s="61" t="str">
        <f>IF(Inicial!K4="SI",Inicial!G4,"N/A")</f>
        <v>N/A</v>
      </c>
      <c r="H4" s="61" t="str">
        <f>IF(Inicial!K4="SI",Inicial!H4,"N/A")</f>
        <v>N/A</v>
      </c>
      <c r="I4" s="72" t="str">
        <f>IF(Inicial!K4="SI",Inicial!I4,"N/A")</f>
        <v>N/A</v>
      </c>
      <c r="K4" s="6"/>
      <c r="L4" s="6"/>
      <c r="M4" s="6"/>
      <c r="N4" s="6"/>
      <c r="O4" s="6"/>
      <c r="P4" s="97"/>
      <c r="Q4" s="93"/>
      <c r="R4" s="6"/>
      <c r="S4" s="6"/>
      <c r="T4" s="6"/>
      <c r="U4" s="6"/>
      <c r="V4" s="6"/>
      <c r="W4" s="94"/>
      <c r="X4" s="93"/>
      <c r="Y4" s="6"/>
      <c r="Z4" s="6"/>
      <c r="AA4" s="6"/>
      <c r="AB4" s="6"/>
      <c r="AC4" s="94"/>
      <c r="AD4" s="102" t="str">
        <f t="shared" ref="AD4:AD67" si="0">IF(OR(J4="NO",K4="NO",L4="NO",M4="NO",N4="NO",O4="NO",P4="NO",R4="NO",S4="NO",T4="NO",U4="NO", V4="NO",W4="NO",Y4="NO",Z4="NO",AA4="NO",AB4="NO",AC4="NO"),"No aceptable","Aceptable")</f>
        <v>Aceptable</v>
      </c>
      <c r="AE4" s="6"/>
      <c r="AF4" s="6"/>
      <c r="AG4" s="6"/>
      <c r="AH4" s="6"/>
      <c r="AI4" s="6"/>
      <c r="AJ4" s="6"/>
      <c r="AK4" s="6"/>
      <c r="AL4" s="6"/>
      <c r="AM4" s="6"/>
      <c r="AN4" s="6"/>
      <c r="AO4" s="6"/>
      <c r="AP4" s="6"/>
      <c r="AQ4" s="6"/>
      <c r="AR4" s="6"/>
      <c r="AS4" s="6"/>
      <c r="AT4" s="6"/>
      <c r="AU4" s="6"/>
      <c r="AV4" s="45" t="str" cm="1">
        <f t="array" ref="AV4">IF(OR(AE4:AU4="SI"),"Critico","No critico")</f>
        <v>No critico</v>
      </c>
      <c r="AW4" s="100"/>
      <c r="AX4" s="100"/>
      <c r="AY4" s="100"/>
      <c r="AZ4" s="100"/>
      <c r="BA4" s="100"/>
      <c r="BB4" s="100"/>
    </row>
    <row r="5" spans="1:54" ht="38.25">
      <c r="A5" s="60">
        <f>Inicial!A5</f>
        <v>3</v>
      </c>
      <c r="B5" s="61" t="str">
        <f>Inicial!B5</f>
        <v>Desposte</v>
      </c>
      <c r="C5" s="61" t="str">
        <f>Inicial!C5</f>
        <v>Operario de producción línea Principal 1</v>
      </c>
      <c r="D5" s="62" t="str">
        <f>Inicial!D5</f>
        <v>Apertura de falda izquierda</v>
      </c>
      <c r="E5" s="60" t="str">
        <f>IF(Inicial!K5="SI",Inicial!E5,"N/A")</f>
        <v>N/A</v>
      </c>
      <c r="F5" s="61" t="str">
        <f>IF(Inicial!K5="SI",Inicial!F5,"N/A")</f>
        <v>N/A</v>
      </c>
      <c r="G5" s="61" t="str">
        <f>IF(Inicial!K5="SI",Inicial!G5,"N/A")</f>
        <v>N/A</v>
      </c>
      <c r="H5" s="61" t="str">
        <f>IF(Inicial!K5="SI",Inicial!H5,"N/A")</f>
        <v>N/A</v>
      </c>
      <c r="I5" s="72" t="str">
        <f>IF(Inicial!K5="SI",Inicial!I5,"N/A")</f>
        <v>N/A</v>
      </c>
      <c r="K5" s="6"/>
      <c r="L5" s="6"/>
      <c r="M5" s="6"/>
      <c r="N5" s="6"/>
      <c r="O5" s="6"/>
      <c r="P5" s="97"/>
      <c r="Q5" s="93"/>
      <c r="R5" s="6"/>
      <c r="S5" s="6"/>
      <c r="T5" s="6"/>
      <c r="U5" s="6"/>
      <c r="V5" s="6"/>
      <c r="W5" s="94"/>
      <c r="X5" s="93"/>
      <c r="Y5" s="6"/>
      <c r="Z5" s="6"/>
      <c r="AA5" s="6"/>
      <c r="AB5" s="6"/>
      <c r="AC5" s="94"/>
      <c r="AD5" s="102" t="str">
        <f t="shared" si="0"/>
        <v>Aceptable</v>
      </c>
      <c r="AE5" s="6"/>
      <c r="AF5" s="6"/>
      <c r="AG5" s="6"/>
      <c r="AH5" s="6"/>
      <c r="AI5" s="6"/>
      <c r="AJ5" s="6"/>
      <c r="AK5" s="6"/>
      <c r="AL5" s="6"/>
      <c r="AM5" s="6"/>
      <c r="AN5" s="6"/>
      <c r="AO5" s="6"/>
      <c r="AP5" s="6"/>
      <c r="AQ5" s="6"/>
      <c r="AR5" s="6"/>
      <c r="AS5" s="6"/>
      <c r="AT5" s="6"/>
      <c r="AU5" s="6"/>
      <c r="AV5" s="45" t="str" cm="1">
        <f t="array" ref="AV5">IF(OR(AE5:AU5="SI"),"Critico","No critico")</f>
        <v>No critico</v>
      </c>
    </row>
    <row r="6" spans="1:54" ht="38.25">
      <c r="A6" s="60">
        <f>Inicial!A6</f>
        <v>4</v>
      </c>
      <c r="B6" s="61" t="str">
        <f>Inicial!B6</f>
        <v>Desposte</v>
      </c>
      <c r="C6" s="61" t="str">
        <f>Inicial!C6</f>
        <v>Operario de producción línea Principal 1</v>
      </c>
      <c r="D6" s="62" t="str">
        <f>Inicial!D6</f>
        <v>Sierra cortadora de patas</v>
      </c>
      <c r="E6" s="60" t="str">
        <f>IF(Inicial!K6="SI",Inicial!E6,"N/A")</f>
        <v>N/A</v>
      </c>
      <c r="F6" s="61" t="str">
        <f>IF(Inicial!K6="SI",Inicial!F6,"N/A")</f>
        <v>N/A</v>
      </c>
      <c r="G6" s="61" t="str">
        <f>IF(Inicial!K6="SI",Inicial!G6,"N/A")</f>
        <v>N/A</v>
      </c>
      <c r="H6" s="61" t="str">
        <f>IF(Inicial!K6="SI",Inicial!H6,"N/A")</f>
        <v>N/A</v>
      </c>
      <c r="I6" s="72" t="str">
        <f>IF(Inicial!K6="SI",Inicial!I6,"N/A")</f>
        <v>N/A</v>
      </c>
      <c r="K6" s="6"/>
      <c r="L6" s="6"/>
      <c r="M6" s="6"/>
      <c r="N6" s="6"/>
      <c r="O6" s="6"/>
      <c r="P6" s="97"/>
      <c r="Q6" s="93"/>
      <c r="R6" s="6"/>
      <c r="S6" s="6"/>
      <c r="T6" s="6"/>
      <c r="U6" s="6"/>
      <c r="V6" s="6"/>
      <c r="W6" s="94"/>
      <c r="X6" s="93"/>
      <c r="Y6" s="6"/>
      <c r="Z6" s="6"/>
      <c r="AA6" s="6"/>
      <c r="AB6" s="6"/>
      <c r="AC6" s="94"/>
      <c r="AD6" s="102" t="str">
        <f t="shared" si="0"/>
        <v>Aceptable</v>
      </c>
      <c r="AE6" s="6"/>
      <c r="AF6" s="6"/>
      <c r="AG6" s="6"/>
      <c r="AH6" s="6"/>
      <c r="AI6" s="6"/>
      <c r="AJ6" s="6"/>
      <c r="AK6" s="6"/>
      <c r="AL6" s="6"/>
      <c r="AM6" s="6"/>
      <c r="AN6" s="6"/>
      <c r="AO6" s="6"/>
      <c r="AP6" s="6"/>
      <c r="AQ6" s="6"/>
      <c r="AR6" s="6"/>
      <c r="AS6" s="6"/>
      <c r="AT6" s="6"/>
      <c r="AU6" s="6"/>
      <c r="AV6" s="45" t="str" cm="1">
        <f t="array" ref="AV6">IF(OR(AE6:AU6="SI"),"Critico","No critico")</f>
        <v>No critico</v>
      </c>
    </row>
    <row r="7" spans="1:54" ht="38.25">
      <c r="A7" s="60">
        <f>Inicial!A7</f>
        <v>5</v>
      </c>
      <c r="B7" s="61" t="str">
        <f>Inicial!B7</f>
        <v>Desposte</v>
      </c>
      <c r="C7" s="61" t="str">
        <f>Inicial!C7</f>
        <v>Operario de producción línea Principal 1</v>
      </c>
      <c r="D7" s="62" t="str">
        <f>Inicial!D7</f>
        <v>Tijera cortadora de manos</v>
      </c>
      <c r="E7" s="60" t="str">
        <f>IF(Inicial!K7="SI",Inicial!E7,"N/A")</f>
        <v>N/A</v>
      </c>
      <c r="F7" s="61" t="str">
        <f>IF(Inicial!K7="SI",Inicial!F7,"N/A")</f>
        <v>N/A</v>
      </c>
      <c r="G7" s="61" t="str">
        <f>IF(Inicial!K7="SI",Inicial!G7,"N/A")</f>
        <v>N/A</v>
      </c>
      <c r="H7" s="61" t="str">
        <f>IF(Inicial!K7="SI",Inicial!H7,"N/A")</f>
        <v>N/A</v>
      </c>
      <c r="I7" s="72" t="str">
        <f>IF(Inicial!K7="SI",Inicial!I7,"N/A")</f>
        <v>N/A</v>
      </c>
      <c r="K7" s="6"/>
      <c r="L7" s="6"/>
      <c r="M7" s="6"/>
      <c r="N7" s="6"/>
      <c r="O7" s="6"/>
      <c r="P7" s="97"/>
      <c r="Q7" s="93"/>
      <c r="R7" s="6"/>
      <c r="S7" s="6"/>
      <c r="T7" s="6"/>
      <c r="U7" s="6"/>
      <c r="V7" s="6"/>
      <c r="W7" s="94"/>
      <c r="X7" s="93"/>
      <c r="Y7" s="6"/>
      <c r="Z7" s="6"/>
      <c r="AA7" s="6"/>
      <c r="AB7" s="6"/>
      <c r="AC7" s="94"/>
      <c r="AD7" s="102" t="str">
        <f t="shared" si="0"/>
        <v>Aceptable</v>
      </c>
      <c r="AE7" s="6"/>
      <c r="AF7" s="6"/>
      <c r="AG7" s="6"/>
      <c r="AH7" s="6"/>
      <c r="AI7" s="6"/>
      <c r="AJ7" s="6"/>
      <c r="AK7" s="6"/>
      <c r="AL7" s="6"/>
      <c r="AM7" s="6"/>
      <c r="AN7" s="6"/>
      <c r="AO7" s="6"/>
      <c r="AP7" s="6"/>
      <c r="AQ7" s="6"/>
      <c r="AR7" s="6"/>
      <c r="AS7" s="6"/>
      <c r="AT7" s="6"/>
      <c r="AU7" s="6"/>
      <c r="AV7" s="45" t="str" cm="1">
        <f t="array" ref="AV7">IF(OR(AE7:AU7="SI"),"Critico","No critico")</f>
        <v>No critico</v>
      </c>
    </row>
    <row r="8" spans="1:54" ht="38.25">
      <c r="A8" s="60">
        <f>Inicial!A8</f>
        <v>6</v>
      </c>
      <c r="B8" s="61" t="str">
        <f>Inicial!B8</f>
        <v>Desposte</v>
      </c>
      <c r="C8" s="61" t="str">
        <f>Inicial!C8</f>
        <v>Operario de producción línea Principal 1</v>
      </c>
      <c r="D8" s="62" t="str">
        <f>Inicial!D8</f>
        <v>Sierra EFA 86 corte de pernil</v>
      </c>
      <c r="E8" s="60" t="str">
        <f>IF(Inicial!K8="SI",Inicial!E8,"N/A")</f>
        <v>N/A</v>
      </c>
      <c r="F8" s="61" t="str">
        <f>IF(Inicial!K8="SI",Inicial!F8,"N/A")</f>
        <v>N/A</v>
      </c>
      <c r="G8" s="61" t="str">
        <f>IF(Inicial!K8="SI",Inicial!G8,"N/A")</f>
        <v>N/A</v>
      </c>
      <c r="H8" s="61" t="str">
        <f>IF(Inicial!K8="SI",Inicial!H8,"N/A")</f>
        <v>N/A</v>
      </c>
      <c r="I8" s="72" t="str">
        <f>IF(Inicial!K8="SI",Inicial!I8,"N/A")</f>
        <v>N/A</v>
      </c>
      <c r="K8" s="6"/>
      <c r="L8" s="6"/>
      <c r="M8" s="6"/>
      <c r="N8" s="6"/>
      <c r="O8" s="6"/>
      <c r="P8" s="97"/>
      <c r="Q8" s="93"/>
      <c r="R8" s="6"/>
      <c r="S8" s="6"/>
      <c r="T8" s="6"/>
      <c r="U8" s="6"/>
      <c r="V8" s="6"/>
      <c r="W8" s="94"/>
      <c r="X8" s="93"/>
      <c r="Y8" s="6"/>
      <c r="Z8" s="6"/>
      <c r="AA8" s="6"/>
      <c r="AB8" s="6"/>
      <c r="AC8" s="94"/>
      <c r="AD8" s="102" t="str">
        <f t="shared" si="0"/>
        <v>Aceptable</v>
      </c>
      <c r="AE8" s="6"/>
      <c r="AF8" s="6"/>
      <c r="AG8" s="6"/>
      <c r="AH8" s="6"/>
      <c r="AI8" s="6"/>
      <c r="AJ8" s="6"/>
      <c r="AK8" s="6"/>
      <c r="AL8" s="6"/>
      <c r="AM8" s="6"/>
      <c r="AN8" s="6"/>
      <c r="AO8" s="6"/>
      <c r="AP8" s="6"/>
      <c r="AQ8" s="6"/>
      <c r="AR8" s="6"/>
      <c r="AS8" s="6"/>
      <c r="AT8" s="6"/>
      <c r="AU8" s="6"/>
      <c r="AV8" s="45" t="str" cm="1">
        <f t="array" ref="AV8">IF(OR(AE8:AU8="SI"),"Critico","No critico")</f>
        <v>No critico</v>
      </c>
    </row>
    <row r="9" spans="1:54" ht="38.25">
      <c r="A9" s="60">
        <f>Inicial!A9</f>
        <v>7</v>
      </c>
      <c r="B9" s="61" t="str">
        <f>Inicial!B9</f>
        <v>Desposte</v>
      </c>
      <c r="C9" s="61" t="str">
        <f>Inicial!C9</f>
        <v>Operario de producción línea Principal 1</v>
      </c>
      <c r="D9" s="62" t="str">
        <f>Inicial!D9</f>
        <v>RK 11 cuarto trasero</v>
      </c>
      <c r="E9" s="60" t="str">
        <f>IF(Inicial!K9="SI",Inicial!E9,"N/A")</f>
        <v>N/A</v>
      </c>
      <c r="F9" s="61" t="str">
        <f>IF(Inicial!K9="SI",Inicial!F9,"N/A")</f>
        <v>N/A</v>
      </c>
      <c r="G9" s="61" t="str">
        <f>IF(Inicial!K9="SI",Inicial!G9,"N/A")</f>
        <v>N/A</v>
      </c>
      <c r="H9" s="61" t="str">
        <f>IF(Inicial!K9="SI",Inicial!H9,"N/A")</f>
        <v>N/A</v>
      </c>
      <c r="I9" s="72" t="str">
        <f>IF(Inicial!K9="SI",Inicial!I9,"N/A")</f>
        <v>N/A</v>
      </c>
      <c r="K9" s="6"/>
      <c r="L9" s="6"/>
      <c r="M9" s="6"/>
      <c r="N9" s="6"/>
      <c r="O9" s="6"/>
      <c r="P9" s="97"/>
      <c r="Q9" s="93"/>
      <c r="R9" s="6"/>
      <c r="S9" s="6"/>
      <c r="T9" s="6"/>
      <c r="U9" s="6"/>
      <c r="V9" s="6"/>
      <c r="W9" s="94"/>
      <c r="X9" s="93"/>
      <c r="Y9" s="6"/>
      <c r="Z9" s="6"/>
      <c r="AA9" s="6"/>
      <c r="AB9" s="6"/>
      <c r="AC9" s="94"/>
      <c r="AD9" s="102" t="str">
        <f t="shared" si="0"/>
        <v>Aceptable</v>
      </c>
      <c r="AE9" s="6"/>
      <c r="AF9" s="6"/>
      <c r="AG9" s="6"/>
      <c r="AH9" s="6"/>
      <c r="AI9" s="6"/>
      <c r="AJ9" s="6"/>
      <c r="AK9" s="6"/>
      <c r="AL9" s="6"/>
      <c r="AM9" s="6"/>
      <c r="AN9" s="6"/>
      <c r="AO9" s="6"/>
      <c r="AP9" s="6"/>
      <c r="AQ9" s="6"/>
      <c r="AR9" s="6"/>
      <c r="AS9" s="6"/>
      <c r="AT9" s="6"/>
      <c r="AU9" s="6"/>
      <c r="AV9" s="45" t="str" cm="1">
        <f t="array" ref="AV9">IF(OR(AE9:AU9="SI"),"Critico","No critico")</f>
        <v>No critico</v>
      </c>
    </row>
    <row r="10" spans="1:54" ht="38.25">
      <c r="A10" s="60">
        <f>Inicial!A10</f>
        <v>8</v>
      </c>
      <c r="B10" s="61" t="str">
        <f>Inicial!B10</f>
        <v>Desposte</v>
      </c>
      <c r="C10" s="61" t="str">
        <f>Inicial!C10</f>
        <v>Operario de producción línea Principal 1</v>
      </c>
      <c r="D10" s="62" t="str">
        <f>Inicial!D10</f>
        <v>RK 11 cuarto delantero</v>
      </c>
      <c r="E10" s="60" t="str">
        <f>IF(Inicial!K10="SI",Inicial!E10,"N/A")</f>
        <v>N/A</v>
      </c>
      <c r="F10" s="61" t="str">
        <f>IF(Inicial!K10="SI",Inicial!F10,"N/A")</f>
        <v>N/A</v>
      </c>
      <c r="G10" s="61" t="str">
        <f>IF(Inicial!K10="SI",Inicial!G10,"N/A")</f>
        <v>N/A</v>
      </c>
      <c r="H10" s="61" t="str">
        <f>IF(Inicial!K10="SI",Inicial!H10,"N/A")</f>
        <v>N/A</v>
      </c>
      <c r="I10" s="72" t="str">
        <f>IF(Inicial!K10="SI",Inicial!I10,"N/A")</f>
        <v>N/A</v>
      </c>
      <c r="K10" s="6"/>
      <c r="L10" s="6"/>
      <c r="M10" s="6"/>
      <c r="N10" s="6"/>
      <c r="O10" s="6"/>
      <c r="P10" s="97"/>
      <c r="Q10" s="93"/>
      <c r="R10" s="6"/>
      <c r="S10" s="6"/>
      <c r="T10" s="6"/>
      <c r="U10" s="6"/>
      <c r="V10" s="6"/>
      <c r="W10" s="94"/>
      <c r="X10" s="93"/>
      <c r="Y10" s="6"/>
      <c r="Z10" s="6"/>
      <c r="AA10" s="6"/>
      <c r="AB10" s="6"/>
      <c r="AC10" s="94"/>
      <c r="AD10" s="102" t="str">
        <f t="shared" si="0"/>
        <v>Aceptable</v>
      </c>
      <c r="AE10" s="6"/>
      <c r="AF10" s="6"/>
      <c r="AG10" s="6"/>
      <c r="AH10" s="6"/>
      <c r="AI10" s="6"/>
      <c r="AJ10" s="6"/>
      <c r="AK10" s="6"/>
      <c r="AL10" s="6"/>
      <c r="AM10" s="6"/>
      <c r="AN10" s="6"/>
      <c r="AO10" s="6"/>
      <c r="AP10" s="6"/>
      <c r="AQ10" s="6"/>
      <c r="AR10" s="6"/>
      <c r="AS10" s="6"/>
      <c r="AT10" s="6"/>
      <c r="AU10" s="6"/>
      <c r="AV10" s="45" t="str" cm="1">
        <f t="array" ref="AV10">IF(OR(AE10:AU10="SI"),"Critico","No critico")</f>
        <v>No critico</v>
      </c>
    </row>
    <row r="11" spans="1:54" ht="38.25">
      <c r="A11" s="60">
        <f>Inicial!A11</f>
        <v>9</v>
      </c>
      <c r="B11" s="61" t="str">
        <f>Inicial!B11</f>
        <v>Desposte</v>
      </c>
      <c r="C11" s="61" t="str">
        <f>Inicial!C11</f>
        <v>Operario de producción línea Principal 1</v>
      </c>
      <c r="D11" s="62" t="str">
        <f>Inicial!D11</f>
        <v>Sierra EFA 86 Punta costilla</v>
      </c>
      <c r="E11" s="60" t="str">
        <f>IF(Inicial!K11="SI",Inicial!E11,"N/A")</f>
        <v>N/A</v>
      </c>
      <c r="F11" s="61" t="str">
        <f>IF(Inicial!K11="SI",Inicial!F11,"N/A")</f>
        <v>N/A</v>
      </c>
      <c r="G11" s="61" t="str">
        <f>IF(Inicial!K11="SI",Inicial!G11,"N/A")</f>
        <v>N/A</v>
      </c>
      <c r="H11" s="61" t="str">
        <f>IF(Inicial!K11="SI",Inicial!H11,"N/A")</f>
        <v>N/A</v>
      </c>
      <c r="I11" s="72" t="str">
        <f>IF(Inicial!K11="SI",Inicial!I11,"N/A")</f>
        <v>N/A</v>
      </c>
      <c r="K11" s="6"/>
      <c r="L11" s="6"/>
      <c r="M11" s="6"/>
      <c r="N11" s="6"/>
      <c r="O11" s="6"/>
      <c r="P11" s="97"/>
      <c r="Q11" s="93"/>
      <c r="R11" s="6"/>
      <c r="S11" s="6"/>
      <c r="T11" s="6"/>
      <c r="U11" s="6"/>
      <c r="V11" s="6"/>
      <c r="W11" s="94"/>
      <c r="X11" s="93"/>
      <c r="Y11" s="6"/>
      <c r="Z11" s="6"/>
      <c r="AA11" s="6"/>
      <c r="AB11" s="6"/>
      <c r="AC11" s="94"/>
      <c r="AD11" s="102" t="str">
        <f t="shared" si="0"/>
        <v>Aceptable</v>
      </c>
      <c r="AE11" s="6"/>
      <c r="AF11" s="6"/>
      <c r="AG11" s="6"/>
      <c r="AH11" s="6"/>
      <c r="AI11" s="6"/>
      <c r="AJ11" s="6"/>
      <c r="AK11" s="6"/>
      <c r="AL11" s="6"/>
      <c r="AM11" s="6"/>
      <c r="AN11" s="6"/>
      <c r="AO11" s="6"/>
      <c r="AP11" s="6"/>
      <c r="AQ11" s="6"/>
      <c r="AR11" s="6"/>
      <c r="AS11" s="6"/>
      <c r="AT11" s="6"/>
      <c r="AU11" s="6"/>
      <c r="AV11" s="45" t="str" cm="1">
        <f t="array" ref="AV11">IF(OR(AE11:AU11="SI"),"Critico","No critico")</f>
        <v>No critico</v>
      </c>
    </row>
    <row r="12" spans="1:54" ht="38.25">
      <c r="A12" s="60">
        <f>Inicial!A12</f>
        <v>10</v>
      </c>
      <c r="B12" s="61" t="str">
        <f>Inicial!B12</f>
        <v>Desposte</v>
      </c>
      <c r="C12" s="61" t="str">
        <f>Inicial!C12</f>
        <v>Operario de producción línea Principal 1</v>
      </c>
      <c r="D12" s="62" t="str">
        <f>Inicial!D12</f>
        <v>Extracción de diafragma</v>
      </c>
      <c r="E12" s="60" t="str">
        <f>IF(Inicial!K12="SI",Inicial!E12,"N/A")</f>
        <v>N/A</v>
      </c>
      <c r="F12" s="61" t="str">
        <f>IF(Inicial!K12="SI",Inicial!F12,"N/A")</f>
        <v>N/A</v>
      </c>
      <c r="G12" s="61" t="str">
        <f>IF(Inicial!K12="SI",Inicial!G12,"N/A")</f>
        <v>N/A</v>
      </c>
      <c r="H12" s="61" t="str">
        <f>IF(Inicial!K12="SI",Inicial!H12,"N/A")</f>
        <v>N/A</v>
      </c>
      <c r="I12" s="72" t="str">
        <f>IF(Inicial!K12="SI",Inicial!I12,"N/A")</f>
        <v>N/A</v>
      </c>
      <c r="K12" s="6"/>
      <c r="L12" s="6"/>
      <c r="M12" s="6"/>
      <c r="N12" s="6"/>
      <c r="O12" s="6"/>
      <c r="P12" s="97"/>
      <c r="Q12" s="93"/>
      <c r="R12" s="6"/>
      <c r="S12" s="6"/>
      <c r="T12" s="6"/>
      <c r="U12" s="6"/>
      <c r="V12" s="6"/>
      <c r="W12" s="94"/>
      <c r="X12" s="93"/>
      <c r="Y12" s="6"/>
      <c r="Z12" s="6"/>
      <c r="AA12" s="6"/>
      <c r="AB12" s="6"/>
      <c r="AC12" s="94"/>
      <c r="AD12" s="102" t="str">
        <f t="shared" si="0"/>
        <v>Aceptable</v>
      </c>
      <c r="AE12" s="6"/>
      <c r="AF12" s="6"/>
      <c r="AG12" s="6"/>
      <c r="AH12" s="6"/>
      <c r="AI12" s="6"/>
      <c r="AJ12" s="6"/>
      <c r="AK12" s="6"/>
      <c r="AL12" s="6"/>
      <c r="AM12" s="6"/>
      <c r="AN12" s="6"/>
      <c r="AO12" s="6"/>
      <c r="AP12" s="6"/>
      <c r="AQ12" s="6"/>
      <c r="AR12" s="6"/>
      <c r="AS12" s="6"/>
      <c r="AT12" s="6"/>
      <c r="AU12" s="6"/>
      <c r="AV12" s="45" t="str" cm="1">
        <f t="array" ref="AV12">IF(OR(AE12:AU12="SI"),"Critico","No critico")</f>
        <v>No critico</v>
      </c>
    </row>
    <row r="13" spans="1:54" ht="38.25">
      <c r="A13" s="60">
        <f>Inicial!A13</f>
        <v>11</v>
      </c>
      <c r="B13" s="61" t="str">
        <f>Inicial!B13</f>
        <v>Desposte</v>
      </c>
      <c r="C13" s="61" t="str">
        <f>Inicial!C13</f>
        <v>Operario de producción línea Principal 1</v>
      </c>
      <c r="D13" s="62" t="str">
        <f>Inicial!D13</f>
        <v>Corte de pernil</v>
      </c>
      <c r="E13" s="60" t="str">
        <f>IF(Inicial!K13="SI",Inicial!E13,"N/A")</f>
        <v>N/A</v>
      </c>
      <c r="F13" s="61" t="str">
        <f>IF(Inicial!K13="SI",Inicial!F13,"N/A")</f>
        <v>N/A</v>
      </c>
      <c r="G13" s="61" t="str">
        <f>IF(Inicial!K13="SI",Inicial!G13,"N/A")</f>
        <v>N/A</v>
      </c>
      <c r="H13" s="61" t="str">
        <f>IF(Inicial!K13="SI",Inicial!H13,"N/A")</f>
        <v>N/A</v>
      </c>
      <c r="I13" s="72" t="str">
        <f>IF(Inicial!K13="SI",Inicial!I13,"N/A")</f>
        <v>N/A</v>
      </c>
      <c r="K13" s="6"/>
      <c r="L13" s="6"/>
      <c r="M13" s="6"/>
      <c r="N13" s="6"/>
      <c r="O13" s="6"/>
      <c r="P13" s="97"/>
      <c r="Q13" s="93"/>
      <c r="R13" s="6"/>
      <c r="S13" s="6"/>
      <c r="T13" s="6"/>
      <c r="U13" s="6"/>
      <c r="V13" s="6"/>
      <c r="W13" s="94"/>
      <c r="X13" s="93"/>
      <c r="Y13" s="6"/>
      <c r="Z13" s="6"/>
      <c r="AA13" s="6"/>
      <c r="AB13" s="6"/>
      <c r="AC13" s="94"/>
      <c r="AD13" s="102" t="str">
        <f t="shared" si="0"/>
        <v>Aceptable</v>
      </c>
      <c r="AE13" s="6"/>
      <c r="AF13" s="6"/>
      <c r="AG13" s="6"/>
      <c r="AH13" s="6"/>
      <c r="AI13" s="6"/>
      <c r="AJ13" s="6"/>
      <c r="AK13" s="6"/>
      <c r="AL13" s="6"/>
      <c r="AM13" s="6"/>
      <c r="AN13" s="6"/>
      <c r="AO13" s="6"/>
      <c r="AP13" s="6"/>
      <c r="AQ13" s="6"/>
      <c r="AR13" s="6"/>
      <c r="AS13" s="6"/>
      <c r="AT13" s="6"/>
      <c r="AU13" s="6"/>
      <c r="AV13" s="45" t="str" cm="1">
        <f t="array" ref="AV13">IF(OR(AE13:AU13="SI"),"Critico","No critico")</f>
        <v>No critico</v>
      </c>
    </row>
    <row r="14" spans="1:54" ht="38.25">
      <c r="A14" s="60">
        <f>Inicial!A14</f>
        <v>12</v>
      </c>
      <c r="B14" s="61" t="str">
        <f>Inicial!B14</f>
        <v>Desposte</v>
      </c>
      <c r="C14" s="61" t="str">
        <f>Inicial!C14</f>
        <v>Operario de producción línea Principal 1</v>
      </c>
      <c r="D14" s="62" t="str">
        <f>Inicial!D14</f>
        <v>Extracción de papada</v>
      </c>
      <c r="E14" s="60" t="str">
        <f>IF(Inicial!K14="SI",Inicial!E14,"N/A")</f>
        <v>N/A</v>
      </c>
      <c r="F14" s="61" t="str">
        <f>IF(Inicial!K14="SI",Inicial!F14,"N/A")</f>
        <v>N/A</v>
      </c>
      <c r="G14" s="61" t="str">
        <f>IF(Inicial!K14="SI",Inicial!G14,"N/A")</f>
        <v>N/A</v>
      </c>
      <c r="H14" s="61" t="str">
        <f>IF(Inicial!K14="SI",Inicial!H14,"N/A")</f>
        <v>N/A</v>
      </c>
      <c r="I14" s="72" t="str">
        <f>IF(Inicial!K14="SI",Inicial!I14,"N/A")</f>
        <v>N/A</v>
      </c>
      <c r="K14" s="6"/>
      <c r="L14" s="6"/>
      <c r="M14" s="6"/>
      <c r="N14" s="6"/>
      <c r="O14" s="6"/>
      <c r="P14" s="97"/>
      <c r="Q14" s="93"/>
      <c r="R14" s="6"/>
      <c r="S14" s="6"/>
      <c r="T14" s="6"/>
      <c r="U14" s="6"/>
      <c r="V14" s="6"/>
      <c r="W14" s="94"/>
      <c r="X14" s="93"/>
      <c r="Y14" s="6"/>
      <c r="Z14" s="6"/>
      <c r="AA14" s="6"/>
      <c r="AB14" s="6"/>
      <c r="AC14" s="94"/>
      <c r="AD14" s="102" t="str">
        <f t="shared" si="0"/>
        <v>Aceptable</v>
      </c>
      <c r="AE14" s="6"/>
      <c r="AF14" s="6"/>
      <c r="AG14" s="6"/>
      <c r="AH14" s="6"/>
      <c r="AI14" s="6"/>
      <c r="AJ14" s="6"/>
      <c r="AK14" s="6"/>
      <c r="AL14" s="6"/>
      <c r="AM14" s="6"/>
      <c r="AN14" s="6"/>
      <c r="AO14" s="6"/>
      <c r="AP14" s="6"/>
      <c r="AQ14" s="6"/>
      <c r="AR14" s="6"/>
      <c r="AS14" s="6"/>
      <c r="AT14" s="6"/>
      <c r="AU14" s="6"/>
      <c r="AV14" s="45" t="str" cm="1">
        <f t="array" ref="AV14">IF(OR(AE14:AU14="SI"),"Critico","No critico")</f>
        <v>No critico</v>
      </c>
    </row>
    <row r="15" spans="1:54" ht="38.25">
      <c r="A15" s="60">
        <f>Inicial!A15</f>
        <v>13</v>
      </c>
      <c r="B15" s="61" t="str">
        <f>Inicial!B15</f>
        <v>Desposte</v>
      </c>
      <c r="C15" s="61" t="str">
        <f>Inicial!C15</f>
        <v>Operario de producción línea Principal 1</v>
      </c>
      <c r="D15" s="62" t="str">
        <f>Inicial!D15</f>
        <v>Extracción de punta costilla izquierda</v>
      </c>
      <c r="E15" s="60" t="str">
        <f>IF(Inicial!K15="SI",Inicial!E15,"N/A")</f>
        <v>N/A</v>
      </c>
      <c r="F15" s="61" t="str">
        <f>IF(Inicial!K15="SI",Inicial!F15,"N/A")</f>
        <v>N/A</v>
      </c>
      <c r="G15" s="61" t="str">
        <f>IF(Inicial!K15="SI",Inicial!G15,"N/A")</f>
        <v>N/A</v>
      </c>
      <c r="H15" s="61" t="str">
        <f>IF(Inicial!K15="SI",Inicial!H15,"N/A")</f>
        <v>N/A</v>
      </c>
      <c r="I15" s="72" t="str">
        <f>IF(Inicial!K15="SI",Inicial!I15,"N/A")</f>
        <v>N/A</v>
      </c>
      <c r="K15" s="6"/>
      <c r="L15" s="6"/>
      <c r="M15" s="6"/>
      <c r="N15" s="6"/>
      <c r="O15" s="6"/>
      <c r="P15" s="97"/>
      <c r="Q15" s="93"/>
      <c r="R15" s="6"/>
      <c r="S15" s="6"/>
      <c r="T15" s="6"/>
      <c r="U15" s="6"/>
      <c r="V15" s="6"/>
      <c r="W15" s="94"/>
      <c r="X15" s="93"/>
      <c r="Y15" s="6"/>
      <c r="Z15" s="6"/>
      <c r="AA15" s="6"/>
      <c r="AB15" s="6"/>
      <c r="AC15" s="94"/>
      <c r="AD15" s="102" t="str">
        <f t="shared" si="0"/>
        <v>Aceptable</v>
      </c>
      <c r="AE15" s="6"/>
      <c r="AF15" s="6"/>
      <c r="AG15" s="6"/>
      <c r="AH15" s="6"/>
      <c r="AI15" s="6"/>
      <c r="AJ15" s="6"/>
      <c r="AK15" s="6"/>
      <c r="AL15" s="6"/>
      <c r="AM15" s="6"/>
      <c r="AN15" s="6"/>
      <c r="AO15" s="6"/>
      <c r="AP15" s="6"/>
      <c r="AQ15" s="6"/>
      <c r="AR15" s="6"/>
      <c r="AS15" s="6"/>
      <c r="AT15" s="6"/>
      <c r="AU15" s="6"/>
      <c r="AV15" s="45" t="str" cm="1">
        <f t="array" ref="AV15">IF(OR(AE15:AU15="SI"),"Critico","No critico")</f>
        <v>No critico</v>
      </c>
    </row>
    <row r="16" spans="1:54" ht="38.25">
      <c r="A16" s="60">
        <f>Inicial!A16</f>
        <v>14</v>
      </c>
      <c r="B16" s="61" t="str">
        <f>Inicial!B16</f>
        <v>Desposte</v>
      </c>
      <c r="C16" s="61" t="str">
        <f>Inicial!C16</f>
        <v>Operario de producción línea Principal 1</v>
      </c>
      <c r="D16" s="62" t="str">
        <f>Inicial!D16</f>
        <v>Extracción de punta costilla derecha</v>
      </c>
      <c r="E16" s="60" t="str">
        <f>IF(Inicial!K16="SI",Inicial!E16,"N/A")</f>
        <v>N/A</v>
      </c>
      <c r="F16" s="61" t="str">
        <f>IF(Inicial!K16="SI",Inicial!F16,"N/A")</f>
        <v>N/A</v>
      </c>
      <c r="G16" s="61" t="str">
        <f>IF(Inicial!K16="SI",Inicial!G16,"N/A")</f>
        <v>N/A</v>
      </c>
      <c r="H16" s="61" t="str">
        <f>IF(Inicial!K16="SI",Inicial!H16,"N/A")</f>
        <v>N/A</v>
      </c>
      <c r="I16" s="72" t="str">
        <f>IF(Inicial!K16="SI",Inicial!I16,"N/A")</f>
        <v>N/A</v>
      </c>
      <c r="K16" s="6"/>
      <c r="L16" s="6"/>
      <c r="M16" s="6"/>
      <c r="N16" s="6"/>
      <c r="O16" s="6"/>
      <c r="P16" s="97"/>
      <c r="Q16" s="93"/>
      <c r="R16" s="6"/>
      <c r="S16" s="6"/>
      <c r="T16" s="6"/>
      <c r="U16" s="6"/>
      <c r="V16" s="6"/>
      <c r="W16" s="94"/>
      <c r="X16" s="93"/>
      <c r="Y16" s="6"/>
      <c r="Z16" s="6"/>
      <c r="AA16" s="6"/>
      <c r="AB16" s="6"/>
      <c r="AC16" s="94"/>
      <c r="AD16" s="102" t="str">
        <f t="shared" si="0"/>
        <v>Aceptable</v>
      </c>
      <c r="AE16" s="6"/>
      <c r="AF16" s="6"/>
      <c r="AG16" s="6"/>
      <c r="AH16" s="6"/>
      <c r="AI16" s="6"/>
      <c r="AJ16" s="6"/>
      <c r="AK16" s="6"/>
      <c r="AL16" s="6"/>
      <c r="AM16" s="6"/>
      <c r="AN16" s="6"/>
      <c r="AO16" s="6"/>
      <c r="AP16" s="6"/>
      <c r="AQ16" s="6"/>
      <c r="AR16" s="6"/>
      <c r="AS16" s="6"/>
      <c r="AT16" s="6"/>
      <c r="AU16" s="6"/>
      <c r="AV16" s="45" t="str" cm="1">
        <f t="array" ref="AV16">IF(OR(AE16:AU16="SI"),"Critico","No critico")</f>
        <v>No critico</v>
      </c>
    </row>
    <row r="17" spans="1:48" ht="38.25">
      <c r="A17" s="60">
        <f>Inicial!A17</f>
        <v>15</v>
      </c>
      <c r="B17" s="61" t="str">
        <f>Inicial!B17</f>
        <v>Desposte</v>
      </c>
      <c r="C17" s="61" t="str">
        <f>Inicial!C17</f>
        <v>Operario de producción línea Principal 1</v>
      </c>
      <c r="D17" s="62" t="str">
        <f>Inicial!D17</f>
        <v>Operación de MSS</v>
      </c>
      <c r="E17" s="60" t="str">
        <f>IF(Inicial!K17="SI",Inicial!E17,"N/A")</f>
        <v>N/A</v>
      </c>
      <c r="F17" s="61" t="str">
        <f>IF(Inicial!K17="SI",Inicial!F17,"N/A")</f>
        <v>N/A</v>
      </c>
      <c r="G17" s="61" t="str">
        <f>IF(Inicial!K17="SI",Inicial!G17,"N/A")</f>
        <v>N/A</v>
      </c>
      <c r="H17" s="61" t="str">
        <f>IF(Inicial!K17="SI",Inicial!H17,"N/A")</f>
        <v>N/A</v>
      </c>
      <c r="I17" s="72" t="str">
        <f>IF(Inicial!K17="SI",Inicial!I17,"N/A")</f>
        <v>N/A</v>
      </c>
      <c r="K17" s="6"/>
      <c r="L17" s="6"/>
      <c r="M17" s="6"/>
      <c r="N17" s="6"/>
      <c r="O17" s="6"/>
      <c r="P17" s="97"/>
      <c r="Q17" s="93"/>
      <c r="R17" s="6"/>
      <c r="S17" s="6"/>
      <c r="T17" s="6"/>
      <c r="U17" s="6"/>
      <c r="V17" s="6"/>
      <c r="W17" s="94"/>
      <c r="X17" s="93"/>
      <c r="Y17" s="6"/>
      <c r="Z17" s="6"/>
      <c r="AA17" s="6"/>
      <c r="AB17" s="6"/>
      <c r="AC17" s="94"/>
      <c r="AD17" s="102" t="str">
        <f t="shared" si="0"/>
        <v>Aceptable</v>
      </c>
      <c r="AE17" s="6"/>
      <c r="AF17" s="6"/>
      <c r="AG17" s="6"/>
      <c r="AH17" s="6"/>
      <c r="AI17" s="6"/>
      <c r="AJ17" s="6"/>
      <c r="AK17" s="6"/>
      <c r="AL17" s="6"/>
      <c r="AM17" s="6"/>
      <c r="AN17" s="6"/>
      <c r="AO17" s="6"/>
      <c r="AP17" s="6"/>
      <c r="AQ17" s="6"/>
      <c r="AR17" s="6"/>
      <c r="AS17" s="6"/>
      <c r="AT17" s="6"/>
      <c r="AU17" s="6"/>
      <c r="AV17" s="45" t="str" cm="1">
        <f t="array" ref="AV17">IF(OR(AE17:AU17="SI"),"Critico","No critico")</f>
        <v>No critico</v>
      </c>
    </row>
    <row r="18" spans="1:48" ht="38.25">
      <c r="A18" s="60">
        <f>Inicial!A18</f>
        <v>16</v>
      </c>
      <c r="B18" s="61" t="str">
        <f>Inicial!B18</f>
        <v>Desposte</v>
      </c>
      <c r="C18" s="61" t="str">
        <f>Inicial!C18</f>
        <v>Operario de producción línea Principal 1</v>
      </c>
      <c r="D18" s="62" t="str">
        <f>Inicial!D18</f>
        <v>Extracción de hueso pecho</v>
      </c>
      <c r="E18" s="60" t="str">
        <f>IF(Inicial!K18="SI",Inicial!E18,"N/A")</f>
        <v>N/A</v>
      </c>
      <c r="F18" s="61" t="str">
        <f>IF(Inicial!K18="SI",Inicial!F18,"N/A")</f>
        <v>N/A</v>
      </c>
      <c r="G18" s="61" t="str">
        <f>IF(Inicial!K18="SI",Inicial!G18,"N/A")</f>
        <v>N/A</v>
      </c>
      <c r="H18" s="61" t="str">
        <f>IF(Inicial!K18="SI",Inicial!H18,"N/A")</f>
        <v>N/A</v>
      </c>
      <c r="I18" s="72" t="str">
        <f>IF(Inicial!K18="SI",Inicial!I18,"N/A")</f>
        <v>N/A</v>
      </c>
      <c r="K18" s="6"/>
      <c r="L18" s="6"/>
      <c r="M18" s="6"/>
      <c r="N18" s="6"/>
      <c r="O18" s="6"/>
      <c r="P18" s="97"/>
      <c r="Q18" s="93"/>
      <c r="R18" s="6"/>
      <c r="S18" s="6"/>
      <c r="T18" s="6"/>
      <c r="U18" s="6"/>
      <c r="V18" s="6"/>
      <c r="W18" s="94"/>
      <c r="X18" s="93"/>
      <c r="Y18" s="6"/>
      <c r="Z18" s="6"/>
      <c r="AA18" s="6"/>
      <c r="AB18" s="6"/>
      <c r="AC18" s="94"/>
      <c r="AD18" s="102" t="str">
        <f t="shared" si="0"/>
        <v>Aceptable</v>
      </c>
      <c r="AE18" s="6"/>
      <c r="AF18" s="6"/>
      <c r="AG18" s="6"/>
      <c r="AH18" s="6"/>
      <c r="AI18" s="6"/>
      <c r="AJ18" s="6"/>
      <c r="AK18" s="6"/>
      <c r="AL18" s="6"/>
      <c r="AM18" s="6"/>
      <c r="AN18" s="6"/>
      <c r="AO18" s="6"/>
      <c r="AP18" s="6"/>
      <c r="AQ18" s="6"/>
      <c r="AR18" s="6"/>
      <c r="AS18" s="6"/>
      <c r="AT18" s="6"/>
      <c r="AU18" s="6"/>
      <c r="AV18" s="45" t="str" cm="1">
        <f t="array" ref="AV18">IF(OR(AE18:AU18="SI"),"Critico","No critico")</f>
        <v>No critico</v>
      </c>
    </row>
    <row r="19" spans="1:48" ht="38.25">
      <c r="A19" s="60">
        <f>Inicial!A19</f>
        <v>17</v>
      </c>
      <c r="B19" s="61" t="str">
        <f>Inicial!B19</f>
        <v>Desposte</v>
      </c>
      <c r="C19" s="61" t="str">
        <f>Inicial!C19</f>
        <v>Operario de producción línea Principal 1</v>
      </c>
      <c r="D19" s="62" t="str">
        <f>Inicial!D19</f>
        <v>Deshuesado de panceta</v>
      </c>
      <c r="E19" s="60" t="str">
        <f>IF(Inicial!K19="SI",Inicial!E19,"N/A")</f>
        <v>N/A</v>
      </c>
      <c r="F19" s="61" t="str">
        <f>IF(Inicial!K19="SI",Inicial!F19,"N/A")</f>
        <v>N/A</v>
      </c>
      <c r="G19" s="61" t="str">
        <f>IF(Inicial!K19="SI",Inicial!G19,"N/A")</f>
        <v>N/A</v>
      </c>
      <c r="H19" s="61" t="str">
        <f>IF(Inicial!K19="SI",Inicial!H19,"N/A")</f>
        <v>N/A</v>
      </c>
      <c r="I19" s="72" t="str">
        <f>IF(Inicial!K19="SI",Inicial!I19,"N/A")</f>
        <v>N/A</v>
      </c>
      <c r="K19" s="6"/>
      <c r="L19" s="6"/>
      <c r="M19" s="6"/>
      <c r="N19" s="6"/>
      <c r="O19" s="6"/>
      <c r="P19" s="97"/>
      <c r="Q19" s="93"/>
      <c r="R19" s="6"/>
      <c r="S19" s="6"/>
      <c r="T19" s="6"/>
      <c r="U19" s="6"/>
      <c r="V19" s="6"/>
      <c r="W19" s="94"/>
      <c r="X19" s="93"/>
      <c r="Y19" s="6"/>
      <c r="Z19" s="6"/>
      <c r="AA19" s="6"/>
      <c r="AB19" s="6"/>
      <c r="AC19" s="94"/>
      <c r="AD19" s="102" t="str">
        <f t="shared" si="0"/>
        <v>Aceptable</v>
      </c>
      <c r="AE19" s="6"/>
      <c r="AF19" s="6"/>
      <c r="AG19" s="6"/>
      <c r="AH19" s="6"/>
      <c r="AI19" s="6"/>
      <c r="AJ19" s="6"/>
      <c r="AK19" s="6"/>
      <c r="AL19" s="6"/>
      <c r="AM19" s="6"/>
      <c r="AN19" s="6"/>
      <c r="AO19" s="6"/>
      <c r="AP19" s="6"/>
      <c r="AQ19" s="6"/>
      <c r="AR19" s="6"/>
      <c r="AS19" s="6"/>
      <c r="AT19" s="6"/>
      <c r="AU19" s="6"/>
      <c r="AV19" s="45" t="str" cm="1">
        <f t="array" ref="AV19">IF(OR(AE19:AU19="SI"),"Critico","No critico")</f>
        <v>No critico</v>
      </c>
    </row>
    <row r="20" spans="1:48" ht="38.25">
      <c r="A20" s="60">
        <f>Inicial!A20</f>
        <v>18</v>
      </c>
      <c r="B20" s="61" t="str">
        <f>Inicial!B20</f>
        <v>Desposte</v>
      </c>
      <c r="C20" s="61" t="str">
        <f>Inicial!C20</f>
        <v>Operario de producción Línea Lomos</v>
      </c>
      <c r="D20" s="62" t="str">
        <f>Inicial!D20</f>
        <v xml:space="preserve">Operador Descueradora Manual </v>
      </c>
      <c r="E20" s="60" t="str">
        <f>IF(Inicial!K20="SI",Inicial!E20,"N/A")</f>
        <v>N/A</v>
      </c>
      <c r="F20" s="61" t="str">
        <f>IF(Inicial!K20="SI",Inicial!F20,"N/A")</f>
        <v>N/A</v>
      </c>
      <c r="G20" s="61" t="str">
        <f>IF(Inicial!K20="SI",Inicial!G20,"N/A")</f>
        <v>N/A</v>
      </c>
      <c r="H20" s="61" t="str">
        <f>IF(Inicial!K20="SI",Inicial!H20,"N/A")</f>
        <v>N/A</v>
      </c>
      <c r="I20" s="72" t="str">
        <f>IF(Inicial!K20="SI",Inicial!I20,"N/A")</f>
        <v>N/A</v>
      </c>
      <c r="K20" s="6"/>
      <c r="L20" s="6"/>
      <c r="M20" s="6"/>
      <c r="N20" s="6"/>
      <c r="O20" s="6"/>
      <c r="P20" s="97"/>
      <c r="Q20" s="93"/>
      <c r="R20" s="6"/>
      <c r="S20" s="6"/>
      <c r="T20" s="6"/>
      <c r="U20" s="6"/>
      <c r="V20" s="6"/>
      <c r="W20" s="94"/>
      <c r="X20" s="93"/>
      <c r="Y20" s="6"/>
      <c r="Z20" s="6"/>
      <c r="AA20" s="6"/>
      <c r="AB20" s="6"/>
      <c r="AC20" s="94"/>
      <c r="AD20" s="102" t="str">
        <f t="shared" si="0"/>
        <v>Aceptable</v>
      </c>
      <c r="AE20" s="6"/>
      <c r="AF20" s="6"/>
      <c r="AG20" s="6"/>
      <c r="AH20" s="6"/>
      <c r="AI20" s="6"/>
      <c r="AJ20" s="6"/>
      <c r="AK20" s="6"/>
      <c r="AL20" s="6"/>
      <c r="AM20" s="6"/>
      <c r="AN20" s="6"/>
      <c r="AO20" s="6"/>
      <c r="AP20" s="6"/>
      <c r="AQ20" s="6"/>
      <c r="AR20" s="6"/>
      <c r="AS20" s="6"/>
      <c r="AT20" s="6"/>
      <c r="AU20" s="6"/>
      <c r="AV20" s="45" t="str" cm="1">
        <f t="array" ref="AV20">IF(OR(AE20:AU20="SI"),"Critico","No critico")</f>
        <v>No critico</v>
      </c>
    </row>
    <row r="21" spans="1:48" ht="38.25">
      <c r="A21" s="60">
        <f>Inicial!A21</f>
        <v>19</v>
      </c>
      <c r="B21" s="61" t="str">
        <f>Inicial!B21</f>
        <v>Desposte</v>
      </c>
      <c r="C21" s="61" t="str">
        <f>Inicial!C21</f>
        <v>Operario de producción Línea Lomos</v>
      </c>
      <c r="D21" s="62" t="str">
        <f>Inicial!D21</f>
        <v>Posicionamiento de lomo tecla</v>
      </c>
      <c r="E21" s="60" t="str">
        <f>IF(Inicial!K21="SI",Inicial!E21,"N/A")</f>
        <v>N/A</v>
      </c>
      <c r="F21" s="61" t="str">
        <f>IF(Inicial!K21="SI",Inicial!F21,"N/A")</f>
        <v>N/A</v>
      </c>
      <c r="G21" s="61" t="str">
        <f>IF(Inicial!K21="SI",Inicial!G21,"N/A")</f>
        <v>N/A</v>
      </c>
      <c r="H21" s="61" t="str">
        <f>IF(Inicial!K21="SI",Inicial!H21,"N/A")</f>
        <v>N/A</v>
      </c>
      <c r="I21" s="72" t="str">
        <f>IF(Inicial!K21="SI",Inicial!I21,"N/A")</f>
        <v>N/A</v>
      </c>
      <c r="K21" s="6"/>
      <c r="L21" s="6"/>
      <c r="M21" s="6"/>
      <c r="N21" s="6"/>
      <c r="O21" s="6"/>
      <c r="P21" s="97"/>
      <c r="Q21" s="93"/>
      <c r="R21" s="6"/>
      <c r="S21" s="6"/>
      <c r="T21" s="6"/>
      <c r="U21" s="6"/>
      <c r="V21" s="6"/>
      <c r="W21" s="94"/>
      <c r="X21" s="93"/>
      <c r="Y21" s="6"/>
      <c r="Z21" s="6"/>
      <c r="AA21" s="6"/>
      <c r="AB21" s="6"/>
      <c r="AC21" s="94"/>
      <c r="AD21" s="102" t="str">
        <f t="shared" si="0"/>
        <v>Aceptable</v>
      </c>
      <c r="AE21" s="6"/>
      <c r="AF21" s="6"/>
      <c r="AG21" s="6"/>
      <c r="AH21" s="6"/>
      <c r="AI21" s="6"/>
      <c r="AJ21" s="6"/>
      <c r="AK21" s="6"/>
      <c r="AL21" s="6"/>
      <c r="AM21" s="6"/>
      <c r="AN21" s="6"/>
      <c r="AO21" s="6"/>
      <c r="AP21" s="6"/>
      <c r="AQ21" s="6"/>
      <c r="AR21" s="6"/>
      <c r="AS21" s="6"/>
      <c r="AT21" s="6"/>
      <c r="AU21" s="6"/>
      <c r="AV21" s="45" t="str" cm="1">
        <f t="array" ref="AV21">IF(OR(AE21:AU21="SI"),"Critico","No critico")</f>
        <v>No critico</v>
      </c>
    </row>
    <row r="22" spans="1:48" ht="38.25">
      <c r="A22" s="60">
        <f>Inicial!A22</f>
        <v>20</v>
      </c>
      <c r="B22" s="61" t="str">
        <f>Inicial!B22</f>
        <v>Desposte</v>
      </c>
      <c r="C22" s="61" t="str">
        <f>Inicial!C22</f>
        <v>Operario de producción Línea Lomos</v>
      </c>
      <c r="D22" s="62" t="str">
        <f>Inicial!D22</f>
        <v>Prolijado de lomo tecla extracción de cordon</v>
      </c>
      <c r="E22" s="60" t="str">
        <f>IF(Inicial!K22="SI",Inicial!E22,"N/A")</f>
        <v>N/A</v>
      </c>
      <c r="F22" s="61" t="str">
        <f>IF(Inicial!K22="SI",Inicial!F22,"N/A")</f>
        <v>N/A</v>
      </c>
      <c r="G22" s="61" t="str">
        <f>IF(Inicial!K22="SI",Inicial!G22,"N/A")</f>
        <v>N/A</v>
      </c>
      <c r="H22" s="61" t="str">
        <f>IF(Inicial!K22="SI",Inicial!H22,"N/A")</f>
        <v>N/A</v>
      </c>
      <c r="I22" s="72" t="str">
        <f>IF(Inicial!K22="SI",Inicial!I22,"N/A")</f>
        <v>N/A</v>
      </c>
      <c r="K22" s="6"/>
      <c r="L22" s="6"/>
      <c r="M22" s="6"/>
      <c r="N22" s="6"/>
      <c r="O22" s="6"/>
      <c r="P22" s="97"/>
      <c r="Q22" s="93"/>
      <c r="R22" s="6"/>
      <c r="S22" s="6"/>
      <c r="T22" s="6"/>
      <c r="U22" s="6"/>
      <c r="V22" s="6"/>
      <c r="W22" s="94"/>
      <c r="X22" s="93"/>
      <c r="Y22" s="6"/>
      <c r="Z22" s="6"/>
      <c r="AA22" s="6"/>
      <c r="AB22" s="6"/>
      <c r="AC22" s="94"/>
      <c r="AD22" s="102" t="str">
        <f t="shared" si="0"/>
        <v>Aceptable</v>
      </c>
      <c r="AE22" s="6"/>
      <c r="AF22" s="6"/>
      <c r="AG22" s="6"/>
      <c r="AH22" s="6"/>
      <c r="AI22" s="6"/>
      <c r="AJ22" s="6"/>
      <c r="AK22" s="6"/>
      <c r="AL22" s="6"/>
      <c r="AM22" s="6"/>
      <c r="AN22" s="6"/>
      <c r="AO22" s="6"/>
      <c r="AP22" s="6"/>
      <c r="AQ22" s="6"/>
      <c r="AR22" s="6"/>
      <c r="AS22" s="6"/>
      <c r="AT22" s="6"/>
      <c r="AU22" s="6"/>
      <c r="AV22" s="45" t="str" cm="1">
        <f t="array" ref="AV22">IF(OR(AE22:AU22="SI"),"Critico","No critico")</f>
        <v>No critico</v>
      </c>
    </row>
    <row r="23" spans="1:48" ht="38.25">
      <c r="A23" s="60">
        <f>Inicial!A23</f>
        <v>21</v>
      </c>
      <c r="B23" s="61" t="str">
        <f>Inicial!B23</f>
        <v>Desposte</v>
      </c>
      <c r="C23" s="61" t="str">
        <f>Inicial!C23</f>
        <v>Operario de producción Línea Lomos</v>
      </c>
      <c r="D23" s="62" t="str">
        <f>Inicial!D23</f>
        <v>Extracción de cuero a tocino</v>
      </c>
      <c r="E23" s="60" t="str">
        <f>IF(Inicial!K23="SI",Inicial!E23,"N/A")</f>
        <v>N/A</v>
      </c>
      <c r="F23" s="61" t="str">
        <f>IF(Inicial!K23="SI",Inicial!F23,"N/A")</f>
        <v>N/A</v>
      </c>
      <c r="G23" s="61" t="str">
        <f>IF(Inicial!K23="SI",Inicial!G23,"N/A")</f>
        <v>N/A</v>
      </c>
      <c r="H23" s="61" t="str">
        <f>IF(Inicial!K23="SI",Inicial!H23,"N/A")</f>
        <v>N/A</v>
      </c>
      <c r="I23" s="72" t="str">
        <f>IF(Inicial!K23="SI",Inicial!I23,"N/A")</f>
        <v>N/A</v>
      </c>
      <c r="K23" s="6"/>
      <c r="L23" s="6"/>
      <c r="M23" s="6"/>
      <c r="N23" s="6"/>
      <c r="O23" s="6"/>
      <c r="P23" s="97"/>
      <c r="Q23" s="93"/>
      <c r="R23" s="6"/>
      <c r="S23" s="6"/>
      <c r="T23" s="6"/>
      <c r="U23" s="6"/>
      <c r="V23" s="6"/>
      <c r="W23" s="94"/>
      <c r="X23" s="93"/>
      <c r="Y23" s="6"/>
      <c r="Z23" s="6"/>
      <c r="AA23" s="6"/>
      <c r="AB23" s="6"/>
      <c r="AC23" s="94"/>
      <c r="AD23" s="102" t="str">
        <f t="shared" si="0"/>
        <v>Aceptable</v>
      </c>
      <c r="AE23" s="6"/>
      <c r="AF23" s="6"/>
      <c r="AG23" s="6"/>
      <c r="AH23" s="6"/>
      <c r="AI23" s="6"/>
      <c r="AJ23" s="6"/>
      <c r="AK23" s="6"/>
      <c r="AL23" s="6"/>
      <c r="AM23" s="6"/>
      <c r="AN23" s="6"/>
      <c r="AO23" s="6"/>
      <c r="AP23" s="6"/>
      <c r="AQ23" s="6"/>
      <c r="AR23" s="6"/>
      <c r="AS23" s="6"/>
      <c r="AT23" s="6"/>
      <c r="AU23" s="6"/>
      <c r="AV23" s="45" t="str" cm="1">
        <f t="array" ref="AV23">IF(OR(AE23:AU23="SI"),"Critico","No critico")</f>
        <v>No critico</v>
      </c>
    </row>
    <row r="24" spans="1:48" ht="38.25">
      <c r="A24" s="60">
        <f>Inicial!A24</f>
        <v>22</v>
      </c>
      <c r="B24" s="61" t="str">
        <f>Inicial!B24</f>
        <v>Desposte</v>
      </c>
      <c r="C24" s="61" t="str">
        <f>Inicial!C24</f>
        <v>Operario de producción Línea Lomos</v>
      </c>
      <c r="D24" s="62" t="str">
        <f>Inicial!D24</f>
        <v xml:space="preserve">Rayado de lomo tecla </v>
      </c>
      <c r="E24" s="60" t="str">
        <f>IF(Inicial!K24="SI",Inicial!E24,"N/A")</f>
        <v>N/A</v>
      </c>
      <c r="F24" s="61" t="str">
        <f>IF(Inicial!K24="SI",Inicial!F24,"N/A")</f>
        <v>N/A</v>
      </c>
      <c r="G24" s="61" t="str">
        <f>IF(Inicial!K24="SI",Inicial!G24,"N/A")</f>
        <v>N/A</v>
      </c>
      <c r="H24" s="61" t="str">
        <f>IF(Inicial!K24="SI",Inicial!H24,"N/A")</f>
        <v>N/A</v>
      </c>
      <c r="I24" s="72" t="str">
        <f>IF(Inicial!K24="SI",Inicial!I24,"N/A")</f>
        <v>N/A</v>
      </c>
      <c r="K24" s="6"/>
      <c r="L24" s="6"/>
      <c r="M24" s="6"/>
      <c r="N24" s="6"/>
      <c r="O24" s="6"/>
      <c r="P24" s="97"/>
      <c r="Q24" s="93"/>
      <c r="R24" s="6"/>
      <c r="S24" s="6"/>
      <c r="T24" s="6"/>
      <c r="U24" s="6"/>
      <c r="V24" s="6"/>
      <c r="W24" s="94"/>
      <c r="X24" s="93"/>
      <c r="Y24" s="6"/>
      <c r="Z24" s="6"/>
      <c r="AA24" s="6"/>
      <c r="AB24" s="6"/>
      <c r="AC24" s="94"/>
      <c r="AD24" s="102" t="str">
        <f t="shared" si="0"/>
        <v>Aceptable</v>
      </c>
      <c r="AE24" s="6"/>
      <c r="AF24" s="6"/>
      <c r="AG24" s="6"/>
      <c r="AH24" s="6"/>
      <c r="AI24" s="6"/>
      <c r="AJ24" s="6"/>
      <c r="AK24" s="6"/>
      <c r="AL24" s="6"/>
      <c r="AM24" s="6"/>
      <c r="AN24" s="6"/>
      <c r="AO24" s="6"/>
      <c r="AP24" s="6"/>
      <c r="AQ24" s="6"/>
      <c r="AR24" s="6"/>
      <c r="AS24" s="6"/>
      <c r="AT24" s="6"/>
      <c r="AU24" s="6"/>
      <c r="AV24" s="45" t="str" cm="1">
        <f t="array" ref="AV24">IF(OR(AE24:AU24="SI"),"Critico","No critico")</f>
        <v>No critico</v>
      </c>
    </row>
    <row r="25" spans="1:48" ht="38.25">
      <c r="A25" s="60">
        <f>Inicial!A25</f>
        <v>23</v>
      </c>
      <c r="B25" s="61" t="str">
        <f>Inicial!B25</f>
        <v>Desposte</v>
      </c>
      <c r="C25" s="61" t="str">
        <f>Inicial!C25</f>
        <v>Operario de producción Línea Lomos</v>
      </c>
      <c r="D25" s="62" t="str">
        <f>Inicial!D25</f>
        <v>Rayado de lomo</v>
      </c>
      <c r="E25" s="60" t="str">
        <f>IF(Inicial!K25="SI",Inicial!E25,"N/A")</f>
        <v>N/A</v>
      </c>
      <c r="F25" s="61" t="str">
        <f>IF(Inicial!K25="SI",Inicial!F25,"N/A")</f>
        <v>N/A</v>
      </c>
      <c r="G25" s="61" t="str">
        <f>IF(Inicial!K25="SI",Inicial!G25,"N/A")</f>
        <v>N/A</v>
      </c>
      <c r="H25" s="61" t="str">
        <f>IF(Inicial!K25="SI",Inicial!H25,"N/A")</f>
        <v>N/A</v>
      </c>
      <c r="I25" s="72" t="str">
        <f>IF(Inicial!K25="SI",Inicial!I25,"N/A")</f>
        <v>N/A</v>
      </c>
      <c r="K25" s="6"/>
      <c r="L25" s="6"/>
      <c r="M25" s="6"/>
      <c r="N25" s="6"/>
      <c r="O25" s="6"/>
      <c r="P25" s="97"/>
      <c r="Q25" s="93"/>
      <c r="R25" s="6"/>
      <c r="S25" s="6"/>
      <c r="T25" s="6"/>
      <c r="U25" s="6"/>
      <c r="V25" s="6"/>
      <c r="W25" s="94"/>
      <c r="X25" s="93"/>
      <c r="Y25" s="6"/>
      <c r="Z25" s="6"/>
      <c r="AA25" s="6"/>
      <c r="AB25" s="6"/>
      <c r="AC25" s="94"/>
      <c r="AD25" s="102" t="str">
        <f t="shared" si="0"/>
        <v>Aceptable</v>
      </c>
      <c r="AE25" s="6"/>
      <c r="AF25" s="6"/>
      <c r="AG25" s="6"/>
      <c r="AH25" s="6"/>
      <c r="AI25" s="6"/>
      <c r="AJ25" s="6"/>
      <c r="AK25" s="6"/>
      <c r="AL25" s="6"/>
      <c r="AM25" s="6"/>
      <c r="AN25" s="6"/>
      <c r="AO25" s="6"/>
      <c r="AP25" s="6"/>
      <c r="AQ25" s="6"/>
      <c r="AR25" s="6"/>
      <c r="AS25" s="6"/>
      <c r="AT25" s="6"/>
      <c r="AU25" s="6"/>
      <c r="AV25" s="45" t="str" cm="1">
        <f t="array" ref="AV25">IF(OR(AE25:AU25="SI"),"Critico","No critico")</f>
        <v>No critico</v>
      </c>
    </row>
    <row r="26" spans="1:48" ht="38.25">
      <c r="A26" s="60">
        <f>Inicial!A26</f>
        <v>24</v>
      </c>
      <c r="B26" s="61" t="str">
        <f>Inicial!B26</f>
        <v>Desposte</v>
      </c>
      <c r="C26" s="61" t="str">
        <f>Inicial!C26</f>
        <v>Operario de producción Línea Lomos</v>
      </c>
      <c r="D26" s="62" t="str">
        <f>Inicial!D26</f>
        <v>Operador de Desprendedora de Lomo</v>
      </c>
      <c r="E26" s="60" t="str">
        <f>IF(Inicial!K26="SI",Inicial!E26,"N/A")</f>
        <v>N/A</v>
      </c>
      <c r="F26" s="61" t="str">
        <f>IF(Inicial!K26="SI",Inicial!F26,"N/A")</f>
        <v>N/A</v>
      </c>
      <c r="G26" s="61" t="str">
        <f>IF(Inicial!K26="SI",Inicial!G26,"N/A")</f>
        <v>N/A</v>
      </c>
      <c r="H26" s="61" t="str">
        <f>IF(Inicial!K26="SI",Inicial!H26,"N/A")</f>
        <v>N/A</v>
      </c>
      <c r="I26" s="72" t="str">
        <f>IF(Inicial!K26="SI",Inicial!I26,"N/A")</f>
        <v>N/A</v>
      </c>
      <c r="K26" s="6"/>
      <c r="L26" s="6"/>
      <c r="M26" s="6"/>
      <c r="N26" s="6"/>
      <c r="O26" s="6"/>
      <c r="P26" s="97"/>
      <c r="Q26" s="93"/>
      <c r="R26" s="6"/>
      <c r="S26" s="6"/>
      <c r="T26" s="6"/>
      <c r="U26" s="6"/>
      <c r="V26" s="6"/>
      <c r="W26" s="94"/>
      <c r="X26" s="93"/>
      <c r="Y26" s="6"/>
      <c r="Z26" s="6"/>
      <c r="AA26" s="6"/>
      <c r="AB26" s="6"/>
      <c r="AC26" s="94"/>
      <c r="AD26" s="102" t="str">
        <f t="shared" si="0"/>
        <v>Aceptable</v>
      </c>
      <c r="AE26" s="6"/>
      <c r="AF26" s="6"/>
      <c r="AG26" s="6"/>
      <c r="AH26" s="6"/>
      <c r="AI26" s="6"/>
      <c r="AJ26" s="6"/>
      <c r="AK26" s="6"/>
      <c r="AL26" s="6"/>
      <c r="AM26" s="6"/>
      <c r="AN26" s="6"/>
      <c r="AO26" s="6"/>
      <c r="AP26" s="6"/>
      <c r="AQ26" s="6"/>
      <c r="AR26" s="6"/>
      <c r="AS26" s="6"/>
      <c r="AT26" s="6"/>
      <c r="AU26" s="6"/>
      <c r="AV26" s="45" t="str" cm="1">
        <f t="array" ref="AV26">IF(OR(AE26:AU26="SI"),"Critico","No critico")</f>
        <v>No critico</v>
      </c>
    </row>
    <row r="27" spans="1:48" ht="38.25">
      <c r="A27" s="60">
        <f>Inicial!A27</f>
        <v>25</v>
      </c>
      <c r="B27" s="61" t="str">
        <f>Inicial!B27</f>
        <v>Desposte</v>
      </c>
      <c r="C27" s="61" t="str">
        <f>Inicial!C27</f>
        <v>Operario de producción Línea Lomos</v>
      </c>
      <c r="D27" s="62" t="str">
        <f>Inicial!D27</f>
        <v>Prolijado de lomo tocino</v>
      </c>
      <c r="E27" s="60" t="str">
        <f>IF(Inicial!K27="SI",Inicial!E27,"N/A")</f>
        <v>N/A</v>
      </c>
      <c r="F27" s="61" t="str">
        <f>IF(Inicial!K27="SI",Inicial!F27,"N/A")</f>
        <v>N/A</v>
      </c>
      <c r="G27" s="61" t="str">
        <f>IF(Inicial!K27="SI",Inicial!G27,"N/A")</f>
        <v>N/A</v>
      </c>
      <c r="H27" s="61" t="str">
        <f>IF(Inicial!K27="SI",Inicial!H27,"N/A")</f>
        <v>N/A</v>
      </c>
      <c r="I27" s="72" t="str">
        <f>IF(Inicial!K27="SI",Inicial!I27,"N/A")</f>
        <v>N/A</v>
      </c>
      <c r="K27" s="6"/>
      <c r="L27" s="6"/>
      <c r="M27" s="6"/>
      <c r="N27" s="6"/>
      <c r="O27" s="6"/>
      <c r="P27" s="97"/>
      <c r="Q27" s="93"/>
      <c r="R27" s="6"/>
      <c r="S27" s="6"/>
      <c r="T27" s="6"/>
      <c r="U27" s="6"/>
      <c r="V27" s="6"/>
      <c r="W27" s="94"/>
      <c r="X27" s="93"/>
      <c r="Y27" s="6"/>
      <c r="Z27" s="6"/>
      <c r="AA27" s="6"/>
      <c r="AB27" s="6"/>
      <c r="AC27" s="94"/>
      <c r="AD27" s="102" t="str">
        <f t="shared" si="0"/>
        <v>Aceptable</v>
      </c>
      <c r="AE27" s="6"/>
      <c r="AF27" s="6"/>
      <c r="AG27" s="6"/>
      <c r="AH27" s="6"/>
      <c r="AI27" s="6"/>
      <c r="AJ27" s="6"/>
      <c r="AK27" s="6"/>
      <c r="AL27" s="6"/>
      <c r="AM27" s="6"/>
      <c r="AN27" s="6"/>
      <c r="AO27" s="6"/>
      <c r="AP27" s="6"/>
      <c r="AQ27" s="6"/>
      <c r="AR27" s="6"/>
      <c r="AS27" s="6"/>
      <c r="AT27" s="6"/>
      <c r="AU27" s="6"/>
      <c r="AV27" s="45" t="str" cm="1">
        <f t="array" ref="AV27">IF(OR(AE27:AU27="SI"),"Critico","No critico")</f>
        <v>No critico</v>
      </c>
    </row>
    <row r="28" spans="1:48" ht="38.25">
      <c r="A28" s="60">
        <f>Inicial!A28</f>
        <v>26</v>
      </c>
      <c r="B28" s="61" t="str">
        <f>Inicial!B28</f>
        <v>Desposte</v>
      </c>
      <c r="C28" s="61" t="str">
        <f>Inicial!C28</f>
        <v>Operario de producción Línea Lomos</v>
      </c>
      <c r="D28" s="62" t="str">
        <f>Inicial!D28</f>
        <v>Cuadrado de lomo tecla</v>
      </c>
      <c r="E28" s="60" t="str">
        <f>IF(Inicial!K28="SI",Inicial!E28,"N/A")</f>
        <v>N/A</v>
      </c>
      <c r="F28" s="61" t="str">
        <f>IF(Inicial!K28="SI",Inicial!F28,"N/A")</f>
        <v>N/A</v>
      </c>
      <c r="G28" s="61" t="str">
        <f>IF(Inicial!K28="SI",Inicial!G28,"N/A")</f>
        <v>N/A</v>
      </c>
      <c r="H28" s="61" t="str">
        <f>IF(Inicial!K28="SI",Inicial!H28,"N/A")</f>
        <v>N/A</v>
      </c>
      <c r="I28" s="72" t="str">
        <f>IF(Inicial!K28="SI",Inicial!I28,"N/A")</f>
        <v>N/A</v>
      </c>
      <c r="K28" s="6"/>
      <c r="L28" s="6"/>
      <c r="M28" s="6"/>
      <c r="N28" s="6"/>
      <c r="O28" s="6"/>
      <c r="P28" s="97"/>
      <c r="Q28" s="93"/>
      <c r="R28" s="6"/>
      <c r="S28" s="6"/>
      <c r="T28" s="6"/>
      <c r="U28" s="6"/>
      <c r="V28" s="6"/>
      <c r="W28" s="94"/>
      <c r="X28" s="93"/>
      <c r="Y28" s="6"/>
      <c r="Z28" s="6"/>
      <c r="AA28" s="6"/>
      <c r="AB28" s="6"/>
      <c r="AC28" s="94"/>
      <c r="AD28" s="102" t="str">
        <f t="shared" si="0"/>
        <v>Aceptable</v>
      </c>
      <c r="AE28" s="6"/>
      <c r="AF28" s="6"/>
      <c r="AG28" s="6"/>
      <c r="AH28" s="6"/>
      <c r="AI28" s="6"/>
      <c r="AJ28" s="6"/>
      <c r="AK28" s="6"/>
      <c r="AL28" s="6"/>
      <c r="AM28" s="6"/>
      <c r="AN28" s="6"/>
      <c r="AO28" s="6"/>
      <c r="AP28" s="6"/>
      <c r="AQ28" s="6"/>
      <c r="AR28" s="6"/>
      <c r="AS28" s="6"/>
      <c r="AT28" s="6"/>
      <c r="AU28" s="6"/>
      <c r="AV28" s="45" t="str" cm="1">
        <f t="array" ref="AV28">IF(OR(AE28:AU28="SI"),"Critico","No critico")</f>
        <v>No critico</v>
      </c>
    </row>
    <row r="29" spans="1:48" ht="38.25">
      <c r="A29" s="60">
        <f>Inicial!A29</f>
        <v>27</v>
      </c>
      <c r="B29" s="61" t="str">
        <f>Inicial!B29</f>
        <v>Desposte</v>
      </c>
      <c r="C29" s="61" t="str">
        <f>Inicial!C29</f>
        <v>Operario de producción Línea Lomos</v>
      </c>
      <c r="D29" s="62" t="str">
        <f>Inicial!D29</f>
        <v>Distribuidor de lomos</v>
      </c>
      <c r="E29" s="60" t="str">
        <f>IF(Inicial!K29="SI",Inicial!E29,"N/A")</f>
        <v>N/A</v>
      </c>
      <c r="F29" s="61" t="str">
        <f>IF(Inicial!K29="SI",Inicial!F29,"N/A")</f>
        <v>N/A</v>
      </c>
      <c r="G29" s="61" t="str">
        <f>IF(Inicial!K29="SI",Inicial!G29,"N/A")</f>
        <v>N/A</v>
      </c>
      <c r="H29" s="61" t="str">
        <f>IF(Inicial!K29="SI",Inicial!H29,"N/A")</f>
        <v>N/A</v>
      </c>
      <c r="I29" s="72" t="str">
        <f>IF(Inicial!K29="SI",Inicial!I29,"N/A")</f>
        <v>N/A</v>
      </c>
      <c r="K29" s="6"/>
      <c r="L29" s="6"/>
      <c r="M29" s="6"/>
      <c r="N29" s="6"/>
      <c r="O29" s="6"/>
      <c r="P29" s="97"/>
      <c r="Q29" s="93"/>
      <c r="R29" s="6"/>
      <c r="S29" s="6"/>
      <c r="T29" s="6"/>
      <c r="U29" s="6"/>
      <c r="V29" s="6"/>
      <c r="W29" s="94"/>
      <c r="X29" s="93"/>
      <c r="Y29" s="6"/>
      <c r="Z29" s="6"/>
      <c r="AA29" s="6"/>
      <c r="AB29" s="6"/>
      <c r="AC29" s="94"/>
      <c r="AD29" s="102" t="str">
        <f t="shared" si="0"/>
        <v>Aceptable</v>
      </c>
      <c r="AE29" s="6"/>
      <c r="AF29" s="6"/>
      <c r="AG29" s="6"/>
      <c r="AH29" s="6"/>
      <c r="AI29" s="6"/>
      <c r="AJ29" s="6"/>
      <c r="AK29" s="6"/>
      <c r="AL29" s="6"/>
      <c r="AM29" s="6"/>
      <c r="AN29" s="6"/>
      <c r="AO29" s="6"/>
      <c r="AP29" s="6"/>
      <c r="AQ29" s="6"/>
      <c r="AR29" s="6"/>
      <c r="AS29" s="6"/>
      <c r="AT29" s="6"/>
      <c r="AU29" s="6"/>
      <c r="AV29" s="45" t="str" cm="1">
        <f t="array" ref="AV29">IF(OR(AE29:AU29="SI"),"Critico","No critico")</f>
        <v>No critico</v>
      </c>
    </row>
    <row r="30" spans="1:48" ht="38.25">
      <c r="A30" s="60">
        <f>Inicial!A30</f>
        <v>28</v>
      </c>
      <c r="B30" s="61" t="str">
        <f>Inicial!B30</f>
        <v>Desposte</v>
      </c>
      <c r="C30" s="61" t="str">
        <f>Inicial!C30</f>
        <v>Operario de producción Línea Lomos</v>
      </c>
      <c r="D30" s="62" t="str">
        <f>Inicial!D30</f>
        <v>Extraccion de cordon de lomo</v>
      </c>
      <c r="E30" s="60" t="str">
        <f>IF(Inicial!K30="SI",Inicial!E30,"N/A")</f>
        <v>N/A</v>
      </c>
      <c r="F30" s="61" t="str">
        <f>IF(Inicial!K30="SI",Inicial!F30,"N/A")</f>
        <v>N/A</v>
      </c>
      <c r="G30" s="61" t="str">
        <f>IF(Inicial!K30="SI",Inicial!G30,"N/A")</f>
        <v>N/A</v>
      </c>
      <c r="H30" s="61" t="str">
        <f>IF(Inicial!K30="SI",Inicial!H30,"N/A")</f>
        <v>N/A</v>
      </c>
      <c r="I30" s="72" t="str">
        <f>IF(Inicial!K30="SI",Inicial!I30,"N/A")</f>
        <v>N/A</v>
      </c>
      <c r="K30" s="6"/>
      <c r="L30" s="6"/>
      <c r="M30" s="6"/>
      <c r="N30" s="6"/>
      <c r="O30" s="6"/>
      <c r="P30" s="97"/>
      <c r="Q30" s="93"/>
      <c r="R30" s="6"/>
      <c r="S30" s="6"/>
      <c r="T30" s="6"/>
      <c r="U30" s="6"/>
      <c r="V30" s="6"/>
      <c r="W30" s="94"/>
      <c r="X30" s="93"/>
      <c r="Y30" s="6"/>
      <c r="Z30" s="6"/>
      <c r="AA30" s="6"/>
      <c r="AB30" s="6"/>
      <c r="AC30" s="94"/>
      <c r="AD30" s="102" t="str">
        <f t="shared" si="0"/>
        <v>Aceptable</v>
      </c>
      <c r="AE30" s="6"/>
      <c r="AF30" s="6"/>
      <c r="AG30" s="6"/>
      <c r="AH30" s="6"/>
      <c r="AI30" s="6"/>
      <c r="AJ30" s="6"/>
      <c r="AK30" s="6"/>
      <c r="AL30" s="6"/>
      <c r="AM30" s="6"/>
      <c r="AN30" s="6"/>
      <c r="AO30" s="6"/>
      <c r="AP30" s="6"/>
      <c r="AQ30" s="6"/>
      <c r="AR30" s="6"/>
      <c r="AS30" s="6"/>
      <c r="AT30" s="6"/>
      <c r="AU30" s="6"/>
      <c r="AV30" s="45" t="str" cm="1">
        <f t="array" ref="AV30">IF(OR(AE30:AU30="SI"),"Critico","No critico")</f>
        <v>No critico</v>
      </c>
    </row>
    <row r="31" spans="1:48" ht="38.25">
      <c r="A31" s="60">
        <f>Inicial!A31</f>
        <v>29</v>
      </c>
      <c r="B31" s="61" t="str">
        <f>Inicial!B31</f>
        <v>Desposte</v>
      </c>
      <c r="C31" s="61" t="str">
        <f>Inicial!C31</f>
        <v>Operario de producción Línea Lomos</v>
      </c>
      <c r="D31" s="62" t="str">
        <f>Inicial!D31</f>
        <v>Prolijado de lomo con cuchillo circular</v>
      </c>
      <c r="E31" s="60" t="str">
        <f>IF(Inicial!K31="SI",Inicial!E31,"N/A")</f>
        <v>N/A</v>
      </c>
      <c r="F31" s="61" t="str">
        <f>IF(Inicial!K31="SI",Inicial!F31,"N/A")</f>
        <v>N/A</v>
      </c>
      <c r="G31" s="61" t="str">
        <f>IF(Inicial!K31="SI",Inicial!G31,"N/A")</f>
        <v>N/A</v>
      </c>
      <c r="H31" s="61" t="str">
        <f>IF(Inicial!K31="SI",Inicial!H31,"N/A")</f>
        <v>N/A</v>
      </c>
      <c r="I31" s="72" t="str">
        <f>IF(Inicial!K31="SI",Inicial!I31,"N/A")</f>
        <v>N/A</v>
      </c>
      <c r="K31" s="6"/>
      <c r="L31" s="6"/>
      <c r="M31" s="6"/>
      <c r="N31" s="6"/>
      <c r="O31" s="6"/>
      <c r="P31" s="97"/>
      <c r="Q31" s="93"/>
      <c r="R31" s="6"/>
      <c r="S31" s="6"/>
      <c r="T31" s="6"/>
      <c r="U31" s="6"/>
      <c r="V31" s="6"/>
      <c r="W31" s="94"/>
      <c r="X31" s="93"/>
      <c r="Y31" s="6"/>
      <c r="Z31" s="6"/>
      <c r="AA31" s="6"/>
      <c r="AB31" s="6"/>
      <c r="AC31" s="94"/>
      <c r="AD31" s="102" t="str">
        <f t="shared" si="0"/>
        <v>Aceptable</v>
      </c>
      <c r="AE31" s="6"/>
      <c r="AF31" s="6"/>
      <c r="AG31" s="6"/>
      <c r="AH31" s="6"/>
      <c r="AI31" s="6"/>
      <c r="AJ31" s="6"/>
      <c r="AK31" s="6"/>
      <c r="AL31" s="6"/>
      <c r="AM31" s="6"/>
      <c r="AN31" s="6"/>
      <c r="AO31" s="6"/>
      <c r="AP31" s="6"/>
      <c r="AQ31" s="6"/>
      <c r="AR31" s="6"/>
      <c r="AS31" s="6"/>
      <c r="AT31" s="6"/>
      <c r="AU31" s="6"/>
      <c r="AV31" s="45" t="str" cm="1">
        <f t="array" ref="AV31">IF(OR(AE31:AU31="SI"),"Critico","No critico")</f>
        <v>No critico</v>
      </c>
    </row>
    <row r="32" spans="1:48" ht="38.25">
      <c r="A32" s="60">
        <f>Inicial!A32</f>
        <v>30</v>
      </c>
      <c r="B32" s="61" t="str">
        <f>Inicial!B32</f>
        <v>Desposte</v>
      </c>
      <c r="C32" s="61" t="str">
        <f>Inicial!C32</f>
        <v>Operario de producción Línea Lomos</v>
      </c>
      <c r="D32" s="62" t="str">
        <f>Inicial!D32</f>
        <v>Cuadrado de lomo</v>
      </c>
      <c r="E32" s="60" t="str">
        <f>IF(Inicial!K32="SI",Inicial!E32,"N/A")</f>
        <v>N/A</v>
      </c>
      <c r="F32" s="61" t="str">
        <f>IF(Inicial!K32="SI",Inicial!F32,"N/A")</f>
        <v>N/A</v>
      </c>
      <c r="G32" s="61" t="str">
        <f>IF(Inicial!K32="SI",Inicial!G32,"N/A")</f>
        <v>N/A</v>
      </c>
      <c r="H32" s="61" t="str">
        <f>IF(Inicial!K32="SI",Inicial!H32,"N/A")</f>
        <v>N/A</v>
      </c>
      <c r="I32" s="72" t="str">
        <f>IF(Inicial!K32="SI",Inicial!I32,"N/A")</f>
        <v>N/A</v>
      </c>
      <c r="K32" s="6"/>
      <c r="L32" s="6"/>
      <c r="M32" s="6"/>
      <c r="N32" s="6"/>
      <c r="O32" s="6"/>
      <c r="P32" s="97"/>
      <c r="Q32" s="93"/>
      <c r="R32" s="6"/>
      <c r="S32" s="6"/>
      <c r="T32" s="6"/>
      <c r="U32" s="6"/>
      <c r="V32" s="6"/>
      <c r="W32" s="94"/>
      <c r="X32" s="93"/>
      <c r="Y32" s="6"/>
      <c r="Z32" s="6"/>
      <c r="AA32" s="6"/>
      <c r="AB32" s="6"/>
      <c r="AC32" s="94"/>
      <c r="AD32" s="102" t="str">
        <f t="shared" si="0"/>
        <v>Aceptable</v>
      </c>
      <c r="AE32" s="6"/>
      <c r="AF32" s="6"/>
      <c r="AG32" s="6"/>
      <c r="AH32" s="6"/>
      <c r="AI32" s="6"/>
      <c r="AJ32" s="6"/>
      <c r="AK32" s="6"/>
      <c r="AL32" s="6"/>
      <c r="AM32" s="6"/>
      <c r="AN32" s="6"/>
      <c r="AO32" s="6"/>
      <c r="AP32" s="6"/>
      <c r="AQ32" s="6"/>
      <c r="AR32" s="6"/>
      <c r="AS32" s="6"/>
      <c r="AT32" s="6"/>
      <c r="AU32" s="6"/>
      <c r="AV32" s="45" t="str" cm="1">
        <f t="array" ref="AV32">IF(OR(AE32:AU32="SI"),"Critico","No critico")</f>
        <v>No critico</v>
      </c>
    </row>
    <row r="33" spans="1:48" ht="38.25">
      <c r="A33" s="60">
        <f>Inicial!A33</f>
        <v>31</v>
      </c>
      <c r="B33" s="61" t="str">
        <f>Inicial!B33</f>
        <v>Desposte</v>
      </c>
      <c r="C33" s="61" t="str">
        <f>Inicial!C33</f>
        <v>Operario de producción Línea Lomos</v>
      </c>
      <c r="D33" s="62" t="str">
        <f>Inicial!D33</f>
        <v>Operador de equipo Freund</v>
      </c>
      <c r="E33" s="60" t="str">
        <f>IF(Inicial!K33="SI",Inicial!E33,"N/A")</f>
        <v>N/A</v>
      </c>
      <c r="F33" s="61" t="str">
        <f>IF(Inicial!K33="SI",Inicial!F33,"N/A")</f>
        <v>N/A</v>
      </c>
      <c r="G33" s="61" t="str">
        <f>IF(Inicial!K33="SI",Inicial!G33,"N/A")</f>
        <v>N/A</v>
      </c>
      <c r="H33" s="61" t="str">
        <f>IF(Inicial!K33="SI",Inicial!H33,"N/A")</f>
        <v>N/A</v>
      </c>
      <c r="I33" s="72" t="str">
        <f>IF(Inicial!K33="SI",Inicial!I33,"N/A")</f>
        <v>N/A</v>
      </c>
      <c r="K33" s="6"/>
      <c r="L33" s="6"/>
      <c r="M33" s="6"/>
      <c r="N33" s="6"/>
      <c r="O33" s="6"/>
      <c r="P33" s="97"/>
      <c r="Q33" s="93"/>
      <c r="R33" s="6"/>
      <c r="S33" s="6"/>
      <c r="T33" s="6"/>
      <c r="U33" s="6"/>
      <c r="V33" s="6"/>
      <c r="W33" s="94"/>
      <c r="X33" s="93"/>
      <c r="Y33" s="6"/>
      <c r="Z33" s="6"/>
      <c r="AA33" s="6"/>
      <c r="AB33" s="6"/>
      <c r="AC33" s="94"/>
      <c r="AD33" s="102" t="str">
        <f t="shared" si="0"/>
        <v>Aceptable</v>
      </c>
      <c r="AE33" s="6"/>
      <c r="AF33" s="6"/>
      <c r="AG33" s="6"/>
      <c r="AH33" s="6"/>
      <c r="AI33" s="6"/>
      <c r="AJ33" s="6"/>
      <c r="AK33" s="6"/>
      <c r="AL33" s="6"/>
      <c r="AM33" s="6"/>
      <c r="AN33" s="6"/>
      <c r="AO33" s="6"/>
      <c r="AP33" s="6"/>
      <c r="AQ33" s="6"/>
      <c r="AR33" s="6"/>
      <c r="AS33" s="6"/>
      <c r="AT33" s="6"/>
      <c r="AU33" s="6"/>
      <c r="AV33" s="45" t="str" cm="1">
        <f t="array" ref="AV33">IF(OR(AE33:AU33="SI"),"Critico","No critico")</f>
        <v>No critico</v>
      </c>
    </row>
    <row r="34" spans="1:48" ht="38.25">
      <c r="A34" s="60">
        <f>Inicial!A34</f>
        <v>32</v>
      </c>
      <c r="B34" s="61" t="str">
        <f>Inicial!B34</f>
        <v>Desposte</v>
      </c>
      <c r="C34" s="61" t="str">
        <f>Inicial!C34</f>
        <v>Operario de producción Línea Lomos</v>
      </c>
      <c r="D34" s="62" t="str">
        <f>Inicial!D34</f>
        <v>Operador de Tira Hueso</v>
      </c>
      <c r="E34" s="60" t="str">
        <f>IF(Inicial!K34="SI",Inicial!E34,"N/A")</f>
        <v>N/A</v>
      </c>
      <c r="F34" s="61" t="str">
        <f>IF(Inicial!K34="SI",Inicial!F34,"N/A")</f>
        <v>N/A</v>
      </c>
      <c r="G34" s="61" t="str">
        <f>IF(Inicial!K34="SI",Inicial!G34,"N/A")</f>
        <v>N/A</v>
      </c>
      <c r="H34" s="61" t="str">
        <f>IF(Inicial!K34="SI",Inicial!H34,"N/A")</f>
        <v>N/A</v>
      </c>
      <c r="I34" s="72" t="str">
        <f>IF(Inicial!K34="SI",Inicial!I34,"N/A")</f>
        <v>N/A</v>
      </c>
      <c r="K34" s="6"/>
      <c r="L34" s="6"/>
      <c r="M34" s="6"/>
      <c r="N34" s="6"/>
      <c r="O34" s="6"/>
      <c r="P34" s="97"/>
      <c r="Q34" s="93"/>
      <c r="R34" s="6"/>
      <c r="S34" s="6"/>
      <c r="T34" s="6"/>
      <c r="U34" s="6"/>
      <c r="V34" s="6"/>
      <c r="W34" s="94"/>
      <c r="X34" s="93"/>
      <c r="Y34" s="6"/>
      <c r="Z34" s="6"/>
      <c r="AA34" s="6"/>
      <c r="AB34" s="6"/>
      <c r="AC34" s="94"/>
      <c r="AD34" s="102" t="str">
        <f t="shared" si="0"/>
        <v>Aceptable</v>
      </c>
      <c r="AE34" s="6"/>
      <c r="AF34" s="6"/>
      <c r="AG34" s="6"/>
      <c r="AH34" s="6"/>
      <c r="AI34" s="6"/>
      <c r="AJ34" s="6"/>
      <c r="AK34" s="6"/>
      <c r="AL34" s="6"/>
      <c r="AM34" s="6"/>
      <c r="AN34" s="6"/>
      <c r="AO34" s="6"/>
      <c r="AP34" s="6"/>
      <c r="AQ34" s="6"/>
      <c r="AR34" s="6"/>
      <c r="AS34" s="6"/>
      <c r="AT34" s="6"/>
      <c r="AU34" s="6"/>
      <c r="AV34" s="45" t="str" cm="1">
        <f t="array" ref="AV34">IF(OR(AE34:AU34="SI"),"Critico","No critico")</f>
        <v>No critico</v>
      </c>
    </row>
    <row r="35" spans="1:48" ht="38.25">
      <c r="A35" s="60">
        <f>Inicial!A35</f>
        <v>33</v>
      </c>
      <c r="B35" s="61" t="str">
        <f>Inicial!B35</f>
        <v>Desposte</v>
      </c>
      <c r="C35" s="61" t="str">
        <f>Inicial!C35</f>
        <v>Operario de producción Línea Lomos</v>
      </c>
      <c r="D35" s="62" t="str">
        <f>Inicial!D35</f>
        <v>Operador de MA 100</v>
      </c>
      <c r="E35" s="60" t="str">
        <f>IF(Inicial!K35="SI",Inicial!E35,"N/A")</f>
        <v>N/A</v>
      </c>
      <c r="F35" s="61" t="str">
        <f>IF(Inicial!K35="SI",Inicial!F35,"N/A")</f>
        <v>N/A</v>
      </c>
      <c r="G35" s="61" t="str">
        <f>IF(Inicial!K35="SI",Inicial!G35,"N/A")</f>
        <v>N/A</v>
      </c>
      <c r="H35" s="61" t="str">
        <f>IF(Inicial!K35="SI",Inicial!H35,"N/A")</f>
        <v>N/A</v>
      </c>
      <c r="I35" s="72" t="str">
        <f>IF(Inicial!K35="SI",Inicial!I35,"N/A")</f>
        <v>N/A</v>
      </c>
      <c r="K35" s="6"/>
      <c r="L35" s="6"/>
      <c r="M35" s="6"/>
      <c r="N35" s="6"/>
      <c r="O35" s="6"/>
      <c r="P35" s="97"/>
      <c r="Q35" s="93"/>
      <c r="R35" s="6"/>
      <c r="S35" s="6"/>
      <c r="T35" s="6"/>
      <c r="U35" s="6"/>
      <c r="V35" s="6"/>
      <c r="W35" s="94"/>
      <c r="X35" s="93"/>
      <c r="Y35" s="6"/>
      <c r="Z35" s="6"/>
      <c r="AA35" s="6"/>
      <c r="AB35" s="6"/>
      <c r="AC35" s="94"/>
      <c r="AD35" s="102" t="str">
        <f t="shared" si="0"/>
        <v>Aceptable</v>
      </c>
      <c r="AE35" s="6"/>
      <c r="AF35" s="6"/>
      <c r="AG35" s="6"/>
      <c r="AH35" s="6"/>
      <c r="AI35" s="6"/>
      <c r="AJ35" s="6"/>
      <c r="AK35" s="6"/>
      <c r="AL35" s="6"/>
      <c r="AM35" s="6"/>
      <c r="AN35" s="6"/>
      <c r="AO35" s="6"/>
      <c r="AP35" s="6"/>
      <c r="AQ35" s="6"/>
      <c r="AR35" s="6"/>
      <c r="AS35" s="6"/>
      <c r="AT35" s="6"/>
      <c r="AU35" s="6"/>
      <c r="AV35" s="45" t="str" cm="1">
        <f t="array" ref="AV35">IF(OR(AE35:AU35="SI"),"Critico","No critico")</f>
        <v>No critico</v>
      </c>
    </row>
    <row r="36" spans="1:48" ht="38.25">
      <c r="A36" s="60">
        <f>Inicial!A36</f>
        <v>34</v>
      </c>
      <c r="B36" s="61" t="str">
        <f>Inicial!B36</f>
        <v>Desposte</v>
      </c>
      <c r="C36" s="61" t="str">
        <f>Inicial!C36</f>
        <v>Operario de producción Línea Lomos</v>
      </c>
      <c r="D36" s="62" t="str">
        <f>Inicial!D36</f>
        <v>Separación de resto tira hueso</v>
      </c>
      <c r="E36" s="60" t="str">
        <f>IF(Inicial!K36="SI",Inicial!E36,"N/A")</f>
        <v>N/A</v>
      </c>
      <c r="F36" s="61" t="str">
        <f>IF(Inicial!K36="SI",Inicial!F36,"N/A")</f>
        <v>N/A</v>
      </c>
      <c r="G36" s="61" t="str">
        <f>IF(Inicial!K36="SI",Inicial!G36,"N/A")</f>
        <v>N/A</v>
      </c>
      <c r="H36" s="61" t="str">
        <f>IF(Inicial!K36="SI",Inicial!H36,"N/A")</f>
        <v>N/A</v>
      </c>
      <c r="I36" s="72" t="str">
        <f>IF(Inicial!K36="SI",Inicial!I36,"N/A")</f>
        <v>N/A</v>
      </c>
      <c r="K36" s="6"/>
      <c r="L36" s="6"/>
      <c r="M36" s="6"/>
      <c r="N36" s="6"/>
      <c r="O36" s="6"/>
      <c r="P36" s="97"/>
      <c r="Q36" s="93"/>
      <c r="R36" s="6"/>
      <c r="S36" s="6"/>
      <c r="T36" s="6"/>
      <c r="U36" s="6"/>
      <c r="V36" s="6"/>
      <c r="W36" s="94"/>
      <c r="X36" s="93"/>
      <c r="Y36" s="6"/>
      <c r="Z36" s="6"/>
      <c r="AA36" s="6"/>
      <c r="AB36" s="6"/>
      <c r="AC36" s="94"/>
      <c r="AD36" s="102" t="str">
        <f t="shared" si="0"/>
        <v>Aceptable</v>
      </c>
      <c r="AE36" s="6"/>
      <c r="AF36" s="6"/>
      <c r="AG36" s="6"/>
      <c r="AH36" s="6"/>
      <c r="AI36" s="6"/>
      <c r="AJ36" s="6"/>
      <c r="AK36" s="6"/>
      <c r="AL36" s="6"/>
      <c r="AM36" s="6"/>
      <c r="AN36" s="6"/>
      <c r="AO36" s="6"/>
      <c r="AP36" s="6"/>
      <c r="AQ36" s="6"/>
      <c r="AR36" s="6"/>
      <c r="AS36" s="6"/>
      <c r="AT36" s="6"/>
      <c r="AU36" s="6"/>
      <c r="AV36" s="45" t="str" cm="1">
        <f t="array" ref="AV36">IF(OR(AE36:AU36="SI"),"Critico","No critico")</f>
        <v>No critico</v>
      </c>
    </row>
    <row r="37" spans="1:48" ht="38.25">
      <c r="A37" s="60">
        <f>Inicial!A37</f>
        <v>35</v>
      </c>
      <c r="B37" s="61" t="str">
        <f>Inicial!B37</f>
        <v>Desposte</v>
      </c>
      <c r="C37" s="61" t="str">
        <f>Inicial!C37</f>
        <v>Operario de producción Línea Lomos</v>
      </c>
      <c r="D37" s="62" t="str">
        <f>Inicial!D37</f>
        <v>Prolijado de tailen</v>
      </c>
      <c r="E37" s="60" t="str">
        <f>IF(Inicial!K37="SI",Inicial!E37,"N/A")</f>
        <v>N/A</v>
      </c>
      <c r="F37" s="61" t="str">
        <f>IF(Inicial!K37="SI",Inicial!F37,"N/A")</f>
        <v>N/A</v>
      </c>
      <c r="G37" s="61" t="str">
        <f>IF(Inicial!K37="SI",Inicial!G37,"N/A")</f>
        <v>N/A</v>
      </c>
      <c r="H37" s="61" t="str">
        <f>IF(Inicial!K37="SI",Inicial!H37,"N/A")</f>
        <v>N/A</v>
      </c>
      <c r="I37" s="72" t="str">
        <f>IF(Inicial!K37="SI",Inicial!I37,"N/A")</f>
        <v>N/A</v>
      </c>
      <c r="K37" s="6"/>
      <c r="L37" s="6"/>
      <c r="M37" s="6"/>
      <c r="N37" s="6"/>
      <c r="O37" s="6"/>
      <c r="P37" s="97"/>
      <c r="Q37" s="93"/>
      <c r="R37" s="6"/>
      <c r="S37" s="6"/>
      <c r="T37" s="6"/>
      <c r="U37" s="6"/>
      <c r="V37" s="6"/>
      <c r="W37" s="94"/>
      <c r="X37" s="93"/>
      <c r="Y37" s="6"/>
      <c r="Z37" s="6"/>
      <c r="AA37" s="6"/>
      <c r="AB37" s="6"/>
      <c r="AC37" s="94"/>
      <c r="AD37" s="102" t="str">
        <f t="shared" si="0"/>
        <v>Aceptable</v>
      </c>
      <c r="AE37" s="6"/>
      <c r="AF37" s="6"/>
      <c r="AG37" s="6"/>
      <c r="AH37" s="6"/>
      <c r="AI37" s="6"/>
      <c r="AJ37" s="6"/>
      <c r="AK37" s="6"/>
      <c r="AL37" s="6"/>
      <c r="AM37" s="6"/>
      <c r="AN37" s="6"/>
      <c r="AO37" s="6"/>
      <c r="AP37" s="6"/>
      <c r="AQ37" s="6"/>
      <c r="AR37" s="6"/>
      <c r="AS37" s="6"/>
      <c r="AT37" s="6"/>
      <c r="AU37" s="6"/>
      <c r="AV37" s="45" t="str" cm="1">
        <f t="array" ref="AV37">IF(OR(AE37:AU37="SI"),"Critico","No critico")</f>
        <v>No critico</v>
      </c>
    </row>
    <row r="38" spans="1:48" ht="38.25">
      <c r="A38" s="60">
        <f>Inicial!A38</f>
        <v>36</v>
      </c>
      <c r="B38" s="61" t="str">
        <f>Inicial!B38</f>
        <v>Desposte</v>
      </c>
      <c r="C38" s="61" t="str">
        <f>Inicial!C38</f>
        <v>Operario de producción Línea Lomos</v>
      </c>
      <c r="D38" s="62" t="str">
        <f>Inicial!D38</f>
        <v>Calibrado de tailen</v>
      </c>
      <c r="E38" s="60" t="str">
        <f>IF(Inicial!K38="SI",Inicial!E38,"N/A")</f>
        <v>N/A</v>
      </c>
      <c r="F38" s="61" t="str">
        <f>IF(Inicial!K38="SI",Inicial!F38,"N/A")</f>
        <v>N/A</v>
      </c>
      <c r="G38" s="61" t="str">
        <f>IF(Inicial!K38="SI",Inicial!G38,"N/A")</f>
        <v>N/A</v>
      </c>
      <c r="H38" s="61" t="str">
        <f>IF(Inicial!K38="SI",Inicial!H38,"N/A")</f>
        <v>N/A</v>
      </c>
      <c r="I38" s="72" t="str">
        <f>IF(Inicial!K38="SI",Inicial!I38,"N/A")</f>
        <v>N/A</v>
      </c>
      <c r="K38" s="6"/>
      <c r="L38" s="6"/>
      <c r="M38" s="6"/>
      <c r="N38" s="6"/>
      <c r="O38" s="6"/>
      <c r="P38" s="97"/>
      <c r="Q38" s="93"/>
      <c r="R38" s="6"/>
      <c r="S38" s="6"/>
      <c r="T38" s="6"/>
      <c r="U38" s="6"/>
      <c r="V38" s="6"/>
      <c r="W38" s="94"/>
      <c r="X38" s="93"/>
      <c r="Y38" s="6"/>
      <c r="Z38" s="6"/>
      <c r="AA38" s="6"/>
      <c r="AB38" s="6"/>
      <c r="AC38" s="94"/>
      <c r="AD38" s="102" t="str">
        <f t="shared" si="0"/>
        <v>Aceptable</v>
      </c>
      <c r="AE38" s="6"/>
      <c r="AF38" s="6"/>
      <c r="AG38" s="6"/>
      <c r="AH38" s="6"/>
      <c r="AI38" s="6"/>
      <c r="AJ38" s="6"/>
      <c r="AK38" s="6"/>
      <c r="AL38" s="6"/>
      <c r="AM38" s="6"/>
      <c r="AN38" s="6"/>
      <c r="AO38" s="6"/>
      <c r="AP38" s="6"/>
      <c r="AQ38" s="6"/>
      <c r="AR38" s="6"/>
      <c r="AS38" s="6"/>
      <c r="AT38" s="6"/>
      <c r="AU38" s="6"/>
      <c r="AV38" s="45" t="str" cm="1">
        <f t="array" ref="AV38">IF(OR(AE38:AU38="SI"),"Critico","No critico")</f>
        <v>No critico</v>
      </c>
    </row>
    <row r="39" spans="1:48" ht="38.25">
      <c r="A39" s="60">
        <f>Inicial!A39</f>
        <v>37</v>
      </c>
      <c r="B39" s="61" t="str">
        <f>Inicial!B39</f>
        <v>Desposte</v>
      </c>
      <c r="C39" s="61" t="str">
        <f>Inicial!C39</f>
        <v>Operario de producción Línea Lomos</v>
      </c>
      <c r="D39" s="62" t="str">
        <f>Inicial!D39</f>
        <v>Calibrado de baby back ribs</v>
      </c>
      <c r="E39" s="60" t="str">
        <f>IF(Inicial!K39="SI",Inicial!E39,"N/A")</f>
        <v>N/A</v>
      </c>
      <c r="F39" s="61" t="str">
        <f>IF(Inicial!K39="SI",Inicial!F39,"N/A")</f>
        <v>N/A</v>
      </c>
      <c r="G39" s="61" t="str">
        <f>IF(Inicial!K39="SI",Inicial!G39,"N/A")</f>
        <v>N/A</v>
      </c>
      <c r="H39" s="61" t="str">
        <f>IF(Inicial!K39="SI",Inicial!H39,"N/A")</f>
        <v>N/A</v>
      </c>
      <c r="I39" s="72" t="str">
        <f>IF(Inicial!K39="SI",Inicial!I39,"N/A")</f>
        <v>N/A</v>
      </c>
      <c r="K39" s="6"/>
      <c r="L39" s="6"/>
      <c r="M39" s="6"/>
      <c r="N39" s="6"/>
      <c r="O39" s="6"/>
      <c r="P39" s="97"/>
      <c r="Q39" s="93"/>
      <c r="R39" s="6"/>
      <c r="S39" s="6"/>
      <c r="T39" s="6"/>
      <c r="U39" s="6"/>
      <c r="V39" s="6"/>
      <c r="W39" s="94"/>
      <c r="X39" s="93"/>
      <c r="Y39" s="6"/>
      <c r="Z39" s="6"/>
      <c r="AA39" s="6"/>
      <c r="AB39" s="6"/>
      <c r="AC39" s="94"/>
      <c r="AD39" s="102" t="str">
        <f t="shared" si="0"/>
        <v>Aceptable</v>
      </c>
      <c r="AE39" s="6"/>
      <c r="AF39" s="6"/>
      <c r="AG39" s="6"/>
      <c r="AH39" s="6"/>
      <c r="AI39" s="6"/>
      <c r="AJ39" s="6"/>
      <c r="AK39" s="6"/>
      <c r="AL39" s="6"/>
      <c r="AM39" s="6"/>
      <c r="AN39" s="6"/>
      <c r="AO39" s="6"/>
      <c r="AP39" s="6"/>
      <c r="AQ39" s="6"/>
      <c r="AR39" s="6"/>
      <c r="AS39" s="6"/>
      <c r="AT39" s="6"/>
      <c r="AU39" s="6"/>
      <c r="AV39" s="45" t="str" cm="1">
        <f t="array" ref="AV39">IF(OR(AE39:AU39="SI"),"Critico","No critico")</f>
        <v>No critico</v>
      </c>
    </row>
    <row r="40" spans="1:48" ht="38.25">
      <c r="A40" s="60">
        <f>Inicial!A40</f>
        <v>38</v>
      </c>
      <c r="B40" s="61" t="str">
        <f>Inicial!B40</f>
        <v>Desposte</v>
      </c>
      <c r="C40" s="61" t="str">
        <f>Inicial!C40</f>
        <v>Operario de producción Línea Lomos</v>
      </c>
      <c r="D40" s="62" t="str">
        <f>Inicial!D40</f>
        <v>Embalaje de baby back ribs</v>
      </c>
      <c r="E40" s="60" t="str">
        <f>IF(Inicial!K40="SI",Inicial!E40,"N/A")</f>
        <v>N/A</v>
      </c>
      <c r="F40" s="61" t="str">
        <f>IF(Inicial!K40="SI",Inicial!F40,"N/A")</f>
        <v>N/A</v>
      </c>
      <c r="G40" s="61" t="str">
        <f>IF(Inicial!K40="SI",Inicial!G40,"N/A")</f>
        <v>N/A</v>
      </c>
      <c r="H40" s="61" t="str">
        <f>IF(Inicial!K40="SI",Inicial!H40,"N/A")</f>
        <v>N/A</v>
      </c>
      <c r="I40" s="72" t="str">
        <f>IF(Inicial!K40="SI",Inicial!I40,"N/A")</f>
        <v>N/A</v>
      </c>
      <c r="K40" s="6"/>
      <c r="L40" s="6"/>
      <c r="M40" s="6"/>
      <c r="N40" s="6"/>
      <c r="O40" s="6"/>
      <c r="P40" s="97"/>
      <c r="Q40" s="93"/>
      <c r="R40" s="6"/>
      <c r="S40" s="6"/>
      <c r="T40" s="6"/>
      <c r="U40" s="6"/>
      <c r="V40" s="6"/>
      <c r="W40" s="94"/>
      <c r="X40" s="93"/>
      <c r="Y40" s="6"/>
      <c r="Z40" s="6"/>
      <c r="AA40" s="6"/>
      <c r="AB40" s="6"/>
      <c r="AC40" s="94"/>
      <c r="AD40" s="102" t="str">
        <f t="shared" si="0"/>
        <v>Aceptable</v>
      </c>
      <c r="AE40" s="6"/>
      <c r="AF40" s="6"/>
      <c r="AG40" s="6"/>
      <c r="AH40" s="6"/>
      <c r="AI40" s="6"/>
      <c r="AJ40" s="6"/>
      <c r="AK40" s="6"/>
      <c r="AL40" s="6"/>
      <c r="AM40" s="6"/>
      <c r="AN40" s="6"/>
      <c r="AO40" s="6"/>
      <c r="AP40" s="6"/>
      <c r="AQ40" s="6"/>
      <c r="AR40" s="6"/>
      <c r="AS40" s="6"/>
      <c r="AT40" s="6"/>
      <c r="AU40" s="6"/>
      <c r="AV40" s="45" t="str" cm="1">
        <f t="array" ref="AV40">IF(OR(AE40:AU40="SI"),"Critico","No critico")</f>
        <v>No critico</v>
      </c>
    </row>
    <row r="41" spans="1:48" ht="38.25">
      <c r="A41" s="60">
        <f>Inicial!A41</f>
        <v>39</v>
      </c>
      <c r="B41" s="61" t="str">
        <f>Inicial!B41</f>
        <v>Desposte</v>
      </c>
      <c r="C41" s="61" t="str">
        <f>Inicial!C41</f>
        <v>Operario de producción Línea Lomos</v>
      </c>
      <c r="D41" s="62" t="str">
        <f>Inicial!D41</f>
        <v>Estuche</v>
      </c>
      <c r="E41" s="60" t="str">
        <f>IF(Inicial!K41="SI",Inicial!E41,"N/A")</f>
        <v>N/A</v>
      </c>
      <c r="F41" s="61" t="str">
        <f>IF(Inicial!K41="SI",Inicial!F41,"N/A")</f>
        <v>N/A</v>
      </c>
      <c r="G41" s="61" t="str">
        <f>IF(Inicial!K41="SI",Inicial!G41,"N/A")</f>
        <v>N/A</v>
      </c>
      <c r="H41" s="61" t="str">
        <f>IF(Inicial!K41="SI",Inicial!H41,"N/A")</f>
        <v>N/A</v>
      </c>
      <c r="I41" s="72" t="str">
        <f>IF(Inicial!K41="SI",Inicial!I41,"N/A")</f>
        <v>N/A</v>
      </c>
      <c r="K41" s="6"/>
      <c r="L41" s="6"/>
      <c r="M41" s="6"/>
      <c r="N41" s="6"/>
      <c r="O41" s="6"/>
      <c r="P41" s="97"/>
      <c r="Q41" s="93"/>
      <c r="R41" s="6"/>
      <c r="S41" s="6"/>
      <c r="T41" s="6"/>
      <c r="U41" s="6"/>
      <c r="V41" s="6"/>
      <c r="W41" s="94"/>
      <c r="X41" s="93"/>
      <c r="Y41" s="6"/>
      <c r="Z41" s="6"/>
      <c r="AA41" s="6"/>
      <c r="AB41" s="6"/>
      <c r="AC41" s="94"/>
      <c r="AD41" s="102" t="str">
        <f t="shared" si="0"/>
        <v>Aceptable</v>
      </c>
      <c r="AE41" s="6"/>
      <c r="AF41" s="6"/>
      <c r="AG41" s="6"/>
      <c r="AH41" s="6"/>
      <c r="AI41" s="6"/>
      <c r="AJ41" s="6"/>
      <c r="AK41" s="6"/>
      <c r="AL41" s="6"/>
      <c r="AM41" s="6"/>
      <c r="AN41" s="6"/>
      <c r="AO41" s="6"/>
      <c r="AP41" s="6"/>
      <c r="AQ41" s="6"/>
      <c r="AR41" s="6"/>
      <c r="AS41" s="6"/>
      <c r="AT41" s="6"/>
      <c r="AU41" s="6"/>
      <c r="AV41" s="45" t="str" cm="1">
        <f t="array" ref="AV41">IF(OR(AE41:AU41="SI"),"Critico","No critico")</f>
        <v>No critico</v>
      </c>
    </row>
    <row r="42" spans="1:48" ht="38.25">
      <c r="A42" s="60">
        <f>Inicial!A42</f>
        <v>40</v>
      </c>
      <c r="B42" s="61" t="str">
        <f>Inicial!B42</f>
        <v>Desposte</v>
      </c>
      <c r="C42" s="61" t="str">
        <f>Inicial!C42</f>
        <v>Operario de producción Línea Lomos</v>
      </c>
      <c r="D42" s="62" t="str">
        <f>Inicial!D42</f>
        <v>Pegar fechas</v>
      </c>
      <c r="E42" s="60" t="str">
        <f>IF(Inicial!K42="SI",Inicial!E42,"N/A")</f>
        <v>N/A</v>
      </c>
      <c r="F42" s="61" t="str">
        <f>IF(Inicial!K42="SI",Inicial!F42,"N/A")</f>
        <v>N/A</v>
      </c>
      <c r="G42" s="61" t="str">
        <f>IF(Inicial!K42="SI",Inicial!G42,"N/A")</f>
        <v>N/A</v>
      </c>
      <c r="H42" s="61" t="str">
        <f>IF(Inicial!K42="SI",Inicial!H42,"N/A")</f>
        <v>N/A</v>
      </c>
      <c r="I42" s="72" t="str">
        <f>IF(Inicial!K42="SI",Inicial!I42,"N/A")</f>
        <v>N/A</v>
      </c>
      <c r="K42" s="6"/>
      <c r="L42" s="6"/>
      <c r="M42" s="6"/>
      <c r="N42" s="6"/>
      <c r="O42" s="6"/>
      <c r="P42" s="97"/>
      <c r="Q42" s="93"/>
      <c r="R42" s="6"/>
      <c r="S42" s="6"/>
      <c r="T42" s="6"/>
      <c r="U42" s="6"/>
      <c r="V42" s="6"/>
      <c r="W42" s="94"/>
      <c r="X42" s="93"/>
      <c r="Y42" s="6"/>
      <c r="Z42" s="6"/>
      <c r="AA42" s="6"/>
      <c r="AB42" s="6"/>
      <c r="AC42" s="94"/>
      <c r="AD42" s="102" t="str">
        <f t="shared" si="0"/>
        <v>Aceptable</v>
      </c>
      <c r="AE42" s="6"/>
      <c r="AF42" s="6"/>
      <c r="AG42" s="6"/>
      <c r="AH42" s="6"/>
      <c r="AI42" s="6"/>
      <c r="AJ42" s="6"/>
      <c r="AK42" s="6"/>
      <c r="AL42" s="6"/>
      <c r="AM42" s="6"/>
      <c r="AN42" s="6"/>
      <c r="AO42" s="6"/>
      <c r="AP42" s="6"/>
      <c r="AQ42" s="6"/>
      <c r="AR42" s="6"/>
      <c r="AS42" s="6"/>
      <c r="AT42" s="6"/>
      <c r="AU42" s="6"/>
      <c r="AV42" s="45" t="str" cm="1">
        <f t="array" ref="AV42">IF(OR(AE42:AU42="SI"),"Critico","No critico")</f>
        <v>No critico</v>
      </c>
    </row>
    <row r="43" spans="1:48" ht="38.25">
      <c r="A43" s="60">
        <f>Inicial!A43</f>
        <v>41</v>
      </c>
      <c r="B43" s="61" t="str">
        <f>Inicial!B43</f>
        <v>Desposte</v>
      </c>
      <c r="C43" s="61" t="str">
        <f>Inicial!C43</f>
        <v>Operario de producción Línea Lomos</v>
      </c>
      <c r="D43" s="62" t="str">
        <f>Inicial!D43</f>
        <v>Operador de equipo Selladora C-500</v>
      </c>
      <c r="E43" s="60" t="str">
        <f>IF(Inicial!K43="SI",Inicial!E43,"N/A")</f>
        <v>N/A</v>
      </c>
      <c r="F43" s="61" t="str">
        <f>IF(Inicial!K43="SI",Inicial!F43,"N/A")</f>
        <v>N/A</v>
      </c>
      <c r="G43" s="61" t="str">
        <f>IF(Inicial!K43="SI",Inicial!G43,"N/A")</f>
        <v>N/A</v>
      </c>
      <c r="H43" s="61" t="str">
        <f>IF(Inicial!K43="SI",Inicial!H43,"N/A")</f>
        <v>N/A</v>
      </c>
      <c r="I43" s="72" t="str">
        <f>IF(Inicial!K43="SI",Inicial!I43,"N/A")</f>
        <v>N/A</v>
      </c>
      <c r="K43" s="6"/>
      <c r="L43" s="6"/>
      <c r="M43" s="6"/>
      <c r="N43" s="6"/>
      <c r="O43" s="6"/>
      <c r="P43" s="97"/>
      <c r="Q43" s="93"/>
      <c r="R43" s="6"/>
      <c r="S43" s="6"/>
      <c r="T43" s="6"/>
      <c r="U43" s="6"/>
      <c r="V43" s="6"/>
      <c r="W43" s="94"/>
      <c r="X43" s="93"/>
      <c r="Y43" s="6"/>
      <c r="Z43" s="6"/>
      <c r="AA43" s="6"/>
      <c r="AB43" s="6"/>
      <c r="AC43" s="94"/>
      <c r="AD43" s="102" t="str">
        <f t="shared" si="0"/>
        <v>Aceptable</v>
      </c>
      <c r="AE43" s="6"/>
      <c r="AF43" s="6"/>
      <c r="AG43" s="6"/>
      <c r="AH43" s="6"/>
      <c r="AI43" s="6"/>
      <c r="AJ43" s="6"/>
      <c r="AK43" s="6"/>
      <c r="AL43" s="6"/>
      <c r="AM43" s="6"/>
      <c r="AN43" s="6"/>
      <c r="AO43" s="6"/>
      <c r="AP43" s="6"/>
      <c r="AQ43" s="6"/>
      <c r="AR43" s="6"/>
      <c r="AS43" s="6"/>
      <c r="AT43" s="6"/>
      <c r="AU43" s="6"/>
      <c r="AV43" s="45" t="str" cm="1">
        <f t="array" ref="AV43">IF(OR(AE43:AU43="SI"),"Critico","No critico")</f>
        <v>No critico</v>
      </c>
    </row>
    <row r="44" spans="1:48" ht="38.25">
      <c r="A44" s="60">
        <f>Inicial!A44</f>
        <v>42</v>
      </c>
      <c r="B44" s="61" t="str">
        <f>Inicial!B44</f>
        <v>Desposte</v>
      </c>
      <c r="C44" s="61" t="str">
        <f>Inicial!C44</f>
        <v>Operario de producción Línea Paletas</v>
      </c>
      <c r="D44" s="62" t="str">
        <f>Inicial!D44</f>
        <v>Despunte Axilar</v>
      </c>
      <c r="E44" s="60" t="str">
        <f>IF(Inicial!K44="SI",Inicial!E44,"N/A")</f>
        <v>N/A</v>
      </c>
      <c r="F44" s="61" t="str">
        <f>IF(Inicial!K44="SI",Inicial!F44,"N/A")</f>
        <v>N/A</v>
      </c>
      <c r="G44" s="61" t="str">
        <f>IF(Inicial!K44="SI",Inicial!G44,"N/A")</f>
        <v>N/A</v>
      </c>
      <c r="H44" s="61" t="str">
        <f>IF(Inicial!K44="SI",Inicial!H44,"N/A")</f>
        <v>N/A</v>
      </c>
      <c r="I44" s="72" t="str">
        <f>IF(Inicial!K44="SI",Inicial!I44,"N/A")</f>
        <v>N/A</v>
      </c>
      <c r="K44" s="6"/>
      <c r="L44" s="6"/>
      <c r="M44" s="6"/>
      <c r="N44" s="6"/>
      <c r="O44" s="6"/>
      <c r="P44" s="97"/>
      <c r="Q44" s="93"/>
      <c r="R44" s="6"/>
      <c r="S44" s="6"/>
      <c r="T44" s="6"/>
      <c r="U44" s="6"/>
      <c r="V44" s="6"/>
      <c r="W44" s="94"/>
      <c r="X44" s="93"/>
      <c r="Y44" s="6"/>
      <c r="Z44" s="6"/>
      <c r="AA44" s="6"/>
      <c r="AB44" s="6"/>
      <c r="AC44" s="94"/>
      <c r="AD44" s="102" t="str">
        <f t="shared" si="0"/>
        <v>Aceptable</v>
      </c>
      <c r="AE44" s="6"/>
      <c r="AF44" s="6"/>
      <c r="AG44" s="6"/>
      <c r="AH44" s="6"/>
      <c r="AI44" s="6"/>
      <c r="AJ44" s="6"/>
      <c r="AK44" s="6"/>
      <c r="AL44" s="6"/>
      <c r="AM44" s="6"/>
      <c r="AN44" s="6"/>
      <c r="AO44" s="6"/>
      <c r="AP44" s="6"/>
      <c r="AQ44" s="6"/>
      <c r="AR44" s="6"/>
      <c r="AS44" s="6"/>
      <c r="AT44" s="6"/>
      <c r="AU44" s="6"/>
      <c r="AV44" s="45" t="str" cm="1">
        <f t="array" ref="AV44">IF(OR(AE44:AU44="SI"),"Critico","No critico")</f>
        <v>No critico</v>
      </c>
    </row>
    <row r="45" spans="1:48" ht="38.25">
      <c r="A45" s="60">
        <f>Inicial!A45</f>
        <v>43</v>
      </c>
      <c r="B45" s="61" t="str">
        <f>Inicial!B45</f>
        <v>Desposte</v>
      </c>
      <c r="C45" s="61" t="str">
        <f>Inicial!C45</f>
        <v>Operario de producción Línea Paletas</v>
      </c>
      <c r="D45" s="62" t="str">
        <f>Inicial!D45</f>
        <v>Desforrado de Paleta</v>
      </c>
      <c r="E45" s="60" t="str">
        <f>IF(Inicial!K45="SI",Inicial!E45,"N/A")</f>
        <v>N/A</v>
      </c>
      <c r="F45" s="61" t="str">
        <f>IF(Inicial!K45="SI",Inicial!F45,"N/A")</f>
        <v>N/A</v>
      </c>
      <c r="G45" s="61" t="str">
        <f>IF(Inicial!K45="SI",Inicial!G45,"N/A")</f>
        <v>N/A</v>
      </c>
      <c r="H45" s="61" t="str">
        <f>IF(Inicial!K45="SI",Inicial!H45,"N/A")</f>
        <v>N/A</v>
      </c>
      <c r="I45" s="72" t="str">
        <f>IF(Inicial!K45="SI",Inicial!I45,"N/A")</f>
        <v>N/A</v>
      </c>
      <c r="K45" s="6"/>
      <c r="L45" s="6"/>
      <c r="M45" s="6"/>
      <c r="N45" s="6"/>
      <c r="O45" s="6"/>
      <c r="P45" s="97"/>
      <c r="Q45" s="93"/>
      <c r="R45" s="6"/>
      <c r="S45" s="6"/>
      <c r="T45" s="6"/>
      <c r="U45" s="6"/>
      <c r="V45" s="6"/>
      <c r="W45" s="94"/>
      <c r="X45" s="93"/>
      <c r="Y45" s="6"/>
      <c r="Z45" s="6"/>
      <c r="AA45" s="6"/>
      <c r="AB45" s="6"/>
      <c r="AC45" s="94"/>
      <c r="AD45" s="102" t="str">
        <f t="shared" si="0"/>
        <v>Aceptable</v>
      </c>
      <c r="AE45" s="6"/>
      <c r="AF45" s="6"/>
      <c r="AG45" s="6"/>
      <c r="AH45" s="6"/>
      <c r="AI45" s="6"/>
      <c r="AJ45" s="6"/>
      <c r="AK45" s="6"/>
      <c r="AL45" s="6"/>
      <c r="AM45" s="6"/>
      <c r="AN45" s="6"/>
      <c r="AO45" s="6"/>
      <c r="AP45" s="6"/>
      <c r="AQ45" s="6"/>
      <c r="AR45" s="6"/>
      <c r="AS45" s="6"/>
      <c r="AT45" s="6"/>
      <c r="AU45" s="6"/>
      <c r="AV45" s="45" t="str" cm="1">
        <f t="array" ref="AV45">IF(OR(AE45:AU45="SI"),"Critico","No critico")</f>
        <v>No critico</v>
      </c>
    </row>
    <row r="46" spans="1:48" ht="38.25">
      <c r="A46" s="60">
        <f>Inicial!A46</f>
        <v>44</v>
      </c>
      <c r="B46" s="61" t="str">
        <f>Inicial!B46</f>
        <v>Desposte</v>
      </c>
      <c r="C46" s="61" t="str">
        <f>Inicial!C46</f>
        <v>Operario de producción Línea Paletas</v>
      </c>
      <c r="D46" s="62" t="str">
        <f>Inicial!D46</f>
        <v>Extracción de ganglios paleta</v>
      </c>
      <c r="E46" s="60" t="str">
        <f>IF(Inicial!K46="SI",Inicial!E46,"N/A")</f>
        <v>N/A</v>
      </c>
      <c r="F46" s="61" t="str">
        <f>IF(Inicial!K46="SI",Inicial!F46,"N/A")</f>
        <v>N/A</v>
      </c>
      <c r="G46" s="61" t="str">
        <f>IF(Inicial!K46="SI",Inicial!G46,"N/A")</f>
        <v>N/A</v>
      </c>
      <c r="H46" s="61" t="str">
        <f>IF(Inicial!K46="SI",Inicial!H46,"N/A")</f>
        <v>N/A</v>
      </c>
      <c r="I46" s="72" t="str">
        <f>IF(Inicial!K46="SI",Inicial!I46,"N/A")</f>
        <v>N/A</v>
      </c>
      <c r="K46" s="6"/>
      <c r="L46" s="6"/>
      <c r="M46" s="6"/>
      <c r="N46" s="6"/>
      <c r="O46" s="6"/>
      <c r="P46" s="97"/>
      <c r="Q46" s="93"/>
      <c r="R46" s="6"/>
      <c r="S46" s="6"/>
      <c r="T46" s="6"/>
      <c r="U46" s="6"/>
      <c r="V46" s="6"/>
      <c r="W46" s="94"/>
      <c r="X46" s="93"/>
      <c r="Y46" s="6"/>
      <c r="Z46" s="6"/>
      <c r="AA46" s="6"/>
      <c r="AB46" s="6"/>
      <c r="AC46" s="94"/>
      <c r="AD46" s="102" t="str">
        <f t="shared" si="0"/>
        <v>Aceptable</v>
      </c>
      <c r="AE46" s="6"/>
      <c r="AF46" s="6"/>
      <c r="AG46" s="6"/>
      <c r="AH46" s="6"/>
      <c r="AI46" s="6"/>
      <c r="AJ46" s="6"/>
      <c r="AK46" s="6"/>
      <c r="AL46" s="6"/>
      <c r="AM46" s="6"/>
      <c r="AN46" s="6"/>
      <c r="AO46" s="6"/>
      <c r="AP46" s="6"/>
      <c r="AQ46" s="6"/>
      <c r="AR46" s="6"/>
      <c r="AS46" s="6"/>
      <c r="AT46" s="6"/>
      <c r="AU46" s="6"/>
      <c r="AV46" s="45" t="str" cm="1">
        <f t="array" ref="AV46">IF(OR(AE46:AU46="SI"),"Critico","No critico")</f>
        <v>No critico</v>
      </c>
    </row>
    <row r="47" spans="1:48" ht="38.25">
      <c r="A47" s="60">
        <f>Inicial!A47</f>
        <v>45</v>
      </c>
      <c r="B47" s="61" t="str">
        <f>Inicial!B47</f>
        <v>Desposte</v>
      </c>
      <c r="C47" s="61" t="str">
        <f>Inicial!C47</f>
        <v>Operario de producción Línea Paletas</v>
      </c>
      <c r="D47" s="62" t="str">
        <f>Inicial!D47</f>
        <v>Extracción de plateada de paleta</v>
      </c>
      <c r="E47" s="60" t="str">
        <f>IF(Inicial!K47="SI",Inicial!E47,"N/A")</f>
        <v>N/A</v>
      </c>
      <c r="F47" s="61" t="str">
        <f>IF(Inicial!K47="SI",Inicial!F47,"N/A")</f>
        <v>N/A</v>
      </c>
      <c r="G47" s="61" t="str">
        <f>IF(Inicial!K47="SI",Inicial!G47,"N/A")</f>
        <v>N/A</v>
      </c>
      <c r="H47" s="61" t="str">
        <f>IF(Inicial!K47="SI",Inicial!H47,"N/A")</f>
        <v>N/A</v>
      </c>
      <c r="I47" s="72" t="str">
        <f>IF(Inicial!K47="SI",Inicial!I47,"N/A")</f>
        <v>N/A</v>
      </c>
      <c r="K47" s="6"/>
      <c r="L47" s="6"/>
      <c r="M47" s="6"/>
      <c r="N47" s="6"/>
      <c r="O47" s="6"/>
      <c r="P47" s="97"/>
      <c r="Q47" s="93"/>
      <c r="R47" s="6"/>
      <c r="S47" s="6"/>
      <c r="T47" s="6"/>
      <c r="U47" s="6"/>
      <c r="V47" s="6"/>
      <c r="W47" s="94"/>
      <c r="X47" s="93"/>
      <c r="Y47" s="6"/>
      <c r="Z47" s="6"/>
      <c r="AA47" s="6"/>
      <c r="AB47" s="6"/>
      <c r="AC47" s="94"/>
      <c r="AD47" s="102" t="str">
        <f t="shared" si="0"/>
        <v>Aceptable</v>
      </c>
      <c r="AE47" s="6"/>
      <c r="AF47" s="6"/>
      <c r="AG47" s="6"/>
      <c r="AH47" s="6"/>
      <c r="AI47" s="6"/>
      <c r="AJ47" s="6"/>
      <c r="AK47" s="6"/>
      <c r="AL47" s="6"/>
      <c r="AM47" s="6"/>
      <c r="AN47" s="6"/>
      <c r="AO47" s="6"/>
      <c r="AP47" s="6"/>
      <c r="AQ47" s="6"/>
      <c r="AR47" s="6"/>
      <c r="AS47" s="6"/>
      <c r="AT47" s="6"/>
      <c r="AU47" s="6"/>
      <c r="AV47" s="45" t="str" cm="1">
        <f t="array" ref="AV47">IF(OR(AE47:AU47="SI"),"Critico","No critico")</f>
        <v>No critico</v>
      </c>
    </row>
    <row r="48" spans="1:48" ht="38.25">
      <c r="A48" s="60">
        <f>Inicial!A48</f>
        <v>46</v>
      </c>
      <c r="B48" s="61" t="str">
        <f>Inicial!B48</f>
        <v>Desposte</v>
      </c>
      <c r="C48" s="61" t="str">
        <f>Inicial!C48</f>
        <v>Operario de producción Línea Paletas</v>
      </c>
      <c r="D48" s="62" t="str">
        <f>Inicial!D48</f>
        <v>Prolijado de plateada</v>
      </c>
      <c r="E48" s="60" t="str">
        <f>IF(Inicial!K48="SI",Inicial!E48,"N/A")</f>
        <v>N/A</v>
      </c>
      <c r="F48" s="61" t="str">
        <f>IF(Inicial!K48="SI",Inicial!F48,"N/A")</f>
        <v>N/A</v>
      </c>
      <c r="G48" s="61" t="str">
        <f>IF(Inicial!K48="SI",Inicial!G48,"N/A")</f>
        <v>N/A</v>
      </c>
      <c r="H48" s="61" t="str">
        <f>IF(Inicial!K48="SI",Inicial!H48,"N/A")</f>
        <v>N/A</v>
      </c>
      <c r="I48" s="72" t="str">
        <f>IF(Inicial!K48="SI",Inicial!I48,"N/A")</f>
        <v>N/A</v>
      </c>
      <c r="K48" s="6"/>
      <c r="L48" s="6"/>
      <c r="M48" s="6"/>
      <c r="N48" s="6"/>
      <c r="O48" s="6"/>
      <c r="P48" s="97"/>
      <c r="Q48" s="93"/>
      <c r="R48" s="6"/>
      <c r="S48" s="6"/>
      <c r="T48" s="6"/>
      <c r="U48" s="6"/>
      <c r="V48" s="6"/>
      <c r="W48" s="94"/>
      <c r="X48" s="93"/>
      <c r="Y48" s="6"/>
      <c r="Z48" s="6"/>
      <c r="AA48" s="6"/>
      <c r="AB48" s="6"/>
      <c r="AC48" s="94"/>
      <c r="AD48" s="102" t="str">
        <f t="shared" si="0"/>
        <v>Aceptable</v>
      </c>
      <c r="AE48" s="6"/>
      <c r="AF48" s="6"/>
      <c r="AG48" s="6"/>
      <c r="AH48" s="6"/>
      <c r="AI48" s="6"/>
      <c r="AJ48" s="6"/>
      <c r="AK48" s="6"/>
      <c r="AL48" s="6"/>
      <c r="AM48" s="6"/>
      <c r="AN48" s="6"/>
      <c r="AO48" s="6"/>
      <c r="AP48" s="6"/>
      <c r="AQ48" s="6"/>
      <c r="AR48" s="6"/>
      <c r="AS48" s="6"/>
      <c r="AT48" s="6"/>
      <c r="AU48" s="6"/>
      <c r="AV48" s="45" t="str" cm="1">
        <f t="array" ref="AV48">IF(OR(AE48:AU48="SI"),"Critico","No critico")</f>
        <v>No critico</v>
      </c>
    </row>
    <row r="49" spans="1:48" ht="38.25">
      <c r="A49" s="60">
        <f>Inicial!A49</f>
        <v>47</v>
      </c>
      <c r="B49" s="61" t="str">
        <f>Inicial!B49</f>
        <v>Desposte</v>
      </c>
      <c r="C49" s="61" t="str">
        <f>Inicial!C49</f>
        <v>Operario de producción Línea Paletas</v>
      </c>
      <c r="D49" s="62" t="str">
        <f>Inicial!D49</f>
        <v>Revisión de paleta con cuchillo</v>
      </c>
      <c r="E49" s="60" t="str">
        <f>IF(Inicial!K49="SI",Inicial!E49,"N/A")</f>
        <v>N/A</v>
      </c>
      <c r="F49" s="61" t="str">
        <f>IF(Inicial!K49="SI",Inicial!F49,"N/A")</f>
        <v>N/A</v>
      </c>
      <c r="G49" s="61" t="str">
        <f>IF(Inicial!K49="SI",Inicial!G49,"N/A")</f>
        <v>N/A</v>
      </c>
      <c r="H49" s="61" t="str">
        <f>IF(Inicial!K49="SI",Inicial!H49,"N/A")</f>
        <v>N/A</v>
      </c>
      <c r="I49" s="72" t="str">
        <f>IF(Inicial!K49="SI",Inicial!I49,"N/A")</f>
        <v>N/A</v>
      </c>
      <c r="K49" s="6"/>
      <c r="L49" s="6"/>
      <c r="M49" s="6"/>
      <c r="N49" s="6"/>
      <c r="O49" s="6"/>
      <c r="P49" s="97"/>
      <c r="Q49" s="93"/>
      <c r="R49" s="6"/>
      <c r="S49" s="6"/>
      <c r="T49" s="6"/>
      <c r="U49" s="6"/>
      <c r="V49" s="6"/>
      <c r="W49" s="94"/>
      <c r="X49" s="93"/>
      <c r="Y49" s="6"/>
      <c r="Z49" s="6"/>
      <c r="AA49" s="6"/>
      <c r="AB49" s="6"/>
      <c r="AC49" s="94"/>
      <c r="AD49" s="102" t="str">
        <f t="shared" si="0"/>
        <v>Aceptable</v>
      </c>
      <c r="AE49" s="6"/>
      <c r="AF49" s="6"/>
      <c r="AG49" s="6"/>
      <c r="AH49" s="6"/>
      <c r="AI49" s="6"/>
      <c r="AJ49" s="6"/>
      <c r="AK49" s="6"/>
      <c r="AL49" s="6"/>
      <c r="AM49" s="6"/>
      <c r="AN49" s="6"/>
      <c r="AO49" s="6"/>
      <c r="AP49" s="6"/>
      <c r="AQ49" s="6"/>
      <c r="AR49" s="6"/>
      <c r="AS49" s="6"/>
      <c r="AT49" s="6"/>
      <c r="AU49" s="6"/>
      <c r="AV49" s="45" t="str" cm="1">
        <f t="array" ref="AV49">IF(OR(AE49:AU49="SI"),"Critico","No critico")</f>
        <v>No critico</v>
      </c>
    </row>
    <row r="50" spans="1:48" ht="38.25">
      <c r="A50" s="60">
        <f>Inicial!A50</f>
        <v>48</v>
      </c>
      <c r="B50" s="61" t="str">
        <f>Inicial!B50</f>
        <v>Desposte</v>
      </c>
      <c r="C50" s="61" t="str">
        <f>Inicial!C50</f>
        <v>Operario de producción Línea Paletas</v>
      </c>
      <c r="D50" s="62" t="str">
        <f>Inicial!D50</f>
        <v>Prolijado de paleta</v>
      </c>
      <c r="E50" s="60" t="str">
        <f>IF(Inicial!K50="SI",Inicial!E50,"N/A")</f>
        <v>N/A</v>
      </c>
      <c r="F50" s="61" t="str">
        <f>IF(Inicial!K50="SI",Inicial!F50,"N/A")</f>
        <v>N/A</v>
      </c>
      <c r="G50" s="61" t="str">
        <f>IF(Inicial!K50="SI",Inicial!G50,"N/A")</f>
        <v>N/A</v>
      </c>
      <c r="H50" s="61" t="str">
        <f>IF(Inicial!K50="SI",Inicial!H50,"N/A")</f>
        <v>N/A</v>
      </c>
      <c r="I50" s="72" t="str">
        <f>IF(Inicial!K50="SI",Inicial!I50,"N/A")</f>
        <v>N/A</v>
      </c>
      <c r="K50" s="6"/>
      <c r="L50" s="6"/>
      <c r="M50" s="6"/>
      <c r="N50" s="6"/>
      <c r="O50" s="6"/>
      <c r="P50" s="97"/>
      <c r="Q50" s="93"/>
      <c r="R50" s="6"/>
      <c r="S50" s="6"/>
      <c r="T50" s="6"/>
      <c r="U50" s="6"/>
      <c r="V50" s="6"/>
      <c r="W50" s="94"/>
      <c r="X50" s="93"/>
      <c r="Y50" s="6"/>
      <c r="Z50" s="6"/>
      <c r="AA50" s="6"/>
      <c r="AB50" s="6"/>
      <c r="AC50" s="94"/>
      <c r="AD50" s="102" t="str">
        <f t="shared" si="0"/>
        <v>Aceptable</v>
      </c>
      <c r="AE50" s="6"/>
      <c r="AF50" s="6"/>
      <c r="AG50" s="6"/>
      <c r="AH50" s="6"/>
      <c r="AI50" s="6"/>
      <c r="AJ50" s="6"/>
      <c r="AK50" s="6"/>
      <c r="AL50" s="6"/>
      <c r="AM50" s="6"/>
      <c r="AN50" s="6"/>
      <c r="AO50" s="6"/>
      <c r="AP50" s="6"/>
      <c r="AQ50" s="6"/>
      <c r="AR50" s="6"/>
      <c r="AS50" s="6"/>
      <c r="AT50" s="6"/>
      <c r="AU50" s="6"/>
      <c r="AV50" s="45" t="str" cm="1">
        <f t="array" ref="AV50">IF(OR(AE50:AU50="SI"),"Critico","No critico")</f>
        <v>No critico</v>
      </c>
    </row>
    <row r="51" spans="1:48" ht="38.25">
      <c r="A51" s="60">
        <f>Inicial!A51</f>
        <v>49</v>
      </c>
      <c r="B51" s="61" t="str">
        <f>Inicial!B51</f>
        <v>Desposte</v>
      </c>
      <c r="C51" s="61" t="str">
        <f>Inicial!C51</f>
        <v>Operario de producción Línea Paletas</v>
      </c>
      <c r="D51" s="62" t="str">
        <f>Inicial!D51</f>
        <v>Operador de equipo cortador de pernil</v>
      </c>
      <c r="E51" s="60" t="str">
        <f>IF(Inicial!K51="SI",Inicial!E51,"N/A")</f>
        <v>N/A</v>
      </c>
      <c r="F51" s="61" t="str">
        <f>IF(Inicial!K51="SI",Inicial!F51,"N/A")</f>
        <v>N/A</v>
      </c>
      <c r="G51" s="61" t="str">
        <f>IF(Inicial!K51="SI",Inicial!G51,"N/A")</f>
        <v>N/A</v>
      </c>
      <c r="H51" s="61" t="str">
        <f>IF(Inicial!K51="SI",Inicial!H51,"N/A")</f>
        <v>N/A</v>
      </c>
      <c r="I51" s="72" t="str">
        <f>IF(Inicial!K51="SI",Inicial!I51,"N/A")</f>
        <v>N/A</v>
      </c>
      <c r="K51" s="6"/>
      <c r="L51" s="6"/>
      <c r="M51" s="6"/>
      <c r="N51" s="6"/>
      <c r="O51" s="6"/>
      <c r="P51" s="97"/>
      <c r="Q51" s="93"/>
      <c r="R51" s="6"/>
      <c r="S51" s="6"/>
      <c r="T51" s="6"/>
      <c r="U51" s="6"/>
      <c r="V51" s="6"/>
      <c r="W51" s="94"/>
      <c r="X51" s="93"/>
      <c r="Y51" s="6"/>
      <c r="Z51" s="6"/>
      <c r="AA51" s="6"/>
      <c r="AB51" s="6"/>
      <c r="AC51" s="94"/>
      <c r="AD51" s="102" t="str">
        <f t="shared" si="0"/>
        <v>Aceptable</v>
      </c>
      <c r="AE51" s="6"/>
      <c r="AF51" s="6"/>
      <c r="AG51" s="6"/>
      <c r="AH51" s="6"/>
      <c r="AI51" s="6"/>
      <c r="AJ51" s="6"/>
      <c r="AK51" s="6"/>
      <c r="AL51" s="6"/>
      <c r="AM51" s="6"/>
      <c r="AN51" s="6"/>
      <c r="AO51" s="6"/>
      <c r="AP51" s="6"/>
      <c r="AQ51" s="6"/>
      <c r="AR51" s="6"/>
      <c r="AS51" s="6"/>
      <c r="AT51" s="6"/>
      <c r="AU51" s="6"/>
      <c r="AV51" s="45" t="str" cm="1">
        <f t="array" ref="AV51">IF(OR(AE51:AU51="SI"),"Critico","No critico")</f>
        <v>No critico</v>
      </c>
    </row>
    <row r="52" spans="1:48" ht="38.25">
      <c r="A52" s="60">
        <f>Inicial!A52</f>
        <v>50</v>
      </c>
      <c r="B52" s="61" t="str">
        <f>Inicial!B52</f>
        <v>Desposte</v>
      </c>
      <c r="C52" s="61" t="str">
        <f>Inicial!C52</f>
        <v>Operario de producción Línea Paletas</v>
      </c>
      <c r="D52" s="62" t="str">
        <f>Inicial!D52</f>
        <v>Acomodado de pernil y cambio de bandeja</v>
      </c>
      <c r="E52" s="60" t="str">
        <f>IF(Inicial!K52="SI",Inicial!E52,"N/A")</f>
        <v>N/A</v>
      </c>
      <c r="F52" s="61" t="str">
        <f>IF(Inicial!K52="SI",Inicial!F52,"N/A")</f>
        <v>N/A</v>
      </c>
      <c r="G52" s="61" t="str">
        <f>IF(Inicial!K52="SI",Inicial!G52,"N/A")</f>
        <v>N/A</v>
      </c>
      <c r="H52" s="61" t="str">
        <f>IF(Inicial!K52="SI",Inicial!H52,"N/A")</f>
        <v>N/A</v>
      </c>
      <c r="I52" s="72" t="str">
        <f>IF(Inicial!K52="SI",Inicial!I52,"N/A")</f>
        <v>N/A</v>
      </c>
      <c r="K52" s="6"/>
      <c r="L52" s="6"/>
      <c r="M52" s="6"/>
      <c r="N52" s="6"/>
      <c r="O52" s="6"/>
      <c r="P52" s="97"/>
      <c r="Q52" s="93"/>
      <c r="R52" s="6"/>
      <c r="S52" s="6"/>
      <c r="T52" s="6"/>
      <c r="U52" s="6"/>
      <c r="V52" s="6"/>
      <c r="W52" s="94"/>
      <c r="X52" s="93"/>
      <c r="Y52" s="6"/>
      <c r="Z52" s="6"/>
      <c r="AA52" s="6"/>
      <c r="AB52" s="6"/>
      <c r="AC52" s="94"/>
      <c r="AD52" s="102" t="str">
        <f t="shared" si="0"/>
        <v>Aceptable</v>
      </c>
      <c r="AE52" s="6"/>
      <c r="AF52" s="6"/>
      <c r="AG52" s="6"/>
      <c r="AH52" s="6"/>
      <c r="AI52" s="6"/>
      <c r="AJ52" s="6"/>
      <c r="AK52" s="6"/>
      <c r="AL52" s="6"/>
      <c r="AM52" s="6"/>
      <c r="AN52" s="6"/>
      <c r="AO52" s="6"/>
      <c r="AP52" s="6"/>
      <c r="AQ52" s="6"/>
      <c r="AR52" s="6"/>
      <c r="AS52" s="6"/>
      <c r="AT52" s="6"/>
      <c r="AU52" s="6"/>
      <c r="AV52" s="45" t="str" cm="1">
        <f t="array" ref="AV52">IF(OR(AE52:AU52="SI"),"Critico","No critico")</f>
        <v>No critico</v>
      </c>
    </row>
    <row r="53" spans="1:48" ht="38.25">
      <c r="A53" s="60">
        <f>Inicial!A53</f>
        <v>51</v>
      </c>
      <c r="B53" s="61" t="str">
        <f>Inicial!B53</f>
        <v>Desposte</v>
      </c>
      <c r="C53" s="61" t="str">
        <f>Inicial!C53</f>
        <v>Operario de producción Línea Paletas</v>
      </c>
      <c r="D53" s="62" t="str">
        <f>Inicial!D53</f>
        <v>Extracción de ganglios paleta</v>
      </c>
      <c r="E53" s="60" t="str">
        <f>IF(Inicial!K53="SI",Inicial!E53,"N/A")</f>
        <v>N/A</v>
      </c>
      <c r="F53" s="61" t="str">
        <f>IF(Inicial!K53="SI",Inicial!F53,"N/A")</f>
        <v>N/A</v>
      </c>
      <c r="G53" s="61" t="str">
        <f>IF(Inicial!K53="SI",Inicial!G53,"N/A")</f>
        <v>N/A</v>
      </c>
      <c r="H53" s="61" t="str">
        <f>IF(Inicial!K53="SI",Inicial!H53,"N/A")</f>
        <v>N/A</v>
      </c>
      <c r="I53" s="72" t="str">
        <f>IF(Inicial!K53="SI",Inicial!I53,"N/A")</f>
        <v>N/A</v>
      </c>
      <c r="K53" s="6"/>
      <c r="L53" s="6"/>
      <c r="M53" s="6"/>
      <c r="N53" s="6"/>
      <c r="O53" s="6"/>
      <c r="P53" s="97"/>
      <c r="Q53" s="93"/>
      <c r="R53" s="6"/>
      <c r="S53" s="6"/>
      <c r="T53" s="6"/>
      <c r="U53" s="6"/>
      <c r="V53" s="6"/>
      <c r="W53" s="94"/>
      <c r="X53" s="93"/>
      <c r="Y53" s="6"/>
      <c r="Z53" s="6"/>
      <c r="AA53" s="6"/>
      <c r="AB53" s="6"/>
      <c r="AC53" s="94"/>
      <c r="AD53" s="102" t="str">
        <f t="shared" si="0"/>
        <v>Aceptable</v>
      </c>
      <c r="AE53" s="6"/>
      <c r="AF53" s="6"/>
      <c r="AG53" s="6"/>
      <c r="AH53" s="6"/>
      <c r="AI53" s="6"/>
      <c r="AJ53" s="6"/>
      <c r="AK53" s="6"/>
      <c r="AL53" s="6"/>
      <c r="AM53" s="6"/>
      <c r="AN53" s="6"/>
      <c r="AO53" s="6"/>
      <c r="AP53" s="6"/>
      <c r="AQ53" s="6"/>
      <c r="AR53" s="6"/>
      <c r="AS53" s="6"/>
      <c r="AT53" s="6"/>
      <c r="AU53" s="6"/>
      <c r="AV53" s="45" t="str" cm="1">
        <f t="array" ref="AV53">IF(OR(AE53:AU53="SI"),"Critico","No critico")</f>
        <v>No critico</v>
      </c>
    </row>
    <row r="54" spans="1:48" ht="38.25">
      <c r="A54" s="60">
        <f>Inicial!A54</f>
        <v>52</v>
      </c>
      <c r="B54" s="61" t="str">
        <f>Inicial!B54</f>
        <v>Desposte</v>
      </c>
      <c r="C54" s="61" t="str">
        <f>Inicial!C54</f>
        <v>Operario de producción Línea Paletas</v>
      </c>
      <c r="D54" s="62" t="str">
        <f>Inicial!D54</f>
        <v>Abertura de pulpa paleta</v>
      </c>
      <c r="E54" s="60" t="str">
        <f>IF(Inicial!K54="SI",Inicial!E54,"N/A")</f>
        <v>N/A</v>
      </c>
      <c r="F54" s="61" t="str">
        <f>IF(Inicial!K54="SI",Inicial!F54,"N/A")</f>
        <v>N/A</v>
      </c>
      <c r="G54" s="61" t="str">
        <f>IF(Inicial!K54="SI",Inicial!G54,"N/A")</f>
        <v>N/A</v>
      </c>
      <c r="H54" s="61" t="str">
        <f>IF(Inicial!K54="SI",Inicial!H54,"N/A")</f>
        <v>N/A</v>
      </c>
      <c r="I54" s="72" t="str">
        <f>IF(Inicial!K54="SI",Inicial!I54,"N/A")</f>
        <v>N/A</v>
      </c>
      <c r="K54" s="6"/>
      <c r="L54" s="6"/>
      <c r="M54" s="6"/>
      <c r="N54" s="6"/>
      <c r="O54" s="6"/>
      <c r="P54" s="97"/>
      <c r="Q54" s="93"/>
      <c r="R54" s="6"/>
      <c r="S54" s="6"/>
      <c r="T54" s="6"/>
      <c r="U54" s="6"/>
      <c r="V54" s="6"/>
      <c r="W54" s="94"/>
      <c r="X54" s="93"/>
      <c r="Y54" s="6"/>
      <c r="Z54" s="6"/>
      <c r="AA54" s="6"/>
      <c r="AB54" s="6"/>
      <c r="AC54" s="94"/>
      <c r="AD54" s="102" t="str">
        <f t="shared" si="0"/>
        <v>Aceptable</v>
      </c>
      <c r="AE54" s="6"/>
      <c r="AF54" s="6"/>
      <c r="AG54" s="6"/>
      <c r="AH54" s="6"/>
      <c r="AI54" s="6"/>
      <c r="AJ54" s="6"/>
      <c r="AK54" s="6"/>
      <c r="AL54" s="6"/>
      <c r="AM54" s="6"/>
      <c r="AN54" s="6"/>
      <c r="AO54" s="6"/>
      <c r="AP54" s="6"/>
      <c r="AQ54" s="6"/>
      <c r="AR54" s="6"/>
      <c r="AS54" s="6"/>
      <c r="AT54" s="6"/>
      <c r="AU54" s="6"/>
      <c r="AV54" s="45" t="str" cm="1">
        <f t="array" ref="AV54">IF(OR(AE54:AU54="SI"),"Critico","No critico")</f>
        <v>No critico</v>
      </c>
    </row>
    <row r="55" spans="1:48" ht="38.25">
      <c r="A55" s="60">
        <f>Inicial!A55</f>
        <v>53</v>
      </c>
      <c r="B55" s="61" t="str">
        <f>Inicial!B55</f>
        <v>Desposte</v>
      </c>
      <c r="C55" s="61" t="str">
        <f>Inicial!C55</f>
        <v>Operario de producción Línea Paletas</v>
      </c>
      <c r="D55" s="62" t="str">
        <f>Inicial!D55</f>
        <v>Rayado de escapula</v>
      </c>
      <c r="E55" s="60" t="str">
        <f>IF(Inicial!K55="SI",Inicial!E55,"N/A")</f>
        <v>N/A</v>
      </c>
      <c r="F55" s="61" t="str">
        <f>IF(Inicial!K55="SI",Inicial!F55,"N/A")</f>
        <v>N/A</v>
      </c>
      <c r="G55" s="61" t="str">
        <f>IF(Inicial!K55="SI",Inicial!G55,"N/A")</f>
        <v>N/A</v>
      </c>
      <c r="H55" s="61" t="str">
        <f>IF(Inicial!K55="SI",Inicial!H55,"N/A")</f>
        <v>N/A</v>
      </c>
      <c r="I55" s="72" t="str">
        <f>IF(Inicial!K55="SI",Inicial!I55,"N/A")</f>
        <v>N/A</v>
      </c>
      <c r="K55" s="6"/>
      <c r="L55" s="6"/>
      <c r="M55" s="6"/>
      <c r="N55" s="6"/>
      <c r="O55" s="6"/>
      <c r="P55" s="97"/>
      <c r="Q55" s="93"/>
      <c r="R55" s="6"/>
      <c r="S55" s="6"/>
      <c r="T55" s="6"/>
      <c r="U55" s="6"/>
      <c r="V55" s="6"/>
      <c r="W55" s="94"/>
      <c r="X55" s="93"/>
      <c r="Y55" s="6"/>
      <c r="Z55" s="6"/>
      <c r="AA55" s="6"/>
      <c r="AB55" s="6"/>
      <c r="AC55" s="94"/>
      <c r="AD55" s="102" t="str">
        <f t="shared" si="0"/>
        <v>Aceptable</v>
      </c>
      <c r="AE55" s="6"/>
      <c r="AF55" s="6"/>
      <c r="AG55" s="6"/>
      <c r="AH55" s="6"/>
      <c r="AI55" s="6"/>
      <c r="AJ55" s="6"/>
      <c r="AK55" s="6"/>
      <c r="AL55" s="6"/>
      <c r="AM55" s="6"/>
      <c r="AN55" s="6"/>
      <c r="AO55" s="6"/>
      <c r="AP55" s="6"/>
      <c r="AQ55" s="6"/>
      <c r="AR55" s="6"/>
      <c r="AS55" s="6"/>
      <c r="AT55" s="6"/>
      <c r="AU55" s="6"/>
      <c r="AV55" s="45" t="str" cm="1">
        <f t="array" ref="AV55">IF(OR(AE55:AU55="SI"),"Critico","No critico")</f>
        <v>No critico</v>
      </c>
    </row>
    <row r="56" spans="1:48" ht="38.25">
      <c r="A56" s="60">
        <f>Inicial!A56</f>
        <v>54</v>
      </c>
      <c r="B56" s="61" t="str">
        <f>Inicial!B56</f>
        <v>Desposte</v>
      </c>
      <c r="C56" s="61" t="str">
        <f>Inicial!C56</f>
        <v>Operario de producción Línea Paletas</v>
      </c>
      <c r="D56" s="62" t="str">
        <f>Inicial!D56</f>
        <v>Extracción de escapula con pistola neumatica</v>
      </c>
      <c r="E56" s="60" t="str">
        <f>IF(Inicial!K56="SI",Inicial!E56,"N/A")</f>
        <v>N/A</v>
      </c>
      <c r="F56" s="61" t="str">
        <f>IF(Inicial!K56="SI",Inicial!F56,"N/A")</f>
        <v>N/A</v>
      </c>
      <c r="G56" s="61" t="str">
        <f>IF(Inicial!K56="SI",Inicial!G56,"N/A")</f>
        <v>N/A</v>
      </c>
      <c r="H56" s="61" t="str">
        <f>IF(Inicial!K56="SI",Inicial!H56,"N/A")</f>
        <v>N/A</v>
      </c>
      <c r="I56" s="72" t="str">
        <f>IF(Inicial!K56="SI",Inicial!I56,"N/A")</f>
        <v>N/A</v>
      </c>
      <c r="K56" s="6"/>
      <c r="L56" s="6"/>
      <c r="M56" s="6"/>
      <c r="N56" s="6"/>
      <c r="O56" s="6"/>
      <c r="P56" s="97"/>
      <c r="Q56" s="93"/>
      <c r="R56" s="6"/>
      <c r="S56" s="6"/>
      <c r="T56" s="6"/>
      <c r="U56" s="6"/>
      <c r="V56" s="6"/>
      <c r="W56" s="94"/>
      <c r="X56" s="93"/>
      <c r="Y56" s="6"/>
      <c r="Z56" s="6"/>
      <c r="AA56" s="6"/>
      <c r="AB56" s="6"/>
      <c r="AC56" s="94"/>
      <c r="AD56" s="102" t="str">
        <f t="shared" si="0"/>
        <v>Aceptable</v>
      </c>
      <c r="AE56" s="6"/>
      <c r="AF56" s="6"/>
      <c r="AG56" s="6"/>
      <c r="AH56" s="6"/>
      <c r="AI56" s="6"/>
      <c r="AJ56" s="6"/>
      <c r="AK56" s="6"/>
      <c r="AL56" s="6"/>
      <c r="AM56" s="6"/>
      <c r="AN56" s="6"/>
      <c r="AO56" s="6"/>
      <c r="AP56" s="6"/>
      <c r="AQ56" s="6"/>
      <c r="AR56" s="6"/>
      <c r="AS56" s="6"/>
      <c r="AT56" s="6"/>
      <c r="AU56" s="6"/>
      <c r="AV56" s="45" t="str" cm="1">
        <f t="array" ref="AV56">IF(OR(AE56:AU56="SI"),"Critico","No critico")</f>
        <v>No critico</v>
      </c>
    </row>
    <row r="57" spans="1:48" ht="38.25">
      <c r="A57" s="60">
        <f>Inicial!A57</f>
        <v>55</v>
      </c>
      <c r="B57" s="61" t="str">
        <f>Inicial!B57</f>
        <v>Desposte</v>
      </c>
      <c r="C57" s="61" t="str">
        <f>Inicial!C57</f>
        <v>Operario de producción Línea Paletas</v>
      </c>
      <c r="D57" s="62" t="str">
        <f>Inicial!D57</f>
        <v>Extracción de escapula</v>
      </c>
      <c r="E57" s="60" t="str">
        <f>IF(Inicial!K57="SI",Inicial!E57,"N/A")</f>
        <v>N/A</v>
      </c>
      <c r="F57" s="61" t="str">
        <f>IF(Inicial!K57="SI",Inicial!F57,"N/A")</f>
        <v>N/A</v>
      </c>
      <c r="G57" s="61" t="str">
        <f>IF(Inicial!K57="SI",Inicial!G57,"N/A")</f>
        <v>N/A</v>
      </c>
      <c r="H57" s="61" t="str">
        <f>IF(Inicial!K57="SI",Inicial!H57,"N/A")</f>
        <v>N/A</v>
      </c>
      <c r="I57" s="72" t="str">
        <f>IF(Inicial!K57="SI",Inicial!I57,"N/A")</f>
        <v>N/A</v>
      </c>
      <c r="K57" s="6"/>
      <c r="L57" s="6"/>
      <c r="M57" s="6"/>
      <c r="N57" s="6"/>
      <c r="O57" s="6"/>
      <c r="P57" s="97"/>
      <c r="Q57" s="93"/>
      <c r="R57" s="6"/>
      <c r="S57" s="6"/>
      <c r="T57" s="6"/>
      <c r="U57" s="6"/>
      <c r="V57" s="6"/>
      <c r="W57" s="94"/>
      <c r="X57" s="93"/>
      <c r="Y57" s="6"/>
      <c r="Z57" s="6"/>
      <c r="AA57" s="6"/>
      <c r="AB57" s="6"/>
      <c r="AC57" s="94"/>
      <c r="AD57" s="102" t="str">
        <f t="shared" si="0"/>
        <v>Aceptable</v>
      </c>
      <c r="AE57" s="6"/>
      <c r="AF57" s="6"/>
      <c r="AG57" s="6"/>
      <c r="AH57" s="6"/>
      <c r="AI57" s="6"/>
      <c r="AJ57" s="6"/>
      <c r="AK57" s="6"/>
      <c r="AL57" s="6"/>
      <c r="AM57" s="6"/>
      <c r="AN57" s="6"/>
      <c r="AO57" s="6"/>
      <c r="AP57" s="6"/>
      <c r="AQ57" s="6"/>
      <c r="AR57" s="6"/>
      <c r="AS57" s="6"/>
      <c r="AT57" s="6"/>
      <c r="AU57" s="6"/>
      <c r="AV57" s="45" t="str" cm="1">
        <f t="array" ref="AV57">IF(OR(AE57:AU57="SI"),"Critico","No critico")</f>
        <v>No critico</v>
      </c>
    </row>
    <row r="58" spans="1:48" ht="38.25">
      <c r="A58" s="60">
        <f>Inicial!A58</f>
        <v>56</v>
      </c>
      <c r="B58" s="61" t="str">
        <f>Inicial!B58</f>
        <v>Desposte</v>
      </c>
      <c r="C58" s="61" t="str">
        <f>Inicial!C58</f>
        <v>Operario de producción Línea Paletas</v>
      </c>
      <c r="D58" s="62" t="str">
        <f>Inicial!D58</f>
        <v>Deshuesado de hueso humero</v>
      </c>
      <c r="E58" s="60" t="str">
        <f>IF(Inicial!K58="SI",Inicial!E58,"N/A")</f>
        <v>N/A</v>
      </c>
      <c r="F58" s="61" t="str">
        <f>IF(Inicial!K58="SI",Inicial!F58,"N/A")</f>
        <v>N/A</v>
      </c>
      <c r="G58" s="61" t="str">
        <f>IF(Inicial!K58="SI",Inicial!G58,"N/A")</f>
        <v>N/A</v>
      </c>
      <c r="H58" s="61" t="str">
        <f>IF(Inicial!K58="SI",Inicial!H58,"N/A")</f>
        <v>N/A</v>
      </c>
      <c r="I58" s="72" t="str">
        <f>IF(Inicial!K58="SI",Inicial!I58,"N/A")</f>
        <v>N/A</v>
      </c>
      <c r="K58" s="6"/>
      <c r="L58" s="6"/>
      <c r="M58" s="6"/>
      <c r="N58" s="6"/>
      <c r="O58" s="6"/>
      <c r="P58" s="97"/>
      <c r="Q58" s="93"/>
      <c r="R58" s="6"/>
      <c r="S58" s="6"/>
      <c r="T58" s="6"/>
      <c r="U58" s="6"/>
      <c r="V58" s="6"/>
      <c r="W58" s="94"/>
      <c r="X58" s="93"/>
      <c r="Y58" s="6"/>
      <c r="Z58" s="6"/>
      <c r="AA58" s="6"/>
      <c r="AB58" s="6"/>
      <c r="AC58" s="94"/>
      <c r="AD58" s="102" t="str">
        <f t="shared" si="0"/>
        <v>Aceptable</v>
      </c>
      <c r="AE58" s="6"/>
      <c r="AF58" s="6"/>
      <c r="AG58" s="6"/>
      <c r="AH58" s="6"/>
      <c r="AI58" s="6"/>
      <c r="AJ58" s="6"/>
      <c r="AK58" s="6"/>
      <c r="AL58" s="6"/>
      <c r="AM58" s="6"/>
      <c r="AN58" s="6"/>
      <c r="AO58" s="6"/>
      <c r="AP58" s="6"/>
      <c r="AQ58" s="6"/>
      <c r="AR58" s="6"/>
      <c r="AS58" s="6"/>
      <c r="AT58" s="6"/>
      <c r="AU58" s="6"/>
      <c r="AV58" s="45" t="str" cm="1">
        <f t="array" ref="AV58">IF(OR(AE58:AU58="SI"),"Critico","No critico")</f>
        <v>No critico</v>
      </c>
    </row>
    <row r="59" spans="1:48" ht="38.25">
      <c r="A59" s="60">
        <f>Inicial!A59</f>
        <v>57</v>
      </c>
      <c r="B59" s="61" t="str">
        <f>Inicial!B59</f>
        <v>Desposte</v>
      </c>
      <c r="C59" s="61" t="str">
        <f>Inicial!C59</f>
        <v>Operario de producción Línea Paletas</v>
      </c>
      <c r="D59" s="62" t="str">
        <f>Inicial!D59</f>
        <v>Extracción de cartilago de paleta</v>
      </c>
      <c r="E59" s="60" t="str">
        <f>IF(Inicial!K59="SI",Inicial!E59,"N/A")</f>
        <v>N/A</v>
      </c>
      <c r="F59" s="61" t="str">
        <f>IF(Inicial!K59="SI",Inicial!F59,"N/A")</f>
        <v>N/A</v>
      </c>
      <c r="G59" s="61" t="str">
        <f>IF(Inicial!K59="SI",Inicial!G59,"N/A")</f>
        <v>N/A</v>
      </c>
      <c r="H59" s="61" t="str">
        <f>IF(Inicial!K59="SI",Inicial!H59,"N/A")</f>
        <v>N/A</v>
      </c>
      <c r="I59" s="72" t="str">
        <f>IF(Inicial!K59="SI",Inicial!I59,"N/A")</f>
        <v>N/A</v>
      </c>
      <c r="K59" s="6"/>
      <c r="L59" s="6"/>
      <c r="M59" s="6"/>
      <c r="N59" s="6"/>
      <c r="O59" s="6"/>
      <c r="P59" s="97"/>
      <c r="Q59" s="93"/>
      <c r="R59" s="6"/>
      <c r="S59" s="6"/>
      <c r="T59" s="6"/>
      <c r="U59" s="6"/>
      <c r="V59" s="6"/>
      <c r="W59" s="94"/>
      <c r="X59" s="93"/>
      <c r="Y59" s="6"/>
      <c r="Z59" s="6"/>
      <c r="AA59" s="6"/>
      <c r="AB59" s="6"/>
      <c r="AC59" s="94"/>
      <c r="AD59" s="102" t="str">
        <f t="shared" si="0"/>
        <v>Aceptable</v>
      </c>
      <c r="AE59" s="6"/>
      <c r="AF59" s="6"/>
      <c r="AG59" s="6"/>
      <c r="AH59" s="6"/>
      <c r="AI59" s="6"/>
      <c r="AJ59" s="6"/>
      <c r="AK59" s="6"/>
      <c r="AL59" s="6"/>
      <c r="AM59" s="6"/>
      <c r="AN59" s="6"/>
      <c r="AO59" s="6"/>
      <c r="AP59" s="6"/>
      <c r="AQ59" s="6"/>
      <c r="AR59" s="6"/>
      <c r="AS59" s="6"/>
      <c r="AT59" s="6"/>
      <c r="AU59" s="6"/>
      <c r="AV59" s="45" t="str" cm="1">
        <f t="array" ref="AV59">IF(OR(AE59:AU59="SI"),"Critico","No critico")</f>
        <v>No critico</v>
      </c>
    </row>
    <row r="60" spans="1:48" ht="51">
      <c r="A60" s="60">
        <f>Inicial!A60</f>
        <v>58</v>
      </c>
      <c r="B60" s="61" t="str">
        <f>Inicial!B60</f>
        <v>Desposte</v>
      </c>
      <c r="C60" s="61" t="str">
        <f>Inicial!C60</f>
        <v>Operario de producción Línea Paletas</v>
      </c>
      <c r="D60" s="62" t="str">
        <f>Inicial!D60</f>
        <v>Acomodado de pulpa y direccionamiento de pernil</v>
      </c>
      <c r="E60" s="60" t="str">
        <f>IF(Inicial!K60="SI",Inicial!E60,"N/A")</f>
        <v>N/A</v>
      </c>
      <c r="F60" s="61" t="str">
        <f>IF(Inicial!K60="SI",Inicial!F60,"N/A")</f>
        <v>N/A</v>
      </c>
      <c r="G60" s="61" t="str">
        <f>IF(Inicial!K60="SI",Inicial!G60,"N/A")</f>
        <v>N/A</v>
      </c>
      <c r="H60" s="61" t="str">
        <f>IF(Inicial!K60="SI",Inicial!H60,"N/A")</f>
        <v>N/A</v>
      </c>
      <c r="I60" s="72" t="str">
        <f>IF(Inicial!K60="SI",Inicial!I60,"N/A")</f>
        <v>N/A</v>
      </c>
      <c r="K60" s="6"/>
      <c r="L60" s="6"/>
      <c r="M60" s="6"/>
      <c r="N60" s="6"/>
      <c r="O60" s="6"/>
      <c r="P60" s="97"/>
      <c r="Q60" s="93"/>
      <c r="R60" s="6"/>
      <c r="S60" s="6"/>
      <c r="T60" s="6"/>
      <c r="U60" s="6"/>
      <c r="V60" s="6"/>
      <c r="W60" s="94"/>
      <c r="X60" s="93"/>
      <c r="Y60" s="6"/>
      <c r="Z60" s="6"/>
      <c r="AA60" s="6"/>
      <c r="AB60" s="6"/>
      <c r="AC60" s="94"/>
      <c r="AD60" s="102" t="str">
        <f t="shared" si="0"/>
        <v>Aceptable</v>
      </c>
      <c r="AE60" s="6"/>
      <c r="AF60" s="6"/>
      <c r="AG60" s="6"/>
      <c r="AH60" s="6"/>
      <c r="AI60" s="6"/>
      <c r="AJ60" s="6"/>
      <c r="AK60" s="6"/>
      <c r="AL60" s="6"/>
      <c r="AM60" s="6"/>
      <c r="AN60" s="6"/>
      <c r="AO60" s="6"/>
      <c r="AP60" s="6"/>
      <c r="AQ60" s="6"/>
      <c r="AR60" s="6"/>
      <c r="AS60" s="6"/>
      <c r="AT60" s="6"/>
      <c r="AU60" s="6"/>
      <c r="AV60" s="45" t="str" cm="1">
        <f t="array" ref="AV60">IF(OR(AE60:AU60="SI"),"Critico","No critico")</f>
        <v>No critico</v>
      </c>
    </row>
    <row r="61" spans="1:48" ht="38.25">
      <c r="A61" s="60">
        <f>Inicial!A61</f>
        <v>59</v>
      </c>
      <c r="B61" s="61" t="str">
        <f>Inicial!B61</f>
        <v>Desposte</v>
      </c>
      <c r="C61" s="61" t="str">
        <f>Inicial!C61</f>
        <v>Operario de producción Línea Paletas</v>
      </c>
      <c r="D61" s="62" t="str">
        <f>Inicial!D61</f>
        <v>Extracción de membrana y cartilago</v>
      </c>
      <c r="E61" s="60" t="str">
        <f>IF(Inicial!K61="SI",Inicial!E61,"N/A")</f>
        <v>N/A</v>
      </c>
      <c r="F61" s="61" t="str">
        <f>IF(Inicial!K61="SI",Inicial!F61,"N/A")</f>
        <v>N/A</v>
      </c>
      <c r="G61" s="61" t="str">
        <f>IF(Inicial!K61="SI",Inicial!G61,"N/A")</f>
        <v>N/A</v>
      </c>
      <c r="H61" s="61" t="str">
        <f>IF(Inicial!K61="SI",Inicial!H61,"N/A")</f>
        <v>N/A</v>
      </c>
      <c r="I61" s="72" t="str">
        <f>IF(Inicial!K61="SI",Inicial!I61,"N/A")</f>
        <v>N/A</v>
      </c>
      <c r="K61" s="6"/>
      <c r="L61" s="6"/>
      <c r="M61" s="6"/>
      <c r="N61" s="6"/>
      <c r="O61" s="6"/>
      <c r="P61" s="97"/>
      <c r="Q61" s="93"/>
      <c r="R61" s="6"/>
      <c r="S61" s="6"/>
      <c r="T61" s="6"/>
      <c r="U61" s="6"/>
      <c r="V61" s="6"/>
      <c r="W61" s="94"/>
      <c r="X61" s="93"/>
      <c r="Y61" s="6"/>
      <c r="Z61" s="6"/>
      <c r="AA61" s="6"/>
      <c r="AB61" s="6"/>
      <c r="AC61" s="94"/>
      <c r="AD61" s="102" t="str">
        <f t="shared" si="0"/>
        <v>Aceptable</v>
      </c>
      <c r="AE61" s="6"/>
      <c r="AF61" s="6"/>
      <c r="AG61" s="6"/>
      <c r="AH61" s="6"/>
      <c r="AI61" s="6"/>
      <c r="AJ61" s="6"/>
      <c r="AK61" s="6"/>
      <c r="AL61" s="6"/>
      <c r="AM61" s="6"/>
      <c r="AN61" s="6"/>
      <c r="AO61" s="6"/>
      <c r="AP61" s="6"/>
      <c r="AQ61" s="6"/>
      <c r="AR61" s="6"/>
      <c r="AS61" s="6"/>
      <c r="AT61" s="6"/>
      <c r="AU61" s="6"/>
      <c r="AV61" s="45" t="str" cm="1">
        <f t="array" ref="AV61">IF(OR(AE61:AU61="SI"),"Critico","No critico")</f>
        <v>No critico</v>
      </c>
    </row>
    <row r="62" spans="1:48" ht="38.25">
      <c r="A62" s="60">
        <f>Inicial!A62</f>
        <v>60</v>
      </c>
      <c r="B62" s="61" t="str">
        <f>Inicial!B62</f>
        <v>Desposte</v>
      </c>
      <c r="C62" s="61" t="str">
        <f>Inicial!C62</f>
        <v>Operario de producción Línea Paletas</v>
      </c>
      <c r="D62" s="62" t="str">
        <f>Inicial!D62</f>
        <v>Ordenar cuero</v>
      </c>
      <c r="E62" s="60" t="str">
        <f>IF(Inicial!K62="SI",Inicial!E62,"N/A")</f>
        <v>N/A</v>
      </c>
      <c r="F62" s="61" t="str">
        <f>IF(Inicial!K62="SI",Inicial!F62,"N/A")</f>
        <v>N/A</v>
      </c>
      <c r="G62" s="61" t="str">
        <f>IF(Inicial!K62="SI",Inicial!G62,"N/A")</f>
        <v>N/A</v>
      </c>
      <c r="H62" s="61" t="str">
        <f>IF(Inicial!K62="SI",Inicial!H62,"N/A")</f>
        <v>N/A</v>
      </c>
      <c r="I62" s="72" t="str">
        <f>IF(Inicial!K62="SI",Inicial!I62,"N/A")</f>
        <v>N/A</v>
      </c>
      <c r="K62" s="6"/>
      <c r="L62" s="6"/>
      <c r="M62" s="6"/>
      <c r="N62" s="6"/>
      <c r="O62" s="6"/>
      <c r="P62" s="97"/>
      <c r="Q62" s="93"/>
      <c r="R62" s="6"/>
      <c r="S62" s="6"/>
      <c r="T62" s="6"/>
      <c r="U62" s="6"/>
      <c r="V62" s="6"/>
      <c r="W62" s="94"/>
      <c r="X62" s="93"/>
      <c r="Y62" s="6"/>
      <c r="Z62" s="6"/>
      <c r="AA62" s="6"/>
      <c r="AB62" s="6"/>
      <c r="AC62" s="94"/>
      <c r="AD62" s="102" t="str">
        <f t="shared" si="0"/>
        <v>Aceptable</v>
      </c>
      <c r="AE62" s="6"/>
      <c r="AF62" s="6"/>
      <c r="AG62" s="6"/>
      <c r="AH62" s="6"/>
      <c r="AI62" s="6"/>
      <c r="AJ62" s="6"/>
      <c r="AK62" s="6"/>
      <c r="AL62" s="6"/>
      <c r="AM62" s="6"/>
      <c r="AN62" s="6"/>
      <c r="AO62" s="6"/>
      <c r="AP62" s="6"/>
      <c r="AQ62" s="6"/>
      <c r="AR62" s="6"/>
      <c r="AS62" s="6"/>
      <c r="AT62" s="6"/>
      <c r="AU62" s="6"/>
      <c r="AV62" s="45" t="str" cm="1">
        <f t="array" ref="AV62">IF(OR(AE62:AU62="SI"),"Critico","No critico")</f>
        <v>No critico</v>
      </c>
    </row>
    <row r="63" spans="1:48" ht="38.25">
      <c r="A63" s="60">
        <f>Inicial!A63</f>
        <v>61</v>
      </c>
      <c r="B63" s="61" t="str">
        <f>Inicial!B63</f>
        <v>Desposte</v>
      </c>
      <c r="C63" s="61" t="str">
        <f>Inicial!C63</f>
        <v>Operario de producción Línea Paletas</v>
      </c>
      <c r="D63" s="62" t="str">
        <f>Inicial!D63</f>
        <v>Prolijado de paleta y extracción de cuero</v>
      </c>
      <c r="E63" s="60" t="str">
        <f>IF(Inicial!K63="SI",Inicial!E63,"N/A")</f>
        <v>N/A</v>
      </c>
      <c r="F63" s="61" t="str">
        <f>IF(Inicial!K63="SI",Inicial!F63,"N/A")</f>
        <v>N/A</v>
      </c>
      <c r="G63" s="61" t="str">
        <f>IF(Inicial!K63="SI",Inicial!G63,"N/A")</f>
        <v>N/A</v>
      </c>
      <c r="H63" s="61" t="str">
        <f>IF(Inicial!K63="SI",Inicial!H63,"N/A")</f>
        <v>N/A</v>
      </c>
      <c r="I63" s="72" t="str">
        <f>IF(Inicial!K63="SI",Inicial!I63,"N/A")</f>
        <v>N/A</v>
      </c>
      <c r="K63" s="6"/>
      <c r="L63" s="6"/>
      <c r="M63" s="6"/>
      <c r="N63" s="6"/>
      <c r="O63" s="6"/>
      <c r="P63" s="97"/>
      <c r="Q63" s="93"/>
      <c r="R63" s="6"/>
      <c r="S63" s="6"/>
      <c r="T63" s="6"/>
      <c r="U63" s="6"/>
      <c r="V63" s="6"/>
      <c r="W63" s="94"/>
      <c r="X63" s="93"/>
      <c r="Y63" s="6"/>
      <c r="Z63" s="6"/>
      <c r="AA63" s="6"/>
      <c r="AB63" s="6"/>
      <c r="AC63" s="94"/>
      <c r="AD63" s="102" t="str">
        <f t="shared" si="0"/>
        <v>Aceptable</v>
      </c>
      <c r="AE63" s="6"/>
      <c r="AF63" s="6"/>
      <c r="AG63" s="6"/>
      <c r="AH63" s="6"/>
      <c r="AI63" s="6"/>
      <c r="AJ63" s="6"/>
      <c r="AK63" s="6"/>
      <c r="AL63" s="6"/>
      <c r="AM63" s="6"/>
      <c r="AN63" s="6"/>
      <c r="AO63" s="6"/>
      <c r="AP63" s="6"/>
      <c r="AQ63" s="6"/>
      <c r="AR63" s="6"/>
      <c r="AS63" s="6"/>
      <c r="AT63" s="6"/>
      <c r="AU63" s="6"/>
      <c r="AV63" s="45" t="str" cm="1">
        <f t="array" ref="AV63">IF(OR(AE63:AU63="SI"),"Critico","No critico")</f>
        <v>No critico</v>
      </c>
    </row>
    <row r="64" spans="1:48" ht="38.25">
      <c r="A64" s="60">
        <f>Inicial!A64</f>
        <v>62</v>
      </c>
      <c r="B64" s="61" t="str">
        <f>Inicial!B64</f>
        <v>Desposte</v>
      </c>
      <c r="C64" s="61" t="str">
        <f>Inicial!C64</f>
        <v>Operario de producción Línea Paletas</v>
      </c>
      <c r="D64" s="62" t="str">
        <f>Inicial!D64</f>
        <v>Prolijado de pulpa paleta</v>
      </c>
      <c r="E64" s="60" t="str">
        <f>IF(Inicial!K64="SI",Inicial!E64,"N/A")</f>
        <v>N/A</v>
      </c>
      <c r="F64" s="61" t="str">
        <f>IF(Inicial!K64="SI",Inicial!F64,"N/A")</f>
        <v>N/A</v>
      </c>
      <c r="G64" s="61" t="str">
        <f>IF(Inicial!K64="SI",Inicial!G64,"N/A")</f>
        <v>N/A</v>
      </c>
      <c r="H64" s="61" t="str">
        <f>IF(Inicial!K64="SI",Inicial!H64,"N/A")</f>
        <v>N/A</v>
      </c>
      <c r="I64" s="72" t="str">
        <f>IF(Inicial!K64="SI",Inicial!I64,"N/A")</f>
        <v>N/A</v>
      </c>
      <c r="K64" s="6"/>
      <c r="L64" s="6"/>
      <c r="M64" s="6"/>
      <c r="N64" s="6"/>
      <c r="O64" s="6"/>
      <c r="P64" s="97"/>
      <c r="Q64" s="93"/>
      <c r="R64" s="6"/>
      <c r="S64" s="6"/>
      <c r="T64" s="6"/>
      <c r="U64" s="6"/>
      <c r="V64" s="6"/>
      <c r="W64" s="94"/>
      <c r="X64" s="93"/>
      <c r="Y64" s="6"/>
      <c r="Z64" s="6"/>
      <c r="AA64" s="6"/>
      <c r="AB64" s="6"/>
      <c r="AC64" s="94"/>
      <c r="AD64" s="102" t="str">
        <f t="shared" si="0"/>
        <v>Aceptable</v>
      </c>
      <c r="AE64" s="6"/>
      <c r="AF64" s="6"/>
      <c r="AG64" s="6"/>
      <c r="AH64" s="6"/>
      <c r="AI64" s="6"/>
      <c r="AJ64" s="6"/>
      <c r="AK64" s="6"/>
      <c r="AL64" s="6"/>
      <c r="AM64" s="6"/>
      <c r="AN64" s="6"/>
      <c r="AO64" s="6"/>
      <c r="AP64" s="6"/>
      <c r="AQ64" s="6"/>
      <c r="AR64" s="6"/>
      <c r="AS64" s="6"/>
      <c r="AT64" s="6"/>
      <c r="AU64" s="6"/>
      <c r="AV64" s="45" t="str" cm="1">
        <f t="array" ref="AV64">IF(OR(AE64:AU64="SI"),"Critico","No critico")</f>
        <v>No critico</v>
      </c>
    </row>
    <row r="65" spans="1:48" ht="38.25">
      <c r="A65" s="60">
        <f>Inicial!A65</f>
        <v>63</v>
      </c>
      <c r="B65" s="61" t="str">
        <f>Inicial!B65</f>
        <v>Desposte</v>
      </c>
      <c r="C65" s="61" t="str">
        <f>Inicial!C65</f>
        <v>Operario de producción Línea Paletas</v>
      </c>
      <c r="D65" s="62" t="str">
        <f>Inicial!D65</f>
        <v>Aspiradora de pulpa paleta</v>
      </c>
      <c r="E65" s="60" t="str">
        <f>IF(Inicial!K65="SI",Inicial!E65,"N/A")</f>
        <v>N/A</v>
      </c>
      <c r="F65" s="61" t="str">
        <f>IF(Inicial!K65="SI",Inicial!F65,"N/A")</f>
        <v>N/A</v>
      </c>
      <c r="G65" s="61" t="str">
        <f>IF(Inicial!K65="SI",Inicial!G65,"N/A")</f>
        <v>N/A</v>
      </c>
      <c r="H65" s="61" t="str">
        <f>IF(Inicial!K65="SI",Inicial!H65,"N/A")</f>
        <v>N/A</v>
      </c>
      <c r="I65" s="72" t="str">
        <f>IF(Inicial!K65="SI",Inicial!I65,"N/A")</f>
        <v>N/A</v>
      </c>
      <c r="K65" s="6"/>
      <c r="L65" s="6"/>
      <c r="M65" s="6"/>
      <c r="N65" s="6"/>
      <c r="O65" s="6"/>
      <c r="P65" s="97"/>
      <c r="Q65" s="93"/>
      <c r="R65" s="6"/>
      <c r="S65" s="6"/>
      <c r="T65" s="6"/>
      <c r="U65" s="6"/>
      <c r="V65" s="6"/>
      <c r="W65" s="94"/>
      <c r="X65" s="93"/>
      <c r="Y65" s="6"/>
      <c r="Z65" s="6"/>
      <c r="AA65" s="6"/>
      <c r="AB65" s="6"/>
      <c r="AC65" s="94"/>
      <c r="AD65" s="102" t="str">
        <f t="shared" si="0"/>
        <v>Aceptable</v>
      </c>
      <c r="AE65" s="6"/>
      <c r="AF65" s="6"/>
      <c r="AG65" s="6"/>
      <c r="AH65" s="6"/>
      <c r="AI65" s="6"/>
      <c r="AJ65" s="6"/>
      <c r="AK65" s="6"/>
      <c r="AL65" s="6"/>
      <c r="AM65" s="6"/>
      <c r="AN65" s="6"/>
      <c r="AO65" s="6"/>
      <c r="AP65" s="6"/>
      <c r="AQ65" s="6"/>
      <c r="AR65" s="6"/>
      <c r="AS65" s="6"/>
      <c r="AT65" s="6"/>
      <c r="AU65" s="6"/>
      <c r="AV65" s="45" t="str" cm="1">
        <f t="array" ref="AV65">IF(OR(AE65:AU65="SI"),"Critico","No critico")</f>
        <v>No critico</v>
      </c>
    </row>
    <row r="66" spans="1:48" ht="51">
      <c r="A66" s="60">
        <f>Inicial!A66</f>
        <v>64</v>
      </c>
      <c r="B66" s="61" t="str">
        <f>Inicial!B66</f>
        <v>Desposte</v>
      </c>
      <c r="C66" s="61" t="str">
        <f>Inicial!C66</f>
        <v>Operario de producción Línea Pulpa Piernas</v>
      </c>
      <c r="D66" s="62" t="str">
        <f>Inicial!D66</f>
        <v>Direccionador de piernas</v>
      </c>
      <c r="E66" s="60" t="str">
        <f>IF(Inicial!K66="SI",Inicial!E66,"N/A")</f>
        <v>N/A</v>
      </c>
      <c r="F66" s="61" t="str">
        <f>IF(Inicial!K66="SI",Inicial!F66,"N/A")</f>
        <v>N/A</v>
      </c>
      <c r="G66" s="61" t="str">
        <f>IF(Inicial!K66="SI",Inicial!G66,"N/A")</f>
        <v>N/A</v>
      </c>
      <c r="H66" s="61" t="str">
        <f>IF(Inicial!K66="SI",Inicial!H66,"N/A")</f>
        <v>N/A</v>
      </c>
      <c r="I66" s="72" t="str">
        <f>IF(Inicial!K66="SI",Inicial!I66,"N/A")</f>
        <v>N/A</v>
      </c>
      <c r="K66" s="6"/>
      <c r="L66" s="6"/>
      <c r="M66" s="6"/>
      <c r="N66" s="6"/>
      <c r="O66" s="6"/>
      <c r="P66" s="97"/>
      <c r="Q66" s="93"/>
      <c r="R66" s="6"/>
      <c r="S66" s="6"/>
      <c r="T66" s="6"/>
      <c r="U66" s="6"/>
      <c r="V66" s="6"/>
      <c r="W66" s="94"/>
      <c r="X66" s="93"/>
      <c r="Y66" s="6"/>
      <c r="Z66" s="6"/>
      <c r="AA66" s="6"/>
      <c r="AB66" s="6"/>
      <c r="AC66" s="94"/>
      <c r="AD66" s="102" t="str">
        <f t="shared" si="0"/>
        <v>Aceptable</v>
      </c>
      <c r="AE66" s="6"/>
      <c r="AF66" s="6"/>
      <c r="AG66" s="6"/>
      <c r="AH66" s="6"/>
      <c r="AI66" s="6"/>
      <c r="AJ66" s="6"/>
      <c r="AK66" s="6"/>
      <c r="AL66" s="6"/>
      <c r="AM66" s="6"/>
      <c r="AN66" s="6"/>
      <c r="AO66" s="6"/>
      <c r="AP66" s="6"/>
      <c r="AQ66" s="6"/>
      <c r="AR66" s="6"/>
      <c r="AS66" s="6"/>
      <c r="AT66" s="6"/>
      <c r="AU66" s="6"/>
      <c r="AV66" s="45" t="str" cm="1">
        <f t="array" ref="AV66">IF(OR(AE66:AU66="SI"),"Critico","No critico")</f>
        <v>No critico</v>
      </c>
    </row>
    <row r="67" spans="1:48" ht="51">
      <c r="A67" s="60">
        <f>Inicial!A67</f>
        <v>65</v>
      </c>
      <c r="B67" s="61" t="str">
        <f>Inicial!B67</f>
        <v>Desposte</v>
      </c>
      <c r="C67" s="61" t="str">
        <f>Inicial!C67</f>
        <v>Operario de producción Línea Pulpa Piernas</v>
      </c>
      <c r="D67" s="62" t="str">
        <f>Inicial!D67</f>
        <v>Extracción de pernil</v>
      </c>
      <c r="E67" s="60" t="str">
        <f>IF(Inicial!K67="SI",Inicial!E67,"N/A")</f>
        <v>N/A</v>
      </c>
      <c r="F67" s="61" t="str">
        <f>IF(Inicial!K67="SI",Inicial!F67,"N/A")</f>
        <v>N/A</v>
      </c>
      <c r="G67" s="61" t="str">
        <f>IF(Inicial!K67="SI",Inicial!G67,"N/A")</f>
        <v>N/A</v>
      </c>
      <c r="H67" s="61" t="str">
        <f>IF(Inicial!K67="SI",Inicial!H67,"N/A")</f>
        <v>N/A</v>
      </c>
      <c r="I67" s="72" t="str">
        <f>IF(Inicial!K67="SI",Inicial!I67,"N/A")</f>
        <v>N/A</v>
      </c>
      <c r="K67" s="6"/>
      <c r="L67" s="6"/>
      <c r="M67" s="6"/>
      <c r="N67" s="6"/>
      <c r="O67" s="6"/>
      <c r="P67" s="97"/>
      <c r="Q67" s="93"/>
      <c r="R67" s="6"/>
      <c r="S67" s="6"/>
      <c r="T67" s="6"/>
      <c r="U67" s="6"/>
      <c r="V67" s="6"/>
      <c r="W67" s="94"/>
      <c r="X67" s="93"/>
      <c r="Y67" s="6"/>
      <c r="Z67" s="6"/>
      <c r="AA67" s="6"/>
      <c r="AB67" s="6"/>
      <c r="AC67" s="94"/>
      <c r="AD67" s="102" t="str">
        <f t="shared" si="0"/>
        <v>Aceptable</v>
      </c>
      <c r="AE67" s="6"/>
      <c r="AF67" s="6"/>
      <c r="AG67" s="6"/>
      <c r="AH67" s="6"/>
      <c r="AI67" s="6"/>
      <c r="AJ67" s="6"/>
      <c r="AK67" s="6"/>
      <c r="AL67" s="6"/>
      <c r="AM67" s="6"/>
      <c r="AN67" s="6"/>
      <c r="AO67" s="6"/>
      <c r="AP67" s="6"/>
      <c r="AQ67" s="6"/>
      <c r="AR67" s="6"/>
      <c r="AS67" s="6"/>
      <c r="AT67" s="6"/>
      <c r="AU67" s="6"/>
      <c r="AV67" s="45" t="str" cm="1">
        <f t="array" ref="AV67">IF(OR(AE67:AU67="SI"),"Critico","No critico")</f>
        <v>No critico</v>
      </c>
    </row>
    <row r="68" spans="1:48" ht="51">
      <c r="A68" s="60">
        <f>Inicial!A68</f>
        <v>66</v>
      </c>
      <c r="B68" s="61" t="str">
        <f>Inicial!B68</f>
        <v>Desposte</v>
      </c>
      <c r="C68" s="61" t="str">
        <f>Inicial!C68</f>
        <v>Operario de producción Línea Pulpa Piernas</v>
      </c>
      <c r="D68" s="62" t="str">
        <f>Inicial!D68</f>
        <v xml:space="preserve">Extracción Cazuela y cola </v>
      </c>
      <c r="E68" s="60" t="str">
        <f>IF(Inicial!K68="SI",Inicial!E68,"N/A")</f>
        <v>N/A</v>
      </c>
      <c r="F68" s="61" t="str">
        <f>IF(Inicial!K68="SI",Inicial!F68,"N/A")</f>
        <v>N/A</v>
      </c>
      <c r="G68" s="61" t="str">
        <f>IF(Inicial!K68="SI",Inicial!G68,"N/A")</f>
        <v>N/A</v>
      </c>
      <c r="H68" s="61" t="str">
        <f>IF(Inicial!K68="SI",Inicial!H68,"N/A")</f>
        <v>N/A</v>
      </c>
      <c r="I68" s="72" t="str">
        <f>IF(Inicial!K68="SI",Inicial!I68,"N/A")</f>
        <v>N/A</v>
      </c>
      <c r="K68" s="6"/>
      <c r="L68" s="6"/>
      <c r="M68" s="6"/>
      <c r="N68" s="6"/>
      <c r="O68" s="6"/>
      <c r="P68" s="97"/>
      <c r="Q68" s="93"/>
      <c r="R68" s="6"/>
      <c r="S68" s="6"/>
      <c r="T68" s="6"/>
      <c r="U68" s="6"/>
      <c r="V68" s="6"/>
      <c r="W68" s="94"/>
      <c r="X68" s="93"/>
      <c r="Y68" s="6"/>
      <c r="Z68" s="6"/>
      <c r="AA68" s="6"/>
      <c r="AB68" s="6"/>
      <c r="AC68" s="94"/>
      <c r="AD68" s="102" t="str">
        <f t="shared" ref="AD68:AD127" si="1">IF(OR(J68="NO",K68="NO",L68="NO",M68="NO",N68="NO",O68="NO",P68="NO",R68="NO",S68="NO",T68="NO",U68="NO", V68="NO",W68="NO",Y68="NO",Z68="NO",AA68="NO",AB68="NO",AC68="NO"),"No aceptable","Aceptable")</f>
        <v>Aceptable</v>
      </c>
      <c r="AE68" s="6"/>
      <c r="AF68" s="6"/>
      <c r="AG68" s="6"/>
      <c r="AH68" s="6"/>
      <c r="AI68" s="6"/>
      <c r="AJ68" s="6"/>
      <c r="AK68" s="6"/>
      <c r="AL68" s="6"/>
      <c r="AM68" s="6"/>
      <c r="AN68" s="6"/>
      <c r="AO68" s="6"/>
      <c r="AP68" s="6"/>
      <c r="AQ68" s="6"/>
      <c r="AR68" s="6"/>
      <c r="AS68" s="6"/>
      <c r="AT68" s="6"/>
      <c r="AU68" s="6"/>
      <c r="AV68" s="45" t="str" cm="1">
        <f t="array" ref="AV68">IF(OR(AE68:AU68="SI"),"Critico","No critico")</f>
        <v>No critico</v>
      </c>
    </row>
    <row r="69" spans="1:48" ht="51">
      <c r="A69" s="60">
        <f>Inicial!A69</f>
        <v>67</v>
      </c>
      <c r="B69" s="61" t="str">
        <f>Inicial!B69</f>
        <v>Desposte</v>
      </c>
      <c r="C69" s="61" t="str">
        <f>Inicial!C69</f>
        <v>Operario de producción Línea Pulpa Piernas</v>
      </c>
      <c r="D69" s="62" t="str">
        <f>Inicial!D69</f>
        <v>Prolijado de pierna</v>
      </c>
      <c r="E69" s="60" t="str">
        <f>IF(Inicial!K69="SI",Inicial!E69,"N/A")</f>
        <v>N/A</v>
      </c>
      <c r="F69" s="61" t="str">
        <f>IF(Inicial!K69="SI",Inicial!F69,"N/A")</f>
        <v>N/A</v>
      </c>
      <c r="G69" s="61" t="str">
        <f>IF(Inicial!K69="SI",Inicial!G69,"N/A")</f>
        <v>N/A</v>
      </c>
      <c r="H69" s="61" t="str">
        <f>IF(Inicial!K69="SI",Inicial!H69,"N/A")</f>
        <v>N/A</v>
      </c>
      <c r="I69" s="72" t="str">
        <f>IF(Inicial!K69="SI",Inicial!I69,"N/A")</f>
        <v>N/A</v>
      </c>
      <c r="K69" s="6"/>
      <c r="L69" s="6"/>
      <c r="M69" s="6"/>
      <c r="N69" s="6"/>
      <c r="O69" s="6"/>
      <c r="P69" s="97"/>
      <c r="Q69" s="93"/>
      <c r="R69" s="6"/>
      <c r="S69" s="6"/>
      <c r="T69" s="6"/>
      <c r="U69" s="6"/>
      <c r="V69" s="6"/>
      <c r="W69" s="94"/>
      <c r="X69" s="93"/>
      <c r="Y69" s="6"/>
      <c r="Z69" s="6"/>
      <c r="AA69" s="6"/>
      <c r="AB69" s="6"/>
      <c r="AC69" s="94"/>
      <c r="AD69" s="102" t="str">
        <f t="shared" si="1"/>
        <v>Aceptable</v>
      </c>
      <c r="AE69" s="6"/>
      <c r="AF69" s="6"/>
      <c r="AG69" s="6"/>
      <c r="AH69" s="6"/>
      <c r="AI69" s="6"/>
      <c r="AJ69" s="6"/>
      <c r="AK69" s="6"/>
      <c r="AL69" s="6"/>
      <c r="AM69" s="6"/>
      <c r="AN69" s="6"/>
      <c r="AO69" s="6"/>
      <c r="AP69" s="6"/>
      <c r="AQ69" s="6"/>
      <c r="AR69" s="6"/>
      <c r="AS69" s="6"/>
      <c r="AT69" s="6"/>
      <c r="AU69" s="6"/>
      <c r="AV69" s="45" t="str" cm="1">
        <f t="array" ref="AV69">IF(OR(AE69:AU69="SI"),"Critico","No critico")</f>
        <v>No critico</v>
      </c>
    </row>
    <row r="70" spans="1:48" ht="51">
      <c r="A70" s="60">
        <f>Inicial!A70</f>
        <v>68</v>
      </c>
      <c r="B70" s="61" t="str">
        <f>Inicial!B70</f>
        <v>Desposte</v>
      </c>
      <c r="C70" s="61" t="str">
        <f>Inicial!C70</f>
        <v>Operario de producción Línea Pulpa Piernas</v>
      </c>
      <c r="D70" s="62" t="str">
        <f>Inicial!D70</f>
        <v>Deshuesado coxal</v>
      </c>
      <c r="E70" s="60" t="str">
        <f>IF(Inicial!K70="SI",Inicial!E70,"N/A")</f>
        <v>N/A</v>
      </c>
      <c r="F70" s="61" t="str">
        <f>IF(Inicial!K70="SI",Inicial!F70,"N/A")</f>
        <v>N/A</v>
      </c>
      <c r="G70" s="61" t="str">
        <f>IF(Inicial!K70="SI",Inicial!G70,"N/A")</f>
        <v>N/A</v>
      </c>
      <c r="H70" s="61" t="str">
        <f>IF(Inicial!K70="SI",Inicial!H70,"N/A")</f>
        <v>N/A</v>
      </c>
      <c r="I70" s="72" t="str">
        <f>IF(Inicial!K70="SI",Inicial!I70,"N/A")</f>
        <v>N/A</v>
      </c>
      <c r="K70" s="6"/>
      <c r="L70" s="6"/>
      <c r="M70" s="6"/>
      <c r="N70" s="6"/>
      <c r="O70" s="6"/>
      <c r="P70" s="97"/>
      <c r="Q70" s="93"/>
      <c r="R70" s="6"/>
      <c r="S70" s="6"/>
      <c r="T70" s="6"/>
      <c r="U70" s="6"/>
      <c r="V70" s="6"/>
      <c r="W70" s="94"/>
      <c r="X70" s="93"/>
      <c r="Y70" s="6"/>
      <c r="Z70" s="6"/>
      <c r="AA70" s="6"/>
      <c r="AB70" s="6"/>
      <c r="AC70" s="94"/>
      <c r="AD70" s="102" t="str">
        <f t="shared" si="1"/>
        <v>Aceptable</v>
      </c>
      <c r="AE70" s="6"/>
      <c r="AF70" s="6"/>
      <c r="AG70" s="6"/>
      <c r="AH70" s="6"/>
      <c r="AI70" s="6"/>
      <c r="AJ70" s="6"/>
      <c r="AK70" s="6"/>
      <c r="AL70" s="6"/>
      <c r="AM70" s="6"/>
      <c r="AN70" s="6"/>
      <c r="AO70" s="6"/>
      <c r="AP70" s="6"/>
      <c r="AQ70" s="6"/>
      <c r="AR70" s="6"/>
      <c r="AS70" s="6"/>
      <c r="AT70" s="6"/>
      <c r="AU70" s="6"/>
      <c r="AV70" s="45" t="str" cm="1">
        <f t="array" ref="AV70">IF(OR(AE70:AU70="SI"),"Critico","No critico")</f>
        <v>No critico</v>
      </c>
    </row>
    <row r="71" spans="1:48" ht="51">
      <c r="A71" s="60">
        <f>Inicial!A71</f>
        <v>69</v>
      </c>
      <c r="B71" s="61" t="str">
        <f>Inicial!B71</f>
        <v>Desposte</v>
      </c>
      <c r="C71" s="61" t="str">
        <f>Inicial!C71</f>
        <v>Operario de producción Línea Pulpa Piernas</v>
      </c>
      <c r="D71" s="62" t="str">
        <f>Inicial!D71</f>
        <v>Deshuesado fémur</v>
      </c>
      <c r="E71" s="60" t="str">
        <f>IF(Inicial!K71="SI",Inicial!E71,"N/A")</f>
        <v>N/A</v>
      </c>
      <c r="F71" s="61" t="str">
        <f>IF(Inicial!K71="SI",Inicial!F71,"N/A")</f>
        <v>N/A</v>
      </c>
      <c r="G71" s="61" t="str">
        <f>IF(Inicial!K71="SI",Inicial!G71,"N/A")</f>
        <v>N/A</v>
      </c>
      <c r="H71" s="61" t="str">
        <f>IF(Inicial!K71="SI",Inicial!H71,"N/A")</f>
        <v>N/A</v>
      </c>
      <c r="I71" s="72" t="str">
        <f>IF(Inicial!K71="SI",Inicial!I71,"N/A")</f>
        <v>N/A</v>
      </c>
      <c r="K71" s="6"/>
      <c r="L71" s="6"/>
      <c r="M71" s="6"/>
      <c r="N71" s="6"/>
      <c r="O71" s="6"/>
      <c r="P71" s="97"/>
      <c r="Q71" s="93"/>
      <c r="R71" s="6"/>
      <c r="S71" s="6"/>
      <c r="T71" s="6"/>
      <c r="U71" s="6"/>
      <c r="V71" s="6"/>
      <c r="W71" s="94"/>
      <c r="X71" s="93"/>
      <c r="Y71" s="6"/>
      <c r="Z71" s="6"/>
      <c r="AA71" s="6"/>
      <c r="AB71" s="6"/>
      <c r="AC71" s="94"/>
      <c r="AD71" s="102" t="str">
        <f t="shared" si="1"/>
        <v>Aceptable</v>
      </c>
      <c r="AE71" s="6"/>
      <c r="AF71" s="6"/>
      <c r="AG71" s="6"/>
      <c r="AH71" s="6"/>
      <c r="AI71" s="6"/>
      <c r="AJ71" s="6"/>
      <c r="AK71" s="6"/>
      <c r="AL71" s="6"/>
      <c r="AM71" s="6"/>
      <c r="AN71" s="6"/>
      <c r="AO71" s="6"/>
      <c r="AP71" s="6"/>
      <c r="AQ71" s="6"/>
      <c r="AR71" s="6"/>
      <c r="AS71" s="6"/>
      <c r="AT71" s="6"/>
      <c r="AU71" s="6"/>
      <c r="AV71" s="45" t="str" cm="1">
        <f t="array" ref="AV71">IF(OR(AE71:AU71="SI"),"Critico","No critico")</f>
        <v>No critico</v>
      </c>
    </row>
    <row r="72" spans="1:48" ht="51">
      <c r="A72" s="60">
        <f>Inicial!A72</f>
        <v>70</v>
      </c>
      <c r="B72" s="61" t="str">
        <f>Inicial!B72</f>
        <v>Desposte</v>
      </c>
      <c r="C72" s="61" t="str">
        <f>Inicial!C72</f>
        <v>Operario de producción Línea Pulpa Piernas</v>
      </c>
      <c r="D72" s="62" t="str">
        <f>Inicial!D72</f>
        <v>Prolijado de cartilago</v>
      </c>
      <c r="E72" s="60" t="str">
        <f>IF(Inicial!K72="SI",Inicial!E72,"N/A")</f>
        <v>N/A</v>
      </c>
      <c r="F72" s="61" t="str">
        <f>IF(Inicial!K72="SI",Inicial!F72,"N/A")</f>
        <v>N/A</v>
      </c>
      <c r="G72" s="61" t="str">
        <f>IF(Inicial!K72="SI",Inicial!G72,"N/A")</f>
        <v>N/A</v>
      </c>
      <c r="H72" s="61" t="str">
        <f>IF(Inicial!K72="SI",Inicial!H72,"N/A")</f>
        <v>N/A</v>
      </c>
      <c r="I72" s="72" t="str">
        <f>IF(Inicial!K72="SI",Inicial!I72,"N/A")</f>
        <v>N/A</v>
      </c>
      <c r="K72" s="6"/>
      <c r="L72" s="6"/>
      <c r="M72" s="6"/>
      <c r="N72" s="6"/>
      <c r="O72" s="6"/>
      <c r="P72" s="97"/>
      <c r="Q72" s="93"/>
      <c r="R72" s="6"/>
      <c r="S72" s="6"/>
      <c r="T72" s="6"/>
      <c r="U72" s="6"/>
      <c r="V72" s="6"/>
      <c r="W72" s="94"/>
      <c r="X72" s="93"/>
      <c r="Y72" s="6"/>
      <c r="Z72" s="6"/>
      <c r="AA72" s="6"/>
      <c r="AB72" s="6"/>
      <c r="AC72" s="94"/>
      <c r="AD72" s="102" t="str">
        <f t="shared" si="1"/>
        <v>Aceptable</v>
      </c>
      <c r="AE72" s="6"/>
      <c r="AF72" s="6"/>
      <c r="AG72" s="6"/>
      <c r="AH72" s="6"/>
      <c r="AI72" s="6"/>
      <c r="AJ72" s="6"/>
      <c r="AK72" s="6"/>
      <c r="AL72" s="6"/>
      <c r="AM72" s="6"/>
      <c r="AN72" s="6"/>
      <c r="AO72" s="6"/>
      <c r="AP72" s="6"/>
      <c r="AQ72" s="6"/>
      <c r="AR72" s="6"/>
      <c r="AS72" s="6"/>
      <c r="AT72" s="6"/>
      <c r="AU72" s="6"/>
    </row>
    <row r="73" spans="1:48" ht="51">
      <c r="A73" s="60">
        <f>Inicial!A73</f>
        <v>71</v>
      </c>
      <c r="B73" s="61" t="str">
        <f>Inicial!B73</f>
        <v>Desposte</v>
      </c>
      <c r="C73" s="61" t="str">
        <f>Inicial!C73</f>
        <v>Operario de producción Línea Pulpa Piernas</v>
      </c>
      <c r="D73" s="62" t="str">
        <f>Inicial!D73</f>
        <v>Prolijado de pulpa</v>
      </c>
      <c r="E73" s="60" t="str">
        <f>IF(Inicial!K73="SI",Inicial!E73,"N/A")</f>
        <v>N/A</v>
      </c>
      <c r="F73" s="61" t="str">
        <f>IF(Inicial!K73="SI",Inicial!F73,"N/A")</f>
        <v>N/A</v>
      </c>
      <c r="G73" s="61" t="str">
        <f>IF(Inicial!K73="SI",Inicial!G73,"N/A")</f>
        <v>N/A</v>
      </c>
      <c r="H73" s="61" t="str">
        <f>IF(Inicial!K73="SI",Inicial!H73,"N/A")</f>
        <v>N/A</v>
      </c>
      <c r="I73" s="72" t="str">
        <f>IF(Inicial!K73="SI",Inicial!I73,"N/A")</f>
        <v>N/A</v>
      </c>
      <c r="K73" s="6"/>
      <c r="L73" s="6"/>
      <c r="M73" s="6"/>
      <c r="N73" s="6"/>
      <c r="O73" s="6"/>
      <c r="P73" s="97"/>
      <c r="Q73" s="93"/>
      <c r="R73" s="6"/>
      <c r="S73" s="6"/>
      <c r="T73" s="6"/>
      <c r="U73" s="6"/>
      <c r="V73" s="6"/>
      <c r="W73" s="94"/>
      <c r="X73" s="93"/>
      <c r="Y73" s="6"/>
      <c r="Z73" s="6"/>
      <c r="AA73" s="6"/>
      <c r="AB73" s="6"/>
      <c r="AC73" s="94"/>
      <c r="AD73" s="102" t="str">
        <f t="shared" si="1"/>
        <v>Aceptable</v>
      </c>
      <c r="AE73" s="6"/>
      <c r="AF73" s="6"/>
      <c r="AG73" s="6"/>
      <c r="AH73" s="6"/>
      <c r="AI73" s="6"/>
      <c r="AJ73" s="6"/>
      <c r="AK73" s="6"/>
      <c r="AL73" s="6"/>
      <c r="AM73" s="6"/>
      <c r="AN73" s="6"/>
      <c r="AO73" s="6"/>
      <c r="AP73" s="6"/>
      <c r="AQ73" s="6"/>
      <c r="AR73" s="6"/>
      <c r="AS73" s="6"/>
      <c r="AT73" s="6"/>
      <c r="AU73" s="6"/>
    </row>
    <row r="74" spans="1:48" ht="51">
      <c r="A74" s="60">
        <f>Inicial!A74</f>
        <v>72</v>
      </c>
      <c r="B74" s="61" t="str">
        <f>Inicial!B74</f>
        <v>Desposte</v>
      </c>
      <c r="C74" s="61" t="str">
        <f>Inicial!C74</f>
        <v>Operario de producción Línea Pulpa Piernas</v>
      </c>
      <c r="D74" s="62" t="str">
        <f>Inicial!D74</f>
        <v>Extracción de posta rosada</v>
      </c>
      <c r="E74" s="60" t="str">
        <f>IF(Inicial!K74="SI",Inicial!E74,"N/A")</f>
        <v>N/A</v>
      </c>
      <c r="F74" s="61" t="str">
        <f>IF(Inicial!K74="SI",Inicial!F74,"N/A")</f>
        <v>N/A</v>
      </c>
      <c r="G74" s="61" t="str">
        <f>IF(Inicial!K74="SI",Inicial!G74,"N/A")</f>
        <v>N/A</v>
      </c>
      <c r="H74" s="61" t="str">
        <f>IF(Inicial!K74="SI",Inicial!H74,"N/A")</f>
        <v>N/A</v>
      </c>
      <c r="I74" s="72" t="str">
        <f>IF(Inicial!K74="SI",Inicial!I74,"N/A")</f>
        <v>N/A</v>
      </c>
      <c r="K74" s="6"/>
      <c r="L74" s="6"/>
      <c r="M74" s="6"/>
      <c r="N74" s="6"/>
      <c r="O74" s="6"/>
      <c r="P74" s="97"/>
      <c r="Q74" s="93"/>
      <c r="R74" s="6"/>
      <c r="S74" s="6"/>
      <c r="T74" s="6"/>
      <c r="U74" s="6"/>
      <c r="V74" s="6"/>
      <c r="W74" s="94"/>
      <c r="X74" s="93"/>
      <c r="Y74" s="6"/>
      <c r="Z74" s="6"/>
      <c r="AA74" s="6"/>
      <c r="AB74" s="6"/>
      <c r="AC74" s="94"/>
      <c r="AD74" s="102" t="str">
        <f t="shared" si="1"/>
        <v>Aceptable</v>
      </c>
      <c r="AE74" s="6"/>
      <c r="AF74" s="6"/>
      <c r="AG74" s="6"/>
      <c r="AH74" s="6"/>
      <c r="AI74" s="6"/>
      <c r="AJ74" s="6"/>
      <c r="AK74" s="6"/>
      <c r="AL74" s="6"/>
      <c r="AM74" s="6"/>
      <c r="AN74" s="6"/>
      <c r="AO74" s="6"/>
      <c r="AP74" s="6"/>
      <c r="AQ74" s="6"/>
      <c r="AR74" s="6"/>
      <c r="AS74" s="6"/>
      <c r="AT74" s="6"/>
      <c r="AU74" s="6"/>
    </row>
    <row r="75" spans="1:48" ht="51">
      <c r="A75" s="60">
        <f>Inicial!A75</f>
        <v>73</v>
      </c>
      <c r="B75" s="61" t="str">
        <f>Inicial!B75</f>
        <v>Desposte</v>
      </c>
      <c r="C75" s="61" t="str">
        <f>Inicial!C75</f>
        <v>Operario de producción Línea Pulpa Piernas</v>
      </c>
      <c r="D75" s="62" t="str">
        <f>Inicial!D75</f>
        <v>Extracción de posta negra</v>
      </c>
      <c r="E75" s="60" t="str">
        <f>IF(Inicial!K75="SI",Inicial!E75,"N/A")</f>
        <v>N/A</v>
      </c>
      <c r="F75" s="61" t="str">
        <f>IF(Inicial!K75="SI",Inicial!F75,"N/A")</f>
        <v>N/A</v>
      </c>
      <c r="G75" s="61" t="str">
        <f>IF(Inicial!K75="SI",Inicial!G75,"N/A")</f>
        <v>N/A</v>
      </c>
      <c r="H75" s="61" t="str">
        <f>IF(Inicial!K75="SI",Inicial!H75,"N/A")</f>
        <v>N/A</v>
      </c>
      <c r="I75" s="72" t="str">
        <f>IF(Inicial!K75="SI",Inicial!I75,"N/A")</f>
        <v>N/A</v>
      </c>
      <c r="K75" s="6"/>
      <c r="L75" s="6"/>
      <c r="M75" s="6"/>
      <c r="N75" s="6"/>
      <c r="O75" s="6"/>
      <c r="P75" s="97"/>
      <c r="Q75" s="93"/>
      <c r="R75" s="6"/>
      <c r="S75" s="6"/>
      <c r="T75" s="6"/>
      <c r="U75" s="6"/>
      <c r="V75" s="6"/>
      <c r="W75" s="94"/>
      <c r="X75" s="93"/>
      <c r="Y75" s="6"/>
      <c r="Z75" s="6"/>
      <c r="AA75" s="6"/>
      <c r="AB75" s="6"/>
      <c r="AC75" s="94"/>
      <c r="AD75" s="102" t="str">
        <f t="shared" si="1"/>
        <v>Aceptable</v>
      </c>
      <c r="AE75" s="6"/>
      <c r="AF75" s="6"/>
      <c r="AG75" s="6"/>
      <c r="AH75" s="6"/>
      <c r="AI75" s="6"/>
      <c r="AJ75" s="6"/>
      <c r="AK75" s="6"/>
      <c r="AL75" s="6"/>
      <c r="AM75" s="6"/>
      <c r="AN75" s="6"/>
      <c r="AO75" s="6"/>
      <c r="AP75" s="6"/>
      <c r="AQ75" s="6"/>
      <c r="AR75" s="6"/>
      <c r="AS75" s="6"/>
      <c r="AT75" s="6"/>
      <c r="AU75" s="6"/>
    </row>
    <row r="76" spans="1:48" ht="51">
      <c r="A76" s="60">
        <f>Inicial!A76</f>
        <v>74</v>
      </c>
      <c r="B76" s="61" t="str">
        <f>Inicial!B76</f>
        <v>Desposte</v>
      </c>
      <c r="C76" s="61" t="str">
        <f>Inicial!C76</f>
        <v>Operario de producción Línea Pulpa Piernas</v>
      </c>
      <c r="D76" s="62" t="str">
        <f>Inicial!D76</f>
        <v>Extracción de asiento</v>
      </c>
      <c r="E76" s="60" t="str">
        <f>IF(Inicial!K76="SI",Inicial!E76,"N/A")</f>
        <v>N/A</v>
      </c>
      <c r="F76" s="61" t="str">
        <f>IF(Inicial!K76="SI",Inicial!F76,"N/A")</f>
        <v>N/A</v>
      </c>
      <c r="G76" s="61" t="str">
        <f>IF(Inicial!K76="SI",Inicial!G76,"N/A")</f>
        <v>N/A</v>
      </c>
      <c r="H76" s="61" t="str">
        <f>IF(Inicial!K76="SI",Inicial!H76,"N/A")</f>
        <v>N/A</v>
      </c>
      <c r="I76" s="72" t="str">
        <f>IF(Inicial!K76="SI",Inicial!I76,"N/A")</f>
        <v>N/A</v>
      </c>
      <c r="K76" s="6"/>
      <c r="L76" s="6"/>
      <c r="M76" s="6"/>
      <c r="N76" s="6"/>
      <c r="O76" s="6"/>
      <c r="P76" s="97"/>
      <c r="Q76" s="93"/>
      <c r="R76" s="6"/>
      <c r="S76" s="6"/>
      <c r="T76" s="6"/>
      <c r="U76" s="6"/>
      <c r="V76" s="6"/>
      <c r="W76" s="94"/>
      <c r="X76" s="93"/>
      <c r="Y76" s="6"/>
      <c r="Z76" s="6"/>
      <c r="AA76" s="6"/>
      <c r="AB76" s="6"/>
      <c r="AC76" s="94"/>
      <c r="AD76" s="102" t="str">
        <f t="shared" si="1"/>
        <v>Aceptable</v>
      </c>
      <c r="AE76" s="6"/>
      <c r="AF76" s="6"/>
      <c r="AG76" s="6"/>
      <c r="AH76" s="6"/>
      <c r="AI76" s="6"/>
      <c r="AJ76" s="6"/>
      <c r="AK76" s="6"/>
      <c r="AL76" s="6"/>
      <c r="AM76" s="6"/>
      <c r="AN76" s="6"/>
      <c r="AO76" s="6"/>
      <c r="AP76" s="6"/>
      <c r="AQ76" s="6"/>
      <c r="AR76" s="6"/>
      <c r="AS76" s="6"/>
      <c r="AT76" s="6"/>
      <c r="AU76" s="6"/>
    </row>
    <row r="77" spans="1:48" ht="51">
      <c r="A77" s="60">
        <f>Inicial!A77</f>
        <v>75</v>
      </c>
      <c r="B77" s="61" t="str">
        <f>Inicial!B77</f>
        <v>Desposte</v>
      </c>
      <c r="C77" s="61" t="str">
        <f>Inicial!C77</f>
        <v>Operario de producción Línea Pulpa Piernas</v>
      </c>
      <c r="D77" s="62" t="str">
        <f>Inicial!D77</f>
        <v xml:space="preserve">Extracción de abastero </v>
      </c>
      <c r="E77" s="60" t="str">
        <f>IF(Inicial!K77="SI",Inicial!E77,"N/A")</f>
        <v>N/A</v>
      </c>
      <c r="F77" s="61" t="str">
        <f>IF(Inicial!K77="SI",Inicial!F77,"N/A")</f>
        <v>N/A</v>
      </c>
      <c r="G77" s="61" t="str">
        <f>IF(Inicial!K77="SI",Inicial!G77,"N/A")</f>
        <v>N/A</v>
      </c>
      <c r="H77" s="61" t="str">
        <f>IF(Inicial!K77="SI",Inicial!H77,"N/A")</f>
        <v>N/A</v>
      </c>
      <c r="I77" s="72" t="str">
        <f>IF(Inicial!K77="SI",Inicial!I77,"N/A")</f>
        <v>N/A</v>
      </c>
      <c r="K77" s="6"/>
      <c r="L77" s="6"/>
      <c r="M77" s="6"/>
      <c r="N77" s="6"/>
      <c r="O77" s="6"/>
      <c r="P77" s="97"/>
      <c r="Q77" s="93"/>
      <c r="R77" s="6"/>
      <c r="S77" s="6"/>
      <c r="T77" s="6"/>
      <c r="U77" s="6"/>
      <c r="V77" s="6"/>
      <c r="W77" s="94"/>
      <c r="X77" s="93"/>
      <c r="Y77" s="6"/>
      <c r="Z77" s="6"/>
      <c r="AA77" s="6"/>
      <c r="AB77" s="6"/>
      <c r="AC77" s="94"/>
      <c r="AD77" s="102" t="str">
        <f t="shared" si="1"/>
        <v>Aceptable</v>
      </c>
      <c r="AE77" s="6"/>
      <c r="AF77" s="6"/>
      <c r="AG77" s="6"/>
      <c r="AH77" s="6"/>
      <c r="AI77" s="6"/>
      <c r="AJ77" s="6"/>
      <c r="AK77" s="6"/>
      <c r="AL77" s="6"/>
      <c r="AM77" s="6"/>
      <c r="AN77" s="6"/>
      <c r="AO77" s="6"/>
      <c r="AP77" s="6"/>
      <c r="AQ77" s="6"/>
      <c r="AR77" s="6"/>
      <c r="AS77" s="6"/>
      <c r="AT77" s="6"/>
      <c r="AU77" s="6"/>
    </row>
    <row r="78" spans="1:48" ht="51">
      <c r="A78" s="60">
        <f>Inicial!A78</f>
        <v>76</v>
      </c>
      <c r="B78" s="61" t="str">
        <f>Inicial!B78</f>
        <v>Desposte</v>
      </c>
      <c r="C78" s="61" t="str">
        <f>Inicial!C78</f>
        <v>Operario de producción Línea Pulpa Piernas</v>
      </c>
      <c r="D78" s="62" t="str">
        <f>Inicial!D78</f>
        <v>Extracción de ganso</v>
      </c>
      <c r="E78" s="60" t="str">
        <f>IF(Inicial!K78="SI",Inicial!E78,"N/A")</f>
        <v>N/A</v>
      </c>
      <c r="F78" s="61" t="str">
        <f>IF(Inicial!K78="SI",Inicial!F78,"N/A")</f>
        <v>N/A</v>
      </c>
      <c r="G78" s="61" t="str">
        <f>IF(Inicial!K78="SI",Inicial!G78,"N/A")</f>
        <v>N/A</v>
      </c>
      <c r="H78" s="61" t="str">
        <f>IF(Inicial!K78="SI",Inicial!H78,"N/A")</f>
        <v>N/A</v>
      </c>
      <c r="I78" s="72" t="str">
        <f>IF(Inicial!K78="SI",Inicial!I78,"N/A")</f>
        <v>N/A</v>
      </c>
      <c r="K78" s="6"/>
      <c r="L78" s="6"/>
      <c r="M78" s="6"/>
      <c r="N78" s="6"/>
      <c r="O78" s="6"/>
      <c r="P78" s="97"/>
      <c r="Q78" s="93"/>
      <c r="R78" s="6"/>
      <c r="S78" s="6"/>
      <c r="T78" s="6"/>
      <c r="U78" s="6"/>
      <c r="V78" s="6"/>
      <c r="W78" s="94"/>
      <c r="X78" s="93"/>
      <c r="Y78" s="6"/>
      <c r="Z78" s="6"/>
      <c r="AA78" s="6"/>
      <c r="AB78" s="6"/>
      <c r="AC78" s="94"/>
      <c r="AD78" s="102" t="str">
        <f t="shared" si="1"/>
        <v>Aceptable</v>
      </c>
      <c r="AE78" s="6"/>
      <c r="AF78" s="6"/>
      <c r="AG78" s="6"/>
      <c r="AH78" s="6"/>
      <c r="AI78" s="6"/>
      <c r="AJ78" s="6"/>
      <c r="AK78" s="6"/>
      <c r="AL78" s="6"/>
      <c r="AM78" s="6"/>
      <c r="AN78" s="6"/>
      <c r="AO78" s="6"/>
      <c r="AP78" s="6"/>
      <c r="AQ78" s="6"/>
      <c r="AR78" s="6"/>
      <c r="AS78" s="6"/>
      <c r="AT78" s="6"/>
      <c r="AU78" s="6"/>
    </row>
    <row r="79" spans="1:48" ht="51">
      <c r="A79" s="60">
        <f>Inicial!A79</f>
        <v>77</v>
      </c>
      <c r="B79" s="61" t="str">
        <f>Inicial!B79</f>
        <v>Desposte</v>
      </c>
      <c r="C79" s="61" t="str">
        <f>Inicial!C79</f>
        <v>Operario de producción Línea Pulpa Piernas</v>
      </c>
      <c r="D79" s="62" t="str">
        <f>Inicial!D79</f>
        <v>Operador desmenbranadora</v>
      </c>
      <c r="E79" s="60" t="str">
        <f>IF(Inicial!K79="SI",Inicial!E79,"N/A")</f>
        <v>N/A</v>
      </c>
      <c r="F79" s="61" t="str">
        <f>IF(Inicial!K79="SI",Inicial!F79,"N/A")</f>
        <v>N/A</v>
      </c>
      <c r="G79" s="61" t="str">
        <f>IF(Inicial!K79="SI",Inicial!G79,"N/A")</f>
        <v>N/A</v>
      </c>
      <c r="H79" s="61" t="str">
        <f>IF(Inicial!K79="SI",Inicial!H79,"N/A")</f>
        <v>N/A</v>
      </c>
      <c r="I79" s="72" t="str">
        <f>IF(Inicial!K79="SI",Inicial!I79,"N/A")</f>
        <v>N/A</v>
      </c>
      <c r="K79" s="6"/>
      <c r="L79" s="6"/>
      <c r="M79" s="6"/>
      <c r="N79" s="6"/>
      <c r="O79" s="6"/>
      <c r="P79" s="97"/>
      <c r="Q79" s="93"/>
      <c r="R79" s="6"/>
      <c r="S79" s="6"/>
      <c r="T79" s="6"/>
      <c r="U79" s="6"/>
      <c r="V79" s="6"/>
      <c r="W79" s="94"/>
      <c r="X79" s="93"/>
      <c r="Y79" s="6"/>
      <c r="Z79" s="6"/>
      <c r="AA79" s="6"/>
      <c r="AB79" s="6"/>
      <c r="AC79" s="94"/>
      <c r="AD79" s="102" t="str">
        <f t="shared" si="1"/>
        <v>Aceptable</v>
      </c>
      <c r="AE79" s="6"/>
      <c r="AF79" s="6"/>
      <c r="AG79" s="6"/>
      <c r="AH79" s="6"/>
      <c r="AI79" s="6"/>
      <c r="AJ79" s="6"/>
      <c r="AK79" s="6"/>
      <c r="AL79" s="6"/>
      <c r="AM79" s="6"/>
      <c r="AN79" s="6"/>
      <c r="AO79" s="6"/>
      <c r="AP79" s="6"/>
      <c r="AQ79" s="6"/>
      <c r="AR79" s="6"/>
      <c r="AS79" s="6"/>
      <c r="AT79" s="6"/>
      <c r="AU79" s="6"/>
    </row>
    <row r="80" spans="1:48" ht="51">
      <c r="A80" s="60">
        <f>Inicial!A80</f>
        <v>78</v>
      </c>
      <c r="B80" s="61" t="str">
        <f>Inicial!B80</f>
        <v>Desposte</v>
      </c>
      <c r="C80" s="61" t="str">
        <f>Inicial!C80</f>
        <v>Operario de producción Línea Pulpa Piernas</v>
      </c>
      <c r="D80" s="62" t="str">
        <f>Inicial!D80</f>
        <v xml:space="preserve">Embalaje </v>
      </c>
      <c r="E80" s="60" t="str">
        <f>IF(Inicial!K80="SI",Inicial!E80,"N/A")</f>
        <v>N/A</v>
      </c>
      <c r="F80" s="61" t="str">
        <f>IF(Inicial!K80="SI",Inicial!F80,"N/A")</f>
        <v>N/A</v>
      </c>
      <c r="G80" s="61" t="str">
        <f>IF(Inicial!K80="SI",Inicial!G80,"N/A")</f>
        <v>N/A</v>
      </c>
      <c r="H80" s="61" t="str">
        <f>IF(Inicial!K80="SI",Inicial!H80,"N/A")</f>
        <v>N/A</v>
      </c>
      <c r="I80" s="72" t="str">
        <f>IF(Inicial!K80="SI",Inicial!I80,"N/A")</f>
        <v>N/A</v>
      </c>
      <c r="K80" s="6"/>
      <c r="L80" s="6"/>
      <c r="M80" s="6"/>
      <c r="N80" s="6"/>
      <c r="O80" s="6"/>
      <c r="P80" s="97"/>
      <c r="Q80" s="93"/>
      <c r="R80" s="6"/>
      <c r="S80" s="6"/>
      <c r="T80" s="6"/>
      <c r="U80" s="6"/>
      <c r="V80" s="6"/>
      <c r="W80" s="94"/>
      <c r="X80" s="93"/>
      <c r="Y80" s="6"/>
      <c r="Z80" s="6"/>
      <c r="AA80" s="6"/>
      <c r="AB80" s="6"/>
      <c r="AC80" s="94"/>
      <c r="AD80" s="102" t="str">
        <f t="shared" si="1"/>
        <v>Aceptable</v>
      </c>
      <c r="AE80" s="6"/>
      <c r="AF80" s="6"/>
      <c r="AG80" s="6"/>
      <c r="AH80" s="6"/>
      <c r="AI80" s="6"/>
      <c r="AJ80" s="6"/>
      <c r="AK80" s="6"/>
      <c r="AL80" s="6"/>
      <c r="AM80" s="6"/>
      <c r="AN80" s="6"/>
      <c r="AO80" s="6"/>
      <c r="AP80" s="6"/>
      <c r="AQ80" s="6"/>
      <c r="AR80" s="6"/>
      <c r="AS80" s="6"/>
      <c r="AT80" s="6"/>
      <c r="AU80" s="6"/>
    </row>
    <row r="81" spans="1:47" ht="51">
      <c r="A81" s="60">
        <f>Inicial!A81</f>
        <v>79</v>
      </c>
      <c r="B81" s="61" t="str">
        <f>Inicial!B81</f>
        <v>Desposte</v>
      </c>
      <c r="C81" s="61" t="str">
        <f>Inicial!C81</f>
        <v>Operario de producción Línea Pulpa Piernas</v>
      </c>
      <c r="D81" s="62" t="str">
        <f>Inicial!D81</f>
        <v>Prolijado de Cueros</v>
      </c>
      <c r="E81" s="60" t="str">
        <f>IF(Inicial!K81="SI",Inicial!E81,"N/A")</f>
        <v>N/A</v>
      </c>
      <c r="F81" s="61" t="str">
        <f>IF(Inicial!K81="SI",Inicial!F81,"N/A")</f>
        <v>N/A</v>
      </c>
      <c r="G81" s="61" t="str">
        <f>IF(Inicial!K81="SI",Inicial!G81,"N/A")</f>
        <v>N/A</v>
      </c>
      <c r="H81" s="61" t="str">
        <f>IF(Inicial!K81="SI",Inicial!H81,"N/A")</f>
        <v>N/A</v>
      </c>
      <c r="I81" s="72" t="str">
        <f>IF(Inicial!K81="SI",Inicial!I81,"N/A")</f>
        <v>N/A</v>
      </c>
      <c r="K81" s="6"/>
      <c r="L81" s="6"/>
      <c r="M81" s="6"/>
      <c r="N81" s="6"/>
      <c r="O81" s="6"/>
      <c r="P81" s="97"/>
      <c r="Q81" s="93"/>
      <c r="R81" s="6"/>
      <c r="S81" s="6"/>
      <c r="T81" s="6"/>
      <c r="U81" s="6"/>
      <c r="V81" s="6"/>
      <c r="W81" s="94"/>
      <c r="X81" s="93"/>
      <c r="Y81" s="6"/>
      <c r="Z81" s="6"/>
      <c r="AA81" s="6"/>
      <c r="AB81" s="6"/>
      <c r="AC81" s="94"/>
      <c r="AD81" s="102" t="str">
        <f t="shared" si="1"/>
        <v>Aceptable</v>
      </c>
      <c r="AE81" s="6"/>
      <c r="AF81" s="6"/>
      <c r="AG81" s="6"/>
      <c r="AH81" s="6"/>
      <c r="AI81" s="6"/>
      <c r="AJ81" s="6"/>
      <c r="AK81" s="6"/>
      <c r="AL81" s="6"/>
      <c r="AM81" s="6"/>
      <c r="AN81" s="6"/>
      <c r="AO81" s="6"/>
      <c r="AP81" s="6"/>
      <c r="AQ81" s="6"/>
      <c r="AR81" s="6"/>
      <c r="AS81" s="6"/>
      <c r="AT81" s="6"/>
      <c r="AU81" s="6"/>
    </row>
    <row r="82" spans="1:47" ht="51">
      <c r="A82" s="60">
        <f>Inicial!A82</f>
        <v>80</v>
      </c>
      <c r="B82" s="61" t="str">
        <f>Inicial!B82</f>
        <v>Desposte</v>
      </c>
      <c r="C82" s="61" t="str">
        <f>Inicial!C82</f>
        <v>Operario de producción Línea Pulpa Piernas</v>
      </c>
      <c r="D82" s="62" t="str">
        <f>Inicial!D82</f>
        <v>Operador descueradora</v>
      </c>
      <c r="E82" s="60" t="str">
        <f>IF(Inicial!K82="SI",Inicial!E82,"N/A")</f>
        <v>N/A</v>
      </c>
      <c r="F82" s="61" t="str">
        <f>IF(Inicial!K82="SI",Inicial!F82,"N/A")</f>
        <v>N/A</v>
      </c>
      <c r="G82" s="61" t="str">
        <f>IF(Inicial!K82="SI",Inicial!G82,"N/A")</f>
        <v>N/A</v>
      </c>
      <c r="H82" s="61" t="str">
        <f>IF(Inicial!K82="SI",Inicial!H82,"N/A")</f>
        <v>N/A</v>
      </c>
      <c r="I82" s="72" t="str">
        <f>IF(Inicial!K82="SI",Inicial!I82,"N/A")</f>
        <v>N/A</v>
      </c>
      <c r="K82" s="6"/>
      <c r="L82" s="6"/>
      <c r="M82" s="6"/>
      <c r="N82" s="6"/>
      <c r="O82" s="6"/>
      <c r="P82" s="97"/>
      <c r="Q82" s="93"/>
      <c r="R82" s="6"/>
      <c r="S82" s="6"/>
      <c r="T82" s="6"/>
      <c r="U82" s="6"/>
      <c r="V82" s="6"/>
      <c r="W82" s="94"/>
      <c r="X82" s="93"/>
      <c r="Y82" s="6"/>
      <c r="Z82" s="6"/>
      <c r="AA82" s="6"/>
      <c r="AB82" s="6"/>
      <c r="AC82" s="94"/>
      <c r="AD82" s="102" t="str">
        <f t="shared" si="1"/>
        <v>Aceptable</v>
      </c>
      <c r="AE82" s="6"/>
      <c r="AF82" s="6"/>
      <c r="AG82" s="6"/>
      <c r="AH82" s="6"/>
      <c r="AI82" s="6"/>
      <c r="AJ82" s="6"/>
      <c r="AK82" s="6"/>
      <c r="AL82" s="6"/>
      <c r="AM82" s="6"/>
      <c r="AN82" s="6"/>
      <c r="AO82" s="6"/>
      <c r="AP82" s="6"/>
      <c r="AQ82" s="6"/>
      <c r="AR82" s="6"/>
      <c r="AS82" s="6"/>
      <c r="AT82" s="6"/>
      <c r="AU82" s="6"/>
    </row>
    <row r="83" spans="1:47" ht="51">
      <c r="A83" s="60">
        <f>Inicial!A83</f>
        <v>81</v>
      </c>
      <c r="B83" s="61" t="str">
        <f>Inicial!B83</f>
        <v>Desposte</v>
      </c>
      <c r="C83" s="61" t="str">
        <f>Inicial!C83</f>
        <v>Operario de producción Línea Embolsado</v>
      </c>
      <c r="D83" s="62" t="str">
        <f>Inicial!D83</f>
        <v>Revision de pancetas robot</v>
      </c>
      <c r="E83" s="60" t="str">
        <f>IF(Inicial!K83="SI",Inicial!E83,"N/A")</f>
        <v>N/A</v>
      </c>
      <c r="F83" s="61" t="str">
        <f>IF(Inicial!K83="SI",Inicial!F83,"N/A")</f>
        <v>N/A</v>
      </c>
      <c r="G83" s="61" t="str">
        <f>IF(Inicial!K83="SI",Inicial!G83,"N/A")</f>
        <v>N/A</v>
      </c>
      <c r="H83" s="61" t="str">
        <f>IF(Inicial!K83="SI",Inicial!H83,"N/A")</f>
        <v>N/A</v>
      </c>
      <c r="I83" s="72" t="str">
        <f>IF(Inicial!K83="SI",Inicial!I83,"N/A")</f>
        <v>N/A</v>
      </c>
      <c r="K83" s="6"/>
      <c r="L83" s="6"/>
      <c r="M83" s="6"/>
      <c r="N83" s="6"/>
      <c r="O83" s="6"/>
      <c r="P83" s="97"/>
      <c r="Q83" s="93"/>
      <c r="R83" s="6"/>
      <c r="S83" s="6"/>
      <c r="T83" s="6"/>
      <c r="U83" s="6"/>
      <c r="V83" s="6"/>
      <c r="W83" s="94"/>
      <c r="X83" s="93"/>
      <c r="Y83" s="6"/>
      <c r="Z83" s="6"/>
      <c r="AA83" s="6"/>
      <c r="AB83" s="6"/>
      <c r="AC83" s="94"/>
      <c r="AD83" s="102" t="str">
        <f t="shared" si="1"/>
        <v>Aceptable</v>
      </c>
      <c r="AE83" s="6"/>
      <c r="AF83" s="6"/>
      <c r="AG83" s="6"/>
      <c r="AH83" s="6"/>
      <c r="AI83" s="6"/>
      <c r="AJ83" s="6"/>
      <c r="AK83" s="6"/>
      <c r="AL83" s="6"/>
      <c r="AM83" s="6"/>
      <c r="AN83" s="6"/>
      <c r="AO83" s="6"/>
      <c r="AP83" s="6"/>
      <c r="AQ83" s="6"/>
      <c r="AR83" s="6"/>
      <c r="AS83" s="6"/>
      <c r="AT83" s="6"/>
      <c r="AU83" s="6"/>
    </row>
    <row r="84" spans="1:47" ht="51">
      <c r="A84" s="60">
        <f>Inicial!A84</f>
        <v>82</v>
      </c>
      <c r="B84" s="61" t="str">
        <f>Inicial!B84</f>
        <v>Desposte</v>
      </c>
      <c r="C84" s="61" t="str">
        <f>Inicial!C84</f>
        <v>Operario de producción Línea Embolsado</v>
      </c>
      <c r="D84" s="62" t="str">
        <f>Inicial!D84</f>
        <v>Operador de robot</v>
      </c>
      <c r="E84" s="60" t="str">
        <f>IF(Inicial!K84="SI",Inicial!E84,"N/A")</f>
        <v>N/A</v>
      </c>
      <c r="F84" s="61" t="str">
        <f>IF(Inicial!K84="SI",Inicial!F84,"N/A")</f>
        <v>N/A</v>
      </c>
      <c r="G84" s="61" t="str">
        <f>IF(Inicial!K84="SI",Inicial!G84,"N/A")</f>
        <v>N/A</v>
      </c>
      <c r="H84" s="61" t="str">
        <f>IF(Inicial!K84="SI",Inicial!H84,"N/A")</f>
        <v>N/A</v>
      </c>
      <c r="I84" s="72" t="str">
        <f>IF(Inicial!K84="SI",Inicial!I84,"N/A")</f>
        <v>N/A</v>
      </c>
      <c r="K84" s="6"/>
      <c r="L84" s="6"/>
      <c r="M84" s="6"/>
      <c r="N84" s="6"/>
      <c r="O84" s="6"/>
      <c r="P84" s="97"/>
      <c r="Q84" s="93"/>
      <c r="R84" s="6"/>
      <c r="S84" s="6"/>
      <c r="T84" s="6"/>
      <c r="U84" s="6"/>
      <c r="V84" s="6"/>
      <c r="W84" s="94"/>
      <c r="X84" s="93"/>
      <c r="Y84" s="6"/>
      <c r="Z84" s="6"/>
      <c r="AA84" s="6"/>
      <c r="AB84" s="6"/>
      <c r="AC84" s="94"/>
      <c r="AD84" s="102" t="str">
        <f t="shared" si="1"/>
        <v>Aceptable</v>
      </c>
      <c r="AE84" s="6"/>
      <c r="AF84" s="6"/>
      <c r="AG84" s="6"/>
      <c r="AH84" s="6"/>
      <c r="AI84" s="6"/>
      <c r="AJ84" s="6"/>
      <c r="AK84" s="6"/>
      <c r="AL84" s="6"/>
      <c r="AM84" s="6"/>
      <c r="AN84" s="6"/>
      <c r="AO84" s="6"/>
      <c r="AP84" s="6"/>
      <c r="AQ84" s="6"/>
      <c r="AR84" s="6"/>
      <c r="AS84" s="6"/>
      <c r="AT84" s="6"/>
      <c r="AU84" s="6"/>
    </row>
    <row r="85" spans="1:47" ht="51">
      <c r="A85" s="60">
        <f>Inicial!A85</f>
        <v>83</v>
      </c>
      <c r="B85" s="61" t="str">
        <f>Inicial!B85</f>
        <v>Desposte</v>
      </c>
      <c r="C85" s="61" t="str">
        <f>Inicial!C85</f>
        <v>Operario de producción Línea Embolsado</v>
      </c>
      <c r="D85" s="62" t="str">
        <f>Inicial!D85</f>
        <v>Operador de rotativa</v>
      </c>
      <c r="E85" s="60" t="str">
        <f>IF(Inicial!K85="SI",Inicial!E85,"N/A")</f>
        <v>N/A</v>
      </c>
      <c r="F85" s="61" t="str">
        <f>IF(Inicial!K85="SI",Inicial!F85,"N/A")</f>
        <v>N/A</v>
      </c>
      <c r="G85" s="61" t="str">
        <f>IF(Inicial!K85="SI",Inicial!G85,"N/A")</f>
        <v>N/A</v>
      </c>
      <c r="H85" s="61" t="str">
        <f>IF(Inicial!K85="SI",Inicial!H85,"N/A")</f>
        <v>N/A</v>
      </c>
      <c r="I85" s="72" t="str">
        <f>IF(Inicial!K85="SI",Inicial!I85,"N/A")</f>
        <v>N/A</v>
      </c>
      <c r="K85" s="6"/>
      <c r="L85" s="6"/>
      <c r="M85" s="6"/>
      <c r="N85" s="6"/>
      <c r="O85" s="6"/>
      <c r="P85" s="97"/>
      <c r="Q85" s="93"/>
      <c r="R85" s="6"/>
      <c r="S85" s="6"/>
      <c r="T85" s="6"/>
      <c r="U85" s="6"/>
      <c r="V85" s="6"/>
      <c r="W85" s="94"/>
      <c r="X85" s="93"/>
      <c r="Y85" s="6"/>
      <c r="Z85" s="6"/>
      <c r="AA85" s="6"/>
      <c r="AB85" s="6"/>
      <c r="AC85" s="94"/>
      <c r="AD85" s="102" t="str">
        <f t="shared" si="1"/>
        <v>Aceptable</v>
      </c>
      <c r="AE85" s="6"/>
      <c r="AF85" s="6"/>
      <c r="AG85" s="6"/>
      <c r="AH85" s="6"/>
      <c r="AI85" s="6"/>
      <c r="AJ85" s="6"/>
      <c r="AK85" s="6"/>
      <c r="AL85" s="6"/>
      <c r="AM85" s="6"/>
      <c r="AN85" s="6"/>
      <c r="AO85" s="6"/>
      <c r="AP85" s="6"/>
      <c r="AQ85" s="6"/>
      <c r="AR85" s="6"/>
      <c r="AS85" s="6"/>
      <c r="AT85" s="6"/>
      <c r="AU85" s="6"/>
    </row>
    <row r="86" spans="1:47" ht="51">
      <c r="A86" s="60">
        <f>Inicial!A86</f>
        <v>84</v>
      </c>
      <c r="B86" s="61" t="str">
        <f>Inicial!B86</f>
        <v>Desposte</v>
      </c>
      <c r="C86" s="61" t="str">
        <f>Inicial!C86</f>
        <v>Operario de producción Línea Embolsado</v>
      </c>
      <c r="D86" s="62" t="str">
        <f>Inicial!D86</f>
        <v>Traspaso de productos</v>
      </c>
      <c r="E86" s="60" t="str">
        <f>IF(Inicial!K86="SI",Inicial!E86,"N/A")</f>
        <v>N/A</v>
      </c>
      <c r="F86" s="61" t="str">
        <f>IF(Inicial!K86="SI",Inicial!F86,"N/A")</f>
        <v>N/A</v>
      </c>
      <c r="G86" s="61" t="str">
        <f>IF(Inicial!K86="SI",Inicial!G86,"N/A")</f>
        <v>N/A</v>
      </c>
      <c r="H86" s="61" t="str">
        <f>IF(Inicial!K86="SI",Inicial!H86,"N/A")</f>
        <v>N/A</v>
      </c>
      <c r="I86" s="72" t="str">
        <f>IF(Inicial!K86="SI",Inicial!I86,"N/A")</f>
        <v>N/A</v>
      </c>
      <c r="K86" s="6"/>
      <c r="L86" s="6"/>
      <c r="M86" s="6"/>
      <c r="N86" s="6"/>
      <c r="O86" s="6"/>
      <c r="P86" s="97"/>
      <c r="Q86" s="93"/>
      <c r="R86" s="6"/>
      <c r="S86" s="6"/>
      <c r="T86" s="6"/>
      <c r="U86" s="6"/>
      <c r="V86" s="6"/>
      <c r="W86" s="94"/>
      <c r="X86" s="93"/>
      <c r="Y86" s="6"/>
      <c r="Z86" s="6"/>
      <c r="AA86" s="6"/>
      <c r="AB86" s="6"/>
      <c r="AC86" s="94"/>
      <c r="AD86" s="102" t="str">
        <f t="shared" si="1"/>
        <v>Aceptable</v>
      </c>
      <c r="AE86" s="6"/>
      <c r="AF86" s="6"/>
      <c r="AG86" s="6"/>
      <c r="AH86" s="6"/>
      <c r="AI86" s="6"/>
      <c r="AJ86" s="6"/>
      <c r="AK86" s="6"/>
      <c r="AL86" s="6"/>
      <c r="AM86" s="6"/>
      <c r="AN86" s="6"/>
      <c r="AO86" s="6"/>
      <c r="AP86" s="6"/>
      <c r="AQ86" s="6"/>
      <c r="AR86" s="6"/>
      <c r="AS86" s="6"/>
      <c r="AT86" s="6"/>
      <c r="AU86" s="6"/>
    </row>
    <row r="87" spans="1:47" ht="51">
      <c r="A87" s="60">
        <f>Inicial!A87</f>
        <v>85</v>
      </c>
      <c r="B87" s="61" t="str">
        <f>Inicial!B87</f>
        <v>Desposte</v>
      </c>
      <c r="C87" s="61" t="str">
        <f>Inicial!C87</f>
        <v>Operario de producción Línea Embolsado</v>
      </c>
      <c r="D87" s="62" t="str">
        <f>Inicial!D87</f>
        <v>Operador Rayos X</v>
      </c>
      <c r="E87" s="60" t="str">
        <f>IF(Inicial!K87="SI",Inicial!E87,"N/A")</f>
        <v>N/A</v>
      </c>
      <c r="F87" s="61" t="str">
        <f>IF(Inicial!K87="SI",Inicial!F87,"N/A")</f>
        <v>N/A</v>
      </c>
      <c r="G87" s="61" t="str">
        <f>IF(Inicial!K87="SI",Inicial!G87,"N/A")</f>
        <v>N/A</v>
      </c>
      <c r="H87" s="61" t="str">
        <f>IF(Inicial!K87="SI",Inicial!H87,"N/A")</f>
        <v>N/A</v>
      </c>
      <c r="I87" s="72" t="str">
        <f>IF(Inicial!K87="SI",Inicial!I87,"N/A")</f>
        <v>N/A</v>
      </c>
      <c r="K87" s="6"/>
      <c r="L87" s="6"/>
      <c r="M87" s="6"/>
      <c r="N87" s="6"/>
      <c r="O87" s="6"/>
      <c r="P87" s="97"/>
      <c r="Q87" s="93"/>
      <c r="R87" s="6"/>
      <c r="S87" s="6"/>
      <c r="T87" s="6"/>
      <c r="U87" s="6"/>
      <c r="V87" s="6"/>
      <c r="W87" s="94"/>
      <c r="X87" s="93"/>
      <c r="Y87" s="6"/>
      <c r="Z87" s="6"/>
      <c r="AA87" s="6"/>
      <c r="AB87" s="6"/>
      <c r="AC87" s="94"/>
      <c r="AD87" s="102" t="str">
        <f t="shared" si="1"/>
        <v>Aceptable</v>
      </c>
      <c r="AE87" s="6"/>
      <c r="AF87" s="6"/>
      <c r="AG87" s="6"/>
      <c r="AH87" s="6"/>
      <c r="AI87" s="6"/>
      <c r="AJ87" s="6"/>
      <c r="AK87" s="6"/>
      <c r="AL87" s="6"/>
      <c r="AM87" s="6"/>
      <c r="AN87" s="6"/>
      <c r="AO87" s="6"/>
      <c r="AP87" s="6"/>
      <c r="AQ87" s="6"/>
      <c r="AR87" s="6"/>
      <c r="AS87" s="6"/>
      <c r="AT87" s="6"/>
      <c r="AU87" s="6"/>
    </row>
    <row r="88" spans="1:47" ht="51">
      <c r="A88" s="60">
        <f>Inicial!A88</f>
        <v>86</v>
      </c>
      <c r="B88" s="61" t="str">
        <f>Inicial!B88</f>
        <v>Desposte</v>
      </c>
      <c r="C88" s="61" t="str">
        <f>Inicial!C88</f>
        <v>Operario de producción Línea Embolsado</v>
      </c>
      <c r="D88" s="62" t="str">
        <f>Inicial!D88</f>
        <v>Termoformadora</v>
      </c>
      <c r="E88" s="60" t="str">
        <f>IF(Inicial!K88="SI",Inicial!E88,"N/A")</f>
        <v>N/A</v>
      </c>
      <c r="F88" s="61" t="str">
        <f>IF(Inicial!K88="SI",Inicial!F88,"N/A")</f>
        <v>N/A</v>
      </c>
      <c r="G88" s="61" t="str">
        <f>IF(Inicial!K88="SI",Inicial!G88,"N/A")</f>
        <v>N/A</v>
      </c>
      <c r="H88" s="61" t="str">
        <f>IF(Inicial!K88="SI",Inicial!H88,"N/A")</f>
        <v>N/A</v>
      </c>
      <c r="I88" s="72" t="str">
        <f>IF(Inicial!K88="SI",Inicial!I88,"N/A")</f>
        <v>N/A</v>
      </c>
      <c r="K88" s="6"/>
      <c r="L88" s="6"/>
      <c r="M88" s="6"/>
      <c r="N88" s="6"/>
      <c r="O88" s="6"/>
      <c r="P88" s="97"/>
      <c r="Q88" s="93"/>
      <c r="R88" s="6"/>
      <c r="S88" s="6"/>
      <c r="T88" s="6"/>
      <c r="U88" s="6"/>
      <c r="V88" s="6"/>
      <c r="W88" s="94"/>
      <c r="X88" s="93"/>
      <c r="Y88" s="6"/>
      <c r="Z88" s="6"/>
      <c r="AA88" s="6"/>
      <c r="AB88" s="6"/>
      <c r="AC88" s="94"/>
      <c r="AD88" s="102" t="str">
        <f t="shared" si="1"/>
        <v>Aceptable</v>
      </c>
      <c r="AE88" s="6"/>
      <c r="AF88" s="6"/>
      <c r="AG88" s="6"/>
      <c r="AH88" s="6"/>
      <c r="AI88" s="6"/>
      <c r="AJ88" s="6"/>
      <c r="AK88" s="6"/>
      <c r="AL88" s="6"/>
      <c r="AM88" s="6"/>
      <c r="AN88" s="6"/>
      <c r="AO88" s="6"/>
      <c r="AP88" s="6"/>
      <c r="AQ88" s="6"/>
      <c r="AR88" s="6"/>
      <c r="AS88" s="6"/>
      <c r="AT88" s="6"/>
      <c r="AU88" s="6"/>
    </row>
    <row r="89" spans="1:47" ht="51">
      <c r="A89" s="60">
        <f>Inicial!A89</f>
        <v>87</v>
      </c>
      <c r="B89" s="61" t="str">
        <f>Inicial!B89</f>
        <v>Desposte</v>
      </c>
      <c r="C89" s="61" t="str">
        <f>Inicial!C89</f>
        <v>Operario de producción Línea Embolsado</v>
      </c>
      <c r="D89" s="62" t="str">
        <f>Inicial!D89</f>
        <v>Revision de pancetas termoformadora</v>
      </c>
      <c r="E89" s="60" t="str">
        <f>IF(Inicial!K89="SI",Inicial!E89,"N/A")</f>
        <v>N/A</v>
      </c>
      <c r="F89" s="61" t="str">
        <f>IF(Inicial!K89="SI",Inicial!F89,"N/A")</f>
        <v>N/A</v>
      </c>
      <c r="G89" s="61" t="str">
        <f>IF(Inicial!K89="SI",Inicial!G89,"N/A")</f>
        <v>N/A</v>
      </c>
      <c r="H89" s="61" t="str">
        <f>IF(Inicial!K89="SI",Inicial!H89,"N/A")</f>
        <v>N/A</v>
      </c>
      <c r="I89" s="72" t="str">
        <f>IF(Inicial!K89="SI",Inicial!I89,"N/A")</f>
        <v>N/A</v>
      </c>
      <c r="K89" s="6"/>
      <c r="L89" s="6"/>
      <c r="M89" s="6"/>
      <c r="N89" s="6"/>
      <c r="O89" s="6"/>
      <c r="P89" s="97"/>
      <c r="Q89" s="93"/>
      <c r="R89" s="6"/>
      <c r="S89" s="6"/>
      <c r="T89" s="6"/>
      <c r="U89" s="6"/>
      <c r="V89" s="6"/>
      <c r="W89" s="94"/>
      <c r="X89" s="93"/>
      <c r="Y89" s="6"/>
      <c r="Z89" s="6"/>
      <c r="AA89" s="6"/>
      <c r="AB89" s="6"/>
      <c r="AC89" s="94"/>
      <c r="AD89" s="102" t="str">
        <f t="shared" si="1"/>
        <v>Aceptable</v>
      </c>
      <c r="AE89" s="6"/>
      <c r="AF89" s="6"/>
      <c r="AG89" s="6"/>
      <c r="AH89" s="6"/>
      <c r="AI89" s="6"/>
      <c r="AJ89" s="6"/>
      <c r="AK89" s="6"/>
      <c r="AL89" s="6"/>
      <c r="AM89" s="6"/>
      <c r="AN89" s="6"/>
      <c r="AO89" s="6"/>
      <c r="AP89" s="6"/>
      <c r="AQ89" s="6"/>
      <c r="AR89" s="6"/>
      <c r="AS89" s="6"/>
      <c r="AT89" s="6"/>
      <c r="AU89" s="6"/>
    </row>
    <row r="90" spans="1:47" ht="51">
      <c r="A90" s="60">
        <f>Inicial!A90</f>
        <v>88</v>
      </c>
      <c r="B90" s="61" t="str">
        <f>Inicial!B90</f>
        <v>Desposte</v>
      </c>
      <c r="C90" s="61" t="str">
        <f>Inicial!C90</f>
        <v>Operario de producción Línea Embolsado</v>
      </c>
      <c r="D90" s="62" t="str">
        <f>Inicial!D90</f>
        <v>Embolsado lomo mm loin</v>
      </c>
      <c r="E90" s="60" t="str">
        <f>IF(Inicial!K90="SI",Inicial!E90,"N/A")</f>
        <v>N/A</v>
      </c>
      <c r="F90" s="61" t="str">
        <f>IF(Inicial!K90="SI",Inicial!F90,"N/A")</f>
        <v>N/A</v>
      </c>
      <c r="G90" s="61" t="str">
        <f>IF(Inicial!K90="SI",Inicial!G90,"N/A")</f>
        <v>N/A</v>
      </c>
      <c r="H90" s="61" t="str">
        <f>IF(Inicial!K90="SI",Inicial!H90,"N/A")</f>
        <v>N/A</v>
      </c>
      <c r="I90" s="72" t="str">
        <f>IF(Inicial!K90="SI",Inicial!I90,"N/A")</f>
        <v>N/A</v>
      </c>
      <c r="K90" s="6"/>
      <c r="L90" s="6"/>
      <c r="M90" s="6"/>
      <c r="N90" s="6"/>
      <c r="O90" s="6"/>
      <c r="P90" s="97"/>
      <c r="Q90" s="93"/>
      <c r="R90" s="6"/>
      <c r="S90" s="6"/>
      <c r="T90" s="6"/>
      <c r="U90" s="6"/>
      <c r="V90" s="6"/>
      <c r="W90" s="94"/>
      <c r="X90" s="93"/>
      <c r="Y90" s="6"/>
      <c r="Z90" s="6"/>
      <c r="AA90" s="6"/>
      <c r="AB90" s="6"/>
      <c r="AC90" s="94"/>
      <c r="AD90" s="102" t="str">
        <f t="shared" si="1"/>
        <v>Aceptable</v>
      </c>
      <c r="AE90" s="6"/>
      <c r="AF90" s="6"/>
      <c r="AG90" s="6"/>
      <c r="AH90" s="6"/>
      <c r="AI90" s="6"/>
      <c r="AJ90" s="6"/>
      <c r="AK90" s="6"/>
      <c r="AL90" s="6"/>
      <c r="AM90" s="6"/>
      <c r="AN90" s="6"/>
      <c r="AO90" s="6"/>
      <c r="AP90" s="6"/>
      <c r="AQ90" s="6"/>
      <c r="AR90" s="6"/>
      <c r="AS90" s="6"/>
      <c r="AT90" s="6"/>
      <c r="AU90" s="6"/>
    </row>
    <row r="91" spans="1:47" ht="51">
      <c r="A91" s="60">
        <f>Inicial!A91</f>
        <v>89</v>
      </c>
      <c r="B91" s="61" t="str">
        <f>Inicial!B91</f>
        <v>Desposte</v>
      </c>
      <c r="C91" s="61" t="str">
        <f>Inicial!C91</f>
        <v>Operario de producción Línea Embolsado</v>
      </c>
      <c r="D91" s="62" t="str">
        <f>Inicial!D91</f>
        <v>Embolsado  lomo  vetado</v>
      </c>
      <c r="E91" s="60" t="str">
        <f>IF(Inicial!K91="SI",Inicial!E91,"N/A")</f>
        <v>N/A</v>
      </c>
      <c r="F91" s="61" t="str">
        <f>IF(Inicial!K91="SI",Inicial!F91,"N/A")</f>
        <v>N/A</v>
      </c>
      <c r="G91" s="61" t="str">
        <f>IF(Inicial!K91="SI",Inicial!G91,"N/A")</f>
        <v>N/A</v>
      </c>
      <c r="H91" s="61" t="str">
        <f>IF(Inicial!K91="SI",Inicial!H91,"N/A")</f>
        <v>N/A</v>
      </c>
      <c r="I91" s="72" t="str">
        <f>IF(Inicial!K91="SI",Inicial!I91,"N/A")</f>
        <v>N/A</v>
      </c>
      <c r="K91" s="6"/>
      <c r="L91" s="6"/>
      <c r="M91" s="6"/>
      <c r="N91" s="6"/>
      <c r="O91" s="6"/>
      <c r="P91" s="97"/>
      <c r="Q91" s="93"/>
      <c r="R91" s="6"/>
      <c r="S91" s="6"/>
      <c r="T91" s="6"/>
      <c r="U91" s="6"/>
      <c r="V91" s="6"/>
      <c r="W91" s="94"/>
      <c r="X91" s="93"/>
      <c r="Y91" s="6"/>
      <c r="Z91" s="6"/>
      <c r="AA91" s="6"/>
      <c r="AB91" s="6"/>
      <c r="AC91" s="94"/>
      <c r="AD91" s="102" t="str">
        <f t="shared" si="1"/>
        <v>Aceptable</v>
      </c>
      <c r="AE91" s="6"/>
      <c r="AF91" s="6"/>
      <c r="AG91" s="6"/>
      <c r="AH91" s="6"/>
      <c r="AI91" s="6"/>
      <c r="AJ91" s="6"/>
      <c r="AK91" s="6"/>
      <c r="AL91" s="6"/>
      <c r="AM91" s="6"/>
      <c r="AN91" s="6"/>
      <c r="AO91" s="6"/>
      <c r="AP91" s="6"/>
      <c r="AQ91" s="6"/>
      <c r="AR91" s="6"/>
      <c r="AS91" s="6"/>
      <c r="AT91" s="6"/>
      <c r="AU91" s="6"/>
    </row>
    <row r="92" spans="1:47" ht="51">
      <c r="A92" s="60">
        <f>Inicial!A92</f>
        <v>90</v>
      </c>
      <c r="B92" s="61" t="str">
        <f>Inicial!B92</f>
        <v>Desposte</v>
      </c>
      <c r="C92" s="61" t="str">
        <f>Inicial!C92</f>
        <v>Operario de producción Línea Embolsado</v>
      </c>
      <c r="D92" s="62" t="str">
        <f>Inicial!D92</f>
        <v>Embolsado de pancetas</v>
      </c>
      <c r="E92" s="60" t="str">
        <f>IF(Inicial!K92="SI",Inicial!E92,"N/A")</f>
        <v>N/A</v>
      </c>
      <c r="F92" s="61" t="str">
        <f>IF(Inicial!K92="SI",Inicial!F92,"N/A")</f>
        <v>N/A</v>
      </c>
      <c r="G92" s="61" t="str">
        <f>IF(Inicial!K92="SI",Inicial!G92,"N/A")</f>
        <v>N/A</v>
      </c>
      <c r="H92" s="61" t="str">
        <f>IF(Inicial!K92="SI",Inicial!H92,"N/A")</f>
        <v>N/A</v>
      </c>
      <c r="I92" s="72" t="str">
        <f>IF(Inicial!K92="SI",Inicial!I92,"N/A")</f>
        <v>N/A</v>
      </c>
      <c r="K92" s="6"/>
      <c r="L92" s="6"/>
      <c r="M92" s="6"/>
      <c r="N92" s="6"/>
      <c r="O92" s="6"/>
      <c r="P92" s="97"/>
      <c r="Q92" s="93"/>
      <c r="R92" s="6"/>
      <c r="S92" s="6"/>
      <c r="T92" s="6"/>
      <c r="U92" s="6"/>
      <c r="V92" s="6"/>
      <c r="W92" s="94"/>
      <c r="X92" s="93"/>
      <c r="Y92" s="6"/>
      <c r="Z92" s="6"/>
      <c r="AA92" s="6"/>
      <c r="AB92" s="6"/>
      <c r="AC92" s="94"/>
      <c r="AD92" s="102" t="str">
        <f t="shared" si="1"/>
        <v>Aceptable</v>
      </c>
      <c r="AE92" s="6"/>
      <c r="AF92" s="6"/>
      <c r="AG92" s="6"/>
      <c r="AH92" s="6"/>
      <c r="AI92" s="6"/>
      <c r="AJ92" s="6"/>
      <c r="AK92" s="6"/>
      <c r="AL92" s="6"/>
      <c r="AM92" s="6"/>
      <c r="AN92" s="6"/>
      <c r="AO92" s="6"/>
      <c r="AP92" s="6"/>
      <c r="AQ92" s="6"/>
      <c r="AR92" s="6"/>
      <c r="AS92" s="6"/>
      <c r="AT92" s="6"/>
      <c r="AU92" s="6"/>
    </row>
    <row r="93" spans="1:47" ht="51">
      <c r="A93" s="60">
        <f>Inicial!A93</f>
        <v>91</v>
      </c>
      <c r="B93" s="61" t="str">
        <f>Inicial!B93</f>
        <v>Desposte</v>
      </c>
      <c r="C93" s="61" t="str">
        <f>Inicial!C93</f>
        <v>Operario de producción Línea Embolsado</v>
      </c>
      <c r="D93" s="62" t="str">
        <f>Inicial!D93</f>
        <v>Embolsado de lomo tecla</v>
      </c>
      <c r="E93" s="60" t="str">
        <f>IF(Inicial!K93="SI",Inicial!E93,"N/A")</f>
        <v>N/A</v>
      </c>
      <c r="F93" s="61" t="str">
        <f>IF(Inicial!K93="SI",Inicial!F93,"N/A")</f>
        <v>N/A</v>
      </c>
      <c r="G93" s="61" t="str">
        <f>IF(Inicial!K93="SI",Inicial!G93,"N/A")</f>
        <v>N/A</v>
      </c>
      <c r="H93" s="61" t="str">
        <f>IF(Inicial!K93="SI",Inicial!H93,"N/A")</f>
        <v>N/A</v>
      </c>
      <c r="I93" s="72" t="str">
        <f>IF(Inicial!K93="SI",Inicial!I93,"N/A")</f>
        <v>N/A</v>
      </c>
      <c r="K93" s="6"/>
      <c r="L93" s="6"/>
      <c r="M93" s="6"/>
      <c r="N93" s="6"/>
      <c r="O93" s="6"/>
      <c r="P93" s="97"/>
      <c r="Q93" s="93"/>
      <c r="R93" s="6"/>
      <c r="S93" s="6"/>
      <c r="T93" s="6"/>
      <c r="U93" s="6"/>
      <c r="V93" s="6"/>
      <c r="W93" s="94"/>
      <c r="X93" s="93"/>
      <c r="Y93" s="6"/>
      <c r="Z93" s="6"/>
      <c r="AA93" s="6"/>
      <c r="AB93" s="6"/>
      <c r="AC93" s="94"/>
      <c r="AD93" s="102" t="str">
        <f t="shared" si="1"/>
        <v>Aceptable</v>
      </c>
      <c r="AE93" s="6"/>
      <c r="AF93" s="6"/>
      <c r="AG93" s="6"/>
      <c r="AH93" s="6"/>
      <c r="AI93" s="6"/>
      <c r="AJ93" s="6"/>
      <c r="AK93" s="6"/>
      <c r="AL93" s="6"/>
      <c r="AM93" s="6"/>
      <c r="AN93" s="6"/>
      <c r="AO93" s="6"/>
      <c r="AP93" s="6"/>
      <c r="AQ93" s="6"/>
      <c r="AR93" s="6"/>
      <c r="AS93" s="6"/>
      <c r="AT93" s="6"/>
      <c r="AU93" s="6"/>
    </row>
    <row r="94" spans="1:47" ht="51">
      <c r="A94" s="60">
        <f>Inicial!A94</f>
        <v>92</v>
      </c>
      <c r="B94" s="61" t="str">
        <f>Inicial!B94</f>
        <v>Desposte</v>
      </c>
      <c r="C94" s="61" t="str">
        <f>Inicial!C94</f>
        <v>Operario de producción Línea Embolsado</v>
      </c>
      <c r="D94" s="62" t="str">
        <f>Inicial!D94</f>
        <v>Reproceso</v>
      </c>
      <c r="E94" s="60" t="str">
        <f>IF(Inicial!K94="SI",Inicial!E94,"N/A")</f>
        <v>N/A</v>
      </c>
      <c r="F94" s="61" t="str">
        <f>IF(Inicial!K94="SI",Inicial!F94,"N/A")</f>
        <v>N/A</v>
      </c>
      <c r="G94" s="61" t="str">
        <f>IF(Inicial!K94="SI",Inicial!G94,"N/A")</f>
        <v>N/A</v>
      </c>
      <c r="H94" s="61" t="str">
        <f>IF(Inicial!K94="SI",Inicial!H94,"N/A")</f>
        <v>N/A</v>
      </c>
      <c r="I94" s="72" t="str">
        <f>IF(Inicial!K94="SI",Inicial!I94,"N/A")</f>
        <v>N/A</v>
      </c>
      <c r="K94" s="6"/>
      <c r="L94" s="6"/>
      <c r="M94" s="6"/>
      <c r="N94" s="6"/>
      <c r="O94" s="6"/>
      <c r="P94" s="97"/>
      <c r="Q94" s="93"/>
      <c r="R94" s="6"/>
      <c r="S94" s="6"/>
      <c r="T94" s="6"/>
      <c r="U94" s="6"/>
      <c r="V94" s="6"/>
      <c r="W94" s="94"/>
      <c r="X94" s="93"/>
      <c r="Y94" s="6"/>
      <c r="Z94" s="6"/>
      <c r="AA94" s="6"/>
      <c r="AB94" s="6"/>
      <c r="AC94" s="94"/>
      <c r="AD94" s="102" t="str">
        <f t="shared" si="1"/>
        <v>Aceptable</v>
      </c>
      <c r="AE94" s="6"/>
      <c r="AF94" s="6"/>
      <c r="AG94" s="6"/>
      <c r="AH94" s="6"/>
      <c r="AI94" s="6"/>
      <c r="AJ94" s="6"/>
      <c r="AK94" s="6"/>
      <c r="AL94" s="6"/>
      <c r="AM94" s="6"/>
      <c r="AN94" s="6"/>
      <c r="AO94" s="6"/>
      <c r="AP94" s="6"/>
      <c r="AQ94" s="6"/>
      <c r="AR94" s="6"/>
      <c r="AS94" s="6"/>
      <c r="AT94" s="6"/>
      <c r="AU94" s="6"/>
    </row>
    <row r="95" spans="1:47" ht="38.25">
      <c r="A95" s="60">
        <f>Inicial!A95</f>
        <v>93</v>
      </c>
      <c r="B95" s="61" t="str">
        <f>Inicial!B95</f>
        <v>Desposte</v>
      </c>
      <c r="C95" s="61" t="str">
        <f>Inicial!C95</f>
        <v>Operario de producción Línea Pancetas</v>
      </c>
      <c r="D95" s="62" t="str">
        <f>Inicial!D95</f>
        <v>Operador de descueradora automatica (ABT)</v>
      </c>
      <c r="E95" s="60" t="str">
        <f>IF(Inicial!K95="SI",Inicial!E95,"N/A")</f>
        <v>N/A</v>
      </c>
      <c r="F95" s="61" t="str">
        <f>IF(Inicial!K95="SI",Inicial!F95,"N/A")</f>
        <v>N/A</v>
      </c>
      <c r="G95" s="61" t="str">
        <f>IF(Inicial!K95="SI",Inicial!G95,"N/A")</f>
        <v>N/A</v>
      </c>
      <c r="H95" s="61" t="str">
        <f>IF(Inicial!K95="SI",Inicial!H95,"N/A")</f>
        <v>N/A</v>
      </c>
      <c r="I95" s="72" t="str">
        <f>IF(Inicial!K95="SI",Inicial!I95,"N/A")</f>
        <v>N/A</v>
      </c>
      <c r="K95" s="6"/>
      <c r="L95" s="6"/>
      <c r="M95" s="6"/>
      <c r="N95" s="6"/>
      <c r="O95" s="6"/>
      <c r="P95" s="97"/>
      <c r="Q95" s="93"/>
      <c r="R95" s="6"/>
      <c r="S95" s="6"/>
      <c r="T95" s="6"/>
      <c r="U95" s="6"/>
      <c r="V95" s="6"/>
      <c r="W95" s="94"/>
      <c r="X95" s="93"/>
      <c r="Y95" s="6"/>
      <c r="Z95" s="6"/>
      <c r="AA95" s="6"/>
      <c r="AB95" s="6"/>
      <c r="AC95" s="94"/>
      <c r="AD95" s="102" t="str">
        <f t="shared" si="1"/>
        <v>Aceptable</v>
      </c>
      <c r="AE95" s="6"/>
      <c r="AF95" s="6"/>
      <c r="AG95" s="6"/>
      <c r="AH95" s="6"/>
      <c r="AI95" s="6"/>
      <c r="AJ95" s="6"/>
      <c r="AK95" s="6"/>
      <c r="AL95" s="6"/>
      <c r="AM95" s="6"/>
      <c r="AN95" s="6"/>
      <c r="AO95" s="6"/>
      <c r="AP95" s="6"/>
      <c r="AQ95" s="6"/>
      <c r="AR95" s="6"/>
      <c r="AS95" s="6"/>
      <c r="AT95" s="6"/>
      <c r="AU95" s="6"/>
    </row>
    <row r="96" spans="1:47" ht="38.25">
      <c r="A96" s="60">
        <f>Inicial!A96</f>
        <v>94</v>
      </c>
      <c r="B96" s="61" t="str">
        <f>Inicial!B96</f>
        <v>Desposte</v>
      </c>
      <c r="C96" s="61" t="str">
        <f>Inicial!C96</f>
        <v>Operario de producción Línea Pancetas</v>
      </c>
      <c r="D96" s="62" t="str">
        <f>Inicial!D96</f>
        <v>Acomodador de pancetas</v>
      </c>
      <c r="E96" s="60" t="str">
        <f>IF(Inicial!K96="SI",Inicial!E96,"N/A")</f>
        <v>N/A</v>
      </c>
      <c r="F96" s="61" t="str">
        <f>IF(Inicial!K96="SI",Inicial!F96,"N/A")</f>
        <v>N/A</v>
      </c>
      <c r="G96" s="61" t="str">
        <f>IF(Inicial!K96="SI",Inicial!G96,"N/A")</f>
        <v>N/A</v>
      </c>
      <c r="H96" s="61" t="str">
        <f>IF(Inicial!K96="SI",Inicial!H96,"N/A")</f>
        <v>N/A</v>
      </c>
      <c r="I96" s="72" t="str">
        <f>IF(Inicial!K96="SI",Inicial!I96,"N/A")</f>
        <v>N/A</v>
      </c>
      <c r="K96" s="6"/>
      <c r="L96" s="6"/>
      <c r="M96" s="6"/>
      <c r="N96" s="6"/>
      <c r="O96" s="6"/>
      <c r="P96" s="97"/>
      <c r="Q96" s="93"/>
      <c r="R96" s="6"/>
      <c r="S96" s="6"/>
      <c r="T96" s="6"/>
      <c r="U96" s="6"/>
      <c r="V96" s="6"/>
      <c r="W96" s="94"/>
      <c r="X96" s="93"/>
      <c r="Y96" s="6"/>
      <c r="Z96" s="6"/>
      <c r="AA96" s="6"/>
      <c r="AB96" s="6"/>
      <c r="AC96" s="94"/>
      <c r="AD96" s="102" t="str">
        <f t="shared" si="1"/>
        <v>Aceptable</v>
      </c>
      <c r="AE96" s="6"/>
      <c r="AF96" s="6"/>
      <c r="AG96" s="6"/>
      <c r="AH96" s="6"/>
      <c r="AI96" s="6"/>
      <c r="AJ96" s="6"/>
      <c r="AK96" s="6"/>
      <c r="AL96" s="6"/>
      <c r="AM96" s="6"/>
      <c r="AN96" s="6"/>
      <c r="AO96" s="6"/>
      <c r="AP96" s="6"/>
      <c r="AQ96" s="6"/>
      <c r="AR96" s="6"/>
      <c r="AS96" s="6"/>
      <c r="AT96" s="6"/>
      <c r="AU96" s="6"/>
    </row>
    <row r="97" spans="1:47" ht="38.25">
      <c r="A97" s="60">
        <f>Inicial!A97</f>
        <v>95</v>
      </c>
      <c r="B97" s="61" t="str">
        <f>Inicial!B97</f>
        <v>Desposte</v>
      </c>
      <c r="C97" s="61" t="str">
        <f>Inicial!C97</f>
        <v>Operario de producción Línea Pancetas</v>
      </c>
      <c r="D97" s="62" t="str">
        <f>Inicial!D97</f>
        <v xml:space="preserve">Separación de recortes falda y laterales </v>
      </c>
      <c r="E97" s="60" t="str">
        <f>IF(Inicial!K97="SI",Inicial!E97,"N/A")</f>
        <v>N/A</v>
      </c>
      <c r="F97" s="61" t="str">
        <f>IF(Inicial!K97="SI",Inicial!F97,"N/A")</f>
        <v>N/A</v>
      </c>
      <c r="G97" s="61" t="str">
        <f>IF(Inicial!K97="SI",Inicial!G97,"N/A")</f>
        <v>N/A</v>
      </c>
      <c r="H97" s="61" t="str">
        <f>IF(Inicial!K97="SI",Inicial!H97,"N/A")</f>
        <v>N/A</v>
      </c>
      <c r="I97" s="72" t="str">
        <f>IF(Inicial!K97="SI",Inicial!I97,"N/A")</f>
        <v>N/A</v>
      </c>
      <c r="K97" s="6"/>
      <c r="L97" s="6"/>
      <c r="M97" s="6"/>
      <c r="N97" s="6"/>
      <c r="O97" s="6"/>
      <c r="P97" s="97"/>
      <c r="Q97" s="93"/>
      <c r="R97" s="6"/>
      <c r="S97" s="6"/>
      <c r="T97" s="6"/>
      <c r="U97" s="6"/>
      <c r="V97" s="6"/>
      <c r="W97" s="94"/>
      <c r="X97" s="93"/>
      <c r="Y97" s="6"/>
      <c r="Z97" s="6"/>
      <c r="AA97" s="6"/>
      <c r="AB97" s="6"/>
      <c r="AC97" s="94"/>
      <c r="AD97" s="102" t="str">
        <f t="shared" si="1"/>
        <v>Aceptable</v>
      </c>
      <c r="AE97" s="6"/>
      <c r="AF97" s="6"/>
      <c r="AG97" s="6"/>
      <c r="AH97" s="6"/>
      <c r="AI97" s="6"/>
      <c r="AJ97" s="6"/>
      <c r="AK97" s="6"/>
      <c r="AL97" s="6"/>
      <c r="AM97" s="6"/>
      <c r="AN97" s="6"/>
      <c r="AO97" s="6"/>
      <c r="AP97" s="6"/>
      <c r="AQ97" s="6"/>
      <c r="AR97" s="6"/>
      <c r="AS97" s="6"/>
      <c r="AT97" s="6"/>
      <c r="AU97" s="6"/>
    </row>
    <row r="98" spans="1:47" ht="38.25">
      <c r="A98" s="60">
        <f>Inicial!A98</f>
        <v>96</v>
      </c>
      <c r="B98" s="61" t="str">
        <f>Inicial!B98</f>
        <v>Desposte</v>
      </c>
      <c r="C98" s="61" t="str">
        <f>Inicial!C98</f>
        <v>Operario de producción Línea Pancetas</v>
      </c>
      <c r="D98" s="62" t="str">
        <f>Inicial!D98</f>
        <v>Prolijado de Cueros</v>
      </c>
      <c r="E98" s="60" t="str">
        <f>IF(Inicial!K98="SI",Inicial!E98,"N/A")</f>
        <v>N/A</v>
      </c>
      <c r="F98" s="61" t="str">
        <f>IF(Inicial!K98="SI",Inicial!F98,"N/A")</f>
        <v>N/A</v>
      </c>
      <c r="G98" s="61" t="str">
        <f>IF(Inicial!K98="SI",Inicial!G98,"N/A")</f>
        <v>N/A</v>
      </c>
      <c r="H98" s="61" t="str">
        <f>IF(Inicial!K98="SI",Inicial!H98,"N/A")</f>
        <v>N/A</v>
      </c>
      <c r="I98" s="72" t="str">
        <f>IF(Inicial!K98="SI",Inicial!I98,"N/A")</f>
        <v>N/A</v>
      </c>
      <c r="K98" s="6"/>
      <c r="L98" s="6"/>
      <c r="M98" s="6"/>
      <c r="N98" s="6"/>
      <c r="O98" s="6"/>
      <c r="P98" s="97"/>
      <c r="Q98" s="93"/>
      <c r="R98" s="6"/>
      <c r="S98" s="6"/>
      <c r="T98" s="6"/>
      <c r="U98" s="6"/>
      <c r="V98" s="6"/>
      <c r="W98" s="94"/>
      <c r="X98" s="93"/>
      <c r="Y98" s="6"/>
      <c r="Z98" s="6"/>
      <c r="AA98" s="6"/>
      <c r="AB98" s="6"/>
      <c r="AC98" s="94"/>
      <c r="AD98" s="102" t="str">
        <f t="shared" si="1"/>
        <v>Aceptable</v>
      </c>
      <c r="AE98" s="6"/>
      <c r="AF98" s="6"/>
      <c r="AG98" s="6"/>
      <c r="AH98" s="6"/>
      <c r="AI98" s="6"/>
      <c r="AJ98" s="6"/>
      <c r="AK98" s="6"/>
      <c r="AL98" s="6"/>
      <c r="AM98" s="6"/>
      <c r="AN98" s="6"/>
      <c r="AO98" s="6"/>
      <c r="AP98" s="6"/>
      <c r="AQ98" s="6"/>
      <c r="AR98" s="6"/>
      <c r="AS98" s="6"/>
      <c r="AT98" s="6"/>
      <c r="AU98" s="6"/>
    </row>
    <row r="99" spans="1:47" ht="38.25">
      <c r="A99" s="60">
        <f>Inicial!A99</f>
        <v>97</v>
      </c>
      <c r="B99" s="61" t="str">
        <f>Inicial!B99</f>
        <v>Desposte</v>
      </c>
      <c r="C99" s="61" t="str">
        <f>Inicial!C99</f>
        <v>Operario de producción Línea Pancetas</v>
      </c>
      <c r="D99" s="62" t="str">
        <f>Inicial!D99</f>
        <v>Prolijado de tiras de panceta</v>
      </c>
      <c r="E99" s="60" t="str">
        <f>IF(Inicial!K99="SI",Inicial!E99,"N/A")</f>
        <v>N/A</v>
      </c>
      <c r="F99" s="61" t="str">
        <f>IF(Inicial!K99="SI",Inicial!F99,"N/A")</f>
        <v>N/A</v>
      </c>
      <c r="G99" s="61" t="str">
        <f>IF(Inicial!K99="SI",Inicial!G99,"N/A")</f>
        <v>N/A</v>
      </c>
      <c r="H99" s="61" t="str">
        <f>IF(Inicial!K99="SI",Inicial!H99,"N/A")</f>
        <v>N/A</v>
      </c>
      <c r="I99" s="72" t="str">
        <f>IF(Inicial!K99="SI",Inicial!I99,"N/A")</f>
        <v>N/A</v>
      </c>
      <c r="K99" s="6"/>
      <c r="L99" s="6"/>
      <c r="M99" s="6"/>
      <c r="N99" s="6"/>
      <c r="O99" s="6"/>
      <c r="P99" s="97"/>
      <c r="Q99" s="93"/>
      <c r="R99" s="6"/>
      <c r="S99" s="6"/>
      <c r="T99" s="6"/>
      <c r="U99" s="6"/>
      <c r="V99" s="6"/>
      <c r="W99" s="94"/>
      <c r="X99" s="93"/>
      <c r="Y99" s="6"/>
      <c r="Z99" s="6"/>
      <c r="AA99" s="6"/>
      <c r="AB99" s="6"/>
      <c r="AC99" s="94"/>
      <c r="AD99" s="102" t="str">
        <f t="shared" si="1"/>
        <v>Aceptable</v>
      </c>
      <c r="AE99" s="6"/>
      <c r="AF99" s="6"/>
      <c r="AG99" s="6"/>
      <c r="AH99" s="6"/>
      <c r="AI99" s="6"/>
      <c r="AJ99" s="6"/>
      <c r="AK99" s="6"/>
      <c r="AL99" s="6"/>
      <c r="AM99" s="6"/>
      <c r="AN99" s="6"/>
      <c r="AO99" s="6"/>
      <c r="AP99" s="6"/>
      <c r="AQ99" s="6"/>
      <c r="AR99" s="6"/>
      <c r="AS99" s="6"/>
      <c r="AT99" s="6"/>
      <c r="AU99" s="6"/>
    </row>
    <row r="100" spans="1:47" ht="38.25">
      <c r="A100" s="60">
        <f>Inicial!A100</f>
        <v>98</v>
      </c>
      <c r="B100" s="61" t="str">
        <f>Inicial!B100</f>
        <v>Desposte</v>
      </c>
      <c r="C100" s="61" t="str">
        <f>Inicial!C100</f>
        <v>Operario de producción Línea Pancetas</v>
      </c>
      <c r="D100" s="62" t="str">
        <f>Inicial!D100</f>
        <v>Prolijado de falda</v>
      </c>
      <c r="E100" s="60" t="str">
        <f>IF(Inicial!K100="SI",Inicial!E100,"N/A")</f>
        <v>N/A</v>
      </c>
      <c r="F100" s="61" t="str">
        <f>IF(Inicial!K100="SI",Inicial!F100,"N/A")</f>
        <v>N/A</v>
      </c>
      <c r="G100" s="61" t="str">
        <f>IF(Inicial!K100="SI",Inicial!G100,"N/A")</f>
        <v>N/A</v>
      </c>
      <c r="H100" s="61" t="str">
        <f>IF(Inicial!K100="SI",Inicial!H100,"N/A")</f>
        <v>N/A</v>
      </c>
      <c r="I100" s="72" t="str">
        <f>IF(Inicial!K100="SI",Inicial!I100,"N/A")</f>
        <v>N/A</v>
      </c>
      <c r="K100" s="6"/>
      <c r="L100" s="6"/>
      <c r="M100" s="6"/>
      <c r="N100" s="6"/>
      <c r="O100" s="6"/>
      <c r="P100" s="97"/>
      <c r="Q100" s="93"/>
      <c r="R100" s="6"/>
      <c r="S100" s="6"/>
      <c r="T100" s="6"/>
      <c r="U100" s="6"/>
      <c r="V100" s="6"/>
      <c r="W100" s="94"/>
      <c r="X100" s="93"/>
      <c r="Y100" s="6"/>
      <c r="Z100" s="6"/>
      <c r="AA100" s="6"/>
      <c r="AB100" s="6"/>
      <c r="AC100" s="94"/>
      <c r="AD100" s="102" t="str">
        <f t="shared" si="1"/>
        <v>Aceptable</v>
      </c>
      <c r="AE100" s="6"/>
      <c r="AF100" s="6"/>
      <c r="AG100" s="6"/>
      <c r="AH100" s="6"/>
      <c r="AI100" s="6"/>
      <c r="AJ100" s="6"/>
      <c r="AK100" s="6"/>
      <c r="AL100" s="6"/>
      <c r="AM100" s="6"/>
      <c r="AN100" s="6"/>
      <c r="AO100" s="6"/>
      <c r="AP100" s="6"/>
      <c r="AQ100" s="6"/>
      <c r="AR100" s="6"/>
      <c r="AS100" s="6"/>
      <c r="AT100" s="6"/>
      <c r="AU100" s="6"/>
    </row>
    <row r="101" spans="1:47" ht="38.25">
      <c r="A101" s="60">
        <f>Inicial!A101</f>
        <v>99</v>
      </c>
      <c r="B101" s="61" t="str">
        <f>Inicial!B101</f>
        <v>Desposte</v>
      </c>
      <c r="C101" s="61" t="str">
        <f>Inicial!C101</f>
        <v>Operario de producción Línea Pancetas</v>
      </c>
      <c r="D101" s="62" t="str">
        <f>Inicial!D101</f>
        <v>Acomodador de pancetas salida de ABT</v>
      </c>
      <c r="E101" s="60" t="str">
        <f>IF(Inicial!K101="SI",Inicial!E101,"N/A")</f>
        <v>N/A</v>
      </c>
      <c r="F101" s="61" t="str">
        <f>IF(Inicial!K101="SI",Inicial!F101,"N/A")</f>
        <v>N/A</v>
      </c>
      <c r="G101" s="61" t="str">
        <f>IF(Inicial!K101="SI",Inicial!G101,"N/A")</f>
        <v>N/A</v>
      </c>
      <c r="H101" s="61" t="str">
        <f>IF(Inicial!K101="SI",Inicial!H101,"N/A")</f>
        <v>N/A</v>
      </c>
      <c r="I101" s="72" t="str">
        <f>IF(Inicial!K101="SI",Inicial!I101,"N/A")</f>
        <v>N/A</v>
      </c>
      <c r="K101" s="6"/>
      <c r="L101" s="6"/>
      <c r="M101" s="6"/>
      <c r="N101" s="6"/>
      <c r="O101" s="6"/>
      <c r="P101" s="97"/>
      <c r="Q101" s="93"/>
      <c r="R101" s="6"/>
      <c r="S101" s="6"/>
      <c r="T101" s="6"/>
      <c r="U101" s="6"/>
      <c r="V101" s="6"/>
      <c r="W101" s="94"/>
      <c r="X101" s="93"/>
      <c r="Y101" s="6"/>
      <c r="Z101" s="6"/>
      <c r="AA101" s="6"/>
      <c r="AB101" s="6"/>
      <c r="AC101" s="94"/>
      <c r="AD101" s="102" t="str">
        <f t="shared" si="1"/>
        <v>Aceptable</v>
      </c>
      <c r="AE101" s="6"/>
      <c r="AF101" s="6"/>
      <c r="AG101" s="6"/>
      <c r="AH101" s="6"/>
      <c r="AI101" s="6"/>
      <c r="AJ101" s="6"/>
      <c r="AK101" s="6"/>
      <c r="AL101" s="6"/>
      <c r="AM101" s="6"/>
      <c r="AN101" s="6"/>
      <c r="AO101" s="6"/>
      <c r="AP101" s="6"/>
      <c r="AQ101" s="6"/>
      <c r="AR101" s="6"/>
      <c r="AS101" s="6"/>
      <c r="AT101" s="6"/>
      <c r="AU101" s="6"/>
    </row>
    <row r="102" spans="1:47" ht="38.25">
      <c r="A102" s="60">
        <f>Inicial!A102</f>
        <v>100</v>
      </c>
      <c r="B102" s="61" t="str">
        <f>Inicial!B102</f>
        <v>Desposte</v>
      </c>
      <c r="C102" s="61" t="str">
        <f>Inicial!C102</f>
        <v>Operario de producción Línea Pancetas</v>
      </c>
      <c r="D102" s="62" t="str">
        <f>Inicial!D102</f>
        <v>Biselado</v>
      </c>
      <c r="E102" s="60" t="str">
        <f>IF(Inicial!K102="SI",Inicial!E102,"N/A")</f>
        <v>N/A</v>
      </c>
      <c r="F102" s="61" t="str">
        <f>IF(Inicial!K102="SI",Inicial!F102,"N/A")</f>
        <v>N/A</v>
      </c>
      <c r="G102" s="61" t="str">
        <f>IF(Inicial!K102="SI",Inicial!G102,"N/A")</f>
        <v>N/A</v>
      </c>
      <c r="H102" s="61" t="str">
        <f>IF(Inicial!K102="SI",Inicial!H102,"N/A")</f>
        <v>N/A</v>
      </c>
      <c r="I102" s="72" t="str">
        <f>IF(Inicial!K102="SI",Inicial!I102,"N/A")</f>
        <v>N/A</v>
      </c>
      <c r="K102" s="6"/>
      <c r="L102" s="6"/>
      <c r="M102" s="6"/>
      <c r="N102" s="6"/>
      <c r="O102" s="6"/>
      <c r="P102" s="97"/>
      <c r="Q102" s="93"/>
      <c r="R102" s="6"/>
      <c r="S102" s="6"/>
      <c r="T102" s="6"/>
      <c r="U102" s="6"/>
      <c r="V102" s="6"/>
      <c r="W102" s="94"/>
      <c r="X102" s="93"/>
      <c r="Y102" s="6"/>
      <c r="Z102" s="6"/>
      <c r="AA102" s="6"/>
      <c r="AB102" s="6"/>
      <c r="AC102" s="94"/>
      <c r="AD102" s="102" t="str">
        <f t="shared" si="1"/>
        <v>Aceptable</v>
      </c>
      <c r="AE102" s="6"/>
      <c r="AF102" s="6"/>
      <c r="AG102" s="6"/>
      <c r="AH102" s="6"/>
      <c r="AI102" s="6"/>
      <c r="AJ102" s="6"/>
      <c r="AK102" s="6"/>
      <c r="AL102" s="6"/>
      <c r="AM102" s="6"/>
      <c r="AN102" s="6"/>
      <c r="AO102" s="6"/>
      <c r="AP102" s="6"/>
      <c r="AQ102" s="6"/>
      <c r="AR102" s="6"/>
      <c r="AS102" s="6"/>
      <c r="AT102" s="6"/>
      <c r="AU102" s="6"/>
    </row>
    <row r="103" spans="1:47" ht="38.25">
      <c r="A103" s="60">
        <f>Inicial!A103</f>
        <v>101</v>
      </c>
      <c r="B103" s="61" t="str">
        <f>Inicial!B103</f>
        <v>Desposte</v>
      </c>
      <c r="C103" s="61" t="str">
        <f>Inicial!C103</f>
        <v>Operario de producción Línea Pancetas</v>
      </c>
      <c r="D103" s="62" t="str">
        <f>Inicial!D103</f>
        <v>Prolijado de panceta / pecho</v>
      </c>
      <c r="E103" s="60" t="str">
        <f>IF(Inicial!K103="SI",Inicial!E103,"N/A")</f>
        <v>N/A</v>
      </c>
      <c r="F103" s="61" t="str">
        <f>IF(Inicial!K103="SI",Inicial!F103,"N/A")</f>
        <v>N/A</v>
      </c>
      <c r="G103" s="61" t="str">
        <f>IF(Inicial!K103="SI",Inicial!G103,"N/A")</f>
        <v>N/A</v>
      </c>
      <c r="H103" s="61" t="str">
        <f>IF(Inicial!K103="SI",Inicial!H103,"N/A")</f>
        <v>N/A</v>
      </c>
      <c r="I103" s="72" t="str">
        <f>IF(Inicial!K103="SI",Inicial!I103,"N/A")</f>
        <v>N/A</v>
      </c>
      <c r="K103" s="6"/>
      <c r="L103" s="6"/>
      <c r="M103" s="6"/>
      <c r="N103" s="6"/>
      <c r="O103" s="6"/>
      <c r="P103" s="97"/>
      <c r="Q103" s="93"/>
      <c r="R103" s="6"/>
      <c r="S103" s="6"/>
      <c r="T103" s="6"/>
      <c r="U103" s="6"/>
      <c r="V103" s="6"/>
      <c r="W103" s="94"/>
      <c r="X103" s="93"/>
      <c r="Y103" s="6"/>
      <c r="Z103" s="6"/>
      <c r="AA103" s="6"/>
      <c r="AB103" s="6"/>
      <c r="AC103" s="94"/>
      <c r="AD103" s="102" t="str">
        <f t="shared" si="1"/>
        <v>Aceptable</v>
      </c>
      <c r="AE103" s="6"/>
      <c r="AF103" s="6"/>
      <c r="AG103" s="6"/>
      <c r="AH103" s="6"/>
      <c r="AI103" s="6"/>
      <c r="AJ103" s="6"/>
      <c r="AK103" s="6"/>
      <c r="AL103" s="6"/>
      <c r="AM103" s="6"/>
      <c r="AN103" s="6"/>
      <c r="AO103" s="6"/>
      <c r="AP103" s="6"/>
      <c r="AQ103" s="6"/>
      <c r="AR103" s="6"/>
      <c r="AS103" s="6"/>
      <c r="AT103" s="6"/>
      <c r="AU103" s="6"/>
    </row>
    <row r="104" spans="1:47" ht="38.25">
      <c r="A104" s="60">
        <f>Inicial!A104</f>
        <v>102</v>
      </c>
      <c r="B104" s="61" t="str">
        <f>Inicial!B104</f>
        <v>Desposte</v>
      </c>
      <c r="C104" s="61" t="str">
        <f>Inicial!C104</f>
        <v>Operario de producción Línea Pancetas</v>
      </c>
      <c r="D104" s="62" t="str">
        <f>Inicial!D104</f>
        <v>Calibrado de panceta</v>
      </c>
      <c r="E104" s="60" t="str">
        <f>IF(Inicial!K104="SI",Inicial!E104,"N/A")</f>
        <v>N/A</v>
      </c>
      <c r="F104" s="61" t="str">
        <f>IF(Inicial!K104="SI",Inicial!F104,"N/A")</f>
        <v>N/A</v>
      </c>
      <c r="G104" s="61" t="str">
        <f>IF(Inicial!K104="SI",Inicial!G104,"N/A")</f>
        <v>N/A</v>
      </c>
      <c r="H104" s="61" t="str">
        <f>IF(Inicial!K104="SI",Inicial!H104,"N/A")</f>
        <v>N/A</v>
      </c>
      <c r="I104" s="72" t="str">
        <f>IF(Inicial!K104="SI",Inicial!I104,"N/A")</f>
        <v>N/A</v>
      </c>
      <c r="K104" s="6"/>
      <c r="L104" s="6"/>
      <c r="M104" s="6"/>
      <c r="N104" s="6"/>
      <c r="O104" s="6"/>
      <c r="P104" s="97"/>
      <c r="Q104" s="93"/>
      <c r="R104" s="6"/>
      <c r="S104" s="6"/>
      <c r="T104" s="6"/>
      <c r="U104" s="6"/>
      <c r="V104" s="6"/>
      <c r="W104" s="94"/>
      <c r="X104" s="93"/>
      <c r="Y104" s="6"/>
      <c r="Z104" s="6"/>
      <c r="AA104" s="6"/>
      <c r="AB104" s="6"/>
      <c r="AC104" s="94"/>
      <c r="AD104" s="102" t="str">
        <f t="shared" si="1"/>
        <v>Aceptable</v>
      </c>
      <c r="AE104" s="6"/>
      <c r="AF104" s="6"/>
      <c r="AG104" s="6"/>
      <c r="AH104" s="6"/>
      <c r="AI104" s="6"/>
      <c r="AJ104" s="6"/>
      <c r="AK104" s="6"/>
      <c r="AL104" s="6"/>
      <c r="AM104" s="6"/>
      <c r="AN104" s="6"/>
      <c r="AO104" s="6"/>
      <c r="AP104" s="6"/>
      <c r="AQ104" s="6"/>
      <c r="AR104" s="6"/>
      <c r="AS104" s="6"/>
      <c r="AT104" s="6"/>
      <c r="AU104" s="6"/>
    </row>
    <row r="105" spans="1:47" ht="38.25">
      <c r="A105" s="60">
        <f>Inicial!A105</f>
        <v>103</v>
      </c>
      <c r="B105" s="61" t="str">
        <f>Inicial!B105</f>
        <v>Desposte</v>
      </c>
      <c r="C105" s="61" t="str">
        <f>Inicial!C105</f>
        <v>Operario de producción Línea Pancetas</v>
      </c>
      <c r="D105" s="62" t="str">
        <f>Inicial!D105</f>
        <v>Revisión final de panceta</v>
      </c>
      <c r="E105" s="60" t="str">
        <f>IF(Inicial!K105="SI",Inicial!E105,"N/A")</f>
        <v>N/A</v>
      </c>
      <c r="F105" s="61" t="str">
        <f>IF(Inicial!K105="SI",Inicial!F105,"N/A")</f>
        <v>N/A</v>
      </c>
      <c r="G105" s="61" t="str">
        <f>IF(Inicial!K105="SI",Inicial!G105,"N/A")</f>
        <v>N/A</v>
      </c>
      <c r="H105" s="61" t="str">
        <f>IF(Inicial!K105="SI",Inicial!H105,"N/A")</f>
        <v>N/A</v>
      </c>
      <c r="I105" s="72" t="str">
        <f>IF(Inicial!K105="SI",Inicial!I105,"N/A")</f>
        <v>N/A</v>
      </c>
      <c r="K105" s="6"/>
      <c r="L105" s="6"/>
      <c r="M105" s="6"/>
      <c r="N105" s="6"/>
      <c r="O105" s="6"/>
      <c r="P105" s="97"/>
      <c r="Q105" s="93"/>
      <c r="R105" s="6"/>
      <c r="S105" s="6"/>
      <c r="T105" s="6"/>
      <c r="U105" s="6"/>
      <c r="V105" s="6"/>
      <c r="W105" s="94"/>
      <c r="X105" s="93"/>
      <c r="Y105" s="6"/>
      <c r="Z105" s="6"/>
      <c r="AA105" s="6"/>
      <c r="AB105" s="6"/>
      <c r="AC105" s="94"/>
      <c r="AD105" s="102" t="str">
        <f t="shared" si="1"/>
        <v>Aceptable</v>
      </c>
      <c r="AE105" s="6"/>
      <c r="AF105" s="6"/>
      <c r="AG105" s="6"/>
      <c r="AH105" s="6"/>
      <c r="AI105" s="6"/>
      <c r="AJ105" s="6"/>
      <c r="AK105" s="6"/>
      <c r="AL105" s="6"/>
      <c r="AM105" s="6"/>
      <c r="AN105" s="6"/>
      <c r="AO105" s="6"/>
      <c r="AP105" s="6"/>
      <c r="AQ105" s="6"/>
      <c r="AR105" s="6"/>
      <c r="AS105" s="6"/>
      <c r="AT105" s="6"/>
      <c r="AU105" s="6"/>
    </row>
    <row r="106" spans="1:47" ht="38.25">
      <c r="A106" s="60">
        <f>Inicial!A106</f>
        <v>104</v>
      </c>
      <c r="B106" s="61" t="str">
        <f>Inicial!B106</f>
        <v>Desposte</v>
      </c>
      <c r="C106" s="61" t="str">
        <f>Inicial!C106</f>
        <v>Operario de producción Línea Pancetas</v>
      </c>
      <c r="D106" s="62" t="str">
        <f>Inicial!D106</f>
        <v>Extracción de tetillas ABT</v>
      </c>
      <c r="E106" s="60" t="str">
        <f>IF(Inicial!K106="SI",Inicial!E106,"N/A")</f>
        <v>N/A</v>
      </c>
      <c r="F106" s="61" t="str">
        <f>IF(Inicial!K106="SI",Inicial!F106,"N/A")</f>
        <v>N/A</v>
      </c>
      <c r="G106" s="61" t="str">
        <f>IF(Inicial!K106="SI",Inicial!G106,"N/A")</f>
        <v>N/A</v>
      </c>
      <c r="H106" s="61" t="str">
        <f>IF(Inicial!K106="SI",Inicial!H106,"N/A")</f>
        <v>N/A</v>
      </c>
      <c r="I106" s="72" t="str">
        <f>IF(Inicial!K106="SI",Inicial!I106,"N/A")</f>
        <v>N/A</v>
      </c>
      <c r="K106" s="6"/>
      <c r="L106" s="6"/>
      <c r="M106" s="6"/>
      <c r="N106" s="6"/>
      <c r="O106" s="6"/>
      <c r="P106" s="97"/>
      <c r="Q106" s="93"/>
      <c r="R106" s="6"/>
      <c r="S106" s="6"/>
      <c r="T106" s="6"/>
      <c r="U106" s="6"/>
      <c r="V106" s="6"/>
      <c r="W106" s="94"/>
      <c r="X106" s="93"/>
      <c r="Y106" s="6"/>
      <c r="Z106" s="6"/>
      <c r="AA106" s="6"/>
      <c r="AB106" s="6"/>
      <c r="AC106" s="94"/>
      <c r="AD106" s="102" t="str">
        <f t="shared" si="1"/>
        <v>Aceptable</v>
      </c>
      <c r="AE106" s="6"/>
      <c r="AF106" s="6"/>
      <c r="AG106" s="6"/>
      <c r="AH106" s="6"/>
      <c r="AI106" s="6"/>
      <c r="AJ106" s="6"/>
      <c r="AK106" s="6"/>
      <c r="AL106" s="6"/>
      <c r="AM106" s="6"/>
      <c r="AN106" s="6"/>
      <c r="AO106" s="6"/>
      <c r="AP106" s="6"/>
      <c r="AQ106" s="6"/>
      <c r="AR106" s="6"/>
      <c r="AS106" s="6"/>
      <c r="AT106" s="6"/>
      <c r="AU106" s="6"/>
    </row>
    <row r="107" spans="1:47" ht="38.25">
      <c r="A107" s="60">
        <f>Inicial!A107</f>
        <v>105</v>
      </c>
      <c r="B107" s="61" t="str">
        <f>Inicial!B107</f>
        <v>Desposte</v>
      </c>
      <c r="C107" s="61" t="str">
        <f>Inicial!C107</f>
        <v>Operario de producción Línea Pancetas</v>
      </c>
      <c r="D107" s="62" t="str">
        <f>Inicial!D107</f>
        <v>Extracción de manteca</v>
      </c>
      <c r="E107" s="60" t="str">
        <f>IF(Inicial!K107="SI",Inicial!E107,"N/A")</f>
        <v>N/A</v>
      </c>
      <c r="F107" s="61" t="str">
        <f>IF(Inicial!K107="SI",Inicial!F107,"N/A")</f>
        <v>N/A</v>
      </c>
      <c r="G107" s="61" t="str">
        <f>IF(Inicial!K107="SI",Inicial!G107,"N/A")</f>
        <v>N/A</v>
      </c>
      <c r="H107" s="61" t="str">
        <f>IF(Inicial!K107="SI",Inicial!H107,"N/A")</f>
        <v>N/A</v>
      </c>
      <c r="I107" s="72" t="str">
        <f>IF(Inicial!K107="SI",Inicial!I107,"N/A")</f>
        <v>N/A</v>
      </c>
      <c r="K107" s="6"/>
      <c r="L107" s="6"/>
      <c r="M107" s="6"/>
      <c r="N107" s="6"/>
      <c r="O107" s="6"/>
      <c r="P107" s="97"/>
      <c r="Q107" s="93"/>
      <c r="R107" s="6"/>
      <c r="S107" s="6"/>
      <c r="T107" s="6"/>
      <c r="U107" s="6"/>
      <c r="V107" s="6"/>
      <c r="W107" s="94"/>
      <c r="X107" s="93"/>
      <c r="Y107" s="6"/>
      <c r="Z107" s="6"/>
      <c r="AA107" s="6"/>
      <c r="AB107" s="6"/>
      <c r="AC107" s="94"/>
      <c r="AD107" s="102" t="str">
        <f t="shared" si="1"/>
        <v>Aceptable</v>
      </c>
      <c r="AE107" s="6"/>
      <c r="AF107" s="6"/>
      <c r="AG107" s="6"/>
      <c r="AH107" s="6"/>
      <c r="AI107" s="6"/>
      <c r="AJ107" s="6"/>
      <c r="AK107" s="6"/>
      <c r="AL107" s="6"/>
      <c r="AM107" s="6"/>
      <c r="AN107" s="6"/>
      <c r="AO107" s="6"/>
      <c r="AP107" s="6"/>
      <c r="AQ107" s="6"/>
      <c r="AR107" s="6"/>
      <c r="AS107" s="6"/>
      <c r="AT107" s="6"/>
      <c r="AU107" s="6"/>
    </row>
    <row r="108" spans="1:47">
      <c r="A108" s="60">
        <f>Inicial!A108</f>
        <v>106</v>
      </c>
      <c r="B108" s="61">
        <f>Inicial!B108</f>
        <v>0</v>
      </c>
      <c r="C108" s="61">
        <f>Inicial!C108</f>
        <v>0</v>
      </c>
      <c r="D108" s="62">
        <f>Inicial!D108</f>
        <v>0</v>
      </c>
      <c r="E108" s="60" t="str">
        <f>IF(Inicial!K108="SI",Inicial!E108,"N/A")</f>
        <v>N/A</v>
      </c>
      <c r="F108" s="61" t="str">
        <f>IF(Inicial!K108="SI",Inicial!F108,"N/A")</f>
        <v>N/A</v>
      </c>
      <c r="G108" s="61" t="str">
        <f>IF(Inicial!K108="SI",Inicial!G108,"N/A")</f>
        <v>N/A</v>
      </c>
      <c r="H108" s="61" t="str">
        <f>IF(Inicial!K108="SI",Inicial!H108,"N/A")</f>
        <v>N/A</v>
      </c>
      <c r="I108" s="72" t="str">
        <f>IF(Inicial!K108="SI",Inicial!I108,"N/A")</f>
        <v>N/A</v>
      </c>
      <c r="K108" s="6"/>
      <c r="L108" s="6"/>
      <c r="M108" s="6"/>
      <c r="N108" s="6"/>
      <c r="O108" s="6"/>
      <c r="P108" s="97"/>
      <c r="Q108" s="93"/>
      <c r="R108" s="6"/>
      <c r="S108" s="6"/>
      <c r="T108" s="6"/>
      <c r="U108" s="6"/>
      <c r="V108" s="6"/>
      <c r="W108" s="94"/>
      <c r="X108" s="93"/>
      <c r="Y108" s="6"/>
      <c r="Z108" s="6"/>
      <c r="AA108" s="6"/>
      <c r="AB108" s="6"/>
      <c r="AC108" s="94"/>
      <c r="AD108" s="102" t="str">
        <f t="shared" si="1"/>
        <v>Aceptable</v>
      </c>
      <c r="AE108" s="6"/>
      <c r="AF108" s="6"/>
      <c r="AG108" s="6"/>
      <c r="AH108" s="6"/>
      <c r="AI108" s="6"/>
      <c r="AJ108" s="6"/>
      <c r="AK108" s="6"/>
      <c r="AL108" s="6"/>
      <c r="AM108" s="6"/>
      <c r="AN108" s="6"/>
      <c r="AO108" s="6"/>
      <c r="AP108" s="6"/>
      <c r="AQ108" s="6"/>
      <c r="AR108" s="6"/>
      <c r="AS108" s="6"/>
      <c r="AT108" s="6"/>
      <c r="AU108" s="6"/>
    </row>
    <row r="109" spans="1:47">
      <c r="A109" s="60">
        <f>Inicial!A109</f>
        <v>107</v>
      </c>
      <c r="B109" s="61">
        <f>Inicial!B109</f>
        <v>0</v>
      </c>
      <c r="C109" s="61">
        <f>Inicial!C109</f>
        <v>0</v>
      </c>
      <c r="D109" s="62">
        <f>Inicial!D109</f>
        <v>0</v>
      </c>
      <c r="E109" s="60" t="str">
        <f>IF(Inicial!K109="SI",Inicial!E109,"N/A")</f>
        <v>N/A</v>
      </c>
      <c r="F109" s="61" t="str">
        <f>IF(Inicial!K109="SI",Inicial!F109,"N/A")</f>
        <v>N/A</v>
      </c>
      <c r="G109" s="61" t="str">
        <f>IF(Inicial!K109="SI",Inicial!G109,"N/A")</f>
        <v>N/A</v>
      </c>
      <c r="H109" s="61" t="str">
        <f>IF(Inicial!K109="SI",Inicial!H109,"N/A")</f>
        <v>N/A</v>
      </c>
      <c r="I109" s="72" t="str">
        <f>IF(Inicial!K109="SI",Inicial!I109,"N/A")</f>
        <v>N/A</v>
      </c>
      <c r="K109" s="6"/>
      <c r="L109" s="6"/>
      <c r="M109" s="6"/>
      <c r="N109" s="6"/>
      <c r="O109" s="6"/>
      <c r="P109" s="97"/>
      <c r="Q109" s="93"/>
      <c r="R109" s="6"/>
      <c r="S109" s="6"/>
      <c r="T109" s="6"/>
      <c r="U109" s="6"/>
      <c r="V109" s="6"/>
      <c r="W109" s="94"/>
      <c r="X109" s="93"/>
      <c r="Y109" s="6"/>
      <c r="Z109" s="6"/>
      <c r="AA109" s="6"/>
      <c r="AB109" s="6"/>
      <c r="AC109" s="94"/>
      <c r="AD109" s="102" t="str">
        <f t="shared" si="1"/>
        <v>Aceptable</v>
      </c>
      <c r="AE109" s="6"/>
      <c r="AF109" s="6"/>
      <c r="AG109" s="6"/>
      <c r="AH109" s="6"/>
      <c r="AI109" s="6"/>
      <c r="AJ109" s="6"/>
      <c r="AK109" s="6"/>
      <c r="AL109" s="6"/>
      <c r="AM109" s="6"/>
      <c r="AN109" s="6"/>
      <c r="AO109" s="6"/>
      <c r="AP109" s="6"/>
      <c r="AQ109" s="6"/>
      <c r="AR109" s="6"/>
      <c r="AS109" s="6"/>
      <c r="AT109" s="6"/>
      <c r="AU109" s="6"/>
    </row>
    <row r="110" spans="1:47">
      <c r="A110" s="60">
        <f>Inicial!A110</f>
        <v>108</v>
      </c>
      <c r="B110" s="61">
        <f>Inicial!B110</f>
        <v>0</v>
      </c>
      <c r="C110" s="61">
        <f>Inicial!C110</f>
        <v>0</v>
      </c>
      <c r="D110" s="62">
        <f>Inicial!D110</f>
        <v>0</v>
      </c>
      <c r="E110" s="60" t="str">
        <f>IF(Inicial!K110="SI",Inicial!E110,"N/A")</f>
        <v>N/A</v>
      </c>
      <c r="F110" s="61" t="str">
        <f>IF(Inicial!K110="SI",Inicial!F110,"N/A")</f>
        <v>N/A</v>
      </c>
      <c r="G110" s="61" t="str">
        <f>IF(Inicial!K110="SI",Inicial!G110,"N/A")</f>
        <v>N/A</v>
      </c>
      <c r="H110" s="61" t="str">
        <f>IF(Inicial!K110="SI",Inicial!H110,"N/A")</f>
        <v>N/A</v>
      </c>
      <c r="I110" s="72" t="str">
        <f>IF(Inicial!K110="SI",Inicial!I110,"N/A")</f>
        <v>N/A</v>
      </c>
      <c r="K110" s="6"/>
      <c r="L110" s="6"/>
      <c r="M110" s="6"/>
      <c r="N110" s="6"/>
      <c r="O110" s="6"/>
      <c r="P110" s="97"/>
      <c r="Q110" s="93"/>
      <c r="R110" s="6"/>
      <c r="S110" s="6"/>
      <c r="T110" s="6"/>
      <c r="U110" s="6"/>
      <c r="V110" s="6"/>
      <c r="W110" s="94"/>
      <c r="X110" s="93"/>
      <c r="Y110" s="6"/>
      <c r="Z110" s="6"/>
      <c r="AA110" s="6"/>
      <c r="AB110" s="6"/>
      <c r="AC110" s="94"/>
      <c r="AD110" s="102" t="str">
        <f t="shared" si="1"/>
        <v>Aceptable</v>
      </c>
      <c r="AE110" s="6"/>
      <c r="AF110" s="6"/>
      <c r="AG110" s="6"/>
      <c r="AH110" s="6"/>
      <c r="AI110" s="6"/>
      <c r="AJ110" s="6"/>
      <c r="AK110" s="6"/>
      <c r="AL110" s="6"/>
      <c r="AM110" s="6"/>
      <c r="AN110" s="6"/>
      <c r="AO110" s="6"/>
      <c r="AP110" s="6"/>
      <c r="AQ110" s="6"/>
      <c r="AR110" s="6"/>
      <c r="AS110" s="6"/>
      <c r="AT110" s="6"/>
      <c r="AU110" s="6"/>
    </row>
    <row r="111" spans="1:47">
      <c r="A111" s="60">
        <f>Inicial!A111</f>
        <v>109</v>
      </c>
      <c r="B111" s="61">
        <f>Inicial!B111</f>
        <v>0</v>
      </c>
      <c r="C111" s="61">
        <f>Inicial!C111</f>
        <v>0</v>
      </c>
      <c r="D111" s="62">
        <f>Inicial!D111</f>
        <v>0</v>
      </c>
      <c r="E111" s="60" t="str">
        <f>IF(Inicial!K111="SI",Inicial!E111,"N/A")</f>
        <v>N/A</v>
      </c>
      <c r="F111" s="61" t="str">
        <f>IF(Inicial!K111="SI",Inicial!F111,"N/A")</f>
        <v>N/A</v>
      </c>
      <c r="G111" s="61" t="str">
        <f>IF(Inicial!K111="SI",Inicial!G111,"N/A")</f>
        <v>N/A</v>
      </c>
      <c r="H111" s="61" t="str">
        <f>IF(Inicial!K111="SI",Inicial!H111,"N/A")</f>
        <v>N/A</v>
      </c>
      <c r="I111" s="72" t="str">
        <f>IF(Inicial!K111="SI",Inicial!I111,"N/A")</f>
        <v>N/A</v>
      </c>
      <c r="K111" s="6"/>
      <c r="L111" s="6"/>
      <c r="M111" s="6"/>
      <c r="N111" s="6"/>
      <c r="O111" s="6"/>
      <c r="P111" s="97"/>
      <c r="Q111" s="93"/>
      <c r="R111" s="6"/>
      <c r="S111" s="6"/>
      <c r="T111" s="6"/>
      <c r="U111" s="6"/>
      <c r="V111" s="6"/>
      <c r="W111" s="94"/>
      <c r="X111" s="93"/>
      <c r="Y111" s="6"/>
      <c r="Z111" s="6"/>
      <c r="AA111" s="6"/>
      <c r="AB111" s="6"/>
      <c r="AC111" s="94"/>
      <c r="AD111" s="102" t="str">
        <f t="shared" si="1"/>
        <v>Aceptable</v>
      </c>
      <c r="AE111" s="6"/>
      <c r="AF111" s="6"/>
      <c r="AG111" s="6"/>
      <c r="AH111" s="6"/>
      <c r="AI111" s="6"/>
      <c r="AJ111" s="6"/>
      <c r="AK111" s="6"/>
      <c r="AL111" s="6"/>
      <c r="AM111" s="6"/>
      <c r="AN111" s="6"/>
      <c r="AO111" s="6"/>
      <c r="AP111" s="6"/>
      <c r="AQ111" s="6"/>
      <c r="AR111" s="6"/>
      <c r="AS111" s="6"/>
      <c r="AT111" s="6"/>
      <c r="AU111" s="6"/>
    </row>
    <row r="112" spans="1:47">
      <c r="A112" s="60">
        <f>Inicial!A112</f>
        <v>110</v>
      </c>
      <c r="B112" s="61">
        <f>Inicial!B112</f>
        <v>0</v>
      </c>
      <c r="C112" s="61">
        <f>Inicial!C112</f>
        <v>0</v>
      </c>
      <c r="D112" s="62">
        <f>Inicial!D112</f>
        <v>0</v>
      </c>
      <c r="E112" s="60" t="str">
        <f>IF(Inicial!K112="SI",Inicial!E112,"N/A")</f>
        <v>N/A</v>
      </c>
      <c r="F112" s="61" t="str">
        <f>IF(Inicial!K112="SI",Inicial!F112,"N/A")</f>
        <v>N/A</v>
      </c>
      <c r="G112" s="61" t="str">
        <f>IF(Inicial!K112="SI",Inicial!G112,"N/A")</f>
        <v>N/A</v>
      </c>
      <c r="H112" s="61" t="str">
        <f>IF(Inicial!K112="SI",Inicial!H112,"N/A")</f>
        <v>N/A</v>
      </c>
      <c r="I112" s="72" t="str">
        <f>IF(Inicial!K112="SI",Inicial!I112,"N/A")</f>
        <v>N/A</v>
      </c>
      <c r="K112" s="6"/>
      <c r="L112" s="6"/>
      <c r="M112" s="6"/>
      <c r="N112" s="6"/>
      <c r="O112" s="6"/>
      <c r="P112" s="97"/>
      <c r="Q112" s="93"/>
      <c r="R112" s="6"/>
      <c r="S112" s="6"/>
      <c r="T112" s="6"/>
      <c r="U112" s="6"/>
      <c r="V112" s="6"/>
      <c r="W112" s="94"/>
      <c r="X112" s="93"/>
      <c r="Y112" s="6"/>
      <c r="Z112" s="6"/>
      <c r="AA112" s="6"/>
      <c r="AB112" s="6"/>
      <c r="AC112" s="94"/>
      <c r="AD112" s="102" t="str">
        <f t="shared" si="1"/>
        <v>Aceptable</v>
      </c>
      <c r="AE112" s="6"/>
      <c r="AF112" s="6"/>
      <c r="AG112" s="6"/>
      <c r="AH112" s="6"/>
      <c r="AI112" s="6"/>
      <c r="AJ112" s="6"/>
      <c r="AK112" s="6"/>
      <c r="AL112" s="6"/>
      <c r="AM112" s="6"/>
      <c r="AN112" s="6"/>
      <c r="AO112" s="6"/>
      <c r="AP112" s="6"/>
      <c r="AQ112" s="6"/>
      <c r="AR112" s="6"/>
      <c r="AS112" s="6"/>
      <c r="AT112" s="6"/>
      <c r="AU112" s="6"/>
    </row>
    <row r="113" spans="1:47">
      <c r="A113" s="60">
        <f>Inicial!A113</f>
        <v>111</v>
      </c>
      <c r="B113" s="61">
        <f>Inicial!B113</f>
        <v>0</v>
      </c>
      <c r="C113" s="61">
        <f>Inicial!C113</f>
        <v>0</v>
      </c>
      <c r="D113" s="62">
        <f>Inicial!D113</f>
        <v>0</v>
      </c>
      <c r="E113" s="60" t="str">
        <f>IF(Inicial!K113="SI",Inicial!E113,"N/A")</f>
        <v>N/A</v>
      </c>
      <c r="F113" s="61" t="str">
        <f>IF(Inicial!K113="SI",Inicial!F113,"N/A")</f>
        <v>N/A</v>
      </c>
      <c r="G113" s="61" t="str">
        <f>IF(Inicial!K113="SI",Inicial!G113,"N/A")</f>
        <v>N/A</v>
      </c>
      <c r="H113" s="61" t="str">
        <f>IF(Inicial!K113="SI",Inicial!H113,"N/A")</f>
        <v>N/A</v>
      </c>
      <c r="I113" s="72" t="str">
        <f>IF(Inicial!K113="SI",Inicial!I113,"N/A")</f>
        <v>N/A</v>
      </c>
      <c r="K113" s="6"/>
      <c r="L113" s="6"/>
      <c r="M113" s="6"/>
      <c r="N113" s="6"/>
      <c r="O113" s="6"/>
      <c r="P113" s="97"/>
      <c r="Q113" s="93"/>
      <c r="R113" s="6"/>
      <c r="S113" s="6"/>
      <c r="T113" s="6"/>
      <c r="U113" s="6"/>
      <c r="V113" s="6"/>
      <c r="W113" s="94"/>
      <c r="X113" s="93"/>
      <c r="Y113" s="6"/>
      <c r="Z113" s="6"/>
      <c r="AA113" s="6"/>
      <c r="AB113" s="6"/>
      <c r="AC113" s="94"/>
      <c r="AD113" s="102" t="str">
        <f t="shared" si="1"/>
        <v>Aceptable</v>
      </c>
      <c r="AE113" s="6"/>
      <c r="AF113" s="6"/>
      <c r="AG113" s="6"/>
      <c r="AH113" s="6"/>
      <c r="AI113" s="6"/>
      <c r="AJ113" s="6"/>
      <c r="AK113" s="6"/>
      <c r="AL113" s="6"/>
      <c r="AM113" s="6"/>
      <c r="AN113" s="6"/>
      <c r="AO113" s="6"/>
      <c r="AP113" s="6"/>
      <c r="AQ113" s="6"/>
      <c r="AR113" s="6"/>
      <c r="AS113" s="6"/>
      <c r="AT113" s="6"/>
      <c r="AU113" s="6"/>
    </row>
    <row r="114" spans="1:47">
      <c r="A114" s="60">
        <f>Inicial!A114</f>
        <v>112</v>
      </c>
      <c r="B114" s="61">
        <f>Inicial!B114</f>
        <v>0</v>
      </c>
      <c r="C114" s="61">
        <f>Inicial!C114</f>
        <v>0</v>
      </c>
      <c r="D114" s="62">
        <f>Inicial!D114</f>
        <v>0</v>
      </c>
      <c r="E114" s="60" t="str">
        <f>IF(Inicial!K114="SI",Inicial!E114,"N/A")</f>
        <v>N/A</v>
      </c>
      <c r="F114" s="61" t="str">
        <f>IF(Inicial!K114="SI",Inicial!F114,"N/A")</f>
        <v>N/A</v>
      </c>
      <c r="G114" s="61" t="str">
        <f>IF(Inicial!K114="SI",Inicial!G114,"N/A")</f>
        <v>N/A</v>
      </c>
      <c r="H114" s="61" t="str">
        <f>IF(Inicial!K114="SI",Inicial!H114,"N/A")</f>
        <v>N/A</v>
      </c>
      <c r="I114" s="72" t="str">
        <f>IF(Inicial!K114="SI",Inicial!I114,"N/A")</f>
        <v>N/A</v>
      </c>
      <c r="K114" s="6"/>
      <c r="L114" s="6"/>
      <c r="M114" s="6"/>
      <c r="N114" s="6"/>
      <c r="O114" s="6"/>
      <c r="P114" s="97"/>
      <c r="Q114" s="93"/>
      <c r="R114" s="6"/>
      <c r="S114" s="6"/>
      <c r="T114" s="6"/>
      <c r="U114" s="6"/>
      <c r="V114" s="6"/>
      <c r="W114" s="94"/>
      <c r="X114" s="93"/>
      <c r="Y114" s="6"/>
      <c r="Z114" s="6"/>
      <c r="AA114" s="6"/>
      <c r="AB114" s="6"/>
      <c r="AC114" s="94"/>
      <c r="AD114" s="102" t="str">
        <f t="shared" si="1"/>
        <v>Aceptable</v>
      </c>
      <c r="AE114" s="6"/>
      <c r="AF114" s="6"/>
      <c r="AG114" s="6"/>
      <c r="AH114" s="6"/>
      <c r="AI114" s="6"/>
      <c r="AJ114" s="6"/>
      <c r="AK114" s="6"/>
      <c r="AL114" s="6"/>
      <c r="AM114" s="6"/>
      <c r="AN114" s="6"/>
      <c r="AO114" s="6"/>
      <c r="AP114" s="6"/>
      <c r="AQ114" s="6"/>
      <c r="AR114" s="6"/>
      <c r="AS114" s="6"/>
      <c r="AT114" s="6"/>
      <c r="AU114" s="6"/>
    </row>
    <row r="115" spans="1:47">
      <c r="A115" s="60">
        <f>Inicial!A115</f>
        <v>113</v>
      </c>
      <c r="B115" s="61">
        <f>Inicial!B115</f>
        <v>0</v>
      </c>
      <c r="C115" s="61">
        <f>Inicial!C115</f>
        <v>0</v>
      </c>
      <c r="D115" s="62">
        <f>Inicial!D115</f>
        <v>0</v>
      </c>
      <c r="E115" s="60" t="str">
        <f>IF(Inicial!K115="SI",Inicial!E115,"N/A")</f>
        <v>N/A</v>
      </c>
      <c r="F115" s="61" t="str">
        <f>IF(Inicial!K115="SI",Inicial!F115,"N/A")</f>
        <v>N/A</v>
      </c>
      <c r="G115" s="61" t="str">
        <f>IF(Inicial!K115="SI",Inicial!G115,"N/A")</f>
        <v>N/A</v>
      </c>
      <c r="H115" s="61" t="str">
        <f>IF(Inicial!K115="SI",Inicial!H115,"N/A")</f>
        <v>N/A</v>
      </c>
      <c r="I115" s="72" t="str">
        <f>IF(Inicial!K115="SI",Inicial!I115,"N/A")</f>
        <v>N/A</v>
      </c>
      <c r="K115" s="6"/>
      <c r="L115" s="6"/>
      <c r="M115" s="6"/>
      <c r="N115" s="6"/>
      <c r="O115" s="6"/>
      <c r="P115" s="97"/>
      <c r="Q115" s="93"/>
      <c r="R115" s="6"/>
      <c r="S115" s="6"/>
      <c r="T115" s="6"/>
      <c r="U115" s="6"/>
      <c r="V115" s="6"/>
      <c r="W115" s="94"/>
      <c r="X115" s="93"/>
      <c r="Y115" s="6"/>
      <c r="Z115" s="6"/>
      <c r="AA115" s="6"/>
      <c r="AB115" s="6"/>
      <c r="AC115" s="94"/>
      <c r="AD115" s="102" t="str">
        <f t="shared" si="1"/>
        <v>Aceptable</v>
      </c>
      <c r="AE115" s="6"/>
      <c r="AF115" s="6"/>
      <c r="AG115" s="6"/>
      <c r="AH115" s="6"/>
      <c r="AI115" s="6"/>
      <c r="AJ115" s="6"/>
      <c r="AK115" s="6"/>
      <c r="AL115" s="6"/>
      <c r="AM115" s="6"/>
      <c r="AN115" s="6"/>
      <c r="AO115" s="6"/>
      <c r="AP115" s="6"/>
      <c r="AQ115" s="6"/>
      <c r="AR115" s="6"/>
      <c r="AS115" s="6"/>
      <c r="AT115" s="6"/>
      <c r="AU115" s="6"/>
    </row>
    <row r="116" spans="1:47">
      <c r="A116" s="60">
        <f>Inicial!A116</f>
        <v>114</v>
      </c>
      <c r="B116" s="61">
        <f>Inicial!B116</f>
        <v>0</v>
      </c>
      <c r="C116" s="61">
        <f>Inicial!C116</f>
        <v>0</v>
      </c>
      <c r="D116" s="62">
        <f>Inicial!D116</f>
        <v>0</v>
      </c>
      <c r="E116" s="60" t="str">
        <f>IF(Inicial!K116="SI",Inicial!E116,"N/A")</f>
        <v>N/A</v>
      </c>
      <c r="F116" s="61" t="str">
        <f>IF(Inicial!K116="SI",Inicial!F116,"N/A")</f>
        <v>N/A</v>
      </c>
      <c r="G116" s="61" t="str">
        <f>IF(Inicial!K116="SI",Inicial!G116,"N/A")</f>
        <v>N/A</v>
      </c>
      <c r="H116" s="61" t="str">
        <f>IF(Inicial!K116="SI",Inicial!H116,"N/A")</f>
        <v>N/A</v>
      </c>
      <c r="I116" s="72" t="str">
        <f>IF(Inicial!K116="SI",Inicial!I116,"N/A")</f>
        <v>N/A</v>
      </c>
      <c r="K116" s="6"/>
      <c r="L116" s="6"/>
      <c r="M116" s="6"/>
      <c r="N116" s="6"/>
      <c r="O116" s="6"/>
      <c r="P116" s="97"/>
      <c r="Q116" s="93"/>
      <c r="R116" s="6"/>
      <c r="S116" s="6"/>
      <c r="T116" s="6"/>
      <c r="U116" s="6"/>
      <c r="V116" s="6"/>
      <c r="W116" s="94"/>
      <c r="X116" s="93"/>
      <c r="Y116" s="6"/>
      <c r="Z116" s="6"/>
      <c r="AA116" s="6"/>
      <c r="AB116" s="6"/>
      <c r="AC116" s="94"/>
      <c r="AD116" s="102" t="str">
        <f t="shared" si="1"/>
        <v>Aceptable</v>
      </c>
      <c r="AE116" s="6"/>
      <c r="AF116" s="6"/>
      <c r="AG116" s="6"/>
      <c r="AH116" s="6"/>
      <c r="AI116" s="6"/>
      <c r="AJ116" s="6"/>
      <c r="AK116" s="6"/>
      <c r="AL116" s="6"/>
      <c r="AM116" s="6"/>
      <c r="AN116" s="6"/>
      <c r="AO116" s="6"/>
      <c r="AP116" s="6"/>
      <c r="AQ116" s="6"/>
      <c r="AR116" s="6"/>
      <c r="AS116" s="6"/>
      <c r="AT116" s="6"/>
      <c r="AU116" s="6"/>
    </row>
    <row r="117" spans="1:47">
      <c r="A117" s="60">
        <f>Inicial!A117</f>
        <v>115</v>
      </c>
      <c r="B117" s="61">
        <f>Inicial!B117</f>
        <v>0</v>
      </c>
      <c r="C117" s="61">
        <f>Inicial!C117</f>
        <v>0</v>
      </c>
      <c r="D117" s="62">
        <f>Inicial!D117</f>
        <v>0</v>
      </c>
      <c r="E117" s="60" t="str">
        <f>IF(Inicial!K117="SI",Inicial!E117,"N/A")</f>
        <v>N/A</v>
      </c>
      <c r="F117" s="61" t="str">
        <f>IF(Inicial!K117="SI",Inicial!F117,"N/A")</f>
        <v>N/A</v>
      </c>
      <c r="G117" s="61" t="str">
        <f>IF(Inicial!K117="SI",Inicial!G117,"N/A")</f>
        <v>N/A</v>
      </c>
      <c r="H117" s="61" t="str">
        <f>IF(Inicial!K117="SI",Inicial!H117,"N/A")</f>
        <v>N/A</v>
      </c>
      <c r="I117" s="72" t="str">
        <f>IF(Inicial!K117="SI",Inicial!I117,"N/A")</f>
        <v>N/A</v>
      </c>
      <c r="K117" s="6"/>
      <c r="L117" s="6"/>
      <c r="M117" s="6"/>
      <c r="N117" s="6"/>
      <c r="O117" s="6"/>
      <c r="P117" s="97"/>
      <c r="Q117" s="93"/>
      <c r="R117" s="6"/>
      <c r="S117" s="6"/>
      <c r="T117" s="6"/>
      <c r="U117" s="6"/>
      <c r="V117" s="6"/>
      <c r="W117" s="94"/>
      <c r="X117" s="93"/>
      <c r="Y117" s="6"/>
      <c r="Z117" s="6"/>
      <c r="AA117" s="6"/>
      <c r="AB117" s="6"/>
      <c r="AC117" s="94"/>
      <c r="AD117" s="102" t="str">
        <f t="shared" si="1"/>
        <v>Aceptable</v>
      </c>
      <c r="AE117" s="6"/>
      <c r="AF117" s="6"/>
      <c r="AG117" s="6"/>
      <c r="AH117" s="6"/>
      <c r="AI117" s="6"/>
      <c r="AJ117" s="6"/>
      <c r="AK117" s="6"/>
      <c r="AL117" s="6"/>
      <c r="AM117" s="6"/>
      <c r="AN117" s="6"/>
      <c r="AO117" s="6"/>
      <c r="AP117" s="6"/>
      <c r="AQ117" s="6"/>
      <c r="AR117" s="6"/>
      <c r="AS117" s="6"/>
      <c r="AT117" s="6"/>
      <c r="AU117" s="6"/>
    </row>
    <row r="118" spans="1:47">
      <c r="A118" s="60">
        <f>Inicial!A118</f>
        <v>116</v>
      </c>
      <c r="B118" s="61">
        <f>Inicial!B118</f>
        <v>0</v>
      </c>
      <c r="C118" s="61">
        <f>Inicial!C118</f>
        <v>0</v>
      </c>
      <c r="D118" s="62">
        <f>Inicial!D118</f>
        <v>0</v>
      </c>
      <c r="E118" s="60" t="str">
        <f>IF(Inicial!K118="SI",Inicial!E118,"N/A")</f>
        <v>N/A</v>
      </c>
      <c r="F118" s="61" t="str">
        <f>IF(Inicial!K118="SI",Inicial!F118,"N/A")</f>
        <v>N/A</v>
      </c>
      <c r="G118" s="61" t="str">
        <f>IF(Inicial!K118="SI",Inicial!G118,"N/A")</f>
        <v>N/A</v>
      </c>
      <c r="H118" s="61" t="str">
        <f>IF(Inicial!K118="SI",Inicial!H118,"N/A")</f>
        <v>N/A</v>
      </c>
      <c r="I118" s="72" t="str">
        <f>IF(Inicial!K118="SI",Inicial!I118,"N/A")</f>
        <v>N/A</v>
      </c>
      <c r="K118" s="6"/>
      <c r="L118" s="6"/>
      <c r="M118" s="6"/>
      <c r="N118" s="6"/>
      <c r="O118" s="6"/>
      <c r="P118" s="97"/>
      <c r="Q118" s="93"/>
      <c r="R118" s="6"/>
      <c r="S118" s="6"/>
      <c r="T118" s="6"/>
      <c r="U118" s="6"/>
      <c r="V118" s="6"/>
      <c r="W118" s="94"/>
      <c r="X118" s="93"/>
      <c r="Y118" s="6"/>
      <c r="Z118" s="6"/>
      <c r="AA118" s="6"/>
      <c r="AB118" s="6"/>
      <c r="AC118" s="94"/>
      <c r="AD118" s="102" t="str">
        <f t="shared" si="1"/>
        <v>Aceptable</v>
      </c>
      <c r="AE118" s="6"/>
      <c r="AF118" s="6"/>
      <c r="AG118" s="6"/>
      <c r="AH118" s="6"/>
      <c r="AI118" s="6"/>
      <c r="AJ118" s="6"/>
      <c r="AK118" s="6"/>
      <c r="AL118" s="6"/>
      <c r="AM118" s="6"/>
      <c r="AN118" s="6"/>
      <c r="AO118" s="6"/>
      <c r="AP118" s="6"/>
      <c r="AQ118" s="6"/>
      <c r="AR118" s="6"/>
      <c r="AS118" s="6"/>
      <c r="AT118" s="6"/>
      <c r="AU118" s="6"/>
    </row>
    <row r="119" spans="1:47">
      <c r="A119" s="60">
        <f>Inicial!A119</f>
        <v>117</v>
      </c>
      <c r="B119" s="61">
        <f>Inicial!B119</f>
        <v>0</v>
      </c>
      <c r="C119" s="61">
        <f>Inicial!C119</f>
        <v>0</v>
      </c>
      <c r="D119" s="62">
        <f>Inicial!D119</f>
        <v>0</v>
      </c>
      <c r="E119" s="60" t="str">
        <f>IF(Inicial!K119="SI",Inicial!E119,"N/A")</f>
        <v>N/A</v>
      </c>
      <c r="F119" s="61" t="str">
        <f>IF(Inicial!K119="SI",Inicial!F119,"N/A")</f>
        <v>N/A</v>
      </c>
      <c r="G119" s="61" t="str">
        <f>IF(Inicial!K119="SI",Inicial!G119,"N/A")</f>
        <v>N/A</v>
      </c>
      <c r="H119" s="61" t="str">
        <f>IF(Inicial!K119="SI",Inicial!H119,"N/A")</f>
        <v>N/A</v>
      </c>
      <c r="I119" s="72" t="str">
        <f>IF(Inicial!K119="SI",Inicial!I119,"N/A")</f>
        <v>N/A</v>
      </c>
      <c r="K119" s="6"/>
      <c r="L119" s="6"/>
      <c r="M119" s="6"/>
      <c r="N119" s="6"/>
      <c r="O119" s="6"/>
      <c r="P119" s="97"/>
      <c r="Q119" s="93"/>
      <c r="R119" s="6"/>
      <c r="S119" s="6"/>
      <c r="T119" s="6"/>
      <c r="U119" s="6"/>
      <c r="V119" s="6"/>
      <c r="W119" s="94"/>
      <c r="X119" s="93"/>
      <c r="Y119" s="6"/>
      <c r="Z119" s="6"/>
      <c r="AA119" s="6"/>
      <c r="AB119" s="6"/>
      <c r="AC119" s="94"/>
      <c r="AD119" s="102" t="str">
        <f t="shared" si="1"/>
        <v>Aceptable</v>
      </c>
      <c r="AE119" s="6"/>
      <c r="AF119" s="6"/>
      <c r="AG119" s="6"/>
      <c r="AH119" s="6"/>
      <c r="AI119" s="6"/>
      <c r="AJ119" s="6"/>
      <c r="AK119" s="6"/>
      <c r="AL119" s="6"/>
      <c r="AM119" s="6"/>
      <c r="AN119" s="6"/>
      <c r="AO119" s="6"/>
      <c r="AP119" s="6"/>
      <c r="AQ119" s="6"/>
      <c r="AR119" s="6"/>
      <c r="AS119" s="6"/>
      <c r="AT119" s="6"/>
      <c r="AU119" s="6"/>
    </row>
    <row r="120" spans="1:47">
      <c r="A120" s="60">
        <f>Inicial!A120</f>
        <v>118</v>
      </c>
      <c r="B120" s="61">
        <f>Inicial!B120</f>
        <v>0</v>
      </c>
      <c r="C120" s="61">
        <f>Inicial!C120</f>
        <v>0</v>
      </c>
      <c r="D120" s="62">
        <f>Inicial!D120</f>
        <v>0</v>
      </c>
      <c r="E120" s="60" t="str">
        <f>IF(Inicial!K120="SI",Inicial!E120,"N/A")</f>
        <v>N/A</v>
      </c>
      <c r="F120" s="61" t="str">
        <f>IF(Inicial!K120="SI",Inicial!F120,"N/A")</f>
        <v>N/A</v>
      </c>
      <c r="G120" s="61" t="str">
        <f>IF(Inicial!K120="SI",Inicial!G120,"N/A")</f>
        <v>N/A</v>
      </c>
      <c r="H120" s="61" t="str">
        <f>IF(Inicial!K120="SI",Inicial!H120,"N/A")</f>
        <v>N/A</v>
      </c>
      <c r="I120" s="72" t="str">
        <f>IF(Inicial!K120="SI",Inicial!I120,"N/A")</f>
        <v>N/A</v>
      </c>
      <c r="K120" s="6"/>
      <c r="L120" s="6"/>
      <c r="M120" s="6"/>
      <c r="N120" s="6"/>
      <c r="O120" s="6"/>
      <c r="P120" s="97"/>
      <c r="Q120" s="93"/>
      <c r="R120" s="6"/>
      <c r="S120" s="6"/>
      <c r="T120" s="6"/>
      <c r="U120" s="6"/>
      <c r="V120" s="6"/>
      <c r="W120" s="94"/>
      <c r="X120" s="93"/>
      <c r="Y120" s="6"/>
      <c r="Z120" s="6"/>
      <c r="AA120" s="6"/>
      <c r="AB120" s="6"/>
      <c r="AC120" s="94"/>
      <c r="AD120" s="102" t="str">
        <f t="shared" si="1"/>
        <v>Aceptable</v>
      </c>
      <c r="AE120" s="6"/>
      <c r="AF120" s="6"/>
      <c r="AG120" s="6"/>
      <c r="AH120" s="6"/>
      <c r="AI120" s="6"/>
      <c r="AJ120" s="6"/>
      <c r="AK120" s="6"/>
      <c r="AL120" s="6"/>
      <c r="AM120" s="6"/>
      <c r="AN120" s="6"/>
      <c r="AO120" s="6"/>
      <c r="AP120" s="6"/>
      <c r="AQ120" s="6"/>
      <c r="AR120" s="6"/>
      <c r="AS120" s="6"/>
      <c r="AT120" s="6"/>
      <c r="AU120" s="6"/>
    </row>
    <row r="121" spans="1:47">
      <c r="A121" s="60">
        <f>Inicial!A121</f>
        <v>119</v>
      </c>
      <c r="B121" s="61">
        <f>Inicial!B121</f>
        <v>0</v>
      </c>
      <c r="C121" s="61">
        <f>Inicial!C121</f>
        <v>0</v>
      </c>
      <c r="D121" s="62">
        <f>Inicial!D121</f>
        <v>0</v>
      </c>
      <c r="E121" s="60" t="str">
        <f>IF(Inicial!K121="SI",Inicial!E121,"N/A")</f>
        <v>N/A</v>
      </c>
      <c r="F121" s="61" t="str">
        <f>IF(Inicial!K121="SI",Inicial!F121,"N/A")</f>
        <v>N/A</v>
      </c>
      <c r="G121" s="61" t="str">
        <f>IF(Inicial!K121="SI",Inicial!G121,"N/A")</f>
        <v>N/A</v>
      </c>
      <c r="H121" s="61" t="str">
        <f>IF(Inicial!K121="SI",Inicial!H121,"N/A")</f>
        <v>N/A</v>
      </c>
      <c r="I121" s="72" t="str">
        <f>IF(Inicial!K121="SI",Inicial!I121,"N/A")</f>
        <v>N/A</v>
      </c>
      <c r="K121" s="6"/>
      <c r="L121" s="6"/>
      <c r="M121" s="6"/>
      <c r="N121" s="6"/>
      <c r="O121" s="6"/>
      <c r="P121" s="97"/>
      <c r="Q121" s="93"/>
      <c r="R121" s="6"/>
      <c r="S121" s="6"/>
      <c r="T121" s="6"/>
      <c r="U121" s="6"/>
      <c r="V121" s="6"/>
      <c r="W121" s="94"/>
      <c r="X121" s="93"/>
      <c r="Y121" s="6"/>
      <c r="Z121" s="6"/>
      <c r="AA121" s="6"/>
      <c r="AB121" s="6"/>
      <c r="AC121" s="94"/>
      <c r="AD121" s="102" t="str">
        <f t="shared" si="1"/>
        <v>Aceptable</v>
      </c>
      <c r="AE121" s="6"/>
      <c r="AF121" s="6"/>
      <c r="AG121" s="6"/>
      <c r="AH121" s="6"/>
      <c r="AI121" s="6"/>
      <c r="AJ121" s="6"/>
      <c r="AK121" s="6"/>
      <c r="AL121" s="6"/>
      <c r="AM121" s="6"/>
      <c r="AN121" s="6"/>
      <c r="AO121" s="6"/>
      <c r="AP121" s="6"/>
      <c r="AQ121" s="6"/>
      <c r="AR121" s="6"/>
      <c r="AS121" s="6"/>
      <c r="AT121" s="6"/>
      <c r="AU121" s="6"/>
    </row>
    <row r="122" spans="1:47">
      <c r="A122" s="60">
        <f>Inicial!A122</f>
        <v>120</v>
      </c>
      <c r="B122" s="61">
        <f>Inicial!B122</f>
        <v>0</v>
      </c>
      <c r="C122" s="61">
        <f>Inicial!C122</f>
        <v>0</v>
      </c>
      <c r="D122" s="62">
        <f>Inicial!D122</f>
        <v>0</v>
      </c>
      <c r="E122" s="60" t="str">
        <f>IF(Inicial!K122="SI",Inicial!E122,"N/A")</f>
        <v>N/A</v>
      </c>
      <c r="F122" s="61" t="str">
        <f>IF(Inicial!K122="SI",Inicial!F122,"N/A")</f>
        <v>N/A</v>
      </c>
      <c r="G122" s="61" t="str">
        <f>IF(Inicial!K122="SI",Inicial!G122,"N/A")</f>
        <v>N/A</v>
      </c>
      <c r="H122" s="61" t="str">
        <f>IF(Inicial!K122="SI",Inicial!H122,"N/A")</f>
        <v>N/A</v>
      </c>
      <c r="I122" s="72" t="str">
        <f>IF(Inicial!K122="SI",Inicial!I122,"N/A")</f>
        <v>N/A</v>
      </c>
      <c r="K122" s="6"/>
      <c r="L122" s="6"/>
      <c r="M122" s="6"/>
      <c r="N122" s="6"/>
      <c r="O122" s="6"/>
      <c r="P122" s="97"/>
      <c r="Q122" s="93"/>
      <c r="R122" s="6"/>
      <c r="S122" s="6"/>
      <c r="T122" s="6"/>
      <c r="U122" s="6"/>
      <c r="V122" s="6"/>
      <c r="W122" s="94"/>
      <c r="X122" s="93"/>
      <c r="Y122" s="6"/>
      <c r="Z122" s="6"/>
      <c r="AA122" s="6"/>
      <c r="AB122" s="6"/>
      <c r="AC122" s="94"/>
      <c r="AD122" s="102" t="str">
        <f t="shared" si="1"/>
        <v>Aceptable</v>
      </c>
      <c r="AE122" s="6"/>
      <c r="AF122" s="6"/>
      <c r="AG122" s="6"/>
      <c r="AH122" s="6"/>
      <c r="AI122" s="6"/>
      <c r="AJ122" s="6"/>
      <c r="AK122" s="6"/>
      <c r="AL122" s="6"/>
      <c r="AM122" s="6"/>
      <c r="AN122" s="6"/>
      <c r="AO122" s="6"/>
      <c r="AP122" s="6"/>
      <c r="AQ122" s="6"/>
      <c r="AR122" s="6"/>
      <c r="AS122" s="6"/>
      <c r="AT122" s="6"/>
      <c r="AU122" s="6"/>
    </row>
    <row r="123" spans="1:47">
      <c r="A123" s="60">
        <f>Inicial!A123</f>
        <v>121</v>
      </c>
      <c r="B123" s="61">
        <f>Inicial!B123</f>
        <v>0</v>
      </c>
      <c r="C123" s="61">
        <f>Inicial!C123</f>
        <v>0</v>
      </c>
      <c r="D123" s="62">
        <f>Inicial!D123</f>
        <v>0</v>
      </c>
      <c r="E123" s="60" t="str">
        <f>IF(Inicial!K123="SI",Inicial!E123,"N/A")</f>
        <v>N/A</v>
      </c>
      <c r="F123" s="61" t="str">
        <f>IF(Inicial!K123="SI",Inicial!F123,"N/A")</f>
        <v>N/A</v>
      </c>
      <c r="G123" s="61" t="str">
        <f>IF(Inicial!K123="SI",Inicial!G123,"N/A")</f>
        <v>N/A</v>
      </c>
      <c r="H123" s="61" t="str">
        <f>IF(Inicial!K123="SI",Inicial!H123,"N/A")</f>
        <v>N/A</v>
      </c>
      <c r="I123" s="72" t="str">
        <f>IF(Inicial!K123="SI",Inicial!I123,"N/A")</f>
        <v>N/A</v>
      </c>
      <c r="K123" s="6"/>
      <c r="L123" s="6"/>
      <c r="M123" s="6"/>
      <c r="N123" s="6"/>
      <c r="O123" s="6"/>
      <c r="P123" s="97"/>
      <c r="Q123" s="93"/>
      <c r="R123" s="6"/>
      <c r="S123" s="6"/>
      <c r="T123" s="6"/>
      <c r="U123" s="6"/>
      <c r="V123" s="6"/>
      <c r="W123" s="94"/>
      <c r="X123" s="93"/>
      <c r="Y123" s="6"/>
      <c r="Z123" s="6"/>
      <c r="AA123" s="6"/>
      <c r="AB123" s="6"/>
      <c r="AC123" s="94"/>
      <c r="AD123" s="102" t="str">
        <f t="shared" si="1"/>
        <v>Aceptable</v>
      </c>
      <c r="AE123" s="6"/>
      <c r="AF123" s="6"/>
      <c r="AG123" s="6"/>
      <c r="AH123" s="6"/>
      <c r="AI123" s="6"/>
      <c r="AJ123" s="6"/>
      <c r="AK123" s="6"/>
      <c r="AL123" s="6"/>
      <c r="AM123" s="6"/>
      <c r="AN123" s="6"/>
      <c r="AO123" s="6"/>
      <c r="AP123" s="6"/>
      <c r="AQ123" s="6"/>
      <c r="AR123" s="6"/>
      <c r="AS123" s="6"/>
      <c r="AT123" s="6"/>
      <c r="AU123" s="6"/>
    </row>
    <row r="124" spans="1:47">
      <c r="A124" s="60">
        <f>Inicial!A124</f>
        <v>122</v>
      </c>
      <c r="B124" s="61">
        <f>Inicial!B124</f>
        <v>0</v>
      </c>
      <c r="C124" s="61">
        <f>Inicial!C124</f>
        <v>0</v>
      </c>
      <c r="D124" s="62">
        <f>Inicial!D124</f>
        <v>0</v>
      </c>
      <c r="E124" s="60" t="str">
        <f>IF(Inicial!K124="SI",Inicial!E124,"N/A")</f>
        <v>N/A</v>
      </c>
      <c r="F124" s="61" t="str">
        <f>IF(Inicial!K124="SI",Inicial!F124,"N/A")</f>
        <v>N/A</v>
      </c>
      <c r="G124" s="61" t="str">
        <f>IF(Inicial!K124="SI",Inicial!G124,"N/A")</f>
        <v>N/A</v>
      </c>
      <c r="H124" s="61" t="str">
        <f>IF(Inicial!K124="SI",Inicial!H124,"N/A")</f>
        <v>N/A</v>
      </c>
      <c r="I124" s="72" t="str">
        <f>IF(Inicial!K124="SI",Inicial!I124,"N/A")</f>
        <v>N/A</v>
      </c>
      <c r="K124" s="6"/>
      <c r="L124" s="6"/>
      <c r="M124" s="6"/>
      <c r="N124" s="6"/>
      <c r="O124" s="6"/>
      <c r="P124" s="97"/>
      <c r="Q124" s="93"/>
      <c r="R124" s="6"/>
      <c r="S124" s="6"/>
      <c r="T124" s="6"/>
      <c r="U124" s="6"/>
      <c r="V124" s="6"/>
      <c r="W124" s="94"/>
      <c r="X124" s="93"/>
      <c r="Y124" s="6"/>
      <c r="Z124" s="6"/>
      <c r="AA124" s="6"/>
      <c r="AB124" s="6"/>
      <c r="AC124" s="94"/>
      <c r="AD124" s="102" t="str">
        <f t="shared" si="1"/>
        <v>Aceptable</v>
      </c>
      <c r="AE124" s="6"/>
      <c r="AF124" s="6"/>
      <c r="AG124" s="6"/>
      <c r="AH124" s="6"/>
      <c r="AI124" s="6"/>
      <c r="AJ124" s="6"/>
      <c r="AK124" s="6"/>
      <c r="AL124" s="6"/>
      <c r="AM124" s="6"/>
      <c r="AN124" s="6"/>
      <c r="AO124" s="6"/>
      <c r="AP124" s="6"/>
      <c r="AQ124" s="6"/>
      <c r="AR124" s="6"/>
      <c r="AS124" s="6"/>
      <c r="AT124" s="6"/>
      <c r="AU124" s="6"/>
    </row>
    <row r="125" spans="1:47">
      <c r="A125" s="60">
        <f>Inicial!A125</f>
        <v>123</v>
      </c>
      <c r="B125" s="61">
        <f>Inicial!B125</f>
        <v>0</v>
      </c>
      <c r="C125" s="61">
        <f>Inicial!C125</f>
        <v>0</v>
      </c>
      <c r="D125" s="62">
        <f>Inicial!D125</f>
        <v>0</v>
      </c>
      <c r="E125" s="60" t="str">
        <f>IF(Inicial!K125="SI",Inicial!E125,"N/A")</f>
        <v>N/A</v>
      </c>
      <c r="F125" s="61" t="str">
        <f>IF(Inicial!K125="SI",Inicial!F125,"N/A")</f>
        <v>N/A</v>
      </c>
      <c r="G125" s="61" t="str">
        <f>IF(Inicial!K125="SI",Inicial!G125,"N/A")</f>
        <v>N/A</v>
      </c>
      <c r="H125" s="61" t="str">
        <f>IF(Inicial!K125="SI",Inicial!H125,"N/A")</f>
        <v>N/A</v>
      </c>
      <c r="I125" s="72" t="str">
        <f>IF(Inicial!K125="SI",Inicial!I125,"N/A")</f>
        <v>N/A</v>
      </c>
      <c r="K125" s="6"/>
      <c r="L125" s="6"/>
      <c r="M125" s="6"/>
      <c r="N125" s="6"/>
      <c r="O125" s="6"/>
      <c r="P125" s="97"/>
      <c r="Q125" s="93"/>
      <c r="R125" s="6"/>
      <c r="S125" s="6"/>
      <c r="T125" s="6"/>
      <c r="U125" s="6"/>
      <c r="V125" s="6"/>
      <c r="W125" s="94"/>
      <c r="X125" s="93"/>
      <c r="Y125" s="6"/>
      <c r="Z125" s="6"/>
      <c r="AA125" s="6"/>
      <c r="AB125" s="6"/>
      <c r="AC125" s="94"/>
      <c r="AD125" s="102" t="str">
        <f t="shared" si="1"/>
        <v>Aceptable</v>
      </c>
      <c r="AE125" s="6"/>
      <c r="AF125" s="6"/>
      <c r="AG125" s="6"/>
      <c r="AH125" s="6"/>
      <c r="AI125" s="6"/>
      <c r="AJ125" s="6"/>
      <c r="AK125" s="6"/>
      <c r="AL125" s="6"/>
      <c r="AM125" s="6"/>
      <c r="AN125" s="6"/>
      <c r="AO125" s="6"/>
      <c r="AP125" s="6"/>
      <c r="AQ125" s="6"/>
      <c r="AR125" s="6"/>
      <c r="AS125" s="6"/>
      <c r="AT125" s="6"/>
      <c r="AU125" s="6"/>
    </row>
    <row r="126" spans="1:47">
      <c r="A126" s="60">
        <f>Inicial!A126</f>
        <v>124</v>
      </c>
      <c r="B126" s="61">
        <f>Inicial!B126</f>
        <v>0</v>
      </c>
      <c r="C126" s="61">
        <f>Inicial!C126</f>
        <v>0</v>
      </c>
      <c r="D126" s="62">
        <f>Inicial!D126</f>
        <v>0</v>
      </c>
      <c r="E126" s="60" t="str">
        <f>IF(Inicial!K126="SI",Inicial!E126,"N/A")</f>
        <v>N/A</v>
      </c>
      <c r="F126" s="61" t="str">
        <f>IF(Inicial!K126="SI",Inicial!F126,"N/A")</f>
        <v>N/A</v>
      </c>
      <c r="G126" s="61" t="str">
        <f>IF(Inicial!K126="SI",Inicial!G126,"N/A")</f>
        <v>N/A</v>
      </c>
      <c r="H126" s="61" t="str">
        <f>IF(Inicial!K126="SI",Inicial!H126,"N/A")</f>
        <v>N/A</v>
      </c>
      <c r="I126" s="72" t="str">
        <f>IF(Inicial!K126="SI",Inicial!I126,"N/A")</f>
        <v>N/A</v>
      </c>
      <c r="K126" s="6"/>
      <c r="L126" s="6"/>
      <c r="M126" s="6"/>
      <c r="N126" s="6"/>
      <c r="O126" s="6"/>
      <c r="P126" s="97"/>
      <c r="Q126" s="93"/>
      <c r="R126" s="6"/>
      <c r="S126" s="6"/>
      <c r="T126" s="6"/>
      <c r="U126" s="6"/>
      <c r="V126" s="6"/>
      <c r="W126" s="94"/>
      <c r="X126" s="93"/>
      <c r="Y126" s="6"/>
      <c r="Z126" s="6"/>
      <c r="AA126" s="6"/>
      <c r="AB126" s="6"/>
      <c r="AC126" s="94"/>
      <c r="AD126" s="102" t="str">
        <f t="shared" si="1"/>
        <v>Aceptable</v>
      </c>
      <c r="AE126" s="6"/>
      <c r="AF126" s="6"/>
      <c r="AG126" s="6"/>
      <c r="AH126" s="6"/>
      <c r="AI126" s="6"/>
      <c r="AJ126" s="6"/>
      <c r="AK126" s="6"/>
      <c r="AL126" s="6"/>
      <c r="AM126" s="6"/>
      <c r="AN126" s="6"/>
      <c r="AO126" s="6"/>
      <c r="AP126" s="6"/>
      <c r="AQ126" s="6"/>
      <c r="AR126" s="6"/>
      <c r="AS126" s="6"/>
      <c r="AT126" s="6"/>
      <c r="AU126" s="6"/>
    </row>
    <row r="127" spans="1:47">
      <c r="A127" s="60">
        <f>Inicial!A127</f>
        <v>125</v>
      </c>
      <c r="B127" s="61">
        <f>Inicial!B127</f>
        <v>0</v>
      </c>
      <c r="C127" s="61">
        <f>Inicial!C127</f>
        <v>0</v>
      </c>
      <c r="D127" s="62">
        <f>Inicial!D127</f>
        <v>0</v>
      </c>
      <c r="E127" s="60" t="str">
        <f>IF(Inicial!K127="SI",Inicial!E127,"N/A")</f>
        <v>N/A</v>
      </c>
      <c r="F127" s="61" t="str">
        <f>IF(Inicial!K127="SI",Inicial!F127,"N/A")</f>
        <v>N/A</v>
      </c>
      <c r="G127" s="61" t="str">
        <f>IF(Inicial!K127="SI",Inicial!G127,"N/A")</f>
        <v>N/A</v>
      </c>
      <c r="H127" s="61" t="str">
        <f>IF(Inicial!K127="SI",Inicial!H127,"N/A")</f>
        <v>N/A</v>
      </c>
      <c r="I127" s="72" t="str">
        <f>IF(Inicial!K127="SI",Inicial!I127,"N/A")</f>
        <v>N/A</v>
      </c>
      <c r="K127" s="6"/>
      <c r="L127" s="6"/>
      <c r="M127" s="6"/>
      <c r="N127" s="6"/>
      <c r="O127" s="6"/>
      <c r="P127" s="97"/>
      <c r="Q127" s="93"/>
      <c r="R127" s="6"/>
      <c r="S127" s="6"/>
      <c r="T127" s="6"/>
      <c r="U127" s="6"/>
      <c r="V127" s="6"/>
      <c r="W127" s="94"/>
      <c r="X127" s="93"/>
      <c r="Y127" s="6"/>
      <c r="Z127" s="6"/>
      <c r="AA127" s="6"/>
      <c r="AB127" s="6"/>
      <c r="AC127" s="94"/>
      <c r="AD127" s="102" t="str">
        <f t="shared" si="1"/>
        <v>Aceptable</v>
      </c>
      <c r="AE127" s="6"/>
      <c r="AF127" s="6"/>
      <c r="AG127" s="6"/>
      <c r="AH127" s="6"/>
      <c r="AI127" s="6"/>
      <c r="AJ127" s="6"/>
      <c r="AK127" s="6"/>
      <c r="AL127" s="6"/>
      <c r="AM127" s="6"/>
      <c r="AN127" s="6"/>
      <c r="AO127" s="6"/>
      <c r="AP127" s="6"/>
      <c r="AQ127" s="6"/>
      <c r="AR127" s="6"/>
      <c r="AS127" s="6"/>
      <c r="AT127" s="6"/>
      <c r="AU127" s="6"/>
    </row>
    <row r="128" spans="1:47">
      <c r="A128" s="60"/>
      <c r="B128" s="61"/>
      <c r="C128" s="61"/>
      <c r="D128" s="62"/>
      <c r="E128" s="60"/>
      <c r="F128" s="61"/>
      <c r="G128" s="61"/>
      <c r="H128" s="61"/>
      <c r="I128" s="72"/>
      <c r="K128" s="6"/>
      <c r="L128" s="6"/>
      <c r="M128" s="6"/>
      <c r="N128" s="6"/>
      <c r="O128" s="6"/>
      <c r="P128" s="97"/>
      <c r="Q128" s="93"/>
      <c r="R128" s="6"/>
      <c r="S128" s="6"/>
      <c r="T128" s="6"/>
      <c r="U128" s="6"/>
      <c r="V128" s="6"/>
      <c r="W128" s="94"/>
      <c r="X128" s="93"/>
      <c r="Y128" s="6"/>
      <c r="Z128" s="6"/>
      <c r="AA128" s="6"/>
      <c r="AB128" s="6"/>
      <c r="AC128" s="94"/>
      <c r="AE128" s="6"/>
      <c r="AF128" s="6"/>
      <c r="AG128" s="6"/>
      <c r="AH128" s="6"/>
      <c r="AI128" s="6"/>
      <c r="AJ128" s="6"/>
      <c r="AK128" s="6"/>
      <c r="AL128" s="6"/>
      <c r="AM128" s="6"/>
      <c r="AN128" s="6"/>
      <c r="AO128" s="6"/>
      <c r="AP128" s="6"/>
      <c r="AQ128" s="6"/>
      <c r="AR128" s="6"/>
      <c r="AS128" s="6"/>
      <c r="AT128" s="6"/>
      <c r="AU128" s="6"/>
    </row>
    <row r="129" spans="1:47">
      <c r="A129" s="60"/>
      <c r="B129" s="61"/>
      <c r="C129" s="61"/>
      <c r="D129" s="62"/>
      <c r="E129" s="60"/>
      <c r="F129" s="61"/>
      <c r="G129" s="61"/>
      <c r="H129" s="61"/>
      <c r="I129" s="72"/>
      <c r="K129" s="6"/>
      <c r="L129" s="6"/>
      <c r="M129" s="6"/>
      <c r="N129" s="6"/>
      <c r="O129" s="6"/>
      <c r="P129" s="97"/>
      <c r="Q129" s="93"/>
      <c r="R129" s="6"/>
      <c r="S129" s="6"/>
      <c r="T129" s="6"/>
      <c r="U129" s="6"/>
      <c r="V129" s="6"/>
      <c r="W129" s="94"/>
      <c r="X129" s="93"/>
      <c r="Y129" s="6"/>
      <c r="Z129" s="6"/>
      <c r="AA129" s="6"/>
      <c r="AB129" s="6"/>
      <c r="AC129" s="94"/>
      <c r="AE129" s="6"/>
      <c r="AF129" s="6"/>
      <c r="AG129" s="6"/>
      <c r="AH129" s="6"/>
      <c r="AI129" s="6"/>
      <c r="AJ129" s="6"/>
      <c r="AK129" s="6"/>
      <c r="AL129" s="6"/>
      <c r="AM129" s="6"/>
      <c r="AN129" s="6"/>
      <c r="AO129" s="6"/>
      <c r="AP129" s="6"/>
      <c r="AQ129" s="6"/>
      <c r="AR129" s="6"/>
      <c r="AS129" s="6"/>
      <c r="AT129" s="6"/>
      <c r="AU129" s="6"/>
    </row>
    <row r="130" spans="1:47">
      <c r="A130" s="60"/>
      <c r="B130" s="61"/>
      <c r="C130" s="61"/>
      <c r="D130" s="62"/>
      <c r="E130" s="60"/>
      <c r="F130" s="61"/>
      <c r="G130" s="61"/>
      <c r="H130" s="61"/>
      <c r="I130" s="72"/>
      <c r="K130" s="6"/>
      <c r="L130" s="6"/>
      <c r="M130" s="6"/>
      <c r="N130" s="6"/>
      <c r="O130" s="6"/>
      <c r="P130" s="97"/>
      <c r="Q130" s="93"/>
      <c r="R130" s="6"/>
      <c r="S130" s="6"/>
      <c r="T130" s="6"/>
      <c r="U130" s="6"/>
      <c r="V130" s="6"/>
      <c r="W130" s="94"/>
      <c r="X130" s="93"/>
      <c r="Y130" s="6"/>
      <c r="Z130" s="6"/>
      <c r="AA130" s="6"/>
      <c r="AB130" s="6"/>
      <c r="AC130" s="94"/>
      <c r="AE130" s="6"/>
      <c r="AF130" s="6"/>
      <c r="AG130" s="6"/>
      <c r="AH130" s="6"/>
      <c r="AI130" s="6"/>
      <c r="AJ130" s="6"/>
      <c r="AK130" s="6"/>
      <c r="AL130" s="6"/>
      <c r="AM130" s="6"/>
      <c r="AN130" s="6"/>
      <c r="AO130" s="6"/>
      <c r="AP130" s="6"/>
      <c r="AQ130" s="6"/>
      <c r="AR130" s="6"/>
      <c r="AS130" s="6"/>
      <c r="AT130" s="6"/>
      <c r="AU130" s="6"/>
    </row>
    <row r="131" spans="1:47">
      <c r="A131" s="60"/>
      <c r="B131" s="61"/>
      <c r="C131" s="61"/>
      <c r="D131" s="62"/>
      <c r="E131" s="60"/>
      <c r="F131" s="61"/>
      <c r="G131" s="61"/>
      <c r="H131" s="61"/>
      <c r="I131" s="72"/>
      <c r="K131" s="6"/>
      <c r="L131" s="6"/>
      <c r="M131" s="6"/>
      <c r="N131" s="6"/>
      <c r="O131" s="6"/>
      <c r="P131" s="97"/>
      <c r="Q131" s="93"/>
      <c r="R131" s="6"/>
      <c r="S131" s="6"/>
      <c r="T131" s="6"/>
      <c r="U131" s="6"/>
      <c r="V131" s="6"/>
      <c r="W131" s="94"/>
      <c r="X131" s="93"/>
      <c r="Y131" s="6"/>
      <c r="Z131" s="6"/>
      <c r="AA131" s="6"/>
      <c r="AB131" s="6"/>
      <c r="AC131" s="94"/>
      <c r="AE131" s="6"/>
      <c r="AF131" s="6"/>
      <c r="AG131" s="6"/>
      <c r="AH131" s="6"/>
      <c r="AI131" s="6"/>
      <c r="AJ131" s="6"/>
      <c r="AK131" s="6"/>
      <c r="AL131" s="6"/>
      <c r="AM131" s="6"/>
      <c r="AN131" s="6"/>
      <c r="AO131" s="6"/>
      <c r="AP131" s="6"/>
      <c r="AQ131" s="6"/>
      <c r="AR131" s="6"/>
      <c r="AS131" s="6"/>
      <c r="AT131" s="6"/>
      <c r="AU131" s="6"/>
    </row>
    <row r="132" spans="1:47">
      <c r="A132" s="60"/>
      <c r="B132" s="61"/>
      <c r="C132" s="61"/>
      <c r="D132" s="62"/>
      <c r="E132" s="60"/>
      <c r="F132" s="61"/>
      <c r="G132" s="61"/>
      <c r="H132" s="61"/>
      <c r="I132" s="72"/>
      <c r="K132" s="6"/>
      <c r="L132" s="6"/>
      <c r="M132" s="6"/>
      <c r="N132" s="6"/>
      <c r="O132" s="6"/>
      <c r="P132" s="97"/>
      <c r="Q132" s="93"/>
      <c r="R132" s="6"/>
      <c r="S132" s="6"/>
      <c r="T132" s="6"/>
      <c r="U132" s="6"/>
      <c r="V132" s="6"/>
      <c r="W132" s="94"/>
      <c r="X132" s="93"/>
      <c r="Y132" s="6"/>
      <c r="Z132" s="6"/>
      <c r="AA132" s="6"/>
      <c r="AB132" s="6"/>
      <c r="AC132" s="94"/>
      <c r="AE132" s="6"/>
      <c r="AF132" s="6"/>
      <c r="AG132" s="6"/>
      <c r="AH132" s="6"/>
      <c r="AI132" s="6"/>
      <c r="AJ132" s="6"/>
      <c r="AK132" s="6"/>
      <c r="AL132" s="6"/>
      <c r="AM132" s="6"/>
      <c r="AN132" s="6"/>
      <c r="AO132" s="6"/>
      <c r="AP132" s="6"/>
      <c r="AQ132" s="6"/>
      <c r="AR132" s="6"/>
      <c r="AS132" s="6"/>
      <c r="AT132" s="6"/>
      <c r="AU132" s="6"/>
    </row>
    <row r="133" spans="1:47">
      <c r="A133" s="60"/>
      <c r="B133" s="61"/>
      <c r="C133" s="61"/>
      <c r="D133" s="62"/>
      <c r="E133" s="60"/>
      <c r="F133" s="61"/>
      <c r="G133" s="61"/>
      <c r="H133" s="61"/>
      <c r="I133" s="72"/>
      <c r="K133" s="6"/>
      <c r="L133" s="6"/>
      <c r="M133" s="6"/>
      <c r="N133" s="6"/>
      <c r="O133" s="6"/>
      <c r="P133" s="97"/>
      <c r="Q133" s="93"/>
      <c r="R133" s="6"/>
      <c r="S133" s="6"/>
      <c r="T133" s="6"/>
      <c r="U133" s="6"/>
      <c r="V133" s="6"/>
      <c r="W133" s="94"/>
      <c r="X133" s="93"/>
      <c r="Y133" s="6"/>
      <c r="Z133" s="6"/>
      <c r="AA133" s="6"/>
      <c r="AB133" s="6"/>
      <c r="AC133" s="94"/>
      <c r="AE133" s="6"/>
      <c r="AF133" s="6"/>
      <c r="AG133" s="6"/>
      <c r="AH133" s="6"/>
      <c r="AI133" s="6"/>
      <c r="AJ133" s="6"/>
      <c r="AK133" s="6"/>
      <c r="AL133" s="6"/>
      <c r="AM133" s="6"/>
      <c r="AN133" s="6"/>
      <c r="AO133" s="6"/>
      <c r="AP133" s="6"/>
      <c r="AQ133" s="6"/>
      <c r="AR133" s="6"/>
      <c r="AS133" s="6"/>
      <c r="AT133" s="6"/>
      <c r="AU133" s="6"/>
    </row>
    <row r="134" spans="1:47">
      <c r="A134" s="60"/>
      <c r="B134" s="61"/>
      <c r="C134" s="61"/>
      <c r="D134" s="62"/>
      <c r="E134" s="60"/>
      <c r="F134" s="61"/>
      <c r="G134" s="61"/>
      <c r="H134" s="61"/>
      <c r="I134" s="72"/>
      <c r="K134" s="6"/>
      <c r="L134" s="6"/>
      <c r="M134" s="6"/>
      <c r="N134" s="6"/>
      <c r="O134" s="6"/>
      <c r="P134" s="97"/>
      <c r="Q134" s="93"/>
      <c r="R134" s="6"/>
      <c r="S134" s="6"/>
      <c r="T134" s="6"/>
      <c r="U134" s="6"/>
      <c r="V134" s="6"/>
      <c r="W134" s="94"/>
      <c r="X134" s="93"/>
      <c r="Y134" s="6"/>
      <c r="Z134" s="6"/>
      <c r="AA134" s="6"/>
      <c r="AB134" s="6"/>
      <c r="AC134" s="94"/>
      <c r="AE134" s="6"/>
      <c r="AF134" s="6"/>
      <c r="AG134" s="6"/>
      <c r="AH134" s="6"/>
      <c r="AI134" s="6"/>
      <c r="AJ134" s="6"/>
      <c r="AK134" s="6"/>
      <c r="AL134" s="6"/>
      <c r="AM134" s="6"/>
      <c r="AN134" s="6"/>
      <c r="AO134" s="6"/>
      <c r="AP134" s="6"/>
      <c r="AQ134" s="6"/>
      <c r="AR134" s="6"/>
      <c r="AS134" s="6"/>
      <c r="AT134" s="6"/>
      <c r="AU134" s="6"/>
    </row>
    <row r="135" spans="1:47">
      <c r="A135" s="60"/>
      <c r="B135" s="61"/>
      <c r="C135" s="61"/>
      <c r="D135" s="62"/>
      <c r="E135" s="60"/>
      <c r="F135" s="61"/>
      <c r="G135" s="61"/>
      <c r="H135" s="61"/>
      <c r="I135" s="72"/>
      <c r="K135" s="6"/>
      <c r="L135" s="6"/>
      <c r="M135" s="6"/>
      <c r="N135" s="6"/>
      <c r="O135" s="6"/>
      <c r="P135" s="97"/>
      <c r="Q135" s="93"/>
      <c r="R135" s="6"/>
      <c r="S135" s="6"/>
      <c r="T135" s="6"/>
      <c r="U135" s="6"/>
      <c r="V135" s="6"/>
      <c r="W135" s="94"/>
      <c r="X135" s="93"/>
      <c r="Y135" s="6"/>
      <c r="Z135" s="6"/>
      <c r="AA135" s="6"/>
      <c r="AB135" s="6"/>
      <c r="AC135" s="94"/>
      <c r="AE135" s="6"/>
      <c r="AF135" s="6"/>
      <c r="AG135" s="6"/>
      <c r="AH135" s="6"/>
      <c r="AI135" s="6"/>
      <c r="AJ135" s="6"/>
      <c r="AK135" s="6"/>
      <c r="AL135" s="6"/>
      <c r="AM135" s="6"/>
      <c r="AN135" s="6"/>
      <c r="AO135" s="6"/>
      <c r="AP135" s="6"/>
      <c r="AQ135" s="6"/>
      <c r="AR135" s="6"/>
      <c r="AS135" s="6"/>
      <c r="AT135" s="6"/>
      <c r="AU135" s="6"/>
    </row>
    <row r="136" spans="1:47">
      <c r="A136" s="60"/>
      <c r="B136" s="61"/>
      <c r="C136" s="61"/>
      <c r="D136" s="62"/>
      <c r="E136" s="60"/>
      <c r="F136" s="61"/>
      <c r="G136" s="61"/>
      <c r="H136" s="61"/>
      <c r="I136" s="72"/>
      <c r="K136" s="6"/>
      <c r="L136" s="6"/>
      <c r="M136" s="6"/>
      <c r="N136" s="6"/>
      <c r="O136" s="6"/>
      <c r="P136" s="97"/>
      <c r="Q136" s="93"/>
      <c r="R136" s="6"/>
      <c r="S136" s="6"/>
      <c r="T136" s="6"/>
      <c r="U136" s="6"/>
      <c r="V136" s="6"/>
      <c r="W136" s="94"/>
      <c r="X136" s="93"/>
      <c r="Y136" s="6"/>
      <c r="Z136" s="6"/>
      <c r="AA136" s="6"/>
      <c r="AB136" s="6"/>
      <c r="AC136" s="94"/>
      <c r="AE136" s="6"/>
      <c r="AF136" s="6"/>
      <c r="AG136" s="6"/>
      <c r="AH136" s="6"/>
      <c r="AI136" s="6"/>
      <c r="AJ136" s="6"/>
      <c r="AK136" s="6"/>
      <c r="AL136" s="6"/>
      <c r="AM136" s="6"/>
      <c r="AN136" s="6"/>
      <c r="AO136" s="6"/>
      <c r="AP136" s="6"/>
      <c r="AQ136" s="6"/>
      <c r="AR136" s="6"/>
      <c r="AS136" s="6"/>
      <c r="AT136" s="6"/>
      <c r="AU136" s="6"/>
    </row>
    <row r="137" spans="1:47">
      <c r="A137" s="60"/>
      <c r="B137" s="61"/>
      <c r="C137" s="61"/>
      <c r="D137" s="62"/>
      <c r="E137" s="60"/>
      <c r="F137" s="61"/>
      <c r="G137" s="61"/>
      <c r="H137" s="61"/>
      <c r="I137" s="72"/>
      <c r="K137" s="6"/>
      <c r="L137" s="6"/>
      <c r="M137" s="6"/>
      <c r="N137" s="6"/>
      <c r="O137" s="6"/>
      <c r="P137" s="97"/>
      <c r="Q137" s="93"/>
      <c r="R137" s="6"/>
      <c r="S137" s="6"/>
      <c r="T137" s="6"/>
      <c r="U137" s="6"/>
      <c r="V137" s="6"/>
      <c r="W137" s="94"/>
      <c r="X137" s="93"/>
      <c r="Y137" s="6"/>
      <c r="Z137" s="6"/>
      <c r="AA137" s="6"/>
      <c r="AB137" s="6"/>
      <c r="AC137" s="94"/>
      <c r="AE137" s="6"/>
      <c r="AF137" s="6"/>
      <c r="AG137" s="6"/>
      <c r="AH137" s="6"/>
      <c r="AI137" s="6"/>
      <c r="AJ137" s="6"/>
      <c r="AK137" s="6"/>
      <c r="AL137" s="6"/>
      <c r="AM137" s="6"/>
      <c r="AN137" s="6"/>
      <c r="AO137" s="6"/>
      <c r="AP137" s="6"/>
      <c r="AQ137" s="6"/>
      <c r="AR137" s="6"/>
      <c r="AS137" s="6"/>
      <c r="AT137" s="6"/>
      <c r="AU137" s="6"/>
    </row>
    <row r="138" spans="1:47">
      <c r="A138" s="60"/>
      <c r="B138" s="61"/>
      <c r="C138" s="61"/>
      <c r="D138" s="62"/>
      <c r="E138" s="60"/>
      <c r="F138" s="61"/>
      <c r="G138" s="61"/>
      <c r="H138" s="61"/>
      <c r="I138" s="72"/>
      <c r="K138" s="6"/>
      <c r="L138" s="6"/>
      <c r="M138" s="6"/>
      <c r="N138" s="6"/>
      <c r="O138" s="6"/>
      <c r="P138" s="97"/>
      <c r="Q138" s="93"/>
      <c r="R138" s="6"/>
      <c r="S138" s="6"/>
      <c r="T138" s="6"/>
      <c r="U138" s="6"/>
      <c r="V138" s="6"/>
      <c r="W138" s="94"/>
      <c r="X138" s="93"/>
      <c r="Y138" s="6"/>
      <c r="Z138" s="6"/>
      <c r="AA138" s="6"/>
      <c r="AB138" s="6"/>
      <c r="AC138" s="94"/>
      <c r="AE138" s="6"/>
      <c r="AF138" s="6"/>
      <c r="AG138" s="6"/>
      <c r="AH138" s="6"/>
      <c r="AI138" s="6"/>
      <c r="AJ138" s="6"/>
      <c r="AK138" s="6"/>
      <c r="AL138" s="6"/>
      <c r="AM138" s="6"/>
      <c r="AN138" s="6"/>
      <c r="AO138" s="6"/>
      <c r="AP138" s="6"/>
      <c r="AQ138" s="6"/>
      <c r="AR138" s="6"/>
      <c r="AS138" s="6"/>
      <c r="AT138" s="6"/>
      <c r="AU138" s="6"/>
    </row>
    <row r="139" spans="1:47">
      <c r="A139" s="60"/>
      <c r="B139" s="61"/>
      <c r="C139" s="61"/>
      <c r="D139" s="62"/>
      <c r="E139" s="60"/>
      <c r="F139" s="61"/>
      <c r="G139" s="61"/>
      <c r="H139" s="61"/>
      <c r="I139" s="72"/>
      <c r="K139" s="6"/>
      <c r="L139" s="6"/>
      <c r="M139" s="6"/>
      <c r="N139" s="6"/>
      <c r="O139" s="6"/>
      <c r="P139" s="97"/>
      <c r="Q139" s="93"/>
      <c r="R139" s="6"/>
      <c r="S139" s="6"/>
      <c r="T139" s="6"/>
      <c r="U139" s="6"/>
      <c r="V139" s="6"/>
      <c r="W139" s="94"/>
      <c r="X139" s="93"/>
      <c r="Y139" s="6"/>
      <c r="Z139" s="6"/>
      <c r="AA139" s="6"/>
      <c r="AB139" s="6"/>
      <c r="AC139" s="94"/>
      <c r="AE139" s="6"/>
      <c r="AF139" s="6"/>
      <c r="AG139" s="6"/>
      <c r="AH139" s="6"/>
      <c r="AI139" s="6"/>
      <c r="AJ139" s="6"/>
      <c r="AK139" s="6"/>
      <c r="AL139" s="6"/>
      <c r="AM139" s="6"/>
      <c r="AN139" s="6"/>
      <c r="AO139" s="6"/>
      <c r="AP139" s="6"/>
      <c r="AQ139" s="6"/>
      <c r="AR139" s="6"/>
      <c r="AS139" s="6"/>
      <c r="AT139" s="6"/>
      <c r="AU139" s="6"/>
    </row>
    <row r="140" spans="1:47">
      <c r="A140" s="60"/>
      <c r="B140" s="61"/>
      <c r="C140" s="61"/>
      <c r="D140" s="62"/>
      <c r="E140" s="60"/>
      <c r="F140" s="61"/>
      <c r="G140" s="61"/>
      <c r="H140" s="61"/>
      <c r="I140" s="72"/>
      <c r="K140" s="6"/>
      <c r="L140" s="6"/>
      <c r="M140" s="6"/>
      <c r="N140" s="6"/>
      <c r="O140" s="6"/>
      <c r="P140" s="97"/>
      <c r="Q140" s="93"/>
      <c r="R140" s="6"/>
      <c r="S140" s="6"/>
      <c r="T140" s="6"/>
      <c r="U140" s="6"/>
      <c r="V140" s="6"/>
      <c r="W140" s="94"/>
      <c r="X140" s="93"/>
      <c r="Y140" s="6"/>
      <c r="Z140" s="6"/>
      <c r="AA140" s="6"/>
      <c r="AB140" s="6"/>
      <c r="AC140" s="94"/>
      <c r="AE140" s="6"/>
      <c r="AF140" s="6"/>
      <c r="AG140" s="6"/>
      <c r="AH140" s="6"/>
      <c r="AI140" s="6"/>
      <c r="AJ140" s="6"/>
      <c r="AK140" s="6"/>
      <c r="AL140" s="6"/>
      <c r="AM140" s="6"/>
      <c r="AN140" s="6"/>
      <c r="AO140" s="6"/>
      <c r="AP140" s="6"/>
      <c r="AQ140" s="6"/>
      <c r="AR140" s="6"/>
      <c r="AS140" s="6"/>
      <c r="AT140" s="6"/>
      <c r="AU140" s="6"/>
    </row>
    <row r="141" spans="1:47">
      <c r="A141" s="60"/>
      <c r="B141" s="61"/>
      <c r="C141" s="61"/>
      <c r="D141" s="62"/>
      <c r="E141" s="60"/>
      <c r="F141" s="61"/>
      <c r="G141" s="61"/>
      <c r="H141" s="61"/>
      <c r="I141" s="72"/>
      <c r="K141" s="6"/>
      <c r="L141" s="6"/>
      <c r="M141" s="6"/>
      <c r="N141" s="6"/>
      <c r="O141" s="6"/>
      <c r="P141" s="97"/>
      <c r="Q141" s="93"/>
      <c r="R141" s="6"/>
      <c r="S141" s="6"/>
      <c r="T141" s="6"/>
      <c r="U141" s="6"/>
      <c r="V141" s="6"/>
      <c r="W141" s="94"/>
      <c r="X141" s="93"/>
      <c r="Y141" s="6"/>
      <c r="Z141" s="6"/>
      <c r="AA141" s="6"/>
      <c r="AB141" s="6"/>
      <c r="AC141" s="94"/>
      <c r="AE141" s="6"/>
      <c r="AF141" s="6"/>
      <c r="AG141" s="6"/>
      <c r="AH141" s="6"/>
      <c r="AI141" s="6"/>
      <c r="AJ141" s="6"/>
      <c r="AK141" s="6"/>
      <c r="AL141" s="6"/>
      <c r="AM141" s="6"/>
      <c r="AN141" s="6"/>
      <c r="AO141" s="6"/>
      <c r="AP141" s="6"/>
      <c r="AQ141" s="6"/>
      <c r="AR141" s="6"/>
      <c r="AS141" s="6"/>
      <c r="AT141" s="6"/>
      <c r="AU141" s="6"/>
    </row>
    <row r="142" spans="1:47">
      <c r="A142" s="60"/>
      <c r="B142" s="61"/>
      <c r="C142" s="61"/>
      <c r="D142" s="62"/>
      <c r="E142" s="60"/>
      <c r="F142" s="61"/>
      <c r="G142" s="61"/>
      <c r="H142" s="61"/>
      <c r="I142" s="72"/>
      <c r="K142" s="6"/>
      <c r="L142" s="6"/>
      <c r="M142" s="6"/>
      <c r="N142" s="6"/>
      <c r="O142" s="6"/>
      <c r="P142" s="97"/>
      <c r="Q142" s="93"/>
      <c r="R142" s="6"/>
      <c r="S142" s="6"/>
      <c r="T142" s="6"/>
      <c r="U142" s="6"/>
      <c r="V142" s="6"/>
      <c r="W142" s="94"/>
      <c r="X142" s="93"/>
      <c r="Y142" s="6"/>
      <c r="Z142" s="6"/>
      <c r="AA142" s="6"/>
      <c r="AB142" s="6"/>
      <c r="AC142" s="94"/>
      <c r="AE142" s="6"/>
      <c r="AF142" s="6"/>
      <c r="AG142" s="6"/>
      <c r="AH142" s="6"/>
      <c r="AI142" s="6"/>
      <c r="AJ142" s="6"/>
      <c r="AK142" s="6"/>
      <c r="AL142" s="6"/>
      <c r="AM142" s="6"/>
      <c r="AN142" s="6"/>
      <c r="AO142" s="6"/>
      <c r="AP142" s="6"/>
      <c r="AQ142" s="6"/>
      <c r="AR142" s="6"/>
      <c r="AS142" s="6"/>
      <c r="AT142" s="6"/>
      <c r="AU142" s="6"/>
    </row>
    <row r="143" spans="1:47">
      <c r="A143" s="60"/>
      <c r="B143" s="61"/>
      <c r="C143" s="61"/>
      <c r="D143" s="62"/>
      <c r="E143" s="60"/>
      <c r="F143" s="61"/>
      <c r="G143" s="61"/>
      <c r="H143" s="61"/>
      <c r="I143" s="72"/>
      <c r="K143" s="6"/>
      <c r="L143" s="6"/>
      <c r="M143" s="6"/>
      <c r="N143" s="6"/>
      <c r="O143" s="6"/>
      <c r="P143" s="97"/>
      <c r="Q143" s="93"/>
      <c r="R143" s="6"/>
      <c r="S143" s="6"/>
      <c r="T143" s="6"/>
      <c r="U143" s="6"/>
      <c r="V143" s="6"/>
      <c r="W143" s="94"/>
      <c r="X143" s="93"/>
      <c r="Y143" s="6"/>
      <c r="Z143" s="6"/>
      <c r="AA143" s="6"/>
      <c r="AB143" s="6"/>
      <c r="AC143" s="94"/>
      <c r="AE143" s="6"/>
      <c r="AF143" s="6"/>
      <c r="AG143" s="6"/>
      <c r="AH143" s="6"/>
      <c r="AI143" s="6"/>
      <c r="AJ143" s="6"/>
      <c r="AK143" s="6"/>
      <c r="AL143" s="6"/>
      <c r="AM143" s="6"/>
      <c r="AN143" s="6"/>
      <c r="AO143" s="6"/>
      <c r="AP143" s="6"/>
      <c r="AQ143" s="6"/>
      <c r="AR143" s="6"/>
      <c r="AS143" s="6"/>
      <c r="AT143" s="6"/>
      <c r="AU143" s="6"/>
    </row>
    <row r="144" spans="1:47">
      <c r="A144" s="60"/>
      <c r="B144" s="61"/>
      <c r="C144" s="61"/>
      <c r="D144" s="62"/>
      <c r="E144" s="60"/>
      <c r="F144" s="61"/>
      <c r="G144" s="61"/>
      <c r="H144" s="61"/>
      <c r="I144" s="72"/>
      <c r="K144" s="6"/>
      <c r="L144" s="6"/>
      <c r="M144" s="6"/>
      <c r="N144" s="6"/>
      <c r="O144" s="6"/>
      <c r="P144" s="97"/>
      <c r="Q144" s="93"/>
      <c r="R144" s="6"/>
      <c r="S144" s="6"/>
      <c r="T144" s="6"/>
      <c r="U144" s="6"/>
      <c r="V144" s="6"/>
      <c r="W144" s="94"/>
      <c r="X144" s="93"/>
      <c r="Y144" s="6"/>
      <c r="Z144" s="6"/>
      <c r="AA144" s="6"/>
      <c r="AB144" s="6"/>
      <c r="AC144" s="94"/>
      <c r="AE144" s="6"/>
      <c r="AF144" s="6"/>
      <c r="AG144" s="6"/>
      <c r="AH144" s="6"/>
      <c r="AI144" s="6"/>
      <c r="AJ144" s="6"/>
      <c r="AK144" s="6"/>
      <c r="AL144" s="6"/>
      <c r="AM144" s="6"/>
      <c r="AN144" s="6"/>
      <c r="AO144" s="6"/>
      <c r="AP144" s="6"/>
      <c r="AQ144" s="6"/>
      <c r="AR144" s="6"/>
      <c r="AS144" s="6"/>
      <c r="AT144" s="6"/>
      <c r="AU144" s="6"/>
    </row>
    <row r="145" spans="1:47">
      <c r="A145" s="60"/>
      <c r="B145" s="61"/>
      <c r="C145" s="61"/>
      <c r="D145" s="62"/>
      <c r="E145" s="60"/>
      <c r="F145" s="61"/>
      <c r="G145" s="61"/>
      <c r="H145" s="61"/>
      <c r="I145" s="72"/>
      <c r="K145" s="6"/>
      <c r="L145" s="6"/>
      <c r="M145" s="6"/>
      <c r="N145" s="6"/>
      <c r="O145" s="6"/>
      <c r="P145" s="97"/>
      <c r="Q145" s="93"/>
      <c r="R145" s="6"/>
      <c r="S145" s="6"/>
      <c r="T145" s="6"/>
      <c r="U145" s="6"/>
      <c r="V145" s="6"/>
      <c r="W145" s="94"/>
      <c r="X145" s="93"/>
      <c r="Y145" s="6"/>
      <c r="Z145" s="6"/>
      <c r="AA145" s="6"/>
      <c r="AB145" s="6"/>
      <c r="AC145" s="94"/>
      <c r="AE145" s="6"/>
      <c r="AF145" s="6"/>
      <c r="AG145" s="6"/>
      <c r="AH145" s="6"/>
      <c r="AI145" s="6"/>
      <c r="AJ145" s="6"/>
      <c r="AK145" s="6"/>
      <c r="AL145" s="6"/>
      <c r="AM145" s="6"/>
      <c r="AN145" s="6"/>
      <c r="AO145" s="6"/>
      <c r="AP145" s="6"/>
      <c r="AQ145" s="6"/>
      <c r="AR145" s="6"/>
      <c r="AS145" s="6"/>
      <c r="AT145" s="6"/>
      <c r="AU145" s="6"/>
    </row>
    <row r="146" spans="1:47">
      <c r="A146" s="60"/>
      <c r="B146" s="61"/>
      <c r="C146" s="61"/>
      <c r="D146" s="62"/>
      <c r="E146" s="60"/>
      <c r="F146" s="61"/>
      <c r="G146" s="61"/>
      <c r="H146" s="61"/>
      <c r="I146" s="72"/>
      <c r="K146" s="6"/>
      <c r="L146" s="6"/>
      <c r="M146" s="6"/>
      <c r="N146" s="6"/>
      <c r="O146" s="6"/>
      <c r="P146" s="97"/>
      <c r="Q146" s="93"/>
      <c r="R146" s="6"/>
      <c r="S146" s="6"/>
      <c r="T146" s="6"/>
      <c r="U146" s="6"/>
      <c r="V146" s="6"/>
      <c r="W146" s="94"/>
      <c r="X146" s="93"/>
      <c r="Y146" s="6"/>
      <c r="Z146" s="6"/>
      <c r="AA146" s="6"/>
      <c r="AB146" s="6"/>
      <c r="AC146" s="94"/>
      <c r="AE146" s="6"/>
      <c r="AF146" s="6"/>
      <c r="AG146" s="6"/>
      <c r="AH146" s="6"/>
      <c r="AI146" s="6"/>
      <c r="AJ146" s="6"/>
      <c r="AK146" s="6"/>
      <c r="AL146" s="6"/>
      <c r="AM146" s="6"/>
      <c r="AN146" s="6"/>
      <c r="AO146" s="6"/>
      <c r="AP146" s="6"/>
      <c r="AQ146" s="6"/>
      <c r="AR146" s="6"/>
      <c r="AS146" s="6"/>
      <c r="AT146" s="6"/>
      <c r="AU146" s="6"/>
    </row>
    <row r="147" spans="1:47">
      <c r="A147" s="60"/>
      <c r="B147" s="61"/>
      <c r="C147" s="61"/>
      <c r="D147" s="62"/>
      <c r="E147" s="60"/>
      <c r="F147" s="61"/>
      <c r="G147" s="61"/>
      <c r="H147" s="61"/>
      <c r="I147" s="72"/>
      <c r="K147" s="6"/>
      <c r="L147" s="6"/>
      <c r="M147" s="6"/>
      <c r="N147" s="6"/>
      <c r="O147" s="6"/>
      <c r="P147" s="97"/>
      <c r="Q147" s="93"/>
      <c r="R147" s="6"/>
      <c r="S147" s="6"/>
      <c r="T147" s="6"/>
      <c r="U147" s="6"/>
      <c r="V147" s="6"/>
      <c r="W147" s="94"/>
      <c r="X147" s="93"/>
      <c r="Y147" s="6"/>
      <c r="Z147" s="6"/>
      <c r="AA147" s="6"/>
      <c r="AB147" s="6"/>
      <c r="AC147" s="94"/>
      <c r="AE147" s="6"/>
      <c r="AF147" s="6"/>
      <c r="AG147" s="6"/>
      <c r="AH147" s="6"/>
      <c r="AI147" s="6"/>
      <c r="AJ147" s="6"/>
      <c r="AK147" s="6"/>
      <c r="AL147" s="6"/>
      <c r="AM147" s="6"/>
      <c r="AN147" s="6"/>
      <c r="AO147" s="6"/>
      <c r="AP147" s="6"/>
      <c r="AQ147" s="6"/>
      <c r="AR147" s="6"/>
      <c r="AS147" s="6"/>
      <c r="AT147" s="6"/>
      <c r="AU147" s="6"/>
    </row>
    <row r="148" spans="1:47">
      <c r="A148" s="60"/>
      <c r="B148" s="61"/>
      <c r="C148" s="61"/>
      <c r="D148" s="62"/>
      <c r="E148" s="60"/>
      <c r="F148" s="61"/>
      <c r="G148" s="61"/>
      <c r="H148" s="61"/>
      <c r="I148" s="72"/>
      <c r="K148" s="6"/>
      <c r="L148" s="6"/>
      <c r="M148" s="6"/>
      <c r="N148" s="6"/>
      <c r="O148" s="6"/>
      <c r="P148" s="97"/>
      <c r="Q148" s="93"/>
      <c r="R148" s="6"/>
      <c r="S148" s="6"/>
      <c r="T148" s="6"/>
      <c r="U148" s="6"/>
      <c r="V148" s="6"/>
      <c r="W148" s="94"/>
      <c r="X148" s="93"/>
      <c r="Y148" s="6"/>
      <c r="Z148" s="6"/>
      <c r="AA148" s="6"/>
      <c r="AB148" s="6"/>
      <c r="AC148" s="94"/>
      <c r="AE148" s="6"/>
      <c r="AF148" s="6"/>
      <c r="AG148" s="6"/>
      <c r="AH148" s="6"/>
      <c r="AI148" s="6"/>
      <c r="AJ148" s="6"/>
      <c r="AK148" s="6"/>
      <c r="AL148" s="6"/>
      <c r="AM148" s="6"/>
      <c r="AN148" s="6"/>
      <c r="AO148" s="6"/>
      <c r="AP148" s="6"/>
      <c r="AQ148" s="6"/>
      <c r="AR148" s="6"/>
      <c r="AS148" s="6"/>
      <c r="AT148" s="6"/>
      <c r="AU148" s="6"/>
    </row>
    <row r="149" spans="1:47">
      <c r="A149" s="60"/>
      <c r="B149" s="61"/>
      <c r="C149" s="61"/>
      <c r="D149" s="62"/>
      <c r="E149" s="60"/>
      <c r="F149" s="61"/>
      <c r="G149" s="61"/>
      <c r="H149" s="61"/>
      <c r="I149" s="72"/>
      <c r="K149" s="6"/>
      <c r="L149" s="6"/>
      <c r="M149" s="6"/>
      <c r="N149" s="6"/>
      <c r="O149" s="6"/>
      <c r="P149" s="97"/>
      <c r="Q149" s="93"/>
      <c r="R149" s="6"/>
      <c r="S149" s="6"/>
      <c r="T149" s="6"/>
      <c r="U149" s="6"/>
      <c r="V149" s="6"/>
      <c r="W149" s="94"/>
      <c r="X149" s="93"/>
      <c r="Y149" s="6"/>
      <c r="Z149" s="6"/>
      <c r="AA149" s="6"/>
      <c r="AB149" s="6"/>
      <c r="AC149" s="94"/>
      <c r="AE149" s="6"/>
      <c r="AF149" s="6"/>
      <c r="AG149" s="6"/>
      <c r="AH149" s="6"/>
      <c r="AI149" s="6"/>
      <c r="AJ149" s="6"/>
      <c r="AK149" s="6"/>
      <c r="AL149" s="6"/>
      <c r="AM149" s="6"/>
      <c r="AN149" s="6"/>
      <c r="AO149" s="6"/>
      <c r="AP149" s="6"/>
      <c r="AQ149" s="6"/>
      <c r="AR149" s="6"/>
      <c r="AS149" s="6"/>
      <c r="AT149" s="6"/>
      <c r="AU149" s="6"/>
    </row>
    <row r="150" spans="1:47">
      <c r="A150" s="60"/>
      <c r="B150" s="61"/>
      <c r="C150" s="61"/>
      <c r="D150" s="62"/>
      <c r="E150" s="60"/>
      <c r="F150" s="61"/>
      <c r="G150" s="61"/>
      <c r="H150" s="61"/>
      <c r="I150" s="72"/>
      <c r="K150" s="6"/>
      <c r="L150" s="6"/>
      <c r="M150" s="6"/>
      <c r="N150" s="6"/>
      <c r="O150" s="6"/>
      <c r="P150" s="97"/>
      <c r="Q150" s="93"/>
      <c r="R150" s="6"/>
      <c r="S150" s="6"/>
      <c r="T150" s="6"/>
      <c r="U150" s="6"/>
      <c r="V150" s="6"/>
      <c r="W150" s="94"/>
      <c r="X150" s="93"/>
      <c r="Y150" s="6"/>
      <c r="Z150" s="6"/>
      <c r="AA150" s="6"/>
      <c r="AB150" s="6"/>
      <c r="AC150" s="94"/>
      <c r="AE150" s="6"/>
      <c r="AF150" s="6"/>
      <c r="AG150" s="6"/>
      <c r="AH150" s="6"/>
      <c r="AI150" s="6"/>
      <c r="AJ150" s="6"/>
      <c r="AK150" s="6"/>
      <c r="AL150" s="6"/>
      <c r="AM150" s="6"/>
      <c r="AN150" s="6"/>
      <c r="AO150" s="6"/>
      <c r="AP150" s="6"/>
      <c r="AQ150" s="6"/>
      <c r="AR150" s="6"/>
      <c r="AS150" s="6"/>
      <c r="AT150" s="6"/>
      <c r="AU150" s="6"/>
    </row>
    <row r="151" spans="1:47">
      <c r="A151" s="60"/>
      <c r="B151" s="61"/>
      <c r="C151" s="61"/>
      <c r="D151" s="62"/>
      <c r="E151" s="60"/>
      <c r="F151" s="61"/>
      <c r="G151" s="61"/>
      <c r="H151" s="61"/>
      <c r="I151" s="72"/>
      <c r="K151" s="6"/>
      <c r="L151" s="6"/>
      <c r="M151" s="6"/>
      <c r="N151" s="6"/>
      <c r="O151" s="6"/>
      <c r="P151" s="97"/>
      <c r="Q151" s="93"/>
      <c r="R151" s="6"/>
      <c r="S151" s="6"/>
      <c r="T151" s="6"/>
      <c r="U151" s="6"/>
      <c r="V151" s="6"/>
      <c r="W151" s="94"/>
      <c r="X151" s="93"/>
      <c r="Y151" s="6"/>
      <c r="Z151" s="6"/>
      <c r="AA151" s="6"/>
      <c r="AB151" s="6"/>
      <c r="AC151" s="94"/>
      <c r="AE151" s="6"/>
      <c r="AF151" s="6"/>
      <c r="AG151" s="6"/>
      <c r="AH151" s="6"/>
      <c r="AI151" s="6"/>
      <c r="AJ151" s="6"/>
      <c r="AK151" s="6"/>
      <c r="AL151" s="6"/>
      <c r="AM151" s="6"/>
      <c r="AN151" s="6"/>
      <c r="AO151" s="6"/>
      <c r="AP151" s="6"/>
      <c r="AQ151" s="6"/>
      <c r="AR151" s="6"/>
      <c r="AS151" s="6"/>
      <c r="AT151" s="6"/>
      <c r="AU151" s="6"/>
    </row>
    <row r="152" spans="1:47">
      <c r="A152" s="60"/>
      <c r="B152" s="61"/>
      <c r="C152" s="61"/>
      <c r="D152" s="62"/>
      <c r="E152" s="60"/>
      <c r="F152" s="61"/>
      <c r="G152" s="61"/>
      <c r="H152" s="61"/>
      <c r="I152" s="72"/>
      <c r="K152" s="6"/>
      <c r="L152" s="6"/>
      <c r="M152" s="6"/>
      <c r="N152" s="6"/>
      <c r="O152" s="6"/>
      <c r="P152" s="97"/>
      <c r="Q152" s="93"/>
      <c r="R152" s="6"/>
      <c r="S152" s="6"/>
      <c r="T152" s="6"/>
      <c r="U152" s="6"/>
      <c r="V152" s="6"/>
      <c r="W152" s="94"/>
      <c r="X152" s="93"/>
      <c r="Y152" s="6"/>
      <c r="Z152" s="6"/>
      <c r="AA152" s="6"/>
      <c r="AB152" s="6"/>
      <c r="AC152" s="94"/>
      <c r="AE152" s="6"/>
      <c r="AF152" s="6"/>
      <c r="AG152" s="6"/>
      <c r="AH152" s="6"/>
      <c r="AI152" s="6"/>
      <c r="AJ152" s="6"/>
      <c r="AK152" s="6"/>
      <c r="AL152" s="6"/>
      <c r="AM152" s="6"/>
      <c r="AN152" s="6"/>
      <c r="AO152" s="6"/>
      <c r="AP152" s="6"/>
      <c r="AQ152" s="6"/>
      <c r="AR152" s="6"/>
      <c r="AS152" s="6"/>
      <c r="AT152" s="6"/>
      <c r="AU152" s="6"/>
    </row>
    <row r="153" spans="1:47">
      <c r="A153" s="60"/>
      <c r="B153" s="61"/>
      <c r="C153" s="61"/>
      <c r="D153" s="62"/>
      <c r="E153" s="60"/>
      <c r="F153" s="61"/>
      <c r="G153" s="61"/>
      <c r="H153" s="61"/>
      <c r="I153" s="72"/>
      <c r="K153" s="6"/>
      <c r="L153" s="6"/>
      <c r="M153" s="6"/>
      <c r="N153" s="6"/>
      <c r="O153" s="6"/>
      <c r="P153" s="97"/>
      <c r="Q153" s="93"/>
      <c r="R153" s="6"/>
      <c r="S153" s="6"/>
      <c r="T153" s="6"/>
      <c r="U153" s="6"/>
      <c r="V153" s="6"/>
      <c r="W153" s="94"/>
      <c r="X153" s="93"/>
      <c r="Y153" s="6"/>
      <c r="Z153" s="6"/>
      <c r="AA153" s="6"/>
      <c r="AB153" s="6"/>
      <c r="AC153" s="94"/>
      <c r="AE153" s="6"/>
      <c r="AF153" s="6"/>
      <c r="AG153" s="6"/>
      <c r="AH153" s="6"/>
      <c r="AI153" s="6"/>
      <c r="AJ153" s="6"/>
      <c r="AK153" s="6"/>
      <c r="AL153" s="6"/>
      <c r="AM153" s="6"/>
      <c r="AN153" s="6"/>
      <c r="AO153" s="6"/>
      <c r="AP153" s="6"/>
      <c r="AQ153" s="6"/>
      <c r="AR153" s="6"/>
      <c r="AS153" s="6"/>
      <c r="AT153" s="6"/>
      <c r="AU153" s="6"/>
    </row>
    <row r="154" spans="1:47">
      <c r="A154" s="60"/>
      <c r="B154" s="61"/>
      <c r="C154" s="61"/>
      <c r="D154" s="62"/>
      <c r="E154" s="60"/>
      <c r="F154" s="61"/>
      <c r="G154" s="61"/>
      <c r="H154" s="61"/>
      <c r="I154" s="72"/>
      <c r="K154" s="6"/>
      <c r="L154" s="6"/>
      <c r="M154" s="6"/>
      <c r="N154" s="6"/>
      <c r="O154" s="6"/>
      <c r="P154" s="97"/>
      <c r="Q154" s="93"/>
      <c r="R154" s="6"/>
      <c r="S154" s="6"/>
      <c r="T154" s="6"/>
      <c r="U154" s="6"/>
      <c r="V154" s="6"/>
      <c r="W154" s="94"/>
      <c r="X154" s="93"/>
      <c r="Y154" s="6"/>
      <c r="Z154" s="6"/>
      <c r="AA154" s="6"/>
      <c r="AB154" s="6"/>
      <c r="AC154" s="94"/>
      <c r="AE154" s="6"/>
      <c r="AF154" s="6"/>
      <c r="AG154" s="6"/>
      <c r="AH154" s="6"/>
      <c r="AI154" s="6"/>
      <c r="AJ154" s="6"/>
      <c r="AK154" s="6"/>
      <c r="AL154" s="6"/>
      <c r="AM154" s="6"/>
      <c r="AN154" s="6"/>
      <c r="AO154" s="6"/>
      <c r="AP154" s="6"/>
      <c r="AQ154" s="6"/>
      <c r="AR154" s="6"/>
      <c r="AS154" s="6"/>
      <c r="AT154" s="6"/>
      <c r="AU154" s="6"/>
    </row>
    <row r="155" spans="1:47">
      <c r="A155" s="60"/>
      <c r="B155" s="61"/>
      <c r="C155" s="61"/>
      <c r="D155" s="62"/>
      <c r="E155" s="60"/>
      <c r="F155" s="61"/>
      <c r="G155" s="61"/>
      <c r="H155" s="61"/>
      <c r="I155" s="72"/>
      <c r="K155" s="6"/>
      <c r="L155" s="6"/>
      <c r="M155" s="6"/>
      <c r="N155" s="6"/>
      <c r="O155" s="6"/>
      <c r="P155" s="97"/>
      <c r="Q155" s="93"/>
      <c r="R155" s="6"/>
      <c r="S155" s="6"/>
      <c r="T155" s="6"/>
      <c r="U155" s="6"/>
      <c r="V155" s="6"/>
      <c r="W155" s="94"/>
      <c r="X155" s="93"/>
      <c r="Y155" s="6"/>
      <c r="Z155" s="6"/>
      <c r="AA155" s="6"/>
      <c r="AB155" s="6"/>
      <c r="AC155" s="94"/>
      <c r="AE155" s="6"/>
      <c r="AF155" s="6"/>
      <c r="AG155" s="6"/>
      <c r="AH155" s="6"/>
      <c r="AI155" s="6"/>
      <c r="AJ155" s="6"/>
      <c r="AK155" s="6"/>
      <c r="AL155" s="6"/>
      <c r="AM155" s="6"/>
      <c r="AN155" s="6"/>
      <c r="AO155" s="6"/>
      <c r="AP155" s="6"/>
      <c r="AQ155" s="6"/>
      <c r="AR155" s="6"/>
      <c r="AS155" s="6"/>
      <c r="AT155" s="6"/>
      <c r="AU155" s="6"/>
    </row>
    <row r="156" spans="1:47">
      <c r="A156" s="60"/>
      <c r="B156" s="61"/>
      <c r="C156" s="61"/>
      <c r="D156" s="62"/>
      <c r="E156" s="60"/>
      <c r="F156" s="61"/>
      <c r="G156" s="61"/>
      <c r="H156" s="61"/>
      <c r="I156" s="72"/>
      <c r="K156" s="6"/>
      <c r="L156" s="6"/>
      <c r="M156" s="6"/>
      <c r="N156" s="6"/>
      <c r="O156" s="6"/>
      <c r="P156" s="97"/>
      <c r="Q156" s="93"/>
      <c r="R156" s="6"/>
      <c r="S156" s="6"/>
      <c r="T156" s="6"/>
      <c r="U156" s="6"/>
      <c r="V156" s="6"/>
      <c r="W156" s="94"/>
      <c r="X156" s="93"/>
      <c r="Y156" s="6"/>
      <c r="Z156" s="6"/>
      <c r="AA156" s="6"/>
      <c r="AB156" s="6"/>
      <c r="AC156" s="94"/>
      <c r="AE156" s="6"/>
      <c r="AF156" s="6"/>
      <c r="AG156" s="6"/>
      <c r="AH156" s="6"/>
      <c r="AI156" s="6"/>
      <c r="AJ156" s="6"/>
      <c r="AK156" s="6"/>
      <c r="AL156" s="6"/>
      <c r="AM156" s="6"/>
      <c r="AN156" s="6"/>
      <c r="AO156" s="6"/>
      <c r="AP156" s="6"/>
      <c r="AQ156" s="6"/>
      <c r="AR156" s="6"/>
      <c r="AS156" s="6"/>
      <c r="AT156" s="6"/>
      <c r="AU156" s="6"/>
    </row>
    <row r="157" spans="1:47">
      <c r="A157" s="60"/>
      <c r="B157" s="61"/>
      <c r="C157" s="61"/>
      <c r="D157" s="62"/>
      <c r="E157" s="60"/>
      <c r="F157" s="61"/>
      <c r="G157" s="61"/>
      <c r="H157" s="61"/>
      <c r="I157" s="72"/>
      <c r="K157" s="6"/>
      <c r="L157" s="6"/>
      <c r="M157" s="6"/>
      <c r="N157" s="6"/>
      <c r="O157" s="6"/>
      <c r="P157" s="97"/>
      <c r="Q157" s="93"/>
      <c r="R157" s="6"/>
      <c r="S157" s="6"/>
      <c r="T157" s="6"/>
      <c r="U157" s="6"/>
      <c r="V157" s="6"/>
      <c r="W157" s="94"/>
      <c r="X157" s="93"/>
      <c r="Y157" s="6"/>
      <c r="Z157" s="6"/>
      <c r="AA157" s="6"/>
      <c r="AB157" s="6"/>
      <c r="AC157" s="94"/>
      <c r="AE157" s="6"/>
      <c r="AF157" s="6"/>
      <c r="AG157" s="6"/>
      <c r="AH157" s="6"/>
      <c r="AI157" s="6"/>
      <c r="AJ157" s="6"/>
      <c r="AK157" s="6"/>
      <c r="AL157" s="6"/>
      <c r="AM157" s="6"/>
      <c r="AN157" s="6"/>
      <c r="AO157" s="6"/>
      <c r="AP157" s="6"/>
      <c r="AQ157" s="6"/>
      <c r="AR157" s="6"/>
      <c r="AS157" s="6"/>
      <c r="AT157" s="6"/>
      <c r="AU157" s="6"/>
    </row>
    <row r="158" spans="1:47">
      <c r="A158" s="60"/>
      <c r="B158" s="61"/>
      <c r="C158" s="61"/>
      <c r="D158" s="62"/>
      <c r="E158" s="60"/>
      <c r="F158" s="61"/>
      <c r="G158" s="61"/>
      <c r="H158" s="61"/>
      <c r="I158" s="72"/>
      <c r="K158" s="6"/>
      <c r="L158" s="6"/>
      <c r="M158" s="6"/>
      <c r="N158" s="6"/>
      <c r="O158" s="6"/>
      <c r="P158" s="97"/>
      <c r="Q158" s="93"/>
      <c r="R158" s="6"/>
      <c r="S158" s="6"/>
      <c r="T158" s="6"/>
      <c r="U158" s="6"/>
      <c r="V158" s="6"/>
      <c r="W158" s="94"/>
      <c r="X158" s="93"/>
      <c r="Y158" s="6"/>
      <c r="Z158" s="6"/>
      <c r="AA158" s="6"/>
      <c r="AB158" s="6"/>
      <c r="AC158" s="94"/>
      <c r="AE158" s="6"/>
      <c r="AF158" s="6"/>
      <c r="AG158" s="6"/>
      <c r="AH158" s="6"/>
      <c r="AI158" s="6"/>
      <c r="AJ158" s="6"/>
      <c r="AK158" s="6"/>
      <c r="AL158" s="6"/>
      <c r="AM158" s="6"/>
      <c r="AN158" s="6"/>
      <c r="AO158" s="6"/>
      <c r="AP158" s="6"/>
      <c r="AQ158" s="6"/>
      <c r="AR158" s="6"/>
      <c r="AS158" s="6"/>
      <c r="AT158" s="6"/>
      <c r="AU158" s="6"/>
    </row>
    <row r="159" spans="1:47">
      <c r="A159" s="60"/>
      <c r="B159" s="61"/>
      <c r="C159" s="61"/>
      <c r="D159" s="62"/>
      <c r="E159" s="60"/>
      <c r="F159" s="61"/>
      <c r="G159" s="61"/>
      <c r="H159" s="61"/>
      <c r="I159" s="72"/>
      <c r="K159" s="6"/>
      <c r="L159" s="6"/>
      <c r="M159" s="6"/>
      <c r="N159" s="6"/>
      <c r="O159" s="6"/>
      <c r="P159" s="97"/>
      <c r="Q159" s="93"/>
      <c r="R159" s="6"/>
      <c r="S159" s="6"/>
      <c r="T159" s="6"/>
      <c r="U159" s="6"/>
      <c r="V159" s="6"/>
      <c r="W159" s="94"/>
      <c r="X159" s="93"/>
      <c r="Y159" s="6"/>
      <c r="Z159" s="6"/>
      <c r="AA159" s="6"/>
      <c r="AB159" s="6"/>
      <c r="AC159" s="94"/>
      <c r="AE159" s="6"/>
      <c r="AF159" s="6"/>
      <c r="AG159" s="6"/>
      <c r="AH159" s="6"/>
      <c r="AI159" s="6"/>
      <c r="AJ159" s="6"/>
      <c r="AK159" s="6"/>
      <c r="AL159" s="6"/>
      <c r="AM159" s="6"/>
      <c r="AN159" s="6"/>
      <c r="AO159" s="6"/>
      <c r="AP159" s="6"/>
      <c r="AQ159" s="6"/>
      <c r="AR159" s="6"/>
      <c r="AS159" s="6"/>
      <c r="AT159" s="6"/>
      <c r="AU159" s="6"/>
    </row>
    <row r="160" spans="1:47">
      <c r="A160" s="60"/>
      <c r="B160" s="61"/>
      <c r="C160" s="61"/>
      <c r="D160" s="62"/>
      <c r="E160" s="60"/>
      <c r="F160" s="61"/>
      <c r="G160" s="61"/>
      <c r="H160" s="61"/>
      <c r="I160" s="72"/>
      <c r="K160" s="6"/>
      <c r="L160" s="6"/>
      <c r="M160" s="6"/>
      <c r="N160" s="6"/>
      <c r="O160" s="6"/>
      <c r="P160" s="97"/>
      <c r="Q160" s="93"/>
      <c r="R160" s="6"/>
      <c r="S160" s="6"/>
      <c r="T160" s="6"/>
      <c r="U160" s="6"/>
      <c r="V160" s="6"/>
      <c r="W160" s="94"/>
      <c r="X160" s="93"/>
      <c r="Y160" s="6"/>
      <c r="Z160" s="6"/>
      <c r="AA160" s="6"/>
      <c r="AB160" s="6"/>
      <c r="AC160" s="94"/>
      <c r="AE160" s="6"/>
      <c r="AF160" s="6"/>
      <c r="AG160" s="6"/>
      <c r="AH160" s="6"/>
      <c r="AI160" s="6"/>
      <c r="AJ160" s="6"/>
      <c r="AK160" s="6"/>
      <c r="AL160" s="6"/>
      <c r="AM160" s="6"/>
      <c r="AN160" s="6"/>
      <c r="AO160" s="6"/>
      <c r="AP160" s="6"/>
      <c r="AQ160" s="6"/>
      <c r="AR160" s="6"/>
      <c r="AS160" s="6"/>
      <c r="AT160" s="6"/>
      <c r="AU160" s="6"/>
    </row>
    <row r="161" spans="1:47">
      <c r="A161" s="60"/>
      <c r="B161" s="61"/>
      <c r="C161" s="61"/>
      <c r="D161" s="62"/>
      <c r="E161" s="60"/>
      <c r="F161" s="61"/>
      <c r="G161" s="61"/>
      <c r="H161" s="61"/>
      <c r="I161" s="72"/>
      <c r="K161" s="6"/>
      <c r="L161" s="6"/>
      <c r="M161" s="6"/>
      <c r="N161" s="6"/>
      <c r="O161" s="6"/>
      <c r="P161" s="97"/>
      <c r="Q161" s="93"/>
      <c r="R161" s="6"/>
      <c r="S161" s="6"/>
      <c r="T161" s="6"/>
      <c r="U161" s="6"/>
      <c r="V161" s="6"/>
      <c r="W161" s="94"/>
      <c r="X161" s="93"/>
      <c r="Y161" s="6"/>
      <c r="Z161" s="6"/>
      <c r="AA161" s="6"/>
      <c r="AB161" s="6"/>
      <c r="AC161" s="94"/>
      <c r="AE161" s="6"/>
      <c r="AF161" s="6"/>
      <c r="AG161" s="6"/>
      <c r="AH161" s="6"/>
      <c r="AI161" s="6"/>
      <c r="AJ161" s="6"/>
      <c r="AK161" s="6"/>
      <c r="AL161" s="6"/>
      <c r="AM161" s="6"/>
      <c r="AN161" s="6"/>
      <c r="AO161" s="6"/>
      <c r="AP161" s="6"/>
      <c r="AQ161" s="6"/>
      <c r="AR161" s="6"/>
      <c r="AS161" s="6"/>
      <c r="AT161" s="6"/>
      <c r="AU161" s="6"/>
    </row>
    <row r="162" spans="1:47">
      <c r="A162" s="60"/>
      <c r="B162" s="61"/>
      <c r="C162" s="61"/>
      <c r="D162" s="62"/>
      <c r="E162" s="60"/>
      <c r="F162" s="61"/>
      <c r="G162" s="61"/>
      <c r="H162" s="61"/>
      <c r="I162" s="72"/>
      <c r="K162" s="6"/>
      <c r="L162" s="6"/>
      <c r="M162" s="6"/>
      <c r="N162" s="6"/>
      <c r="O162" s="6"/>
      <c r="P162" s="97"/>
      <c r="Q162" s="93"/>
      <c r="R162" s="6"/>
      <c r="S162" s="6"/>
      <c r="T162" s="6"/>
      <c r="U162" s="6"/>
      <c r="V162" s="6"/>
      <c r="W162" s="94"/>
      <c r="X162" s="93"/>
      <c r="Y162" s="6"/>
      <c r="Z162" s="6"/>
      <c r="AA162" s="6"/>
      <c r="AB162" s="6"/>
      <c r="AC162" s="94"/>
      <c r="AE162" s="6"/>
      <c r="AF162" s="6"/>
      <c r="AG162" s="6"/>
      <c r="AH162" s="6"/>
      <c r="AI162" s="6"/>
      <c r="AJ162" s="6"/>
      <c r="AK162" s="6"/>
      <c r="AL162" s="6"/>
      <c r="AM162" s="6"/>
      <c r="AN162" s="6"/>
      <c r="AO162" s="6"/>
      <c r="AP162" s="6"/>
      <c r="AQ162" s="6"/>
      <c r="AR162" s="6"/>
      <c r="AS162" s="6"/>
      <c r="AT162" s="6"/>
      <c r="AU162" s="6"/>
    </row>
    <row r="163" spans="1:47">
      <c r="A163" s="60"/>
      <c r="B163" s="61"/>
      <c r="C163" s="61"/>
      <c r="D163" s="62"/>
      <c r="E163" s="60"/>
      <c r="F163" s="61"/>
      <c r="G163" s="61"/>
      <c r="H163" s="61"/>
      <c r="I163" s="72"/>
      <c r="K163" s="6"/>
      <c r="L163" s="6"/>
      <c r="M163" s="6"/>
      <c r="N163" s="6"/>
      <c r="O163" s="6"/>
      <c r="P163" s="97"/>
      <c r="Q163" s="93"/>
      <c r="R163" s="6"/>
      <c r="S163" s="6"/>
      <c r="T163" s="6"/>
      <c r="U163" s="6"/>
      <c r="V163" s="6"/>
      <c r="W163" s="94"/>
      <c r="X163" s="93"/>
      <c r="Y163" s="6"/>
      <c r="Z163" s="6"/>
      <c r="AA163" s="6"/>
      <c r="AB163" s="6"/>
      <c r="AC163" s="94"/>
      <c r="AE163" s="6"/>
      <c r="AF163" s="6"/>
      <c r="AG163" s="6"/>
      <c r="AH163" s="6"/>
      <c r="AI163" s="6"/>
      <c r="AJ163" s="6"/>
      <c r="AK163" s="6"/>
      <c r="AL163" s="6"/>
      <c r="AM163" s="6"/>
      <c r="AN163" s="6"/>
      <c r="AO163" s="6"/>
      <c r="AP163" s="6"/>
      <c r="AQ163" s="6"/>
      <c r="AR163" s="6"/>
      <c r="AS163" s="6"/>
      <c r="AT163" s="6"/>
      <c r="AU163" s="6"/>
    </row>
    <row r="164" spans="1:47">
      <c r="A164" s="60"/>
      <c r="B164" s="61"/>
      <c r="C164" s="61"/>
      <c r="D164" s="62"/>
      <c r="E164" s="60"/>
      <c r="F164" s="61"/>
      <c r="G164" s="61"/>
      <c r="H164" s="61"/>
      <c r="I164" s="72"/>
      <c r="K164" s="6"/>
      <c r="L164" s="6"/>
      <c r="M164" s="6"/>
      <c r="N164" s="6"/>
      <c r="O164" s="6"/>
      <c r="P164" s="97"/>
      <c r="Q164" s="93"/>
      <c r="R164" s="6"/>
      <c r="S164" s="6"/>
      <c r="T164" s="6"/>
      <c r="U164" s="6"/>
      <c r="V164" s="6"/>
      <c r="W164" s="94"/>
      <c r="X164" s="93"/>
      <c r="Y164" s="6"/>
      <c r="Z164" s="6"/>
      <c r="AA164" s="6"/>
      <c r="AB164" s="6"/>
      <c r="AC164" s="94"/>
      <c r="AE164" s="6"/>
      <c r="AF164" s="6"/>
      <c r="AG164" s="6"/>
      <c r="AH164" s="6"/>
      <c r="AI164" s="6"/>
      <c r="AJ164" s="6"/>
      <c r="AK164" s="6"/>
      <c r="AL164" s="6"/>
      <c r="AM164" s="6"/>
      <c r="AN164" s="6"/>
      <c r="AO164" s="6"/>
      <c r="AP164" s="6"/>
      <c r="AQ164" s="6"/>
      <c r="AR164" s="6"/>
      <c r="AS164" s="6"/>
      <c r="AT164" s="6"/>
      <c r="AU164" s="6"/>
    </row>
    <row r="165" spans="1:47">
      <c r="A165" s="60"/>
      <c r="B165" s="61"/>
      <c r="C165" s="61"/>
      <c r="D165" s="62"/>
      <c r="E165" s="60"/>
      <c r="F165" s="61"/>
      <c r="G165" s="61"/>
      <c r="H165" s="61"/>
      <c r="I165" s="72"/>
      <c r="K165" s="6"/>
      <c r="L165" s="6"/>
      <c r="M165" s="6"/>
      <c r="N165" s="6"/>
      <c r="O165" s="6"/>
      <c r="P165" s="97"/>
      <c r="Q165" s="93"/>
      <c r="R165" s="6"/>
      <c r="S165" s="6"/>
      <c r="T165" s="6"/>
      <c r="U165" s="6"/>
      <c r="V165" s="6"/>
      <c r="W165" s="94"/>
      <c r="X165" s="93"/>
      <c r="Y165" s="6"/>
      <c r="Z165" s="6"/>
      <c r="AA165" s="6"/>
      <c r="AB165" s="6"/>
      <c r="AC165" s="94"/>
      <c r="AE165" s="6"/>
      <c r="AF165" s="6"/>
      <c r="AG165" s="6"/>
      <c r="AH165" s="6"/>
      <c r="AI165" s="6"/>
      <c r="AJ165" s="6"/>
      <c r="AK165" s="6"/>
      <c r="AL165" s="6"/>
      <c r="AM165" s="6"/>
      <c r="AN165" s="6"/>
      <c r="AO165" s="6"/>
      <c r="AP165" s="6"/>
      <c r="AQ165" s="6"/>
      <c r="AR165" s="6"/>
      <c r="AS165" s="6"/>
      <c r="AT165" s="6"/>
      <c r="AU165" s="6"/>
    </row>
    <row r="166" spans="1:47">
      <c r="A166" s="60"/>
      <c r="B166" s="61"/>
      <c r="C166" s="61"/>
      <c r="D166" s="62"/>
      <c r="E166" s="60"/>
      <c r="F166" s="61"/>
      <c r="G166" s="61"/>
      <c r="H166" s="61"/>
      <c r="I166" s="72"/>
      <c r="K166" s="6"/>
      <c r="L166" s="6"/>
      <c r="M166" s="6"/>
      <c r="N166" s="6"/>
      <c r="O166" s="6"/>
      <c r="P166" s="97"/>
      <c r="Q166" s="93"/>
      <c r="R166" s="6"/>
      <c r="S166" s="6"/>
      <c r="T166" s="6"/>
      <c r="U166" s="6"/>
      <c r="V166" s="6"/>
      <c r="W166" s="94"/>
      <c r="X166" s="93"/>
      <c r="Y166" s="6"/>
      <c r="Z166" s="6"/>
      <c r="AA166" s="6"/>
      <c r="AB166" s="6"/>
      <c r="AC166" s="94"/>
      <c r="AE166" s="6"/>
      <c r="AF166" s="6"/>
      <c r="AG166" s="6"/>
      <c r="AH166" s="6"/>
      <c r="AI166" s="6"/>
      <c r="AJ166" s="6"/>
      <c r="AK166" s="6"/>
      <c r="AL166" s="6"/>
      <c r="AM166" s="6"/>
      <c r="AN166" s="6"/>
      <c r="AO166" s="6"/>
      <c r="AP166" s="6"/>
      <c r="AQ166" s="6"/>
      <c r="AR166" s="6"/>
      <c r="AS166" s="6"/>
      <c r="AT166" s="6"/>
      <c r="AU166" s="6"/>
    </row>
    <row r="167" spans="1:47">
      <c r="A167" s="60"/>
      <c r="B167" s="61"/>
      <c r="C167" s="61"/>
      <c r="D167" s="62"/>
      <c r="E167" s="60"/>
      <c r="F167" s="61"/>
      <c r="G167" s="61"/>
      <c r="H167" s="61"/>
      <c r="I167" s="72"/>
      <c r="K167" s="6"/>
      <c r="L167" s="6"/>
      <c r="M167" s="6"/>
      <c r="N167" s="6"/>
      <c r="O167" s="6"/>
      <c r="P167" s="97"/>
      <c r="Q167" s="93"/>
      <c r="R167" s="6"/>
      <c r="S167" s="6"/>
      <c r="T167" s="6"/>
      <c r="U167" s="6"/>
      <c r="V167" s="6"/>
      <c r="W167" s="94"/>
      <c r="X167" s="93"/>
      <c r="Y167" s="6"/>
      <c r="Z167" s="6"/>
      <c r="AA167" s="6"/>
      <c r="AB167" s="6"/>
      <c r="AC167" s="94"/>
      <c r="AE167" s="6"/>
      <c r="AF167" s="6"/>
      <c r="AG167" s="6"/>
      <c r="AH167" s="6"/>
      <c r="AI167" s="6"/>
      <c r="AJ167" s="6"/>
      <c r="AK167" s="6"/>
      <c r="AL167" s="6"/>
      <c r="AM167" s="6"/>
      <c r="AN167" s="6"/>
      <c r="AO167" s="6"/>
      <c r="AP167" s="6"/>
      <c r="AQ167" s="6"/>
      <c r="AR167" s="6"/>
      <c r="AS167" s="6"/>
      <c r="AT167" s="6"/>
      <c r="AU167" s="6"/>
    </row>
    <row r="168" spans="1:47">
      <c r="A168" s="60"/>
      <c r="B168" s="61"/>
      <c r="C168" s="61"/>
      <c r="D168" s="62"/>
      <c r="E168" s="60"/>
      <c r="F168" s="61"/>
      <c r="G168" s="61"/>
      <c r="H168" s="61"/>
      <c r="I168" s="72"/>
      <c r="K168" s="6"/>
      <c r="L168" s="6"/>
      <c r="M168" s="6"/>
      <c r="N168" s="6"/>
      <c r="O168" s="6"/>
      <c r="P168" s="97"/>
      <c r="Q168" s="93"/>
      <c r="R168" s="6"/>
      <c r="S168" s="6"/>
      <c r="T168" s="6"/>
      <c r="U168" s="6"/>
      <c r="V168" s="6"/>
      <c r="W168" s="94"/>
      <c r="X168" s="93"/>
      <c r="Y168" s="6"/>
      <c r="Z168" s="6"/>
      <c r="AA168" s="6"/>
      <c r="AB168" s="6"/>
      <c r="AC168" s="94"/>
      <c r="AE168" s="6"/>
      <c r="AF168" s="6"/>
      <c r="AG168" s="6"/>
      <c r="AH168" s="6"/>
      <c r="AI168" s="6"/>
      <c r="AJ168" s="6"/>
      <c r="AK168" s="6"/>
      <c r="AL168" s="6"/>
      <c r="AM168" s="6"/>
      <c r="AN168" s="6"/>
      <c r="AO168" s="6"/>
      <c r="AP168" s="6"/>
      <c r="AQ168" s="6"/>
      <c r="AR168" s="6"/>
      <c r="AS168" s="6"/>
      <c r="AT168" s="6"/>
      <c r="AU168" s="6"/>
    </row>
    <row r="169" spans="1:47">
      <c r="A169" s="60"/>
      <c r="B169" s="61"/>
      <c r="C169" s="61"/>
      <c r="D169" s="62"/>
      <c r="E169" s="60"/>
      <c r="F169" s="61"/>
      <c r="G169" s="61"/>
      <c r="H169" s="61"/>
      <c r="I169" s="72"/>
      <c r="K169" s="6"/>
      <c r="L169" s="6"/>
      <c r="M169" s="6"/>
      <c r="N169" s="6"/>
      <c r="O169" s="6"/>
      <c r="P169" s="97"/>
      <c r="Q169" s="93"/>
      <c r="R169" s="6"/>
      <c r="S169" s="6"/>
      <c r="T169" s="6"/>
      <c r="U169" s="6"/>
      <c r="V169" s="6"/>
      <c r="W169" s="94"/>
      <c r="X169" s="93"/>
      <c r="Y169" s="6"/>
      <c r="Z169" s="6"/>
      <c r="AA169" s="6"/>
      <c r="AB169" s="6"/>
      <c r="AC169" s="94"/>
      <c r="AE169" s="6"/>
      <c r="AF169" s="6"/>
      <c r="AG169" s="6"/>
      <c r="AH169" s="6"/>
      <c r="AI169" s="6"/>
      <c r="AJ169" s="6"/>
      <c r="AK169" s="6"/>
      <c r="AL169" s="6"/>
      <c r="AM169" s="6"/>
      <c r="AN169" s="6"/>
      <c r="AO169" s="6"/>
      <c r="AP169" s="6"/>
      <c r="AQ169" s="6"/>
      <c r="AR169" s="6"/>
      <c r="AS169" s="6"/>
      <c r="AT169" s="6"/>
      <c r="AU169" s="6"/>
    </row>
    <row r="170" spans="1:47">
      <c r="A170" s="60"/>
      <c r="B170" s="61"/>
      <c r="C170" s="61"/>
      <c r="D170" s="62"/>
      <c r="E170" s="60"/>
      <c r="F170" s="61"/>
      <c r="G170" s="61"/>
      <c r="H170" s="61"/>
      <c r="I170" s="72"/>
      <c r="K170" s="6"/>
      <c r="L170" s="6"/>
      <c r="M170" s="6"/>
      <c r="N170" s="6"/>
      <c r="O170" s="6"/>
      <c r="P170" s="97"/>
      <c r="Q170" s="93"/>
      <c r="R170" s="6"/>
      <c r="S170" s="6"/>
      <c r="T170" s="6"/>
      <c r="U170" s="6"/>
      <c r="V170" s="6"/>
      <c r="W170" s="94"/>
      <c r="X170" s="93"/>
      <c r="Y170" s="6"/>
      <c r="Z170" s="6"/>
      <c r="AA170" s="6"/>
      <c r="AB170" s="6"/>
      <c r="AC170" s="94"/>
      <c r="AE170" s="6"/>
      <c r="AF170" s="6"/>
      <c r="AG170" s="6"/>
      <c r="AH170" s="6"/>
      <c r="AI170" s="6"/>
      <c r="AJ170" s="6"/>
      <c r="AK170" s="6"/>
      <c r="AL170" s="6"/>
      <c r="AM170" s="6"/>
      <c r="AN170" s="6"/>
      <c r="AO170" s="6"/>
      <c r="AP170" s="6"/>
      <c r="AQ170" s="6"/>
      <c r="AR170" s="6"/>
      <c r="AS170" s="6"/>
      <c r="AT170" s="6"/>
      <c r="AU170" s="6"/>
    </row>
    <row r="171" spans="1:47">
      <c r="A171" s="60"/>
      <c r="B171" s="61"/>
      <c r="C171" s="61"/>
      <c r="D171" s="62"/>
      <c r="E171" s="60"/>
      <c r="F171" s="61"/>
      <c r="G171" s="61"/>
      <c r="H171" s="61"/>
      <c r="I171" s="72"/>
      <c r="K171" s="6"/>
      <c r="L171" s="6"/>
      <c r="M171" s="6"/>
      <c r="N171" s="6"/>
      <c r="O171" s="6"/>
      <c r="P171" s="97"/>
      <c r="Q171" s="93"/>
      <c r="R171" s="6"/>
      <c r="S171" s="6"/>
      <c r="T171" s="6"/>
      <c r="U171" s="6"/>
      <c r="V171" s="6"/>
      <c r="W171" s="94"/>
      <c r="X171" s="93"/>
      <c r="Y171" s="6"/>
      <c r="Z171" s="6"/>
      <c r="AA171" s="6"/>
      <c r="AB171" s="6"/>
      <c r="AC171" s="94"/>
      <c r="AE171" s="6"/>
      <c r="AF171" s="6"/>
      <c r="AG171" s="6"/>
      <c r="AH171" s="6"/>
      <c r="AI171" s="6"/>
      <c r="AJ171" s="6"/>
      <c r="AK171" s="6"/>
      <c r="AL171" s="6"/>
      <c r="AM171" s="6"/>
      <c r="AN171" s="6"/>
      <c r="AO171" s="6"/>
      <c r="AP171" s="6"/>
      <c r="AQ171" s="6"/>
      <c r="AR171" s="6"/>
      <c r="AS171" s="6"/>
      <c r="AT171" s="6"/>
      <c r="AU171" s="6"/>
    </row>
    <row r="172" spans="1:47">
      <c r="A172" s="60"/>
      <c r="B172" s="61"/>
      <c r="C172" s="61"/>
      <c r="D172" s="62"/>
      <c r="E172" s="60"/>
      <c r="F172" s="61"/>
      <c r="G172" s="61"/>
      <c r="H172" s="61"/>
      <c r="I172" s="72"/>
      <c r="K172" s="6"/>
      <c r="L172" s="6"/>
      <c r="M172" s="6"/>
      <c r="N172" s="6"/>
      <c r="O172" s="6"/>
      <c r="P172" s="97"/>
      <c r="Q172" s="93"/>
      <c r="R172" s="6"/>
      <c r="S172" s="6"/>
      <c r="T172" s="6"/>
      <c r="U172" s="6"/>
      <c r="V172" s="6"/>
      <c r="W172" s="94"/>
      <c r="X172" s="93"/>
      <c r="Y172" s="6"/>
      <c r="Z172" s="6"/>
      <c r="AA172" s="6"/>
      <c r="AB172" s="6"/>
      <c r="AC172" s="94"/>
      <c r="AE172" s="6"/>
      <c r="AF172" s="6"/>
      <c r="AG172" s="6"/>
      <c r="AH172" s="6"/>
      <c r="AI172" s="6"/>
      <c r="AJ172" s="6"/>
      <c r="AK172" s="6"/>
      <c r="AL172" s="6"/>
      <c r="AM172" s="6"/>
      <c r="AN172" s="6"/>
      <c r="AO172" s="6"/>
      <c r="AP172" s="6"/>
      <c r="AQ172" s="6"/>
      <c r="AR172" s="6"/>
      <c r="AS172" s="6"/>
      <c r="AT172" s="6"/>
      <c r="AU172" s="6"/>
    </row>
    <row r="173" spans="1:47">
      <c r="A173" s="60"/>
      <c r="B173" s="61"/>
      <c r="C173" s="61"/>
      <c r="D173" s="62"/>
      <c r="E173" s="60"/>
      <c r="F173" s="61"/>
      <c r="G173" s="61"/>
      <c r="H173" s="61"/>
      <c r="I173" s="72"/>
      <c r="K173" s="6"/>
      <c r="L173" s="6"/>
      <c r="M173" s="6"/>
      <c r="N173" s="6"/>
      <c r="O173" s="6"/>
      <c r="P173" s="97"/>
      <c r="Q173" s="93"/>
      <c r="R173" s="6"/>
      <c r="S173" s="6"/>
      <c r="T173" s="6"/>
      <c r="U173" s="6"/>
      <c r="V173" s="6"/>
      <c r="W173" s="94"/>
      <c r="X173" s="93"/>
      <c r="Y173" s="6"/>
      <c r="Z173" s="6"/>
      <c r="AA173" s="6"/>
      <c r="AB173" s="6"/>
      <c r="AC173" s="94"/>
    </row>
    <row r="174" spans="1:47">
      <c r="A174" s="60"/>
      <c r="B174" s="61"/>
      <c r="C174" s="61"/>
      <c r="D174" s="62"/>
      <c r="E174" s="60"/>
      <c r="F174" s="61"/>
      <c r="G174" s="61"/>
      <c r="H174" s="61"/>
      <c r="I174" s="72"/>
      <c r="K174" s="6"/>
      <c r="L174" s="6"/>
      <c r="M174" s="6"/>
      <c r="N174" s="6"/>
      <c r="O174" s="6"/>
      <c r="P174" s="97"/>
      <c r="Q174" s="93"/>
      <c r="R174" s="6"/>
      <c r="S174" s="6"/>
      <c r="T174" s="6"/>
      <c r="U174" s="6"/>
      <c r="V174" s="6"/>
      <c r="W174" s="94"/>
      <c r="X174" s="93"/>
      <c r="Y174" s="6"/>
      <c r="Z174" s="6"/>
      <c r="AA174" s="6"/>
      <c r="AB174" s="6"/>
      <c r="AC174" s="94"/>
    </row>
    <row r="175" spans="1:47">
      <c r="A175" s="60"/>
      <c r="B175" s="61"/>
      <c r="C175" s="61"/>
      <c r="D175" s="62"/>
      <c r="E175" s="60"/>
      <c r="F175" s="61"/>
      <c r="G175" s="61"/>
      <c r="H175" s="61"/>
      <c r="I175" s="72"/>
      <c r="K175" s="6"/>
      <c r="L175" s="6"/>
      <c r="M175" s="6"/>
      <c r="N175" s="6"/>
      <c r="O175" s="6"/>
      <c r="P175" s="97"/>
      <c r="Q175" s="93"/>
      <c r="R175" s="6"/>
      <c r="S175" s="6"/>
      <c r="T175" s="6"/>
      <c r="U175" s="6"/>
      <c r="V175" s="6"/>
      <c r="W175" s="94"/>
      <c r="X175" s="93"/>
      <c r="Y175" s="6"/>
      <c r="Z175" s="6"/>
      <c r="AA175" s="6"/>
      <c r="AB175" s="6"/>
      <c r="AC175" s="94"/>
    </row>
    <row r="176" spans="1:47">
      <c r="A176" s="60"/>
      <c r="B176" s="61"/>
      <c r="C176" s="61"/>
      <c r="D176" s="62"/>
      <c r="E176" s="60"/>
      <c r="F176" s="61"/>
      <c r="G176" s="61"/>
      <c r="H176" s="61"/>
      <c r="I176" s="72"/>
      <c r="K176" s="6"/>
      <c r="L176" s="6"/>
      <c r="M176" s="6"/>
      <c r="N176" s="6"/>
      <c r="O176" s="6"/>
      <c r="P176" s="97"/>
      <c r="Q176" s="93"/>
      <c r="R176" s="6"/>
      <c r="S176" s="6"/>
      <c r="T176" s="6"/>
      <c r="U176" s="6"/>
      <c r="V176" s="6"/>
      <c r="W176" s="94"/>
      <c r="X176" s="93"/>
      <c r="Y176" s="6"/>
      <c r="Z176" s="6"/>
      <c r="AA176" s="6"/>
      <c r="AB176" s="6"/>
      <c r="AC176" s="94"/>
    </row>
    <row r="177" spans="1:29">
      <c r="A177" s="60"/>
      <c r="B177" s="61"/>
      <c r="C177" s="61"/>
      <c r="D177" s="62"/>
      <c r="E177" s="60"/>
      <c r="F177" s="61"/>
      <c r="G177" s="61"/>
      <c r="H177" s="61"/>
      <c r="I177" s="72"/>
      <c r="K177" s="6"/>
      <c r="L177" s="6"/>
      <c r="M177" s="6"/>
      <c r="N177" s="6"/>
      <c r="O177" s="6"/>
      <c r="P177" s="97"/>
      <c r="Q177" s="93"/>
      <c r="R177" s="6"/>
      <c r="S177" s="6"/>
      <c r="T177" s="6"/>
      <c r="U177" s="6"/>
      <c r="V177" s="6"/>
      <c r="W177" s="94"/>
      <c r="X177" s="93"/>
      <c r="Y177" s="6"/>
      <c r="Z177" s="6"/>
      <c r="AA177" s="6"/>
      <c r="AB177" s="6"/>
      <c r="AC177" s="94"/>
    </row>
    <row r="178" spans="1:29">
      <c r="A178" s="60"/>
      <c r="B178" s="61"/>
      <c r="C178" s="61"/>
      <c r="D178" s="62"/>
      <c r="E178" s="60"/>
      <c r="F178" s="61"/>
      <c r="G178" s="61"/>
      <c r="H178" s="61"/>
      <c r="I178" s="72"/>
      <c r="K178" s="6"/>
      <c r="L178" s="6"/>
      <c r="M178" s="6"/>
      <c r="N178" s="6"/>
      <c r="O178" s="6"/>
      <c r="P178" s="97"/>
      <c r="Q178" s="93"/>
      <c r="R178" s="6"/>
      <c r="S178" s="6"/>
      <c r="T178" s="6"/>
      <c r="U178" s="6"/>
      <c r="V178" s="6"/>
      <c r="W178" s="94"/>
      <c r="X178" s="93"/>
      <c r="Y178" s="6"/>
      <c r="Z178" s="6"/>
      <c r="AA178" s="6"/>
      <c r="AB178" s="6"/>
      <c r="AC178" s="94"/>
    </row>
    <row r="179" spans="1:29">
      <c r="A179" s="60"/>
      <c r="B179" s="61"/>
      <c r="C179" s="61"/>
      <c r="D179" s="62"/>
      <c r="E179" s="60"/>
      <c r="F179" s="61"/>
      <c r="G179" s="61"/>
      <c r="H179" s="61"/>
      <c r="I179" s="72"/>
      <c r="K179" s="6"/>
      <c r="L179" s="6"/>
      <c r="M179" s="6"/>
      <c r="N179" s="6"/>
      <c r="O179" s="6"/>
      <c r="P179" s="97"/>
      <c r="Q179" s="93"/>
      <c r="R179" s="6"/>
      <c r="S179" s="6"/>
      <c r="T179" s="6"/>
      <c r="U179" s="6"/>
      <c r="V179" s="6"/>
      <c r="W179" s="94"/>
      <c r="X179" s="93"/>
      <c r="Y179" s="6"/>
      <c r="Z179" s="6"/>
      <c r="AA179" s="6"/>
      <c r="AB179" s="6"/>
      <c r="AC179" s="94"/>
    </row>
    <row r="180" spans="1:29">
      <c r="A180" s="60"/>
      <c r="B180" s="61"/>
      <c r="C180" s="61"/>
      <c r="D180" s="62"/>
      <c r="E180" s="60"/>
      <c r="F180" s="61"/>
      <c r="G180" s="61"/>
      <c r="H180" s="61"/>
      <c r="I180" s="72"/>
      <c r="K180" s="6"/>
      <c r="L180" s="6"/>
      <c r="M180" s="6"/>
      <c r="N180" s="6"/>
      <c r="O180" s="6"/>
      <c r="P180" s="97"/>
      <c r="Q180" s="93"/>
      <c r="R180" s="6"/>
      <c r="S180" s="6"/>
      <c r="T180" s="6"/>
      <c r="U180" s="6"/>
      <c r="V180" s="6"/>
      <c r="W180" s="94"/>
      <c r="X180" s="93"/>
      <c r="Y180" s="6"/>
      <c r="Z180" s="6"/>
      <c r="AA180" s="6"/>
      <c r="AB180" s="6"/>
      <c r="AC180" s="94"/>
    </row>
    <row r="181" spans="1:29">
      <c r="A181" s="60"/>
      <c r="B181" s="61"/>
      <c r="C181" s="61"/>
      <c r="D181" s="62"/>
      <c r="E181" s="60"/>
      <c r="F181" s="61"/>
      <c r="G181" s="61"/>
      <c r="H181" s="61"/>
      <c r="I181" s="72"/>
      <c r="K181" s="6"/>
      <c r="L181" s="6"/>
      <c r="M181" s="6"/>
      <c r="N181" s="6"/>
      <c r="O181" s="6"/>
      <c r="P181" s="97"/>
      <c r="Q181" s="93"/>
      <c r="R181" s="6"/>
      <c r="S181" s="6"/>
      <c r="T181" s="6"/>
      <c r="U181" s="6"/>
      <c r="V181" s="6"/>
      <c r="W181" s="94"/>
      <c r="X181" s="93"/>
      <c r="Y181" s="6"/>
      <c r="Z181" s="6"/>
      <c r="AA181" s="6"/>
      <c r="AB181" s="6"/>
      <c r="AC181" s="94"/>
    </row>
    <row r="182" spans="1:29">
      <c r="A182" s="60"/>
      <c r="B182" s="61"/>
      <c r="C182" s="61"/>
      <c r="D182" s="62"/>
      <c r="E182" s="60"/>
      <c r="F182" s="61"/>
      <c r="G182" s="61"/>
      <c r="H182" s="61"/>
      <c r="I182" s="72"/>
      <c r="K182" s="6"/>
      <c r="L182" s="6"/>
      <c r="M182" s="6"/>
      <c r="N182" s="6"/>
      <c r="O182" s="6"/>
      <c r="P182" s="97"/>
      <c r="Q182" s="93"/>
      <c r="R182" s="6"/>
      <c r="S182" s="6"/>
      <c r="T182" s="6"/>
      <c r="U182" s="6"/>
      <c r="V182" s="6"/>
      <c r="W182" s="94"/>
      <c r="X182" s="93"/>
      <c r="Y182" s="6"/>
      <c r="Z182" s="6"/>
      <c r="AA182" s="6"/>
      <c r="AB182" s="6"/>
      <c r="AC182" s="94"/>
    </row>
    <row r="183" spans="1:29">
      <c r="A183" s="60"/>
      <c r="B183" s="61"/>
      <c r="C183" s="61"/>
      <c r="D183" s="62"/>
      <c r="E183" s="60"/>
      <c r="F183" s="61"/>
      <c r="G183" s="61"/>
      <c r="H183" s="61"/>
      <c r="I183" s="72"/>
      <c r="K183" s="6"/>
      <c r="L183" s="6"/>
      <c r="M183" s="6"/>
      <c r="N183" s="6"/>
      <c r="O183" s="6"/>
      <c r="P183" s="97"/>
      <c r="Q183" s="93"/>
      <c r="R183" s="6"/>
      <c r="S183" s="6"/>
      <c r="T183" s="6"/>
      <c r="U183" s="6"/>
      <c r="V183" s="6"/>
      <c r="W183" s="94"/>
      <c r="X183" s="93"/>
      <c r="Y183" s="6"/>
      <c r="Z183" s="6"/>
      <c r="AA183" s="6"/>
      <c r="AB183" s="6"/>
      <c r="AC183" s="94"/>
    </row>
    <row r="184" spans="1:29">
      <c r="A184" s="60"/>
      <c r="B184" s="61"/>
      <c r="C184" s="61"/>
      <c r="D184" s="62"/>
      <c r="E184" s="60"/>
      <c r="F184" s="61"/>
      <c r="G184" s="61"/>
      <c r="H184" s="61"/>
      <c r="I184" s="72"/>
      <c r="K184" s="6"/>
      <c r="L184" s="6"/>
      <c r="M184" s="6"/>
      <c r="N184" s="6"/>
      <c r="O184" s="6"/>
      <c r="P184" s="97"/>
      <c r="Q184" s="93"/>
      <c r="R184" s="6"/>
      <c r="S184" s="6"/>
      <c r="T184" s="6"/>
      <c r="U184" s="6"/>
      <c r="V184" s="6"/>
      <c r="W184" s="94"/>
      <c r="X184" s="93"/>
      <c r="Y184" s="6"/>
      <c r="Z184" s="6"/>
      <c r="AA184" s="6"/>
      <c r="AB184" s="6"/>
      <c r="AC184" s="94"/>
    </row>
    <row r="185" spans="1:29">
      <c r="A185" s="60"/>
      <c r="B185" s="61"/>
      <c r="C185" s="61"/>
      <c r="D185" s="62"/>
      <c r="E185" s="60"/>
      <c r="F185" s="61"/>
      <c r="G185" s="61"/>
      <c r="H185" s="61"/>
      <c r="I185" s="72"/>
      <c r="K185" s="6"/>
      <c r="L185" s="6"/>
      <c r="M185" s="6"/>
      <c r="N185" s="6"/>
      <c r="O185" s="6"/>
      <c r="P185" s="97"/>
      <c r="Q185" s="93"/>
      <c r="R185" s="6"/>
      <c r="S185" s="6"/>
      <c r="T185" s="6"/>
      <c r="U185" s="6"/>
      <c r="V185" s="6"/>
      <c r="W185" s="94"/>
      <c r="X185" s="93"/>
      <c r="Y185" s="6"/>
      <c r="Z185" s="6"/>
      <c r="AA185" s="6"/>
      <c r="AB185" s="6"/>
      <c r="AC185" s="94"/>
    </row>
    <row r="186" spans="1:29">
      <c r="A186" s="60"/>
      <c r="B186" s="61"/>
      <c r="C186" s="61"/>
      <c r="D186" s="62"/>
      <c r="E186" s="60"/>
      <c r="F186" s="61"/>
      <c r="G186" s="61"/>
      <c r="H186" s="61"/>
      <c r="I186" s="72"/>
      <c r="K186" s="6"/>
      <c r="L186" s="6"/>
      <c r="M186" s="6"/>
      <c r="N186" s="6"/>
      <c r="O186" s="6"/>
      <c r="P186" s="97"/>
      <c r="Q186" s="93"/>
      <c r="R186" s="6"/>
      <c r="S186" s="6"/>
      <c r="T186" s="6"/>
      <c r="U186" s="6"/>
      <c r="V186" s="6"/>
      <c r="W186" s="94"/>
      <c r="X186" s="93"/>
      <c r="Y186" s="6"/>
      <c r="Z186" s="6"/>
      <c r="AA186" s="6"/>
      <c r="AB186" s="6"/>
      <c r="AC186" s="94"/>
    </row>
    <row r="187" spans="1:29">
      <c r="A187" s="60"/>
      <c r="B187" s="61"/>
      <c r="C187" s="61"/>
      <c r="D187" s="62"/>
      <c r="E187" s="60"/>
      <c r="F187" s="61"/>
      <c r="G187" s="61"/>
      <c r="H187" s="61"/>
      <c r="I187" s="72"/>
      <c r="K187" s="6"/>
      <c r="L187" s="6"/>
      <c r="M187" s="6"/>
      <c r="N187" s="6"/>
      <c r="O187" s="6"/>
      <c r="P187" s="97"/>
      <c r="Q187" s="93"/>
      <c r="R187" s="6"/>
      <c r="S187" s="6"/>
      <c r="T187" s="6"/>
      <c r="U187" s="6"/>
      <c r="V187" s="6"/>
      <c r="W187" s="94"/>
      <c r="X187" s="93"/>
      <c r="Y187" s="6"/>
      <c r="Z187" s="6"/>
      <c r="AA187" s="6"/>
      <c r="AB187" s="6"/>
      <c r="AC187" s="94"/>
    </row>
    <row r="188" spans="1:29">
      <c r="A188" s="60"/>
      <c r="B188" s="61"/>
      <c r="C188" s="61"/>
      <c r="D188" s="62"/>
      <c r="E188" s="60"/>
      <c r="F188" s="61"/>
      <c r="G188" s="61"/>
      <c r="H188" s="61"/>
      <c r="I188" s="72"/>
      <c r="K188" s="6"/>
      <c r="L188" s="6"/>
      <c r="M188" s="6"/>
      <c r="N188" s="6"/>
      <c r="O188" s="6"/>
      <c r="P188" s="97"/>
      <c r="Q188" s="93"/>
      <c r="R188" s="6"/>
      <c r="S188" s="6"/>
      <c r="T188" s="6"/>
      <c r="U188" s="6"/>
      <c r="V188" s="6"/>
      <c r="W188" s="94"/>
      <c r="X188" s="93"/>
      <c r="Y188" s="6"/>
      <c r="Z188" s="6"/>
      <c r="AA188" s="6"/>
      <c r="AB188" s="6"/>
      <c r="AC188" s="94"/>
    </row>
    <row r="189" spans="1:29">
      <c r="A189" s="60"/>
      <c r="B189" s="61"/>
      <c r="C189" s="61"/>
      <c r="D189" s="62"/>
      <c r="E189" s="60"/>
      <c r="F189" s="61"/>
      <c r="G189" s="61"/>
      <c r="H189" s="61"/>
      <c r="I189" s="72"/>
      <c r="K189" s="6"/>
      <c r="L189" s="6"/>
      <c r="M189" s="6"/>
      <c r="N189" s="6"/>
      <c r="O189" s="6"/>
      <c r="P189" s="97"/>
      <c r="Q189" s="93"/>
      <c r="R189" s="6"/>
      <c r="S189" s="6"/>
      <c r="T189" s="6"/>
      <c r="U189" s="6"/>
      <c r="V189" s="6"/>
      <c r="W189" s="94"/>
      <c r="X189" s="93"/>
      <c r="Y189" s="6"/>
      <c r="Z189" s="6"/>
      <c r="AA189" s="6"/>
      <c r="AB189" s="6"/>
      <c r="AC189" s="94"/>
    </row>
    <row r="190" spans="1:29">
      <c r="A190" s="60"/>
      <c r="B190" s="61"/>
      <c r="C190" s="61"/>
      <c r="D190" s="62"/>
      <c r="E190" s="60"/>
      <c r="F190" s="61"/>
      <c r="G190" s="61"/>
      <c r="H190" s="61"/>
      <c r="I190" s="72"/>
      <c r="K190" s="6"/>
      <c r="L190" s="6"/>
      <c r="M190" s="6"/>
      <c r="N190" s="6"/>
      <c r="O190" s="6"/>
      <c r="P190" s="97"/>
      <c r="Q190" s="93"/>
      <c r="R190" s="6"/>
      <c r="S190" s="6"/>
      <c r="T190" s="6"/>
      <c r="U190" s="6"/>
      <c r="V190" s="6"/>
      <c r="W190" s="94"/>
      <c r="X190" s="93"/>
      <c r="Y190" s="6"/>
      <c r="Z190" s="6"/>
      <c r="AA190" s="6"/>
      <c r="AB190" s="6"/>
      <c r="AC190" s="94"/>
    </row>
    <row r="191" spans="1:29">
      <c r="A191" s="60"/>
      <c r="B191" s="61"/>
      <c r="C191" s="61"/>
      <c r="D191" s="62"/>
      <c r="E191" s="60"/>
      <c r="F191" s="61"/>
      <c r="G191" s="61"/>
      <c r="H191" s="61"/>
      <c r="I191" s="72"/>
      <c r="K191" s="6"/>
      <c r="L191" s="6"/>
      <c r="M191" s="6"/>
      <c r="N191" s="6"/>
      <c r="O191" s="6"/>
      <c r="P191" s="97"/>
      <c r="Q191" s="93"/>
      <c r="R191" s="6"/>
      <c r="S191" s="6"/>
      <c r="T191" s="6"/>
      <c r="U191" s="6"/>
      <c r="V191" s="6"/>
      <c r="W191" s="94"/>
      <c r="X191" s="93"/>
      <c r="Y191" s="6"/>
      <c r="Z191" s="6"/>
      <c r="AA191" s="6"/>
      <c r="AB191" s="6"/>
      <c r="AC191" s="94"/>
    </row>
    <row r="192" spans="1:29">
      <c r="A192" s="60"/>
      <c r="B192" s="61"/>
      <c r="C192" s="61"/>
      <c r="D192" s="62"/>
      <c r="E192" s="60"/>
      <c r="F192" s="61"/>
      <c r="G192" s="61"/>
      <c r="H192" s="61"/>
      <c r="I192" s="72"/>
      <c r="K192" s="6"/>
      <c r="L192" s="6"/>
      <c r="M192" s="6"/>
      <c r="N192" s="6"/>
      <c r="O192" s="6"/>
      <c r="P192" s="97"/>
      <c r="Q192" s="93"/>
      <c r="R192" s="6"/>
      <c r="S192" s="6"/>
      <c r="T192" s="6"/>
      <c r="U192" s="6"/>
      <c r="V192" s="6"/>
      <c r="W192" s="94"/>
      <c r="X192" s="93"/>
      <c r="Y192" s="6"/>
      <c r="Z192" s="6"/>
      <c r="AA192" s="6"/>
      <c r="AB192" s="6"/>
      <c r="AC192" s="94"/>
    </row>
    <row r="193" spans="1:29">
      <c r="A193" s="60"/>
      <c r="B193" s="61"/>
      <c r="C193" s="61"/>
      <c r="D193" s="62"/>
      <c r="E193" s="60"/>
      <c r="F193" s="61"/>
      <c r="G193" s="61"/>
      <c r="H193" s="61"/>
      <c r="I193" s="72"/>
      <c r="K193" s="6"/>
      <c r="L193" s="6"/>
      <c r="M193" s="6"/>
      <c r="N193" s="6"/>
      <c r="O193" s="6"/>
      <c r="P193" s="97"/>
      <c r="Q193" s="93"/>
      <c r="R193" s="6"/>
      <c r="S193" s="6"/>
      <c r="T193" s="6"/>
      <c r="U193" s="6"/>
      <c r="V193" s="6"/>
      <c r="W193" s="94"/>
      <c r="X193" s="93"/>
      <c r="Y193" s="6"/>
      <c r="Z193" s="6"/>
      <c r="AA193" s="6"/>
      <c r="AB193" s="6"/>
      <c r="AC193" s="94"/>
    </row>
    <row r="194" spans="1:29">
      <c r="A194" s="60"/>
      <c r="B194" s="61"/>
      <c r="C194" s="61"/>
      <c r="D194" s="62"/>
      <c r="E194" s="60"/>
      <c r="F194" s="61"/>
      <c r="G194" s="61"/>
      <c r="H194" s="61"/>
      <c r="I194" s="72"/>
      <c r="K194" s="6"/>
      <c r="L194" s="6"/>
      <c r="M194" s="6"/>
      <c r="N194" s="6"/>
      <c r="O194" s="6"/>
      <c r="P194" s="97"/>
      <c r="Q194" s="93"/>
      <c r="R194" s="6"/>
      <c r="S194" s="6"/>
      <c r="T194" s="6"/>
      <c r="U194" s="6"/>
      <c r="V194" s="6"/>
      <c r="W194" s="94"/>
      <c r="X194" s="93"/>
      <c r="Y194" s="6"/>
      <c r="Z194" s="6"/>
      <c r="AA194" s="6"/>
      <c r="AB194" s="6"/>
      <c r="AC194" s="94"/>
    </row>
    <row r="195" spans="1:29">
      <c r="A195" s="60"/>
      <c r="B195" s="61"/>
      <c r="C195" s="61"/>
      <c r="D195" s="62"/>
      <c r="E195" s="60"/>
      <c r="F195" s="61"/>
      <c r="G195" s="61"/>
      <c r="H195" s="61"/>
      <c r="I195" s="72"/>
      <c r="K195" s="6"/>
      <c r="L195" s="6"/>
      <c r="M195" s="6"/>
      <c r="N195" s="6"/>
      <c r="O195" s="6"/>
      <c r="P195" s="97"/>
      <c r="Q195" s="93"/>
      <c r="R195" s="6"/>
      <c r="S195" s="6"/>
      <c r="T195" s="6"/>
      <c r="U195" s="6"/>
      <c r="V195" s="6"/>
      <c r="W195" s="94"/>
      <c r="X195" s="93"/>
      <c r="Y195" s="6"/>
      <c r="Z195" s="6"/>
      <c r="AA195" s="6"/>
      <c r="AB195" s="6"/>
      <c r="AC195" s="94"/>
    </row>
    <row r="196" spans="1:29">
      <c r="A196" s="60"/>
      <c r="B196" s="61"/>
      <c r="C196" s="61"/>
      <c r="D196" s="62"/>
      <c r="E196" s="60"/>
      <c r="F196" s="61"/>
      <c r="G196" s="61"/>
      <c r="H196" s="61"/>
      <c r="I196" s="72"/>
      <c r="K196" s="6"/>
      <c r="L196" s="6"/>
      <c r="M196" s="6"/>
      <c r="N196" s="6"/>
      <c r="O196" s="6"/>
      <c r="P196" s="97"/>
      <c r="Q196" s="93"/>
      <c r="R196" s="6"/>
      <c r="S196" s="6"/>
      <c r="T196" s="6"/>
      <c r="U196" s="6"/>
      <c r="V196" s="6"/>
      <c r="W196" s="94"/>
      <c r="X196" s="93"/>
      <c r="Y196" s="6"/>
      <c r="Z196" s="6"/>
      <c r="AA196" s="6"/>
      <c r="AB196" s="6"/>
      <c r="AC196" s="94"/>
    </row>
    <row r="197" spans="1:29">
      <c r="A197" s="60"/>
      <c r="B197" s="61"/>
      <c r="C197" s="61"/>
      <c r="D197" s="62"/>
      <c r="E197" s="60"/>
      <c r="F197" s="61"/>
      <c r="G197" s="61"/>
      <c r="H197" s="61"/>
      <c r="I197" s="72"/>
      <c r="K197" s="6"/>
      <c r="L197" s="6"/>
      <c r="M197" s="6"/>
      <c r="N197" s="6"/>
      <c r="O197" s="6"/>
      <c r="P197" s="97"/>
      <c r="Q197" s="93"/>
      <c r="R197" s="6"/>
      <c r="S197" s="6"/>
      <c r="T197" s="6"/>
      <c r="U197" s="6"/>
      <c r="V197" s="6"/>
      <c r="W197" s="94"/>
      <c r="X197" s="93"/>
      <c r="Y197" s="6"/>
      <c r="Z197" s="6"/>
      <c r="AA197" s="6"/>
      <c r="AB197" s="6"/>
      <c r="AC197" s="94"/>
    </row>
    <row r="198" spans="1:29">
      <c r="A198" s="60"/>
      <c r="B198" s="61"/>
      <c r="C198" s="61"/>
      <c r="D198" s="62"/>
      <c r="E198" s="60"/>
      <c r="F198" s="61"/>
      <c r="G198" s="61"/>
      <c r="H198" s="61"/>
      <c r="I198" s="72"/>
      <c r="K198" s="6"/>
      <c r="L198" s="6"/>
      <c r="M198" s="6"/>
      <c r="N198" s="6"/>
      <c r="O198" s="6"/>
      <c r="P198" s="97"/>
      <c r="Q198" s="93"/>
      <c r="R198" s="6"/>
      <c r="S198" s="6"/>
      <c r="T198" s="6"/>
      <c r="U198" s="6"/>
      <c r="V198" s="6"/>
      <c r="W198" s="94"/>
      <c r="X198" s="93"/>
      <c r="Y198" s="6"/>
      <c r="Z198" s="6"/>
      <c r="AA198" s="6"/>
      <c r="AB198" s="6"/>
      <c r="AC198" s="94"/>
    </row>
    <row r="199" spans="1:29">
      <c r="A199" s="60"/>
      <c r="B199" s="61"/>
      <c r="C199" s="61"/>
      <c r="D199" s="62"/>
      <c r="E199" s="60"/>
      <c r="F199" s="61"/>
      <c r="G199" s="61"/>
      <c r="H199" s="61"/>
      <c r="I199" s="72"/>
      <c r="K199" s="6"/>
      <c r="L199" s="6"/>
      <c r="M199" s="6"/>
      <c r="N199" s="6"/>
      <c r="O199" s="6"/>
      <c r="P199" s="97"/>
      <c r="Q199" s="93"/>
      <c r="R199" s="6"/>
      <c r="S199" s="6"/>
      <c r="T199" s="6"/>
      <c r="U199" s="6"/>
      <c r="V199" s="6"/>
      <c r="W199" s="94"/>
      <c r="X199" s="93"/>
      <c r="Y199" s="6"/>
      <c r="Z199" s="6"/>
      <c r="AA199" s="6"/>
      <c r="AB199" s="6"/>
      <c r="AC199" s="94"/>
    </row>
    <row r="200" spans="1:29">
      <c r="A200" s="60"/>
      <c r="B200" s="61"/>
      <c r="C200" s="61"/>
      <c r="D200" s="62"/>
      <c r="E200" s="60"/>
      <c r="F200" s="61"/>
      <c r="G200" s="61"/>
      <c r="H200" s="61"/>
      <c r="I200" s="72"/>
      <c r="K200" s="6"/>
      <c r="L200" s="6"/>
      <c r="M200" s="6"/>
      <c r="N200" s="6"/>
      <c r="O200" s="6"/>
      <c r="P200" s="97"/>
      <c r="Q200" s="93"/>
      <c r="R200" s="6"/>
      <c r="S200" s="6"/>
      <c r="T200" s="6"/>
      <c r="U200" s="6"/>
      <c r="V200" s="6"/>
      <c r="W200" s="94"/>
      <c r="X200" s="93"/>
      <c r="Y200" s="6"/>
      <c r="Z200" s="6"/>
      <c r="AA200" s="6"/>
      <c r="AB200" s="6"/>
      <c r="AC200" s="94"/>
    </row>
    <row r="201" spans="1:29">
      <c r="A201" s="60"/>
      <c r="B201" s="61"/>
      <c r="C201" s="61"/>
      <c r="D201" s="62"/>
      <c r="E201" s="60"/>
      <c r="F201" s="61"/>
      <c r="G201" s="61"/>
      <c r="H201" s="61"/>
      <c r="I201" s="72"/>
      <c r="K201" s="6"/>
      <c r="L201" s="6"/>
      <c r="M201" s="6"/>
      <c r="N201" s="6"/>
      <c r="O201" s="6"/>
      <c r="P201" s="97"/>
      <c r="Q201" s="93"/>
      <c r="R201" s="6"/>
      <c r="S201" s="6"/>
      <c r="T201" s="6"/>
      <c r="U201" s="6"/>
      <c r="V201" s="6"/>
      <c r="W201" s="94"/>
      <c r="X201" s="93"/>
      <c r="Y201" s="6"/>
      <c r="Z201" s="6"/>
      <c r="AA201" s="6"/>
      <c r="AB201" s="6"/>
      <c r="AC201" s="94"/>
    </row>
    <row r="202" spans="1:29">
      <c r="A202" s="60"/>
      <c r="B202" s="61"/>
      <c r="C202" s="61"/>
      <c r="D202" s="62"/>
      <c r="E202" s="60"/>
      <c r="F202" s="61"/>
      <c r="G202" s="61"/>
      <c r="H202" s="61"/>
      <c r="I202" s="72"/>
      <c r="K202" s="6"/>
      <c r="L202" s="6"/>
      <c r="M202" s="6"/>
      <c r="N202" s="6"/>
      <c r="O202" s="6"/>
      <c r="P202" s="97"/>
      <c r="Q202" s="93"/>
      <c r="R202" s="6"/>
      <c r="S202" s="6"/>
      <c r="T202" s="6"/>
      <c r="U202" s="6"/>
      <c r="V202" s="6"/>
      <c r="W202" s="94"/>
      <c r="X202" s="93"/>
      <c r="Y202" s="6"/>
      <c r="Z202" s="6"/>
      <c r="AA202" s="6"/>
      <c r="AB202" s="6"/>
      <c r="AC202" s="94"/>
    </row>
    <row r="203" spans="1:29">
      <c r="A203" s="60"/>
      <c r="B203" s="61"/>
      <c r="C203" s="61"/>
      <c r="D203" s="62"/>
      <c r="E203" s="60"/>
      <c r="F203" s="61"/>
      <c r="G203" s="61"/>
      <c r="H203" s="61"/>
      <c r="I203" s="72"/>
      <c r="K203" s="6"/>
      <c r="L203" s="6"/>
      <c r="M203" s="6"/>
      <c r="N203" s="6"/>
      <c r="O203" s="6"/>
      <c r="P203" s="97"/>
      <c r="Q203" s="93"/>
      <c r="R203" s="6"/>
      <c r="S203" s="6"/>
      <c r="T203" s="6"/>
      <c r="U203" s="6"/>
      <c r="V203" s="6"/>
      <c r="W203" s="94"/>
      <c r="X203" s="93"/>
      <c r="Y203" s="6"/>
      <c r="Z203" s="6"/>
      <c r="AA203" s="6"/>
      <c r="AB203" s="6"/>
      <c r="AC203" s="94"/>
    </row>
    <row r="204" spans="1:29">
      <c r="A204" s="60"/>
      <c r="B204" s="61"/>
      <c r="C204" s="61"/>
      <c r="D204" s="62"/>
      <c r="E204" s="60"/>
      <c r="F204" s="61"/>
      <c r="G204" s="61"/>
      <c r="H204" s="61"/>
      <c r="I204" s="72"/>
      <c r="K204" s="6"/>
      <c r="L204" s="6"/>
      <c r="M204" s="6"/>
      <c r="N204" s="6"/>
      <c r="O204" s="6"/>
      <c r="P204" s="97"/>
      <c r="Q204" s="93"/>
      <c r="R204" s="6"/>
      <c r="S204" s="6"/>
      <c r="T204" s="6"/>
      <c r="U204" s="6"/>
      <c r="V204" s="6"/>
      <c r="W204" s="94"/>
      <c r="X204" s="93"/>
      <c r="Y204" s="6"/>
      <c r="Z204" s="6"/>
      <c r="AA204" s="6"/>
      <c r="AB204" s="6"/>
      <c r="AC204" s="94"/>
    </row>
    <row r="205" spans="1:29">
      <c r="A205" s="60"/>
      <c r="B205" s="61"/>
      <c r="C205" s="61"/>
      <c r="D205" s="62"/>
      <c r="E205" s="60"/>
      <c r="F205" s="61"/>
      <c r="G205" s="61"/>
      <c r="H205" s="61"/>
      <c r="I205" s="72"/>
      <c r="K205" s="6"/>
      <c r="L205" s="6"/>
      <c r="M205" s="6"/>
      <c r="N205" s="6"/>
      <c r="O205" s="6"/>
      <c r="P205" s="97"/>
      <c r="Q205" s="93"/>
      <c r="R205" s="6"/>
      <c r="S205" s="6"/>
      <c r="T205" s="6"/>
      <c r="U205" s="6"/>
      <c r="V205" s="6"/>
      <c r="W205" s="94"/>
      <c r="X205" s="93"/>
      <c r="Y205" s="6"/>
      <c r="Z205" s="6"/>
      <c r="AA205" s="6"/>
      <c r="AB205" s="6"/>
      <c r="AC205" s="94"/>
    </row>
    <row r="206" spans="1:29">
      <c r="A206" s="60"/>
      <c r="B206" s="61"/>
      <c r="C206" s="61"/>
      <c r="D206" s="62"/>
      <c r="E206" s="60"/>
      <c r="F206" s="61"/>
      <c r="G206" s="61"/>
      <c r="H206" s="61"/>
      <c r="I206" s="72"/>
      <c r="K206" s="6"/>
      <c r="L206" s="6"/>
      <c r="M206" s="6"/>
      <c r="N206" s="6"/>
      <c r="O206" s="6"/>
      <c r="P206" s="97"/>
      <c r="Q206" s="93"/>
      <c r="R206" s="6"/>
      <c r="S206" s="6"/>
      <c r="T206" s="6"/>
      <c r="U206" s="6"/>
      <c r="V206" s="6"/>
      <c r="W206" s="94"/>
      <c r="X206" s="93"/>
      <c r="Y206" s="6"/>
      <c r="Z206" s="6"/>
      <c r="AA206" s="6"/>
      <c r="AB206" s="6"/>
      <c r="AC206" s="94"/>
    </row>
    <row r="207" spans="1:29">
      <c r="A207" s="60"/>
      <c r="B207" s="61"/>
      <c r="C207" s="61"/>
      <c r="D207" s="62"/>
      <c r="E207" s="60"/>
      <c r="F207" s="61"/>
      <c r="G207" s="61"/>
      <c r="H207" s="61"/>
      <c r="I207" s="72"/>
      <c r="K207" s="6"/>
      <c r="L207" s="6"/>
      <c r="M207" s="6"/>
      <c r="N207" s="6"/>
      <c r="O207" s="6"/>
      <c r="P207" s="97"/>
      <c r="Q207" s="93"/>
      <c r="R207" s="6"/>
      <c r="S207" s="6"/>
      <c r="T207" s="6"/>
      <c r="U207" s="6"/>
      <c r="V207" s="6"/>
      <c r="W207" s="94"/>
      <c r="X207" s="93"/>
      <c r="Y207" s="6"/>
      <c r="Z207" s="6"/>
      <c r="AA207" s="6"/>
      <c r="AB207" s="6"/>
      <c r="AC207" s="94"/>
    </row>
    <row r="208" spans="1:29">
      <c r="A208" s="60"/>
      <c r="B208" s="61"/>
      <c r="C208" s="61"/>
      <c r="D208" s="62"/>
      <c r="E208" s="60"/>
      <c r="F208" s="61"/>
      <c r="G208" s="61"/>
      <c r="H208" s="61"/>
      <c r="I208" s="72"/>
      <c r="K208" s="6"/>
      <c r="L208" s="6"/>
      <c r="M208" s="6"/>
      <c r="N208" s="6"/>
      <c r="O208" s="6"/>
      <c r="P208" s="97"/>
      <c r="Q208" s="93"/>
      <c r="R208" s="6"/>
      <c r="S208" s="6"/>
      <c r="T208" s="6"/>
      <c r="U208" s="6"/>
      <c r="V208" s="6"/>
      <c r="W208" s="94"/>
      <c r="X208" s="93"/>
      <c r="Y208" s="6"/>
      <c r="Z208" s="6"/>
      <c r="AA208" s="6"/>
      <c r="AB208" s="6"/>
      <c r="AC208" s="94"/>
    </row>
    <row r="209" spans="1:29">
      <c r="A209" s="60"/>
      <c r="B209" s="61"/>
      <c r="C209" s="61"/>
      <c r="D209" s="62"/>
      <c r="E209" s="60"/>
      <c r="F209" s="61"/>
      <c r="G209" s="61"/>
      <c r="H209" s="61"/>
      <c r="I209" s="72"/>
      <c r="K209" s="6"/>
      <c r="L209" s="6"/>
      <c r="M209" s="6"/>
      <c r="N209" s="6"/>
      <c r="O209" s="6"/>
      <c r="P209" s="97"/>
      <c r="Q209" s="93"/>
      <c r="R209" s="6"/>
      <c r="S209" s="6"/>
      <c r="T209" s="6"/>
      <c r="U209" s="6"/>
      <c r="V209" s="6"/>
      <c r="W209" s="94"/>
      <c r="X209" s="93"/>
      <c r="Y209" s="6"/>
      <c r="Z209" s="6"/>
      <c r="AA209" s="6"/>
      <c r="AB209" s="6"/>
      <c r="AC209" s="94"/>
    </row>
    <row r="210" spans="1:29">
      <c r="A210" s="60"/>
      <c r="B210" s="61"/>
      <c r="C210" s="61"/>
      <c r="D210" s="62"/>
      <c r="E210" s="60"/>
      <c r="F210" s="61"/>
      <c r="G210" s="61"/>
      <c r="H210" s="61"/>
      <c r="I210" s="72"/>
      <c r="K210" s="6"/>
      <c r="L210" s="6"/>
      <c r="M210" s="6"/>
      <c r="N210" s="6"/>
      <c r="O210" s="6"/>
      <c r="P210" s="97"/>
      <c r="Q210" s="93"/>
      <c r="R210" s="6"/>
      <c r="S210" s="6"/>
      <c r="T210" s="6"/>
      <c r="U210" s="6"/>
      <c r="V210" s="6"/>
      <c r="W210" s="94"/>
      <c r="X210" s="93"/>
      <c r="Y210" s="6"/>
      <c r="Z210" s="6"/>
      <c r="AA210" s="6"/>
      <c r="AB210" s="6"/>
      <c r="AC210" s="94"/>
    </row>
    <row r="211" spans="1:29">
      <c r="A211" s="60"/>
      <c r="B211" s="61"/>
      <c r="C211" s="61"/>
      <c r="D211" s="62"/>
      <c r="E211" s="60"/>
      <c r="F211" s="61"/>
      <c r="G211" s="61"/>
      <c r="H211" s="61"/>
      <c r="I211" s="72"/>
      <c r="K211" s="6"/>
      <c r="L211" s="6"/>
      <c r="M211" s="6"/>
      <c r="N211" s="6"/>
      <c r="O211" s="6"/>
      <c r="P211" s="97"/>
      <c r="Q211" s="93"/>
      <c r="R211" s="6"/>
      <c r="S211" s="6"/>
      <c r="T211" s="6"/>
      <c r="U211" s="6"/>
      <c r="V211" s="6"/>
      <c r="W211" s="94"/>
      <c r="X211" s="93"/>
      <c r="Y211" s="6"/>
      <c r="Z211" s="6"/>
      <c r="AA211" s="6"/>
      <c r="AB211" s="6"/>
      <c r="AC211" s="94"/>
    </row>
    <row r="212" spans="1:29">
      <c r="A212" s="60"/>
      <c r="B212" s="61"/>
      <c r="C212" s="61"/>
      <c r="D212" s="62"/>
      <c r="E212" s="60"/>
      <c r="F212" s="61"/>
      <c r="G212" s="61"/>
      <c r="H212" s="61"/>
      <c r="I212" s="72"/>
      <c r="K212" s="6"/>
      <c r="L212" s="6"/>
      <c r="M212" s="6"/>
      <c r="N212" s="6"/>
      <c r="O212" s="6"/>
      <c r="P212" s="97"/>
      <c r="Q212" s="93"/>
      <c r="R212" s="6"/>
      <c r="S212" s="6"/>
      <c r="T212" s="6"/>
      <c r="U212" s="6"/>
      <c r="V212" s="6"/>
      <c r="W212" s="94"/>
      <c r="X212" s="93"/>
      <c r="Y212" s="6"/>
      <c r="Z212" s="6"/>
      <c r="AA212" s="6"/>
      <c r="AB212" s="6"/>
      <c r="AC212" s="94"/>
    </row>
    <row r="213" spans="1:29">
      <c r="A213" s="60"/>
      <c r="B213" s="61"/>
      <c r="C213" s="61"/>
      <c r="D213" s="62"/>
      <c r="E213" s="60"/>
      <c r="F213" s="61"/>
      <c r="G213" s="61"/>
      <c r="H213" s="61"/>
      <c r="I213" s="72"/>
      <c r="K213" s="6"/>
      <c r="L213" s="6"/>
      <c r="M213" s="6"/>
      <c r="N213" s="6"/>
      <c r="O213" s="6"/>
      <c r="P213" s="97"/>
      <c r="Q213" s="93"/>
      <c r="R213" s="6"/>
      <c r="S213" s="6"/>
      <c r="T213" s="6"/>
      <c r="U213" s="6"/>
      <c r="V213" s="6"/>
      <c r="W213" s="94"/>
      <c r="X213" s="93"/>
      <c r="Y213" s="6"/>
      <c r="Z213" s="6"/>
      <c r="AA213" s="6"/>
      <c r="AB213" s="6"/>
      <c r="AC213" s="94"/>
    </row>
    <row r="214" spans="1:29">
      <c r="A214" s="60"/>
      <c r="B214" s="61"/>
      <c r="C214" s="61"/>
      <c r="D214" s="62"/>
      <c r="E214" s="60"/>
      <c r="F214" s="61"/>
      <c r="G214" s="61"/>
      <c r="H214" s="61"/>
      <c r="I214" s="72"/>
      <c r="K214" s="6"/>
      <c r="L214" s="6"/>
      <c r="M214" s="6"/>
      <c r="N214" s="6"/>
      <c r="O214" s="6"/>
      <c r="P214" s="97"/>
      <c r="Q214" s="93"/>
      <c r="R214" s="6"/>
      <c r="S214" s="6"/>
      <c r="T214" s="6"/>
      <c r="U214" s="6"/>
      <c r="V214" s="6"/>
      <c r="W214" s="94"/>
      <c r="X214" s="93"/>
      <c r="Y214" s="6"/>
      <c r="Z214" s="6"/>
      <c r="AA214" s="6"/>
      <c r="AB214" s="6"/>
      <c r="AC214" s="94"/>
    </row>
    <row r="215" spans="1:29">
      <c r="A215" s="60"/>
      <c r="B215" s="61"/>
      <c r="C215" s="61"/>
      <c r="D215" s="62"/>
      <c r="E215" s="60"/>
      <c r="F215" s="61"/>
      <c r="G215" s="61"/>
      <c r="H215" s="61"/>
      <c r="I215" s="72"/>
      <c r="K215" s="6"/>
      <c r="L215" s="6"/>
      <c r="M215" s="6"/>
      <c r="N215" s="6"/>
      <c r="O215" s="6"/>
      <c r="P215" s="97"/>
      <c r="Q215" s="93"/>
      <c r="R215" s="6"/>
      <c r="S215" s="6"/>
      <c r="T215" s="6"/>
      <c r="U215" s="6"/>
      <c r="V215" s="6"/>
      <c r="W215" s="94"/>
      <c r="X215" s="93"/>
      <c r="Y215" s="6"/>
      <c r="Z215" s="6"/>
      <c r="AA215" s="6"/>
      <c r="AB215" s="6"/>
      <c r="AC215" s="94"/>
    </row>
    <row r="216" spans="1:29">
      <c r="A216" s="60"/>
      <c r="B216" s="61"/>
      <c r="C216" s="61"/>
      <c r="D216" s="62"/>
      <c r="E216" s="60"/>
      <c r="F216" s="61"/>
      <c r="G216" s="61"/>
      <c r="H216" s="61"/>
      <c r="I216" s="72"/>
      <c r="K216" s="6"/>
      <c r="L216" s="6"/>
      <c r="M216" s="6"/>
      <c r="N216" s="6"/>
      <c r="O216" s="6"/>
      <c r="P216" s="97"/>
      <c r="Q216" s="93"/>
      <c r="R216" s="6"/>
      <c r="S216" s="6"/>
      <c r="T216" s="6"/>
      <c r="U216" s="6"/>
      <c r="V216" s="6"/>
      <c r="W216" s="94"/>
      <c r="X216" s="93"/>
      <c r="Y216" s="6"/>
      <c r="Z216" s="6"/>
      <c r="AA216" s="6"/>
      <c r="AB216" s="6"/>
      <c r="AC216" s="94"/>
    </row>
    <row r="217" spans="1:29">
      <c r="A217" s="60"/>
      <c r="B217" s="61"/>
      <c r="C217" s="61"/>
      <c r="D217" s="62"/>
      <c r="E217" s="60"/>
      <c r="F217" s="61"/>
      <c r="G217" s="61"/>
      <c r="H217" s="61"/>
      <c r="I217" s="72"/>
      <c r="K217" s="6"/>
      <c r="L217" s="6"/>
      <c r="M217" s="6"/>
      <c r="N217" s="6"/>
      <c r="O217" s="6"/>
      <c r="P217" s="97"/>
      <c r="Q217" s="93"/>
      <c r="R217" s="6"/>
      <c r="S217" s="6"/>
      <c r="T217" s="6"/>
      <c r="U217" s="6"/>
      <c r="V217" s="6"/>
      <c r="W217" s="94"/>
      <c r="X217" s="93"/>
      <c r="Y217" s="6"/>
      <c r="Z217" s="6"/>
      <c r="AA217" s="6"/>
      <c r="AB217" s="6"/>
      <c r="AC217" s="94"/>
    </row>
    <row r="218" spans="1:29">
      <c r="A218" s="60"/>
      <c r="B218" s="61"/>
      <c r="C218" s="61"/>
      <c r="D218" s="62"/>
      <c r="E218" s="60"/>
      <c r="F218" s="61"/>
      <c r="G218" s="61"/>
      <c r="H218" s="61"/>
      <c r="I218" s="72"/>
      <c r="K218" s="6"/>
      <c r="L218" s="6"/>
      <c r="M218" s="6"/>
      <c r="N218" s="6"/>
      <c r="O218" s="6"/>
      <c r="P218" s="97"/>
      <c r="Q218" s="93"/>
      <c r="R218" s="6"/>
      <c r="S218" s="6"/>
      <c r="T218" s="6"/>
      <c r="U218" s="6"/>
      <c r="V218" s="6"/>
      <c r="W218" s="94"/>
      <c r="X218" s="93"/>
      <c r="Y218" s="6"/>
      <c r="Z218" s="6"/>
      <c r="AA218" s="6"/>
      <c r="AB218" s="6"/>
      <c r="AC218" s="94"/>
    </row>
    <row r="219" spans="1:29">
      <c r="A219" s="60"/>
      <c r="B219" s="61"/>
      <c r="C219" s="61"/>
      <c r="D219" s="62"/>
      <c r="E219" s="60"/>
      <c r="F219" s="61"/>
      <c r="G219" s="61"/>
      <c r="H219" s="61"/>
      <c r="I219" s="72"/>
      <c r="K219" s="6"/>
      <c r="L219" s="6"/>
      <c r="M219" s="6"/>
      <c r="N219" s="6"/>
      <c r="O219" s="6"/>
      <c r="P219" s="97"/>
      <c r="Q219" s="93"/>
      <c r="R219" s="6"/>
      <c r="S219" s="6"/>
      <c r="T219" s="6"/>
      <c r="U219" s="6"/>
      <c r="V219" s="6"/>
      <c r="W219" s="94"/>
      <c r="X219" s="93"/>
      <c r="Y219" s="6"/>
      <c r="Z219" s="6"/>
      <c r="AA219" s="6"/>
      <c r="AB219" s="6"/>
      <c r="AC219" s="94"/>
    </row>
    <row r="220" spans="1:29">
      <c r="A220" s="60"/>
      <c r="B220" s="61"/>
      <c r="C220" s="61"/>
      <c r="D220" s="62"/>
      <c r="E220" s="60"/>
      <c r="F220" s="61"/>
      <c r="G220" s="61"/>
      <c r="H220" s="61"/>
      <c r="I220" s="72"/>
      <c r="K220" s="6"/>
      <c r="L220" s="6"/>
      <c r="M220" s="6"/>
      <c r="N220" s="6"/>
      <c r="O220" s="6"/>
      <c r="P220" s="97"/>
      <c r="Q220" s="93"/>
      <c r="R220" s="6"/>
      <c r="S220" s="6"/>
      <c r="T220" s="6"/>
      <c r="U220" s="6"/>
      <c r="V220" s="6"/>
      <c r="W220" s="94"/>
      <c r="X220" s="93"/>
      <c r="Y220" s="6"/>
      <c r="Z220" s="6"/>
      <c r="AA220" s="6"/>
      <c r="AB220" s="6"/>
      <c r="AC220" s="94"/>
    </row>
    <row r="221" spans="1:29">
      <c r="A221" s="60"/>
      <c r="B221" s="61"/>
      <c r="C221" s="61"/>
      <c r="D221" s="62"/>
      <c r="E221" s="60"/>
      <c r="F221" s="61"/>
      <c r="G221" s="61"/>
      <c r="H221" s="61"/>
      <c r="I221" s="72"/>
      <c r="K221" s="6"/>
      <c r="L221" s="6"/>
      <c r="M221" s="6"/>
      <c r="N221" s="6"/>
      <c r="O221" s="6"/>
      <c r="P221" s="97"/>
      <c r="Q221" s="93"/>
      <c r="R221" s="6"/>
      <c r="S221" s="6"/>
      <c r="T221" s="6"/>
      <c r="U221" s="6"/>
      <c r="V221" s="6"/>
      <c r="W221" s="94"/>
      <c r="X221" s="93"/>
      <c r="Y221" s="6"/>
      <c r="Z221" s="6"/>
      <c r="AA221" s="6"/>
      <c r="AB221" s="6"/>
      <c r="AC221" s="94"/>
    </row>
    <row r="222" spans="1:29">
      <c r="A222" s="60"/>
      <c r="B222" s="61"/>
      <c r="C222" s="61"/>
      <c r="D222" s="62"/>
      <c r="E222" s="60"/>
      <c r="F222" s="61"/>
      <c r="G222" s="61"/>
      <c r="H222" s="61"/>
      <c r="I222" s="72"/>
      <c r="K222" s="6"/>
      <c r="L222" s="6"/>
      <c r="M222" s="6"/>
      <c r="N222" s="6"/>
      <c r="O222" s="6"/>
      <c r="P222" s="97"/>
      <c r="Q222" s="93"/>
      <c r="R222" s="6"/>
      <c r="S222" s="6"/>
      <c r="T222" s="6"/>
      <c r="U222" s="6"/>
      <c r="V222" s="6"/>
      <c r="W222" s="94"/>
      <c r="X222" s="93"/>
      <c r="Y222" s="6"/>
      <c r="Z222" s="6"/>
      <c r="AA222" s="6"/>
      <c r="AB222" s="6"/>
      <c r="AC222" s="94"/>
    </row>
    <row r="223" spans="1:29">
      <c r="A223" s="60"/>
      <c r="B223" s="61"/>
      <c r="C223" s="61"/>
      <c r="D223" s="62"/>
      <c r="E223" s="60"/>
      <c r="F223" s="61"/>
      <c r="G223" s="61"/>
      <c r="H223" s="61"/>
      <c r="I223" s="72"/>
      <c r="K223" s="6"/>
      <c r="L223" s="6"/>
      <c r="M223" s="6"/>
      <c r="N223" s="6"/>
      <c r="O223" s="6"/>
      <c r="P223" s="97"/>
      <c r="Q223" s="93"/>
      <c r="R223" s="6"/>
      <c r="S223" s="6"/>
      <c r="T223" s="6"/>
      <c r="U223" s="6"/>
      <c r="V223" s="6"/>
      <c r="W223" s="94"/>
      <c r="X223" s="93"/>
      <c r="Y223" s="6"/>
      <c r="Z223" s="6"/>
      <c r="AA223" s="6"/>
      <c r="AB223" s="6"/>
      <c r="AC223" s="94"/>
    </row>
    <row r="224" spans="1:29">
      <c r="A224" s="60"/>
      <c r="B224" s="61"/>
      <c r="C224" s="61"/>
      <c r="D224" s="62"/>
      <c r="E224" s="60"/>
      <c r="F224" s="61"/>
      <c r="G224" s="61"/>
      <c r="H224" s="61"/>
      <c r="I224" s="72"/>
      <c r="K224" s="6"/>
      <c r="L224" s="6"/>
      <c r="M224" s="6"/>
      <c r="N224" s="6"/>
      <c r="O224" s="6"/>
      <c r="P224" s="97"/>
      <c r="Q224" s="93"/>
      <c r="R224" s="6"/>
      <c r="S224" s="6"/>
      <c r="T224" s="6"/>
      <c r="U224" s="6"/>
      <c r="V224" s="6"/>
      <c r="W224" s="94"/>
      <c r="X224" s="93"/>
      <c r="Y224" s="6"/>
      <c r="Z224" s="6"/>
      <c r="AA224" s="6"/>
      <c r="AB224" s="6"/>
      <c r="AC224" s="94"/>
    </row>
    <row r="225" spans="1:29">
      <c r="A225" s="60"/>
      <c r="B225" s="61"/>
      <c r="C225" s="61"/>
      <c r="D225" s="62"/>
      <c r="E225" s="60"/>
      <c r="F225" s="61"/>
      <c r="G225" s="61"/>
      <c r="H225" s="61"/>
      <c r="I225" s="72"/>
      <c r="K225" s="6"/>
      <c r="L225" s="6"/>
      <c r="M225" s="6"/>
      <c r="N225" s="6"/>
      <c r="O225" s="6"/>
      <c r="P225" s="97"/>
      <c r="Q225" s="93"/>
      <c r="R225" s="6"/>
      <c r="S225" s="6"/>
      <c r="T225" s="6"/>
      <c r="U225" s="6"/>
      <c r="V225" s="6"/>
      <c r="W225" s="94"/>
      <c r="X225" s="93"/>
      <c r="Y225" s="6"/>
      <c r="Z225" s="6"/>
      <c r="AA225" s="6"/>
      <c r="AB225" s="6"/>
      <c r="AC225" s="94"/>
    </row>
    <row r="226" spans="1:29">
      <c r="A226" s="60"/>
      <c r="B226" s="61"/>
      <c r="C226" s="61"/>
      <c r="D226" s="62"/>
      <c r="E226" s="60"/>
      <c r="F226" s="61"/>
      <c r="G226" s="61"/>
      <c r="H226" s="61"/>
      <c r="I226" s="72"/>
      <c r="K226" s="6"/>
      <c r="L226" s="6"/>
      <c r="M226" s="6"/>
      <c r="N226" s="6"/>
      <c r="O226" s="6"/>
      <c r="P226" s="97"/>
      <c r="Q226" s="93"/>
      <c r="R226" s="6"/>
      <c r="S226" s="6"/>
      <c r="T226" s="6"/>
      <c r="U226" s="6"/>
      <c r="V226" s="6"/>
      <c r="W226" s="94"/>
      <c r="X226" s="93"/>
      <c r="Y226" s="6"/>
      <c r="Z226" s="6"/>
      <c r="AA226" s="6"/>
      <c r="AB226" s="6"/>
      <c r="AC226" s="94"/>
    </row>
    <row r="227" spans="1:29">
      <c r="A227" s="60"/>
      <c r="B227" s="61"/>
      <c r="C227" s="61"/>
      <c r="D227" s="62"/>
      <c r="E227" s="60"/>
      <c r="F227" s="61"/>
      <c r="G227" s="61"/>
      <c r="H227" s="61"/>
      <c r="I227" s="72"/>
      <c r="K227" s="6"/>
      <c r="L227" s="6"/>
      <c r="M227" s="6"/>
      <c r="N227" s="6"/>
      <c r="O227" s="6"/>
      <c r="P227" s="97"/>
      <c r="Q227" s="93"/>
      <c r="R227" s="6"/>
      <c r="S227" s="6"/>
      <c r="T227" s="6"/>
      <c r="U227" s="6"/>
      <c r="V227" s="6"/>
      <c r="W227" s="94"/>
      <c r="X227" s="93"/>
      <c r="Y227" s="6"/>
      <c r="Z227" s="6"/>
      <c r="AA227" s="6"/>
      <c r="AB227" s="6"/>
      <c r="AC227" s="94"/>
    </row>
    <row r="228" spans="1:29">
      <c r="A228" s="60"/>
      <c r="B228" s="61"/>
      <c r="C228" s="61"/>
      <c r="D228" s="62"/>
      <c r="E228" s="60"/>
      <c r="F228" s="61"/>
      <c r="G228" s="61"/>
      <c r="H228" s="61"/>
      <c r="I228" s="72"/>
      <c r="Q228" s="93"/>
      <c r="X228" s="93"/>
    </row>
    <row r="229" spans="1:29">
      <c r="A229" s="60"/>
      <c r="B229" s="61"/>
      <c r="C229" s="61"/>
      <c r="D229" s="62"/>
      <c r="E229" s="60"/>
      <c r="F229" s="61"/>
      <c r="G229" s="61"/>
      <c r="H229" s="61"/>
      <c r="I229" s="72"/>
      <c r="Q229" s="93"/>
      <c r="X229" s="93"/>
    </row>
    <row r="230" spans="1:29">
      <c r="A230" s="60"/>
      <c r="B230" s="61"/>
      <c r="C230" s="61"/>
      <c r="D230" s="62"/>
      <c r="E230" s="60"/>
      <c r="F230" s="61"/>
      <c r="G230" s="61"/>
      <c r="H230" s="61"/>
      <c r="I230" s="72"/>
      <c r="Q230" s="93"/>
      <c r="X230" s="93"/>
    </row>
    <row r="231" spans="1:29">
      <c r="A231" s="60"/>
      <c r="B231" s="61"/>
      <c r="C231" s="61"/>
      <c r="D231" s="62"/>
      <c r="E231" s="60"/>
      <c r="F231" s="61"/>
      <c r="G231" s="61"/>
      <c r="H231" s="61"/>
      <c r="I231" s="72"/>
      <c r="Q231" s="93"/>
      <c r="X231" s="93"/>
    </row>
    <row r="232" spans="1:29">
      <c r="A232" s="60"/>
      <c r="B232" s="61"/>
      <c r="C232" s="61"/>
      <c r="D232" s="62"/>
      <c r="E232" s="60"/>
      <c r="F232" s="61"/>
      <c r="G232" s="61"/>
      <c r="H232" s="61"/>
      <c r="I232" s="72"/>
      <c r="Q232" s="93"/>
      <c r="X232" s="93"/>
    </row>
    <row r="233" spans="1:29">
      <c r="A233" s="60"/>
      <c r="B233" s="61"/>
      <c r="C233" s="61"/>
      <c r="D233" s="62"/>
      <c r="E233" s="60"/>
      <c r="F233" s="61"/>
      <c r="G233" s="61"/>
      <c r="H233" s="61"/>
      <c r="I233" s="72"/>
      <c r="Q233" s="93"/>
      <c r="X233" s="93"/>
    </row>
    <row r="234" spans="1:29">
      <c r="A234" s="60"/>
      <c r="B234" s="61"/>
      <c r="C234" s="61"/>
      <c r="D234" s="62"/>
      <c r="E234" s="60"/>
      <c r="F234" s="61"/>
      <c r="G234" s="61"/>
      <c r="H234" s="61"/>
      <c r="I234" s="72"/>
      <c r="Q234" s="93"/>
      <c r="X234" s="93"/>
    </row>
    <row r="235" spans="1:29">
      <c r="A235" s="60"/>
      <c r="B235" s="61"/>
      <c r="C235" s="61"/>
      <c r="D235" s="62"/>
      <c r="E235" s="60"/>
      <c r="F235" s="61"/>
      <c r="G235" s="61"/>
      <c r="H235" s="61"/>
      <c r="I235" s="72"/>
      <c r="Q235" s="93"/>
      <c r="X235" s="93"/>
    </row>
    <row r="236" spans="1:29">
      <c r="A236" s="60"/>
      <c r="B236" s="61"/>
      <c r="C236" s="61"/>
      <c r="D236" s="62"/>
      <c r="E236" s="60"/>
      <c r="F236" s="61"/>
      <c r="G236" s="61"/>
      <c r="H236" s="61"/>
      <c r="I236" s="72"/>
      <c r="Q236" s="93"/>
      <c r="X236" s="93"/>
    </row>
    <row r="237" spans="1:29">
      <c r="A237" s="60"/>
      <c r="B237" s="61"/>
      <c r="C237" s="61"/>
      <c r="D237" s="62"/>
      <c r="E237" s="60"/>
      <c r="F237" s="61"/>
      <c r="G237" s="61"/>
      <c r="H237" s="61"/>
      <c r="I237" s="72"/>
      <c r="Q237" s="93"/>
      <c r="X237" s="93"/>
    </row>
    <row r="238" spans="1:29">
      <c r="A238" s="60"/>
      <c r="B238" s="61"/>
      <c r="C238" s="61"/>
      <c r="D238" s="62"/>
      <c r="E238" s="60"/>
      <c r="F238" s="61"/>
      <c r="G238" s="61"/>
      <c r="H238" s="61"/>
      <c r="I238" s="72"/>
      <c r="Q238" s="93"/>
      <c r="X238" s="93"/>
    </row>
    <row r="239" spans="1:29">
      <c r="A239" s="60"/>
      <c r="B239" s="61"/>
      <c r="C239" s="61"/>
      <c r="D239" s="62"/>
      <c r="E239" s="60"/>
      <c r="F239" s="61"/>
      <c r="G239" s="61"/>
      <c r="H239" s="61"/>
      <c r="I239" s="72"/>
      <c r="Q239" s="93"/>
      <c r="X239" s="93"/>
    </row>
    <row r="240" spans="1:29">
      <c r="A240" s="60"/>
      <c r="B240" s="61"/>
      <c r="C240" s="61"/>
      <c r="D240" s="62"/>
      <c r="E240" s="60"/>
      <c r="F240" s="61"/>
      <c r="G240" s="61"/>
      <c r="H240" s="61"/>
      <c r="I240" s="72"/>
      <c r="Q240" s="93"/>
      <c r="X240" s="93"/>
    </row>
    <row r="241" spans="1:24">
      <c r="A241" s="60"/>
      <c r="B241" s="61"/>
      <c r="C241" s="61"/>
      <c r="D241" s="62"/>
      <c r="E241" s="60"/>
      <c r="F241" s="61"/>
      <c r="G241" s="61"/>
      <c r="H241" s="61"/>
      <c r="I241" s="72"/>
      <c r="Q241" s="93"/>
      <c r="X241" s="93"/>
    </row>
    <row r="242" spans="1:24">
      <c r="A242" s="60"/>
      <c r="B242" s="61"/>
      <c r="C242" s="61"/>
      <c r="D242" s="62"/>
      <c r="E242" s="60"/>
      <c r="F242" s="61"/>
      <c r="G242" s="61"/>
      <c r="H242" s="61"/>
      <c r="I242" s="72"/>
      <c r="Q242" s="93"/>
      <c r="X242" s="93"/>
    </row>
    <row r="243" spans="1:24">
      <c r="A243" s="60"/>
      <c r="B243" s="61"/>
      <c r="C243" s="61"/>
      <c r="D243" s="62"/>
      <c r="E243" s="60"/>
      <c r="F243" s="61"/>
      <c r="G243" s="61"/>
      <c r="H243" s="61"/>
      <c r="I243" s="72"/>
      <c r="Q243" s="93"/>
      <c r="X243" s="93"/>
    </row>
    <row r="244" spans="1:24">
      <c r="A244" s="60"/>
      <c r="B244" s="61"/>
      <c r="C244" s="61"/>
      <c r="D244" s="62"/>
      <c r="E244" s="60"/>
      <c r="F244" s="61"/>
      <c r="G244" s="61"/>
      <c r="H244" s="61"/>
      <c r="I244" s="72"/>
      <c r="Q244" s="93"/>
      <c r="X244" s="93"/>
    </row>
    <row r="245" spans="1:24">
      <c r="A245" s="60"/>
      <c r="B245" s="61"/>
      <c r="C245" s="61"/>
      <c r="D245" s="62"/>
      <c r="E245" s="60"/>
      <c r="F245" s="61"/>
      <c r="G245" s="61"/>
      <c r="H245" s="61"/>
      <c r="I245" s="72"/>
      <c r="Q245" s="93"/>
      <c r="X245" s="93"/>
    </row>
    <row r="246" spans="1:24">
      <c r="A246" s="60"/>
      <c r="B246" s="61"/>
      <c r="C246" s="61"/>
      <c r="D246" s="62"/>
      <c r="E246" s="60"/>
      <c r="F246" s="61"/>
      <c r="G246" s="61"/>
      <c r="H246" s="61"/>
      <c r="I246" s="72"/>
      <c r="Q246" s="93"/>
      <c r="X246" s="93"/>
    </row>
    <row r="247" spans="1:24">
      <c r="A247" s="60"/>
      <c r="B247" s="61"/>
      <c r="C247" s="61"/>
      <c r="D247" s="62"/>
      <c r="E247" s="60"/>
      <c r="F247" s="61"/>
      <c r="G247" s="61"/>
      <c r="H247" s="61"/>
      <c r="I247" s="72"/>
      <c r="Q247" s="93"/>
      <c r="X247" s="93"/>
    </row>
    <row r="248" spans="1:24">
      <c r="A248" s="60"/>
      <c r="B248" s="61"/>
      <c r="C248" s="61"/>
      <c r="D248" s="62"/>
      <c r="E248" s="60"/>
      <c r="F248" s="61"/>
      <c r="G248" s="61"/>
      <c r="H248" s="61"/>
      <c r="I248" s="72"/>
      <c r="Q248" s="93"/>
      <c r="X248" s="93"/>
    </row>
    <row r="249" spans="1:24">
      <c r="A249" s="60"/>
      <c r="B249" s="61"/>
      <c r="C249" s="61"/>
      <c r="D249" s="62"/>
      <c r="E249" s="60"/>
      <c r="F249" s="61"/>
      <c r="G249" s="61"/>
      <c r="H249" s="61"/>
      <c r="I249" s="72"/>
      <c r="Q249" s="93"/>
      <c r="X249" s="93"/>
    </row>
    <row r="250" spans="1:24">
      <c r="A250" s="60"/>
      <c r="B250" s="61"/>
      <c r="C250" s="61"/>
      <c r="D250" s="62"/>
      <c r="E250" s="60"/>
      <c r="F250" s="61"/>
      <c r="G250" s="61"/>
      <c r="H250" s="61"/>
      <c r="I250" s="72"/>
      <c r="Q250" s="93"/>
      <c r="X250" s="93"/>
    </row>
    <row r="251" spans="1:24">
      <c r="A251" s="60"/>
      <c r="B251" s="61"/>
      <c r="C251" s="61"/>
      <c r="D251" s="62"/>
      <c r="E251" s="60"/>
      <c r="F251" s="61"/>
      <c r="G251" s="61"/>
      <c r="H251" s="61"/>
      <c r="I251" s="72"/>
      <c r="Q251" s="93"/>
      <c r="X251" s="93"/>
    </row>
    <row r="252" spans="1:24">
      <c r="A252" s="60"/>
      <c r="B252" s="61"/>
      <c r="C252" s="61"/>
      <c r="D252" s="62"/>
      <c r="E252" s="60"/>
      <c r="F252" s="61"/>
      <c r="G252" s="61"/>
      <c r="H252" s="61"/>
      <c r="I252" s="72"/>
      <c r="Q252" s="93"/>
      <c r="X252" s="93"/>
    </row>
    <row r="253" spans="1:24">
      <c r="A253" s="60"/>
      <c r="B253" s="61"/>
      <c r="C253" s="61"/>
      <c r="D253" s="62"/>
      <c r="E253" s="60"/>
      <c r="F253" s="61"/>
      <c r="G253" s="61"/>
      <c r="H253" s="61"/>
      <c r="I253" s="72"/>
      <c r="Q253" s="93"/>
      <c r="X253" s="93"/>
    </row>
    <row r="254" spans="1:24">
      <c r="A254" s="60"/>
      <c r="B254" s="61"/>
      <c r="C254" s="61"/>
      <c r="D254" s="62"/>
      <c r="E254" s="60"/>
      <c r="F254" s="61"/>
      <c r="G254" s="61"/>
      <c r="H254" s="61"/>
      <c r="I254" s="72"/>
      <c r="Q254" s="93"/>
      <c r="X254" s="93"/>
    </row>
    <row r="255" spans="1:24">
      <c r="A255" s="60"/>
      <c r="B255" s="61"/>
      <c r="C255" s="61"/>
      <c r="D255" s="62"/>
      <c r="E255" s="60"/>
      <c r="F255" s="61"/>
      <c r="G255" s="61"/>
      <c r="H255" s="61"/>
      <c r="I255" s="72"/>
      <c r="Q255" s="93"/>
      <c r="X255" s="93"/>
    </row>
    <row r="256" spans="1:24">
      <c r="A256" s="60"/>
      <c r="B256" s="61"/>
      <c r="C256" s="61"/>
      <c r="D256" s="62"/>
      <c r="E256" s="60"/>
      <c r="F256" s="61"/>
      <c r="G256" s="61"/>
      <c r="H256" s="61"/>
      <c r="I256" s="72"/>
      <c r="Q256" s="93"/>
      <c r="X256" s="93"/>
    </row>
    <row r="257" spans="1:24">
      <c r="A257" s="60"/>
      <c r="B257" s="61"/>
      <c r="C257" s="61"/>
      <c r="D257" s="62"/>
      <c r="E257" s="60"/>
      <c r="F257" s="61"/>
      <c r="G257" s="61"/>
      <c r="H257" s="61"/>
      <c r="I257" s="72"/>
      <c r="Q257" s="93"/>
      <c r="X257" s="93"/>
    </row>
    <row r="258" spans="1:24">
      <c r="A258" s="60"/>
      <c r="B258" s="61"/>
      <c r="C258" s="61"/>
      <c r="D258" s="62"/>
      <c r="E258" s="60"/>
      <c r="F258" s="61"/>
      <c r="G258" s="61"/>
      <c r="H258" s="61"/>
      <c r="I258" s="72"/>
      <c r="Q258" s="93"/>
      <c r="X258" s="93"/>
    </row>
    <row r="259" spans="1:24">
      <c r="A259" s="60"/>
      <c r="B259" s="61"/>
      <c r="C259" s="61"/>
      <c r="D259" s="62"/>
      <c r="E259" s="60"/>
      <c r="F259" s="61"/>
      <c r="G259" s="61"/>
      <c r="H259" s="61"/>
      <c r="I259" s="72"/>
      <c r="Q259" s="93"/>
      <c r="X259" s="93"/>
    </row>
    <row r="260" spans="1:24">
      <c r="A260" s="60"/>
      <c r="B260" s="61"/>
      <c r="C260" s="61"/>
      <c r="D260" s="62"/>
      <c r="E260" s="60"/>
      <c r="F260" s="61"/>
      <c r="G260" s="61"/>
      <c r="H260" s="61"/>
      <c r="I260" s="72"/>
      <c r="Q260" s="93"/>
      <c r="X260" s="93"/>
    </row>
    <row r="261" spans="1:24">
      <c r="A261" s="60"/>
      <c r="B261" s="61"/>
      <c r="C261" s="61"/>
      <c r="D261" s="62"/>
      <c r="E261" s="60"/>
      <c r="F261" s="61"/>
      <c r="G261" s="61"/>
      <c r="H261" s="61"/>
      <c r="I261" s="72"/>
      <c r="Q261" s="93"/>
      <c r="X261" s="93"/>
    </row>
    <row r="262" spans="1:24">
      <c r="A262" s="60"/>
      <c r="B262" s="61"/>
      <c r="C262" s="61"/>
      <c r="D262" s="62"/>
      <c r="E262" s="60"/>
      <c r="F262" s="61"/>
      <c r="G262" s="61"/>
      <c r="H262" s="61"/>
      <c r="I262" s="72"/>
      <c r="Q262" s="93"/>
      <c r="X262" s="93"/>
    </row>
    <row r="263" spans="1:24">
      <c r="A263" s="60"/>
      <c r="B263" s="61"/>
      <c r="C263" s="61"/>
      <c r="D263" s="62"/>
      <c r="E263" s="60"/>
      <c r="F263" s="61"/>
      <c r="G263" s="61"/>
      <c r="H263" s="61"/>
      <c r="I263" s="72"/>
      <c r="Q263" s="93"/>
      <c r="X263" s="93"/>
    </row>
    <row r="264" spans="1:24">
      <c r="A264" s="60"/>
      <c r="B264" s="61"/>
      <c r="C264" s="61"/>
      <c r="D264" s="62"/>
      <c r="E264" s="60"/>
      <c r="F264" s="61"/>
      <c r="G264" s="61"/>
      <c r="H264" s="61"/>
      <c r="I264" s="72"/>
      <c r="Q264" s="93"/>
      <c r="X264" s="93"/>
    </row>
    <row r="265" spans="1:24">
      <c r="A265" s="60"/>
      <c r="B265" s="61"/>
      <c r="C265" s="61"/>
      <c r="D265" s="62"/>
      <c r="E265" s="60"/>
      <c r="F265" s="61"/>
      <c r="G265" s="61"/>
      <c r="H265" s="61"/>
      <c r="I265" s="72"/>
      <c r="Q265" s="93"/>
      <c r="X265" s="93"/>
    </row>
    <row r="266" spans="1:24">
      <c r="A266" s="60"/>
      <c r="B266" s="61"/>
      <c r="C266" s="61"/>
      <c r="D266" s="62"/>
      <c r="E266" s="60"/>
      <c r="F266" s="61"/>
      <c r="G266" s="61"/>
      <c r="H266" s="61"/>
      <c r="I266" s="72"/>
      <c r="Q266" s="93"/>
      <c r="X266" s="93"/>
    </row>
    <row r="267" spans="1:24">
      <c r="A267" s="60"/>
      <c r="B267" s="61"/>
      <c r="C267" s="61"/>
      <c r="D267" s="62"/>
      <c r="E267" s="60"/>
      <c r="F267" s="61"/>
      <c r="G267" s="61"/>
      <c r="H267" s="61"/>
      <c r="I267" s="72"/>
      <c r="Q267" s="93"/>
      <c r="X267" s="93"/>
    </row>
    <row r="268" spans="1:24">
      <c r="A268" s="60"/>
      <c r="B268" s="61"/>
      <c r="C268" s="61"/>
      <c r="D268" s="62"/>
      <c r="E268" s="60"/>
      <c r="F268" s="61"/>
      <c r="G268" s="61"/>
      <c r="H268" s="61"/>
      <c r="I268" s="72"/>
      <c r="Q268" s="93"/>
      <c r="X268" s="93"/>
    </row>
    <row r="269" spans="1:24">
      <c r="A269" s="60"/>
      <c r="B269" s="61"/>
      <c r="C269" s="61"/>
      <c r="D269" s="62"/>
      <c r="E269" s="60"/>
      <c r="F269" s="61"/>
      <c r="G269" s="61"/>
      <c r="H269" s="61"/>
      <c r="I269" s="72"/>
      <c r="Q269" s="93"/>
      <c r="X269" s="93"/>
    </row>
    <row r="270" spans="1:24">
      <c r="A270" s="60"/>
      <c r="B270" s="61"/>
      <c r="C270" s="61"/>
      <c r="D270" s="62"/>
      <c r="E270" s="60"/>
      <c r="F270" s="61"/>
      <c r="G270" s="61"/>
      <c r="H270" s="61"/>
      <c r="I270" s="72"/>
      <c r="Q270" s="93"/>
      <c r="X270" s="93"/>
    </row>
    <row r="271" spans="1:24">
      <c r="A271" s="60"/>
      <c r="B271" s="61"/>
      <c r="C271" s="61"/>
      <c r="D271" s="62"/>
      <c r="E271" s="60"/>
      <c r="F271" s="61"/>
      <c r="G271" s="61"/>
      <c r="H271" s="61"/>
      <c r="I271" s="72"/>
      <c r="Q271" s="93"/>
      <c r="X271" s="93"/>
    </row>
    <row r="272" spans="1:24">
      <c r="A272" s="60"/>
      <c r="B272" s="61"/>
      <c r="C272" s="61"/>
      <c r="D272" s="62"/>
      <c r="E272" s="60"/>
      <c r="F272" s="61"/>
      <c r="G272" s="61"/>
      <c r="H272" s="61"/>
      <c r="I272" s="72"/>
      <c r="Q272" s="93"/>
      <c r="X272" s="93"/>
    </row>
    <row r="273" spans="1:24">
      <c r="A273" s="60"/>
      <c r="B273" s="61"/>
      <c r="C273" s="61"/>
      <c r="D273" s="62"/>
      <c r="E273" s="60"/>
      <c r="F273" s="61"/>
      <c r="G273" s="61"/>
      <c r="H273" s="61"/>
      <c r="I273" s="72"/>
      <c r="Q273" s="93"/>
      <c r="X273" s="93"/>
    </row>
    <row r="274" spans="1:24">
      <c r="A274" s="60"/>
      <c r="B274" s="61"/>
      <c r="C274" s="61"/>
      <c r="D274" s="62"/>
      <c r="E274" s="60"/>
      <c r="F274" s="61"/>
      <c r="G274" s="61"/>
      <c r="H274" s="61"/>
      <c r="I274" s="72"/>
      <c r="Q274" s="93"/>
      <c r="X274" s="93"/>
    </row>
    <row r="275" spans="1:24">
      <c r="A275" s="60"/>
      <c r="B275" s="61"/>
      <c r="C275" s="61"/>
      <c r="D275" s="62"/>
      <c r="E275" s="60"/>
      <c r="F275" s="61"/>
      <c r="G275" s="61"/>
      <c r="H275" s="61"/>
      <c r="I275" s="72"/>
      <c r="Q275" s="93"/>
      <c r="X275" s="93"/>
    </row>
    <row r="276" spans="1:24">
      <c r="A276" s="60"/>
      <c r="B276" s="61"/>
      <c r="C276" s="61"/>
      <c r="D276" s="62"/>
      <c r="E276" s="60"/>
      <c r="F276" s="61"/>
      <c r="G276" s="61"/>
      <c r="H276" s="61"/>
      <c r="I276" s="72"/>
      <c r="Q276" s="93"/>
      <c r="X276" s="93"/>
    </row>
    <row r="277" spans="1:24">
      <c r="A277" s="60"/>
      <c r="B277" s="61"/>
      <c r="C277" s="61"/>
      <c r="D277" s="62"/>
      <c r="E277" s="60"/>
      <c r="F277" s="61"/>
      <c r="G277" s="61"/>
      <c r="H277" s="61"/>
      <c r="I277" s="72"/>
      <c r="Q277" s="93"/>
      <c r="X277" s="93"/>
    </row>
    <row r="278" spans="1:24">
      <c r="A278" s="60"/>
      <c r="B278" s="61"/>
      <c r="C278" s="61"/>
      <c r="D278" s="62"/>
      <c r="E278" s="60"/>
      <c r="F278" s="61"/>
      <c r="G278" s="61"/>
      <c r="H278" s="61"/>
      <c r="I278" s="72"/>
      <c r="Q278" s="93"/>
      <c r="X278" s="93"/>
    </row>
    <row r="279" spans="1:24">
      <c r="A279" s="60"/>
      <c r="B279" s="61"/>
      <c r="C279" s="61"/>
      <c r="D279" s="62"/>
      <c r="E279" s="60"/>
      <c r="F279" s="61"/>
      <c r="G279" s="61"/>
      <c r="H279" s="61"/>
      <c r="I279" s="72"/>
      <c r="Q279" s="93"/>
      <c r="X279" s="93"/>
    </row>
    <row r="280" spans="1:24">
      <c r="A280" s="60"/>
      <c r="B280" s="61"/>
      <c r="C280" s="61"/>
      <c r="D280" s="62"/>
      <c r="E280" s="60"/>
      <c r="F280" s="61"/>
      <c r="G280" s="61"/>
      <c r="H280" s="61"/>
      <c r="I280" s="72"/>
      <c r="Q280" s="93"/>
      <c r="X280" s="93"/>
    </row>
    <row r="281" spans="1:24">
      <c r="A281" s="60"/>
      <c r="B281" s="61"/>
      <c r="C281" s="61"/>
      <c r="D281" s="62"/>
      <c r="E281" s="60"/>
      <c r="F281" s="61"/>
      <c r="G281" s="61"/>
      <c r="H281" s="61"/>
      <c r="I281" s="72"/>
      <c r="Q281" s="93"/>
      <c r="X281" s="93"/>
    </row>
    <row r="282" spans="1:24">
      <c r="A282" s="60"/>
      <c r="B282" s="61"/>
      <c r="C282" s="61"/>
      <c r="D282" s="62"/>
      <c r="E282" s="60"/>
      <c r="F282" s="61"/>
      <c r="G282" s="61"/>
      <c r="H282" s="61"/>
      <c r="I282" s="72"/>
      <c r="Q282" s="93"/>
      <c r="X282" s="93"/>
    </row>
    <row r="283" spans="1:24">
      <c r="A283" s="60"/>
      <c r="B283" s="61"/>
      <c r="C283" s="61"/>
      <c r="D283" s="62"/>
      <c r="E283" s="60"/>
      <c r="F283" s="61"/>
      <c r="G283" s="61"/>
      <c r="H283" s="61"/>
      <c r="I283" s="72"/>
      <c r="Q283" s="93"/>
      <c r="X283" s="93"/>
    </row>
    <row r="284" spans="1:24">
      <c r="A284" s="60"/>
      <c r="B284" s="61"/>
      <c r="C284" s="61"/>
      <c r="D284" s="62"/>
      <c r="E284" s="60"/>
      <c r="F284" s="61"/>
      <c r="G284" s="61"/>
      <c r="H284" s="61"/>
      <c r="I284" s="72"/>
      <c r="Q284" s="93"/>
      <c r="X284" s="93"/>
    </row>
    <row r="285" spans="1:24">
      <c r="A285" s="60"/>
      <c r="B285" s="61"/>
      <c r="C285" s="61"/>
      <c r="D285" s="62"/>
      <c r="E285" s="60"/>
      <c r="F285" s="61"/>
      <c r="G285" s="61"/>
      <c r="H285" s="61"/>
      <c r="I285" s="72"/>
      <c r="Q285" s="93"/>
      <c r="X285" s="93"/>
    </row>
    <row r="286" spans="1:24">
      <c r="A286" s="60"/>
      <c r="B286" s="61"/>
      <c r="C286" s="61"/>
      <c r="D286" s="62"/>
      <c r="E286" s="60"/>
      <c r="F286" s="61"/>
      <c r="G286" s="61"/>
      <c r="H286" s="61"/>
      <c r="I286" s="72"/>
      <c r="Q286" s="93"/>
      <c r="X286" s="93"/>
    </row>
    <row r="287" spans="1:24">
      <c r="A287" s="60"/>
      <c r="B287" s="61"/>
      <c r="C287" s="61"/>
      <c r="D287" s="62"/>
      <c r="E287" s="60"/>
      <c r="F287" s="61"/>
      <c r="G287" s="61"/>
      <c r="H287" s="61"/>
      <c r="I287" s="72"/>
      <c r="Q287" s="93"/>
      <c r="X287" s="93"/>
    </row>
    <row r="288" spans="1:24">
      <c r="A288" s="60"/>
      <c r="B288" s="61"/>
      <c r="C288" s="61"/>
      <c r="D288" s="62"/>
      <c r="E288" s="60"/>
      <c r="F288" s="61"/>
      <c r="G288" s="61"/>
      <c r="H288" s="61"/>
      <c r="I288" s="72"/>
      <c r="Q288" s="93"/>
      <c r="X288" s="93"/>
    </row>
    <row r="289" spans="1:24">
      <c r="A289" s="60"/>
      <c r="B289" s="61"/>
      <c r="C289" s="61"/>
      <c r="D289" s="62"/>
      <c r="E289" s="60"/>
      <c r="F289" s="61"/>
      <c r="G289" s="61"/>
      <c r="H289" s="61"/>
      <c r="I289" s="72"/>
      <c r="Q289" s="93"/>
      <c r="X289" s="93"/>
    </row>
    <row r="290" spans="1:24">
      <c r="A290" s="60"/>
      <c r="B290" s="61"/>
      <c r="C290" s="61"/>
      <c r="D290" s="62"/>
      <c r="E290" s="60"/>
      <c r="F290" s="61"/>
      <c r="G290" s="61"/>
      <c r="H290" s="61"/>
      <c r="I290" s="72"/>
      <c r="Q290" s="93"/>
      <c r="X290" s="93"/>
    </row>
    <row r="291" spans="1:24">
      <c r="A291" s="60"/>
      <c r="B291" s="61"/>
      <c r="C291" s="61"/>
      <c r="D291" s="62"/>
      <c r="E291" s="60"/>
      <c r="F291" s="61"/>
      <c r="G291" s="61"/>
      <c r="H291" s="61"/>
      <c r="I291" s="72"/>
      <c r="Q291" s="93"/>
      <c r="X291" s="93"/>
    </row>
    <row r="292" spans="1:24">
      <c r="A292" s="60"/>
      <c r="B292" s="61"/>
      <c r="C292" s="61"/>
      <c r="D292" s="62"/>
      <c r="E292" s="60"/>
      <c r="F292" s="61"/>
      <c r="G292" s="61"/>
      <c r="H292" s="61"/>
      <c r="I292" s="72"/>
      <c r="Q292" s="93"/>
      <c r="X292" s="93"/>
    </row>
    <row r="293" spans="1:24">
      <c r="A293" s="60"/>
      <c r="B293" s="61"/>
      <c r="C293" s="61"/>
      <c r="D293" s="62"/>
      <c r="E293" s="60"/>
      <c r="F293" s="61"/>
      <c r="G293" s="61"/>
      <c r="H293" s="61"/>
      <c r="I293" s="72"/>
      <c r="Q293" s="93"/>
      <c r="X293" s="93"/>
    </row>
    <row r="294" spans="1:24">
      <c r="A294" s="60"/>
      <c r="B294" s="61"/>
      <c r="C294" s="61"/>
      <c r="D294" s="62"/>
      <c r="E294" s="60"/>
      <c r="F294" s="61"/>
      <c r="G294" s="61"/>
      <c r="H294" s="61"/>
      <c r="I294" s="72"/>
      <c r="Q294" s="93"/>
      <c r="X294" s="93"/>
    </row>
    <row r="295" spans="1:24">
      <c r="A295" s="60"/>
      <c r="B295" s="61"/>
      <c r="C295" s="61"/>
      <c r="D295" s="62"/>
      <c r="E295" s="60"/>
      <c r="F295" s="61"/>
      <c r="G295" s="61"/>
      <c r="H295" s="61"/>
      <c r="I295" s="72"/>
    </row>
  </sheetData>
  <mergeCells count="10">
    <mergeCell ref="F1:G1"/>
    <mergeCell ref="H1:I1"/>
    <mergeCell ref="A1:E1"/>
    <mergeCell ref="AE1:AK1"/>
    <mergeCell ref="AL1:AP1"/>
    <mergeCell ref="AQ1:AV1"/>
    <mergeCell ref="AW1:BB1"/>
    <mergeCell ref="J1:P1"/>
    <mergeCell ref="Q1:W1"/>
    <mergeCell ref="X1:AD1"/>
  </mergeCells>
  <conditionalFormatting sqref="J3:AC1048576">
    <cfRule type="cellIs" dxfId="55" priority="9" operator="equal">
      <formula>"NO"</formula>
    </cfRule>
    <cfRule type="cellIs" dxfId="54" priority="10" operator="equal">
      <formula>"SI"</formula>
    </cfRule>
  </conditionalFormatting>
  <conditionalFormatting sqref="AD3:AD127">
    <cfRule type="cellIs" dxfId="53" priority="7" operator="equal">
      <formula>"No Aceptable"</formula>
    </cfRule>
    <cfRule type="cellIs" dxfId="52" priority="8" operator="equal">
      <formula>"Aceptable"</formula>
    </cfRule>
  </conditionalFormatting>
  <conditionalFormatting sqref="AE3:AU172">
    <cfRule type="cellIs" dxfId="51" priority="4" operator="equal">
      <formula>"SI"</formula>
    </cfRule>
    <cfRule type="cellIs" dxfId="50" priority="5" operator="equal">
      <formula>"NO"</formula>
    </cfRule>
  </conditionalFormatting>
  <conditionalFormatting sqref="AV3:AV71">
    <cfRule type="cellIs" dxfId="49" priority="1" operator="equal">
      <formula>"Critico"</formula>
    </cfRule>
    <cfRule type="cellIs" dxfId="48" priority="2" operator="equal">
      <formula>"No Critico"</formula>
    </cfRule>
  </conditionalFormatting>
  <dataValidations count="3">
    <dataValidation type="list" allowBlank="1" showInputMessage="1" showErrorMessage="1" sqref="AE3:AU172">
      <formula1>"SI,NO"</formula1>
    </dataValidation>
    <dataValidation type="list" allowBlank="1" showInputMessage="1" showErrorMessage="1" sqref="J3:P227 R3:W227 Y3:AC227">
      <formula1>"SI,NO,N/A"</formula1>
    </dataValidation>
    <dataValidation type="list" allowBlank="1" showInputMessage="1" showErrorMessage="1" sqref="Q3:Q294 X3:X294">
      <formula1>"Derecha,Izquierda,Ambos"</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I298"/>
  <sheetViews>
    <sheetView workbookViewId="0">
      <pane xSplit="9" ySplit="2" topLeftCell="J20" activePane="bottomRight" state="frozen"/>
      <selection pane="topRight" activeCell="J1" sqref="J1"/>
      <selection pane="bottomLeft" activeCell="A3" sqref="A3"/>
      <selection pane="bottomRight" activeCell="B20" sqref="B20"/>
    </sheetView>
  </sheetViews>
  <sheetFormatPr baseColWidth="10" defaultRowHeight="14.25"/>
  <cols>
    <col min="1" max="1" width="3.125" style="4" customWidth="1"/>
    <col min="2" max="3" width="11.5" style="1" customWidth="1"/>
    <col min="4" max="4" width="14.375" style="1" customWidth="1"/>
    <col min="5" max="5" width="13.5" style="77" customWidth="1"/>
    <col min="6" max="6" width="11.5" style="1"/>
    <col min="9" max="9" width="11.5" style="78" customWidth="1"/>
    <col min="10" max="10" width="15.875" style="1" customWidth="1"/>
    <col min="11" max="11" width="18.25" customWidth="1"/>
    <col min="12" max="12" width="17.875" customWidth="1"/>
    <col min="13" max="13" width="15" customWidth="1"/>
    <col min="14" max="14" width="14.25" customWidth="1"/>
    <col min="15" max="15" width="18.25" customWidth="1"/>
    <col min="16" max="16" width="19.875" customWidth="1"/>
    <col min="17" max="17" width="20.25" customWidth="1"/>
    <col min="18" max="18" width="13.25" customWidth="1"/>
    <col min="19" max="19" width="19.5" customWidth="1"/>
    <col min="20" max="20" width="22" customWidth="1"/>
    <col min="25" max="25" width="40.75" customWidth="1"/>
    <col min="28" max="28" width="16.25" customWidth="1"/>
    <col min="31" max="31" width="14" customWidth="1"/>
    <col min="32" max="32" width="13.25" customWidth="1"/>
    <col min="33" max="33" width="30.125" customWidth="1"/>
    <col min="34" max="34" width="14.625" customWidth="1"/>
    <col min="35" max="35" width="30.5" customWidth="1"/>
    <col min="38" max="38" width="14.375" style="4" customWidth="1"/>
    <col min="39" max="39" width="11.5" style="4"/>
    <col min="40" max="40" width="20" style="4" customWidth="1"/>
    <col min="41" max="41" width="15.5" style="4" customWidth="1"/>
    <col min="42" max="42" width="11.5" style="4"/>
    <col min="55" max="55" width="13.75" customWidth="1"/>
  </cols>
  <sheetData>
    <row r="1" spans="1:61" ht="51.6" customHeight="1" thickBot="1">
      <c r="A1" s="134" t="s">
        <v>287</v>
      </c>
      <c r="B1" s="125"/>
      <c r="C1" s="125"/>
      <c r="D1" s="125"/>
      <c r="E1" s="125"/>
      <c r="F1" s="125" t="s">
        <v>60</v>
      </c>
      <c r="G1" s="125"/>
      <c r="H1" s="125" t="s">
        <v>57</v>
      </c>
      <c r="I1" s="125"/>
      <c r="J1" s="138" t="s">
        <v>135</v>
      </c>
      <c r="K1" s="139"/>
      <c r="L1" s="140"/>
      <c r="M1" s="138" t="s">
        <v>136</v>
      </c>
      <c r="N1" s="139"/>
      <c r="O1" s="139"/>
      <c r="P1" s="140"/>
      <c r="Q1" s="138" t="s">
        <v>137</v>
      </c>
      <c r="R1" s="139"/>
      <c r="S1" s="139"/>
      <c r="T1" s="140"/>
      <c r="U1" s="138" t="s">
        <v>138</v>
      </c>
      <c r="V1" s="139"/>
      <c r="W1" s="139"/>
      <c r="X1" s="140"/>
      <c r="Y1" s="15" t="s">
        <v>139</v>
      </c>
      <c r="Z1" s="138" t="s">
        <v>140</v>
      </c>
      <c r="AA1" s="139"/>
      <c r="AB1" s="139"/>
      <c r="AC1" s="138" t="s">
        <v>141</v>
      </c>
      <c r="AD1" s="139"/>
      <c r="AE1" s="139"/>
      <c r="AF1" s="10" t="s">
        <v>159</v>
      </c>
      <c r="AG1" s="138" t="s">
        <v>142</v>
      </c>
      <c r="AH1" s="139"/>
      <c r="AI1" s="139"/>
      <c r="AJ1" s="139" t="s">
        <v>143</v>
      </c>
      <c r="AK1" s="139"/>
      <c r="AL1" s="139"/>
      <c r="AM1" s="140"/>
      <c r="AN1" s="16" t="s">
        <v>144</v>
      </c>
      <c r="AO1" s="138" t="s">
        <v>106</v>
      </c>
      <c r="AP1" s="139"/>
      <c r="AQ1" s="139"/>
      <c r="AR1" s="139"/>
      <c r="AS1" s="139"/>
      <c r="AT1" s="139"/>
      <c r="AU1" s="140"/>
      <c r="AV1" s="141" t="s">
        <v>107</v>
      </c>
      <c r="AW1" s="141"/>
      <c r="AX1" s="141"/>
      <c r="AY1" s="141"/>
      <c r="AZ1" s="141"/>
      <c r="BA1" s="141" t="s">
        <v>105</v>
      </c>
      <c r="BB1" s="138"/>
      <c r="BC1" s="17" t="s">
        <v>159</v>
      </c>
      <c r="BD1" s="135" t="s">
        <v>19</v>
      </c>
      <c r="BE1" s="136"/>
      <c r="BF1" s="136"/>
      <c r="BG1" s="136"/>
      <c r="BH1" s="136"/>
      <c r="BI1" s="137"/>
    </row>
    <row r="2" spans="1:61" ht="88.15" customHeight="1">
      <c r="A2" s="8" t="s">
        <v>0</v>
      </c>
      <c r="B2" s="9" t="s">
        <v>20</v>
      </c>
      <c r="C2" s="9" t="s">
        <v>1</v>
      </c>
      <c r="D2" s="9" t="s">
        <v>2</v>
      </c>
      <c r="E2" s="73" t="s">
        <v>21</v>
      </c>
      <c r="F2" s="74" t="s">
        <v>40</v>
      </c>
      <c r="G2" s="74" t="s">
        <v>61</v>
      </c>
      <c r="H2" s="74" t="s">
        <v>58</v>
      </c>
      <c r="I2" s="75" t="s">
        <v>59</v>
      </c>
      <c r="J2" s="76" t="s">
        <v>108</v>
      </c>
      <c r="K2" s="13" t="s">
        <v>109</v>
      </c>
      <c r="L2" s="13" t="s">
        <v>110</v>
      </c>
      <c r="M2" s="13" t="s">
        <v>111</v>
      </c>
      <c r="N2" s="13" t="s">
        <v>112</v>
      </c>
      <c r="O2" s="13" t="s">
        <v>113</v>
      </c>
      <c r="P2" s="13" t="s">
        <v>114</v>
      </c>
      <c r="Q2" s="13" t="s">
        <v>115</v>
      </c>
      <c r="R2" s="13" t="s">
        <v>116</v>
      </c>
      <c r="S2" s="13" t="s">
        <v>117</v>
      </c>
      <c r="T2" s="13" t="s">
        <v>118</v>
      </c>
      <c r="U2" s="13" t="s">
        <v>115</v>
      </c>
      <c r="V2" s="13" t="s">
        <v>116</v>
      </c>
      <c r="W2" s="13" t="s">
        <v>117</v>
      </c>
      <c r="X2" s="13" t="s">
        <v>119</v>
      </c>
      <c r="Y2" s="13" t="s">
        <v>120</v>
      </c>
      <c r="Z2" s="13" t="s">
        <v>121</v>
      </c>
      <c r="AA2" s="13" t="s">
        <v>122</v>
      </c>
      <c r="AB2" s="13" t="s">
        <v>123</v>
      </c>
      <c r="AC2" s="13" t="s">
        <v>124</v>
      </c>
      <c r="AD2" s="13" t="s">
        <v>125</v>
      </c>
      <c r="AE2" s="13" t="s">
        <v>126</v>
      </c>
      <c r="AF2" s="10" t="s">
        <v>28</v>
      </c>
      <c r="AG2" s="13" t="s">
        <v>127</v>
      </c>
      <c r="AH2" s="13" t="s">
        <v>128</v>
      </c>
      <c r="AI2" s="13" t="s">
        <v>129</v>
      </c>
      <c r="AJ2" s="13" t="s">
        <v>130</v>
      </c>
      <c r="AK2" s="13" t="s">
        <v>131</v>
      </c>
      <c r="AL2" s="13" t="s">
        <v>132</v>
      </c>
      <c r="AM2" s="13" t="s">
        <v>133</v>
      </c>
      <c r="AN2" s="13" t="s">
        <v>134</v>
      </c>
      <c r="AO2" s="13" t="s">
        <v>145</v>
      </c>
      <c r="AP2" s="13" t="s">
        <v>146</v>
      </c>
      <c r="AQ2" s="13" t="s">
        <v>147</v>
      </c>
      <c r="AR2" s="13" t="s">
        <v>148</v>
      </c>
      <c r="AS2" s="13" t="s">
        <v>149</v>
      </c>
      <c r="AT2" s="13" t="s">
        <v>150</v>
      </c>
      <c r="AU2" s="13" t="s">
        <v>151</v>
      </c>
      <c r="AV2" s="13" t="s">
        <v>154</v>
      </c>
      <c r="AW2" s="13" t="s">
        <v>152</v>
      </c>
      <c r="AX2" s="13" t="s">
        <v>153</v>
      </c>
      <c r="AY2" s="13" t="s">
        <v>155</v>
      </c>
      <c r="AZ2" s="13" t="s">
        <v>156</v>
      </c>
      <c r="BA2" s="13" t="s">
        <v>157</v>
      </c>
      <c r="BB2" s="13" t="s">
        <v>158</v>
      </c>
      <c r="BC2" s="13" t="s">
        <v>33</v>
      </c>
      <c r="BD2" s="13" t="s">
        <v>34</v>
      </c>
      <c r="BE2" s="13" t="s">
        <v>35</v>
      </c>
      <c r="BF2" s="13" t="s">
        <v>36</v>
      </c>
      <c r="BG2" s="13" t="s">
        <v>37</v>
      </c>
      <c r="BH2" s="13" t="s">
        <v>38</v>
      </c>
      <c r="BI2" s="13" t="s">
        <v>39</v>
      </c>
    </row>
    <row r="3" spans="1:61" s="5" customFormat="1" ht="25.9" hidden="1" customHeight="1">
      <c r="A3" s="60">
        <f>Inicial!A3</f>
        <v>1</v>
      </c>
      <c r="B3" s="61" t="str">
        <f>Inicial!B3</f>
        <v>Desposte</v>
      </c>
      <c r="C3" s="61" t="str">
        <f>Inicial!C3</f>
        <v>Operario de producción línea Principal 1</v>
      </c>
      <c r="D3" s="62" t="str">
        <f>Inicial!D3</f>
        <v>Marcaje de pernil</v>
      </c>
      <c r="E3" s="60" t="str">
        <f>IF(Inicial!L3="SI",Inicial!E3,"N/A")</f>
        <v>N/A</v>
      </c>
      <c r="F3" s="61" t="str">
        <f>IF(Inicial!L3="SI",Inicial!F3,"N/A")</f>
        <v>N/A</v>
      </c>
      <c r="G3" s="61" t="str">
        <f>IF(Inicial!L3="SI",Inicial!G3,"N/A")</f>
        <v>N/A</v>
      </c>
      <c r="H3" s="61" t="str">
        <f>IF(Inicial!L3="SI",Inicial!H3,"N/A")</f>
        <v>N/A</v>
      </c>
      <c r="I3" s="63" t="str">
        <f>IF(Inicial!L3="SI",Inicial!I3,"N/A")</f>
        <v>N/A</v>
      </c>
      <c r="J3" s="11"/>
      <c r="K3" s="11"/>
      <c r="L3" s="11"/>
      <c r="M3" s="11"/>
      <c r="N3" s="11"/>
      <c r="O3" s="11"/>
      <c r="P3" s="11"/>
      <c r="Q3" s="11"/>
      <c r="R3" s="11"/>
      <c r="S3" s="11"/>
      <c r="T3" s="11"/>
      <c r="U3" s="11"/>
      <c r="V3" s="11"/>
      <c r="W3" s="11"/>
      <c r="X3" s="11"/>
      <c r="Y3" s="11"/>
      <c r="Z3" s="11"/>
      <c r="AA3" s="11"/>
      <c r="AB3" s="11"/>
      <c r="AC3" s="11"/>
      <c r="AD3" s="11"/>
      <c r="AE3" s="11"/>
      <c r="AF3" s="12" t="str" cm="1">
        <f t="array" ref="AF3">IF(OR(M3:AE3="NO"),"No aceptable","Aceptable")</f>
        <v>Aceptable</v>
      </c>
      <c r="AG3" s="11"/>
      <c r="AH3" s="11"/>
      <c r="AI3" s="11"/>
      <c r="AJ3" s="11"/>
      <c r="AK3" s="11"/>
      <c r="AL3" s="11"/>
      <c r="AM3" s="11"/>
      <c r="AN3" s="11"/>
      <c r="AO3" s="11"/>
      <c r="AP3" s="11"/>
      <c r="AQ3" s="11"/>
      <c r="AR3" s="11"/>
      <c r="AS3" s="11"/>
      <c r="AT3" s="11"/>
      <c r="AU3" s="11"/>
      <c r="AV3" s="11"/>
      <c r="AW3" s="11"/>
      <c r="AX3" s="11"/>
      <c r="AY3" s="11"/>
      <c r="AZ3" s="11"/>
      <c r="BA3" s="11"/>
      <c r="BB3" s="11"/>
      <c r="BC3" s="3" t="str" cm="1">
        <f t="array" ref="BC3">IF(OR(AJ3:BB3="SI"),"Critico","No Critico")</f>
        <v>No Critico</v>
      </c>
      <c r="BD3" s="1"/>
      <c r="BE3" s="1"/>
      <c r="BF3" s="1"/>
      <c r="BG3" s="1"/>
      <c r="BH3" s="1"/>
      <c r="BI3" s="1"/>
    </row>
    <row r="4" spans="1:61" ht="25.9" hidden="1" customHeight="1">
      <c r="A4" s="60">
        <f>Inicial!A4</f>
        <v>2</v>
      </c>
      <c r="B4" s="61" t="str">
        <f>Inicial!B4</f>
        <v>Desposte</v>
      </c>
      <c r="C4" s="61" t="str">
        <f>Inicial!C4</f>
        <v>Operario de producción línea Principal 1</v>
      </c>
      <c r="D4" s="62" t="str">
        <f>Inicial!D4</f>
        <v>Apertura de falda derecha</v>
      </c>
      <c r="E4" s="60" t="str">
        <f>IF(Inicial!L4="SI",Inicial!E4,"N/A")</f>
        <v>N/A</v>
      </c>
      <c r="F4" s="61" t="str">
        <f>IF(Inicial!L4="SI",Inicial!F4,"N/A")</f>
        <v>N/A</v>
      </c>
      <c r="G4" s="61" t="str">
        <f>IF(Inicial!L4="SI",Inicial!G4,"N/A")</f>
        <v>N/A</v>
      </c>
      <c r="H4" s="61" t="str">
        <f>IF(Inicial!L4="SI",Inicial!H4,"N/A")</f>
        <v>N/A</v>
      </c>
      <c r="I4" s="63" t="str">
        <f>IF(Inicial!L4="SI",Inicial!I4,"N/A")</f>
        <v>N/A</v>
      </c>
      <c r="J4" s="11"/>
      <c r="K4" s="11"/>
      <c r="L4" s="11"/>
      <c r="M4" s="11"/>
      <c r="N4" s="11"/>
      <c r="O4" s="11"/>
      <c r="P4" s="11"/>
      <c r="Q4" s="11"/>
      <c r="R4" s="11"/>
      <c r="S4" s="11"/>
      <c r="T4" s="11"/>
      <c r="U4" s="11"/>
      <c r="V4" s="11"/>
      <c r="W4" s="11"/>
      <c r="X4" s="11"/>
      <c r="Y4" s="11"/>
      <c r="Z4" s="11"/>
      <c r="AA4" s="11"/>
      <c r="AB4" s="11"/>
      <c r="AC4" s="11"/>
      <c r="AD4" s="11"/>
      <c r="AE4" s="11"/>
      <c r="AF4" s="12" t="str" cm="1">
        <f t="array" ref="AF4">IF(OR(M4:AE4="NO"),"No aceptable","Aceptable")</f>
        <v>Aceptable</v>
      </c>
      <c r="AG4" s="11"/>
      <c r="AH4" s="11"/>
      <c r="AI4" s="11"/>
      <c r="AJ4" s="11"/>
      <c r="AK4" s="11"/>
      <c r="AL4" s="11"/>
      <c r="AM4" s="11"/>
      <c r="AN4" s="11"/>
      <c r="AO4" s="11"/>
      <c r="AP4" s="11"/>
      <c r="AQ4" s="11"/>
      <c r="AR4" s="11"/>
      <c r="AS4" s="11"/>
      <c r="AT4" s="11"/>
      <c r="AU4" s="11"/>
      <c r="AV4" s="11"/>
      <c r="AW4" s="11"/>
      <c r="AX4" s="11"/>
      <c r="AY4" s="11"/>
      <c r="AZ4" s="11"/>
      <c r="BA4" s="11"/>
      <c r="BB4" s="11"/>
      <c r="BC4" s="3" t="str" cm="1">
        <f t="array" ref="BC4">IF(OR(AJ4:BB4="SI"),"Critico","No Critico")</f>
        <v>No Critico</v>
      </c>
      <c r="BD4" s="1"/>
      <c r="BE4" s="1"/>
      <c r="BF4" s="1"/>
      <c r="BG4" s="1"/>
      <c r="BH4" s="1"/>
      <c r="BI4" s="1"/>
    </row>
    <row r="5" spans="1:61" ht="25.9" hidden="1" customHeight="1">
      <c r="A5" s="60">
        <f>Inicial!A5</f>
        <v>3</v>
      </c>
      <c r="B5" s="61" t="str">
        <f>Inicial!B5</f>
        <v>Desposte</v>
      </c>
      <c r="C5" s="61" t="str">
        <f>Inicial!C5</f>
        <v>Operario de producción línea Principal 1</v>
      </c>
      <c r="D5" s="62" t="str">
        <f>Inicial!D5</f>
        <v>Apertura de falda izquierda</v>
      </c>
      <c r="E5" s="60" t="str">
        <f>IF(Inicial!L5="SI",Inicial!E5,"N/A")</f>
        <v>N/A</v>
      </c>
      <c r="F5" s="61" t="str">
        <f>IF(Inicial!L5="SI",Inicial!F5,"N/A")</f>
        <v>N/A</v>
      </c>
      <c r="G5" s="61" t="str">
        <f>IF(Inicial!L5="SI",Inicial!G5,"N/A")</f>
        <v>N/A</v>
      </c>
      <c r="H5" s="61" t="str">
        <f>IF(Inicial!L5="SI",Inicial!H5,"N/A")</f>
        <v>N/A</v>
      </c>
      <c r="I5" s="63" t="str">
        <f>IF(Inicial!L5="SI",Inicial!I5,"N/A")</f>
        <v>N/A</v>
      </c>
      <c r="J5" s="11"/>
      <c r="K5" s="11"/>
      <c r="L5" s="11"/>
      <c r="M5" s="11"/>
      <c r="N5" s="11"/>
      <c r="O5" s="11"/>
      <c r="P5" s="11"/>
      <c r="Q5" s="11"/>
      <c r="R5" s="11"/>
      <c r="S5" s="11"/>
      <c r="T5" s="11"/>
      <c r="U5" s="11"/>
      <c r="V5" s="11"/>
      <c r="W5" s="11"/>
      <c r="X5" s="11"/>
      <c r="Y5" s="11"/>
      <c r="Z5" s="11"/>
      <c r="AA5" s="11"/>
      <c r="AB5" s="11"/>
      <c r="AC5" s="11"/>
      <c r="AD5" s="11"/>
      <c r="AE5" s="11"/>
      <c r="AF5" s="12" t="str" cm="1">
        <f t="array" ref="AF5">IF(OR(M5:AE5="NO"),"No aceptable","Aceptable")</f>
        <v>Aceptable</v>
      </c>
      <c r="AG5" s="11"/>
      <c r="AH5" s="11"/>
      <c r="AI5" s="11"/>
      <c r="AJ5" s="11"/>
      <c r="AK5" s="11"/>
      <c r="AL5" s="11"/>
      <c r="AM5" s="11"/>
      <c r="AN5" s="11"/>
      <c r="AO5" s="11"/>
      <c r="AP5" s="11"/>
      <c r="AQ5" s="11"/>
      <c r="AR5" s="11"/>
      <c r="AS5" s="11"/>
      <c r="AT5" s="11"/>
      <c r="AU5" s="11"/>
      <c r="AV5" s="11"/>
      <c r="AW5" s="11"/>
      <c r="AX5" s="11"/>
      <c r="AY5" s="11"/>
      <c r="AZ5" s="11"/>
      <c r="BA5" s="11"/>
      <c r="BB5" s="11"/>
      <c r="BC5" s="3" t="str" cm="1">
        <f t="array" ref="BC5">IF(OR(AJ5:BB5="SI"),"Critico","No Critico")</f>
        <v>No Critico</v>
      </c>
      <c r="BD5" s="1"/>
      <c r="BE5" s="1"/>
      <c r="BF5" s="1"/>
      <c r="BG5" s="1"/>
      <c r="BH5" s="1"/>
      <c r="BI5" s="1"/>
    </row>
    <row r="6" spans="1:61" ht="25.9" hidden="1" customHeight="1">
      <c r="A6" s="60">
        <f>Inicial!A6</f>
        <v>4</v>
      </c>
      <c r="B6" s="61" t="str">
        <f>Inicial!B6</f>
        <v>Desposte</v>
      </c>
      <c r="C6" s="61" t="str">
        <f>Inicial!C6</f>
        <v>Operario de producción línea Principal 1</v>
      </c>
      <c r="D6" s="62" t="str">
        <f>Inicial!D6</f>
        <v>Sierra cortadora de patas</v>
      </c>
      <c r="E6" s="60" t="str">
        <f>IF(Inicial!L6="SI",Inicial!E6,"N/A")</f>
        <v>N/A</v>
      </c>
      <c r="F6" s="61" t="str">
        <f>IF(Inicial!L6="SI",Inicial!F6,"N/A")</f>
        <v>N/A</v>
      </c>
      <c r="G6" s="61" t="str">
        <f>IF(Inicial!L6="SI",Inicial!G6,"N/A")</f>
        <v>N/A</v>
      </c>
      <c r="H6" s="61" t="str">
        <f>IF(Inicial!L6="SI",Inicial!H6,"N/A")</f>
        <v>N/A</v>
      </c>
      <c r="I6" s="63" t="str">
        <f>IF(Inicial!L6="SI",Inicial!I6,"N/A")</f>
        <v>N/A</v>
      </c>
      <c r="J6" s="11"/>
      <c r="K6" s="11"/>
      <c r="L6" s="11"/>
      <c r="M6" s="11"/>
      <c r="N6" s="11"/>
      <c r="O6" s="11"/>
      <c r="P6" s="11"/>
      <c r="Q6" s="11"/>
      <c r="R6" s="11"/>
      <c r="S6" s="11"/>
      <c r="T6" s="11"/>
      <c r="U6" s="11"/>
      <c r="V6" s="11"/>
      <c r="W6" s="11"/>
      <c r="X6" s="11"/>
      <c r="Y6" s="11"/>
      <c r="Z6" s="11"/>
      <c r="AA6" s="11"/>
      <c r="AB6" s="11"/>
      <c r="AC6" s="11"/>
      <c r="AD6" s="11"/>
      <c r="AE6" s="11"/>
      <c r="AF6" s="12" t="str" cm="1">
        <f t="array" ref="AF6">IF(OR(M6:AE6="NO"),"No aceptable","Aceptable")</f>
        <v>Aceptable</v>
      </c>
      <c r="AG6" s="11"/>
      <c r="AH6" s="11"/>
      <c r="AI6" s="11"/>
      <c r="AJ6" s="11"/>
      <c r="AK6" s="11"/>
      <c r="AL6" s="11"/>
      <c r="AM6" s="11"/>
      <c r="AN6" s="11"/>
      <c r="AO6" s="11"/>
      <c r="AP6" s="11"/>
      <c r="AQ6" s="11"/>
      <c r="AR6" s="11"/>
      <c r="AS6" s="11"/>
      <c r="AT6" s="11"/>
      <c r="AU6" s="11"/>
      <c r="AV6" s="11"/>
      <c r="AW6" s="11"/>
      <c r="AX6" s="11"/>
      <c r="AY6" s="11"/>
      <c r="AZ6" s="11"/>
      <c r="BA6" s="11"/>
      <c r="BB6" s="11"/>
      <c r="BC6" s="3" t="str" cm="1">
        <f t="array" ref="BC6">IF(OR(AJ6:BB6="SI"),"Critico","No Critico")</f>
        <v>No Critico</v>
      </c>
    </row>
    <row r="7" spans="1:61" ht="25.9" hidden="1" customHeight="1">
      <c r="A7" s="60">
        <f>Inicial!A7</f>
        <v>5</v>
      </c>
      <c r="B7" s="61" t="str">
        <f>Inicial!B7</f>
        <v>Desposte</v>
      </c>
      <c r="C7" s="61" t="str">
        <f>Inicial!C7</f>
        <v>Operario de producción línea Principal 1</v>
      </c>
      <c r="D7" s="62" t="str">
        <f>Inicial!D7</f>
        <v>Tijera cortadora de manos</v>
      </c>
      <c r="E7" s="60" t="str">
        <f>IF(Inicial!L7="SI",Inicial!E7,"N/A")</f>
        <v>N/A</v>
      </c>
      <c r="F7" s="61" t="str">
        <f>IF(Inicial!L7="SI",Inicial!F7,"N/A")</f>
        <v>N/A</v>
      </c>
      <c r="G7" s="61" t="str">
        <f>IF(Inicial!L7="SI",Inicial!G7,"N/A")</f>
        <v>N/A</v>
      </c>
      <c r="H7" s="61" t="str">
        <f>IF(Inicial!L7="SI",Inicial!H7,"N/A")</f>
        <v>N/A</v>
      </c>
      <c r="I7" s="63" t="str">
        <f>IF(Inicial!L7="SI",Inicial!I7,"N/A")</f>
        <v>N/A</v>
      </c>
      <c r="J7" s="11"/>
      <c r="K7" s="11"/>
      <c r="L7" s="11"/>
      <c r="M7" s="11"/>
      <c r="N7" s="11"/>
      <c r="O7" s="11"/>
      <c r="P7" s="11"/>
      <c r="Q7" s="11"/>
      <c r="R7" s="11"/>
      <c r="S7" s="11"/>
      <c r="T7" s="11"/>
      <c r="U7" s="11"/>
      <c r="V7" s="11"/>
      <c r="W7" s="11"/>
      <c r="X7" s="11"/>
      <c r="Y7" s="11"/>
      <c r="Z7" s="11"/>
      <c r="AA7" s="11"/>
      <c r="AB7" s="11"/>
      <c r="AC7" s="11"/>
      <c r="AD7" s="11"/>
      <c r="AE7" s="11"/>
      <c r="AF7" s="12" t="str" cm="1">
        <f t="array" ref="AF7">IF(OR(M7:AE7="NO"),"No aceptable","Aceptable")</f>
        <v>Aceptable</v>
      </c>
      <c r="AG7" s="11"/>
      <c r="AH7" s="11"/>
      <c r="AI7" s="11"/>
      <c r="AJ7" s="11"/>
      <c r="AK7" s="11"/>
      <c r="AL7" s="11"/>
      <c r="AM7" s="11"/>
      <c r="AN7" s="11"/>
      <c r="AO7" s="11"/>
      <c r="AP7" s="11"/>
      <c r="AQ7" s="11"/>
      <c r="AR7" s="11"/>
      <c r="AS7" s="11"/>
      <c r="AT7" s="11"/>
      <c r="AU7" s="11"/>
      <c r="AV7" s="11"/>
      <c r="AW7" s="11"/>
      <c r="AX7" s="11"/>
      <c r="AY7" s="11"/>
      <c r="AZ7" s="11"/>
      <c r="BA7" s="11"/>
      <c r="BB7" s="11"/>
      <c r="BC7" s="3" t="str" cm="1">
        <f t="array" ref="BC7">IF(OR(AJ7:BB7="SI"),"Critico","No Critico")</f>
        <v>No Critico</v>
      </c>
    </row>
    <row r="8" spans="1:61" ht="25.9" hidden="1" customHeight="1">
      <c r="A8" s="60">
        <f>Inicial!A8</f>
        <v>6</v>
      </c>
      <c r="B8" s="61" t="str">
        <f>Inicial!B8</f>
        <v>Desposte</v>
      </c>
      <c r="C8" s="61" t="str">
        <f>Inicial!C8</f>
        <v>Operario de producción línea Principal 1</v>
      </c>
      <c r="D8" s="62" t="str">
        <f>Inicial!D8</f>
        <v>Sierra EFA 86 corte de pernil</v>
      </c>
      <c r="E8" s="60" t="str">
        <f>IF(Inicial!L8="SI",Inicial!E8,"N/A")</f>
        <v>N/A</v>
      </c>
      <c r="F8" s="61" t="str">
        <f>IF(Inicial!L8="SI",Inicial!F8,"N/A")</f>
        <v>N/A</v>
      </c>
      <c r="G8" s="61" t="str">
        <f>IF(Inicial!L8="SI",Inicial!G8,"N/A")</f>
        <v>N/A</v>
      </c>
      <c r="H8" s="61" t="str">
        <f>IF(Inicial!L8="SI",Inicial!H8,"N/A")</f>
        <v>N/A</v>
      </c>
      <c r="I8" s="63" t="str">
        <f>IF(Inicial!L8="SI",Inicial!I8,"N/A")</f>
        <v>N/A</v>
      </c>
      <c r="J8" s="11"/>
      <c r="K8" s="11"/>
      <c r="L8" s="11"/>
      <c r="M8" s="11"/>
      <c r="N8" s="11"/>
      <c r="O8" s="11"/>
      <c r="P8" s="11"/>
      <c r="Q8" s="11"/>
      <c r="R8" s="11"/>
      <c r="S8" s="11"/>
      <c r="T8" s="11"/>
      <c r="U8" s="11"/>
      <c r="V8" s="11"/>
      <c r="W8" s="11"/>
      <c r="X8" s="11"/>
      <c r="Y8" s="11"/>
      <c r="Z8" s="11"/>
      <c r="AA8" s="11"/>
      <c r="AB8" s="11"/>
      <c r="AC8" s="11"/>
      <c r="AD8" s="11"/>
      <c r="AE8" s="11"/>
      <c r="AF8" s="12" t="str" cm="1">
        <f t="array" ref="AF8">IF(OR(M8:AE8="NO"),"No aceptable","Aceptable")</f>
        <v>Aceptable</v>
      </c>
      <c r="AG8" s="11"/>
      <c r="AH8" s="11"/>
      <c r="AI8" s="11"/>
      <c r="AJ8" s="11"/>
      <c r="AK8" s="11"/>
      <c r="AL8" s="11"/>
      <c r="AM8" s="11"/>
      <c r="AN8" s="11"/>
      <c r="AO8" s="11"/>
      <c r="AP8" s="11"/>
      <c r="AQ8" s="11"/>
      <c r="AR8" s="11"/>
      <c r="AS8" s="11"/>
      <c r="AT8" s="11"/>
      <c r="AU8" s="11"/>
      <c r="AV8" s="11"/>
      <c r="AW8" s="11"/>
      <c r="AX8" s="11"/>
      <c r="AY8" s="11"/>
      <c r="AZ8" s="11"/>
      <c r="BA8" s="11"/>
      <c r="BB8" s="11"/>
      <c r="BC8" s="3" t="str" cm="1">
        <f t="array" ref="BC8">IF(OR(AJ8:BB8="SI"),"Critico","No Critico")</f>
        <v>No Critico</v>
      </c>
    </row>
    <row r="9" spans="1:61" ht="38.25" hidden="1">
      <c r="A9" s="60">
        <f>Inicial!A9</f>
        <v>7</v>
      </c>
      <c r="B9" s="61" t="str">
        <f>Inicial!B9</f>
        <v>Desposte</v>
      </c>
      <c r="C9" s="61" t="str">
        <f>Inicial!C9</f>
        <v>Operario de producción línea Principal 1</v>
      </c>
      <c r="D9" s="62" t="str">
        <f>Inicial!D9</f>
        <v>RK 11 cuarto trasero</v>
      </c>
      <c r="E9" s="60" t="str">
        <f>IF(Inicial!L9="SI",Inicial!E9,"N/A")</f>
        <v>N/A</v>
      </c>
      <c r="F9" s="61" t="str">
        <f>IF(Inicial!L9="SI",Inicial!F9,"N/A")</f>
        <v>N/A</v>
      </c>
      <c r="G9" s="61" t="str">
        <f>IF(Inicial!L9="SI",Inicial!G9,"N/A")</f>
        <v>N/A</v>
      </c>
      <c r="H9" s="61" t="str">
        <f>IF(Inicial!L9="SI",Inicial!H9,"N/A")</f>
        <v>N/A</v>
      </c>
      <c r="I9" s="63" t="str">
        <f>IF(Inicial!L9="SI",Inicial!I9,"N/A")</f>
        <v>N/A</v>
      </c>
      <c r="J9" s="11"/>
      <c r="K9" s="11"/>
      <c r="L9" s="11"/>
      <c r="M9" s="11"/>
      <c r="N9" s="11"/>
      <c r="O9" s="11"/>
      <c r="P9" s="11"/>
      <c r="Q9" s="11"/>
      <c r="R9" s="11"/>
      <c r="S9" s="11"/>
      <c r="T9" s="11"/>
      <c r="U9" s="11"/>
      <c r="V9" s="11"/>
      <c r="W9" s="11"/>
      <c r="X9" s="11"/>
      <c r="Y9" s="11"/>
      <c r="Z9" s="11"/>
      <c r="AA9" s="11"/>
      <c r="AB9" s="11"/>
      <c r="AC9" s="11"/>
      <c r="AD9" s="11"/>
      <c r="AE9" s="11"/>
      <c r="AF9" s="12" t="str" cm="1">
        <f t="array" ref="AF9">IF(OR(M9:AE9="NO"),"No aceptable","Aceptable")</f>
        <v>Aceptable</v>
      </c>
      <c r="AG9" s="11"/>
      <c r="AH9" s="11"/>
      <c r="AI9" s="11"/>
      <c r="AJ9" s="11"/>
      <c r="AK9" s="11"/>
      <c r="AL9" s="11"/>
      <c r="AM9" s="11"/>
      <c r="AN9" s="11"/>
      <c r="AO9" s="11"/>
      <c r="AP9" s="11"/>
      <c r="AQ9" s="11"/>
      <c r="AR9" s="11"/>
      <c r="AS9" s="11"/>
      <c r="AT9" s="11"/>
      <c r="AU9" s="11"/>
      <c r="AV9" s="11"/>
      <c r="AW9" s="11"/>
      <c r="AX9" s="11"/>
      <c r="AY9" s="11"/>
      <c r="AZ9" s="11"/>
      <c r="BA9" s="11"/>
      <c r="BB9" s="11"/>
      <c r="BC9" s="3" t="str" cm="1">
        <f t="array" ref="BC9">IF(OR(AJ9:BB9="SI"),"Critico","No Critico")</f>
        <v>No Critico</v>
      </c>
    </row>
    <row r="10" spans="1:61" ht="38.25" hidden="1">
      <c r="A10" s="60">
        <f>Inicial!A10</f>
        <v>8</v>
      </c>
      <c r="B10" s="61" t="str">
        <f>Inicial!B10</f>
        <v>Desposte</v>
      </c>
      <c r="C10" s="61" t="str">
        <f>Inicial!C10</f>
        <v>Operario de producción línea Principal 1</v>
      </c>
      <c r="D10" s="62" t="str">
        <f>Inicial!D10</f>
        <v>RK 11 cuarto delantero</v>
      </c>
      <c r="E10" s="60" t="str">
        <f>IF(Inicial!L10="SI",Inicial!E10,"N/A")</f>
        <v>N/A</v>
      </c>
      <c r="F10" s="61" t="str">
        <f>IF(Inicial!L10="SI",Inicial!F10,"N/A")</f>
        <v>N/A</v>
      </c>
      <c r="G10" s="61" t="str">
        <f>IF(Inicial!L10="SI",Inicial!G10,"N/A")</f>
        <v>N/A</v>
      </c>
      <c r="H10" s="61" t="str">
        <f>IF(Inicial!L10="SI",Inicial!H10,"N/A")</f>
        <v>N/A</v>
      </c>
      <c r="I10" s="63" t="str">
        <f>IF(Inicial!L10="SI",Inicial!I10,"N/A")</f>
        <v>N/A</v>
      </c>
      <c r="J10" s="11"/>
      <c r="K10" s="11"/>
      <c r="L10" s="11"/>
      <c r="M10" s="11"/>
      <c r="N10" s="11"/>
      <c r="O10" s="11"/>
      <c r="P10" s="11"/>
      <c r="Q10" s="11"/>
      <c r="R10" s="11"/>
      <c r="S10" s="11"/>
      <c r="T10" s="11"/>
      <c r="U10" s="11"/>
      <c r="V10" s="11"/>
      <c r="W10" s="11"/>
      <c r="X10" s="11"/>
      <c r="Y10" s="11"/>
      <c r="Z10" s="11"/>
      <c r="AA10" s="11"/>
      <c r="AB10" s="11"/>
      <c r="AC10" s="11"/>
      <c r="AD10" s="11"/>
      <c r="AE10" s="11"/>
      <c r="AF10" s="12" t="str" cm="1">
        <f t="array" ref="AF10">IF(OR(M10:AE10="NO"),"No aceptable","Aceptable")</f>
        <v>Aceptable</v>
      </c>
      <c r="AG10" s="11"/>
      <c r="AH10" s="11"/>
      <c r="AI10" s="11"/>
      <c r="AJ10" s="11"/>
      <c r="AK10" s="11"/>
      <c r="AL10" s="11"/>
      <c r="AM10" s="11"/>
      <c r="AN10" s="11"/>
      <c r="AO10" s="11"/>
      <c r="AP10" s="11"/>
      <c r="AQ10" s="11"/>
      <c r="AR10" s="11"/>
      <c r="AS10" s="11"/>
      <c r="AT10" s="11"/>
      <c r="AU10" s="11"/>
      <c r="AV10" s="11"/>
      <c r="AW10" s="11"/>
      <c r="AX10" s="11"/>
      <c r="AY10" s="11"/>
      <c r="AZ10" s="11"/>
      <c r="BA10" s="11"/>
      <c r="BB10" s="11"/>
      <c r="BC10" s="3" t="str" cm="1">
        <f t="array" ref="BC10">IF(OR(AJ10:BB10="SI"),"Critico","No Critico")</f>
        <v>No Critico</v>
      </c>
    </row>
    <row r="11" spans="1:61" ht="38.25" hidden="1">
      <c r="A11" s="60">
        <f>Inicial!A11</f>
        <v>9</v>
      </c>
      <c r="B11" s="61" t="str">
        <f>Inicial!B11</f>
        <v>Desposte</v>
      </c>
      <c r="C11" s="61" t="str">
        <f>Inicial!C11</f>
        <v>Operario de producción línea Principal 1</v>
      </c>
      <c r="D11" s="62" t="str">
        <f>Inicial!D11</f>
        <v>Sierra EFA 86 Punta costilla</v>
      </c>
      <c r="E11" s="60" t="str">
        <f>IF(Inicial!L11="SI",Inicial!E11,"N/A")</f>
        <v>N/A</v>
      </c>
      <c r="F11" s="61" t="str">
        <f>IF(Inicial!L11="SI",Inicial!F11,"N/A")</f>
        <v>N/A</v>
      </c>
      <c r="G11" s="61" t="str">
        <f>IF(Inicial!L11="SI",Inicial!G11,"N/A")</f>
        <v>N/A</v>
      </c>
      <c r="H11" s="61" t="str">
        <f>IF(Inicial!L11="SI",Inicial!H11,"N/A")</f>
        <v>N/A</v>
      </c>
      <c r="I11" s="63" t="str">
        <f>IF(Inicial!L11="SI",Inicial!I11,"N/A")</f>
        <v>N/A</v>
      </c>
      <c r="J11" s="11"/>
      <c r="K11" s="11"/>
      <c r="L11" s="11"/>
      <c r="M11" s="11"/>
      <c r="N11" s="11"/>
      <c r="O11" s="11"/>
      <c r="P11" s="11"/>
      <c r="Q11" s="11"/>
      <c r="R11" s="11"/>
      <c r="S11" s="11"/>
      <c r="T11" s="11"/>
      <c r="U11" s="11"/>
      <c r="V11" s="11"/>
      <c r="W11" s="11"/>
      <c r="X11" s="11"/>
      <c r="Y11" s="11"/>
      <c r="Z11" s="11"/>
      <c r="AA11" s="11"/>
      <c r="AB11" s="11"/>
      <c r="AC11" s="11"/>
      <c r="AD11" s="11"/>
      <c r="AE11" s="11"/>
      <c r="AF11" s="12" t="str" cm="1">
        <f t="array" ref="AF11">IF(OR(M11:AE11="NO"),"No aceptable","Aceptable")</f>
        <v>Aceptable</v>
      </c>
      <c r="AG11" s="11"/>
      <c r="AH11" s="11"/>
      <c r="AI11" s="11"/>
      <c r="AJ11" s="11"/>
      <c r="AK11" s="11"/>
      <c r="AL11" s="11"/>
      <c r="AM11" s="11"/>
      <c r="AN11" s="11"/>
      <c r="AO11" s="11"/>
      <c r="AP11" s="11"/>
      <c r="AQ11" s="11"/>
      <c r="AR11" s="11"/>
      <c r="AS11" s="11"/>
      <c r="AT11" s="11"/>
      <c r="AU11" s="11"/>
      <c r="AV11" s="11"/>
      <c r="AW11" s="11"/>
      <c r="AX11" s="11"/>
      <c r="AY11" s="11"/>
      <c r="AZ11" s="11"/>
      <c r="BA11" s="11"/>
      <c r="BB11" s="11"/>
      <c r="BC11" s="3" t="str" cm="1">
        <f t="array" ref="BC11">IF(OR(AJ11:BB11="SI"),"Critico","No Critico")</f>
        <v>No Critico</v>
      </c>
    </row>
    <row r="12" spans="1:61" ht="38.25" hidden="1">
      <c r="A12" s="60">
        <f>Inicial!A12</f>
        <v>10</v>
      </c>
      <c r="B12" s="61" t="str">
        <f>Inicial!B12</f>
        <v>Desposte</v>
      </c>
      <c r="C12" s="61" t="str">
        <f>Inicial!C12</f>
        <v>Operario de producción línea Principal 1</v>
      </c>
      <c r="D12" s="62" t="str">
        <f>Inicial!D12</f>
        <v>Extracción de diafragma</v>
      </c>
      <c r="E12" s="60" t="str">
        <f>IF(Inicial!L12="SI",Inicial!E12,"N/A")</f>
        <v>N/A</v>
      </c>
      <c r="F12" s="61" t="str">
        <f>IF(Inicial!L12="SI",Inicial!F12,"N/A")</f>
        <v>N/A</v>
      </c>
      <c r="G12" s="61" t="str">
        <f>IF(Inicial!L12="SI",Inicial!G12,"N/A")</f>
        <v>N/A</v>
      </c>
      <c r="H12" s="61" t="str">
        <f>IF(Inicial!L12="SI",Inicial!H12,"N/A")</f>
        <v>N/A</v>
      </c>
      <c r="I12" s="63" t="str">
        <f>IF(Inicial!L12="SI",Inicial!I12,"N/A")</f>
        <v>N/A</v>
      </c>
      <c r="J12" s="11"/>
      <c r="K12" s="11"/>
      <c r="L12" s="11"/>
      <c r="M12" s="11"/>
      <c r="N12" s="11"/>
      <c r="O12" s="11"/>
      <c r="P12" s="11"/>
      <c r="Q12" s="11"/>
      <c r="R12" s="11"/>
      <c r="S12" s="11"/>
      <c r="T12" s="11"/>
      <c r="U12" s="11"/>
      <c r="V12" s="11"/>
      <c r="W12" s="11"/>
      <c r="X12" s="11"/>
      <c r="Y12" s="11"/>
      <c r="Z12" s="11"/>
      <c r="AA12" s="11"/>
      <c r="AB12" s="11"/>
      <c r="AC12" s="11"/>
      <c r="AD12" s="11"/>
      <c r="AE12" s="11"/>
      <c r="AF12" s="12" t="str" cm="1">
        <f t="array" ref="AF12">IF(OR(M12:AE12="NO"),"No aceptable","Aceptable")</f>
        <v>Aceptable</v>
      </c>
      <c r="AG12" s="11"/>
      <c r="AH12" s="11"/>
      <c r="AI12" s="11"/>
      <c r="AJ12" s="11"/>
      <c r="AK12" s="11"/>
      <c r="AL12" s="11"/>
      <c r="AM12" s="11"/>
      <c r="AN12" s="11"/>
      <c r="AO12" s="11"/>
      <c r="AP12" s="11"/>
      <c r="AQ12" s="11"/>
      <c r="AR12" s="11"/>
      <c r="AS12" s="11"/>
      <c r="AT12" s="11"/>
      <c r="AU12" s="11"/>
      <c r="AV12" s="11"/>
      <c r="AW12" s="11"/>
      <c r="AX12" s="11"/>
      <c r="AY12" s="11"/>
      <c r="AZ12" s="11"/>
      <c r="BA12" s="11"/>
      <c r="BB12" s="11"/>
      <c r="BC12" s="3" t="str" cm="1">
        <f t="array" ref="BC12">IF(OR(AJ12:BB12="SI"),"Critico","No Critico")</f>
        <v>No Critico</v>
      </c>
    </row>
    <row r="13" spans="1:61" ht="38.25" hidden="1">
      <c r="A13" s="60">
        <f>Inicial!A13</f>
        <v>11</v>
      </c>
      <c r="B13" s="61" t="str">
        <f>Inicial!B13</f>
        <v>Desposte</v>
      </c>
      <c r="C13" s="61" t="str">
        <f>Inicial!C13</f>
        <v>Operario de producción línea Principal 1</v>
      </c>
      <c r="D13" s="62" t="str">
        <f>Inicial!D13</f>
        <v>Corte de pernil</v>
      </c>
      <c r="E13" s="60" t="str">
        <f>IF(Inicial!L13="SI",Inicial!E13,"N/A")</f>
        <v>N/A</v>
      </c>
      <c r="F13" s="61" t="str">
        <f>IF(Inicial!L13="SI",Inicial!F13,"N/A")</f>
        <v>N/A</v>
      </c>
      <c r="G13" s="61" t="str">
        <f>IF(Inicial!L13="SI",Inicial!G13,"N/A")</f>
        <v>N/A</v>
      </c>
      <c r="H13" s="61" t="str">
        <f>IF(Inicial!L13="SI",Inicial!H13,"N/A")</f>
        <v>N/A</v>
      </c>
      <c r="I13" s="63" t="str">
        <f>IF(Inicial!L13="SI",Inicial!I13,"N/A")</f>
        <v>N/A</v>
      </c>
      <c r="J13" s="11"/>
      <c r="K13" s="11"/>
      <c r="L13" s="11"/>
      <c r="M13" s="11"/>
      <c r="N13" s="11"/>
      <c r="O13" s="11"/>
      <c r="P13" s="11"/>
      <c r="Q13" s="11"/>
      <c r="R13" s="11"/>
      <c r="S13" s="11"/>
      <c r="T13" s="11"/>
      <c r="U13" s="11"/>
      <c r="V13" s="11"/>
      <c r="W13" s="11"/>
      <c r="X13" s="11"/>
      <c r="Y13" s="11"/>
      <c r="Z13" s="11"/>
      <c r="AA13" s="11"/>
      <c r="AB13" s="11"/>
      <c r="AC13" s="11"/>
      <c r="AD13" s="11"/>
      <c r="AE13" s="11"/>
      <c r="AF13" s="12" t="str" cm="1">
        <f t="array" ref="AF13">IF(OR(M13:AE13="NO"),"No aceptable","Aceptable")</f>
        <v>Aceptable</v>
      </c>
      <c r="AG13" s="11"/>
      <c r="AH13" s="11"/>
      <c r="AI13" s="11"/>
      <c r="AJ13" s="11"/>
      <c r="AK13" s="11"/>
      <c r="AL13" s="11"/>
      <c r="AM13" s="11"/>
      <c r="AN13" s="11"/>
      <c r="AO13" s="11"/>
      <c r="AP13" s="11"/>
      <c r="AQ13" s="11"/>
      <c r="AR13" s="11"/>
      <c r="AS13" s="11"/>
      <c r="AT13" s="11"/>
      <c r="AU13" s="11"/>
      <c r="AV13" s="11"/>
      <c r="AW13" s="11"/>
      <c r="AX13" s="11"/>
      <c r="AY13" s="11"/>
      <c r="AZ13" s="11"/>
      <c r="BA13" s="11"/>
      <c r="BB13" s="11"/>
      <c r="BC13" s="3" t="str" cm="1">
        <f t="array" ref="BC13">IF(OR(AJ13:BB13="SI"),"Critico","No Critico")</f>
        <v>No Critico</v>
      </c>
    </row>
    <row r="14" spans="1:61" ht="38.25" hidden="1">
      <c r="A14" s="60">
        <f>Inicial!A14</f>
        <v>12</v>
      </c>
      <c r="B14" s="61" t="str">
        <f>Inicial!B14</f>
        <v>Desposte</v>
      </c>
      <c r="C14" s="61" t="str">
        <f>Inicial!C14</f>
        <v>Operario de producción línea Principal 1</v>
      </c>
      <c r="D14" s="62" t="str">
        <f>Inicial!D14</f>
        <v>Extracción de papada</v>
      </c>
      <c r="E14" s="60" t="str">
        <f>IF(Inicial!L14="SI",Inicial!E14,"N/A")</f>
        <v>N/A</v>
      </c>
      <c r="F14" s="61" t="str">
        <f>IF(Inicial!L14="SI",Inicial!F14,"N/A")</f>
        <v>N/A</v>
      </c>
      <c r="G14" s="61" t="str">
        <f>IF(Inicial!L14="SI",Inicial!G14,"N/A")</f>
        <v>N/A</v>
      </c>
      <c r="H14" s="61" t="str">
        <f>IF(Inicial!L14="SI",Inicial!H14,"N/A")</f>
        <v>N/A</v>
      </c>
      <c r="I14" s="63" t="str">
        <f>IF(Inicial!L14="SI",Inicial!I14,"N/A")</f>
        <v>N/A</v>
      </c>
      <c r="J14" s="11"/>
      <c r="K14" s="11"/>
      <c r="L14" s="11"/>
      <c r="M14" s="11"/>
      <c r="N14" s="11"/>
      <c r="O14" s="11"/>
      <c r="P14" s="11"/>
      <c r="Q14" s="11"/>
      <c r="R14" s="11"/>
      <c r="S14" s="11"/>
      <c r="T14" s="11"/>
      <c r="U14" s="11"/>
      <c r="V14" s="11"/>
      <c r="W14" s="11"/>
      <c r="X14" s="11"/>
      <c r="Y14" s="11"/>
      <c r="Z14" s="11"/>
      <c r="AA14" s="11"/>
      <c r="AB14" s="11"/>
      <c r="AC14" s="11"/>
      <c r="AD14" s="11"/>
      <c r="AE14" s="11"/>
      <c r="AF14" s="12" t="str" cm="1">
        <f t="array" ref="AF14">IF(OR(M14:AE14="NO"),"No aceptable","Aceptable")</f>
        <v>Aceptable</v>
      </c>
      <c r="AG14" s="11"/>
      <c r="AH14" s="11"/>
      <c r="AI14" s="11"/>
      <c r="AJ14" s="11"/>
      <c r="AK14" s="11"/>
      <c r="AL14" s="11"/>
      <c r="AM14" s="11"/>
      <c r="AN14" s="11"/>
      <c r="AO14" s="11"/>
      <c r="AP14" s="11"/>
      <c r="AQ14" s="11"/>
      <c r="AR14" s="11"/>
      <c r="AS14" s="11"/>
      <c r="AT14" s="11"/>
      <c r="AU14" s="11"/>
      <c r="AV14" s="11"/>
      <c r="AW14" s="11"/>
      <c r="AX14" s="11"/>
      <c r="AY14" s="11"/>
      <c r="AZ14" s="11"/>
      <c r="BA14" s="11"/>
      <c r="BB14" s="11"/>
      <c r="BC14" s="3" t="str" cm="1">
        <f t="array" ref="BC14">IF(OR(AJ14:BB14="SI"),"Critico","No Critico")</f>
        <v>No Critico</v>
      </c>
    </row>
    <row r="15" spans="1:61" ht="38.25" hidden="1">
      <c r="A15" s="60">
        <f>Inicial!A15</f>
        <v>13</v>
      </c>
      <c r="B15" s="61" t="str">
        <f>Inicial!B15</f>
        <v>Desposte</v>
      </c>
      <c r="C15" s="61" t="str">
        <f>Inicial!C15</f>
        <v>Operario de producción línea Principal 1</v>
      </c>
      <c r="D15" s="62" t="str">
        <f>Inicial!D15</f>
        <v>Extracción de punta costilla izquierda</v>
      </c>
      <c r="E15" s="60" t="str">
        <f>IF(Inicial!L15="SI",Inicial!E15,"N/A")</f>
        <v>N/A</v>
      </c>
      <c r="F15" s="61" t="str">
        <f>IF(Inicial!L15="SI",Inicial!F15,"N/A")</f>
        <v>N/A</v>
      </c>
      <c r="G15" s="61" t="str">
        <f>IF(Inicial!L15="SI",Inicial!G15,"N/A")</f>
        <v>N/A</v>
      </c>
      <c r="H15" s="61" t="str">
        <f>IF(Inicial!L15="SI",Inicial!H15,"N/A")</f>
        <v>N/A</v>
      </c>
      <c r="I15" s="63" t="str">
        <f>IF(Inicial!L15="SI",Inicial!I15,"N/A")</f>
        <v>N/A</v>
      </c>
      <c r="J15" s="11"/>
      <c r="K15" s="11"/>
      <c r="L15" s="11"/>
      <c r="M15" s="11"/>
      <c r="N15" s="11"/>
      <c r="O15" s="11"/>
      <c r="P15" s="11"/>
      <c r="Q15" s="11"/>
      <c r="R15" s="11"/>
      <c r="S15" s="11"/>
      <c r="T15" s="11"/>
      <c r="U15" s="11"/>
      <c r="V15" s="11"/>
      <c r="W15" s="11"/>
      <c r="X15" s="11"/>
      <c r="Y15" s="11"/>
      <c r="Z15" s="11"/>
      <c r="AA15" s="11"/>
      <c r="AB15" s="11"/>
      <c r="AC15" s="11"/>
      <c r="AD15" s="11"/>
      <c r="AE15" s="11"/>
      <c r="AF15" s="12" t="str" cm="1">
        <f t="array" ref="AF15">IF(OR(M15:AE15="NO"),"No aceptable","Aceptable")</f>
        <v>Aceptable</v>
      </c>
      <c r="AG15" s="11"/>
      <c r="AH15" s="11"/>
      <c r="AI15" s="11"/>
      <c r="AJ15" s="11"/>
      <c r="AK15" s="11"/>
      <c r="AL15" s="11"/>
      <c r="AM15" s="11"/>
      <c r="AN15" s="11"/>
      <c r="AO15" s="11"/>
      <c r="AP15" s="11"/>
      <c r="AQ15" s="11"/>
      <c r="AR15" s="11"/>
      <c r="AS15" s="11"/>
      <c r="AT15" s="11"/>
      <c r="AU15" s="11"/>
      <c r="AV15" s="11"/>
      <c r="AW15" s="11"/>
      <c r="AX15" s="11"/>
      <c r="AY15" s="11"/>
      <c r="AZ15" s="11"/>
      <c r="BA15" s="11"/>
      <c r="BB15" s="11"/>
      <c r="BC15" s="3" t="str" cm="1">
        <f t="array" ref="BC15">IF(OR(AJ15:BB15="SI"),"Critico","No Critico")</f>
        <v>No Critico</v>
      </c>
    </row>
    <row r="16" spans="1:61" ht="38.25" hidden="1">
      <c r="A16" s="60">
        <f>Inicial!A16</f>
        <v>14</v>
      </c>
      <c r="B16" s="61" t="str">
        <f>Inicial!B16</f>
        <v>Desposte</v>
      </c>
      <c r="C16" s="61" t="str">
        <f>Inicial!C16</f>
        <v>Operario de producción línea Principal 1</v>
      </c>
      <c r="D16" s="62" t="str">
        <f>Inicial!D16</f>
        <v>Extracción de punta costilla derecha</v>
      </c>
      <c r="E16" s="60" t="str">
        <f>IF(Inicial!L16="SI",Inicial!E16,"N/A")</f>
        <v>N/A</v>
      </c>
      <c r="F16" s="61" t="str">
        <f>IF(Inicial!L16="SI",Inicial!F16,"N/A")</f>
        <v>N/A</v>
      </c>
      <c r="G16" s="61" t="str">
        <f>IF(Inicial!L16="SI",Inicial!G16,"N/A")</f>
        <v>N/A</v>
      </c>
      <c r="H16" s="61" t="str">
        <f>IF(Inicial!L16="SI",Inicial!H16,"N/A")</f>
        <v>N/A</v>
      </c>
      <c r="I16" s="63" t="str">
        <f>IF(Inicial!L16="SI",Inicial!I16,"N/A")</f>
        <v>N/A</v>
      </c>
      <c r="J16" s="11"/>
      <c r="K16" s="11"/>
      <c r="L16" s="11"/>
      <c r="M16" s="11"/>
      <c r="N16" s="11"/>
      <c r="O16" s="11"/>
      <c r="P16" s="11"/>
      <c r="Q16" s="11"/>
      <c r="R16" s="11"/>
      <c r="S16" s="11"/>
      <c r="T16" s="11"/>
      <c r="U16" s="11"/>
      <c r="V16" s="11"/>
      <c r="W16" s="11"/>
      <c r="X16" s="11"/>
      <c r="Y16" s="11"/>
      <c r="Z16" s="11"/>
      <c r="AA16" s="11"/>
      <c r="AB16" s="11"/>
      <c r="AC16" s="11"/>
      <c r="AD16" s="11"/>
      <c r="AE16" s="11"/>
      <c r="AF16" s="12" t="str" cm="1">
        <f t="array" ref="AF16">IF(OR(M16:AE16="NO"),"No aceptable","Aceptable")</f>
        <v>Aceptable</v>
      </c>
      <c r="AG16" s="11"/>
      <c r="AH16" s="11"/>
      <c r="AI16" s="11"/>
      <c r="AJ16" s="11"/>
      <c r="AK16" s="11"/>
      <c r="AL16" s="11"/>
      <c r="AM16" s="11"/>
      <c r="AN16" s="11"/>
      <c r="AO16" s="11"/>
      <c r="AP16" s="11"/>
      <c r="AQ16" s="11"/>
      <c r="AR16" s="11"/>
      <c r="AS16" s="11"/>
      <c r="AT16" s="11"/>
      <c r="AU16" s="11"/>
      <c r="AV16" s="11"/>
      <c r="AW16" s="11"/>
      <c r="AX16" s="11"/>
      <c r="AY16" s="11"/>
      <c r="AZ16" s="11"/>
      <c r="BA16" s="11"/>
      <c r="BB16" s="11"/>
      <c r="BC16" s="3" t="str" cm="1">
        <f t="array" ref="BC16">IF(OR(AJ16:BB16="SI"),"Critico","No Critico")</f>
        <v>No Critico</v>
      </c>
    </row>
    <row r="17" spans="1:55" ht="38.25" hidden="1">
      <c r="A17" s="60">
        <f>Inicial!A17</f>
        <v>15</v>
      </c>
      <c r="B17" s="61" t="str">
        <f>Inicial!B17</f>
        <v>Desposte</v>
      </c>
      <c r="C17" s="61" t="str">
        <f>Inicial!C17</f>
        <v>Operario de producción línea Principal 1</v>
      </c>
      <c r="D17" s="62" t="str">
        <f>Inicial!D17</f>
        <v>Operación de MSS</v>
      </c>
      <c r="E17" s="60" t="str">
        <f>IF(Inicial!L17="SI",Inicial!E17,"N/A")</f>
        <v>N/A</v>
      </c>
      <c r="F17" s="61" t="str">
        <f>IF(Inicial!L17="SI",Inicial!F17,"N/A")</f>
        <v>N/A</v>
      </c>
      <c r="G17" s="61" t="str">
        <f>IF(Inicial!L17="SI",Inicial!G17,"N/A")</f>
        <v>N/A</v>
      </c>
      <c r="H17" s="61" t="str">
        <f>IF(Inicial!L17="SI",Inicial!H17,"N/A")</f>
        <v>N/A</v>
      </c>
      <c r="I17" s="63" t="str">
        <f>IF(Inicial!L17="SI",Inicial!I17,"N/A")</f>
        <v>N/A</v>
      </c>
      <c r="J17" s="11"/>
      <c r="K17" s="11"/>
      <c r="L17" s="11"/>
      <c r="M17" s="11"/>
      <c r="N17" s="11"/>
      <c r="O17" s="11"/>
      <c r="P17" s="11"/>
      <c r="Q17" s="11"/>
      <c r="R17" s="11"/>
      <c r="S17" s="11"/>
      <c r="T17" s="11"/>
      <c r="U17" s="11"/>
      <c r="V17" s="11"/>
      <c r="W17" s="11"/>
      <c r="X17" s="11"/>
      <c r="Y17" s="11"/>
      <c r="Z17" s="11"/>
      <c r="AA17" s="11"/>
      <c r="AB17" s="11"/>
      <c r="AC17" s="11"/>
      <c r="AD17" s="11"/>
      <c r="AE17" s="11"/>
      <c r="AF17" s="12" t="str" cm="1">
        <f t="array" ref="AF17">IF(OR(M17:AE17="NO"),"No aceptable","Aceptable")</f>
        <v>Aceptable</v>
      </c>
      <c r="AG17" s="11"/>
      <c r="AH17" s="11"/>
      <c r="AI17" s="11"/>
      <c r="AJ17" s="11"/>
      <c r="AK17" s="11"/>
      <c r="AL17" s="11"/>
      <c r="AM17" s="11"/>
      <c r="AN17" s="11"/>
      <c r="AO17" s="11"/>
      <c r="AP17" s="11"/>
      <c r="AQ17" s="11"/>
      <c r="AR17" s="11"/>
      <c r="AS17" s="11"/>
      <c r="AT17" s="11"/>
      <c r="AU17" s="11"/>
      <c r="AV17" s="11"/>
      <c r="AW17" s="11"/>
      <c r="AX17" s="11"/>
      <c r="AY17" s="11"/>
      <c r="AZ17" s="11"/>
      <c r="BA17" s="11"/>
      <c r="BB17" s="11"/>
      <c r="BC17" s="3" t="str" cm="1">
        <f t="array" ref="BC17">IF(OR(AJ17:BB17="SI"),"Critico","No Critico")</f>
        <v>No Critico</v>
      </c>
    </row>
    <row r="18" spans="1:55" ht="38.25" hidden="1">
      <c r="A18" s="60">
        <f>Inicial!A18</f>
        <v>16</v>
      </c>
      <c r="B18" s="61" t="str">
        <f>Inicial!B18</f>
        <v>Desposte</v>
      </c>
      <c r="C18" s="61" t="str">
        <f>Inicial!C18</f>
        <v>Operario de producción línea Principal 1</v>
      </c>
      <c r="D18" s="62" t="str">
        <f>Inicial!D18</f>
        <v>Extracción de hueso pecho</v>
      </c>
      <c r="E18" s="60" t="str">
        <f>IF(Inicial!L18="SI",Inicial!E18,"N/A")</f>
        <v>N/A</v>
      </c>
      <c r="F18" s="61" t="str">
        <f>IF(Inicial!L18="SI",Inicial!F18,"N/A")</f>
        <v>N/A</v>
      </c>
      <c r="G18" s="61" t="str">
        <f>IF(Inicial!L18="SI",Inicial!G18,"N/A")</f>
        <v>N/A</v>
      </c>
      <c r="H18" s="61" t="str">
        <f>IF(Inicial!L18="SI",Inicial!H18,"N/A")</f>
        <v>N/A</v>
      </c>
      <c r="I18" s="63" t="str">
        <f>IF(Inicial!L18="SI",Inicial!I18,"N/A")</f>
        <v>N/A</v>
      </c>
      <c r="J18" s="11"/>
      <c r="K18" s="11"/>
      <c r="L18" s="11"/>
      <c r="M18" s="11"/>
      <c r="N18" s="11"/>
      <c r="O18" s="11"/>
      <c r="P18" s="11"/>
      <c r="Q18" s="11"/>
      <c r="R18" s="11"/>
      <c r="S18" s="11"/>
      <c r="T18" s="11"/>
      <c r="U18" s="11"/>
      <c r="V18" s="11"/>
      <c r="W18" s="11"/>
      <c r="X18" s="11"/>
      <c r="Y18" s="11"/>
      <c r="Z18" s="11"/>
      <c r="AA18" s="11"/>
      <c r="AB18" s="11"/>
      <c r="AC18" s="11"/>
      <c r="AD18" s="11"/>
      <c r="AE18" s="11"/>
      <c r="AF18" s="12" t="str" cm="1">
        <f t="array" ref="AF18">IF(OR(M18:AE18="NO"),"No aceptable","Aceptable")</f>
        <v>Aceptable</v>
      </c>
      <c r="AG18" s="11"/>
      <c r="AH18" s="11"/>
      <c r="AI18" s="11"/>
      <c r="AJ18" s="11"/>
      <c r="AK18" s="11"/>
      <c r="AL18" s="11"/>
      <c r="AM18" s="11"/>
      <c r="AN18" s="11"/>
      <c r="AO18" s="11"/>
      <c r="AP18" s="11"/>
      <c r="AQ18" s="11"/>
      <c r="AR18" s="11"/>
      <c r="AS18" s="11"/>
      <c r="AT18" s="11"/>
      <c r="AU18" s="11"/>
      <c r="AV18" s="11"/>
      <c r="AW18" s="11"/>
      <c r="AX18" s="11"/>
      <c r="AY18" s="11"/>
      <c r="AZ18" s="11"/>
      <c r="BA18" s="11"/>
      <c r="BB18" s="11"/>
      <c r="BC18" s="3" t="str" cm="1">
        <f t="array" ref="BC18">IF(OR(AJ18:BB18="SI"),"Critico","No Critico")</f>
        <v>No Critico</v>
      </c>
    </row>
    <row r="19" spans="1:55" ht="38.25" hidden="1">
      <c r="A19" s="60">
        <f>Inicial!A19</f>
        <v>17</v>
      </c>
      <c r="B19" s="61" t="str">
        <f>Inicial!B19</f>
        <v>Desposte</v>
      </c>
      <c r="C19" s="61" t="str">
        <f>Inicial!C19</f>
        <v>Operario de producción línea Principal 1</v>
      </c>
      <c r="D19" s="62" t="str">
        <f>Inicial!D19</f>
        <v>Deshuesado de panceta</v>
      </c>
      <c r="E19" s="60" t="str">
        <f>IF(Inicial!L19="SI",Inicial!E19,"N/A")</f>
        <v>N/A</v>
      </c>
      <c r="F19" s="61" t="str">
        <f>IF(Inicial!L19="SI",Inicial!F19,"N/A")</f>
        <v>N/A</v>
      </c>
      <c r="G19" s="61" t="str">
        <f>IF(Inicial!L19="SI",Inicial!G19,"N/A")</f>
        <v>N/A</v>
      </c>
      <c r="H19" s="61" t="str">
        <f>IF(Inicial!L19="SI",Inicial!H19,"N/A")</f>
        <v>N/A</v>
      </c>
      <c r="I19" s="63" t="str">
        <f>IF(Inicial!L19="SI",Inicial!I19,"N/A")</f>
        <v>N/A</v>
      </c>
      <c r="J19" s="11"/>
      <c r="K19" s="11"/>
      <c r="L19" s="11"/>
      <c r="M19" s="11"/>
      <c r="N19" s="11"/>
      <c r="O19" s="11"/>
      <c r="P19" s="11"/>
      <c r="Q19" s="11"/>
      <c r="R19" s="11"/>
      <c r="S19" s="11"/>
      <c r="T19" s="11"/>
      <c r="U19" s="11"/>
      <c r="V19" s="11"/>
      <c r="W19" s="11"/>
      <c r="X19" s="11"/>
      <c r="Y19" s="11"/>
      <c r="Z19" s="11"/>
      <c r="AA19" s="11"/>
      <c r="AB19" s="11"/>
      <c r="AC19" s="11"/>
      <c r="AD19" s="11"/>
      <c r="AE19" s="11"/>
      <c r="AF19" s="12" t="str" cm="1">
        <f t="array" ref="AF19">IF(OR(M19:AE19="NO"),"No aceptable","Aceptable")</f>
        <v>Aceptable</v>
      </c>
      <c r="AG19" s="11"/>
      <c r="AH19" s="11"/>
      <c r="AI19" s="11"/>
      <c r="AJ19" s="11"/>
      <c r="AK19" s="11"/>
      <c r="AL19" s="11"/>
      <c r="AM19" s="11"/>
      <c r="AN19" s="11"/>
      <c r="AO19" s="11"/>
      <c r="AP19" s="11"/>
      <c r="AQ19" s="11"/>
      <c r="AR19" s="11"/>
      <c r="AS19" s="11"/>
      <c r="AT19" s="11"/>
      <c r="AU19" s="11"/>
      <c r="AV19" s="11"/>
      <c r="AW19" s="11"/>
      <c r="AX19" s="11"/>
      <c r="AY19" s="11"/>
      <c r="AZ19" s="11"/>
      <c r="BA19" s="11"/>
      <c r="BB19" s="11"/>
      <c r="BC19" s="3" t="str" cm="1">
        <f t="array" ref="BC19">IF(OR(AJ19:BB19="SI"),"Critico","No Critico")</f>
        <v>No Critico</v>
      </c>
    </row>
    <row r="20" spans="1:55" ht="38.25">
      <c r="A20" s="60">
        <f>Inicial!A20</f>
        <v>18</v>
      </c>
      <c r="B20" s="61" t="str">
        <f>Inicial!B20</f>
        <v>Desposte</v>
      </c>
      <c r="C20" s="61" t="str">
        <f>Inicial!C20</f>
        <v>Operario de producción Línea Lomos</v>
      </c>
      <c r="D20" s="62" t="str">
        <f>Inicial!D20</f>
        <v xml:space="preserve">Operador Descueradora Manual </v>
      </c>
      <c r="E20" s="60" t="str">
        <f>IF(Inicial!L20="SI",Inicial!E20,"N/A")</f>
        <v>Am: 07:00 a 16:00 - PM: 17:15 a 02:45</v>
      </c>
      <c r="F20" s="61" t="str">
        <f>IF(Inicial!L20="SI",Inicial!F20,"N/A")</f>
        <v>0.5</v>
      </c>
      <c r="G20" s="61">
        <f>IF(Inicial!L20="SI",Inicial!G20,"N/A")</f>
        <v>4.5</v>
      </c>
      <c r="H20" s="61">
        <f>IF(Inicial!L20="SI",Inicial!H20,"N/A")</f>
        <v>57</v>
      </c>
      <c r="I20" s="63">
        <f>IF(Inicial!L20="SI",Inicial!I20,"N/A")</f>
        <v>29</v>
      </c>
      <c r="J20" s="11" t="s">
        <v>16</v>
      </c>
      <c r="K20" s="11" t="s">
        <v>346</v>
      </c>
      <c r="L20" s="11" t="s">
        <v>346</v>
      </c>
      <c r="M20" s="11" t="s">
        <v>346</v>
      </c>
      <c r="N20" s="11" t="s">
        <v>346</v>
      </c>
      <c r="O20" s="11" t="s">
        <v>346</v>
      </c>
      <c r="P20" s="11" t="s">
        <v>346</v>
      </c>
      <c r="Q20" s="11" t="s">
        <v>16</v>
      </c>
      <c r="R20" s="11" t="s">
        <v>346</v>
      </c>
      <c r="S20" s="11" t="s">
        <v>346</v>
      </c>
      <c r="T20" s="11" t="s">
        <v>346</v>
      </c>
      <c r="U20" s="11" t="s">
        <v>346</v>
      </c>
      <c r="V20" s="11" t="s">
        <v>346</v>
      </c>
      <c r="W20" s="11" t="s">
        <v>346</v>
      </c>
      <c r="X20" s="11" t="s">
        <v>346</v>
      </c>
      <c r="Y20" s="11" t="s">
        <v>346</v>
      </c>
      <c r="Z20" s="11" t="s">
        <v>346</v>
      </c>
      <c r="AA20" s="11" t="s">
        <v>346</v>
      </c>
      <c r="AB20" s="11" t="s">
        <v>346</v>
      </c>
      <c r="AC20" s="11" t="s">
        <v>346</v>
      </c>
      <c r="AD20" s="11" t="s">
        <v>346</v>
      </c>
      <c r="AE20" s="11" t="s">
        <v>346</v>
      </c>
      <c r="AF20" s="12" t="str" cm="1">
        <f t="array" ref="AF20">IF(OR(M20:AE20="NO"),"No aceptable","Aceptable")</f>
        <v>No aceptable</v>
      </c>
      <c r="AG20" s="11" t="s">
        <v>16</v>
      </c>
      <c r="AH20" s="11" t="s">
        <v>16</v>
      </c>
      <c r="AI20" s="11" t="s">
        <v>16</v>
      </c>
      <c r="AJ20" s="11" t="s">
        <v>16</v>
      </c>
      <c r="AK20" s="11" t="s">
        <v>16</v>
      </c>
      <c r="AL20" s="11" t="s">
        <v>16</v>
      </c>
      <c r="AM20" s="11" t="s">
        <v>16</v>
      </c>
      <c r="AN20" s="11" t="s">
        <v>16</v>
      </c>
      <c r="AO20" s="11" t="s">
        <v>16</v>
      </c>
      <c r="AP20" s="11" t="s">
        <v>16</v>
      </c>
      <c r="AQ20" s="11" t="s">
        <v>16</v>
      </c>
      <c r="AR20" s="11" t="s">
        <v>16</v>
      </c>
      <c r="AS20" s="11" t="s">
        <v>16</v>
      </c>
      <c r="AT20" s="11" t="s">
        <v>16</v>
      </c>
      <c r="AU20" s="11" t="s">
        <v>16</v>
      </c>
      <c r="AV20" s="11" t="s">
        <v>16</v>
      </c>
      <c r="AW20" s="11" t="s">
        <v>16</v>
      </c>
      <c r="AX20" s="11" t="s">
        <v>16</v>
      </c>
      <c r="AY20" s="11" t="s">
        <v>16</v>
      </c>
      <c r="AZ20" s="11" t="s">
        <v>16</v>
      </c>
      <c r="BA20" s="11" t="s">
        <v>16</v>
      </c>
      <c r="BB20" s="11" t="s">
        <v>16</v>
      </c>
      <c r="BC20" s="3" t="str" cm="1">
        <f t="array" ref="BC20">IF(OR(AJ20:BB20="SI"),"Critico","No Critico")</f>
        <v>No Critico</v>
      </c>
    </row>
    <row r="21" spans="1:55" ht="38.25" hidden="1">
      <c r="A21" s="60">
        <f>Inicial!A21</f>
        <v>19</v>
      </c>
      <c r="B21" s="61" t="str">
        <f>Inicial!B21</f>
        <v>Desposte</v>
      </c>
      <c r="C21" s="61" t="str">
        <f>Inicial!C21</f>
        <v>Operario de producción Línea Lomos</v>
      </c>
      <c r="D21" s="62" t="str">
        <f>Inicial!D21</f>
        <v>Posicionamiento de lomo tecla</v>
      </c>
      <c r="E21" s="60" t="str">
        <f>IF(Inicial!L21="SI",Inicial!E21,"N/A")</f>
        <v>N/A</v>
      </c>
      <c r="F21" s="61" t="str">
        <f>IF(Inicial!L21="SI",Inicial!F21,"N/A")</f>
        <v>N/A</v>
      </c>
      <c r="G21" s="61" t="str">
        <f>IF(Inicial!L21="SI",Inicial!G21,"N/A")</f>
        <v>N/A</v>
      </c>
      <c r="H21" s="61" t="str">
        <f>IF(Inicial!L21="SI",Inicial!H21,"N/A")</f>
        <v>N/A</v>
      </c>
      <c r="I21" s="63" t="str">
        <f>IF(Inicial!L21="SI",Inicial!I21,"N/A")</f>
        <v>N/A</v>
      </c>
      <c r="J21" s="11"/>
      <c r="K21" s="11"/>
      <c r="L21" s="11"/>
      <c r="M21" s="11"/>
      <c r="N21" s="11"/>
      <c r="O21" s="11"/>
      <c r="P21" s="11"/>
      <c r="Q21" s="11"/>
      <c r="R21" s="11"/>
      <c r="S21" s="11"/>
      <c r="T21" s="11"/>
      <c r="U21" s="11"/>
      <c r="V21" s="11"/>
      <c r="W21" s="11"/>
      <c r="X21" s="11"/>
      <c r="Y21" s="11"/>
      <c r="Z21" s="11"/>
      <c r="AA21" s="11"/>
      <c r="AB21" s="11"/>
      <c r="AC21" s="11"/>
      <c r="AD21" s="11"/>
      <c r="AE21" s="11"/>
      <c r="AF21" s="12" t="str" cm="1">
        <f t="array" ref="AF21">IF(OR(M21:AE21="NO"),"No aceptable","Aceptable")</f>
        <v>Aceptable</v>
      </c>
      <c r="AG21" s="11"/>
      <c r="AH21" s="11"/>
      <c r="AI21" s="11"/>
      <c r="AJ21" s="11"/>
      <c r="AK21" s="11"/>
      <c r="AL21" s="11"/>
      <c r="AM21" s="11"/>
      <c r="AN21" s="11"/>
      <c r="AO21" s="11"/>
      <c r="AP21" s="11"/>
      <c r="AQ21" s="11"/>
      <c r="AR21" s="11"/>
      <c r="AS21" s="11"/>
      <c r="AT21" s="11"/>
      <c r="AU21" s="11"/>
      <c r="AV21" s="11"/>
      <c r="AW21" s="11"/>
      <c r="AX21" s="11"/>
      <c r="AY21" s="11"/>
      <c r="AZ21" s="11"/>
      <c r="BA21" s="11"/>
      <c r="BB21" s="11"/>
      <c r="BC21" s="3" t="str" cm="1">
        <f t="array" ref="BC21">IF(OR(AJ21:BB21="SI"),"Critico","No Critico")</f>
        <v>No Critico</v>
      </c>
    </row>
    <row r="22" spans="1:55" ht="38.25" hidden="1">
      <c r="A22" s="60">
        <f>Inicial!A22</f>
        <v>20</v>
      </c>
      <c r="B22" s="61" t="str">
        <f>Inicial!B22</f>
        <v>Desposte</v>
      </c>
      <c r="C22" s="61" t="str">
        <f>Inicial!C22</f>
        <v>Operario de producción Línea Lomos</v>
      </c>
      <c r="D22" s="62" t="str">
        <f>Inicial!D22</f>
        <v>Prolijado de lomo tecla extracción de cordon</v>
      </c>
      <c r="E22" s="60" t="str">
        <f>IF(Inicial!L22="SI",Inicial!E22,"N/A")</f>
        <v>N/A</v>
      </c>
      <c r="F22" s="61" t="str">
        <f>IF(Inicial!L22="SI",Inicial!F22,"N/A")</f>
        <v>N/A</v>
      </c>
      <c r="G22" s="61" t="str">
        <f>IF(Inicial!L22="SI",Inicial!G22,"N/A")</f>
        <v>N/A</v>
      </c>
      <c r="H22" s="61" t="str">
        <f>IF(Inicial!L22="SI",Inicial!H22,"N/A")</f>
        <v>N/A</v>
      </c>
      <c r="I22" s="63" t="str">
        <f>IF(Inicial!L22="SI",Inicial!I22,"N/A")</f>
        <v>N/A</v>
      </c>
      <c r="J22" s="11"/>
      <c r="K22" s="11"/>
      <c r="L22" s="11"/>
      <c r="M22" s="11"/>
      <c r="N22" s="11"/>
      <c r="O22" s="11"/>
      <c r="P22" s="11"/>
      <c r="Q22" s="11"/>
      <c r="R22" s="11"/>
      <c r="S22" s="11"/>
      <c r="T22" s="11"/>
      <c r="U22" s="11"/>
      <c r="V22" s="11"/>
      <c r="W22" s="11"/>
      <c r="X22" s="11"/>
      <c r="Y22" s="11"/>
      <c r="Z22" s="11"/>
      <c r="AA22" s="11"/>
      <c r="AB22" s="11"/>
      <c r="AC22" s="11"/>
      <c r="AD22" s="11"/>
      <c r="AE22" s="11"/>
      <c r="AF22" s="12" t="str" cm="1">
        <f t="array" ref="AF22">IF(OR(M22:AE22="NO"),"No aceptable","Aceptable")</f>
        <v>Aceptable</v>
      </c>
      <c r="AG22" s="11"/>
      <c r="AH22" s="11"/>
      <c r="AI22" s="11"/>
      <c r="AJ22" s="11"/>
      <c r="AK22" s="11"/>
      <c r="AL22" s="11"/>
      <c r="AM22" s="11"/>
      <c r="AN22" s="11"/>
      <c r="AO22" s="11"/>
      <c r="AP22" s="11"/>
      <c r="AQ22" s="11"/>
      <c r="AR22" s="11"/>
      <c r="AS22" s="11"/>
      <c r="AT22" s="11"/>
      <c r="AU22" s="11"/>
      <c r="AV22" s="11"/>
      <c r="AW22" s="11"/>
      <c r="AX22" s="11"/>
      <c r="AY22" s="11"/>
      <c r="AZ22" s="11"/>
      <c r="BA22" s="11"/>
      <c r="BB22" s="11"/>
      <c r="BC22" s="3" t="str" cm="1">
        <f t="array" ref="BC22">IF(OR(AJ22:BB22="SI"),"Critico","No Critico")</f>
        <v>No Critico</v>
      </c>
    </row>
    <row r="23" spans="1:55" ht="38.25" hidden="1">
      <c r="A23" s="60">
        <f>Inicial!A23</f>
        <v>21</v>
      </c>
      <c r="B23" s="61" t="str">
        <f>Inicial!B23</f>
        <v>Desposte</v>
      </c>
      <c r="C23" s="61" t="str">
        <f>Inicial!C23</f>
        <v>Operario de producción Línea Lomos</v>
      </c>
      <c r="D23" s="62" t="str">
        <f>Inicial!D23</f>
        <v>Extracción de cuero a tocino</v>
      </c>
      <c r="E23" s="60" t="str">
        <f>IF(Inicial!L23="SI",Inicial!E23,"N/A")</f>
        <v>N/A</v>
      </c>
      <c r="F23" s="61" t="str">
        <f>IF(Inicial!L23="SI",Inicial!F23,"N/A")</f>
        <v>N/A</v>
      </c>
      <c r="G23" s="61" t="str">
        <f>IF(Inicial!L23="SI",Inicial!G23,"N/A")</f>
        <v>N/A</v>
      </c>
      <c r="H23" s="61" t="str">
        <f>IF(Inicial!L23="SI",Inicial!H23,"N/A")</f>
        <v>N/A</v>
      </c>
      <c r="I23" s="63" t="str">
        <f>IF(Inicial!L23="SI",Inicial!I23,"N/A")</f>
        <v>N/A</v>
      </c>
      <c r="J23" s="11"/>
      <c r="K23" s="11"/>
      <c r="L23" s="11"/>
      <c r="M23" s="11"/>
      <c r="N23" s="11"/>
      <c r="O23" s="11"/>
      <c r="P23" s="11"/>
      <c r="Q23" s="11"/>
      <c r="R23" s="11"/>
      <c r="S23" s="11"/>
      <c r="T23" s="11"/>
      <c r="U23" s="11"/>
      <c r="V23" s="11"/>
      <c r="W23" s="11"/>
      <c r="X23" s="11"/>
      <c r="Y23" s="11"/>
      <c r="Z23" s="11"/>
      <c r="AA23" s="11"/>
      <c r="AB23" s="11"/>
      <c r="AC23" s="11"/>
      <c r="AD23" s="11"/>
      <c r="AE23" s="11"/>
      <c r="AF23" s="12" t="str" cm="1">
        <f t="array" ref="AF23">IF(OR(M23:AE23="NO"),"No aceptable","Aceptable")</f>
        <v>Aceptable</v>
      </c>
      <c r="AG23" s="11"/>
      <c r="AH23" s="11"/>
      <c r="AI23" s="11"/>
      <c r="AJ23" s="11"/>
      <c r="AK23" s="11"/>
      <c r="AL23" s="11"/>
      <c r="AM23" s="11"/>
      <c r="AN23" s="11"/>
      <c r="AO23" s="11"/>
      <c r="AP23" s="11"/>
      <c r="AQ23" s="11"/>
      <c r="AR23" s="11"/>
      <c r="AS23" s="11"/>
      <c r="AT23" s="11"/>
      <c r="AU23" s="11"/>
      <c r="AV23" s="11"/>
      <c r="AW23" s="11"/>
      <c r="AX23" s="11"/>
      <c r="AY23" s="11"/>
      <c r="AZ23" s="11"/>
      <c r="BA23" s="11"/>
      <c r="BB23" s="11"/>
      <c r="BC23" s="3" t="str" cm="1">
        <f t="array" ref="BC23">IF(OR(AJ23:BB23="SI"),"Critico","No Critico")</f>
        <v>No Critico</v>
      </c>
    </row>
    <row r="24" spans="1:55" ht="38.25" hidden="1">
      <c r="A24" s="60">
        <f>Inicial!A24</f>
        <v>22</v>
      </c>
      <c r="B24" s="61" t="str">
        <f>Inicial!B24</f>
        <v>Desposte</v>
      </c>
      <c r="C24" s="61" t="str">
        <f>Inicial!C24</f>
        <v>Operario de producción Línea Lomos</v>
      </c>
      <c r="D24" s="62" t="str">
        <f>Inicial!D24</f>
        <v xml:space="preserve">Rayado de lomo tecla </v>
      </c>
      <c r="E24" s="60" t="str">
        <f>IF(Inicial!L24="SI",Inicial!E24,"N/A")</f>
        <v>N/A</v>
      </c>
      <c r="F24" s="61" t="str">
        <f>IF(Inicial!L24="SI",Inicial!F24,"N/A")</f>
        <v>N/A</v>
      </c>
      <c r="G24" s="61" t="str">
        <f>IF(Inicial!L24="SI",Inicial!G24,"N/A")</f>
        <v>N/A</v>
      </c>
      <c r="H24" s="61" t="str">
        <f>IF(Inicial!L24="SI",Inicial!H24,"N/A")</f>
        <v>N/A</v>
      </c>
      <c r="I24" s="63" t="str">
        <f>IF(Inicial!L24="SI",Inicial!I24,"N/A")</f>
        <v>N/A</v>
      </c>
      <c r="J24" s="11"/>
      <c r="K24" s="11"/>
      <c r="L24" s="11"/>
      <c r="M24" s="11"/>
      <c r="N24" s="11"/>
      <c r="O24" s="11"/>
      <c r="P24" s="11"/>
      <c r="Q24" s="11"/>
      <c r="R24" s="11"/>
      <c r="S24" s="11"/>
      <c r="T24" s="11"/>
      <c r="U24" s="11"/>
      <c r="V24" s="11"/>
      <c r="W24" s="11"/>
      <c r="X24" s="11"/>
      <c r="Y24" s="11"/>
      <c r="Z24" s="11"/>
      <c r="AA24" s="11"/>
      <c r="AB24" s="11"/>
      <c r="AC24" s="11"/>
      <c r="AD24" s="11"/>
      <c r="AE24" s="11"/>
      <c r="AF24" s="12" t="str" cm="1">
        <f t="array" ref="AF24">IF(OR(M24:AE24="NO"),"No aceptable","Aceptable")</f>
        <v>Aceptable</v>
      </c>
      <c r="AG24" s="11"/>
      <c r="AH24" s="11"/>
      <c r="AI24" s="11"/>
      <c r="AJ24" s="11"/>
      <c r="AK24" s="11"/>
      <c r="AL24" s="11"/>
      <c r="AM24" s="11"/>
      <c r="AN24" s="11"/>
      <c r="AO24" s="11"/>
      <c r="AP24" s="11"/>
      <c r="AQ24" s="11"/>
      <c r="AR24" s="11"/>
      <c r="AS24" s="11"/>
      <c r="AT24" s="11"/>
      <c r="AU24" s="11"/>
      <c r="AV24" s="11"/>
      <c r="AW24" s="11"/>
      <c r="AX24" s="11"/>
      <c r="AY24" s="11"/>
      <c r="AZ24" s="11"/>
      <c r="BA24" s="11"/>
      <c r="BB24" s="11"/>
      <c r="BC24" s="3" t="str" cm="1">
        <f t="array" ref="BC24">IF(OR(AJ24:BB24="SI"),"Critico","No Critico")</f>
        <v>No Critico</v>
      </c>
    </row>
    <row r="25" spans="1:55" ht="38.25" hidden="1">
      <c r="A25" s="60">
        <f>Inicial!A25</f>
        <v>23</v>
      </c>
      <c r="B25" s="61" t="str">
        <f>Inicial!B25</f>
        <v>Desposte</v>
      </c>
      <c r="C25" s="61" t="str">
        <f>Inicial!C25</f>
        <v>Operario de producción Línea Lomos</v>
      </c>
      <c r="D25" s="62" t="str">
        <f>Inicial!D25</f>
        <v>Rayado de lomo</v>
      </c>
      <c r="E25" s="60" t="str">
        <f>IF(Inicial!L25="SI",Inicial!E25,"N/A")</f>
        <v>N/A</v>
      </c>
      <c r="F25" s="61" t="str">
        <f>IF(Inicial!L25="SI",Inicial!F25,"N/A")</f>
        <v>N/A</v>
      </c>
      <c r="G25" s="61" t="str">
        <f>IF(Inicial!L25="SI",Inicial!G25,"N/A")</f>
        <v>N/A</v>
      </c>
      <c r="H25" s="61" t="str">
        <f>IF(Inicial!L25="SI",Inicial!H25,"N/A")</f>
        <v>N/A</v>
      </c>
      <c r="I25" s="63" t="str">
        <f>IF(Inicial!L25="SI",Inicial!I25,"N/A")</f>
        <v>N/A</v>
      </c>
      <c r="J25" s="11"/>
      <c r="K25" s="11"/>
      <c r="L25" s="11"/>
      <c r="M25" s="11"/>
      <c r="N25" s="11"/>
      <c r="O25" s="11"/>
      <c r="P25" s="11"/>
      <c r="Q25" s="11"/>
      <c r="R25" s="11"/>
      <c r="S25" s="11"/>
      <c r="T25" s="11"/>
      <c r="U25" s="11"/>
      <c r="V25" s="11"/>
      <c r="W25" s="11"/>
      <c r="X25" s="11"/>
      <c r="Y25" s="11"/>
      <c r="Z25" s="11"/>
      <c r="AA25" s="11"/>
      <c r="AB25" s="11"/>
      <c r="AC25" s="11"/>
      <c r="AD25" s="11"/>
      <c r="AE25" s="11"/>
      <c r="AF25" s="12" t="str" cm="1">
        <f t="array" ref="AF25">IF(OR(M25:AE25="NO"),"No aceptable","Aceptable")</f>
        <v>Aceptable</v>
      </c>
      <c r="AG25" s="11"/>
      <c r="AH25" s="11"/>
      <c r="AI25" s="11"/>
      <c r="AJ25" s="11"/>
      <c r="AK25" s="11"/>
      <c r="AL25" s="11"/>
      <c r="AM25" s="11"/>
      <c r="AN25" s="11"/>
      <c r="AO25" s="11"/>
      <c r="AP25" s="11"/>
      <c r="AQ25" s="11"/>
      <c r="AR25" s="11"/>
      <c r="AS25" s="11"/>
      <c r="AT25" s="11"/>
      <c r="AU25" s="11"/>
      <c r="AV25" s="11"/>
      <c r="AW25" s="11"/>
      <c r="AX25" s="11"/>
      <c r="AY25" s="11"/>
      <c r="AZ25" s="11"/>
      <c r="BA25" s="11"/>
      <c r="BB25" s="11"/>
      <c r="BC25" s="3" t="str" cm="1">
        <f t="array" ref="BC25">IF(OR(AJ25:BB25="SI"),"Critico","No Critico")</f>
        <v>No Critico</v>
      </c>
    </row>
    <row r="26" spans="1:55" ht="38.25" hidden="1">
      <c r="A26" s="60">
        <f>Inicial!A26</f>
        <v>24</v>
      </c>
      <c r="B26" s="61" t="str">
        <f>Inicial!B26</f>
        <v>Desposte</v>
      </c>
      <c r="C26" s="61" t="str">
        <f>Inicial!C26</f>
        <v>Operario de producción Línea Lomos</v>
      </c>
      <c r="D26" s="62" t="str">
        <f>Inicial!D26</f>
        <v>Operador de Desprendedora de Lomo</v>
      </c>
      <c r="E26" s="60" t="str">
        <f>IF(Inicial!L26="SI",Inicial!E26,"N/A")</f>
        <v>N/A</v>
      </c>
      <c r="F26" s="61" t="str">
        <f>IF(Inicial!L26="SI",Inicial!F26,"N/A")</f>
        <v>N/A</v>
      </c>
      <c r="G26" s="61" t="str">
        <f>IF(Inicial!L26="SI",Inicial!G26,"N/A")</f>
        <v>N/A</v>
      </c>
      <c r="H26" s="61" t="str">
        <f>IF(Inicial!L26="SI",Inicial!H26,"N/A")</f>
        <v>N/A</v>
      </c>
      <c r="I26" s="63" t="str">
        <f>IF(Inicial!L26="SI",Inicial!I26,"N/A")</f>
        <v>N/A</v>
      </c>
      <c r="J26" s="11"/>
      <c r="K26" s="11"/>
      <c r="L26" s="11"/>
      <c r="M26" s="11"/>
      <c r="N26" s="11"/>
      <c r="O26" s="11"/>
      <c r="P26" s="11"/>
      <c r="Q26" s="11"/>
      <c r="R26" s="11"/>
      <c r="S26" s="11"/>
      <c r="T26" s="11"/>
      <c r="U26" s="11"/>
      <c r="V26" s="11"/>
      <c r="W26" s="11"/>
      <c r="X26" s="11"/>
      <c r="Y26" s="11"/>
      <c r="Z26" s="11"/>
      <c r="AA26" s="11"/>
      <c r="AB26" s="11"/>
      <c r="AC26" s="11"/>
      <c r="AD26" s="11"/>
      <c r="AE26" s="11"/>
      <c r="AF26" s="12" t="str" cm="1">
        <f t="array" ref="AF26">IF(OR(M26:AE26="NO"),"No aceptable","Aceptable")</f>
        <v>Aceptable</v>
      </c>
      <c r="AG26" s="11"/>
      <c r="AH26" s="11"/>
      <c r="AI26" s="11"/>
      <c r="AJ26" s="11"/>
      <c r="AK26" s="11"/>
      <c r="AL26" s="11"/>
      <c r="AM26" s="11"/>
      <c r="AN26" s="11"/>
      <c r="AO26" s="11"/>
      <c r="AP26" s="11"/>
      <c r="AQ26" s="11"/>
      <c r="AR26" s="11"/>
      <c r="AS26" s="11"/>
      <c r="AT26" s="11"/>
      <c r="AU26" s="11"/>
      <c r="AV26" s="11"/>
      <c r="AW26" s="11"/>
      <c r="AX26" s="11"/>
      <c r="AY26" s="11"/>
      <c r="AZ26" s="11"/>
      <c r="BA26" s="11"/>
      <c r="BB26" s="11"/>
      <c r="BC26" s="3" t="str" cm="1">
        <f t="array" ref="BC26">IF(OR(AJ26:BB26="SI"),"Critico","No Critico")</f>
        <v>No Critico</v>
      </c>
    </row>
    <row r="27" spans="1:55" ht="38.25" hidden="1">
      <c r="A27" s="60">
        <f>Inicial!A27</f>
        <v>25</v>
      </c>
      <c r="B27" s="61" t="str">
        <f>Inicial!B27</f>
        <v>Desposte</v>
      </c>
      <c r="C27" s="61" t="str">
        <f>Inicial!C27</f>
        <v>Operario de producción Línea Lomos</v>
      </c>
      <c r="D27" s="62" t="str">
        <f>Inicial!D27</f>
        <v>Prolijado de lomo tocino</v>
      </c>
      <c r="E27" s="60" t="str">
        <f>IF(Inicial!L27="SI",Inicial!E27,"N/A")</f>
        <v>N/A</v>
      </c>
      <c r="F27" s="61" t="str">
        <f>IF(Inicial!L27="SI",Inicial!F27,"N/A")</f>
        <v>N/A</v>
      </c>
      <c r="G27" s="61" t="str">
        <f>IF(Inicial!L27="SI",Inicial!G27,"N/A")</f>
        <v>N/A</v>
      </c>
      <c r="H27" s="61" t="str">
        <f>IF(Inicial!L27="SI",Inicial!H27,"N/A")</f>
        <v>N/A</v>
      </c>
      <c r="I27" s="63" t="str">
        <f>IF(Inicial!L27="SI",Inicial!I27,"N/A")</f>
        <v>N/A</v>
      </c>
      <c r="J27" s="11"/>
      <c r="K27" s="11"/>
      <c r="L27" s="11"/>
      <c r="M27" s="11"/>
      <c r="N27" s="11"/>
      <c r="O27" s="11"/>
      <c r="P27" s="11"/>
      <c r="Q27" s="11"/>
      <c r="R27" s="11"/>
      <c r="S27" s="11"/>
      <c r="T27" s="11"/>
      <c r="U27" s="11"/>
      <c r="V27" s="11"/>
      <c r="W27" s="11"/>
      <c r="X27" s="11"/>
      <c r="Y27" s="11"/>
      <c r="Z27" s="11"/>
      <c r="AA27" s="11"/>
      <c r="AB27" s="11"/>
      <c r="AC27" s="11"/>
      <c r="AD27" s="11"/>
      <c r="AE27" s="11"/>
      <c r="AF27" s="12" t="str" cm="1">
        <f t="array" ref="AF27">IF(OR(M27:AE27="NO"),"No aceptable","Aceptable")</f>
        <v>Aceptable</v>
      </c>
      <c r="AG27" s="11"/>
      <c r="AH27" s="11"/>
      <c r="AI27" s="11"/>
      <c r="AJ27" s="11"/>
      <c r="AK27" s="11"/>
      <c r="AL27" s="11"/>
      <c r="AM27" s="11"/>
      <c r="AN27" s="11"/>
      <c r="AO27" s="11"/>
      <c r="AP27" s="11"/>
      <c r="AQ27" s="11"/>
      <c r="AR27" s="11"/>
      <c r="AS27" s="11"/>
      <c r="AT27" s="11"/>
      <c r="AU27" s="11"/>
      <c r="AV27" s="11"/>
      <c r="AW27" s="11"/>
      <c r="AX27" s="11"/>
      <c r="AY27" s="11"/>
      <c r="AZ27" s="11"/>
      <c r="BA27" s="11"/>
      <c r="BB27" s="11"/>
      <c r="BC27" s="3" t="str" cm="1">
        <f t="array" ref="BC27">IF(OR(AJ27:BB27="SI"),"Critico","No Critico")</f>
        <v>No Critico</v>
      </c>
    </row>
    <row r="28" spans="1:55" ht="38.25" hidden="1">
      <c r="A28" s="60">
        <f>Inicial!A28</f>
        <v>26</v>
      </c>
      <c r="B28" s="61" t="str">
        <f>Inicial!B28</f>
        <v>Desposte</v>
      </c>
      <c r="C28" s="61" t="str">
        <f>Inicial!C28</f>
        <v>Operario de producción Línea Lomos</v>
      </c>
      <c r="D28" s="62" t="str">
        <f>Inicial!D28</f>
        <v>Cuadrado de lomo tecla</v>
      </c>
      <c r="E28" s="60" t="str">
        <f>IF(Inicial!L28="SI",Inicial!E28,"N/A")</f>
        <v>N/A</v>
      </c>
      <c r="F28" s="61" t="str">
        <f>IF(Inicial!L28="SI",Inicial!F28,"N/A")</f>
        <v>N/A</v>
      </c>
      <c r="G28" s="61" t="str">
        <f>IF(Inicial!L28="SI",Inicial!G28,"N/A")</f>
        <v>N/A</v>
      </c>
      <c r="H28" s="61" t="str">
        <f>IF(Inicial!L28="SI",Inicial!H28,"N/A")</f>
        <v>N/A</v>
      </c>
      <c r="I28" s="63" t="str">
        <f>IF(Inicial!L28="SI",Inicial!I28,"N/A")</f>
        <v>N/A</v>
      </c>
      <c r="J28" s="11"/>
      <c r="K28" s="11"/>
      <c r="L28" s="11"/>
      <c r="M28" s="11"/>
      <c r="N28" s="11"/>
      <c r="O28" s="11"/>
      <c r="P28" s="11"/>
      <c r="Q28" s="11"/>
      <c r="R28" s="11"/>
      <c r="S28" s="11"/>
      <c r="T28" s="11"/>
      <c r="U28" s="11"/>
      <c r="V28" s="11"/>
      <c r="W28" s="11"/>
      <c r="X28" s="11"/>
      <c r="Y28" s="11"/>
      <c r="Z28" s="11"/>
      <c r="AA28" s="11"/>
      <c r="AB28" s="11"/>
      <c r="AC28" s="11"/>
      <c r="AD28" s="11"/>
      <c r="AE28" s="11"/>
      <c r="AF28" s="12" t="str" cm="1">
        <f t="array" ref="AF28">IF(OR(M28:AE28="NO"),"No aceptable","Aceptable")</f>
        <v>Aceptable</v>
      </c>
      <c r="AG28" s="11"/>
      <c r="AH28" s="11"/>
      <c r="AI28" s="11"/>
      <c r="AJ28" s="11"/>
      <c r="AK28" s="11"/>
      <c r="AL28" s="11"/>
      <c r="AM28" s="11"/>
      <c r="AN28" s="11"/>
      <c r="AO28" s="11"/>
      <c r="AP28" s="11"/>
      <c r="AQ28" s="11"/>
      <c r="AR28" s="11"/>
      <c r="AS28" s="11"/>
      <c r="AT28" s="11"/>
      <c r="AU28" s="11"/>
      <c r="AV28" s="11"/>
      <c r="AW28" s="11"/>
      <c r="AX28" s="11"/>
      <c r="AY28" s="11"/>
      <c r="AZ28" s="11"/>
      <c r="BA28" s="11"/>
      <c r="BB28" s="11"/>
      <c r="BC28" s="3" t="str" cm="1">
        <f t="array" ref="BC28">IF(OR(AJ28:BB28="SI"),"Critico","No Critico")</f>
        <v>No Critico</v>
      </c>
    </row>
    <row r="29" spans="1:55" ht="38.25" hidden="1">
      <c r="A29" s="60">
        <f>Inicial!A29</f>
        <v>27</v>
      </c>
      <c r="B29" s="61" t="str">
        <f>Inicial!B29</f>
        <v>Desposte</v>
      </c>
      <c r="C29" s="61" t="str">
        <f>Inicial!C29</f>
        <v>Operario de producción Línea Lomos</v>
      </c>
      <c r="D29" s="62" t="str">
        <f>Inicial!D29</f>
        <v>Distribuidor de lomos</v>
      </c>
      <c r="E29" s="60" t="str">
        <f>IF(Inicial!L29="SI",Inicial!E29,"N/A")</f>
        <v>N/A</v>
      </c>
      <c r="F29" s="61" t="str">
        <f>IF(Inicial!L29="SI",Inicial!F29,"N/A")</f>
        <v>N/A</v>
      </c>
      <c r="G29" s="61" t="str">
        <f>IF(Inicial!L29="SI",Inicial!G29,"N/A")</f>
        <v>N/A</v>
      </c>
      <c r="H29" s="61" t="str">
        <f>IF(Inicial!L29="SI",Inicial!H29,"N/A")</f>
        <v>N/A</v>
      </c>
      <c r="I29" s="63" t="str">
        <f>IF(Inicial!L29="SI",Inicial!I29,"N/A")</f>
        <v>N/A</v>
      </c>
      <c r="J29" s="11"/>
      <c r="K29" s="11"/>
      <c r="L29" s="11"/>
      <c r="M29" s="11"/>
      <c r="N29" s="11"/>
      <c r="O29" s="11"/>
      <c r="P29" s="11"/>
      <c r="Q29" s="11"/>
      <c r="R29" s="11"/>
      <c r="S29" s="11"/>
      <c r="T29" s="11"/>
      <c r="U29" s="11"/>
      <c r="V29" s="11"/>
      <c r="W29" s="11"/>
      <c r="X29" s="11"/>
      <c r="Y29" s="11"/>
      <c r="Z29" s="11"/>
      <c r="AA29" s="11"/>
      <c r="AB29" s="11"/>
      <c r="AC29" s="11"/>
      <c r="AD29" s="11"/>
      <c r="AE29" s="11"/>
      <c r="AF29" s="12" t="str" cm="1">
        <f t="array" ref="AF29">IF(OR(M29:AE29="NO"),"No aceptable","Aceptable")</f>
        <v>Aceptable</v>
      </c>
      <c r="AG29" s="11"/>
      <c r="AH29" s="11"/>
      <c r="AI29" s="11"/>
      <c r="AJ29" s="11"/>
      <c r="AK29" s="11"/>
      <c r="AL29" s="11"/>
      <c r="AM29" s="11"/>
      <c r="AN29" s="11"/>
      <c r="AO29" s="11"/>
      <c r="AP29" s="11"/>
      <c r="AQ29" s="11"/>
      <c r="AR29" s="11"/>
      <c r="AS29" s="11"/>
      <c r="AT29" s="11"/>
      <c r="AU29" s="11"/>
      <c r="AV29" s="11"/>
      <c r="AW29" s="11"/>
      <c r="AX29" s="11"/>
      <c r="AY29" s="11"/>
      <c r="AZ29" s="11"/>
      <c r="BA29" s="11"/>
      <c r="BB29" s="11"/>
      <c r="BC29" s="3" t="str" cm="1">
        <f t="array" ref="BC29">IF(OR(AJ29:BB29="SI"),"Critico","No Critico")</f>
        <v>No Critico</v>
      </c>
    </row>
    <row r="30" spans="1:55" ht="38.25" hidden="1">
      <c r="A30" s="60">
        <f>Inicial!A30</f>
        <v>28</v>
      </c>
      <c r="B30" s="61" t="str">
        <f>Inicial!B30</f>
        <v>Desposte</v>
      </c>
      <c r="C30" s="61" t="str">
        <f>Inicial!C30</f>
        <v>Operario de producción Línea Lomos</v>
      </c>
      <c r="D30" s="62" t="str">
        <f>Inicial!D30</f>
        <v>Extraccion de cordon de lomo</v>
      </c>
      <c r="E30" s="60" t="str">
        <f>IF(Inicial!L30="SI",Inicial!E30,"N/A")</f>
        <v>N/A</v>
      </c>
      <c r="F30" s="61" t="str">
        <f>IF(Inicial!L30="SI",Inicial!F30,"N/A")</f>
        <v>N/A</v>
      </c>
      <c r="G30" s="61" t="str">
        <f>IF(Inicial!L30="SI",Inicial!G30,"N/A")</f>
        <v>N/A</v>
      </c>
      <c r="H30" s="61" t="str">
        <f>IF(Inicial!L30="SI",Inicial!H30,"N/A")</f>
        <v>N/A</v>
      </c>
      <c r="I30" s="63" t="str">
        <f>IF(Inicial!L30="SI",Inicial!I30,"N/A")</f>
        <v>N/A</v>
      </c>
      <c r="J30" s="11"/>
      <c r="K30" s="11"/>
      <c r="L30" s="11"/>
      <c r="M30" s="11"/>
      <c r="N30" s="11"/>
      <c r="O30" s="11"/>
      <c r="P30" s="11"/>
      <c r="Q30" s="11"/>
      <c r="R30" s="11"/>
      <c r="S30" s="11"/>
      <c r="T30" s="11"/>
      <c r="U30" s="11"/>
      <c r="V30" s="11"/>
      <c r="W30" s="11"/>
      <c r="X30" s="11"/>
      <c r="Y30" s="11"/>
      <c r="Z30" s="11"/>
      <c r="AA30" s="11"/>
      <c r="AB30" s="11"/>
      <c r="AC30" s="11"/>
      <c r="AD30" s="11"/>
      <c r="AE30" s="11"/>
      <c r="AF30" s="12" t="str" cm="1">
        <f t="array" ref="AF30">IF(OR(M30:AE30="NO"),"No aceptable","Aceptable")</f>
        <v>Aceptable</v>
      </c>
      <c r="AG30" s="11"/>
      <c r="AH30" s="11"/>
      <c r="AI30" s="11"/>
      <c r="AJ30" s="11"/>
      <c r="AK30" s="11"/>
      <c r="AL30" s="11"/>
      <c r="AM30" s="11"/>
      <c r="AN30" s="11"/>
      <c r="AO30" s="11"/>
      <c r="AP30" s="11"/>
      <c r="AQ30" s="11"/>
      <c r="AR30" s="11"/>
      <c r="AS30" s="11"/>
      <c r="AT30" s="11"/>
      <c r="AU30" s="11"/>
      <c r="AV30" s="11"/>
      <c r="AW30" s="11"/>
      <c r="AX30" s="11"/>
      <c r="AY30" s="11"/>
      <c r="AZ30" s="11"/>
      <c r="BA30" s="11"/>
      <c r="BB30" s="11"/>
      <c r="BC30" s="3" t="str" cm="1">
        <f t="array" ref="BC30">IF(OR(AJ30:BB30="SI"),"Critico","No Critico")</f>
        <v>No Critico</v>
      </c>
    </row>
    <row r="31" spans="1:55" ht="38.25" hidden="1">
      <c r="A31" s="60">
        <f>Inicial!A31</f>
        <v>29</v>
      </c>
      <c r="B31" s="61" t="str">
        <f>Inicial!B31</f>
        <v>Desposte</v>
      </c>
      <c r="C31" s="61" t="str">
        <f>Inicial!C31</f>
        <v>Operario de producción Línea Lomos</v>
      </c>
      <c r="D31" s="62" t="str">
        <f>Inicial!D31</f>
        <v>Prolijado de lomo con cuchillo circular</v>
      </c>
      <c r="E31" s="60" t="str">
        <f>IF(Inicial!L31="SI",Inicial!E31,"N/A")</f>
        <v>N/A</v>
      </c>
      <c r="F31" s="61" t="str">
        <f>IF(Inicial!L31="SI",Inicial!F31,"N/A")</f>
        <v>N/A</v>
      </c>
      <c r="G31" s="61" t="str">
        <f>IF(Inicial!L31="SI",Inicial!G31,"N/A")</f>
        <v>N/A</v>
      </c>
      <c r="H31" s="61" t="str">
        <f>IF(Inicial!L31="SI",Inicial!H31,"N/A")</f>
        <v>N/A</v>
      </c>
      <c r="I31" s="63" t="str">
        <f>IF(Inicial!L31="SI",Inicial!I31,"N/A")</f>
        <v>N/A</v>
      </c>
      <c r="J31" s="11"/>
      <c r="K31" s="11"/>
      <c r="L31" s="11"/>
      <c r="M31" s="11"/>
      <c r="N31" s="11"/>
      <c r="O31" s="11"/>
      <c r="P31" s="11"/>
      <c r="Q31" s="11"/>
      <c r="R31" s="11"/>
      <c r="S31" s="11"/>
      <c r="T31" s="11"/>
      <c r="U31" s="11"/>
      <c r="V31" s="11"/>
      <c r="W31" s="11"/>
      <c r="X31" s="11"/>
      <c r="Y31" s="11"/>
      <c r="Z31" s="11"/>
      <c r="AA31" s="11"/>
      <c r="AB31" s="11"/>
      <c r="AC31" s="11"/>
      <c r="AD31" s="11"/>
      <c r="AE31" s="11"/>
      <c r="AF31" s="12" t="str" cm="1">
        <f t="array" ref="AF31">IF(OR(M31:AE31="NO"),"No aceptable","Aceptable")</f>
        <v>Aceptable</v>
      </c>
      <c r="AG31" s="11"/>
      <c r="AH31" s="11"/>
      <c r="AI31" s="11"/>
      <c r="AJ31" s="11"/>
      <c r="AK31" s="11"/>
      <c r="AL31" s="11"/>
      <c r="AM31" s="11"/>
      <c r="AN31" s="11"/>
      <c r="AO31" s="11"/>
      <c r="AP31" s="11"/>
      <c r="AQ31" s="11"/>
      <c r="AR31" s="11"/>
      <c r="AS31" s="11"/>
      <c r="AT31" s="11"/>
      <c r="AU31" s="11"/>
      <c r="AV31" s="11"/>
      <c r="AW31" s="11"/>
      <c r="AX31" s="11"/>
      <c r="AY31" s="11"/>
      <c r="AZ31" s="11"/>
      <c r="BA31" s="11"/>
      <c r="BB31" s="11"/>
      <c r="BC31" s="3" t="str" cm="1">
        <f t="array" ref="BC31">IF(OR(AJ31:BB31="SI"),"Critico","No Critico")</f>
        <v>No Critico</v>
      </c>
    </row>
    <row r="32" spans="1:55" ht="38.25" hidden="1">
      <c r="A32" s="60">
        <f>Inicial!A32</f>
        <v>30</v>
      </c>
      <c r="B32" s="61" t="str">
        <f>Inicial!B32</f>
        <v>Desposte</v>
      </c>
      <c r="C32" s="61" t="str">
        <f>Inicial!C32</f>
        <v>Operario de producción Línea Lomos</v>
      </c>
      <c r="D32" s="62" t="str">
        <f>Inicial!D32</f>
        <v>Cuadrado de lomo</v>
      </c>
      <c r="E32" s="60" t="str">
        <f>IF(Inicial!L32="SI",Inicial!E32,"N/A")</f>
        <v>N/A</v>
      </c>
      <c r="F32" s="61" t="str">
        <f>IF(Inicial!L32="SI",Inicial!F32,"N/A")</f>
        <v>N/A</v>
      </c>
      <c r="G32" s="61" t="str">
        <f>IF(Inicial!L32="SI",Inicial!G32,"N/A")</f>
        <v>N/A</v>
      </c>
      <c r="H32" s="61" t="str">
        <f>IF(Inicial!L32="SI",Inicial!H32,"N/A")</f>
        <v>N/A</v>
      </c>
      <c r="I32" s="63" t="str">
        <f>IF(Inicial!L32="SI",Inicial!I32,"N/A")</f>
        <v>N/A</v>
      </c>
      <c r="J32" s="11"/>
      <c r="K32" s="11"/>
      <c r="L32" s="11"/>
      <c r="M32" s="11"/>
      <c r="N32" s="11"/>
      <c r="O32" s="11"/>
      <c r="P32" s="11"/>
      <c r="Q32" s="11"/>
      <c r="R32" s="11"/>
      <c r="S32" s="11"/>
      <c r="T32" s="11"/>
      <c r="U32" s="11"/>
      <c r="V32" s="11"/>
      <c r="W32" s="11"/>
      <c r="X32" s="11"/>
      <c r="Y32" s="11"/>
      <c r="Z32" s="11"/>
      <c r="AA32" s="11"/>
      <c r="AB32" s="11"/>
      <c r="AC32" s="11"/>
      <c r="AD32" s="11"/>
      <c r="AE32" s="11"/>
      <c r="AF32" s="12" t="str" cm="1">
        <f t="array" ref="AF32">IF(OR(M32:AE32="NO"),"No aceptable","Aceptable")</f>
        <v>Aceptable</v>
      </c>
      <c r="AG32" s="11"/>
      <c r="AH32" s="11"/>
      <c r="AI32" s="11"/>
      <c r="AJ32" s="11"/>
      <c r="AK32" s="11"/>
      <c r="AL32" s="11"/>
      <c r="AM32" s="11"/>
      <c r="AN32" s="11"/>
      <c r="AO32" s="11"/>
      <c r="AP32" s="11"/>
      <c r="AQ32" s="11"/>
      <c r="AR32" s="11"/>
      <c r="AS32" s="11"/>
      <c r="AT32" s="11"/>
      <c r="AU32" s="11"/>
      <c r="AV32" s="11"/>
      <c r="AW32" s="11"/>
      <c r="AX32" s="11"/>
      <c r="AY32" s="11"/>
      <c r="AZ32" s="11"/>
      <c r="BA32" s="11"/>
      <c r="BB32" s="11"/>
      <c r="BC32" s="3" t="str" cm="1">
        <f t="array" ref="BC32">IF(OR(AJ32:BB32="SI"),"Critico","No Critico")</f>
        <v>No Critico</v>
      </c>
    </row>
    <row r="33" spans="1:55" ht="38.25">
      <c r="A33" s="60">
        <f>Inicial!A33</f>
        <v>31</v>
      </c>
      <c r="B33" s="61" t="str">
        <f>Inicial!B33</f>
        <v>Desposte</v>
      </c>
      <c r="C33" s="61" t="str">
        <f>Inicial!C33</f>
        <v>Operario de producción Línea Lomos</v>
      </c>
      <c r="D33" s="62" t="str">
        <f>Inicial!D33</f>
        <v>Operador de equipo Freund</v>
      </c>
      <c r="E33" s="60" t="str">
        <f>IF(Inicial!L33="SI",Inicial!E33,"N/A")</f>
        <v>Am: 07:00 a 16:00 - PM: 17:15 a 02:45</v>
      </c>
      <c r="F33" s="61" t="str">
        <f>IF(Inicial!L33="SI",Inicial!F33,"N/A")</f>
        <v>0.5</v>
      </c>
      <c r="G33" s="61">
        <f>IF(Inicial!L33="SI",Inicial!G33,"N/A")</f>
        <v>4.5</v>
      </c>
      <c r="H33" s="61">
        <f>IF(Inicial!L33="SI",Inicial!H33,"N/A")</f>
        <v>57</v>
      </c>
      <c r="I33" s="63">
        <f>IF(Inicial!L33="SI",Inicial!I33,"N/A")</f>
        <v>0</v>
      </c>
      <c r="J33" s="11" t="s">
        <v>16</v>
      </c>
      <c r="K33" s="11" t="s">
        <v>346</v>
      </c>
      <c r="L33" s="11" t="s">
        <v>346</v>
      </c>
      <c r="M33" s="11" t="s">
        <v>346</v>
      </c>
      <c r="N33" s="11" t="s">
        <v>346</v>
      </c>
      <c r="O33" s="11" t="s">
        <v>346</v>
      </c>
      <c r="P33" s="11" t="s">
        <v>346</v>
      </c>
      <c r="Q33" s="11" t="s">
        <v>346</v>
      </c>
      <c r="R33" s="11" t="s">
        <v>346</v>
      </c>
      <c r="S33" s="11" t="s">
        <v>346</v>
      </c>
      <c r="T33" s="11" t="s">
        <v>346</v>
      </c>
      <c r="U33" s="11" t="s">
        <v>346</v>
      </c>
      <c r="V33" s="11" t="s">
        <v>346</v>
      </c>
      <c r="W33" s="11" t="s">
        <v>346</v>
      </c>
      <c r="X33" s="11" t="s">
        <v>346</v>
      </c>
      <c r="Y33" s="11" t="s">
        <v>346</v>
      </c>
      <c r="Z33" s="11" t="s">
        <v>346</v>
      </c>
      <c r="AA33" s="11" t="s">
        <v>346</v>
      </c>
      <c r="AB33" s="11" t="s">
        <v>346</v>
      </c>
      <c r="AC33" s="11" t="s">
        <v>346</v>
      </c>
      <c r="AD33" s="11" t="s">
        <v>346</v>
      </c>
      <c r="AE33" s="11" t="s">
        <v>346</v>
      </c>
      <c r="AF33" s="12" t="str" cm="1">
        <f t="array" ref="AF33">IF(OR(M33:AE33="NO"),"No aceptable","Aceptable")</f>
        <v>Aceptable</v>
      </c>
      <c r="AG33" s="11"/>
      <c r="AH33" s="11"/>
      <c r="AI33" s="11"/>
      <c r="AJ33" s="11"/>
      <c r="AK33" s="11"/>
      <c r="AL33" s="11"/>
      <c r="AM33" s="11"/>
      <c r="AN33" s="11"/>
      <c r="AO33" s="11"/>
      <c r="AP33" s="11"/>
      <c r="AQ33" s="11"/>
      <c r="AR33" s="11"/>
      <c r="AS33" s="11"/>
      <c r="AT33" s="11"/>
      <c r="AU33" s="11"/>
      <c r="AV33" s="11"/>
      <c r="AW33" s="11"/>
      <c r="AX33" s="11"/>
      <c r="AY33" s="11"/>
      <c r="AZ33" s="11"/>
      <c r="BA33" s="11"/>
      <c r="BB33" s="11"/>
      <c r="BC33" s="3" t="str" cm="1">
        <f t="array" ref="BC33">IF(OR(AJ33:BB33="SI"),"Critico","No Critico")</f>
        <v>No Critico</v>
      </c>
    </row>
    <row r="34" spans="1:55" ht="38.25">
      <c r="A34" s="60">
        <f>Inicial!A34</f>
        <v>32</v>
      </c>
      <c r="B34" s="61" t="str">
        <f>Inicial!B34</f>
        <v>Desposte</v>
      </c>
      <c r="C34" s="61" t="str">
        <f>Inicial!C34</f>
        <v>Operario de producción Línea Lomos</v>
      </c>
      <c r="D34" s="62" t="str">
        <f>Inicial!D34</f>
        <v>Operador de Tira Hueso</v>
      </c>
      <c r="E34" s="60" t="str">
        <f>IF(Inicial!L34="SI",Inicial!E34,"N/A")</f>
        <v>Am: 07:00 a 16:00 - PM: 17:15 a 02:45</v>
      </c>
      <c r="F34" s="61" t="str">
        <f>IF(Inicial!L34="SI",Inicial!F34,"N/A")</f>
        <v>0.5</v>
      </c>
      <c r="G34" s="61">
        <f>IF(Inicial!L34="SI",Inicial!G34,"N/A")</f>
        <v>4.5</v>
      </c>
      <c r="H34" s="61">
        <f>IF(Inicial!L34="SI",Inicial!H34,"N/A")</f>
        <v>57</v>
      </c>
      <c r="I34" s="63">
        <f>IF(Inicial!L34="SI",Inicial!I34,"N/A")</f>
        <v>0</v>
      </c>
      <c r="J34" s="11" t="s">
        <v>16</v>
      </c>
      <c r="K34" s="11" t="s">
        <v>346</v>
      </c>
      <c r="L34" s="11" t="s">
        <v>346</v>
      </c>
      <c r="M34" s="11" t="s">
        <v>346</v>
      </c>
      <c r="N34" s="11" t="s">
        <v>346</v>
      </c>
      <c r="O34" s="11" t="s">
        <v>346</v>
      </c>
      <c r="P34" s="11" t="s">
        <v>346</v>
      </c>
      <c r="Q34" s="11" t="s">
        <v>346</v>
      </c>
      <c r="R34" s="11" t="s">
        <v>346</v>
      </c>
      <c r="S34" s="11" t="s">
        <v>346</v>
      </c>
      <c r="T34" s="11" t="s">
        <v>346</v>
      </c>
      <c r="U34" s="11" t="s">
        <v>346</v>
      </c>
      <c r="V34" s="11" t="s">
        <v>346</v>
      </c>
      <c r="W34" s="11" t="s">
        <v>346</v>
      </c>
      <c r="X34" s="11" t="s">
        <v>346</v>
      </c>
      <c r="Y34" s="11" t="s">
        <v>346</v>
      </c>
      <c r="Z34" s="11" t="s">
        <v>346</v>
      </c>
      <c r="AA34" s="11" t="s">
        <v>346</v>
      </c>
      <c r="AB34" s="11" t="s">
        <v>346</v>
      </c>
      <c r="AC34" s="11" t="s">
        <v>346</v>
      </c>
      <c r="AD34" s="11" t="s">
        <v>346</v>
      </c>
      <c r="AE34" s="11" t="s">
        <v>346</v>
      </c>
      <c r="AF34" s="12" t="str" cm="1">
        <f t="array" ref="AF34">IF(OR(M34:AE34="NO"),"No aceptable","Aceptable")</f>
        <v>Aceptable</v>
      </c>
      <c r="AG34" s="11"/>
      <c r="AH34" s="11"/>
      <c r="AI34" s="11"/>
      <c r="AJ34" s="11"/>
      <c r="AK34" s="11"/>
      <c r="AL34" s="11"/>
      <c r="AM34" s="11"/>
      <c r="AN34" s="11"/>
      <c r="AO34" s="11"/>
      <c r="AP34" s="11"/>
      <c r="AQ34" s="11"/>
      <c r="AR34" s="11"/>
      <c r="AS34" s="11"/>
      <c r="AT34" s="11"/>
      <c r="AU34" s="11"/>
      <c r="AV34" s="11"/>
      <c r="AW34" s="11"/>
      <c r="AX34" s="11"/>
      <c r="AY34" s="11"/>
      <c r="AZ34" s="11"/>
      <c r="BA34" s="11"/>
      <c r="BB34" s="11"/>
      <c r="BC34" s="3" t="str" cm="1">
        <f t="array" ref="BC34">IF(OR(AJ34:BB34="SI"),"Critico","No Critico")</f>
        <v>No Critico</v>
      </c>
    </row>
    <row r="35" spans="1:55" ht="38.25" hidden="1">
      <c r="A35" s="60">
        <f>Inicial!A35</f>
        <v>33</v>
      </c>
      <c r="B35" s="61" t="str">
        <f>Inicial!B35</f>
        <v>Desposte</v>
      </c>
      <c r="C35" s="61" t="str">
        <f>Inicial!C35</f>
        <v>Operario de producción Línea Lomos</v>
      </c>
      <c r="D35" s="62" t="str">
        <f>Inicial!D35</f>
        <v>Operador de MA 100</v>
      </c>
      <c r="E35" s="60" t="str">
        <f>IF(Inicial!L35="SI",Inicial!E35,"N/A")</f>
        <v>N/A</v>
      </c>
      <c r="F35" s="61" t="str">
        <f>IF(Inicial!L35="SI",Inicial!F35,"N/A")</f>
        <v>N/A</v>
      </c>
      <c r="G35" s="61" t="str">
        <f>IF(Inicial!L35="SI",Inicial!G35,"N/A")</f>
        <v>N/A</v>
      </c>
      <c r="H35" s="61" t="str">
        <f>IF(Inicial!L35="SI",Inicial!H35,"N/A")</f>
        <v>N/A</v>
      </c>
      <c r="I35" s="63" t="str">
        <f>IF(Inicial!L35="SI",Inicial!I35,"N/A")</f>
        <v>N/A</v>
      </c>
      <c r="J35" s="11"/>
      <c r="K35" s="11"/>
      <c r="L35" s="11"/>
      <c r="M35" s="11"/>
      <c r="N35" s="11"/>
      <c r="O35" s="11"/>
      <c r="P35" s="11"/>
      <c r="Q35" s="11"/>
      <c r="R35" s="11"/>
      <c r="S35" s="11"/>
      <c r="T35" s="11"/>
      <c r="U35" s="11"/>
      <c r="V35" s="11"/>
      <c r="W35" s="11"/>
      <c r="X35" s="11"/>
      <c r="Y35" s="11"/>
      <c r="Z35" s="11"/>
      <c r="AA35" s="11"/>
      <c r="AB35" s="11"/>
      <c r="AC35" s="11"/>
      <c r="AD35" s="11"/>
      <c r="AE35" s="11"/>
      <c r="AF35" s="12" t="str" cm="1">
        <f t="array" ref="AF35">IF(OR(M35:AE35="NO"),"No aceptable","Aceptable")</f>
        <v>Aceptable</v>
      </c>
      <c r="AG35" s="11"/>
      <c r="AH35" s="11"/>
      <c r="AI35" s="11"/>
      <c r="AJ35" s="11"/>
      <c r="AK35" s="11"/>
      <c r="AL35" s="11"/>
      <c r="AM35" s="11"/>
      <c r="AN35" s="11"/>
      <c r="AO35" s="11"/>
      <c r="AP35" s="11"/>
      <c r="AQ35" s="11"/>
      <c r="AR35" s="11"/>
      <c r="AS35" s="11"/>
      <c r="AT35" s="11"/>
      <c r="AU35" s="11"/>
      <c r="AV35" s="11"/>
      <c r="AW35" s="11"/>
      <c r="AX35" s="11"/>
      <c r="AY35" s="11"/>
      <c r="AZ35" s="11"/>
      <c r="BA35" s="11"/>
      <c r="BB35" s="11"/>
      <c r="BC35" s="3" t="str" cm="1">
        <f t="array" ref="BC35">IF(OR(AJ35:BB35="SI"),"Critico","No Critico")</f>
        <v>No Critico</v>
      </c>
    </row>
    <row r="36" spans="1:55" ht="38.25" hidden="1">
      <c r="A36" s="60">
        <f>Inicial!A36</f>
        <v>34</v>
      </c>
      <c r="B36" s="61" t="str">
        <f>Inicial!B36</f>
        <v>Desposte</v>
      </c>
      <c r="C36" s="61" t="str">
        <f>Inicial!C36</f>
        <v>Operario de producción Línea Lomos</v>
      </c>
      <c r="D36" s="62" t="str">
        <f>Inicial!D36</f>
        <v>Separación de resto tira hueso</v>
      </c>
      <c r="E36" s="60" t="str">
        <f>IF(Inicial!L36="SI",Inicial!E36,"N/A")</f>
        <v>N/A</v>
      </c>
      <c r="F36" s="61" t="str">
        <f>IF(Inicial!L36="SI",Inicial!F36,"N/A")</f>
        <v>N/A</v>
      </c>
      <c r="G36" s="61" t="str">
        <f>IF(Inicial!L36="SI",Inicial!G36,"N/A")</f>
        <v>N/A</v>
      </c>
      <c r="H36" s="61" t="str">
        <f>IF(Inicial!L36="SI",Inicial!H36,"N/A")</f>
        <v>N/A</v>
      </c>
      <c r="I36" s="63" t="str">
        <f>IF(Inicial!L36="SI",Inicial!I36,"N/A")</f>
        <v>N/A</v>
      </c>
      <c r="J36" s="11"/>
      <c r="K36" s="11"/>
      <c r="L36" s="11"/>
      <c r="M36" s="11"/>
      <c r="N36" s="11"/>
      <c r="O36" s="11"/>
      <c r="P36" s="11"/>
      <c r="Q36" s="11"/>
      <c r="R36" s="11"/>
      <c r="S36" s="11"/>
      <c r="T36" s="11"/>
      <c r="U36" s="11"/>
      <c r="V36" s="11"/>
      <c r="W36" s="11"/>
      <c r="X36" s="11"/>
      <c r="Y36" s="11"/>
      <c r="Z36" s="11"/>
      <c r="AA36" s="11"/>
      <c r="AB36" s="11"/>
      <c r="AC36" s="11"/>
      <c r="AD36" s="11"/>
      <c r="AE36" s="11"/>
      <c r="AF36" s="12" t="str" cm="1">
        <f t="array" ref="AF36">IF(OR(M36:AE36="NO"),"No aceptable","Aceptable")</f>
        <v>Aceptable</v>
      </c>
      <c r="AG36" s="11"/>
      <c r="AH36" s="11"/>
      <c r="AI36" s="11"/>
      <c r="AJ36" s="11"/>
      <c r="AK36" s="11"/>
      <c r="AL36" s="11"/>
      <c r="AM36" s="11"/>
      <c r="AN36" s="11"/>
      <c r="AO36" s="11"/>
      <c r="AP36" s="11"/>
      <c r="AQ36" s="11"/>
      <c r="AR36" s="11"/>
      <c r="AS36" s="11"/>
      <c r="AT36" s="11"/>
      <c r="AU36" s="11"/>
      <c r="AV36" s="11"/>
      <c r="AW36" s="11"/>
      <c r="AX36" s="11"/>
      <c r="AY36" s="11"/>
      <c r="AZ36" s="11"/>
      <c r="BA36" s="11"/>
      <c r="BB36" s="11"/>
      <c r="BC36" s="3" t="str" cm="1">
        <f t="array" ref="BC36">IF(OR(AJ36:BB36="SI"),"Critico","No Critico")</f>
        <v>No Critico</v>
      </c>
    </row>
    <row r="37" spans="1:55" ht="38.25" hidden="1">
      <c r="A37" s="60">
        <f>Inicial!A37</f>
        <v>35</v>
      </c>
      <c r="B37" s="61" t="str">
        <f>Inicial!B37</f>
        <v>Desposte</v>
      </c>
      <c r="C37" s="61" t="str">
        <f>Inicial!C37</f>
        <v>Operario de producción Línea Lomos</v>
      </c>
      <c r="D37" s="62" t="str">
        <f>Inicial!D37</f>
        <v>Prolijado de tailen</v>
      </c>
      <c r="E37" s="60" t="str">
        <f>IF(Inicial!L37="SI",Inicial!E37,"N/A")</f>
        <v>N/A</v>
      </c>
      <c r="F37" s="61" t="str">
        <f>IF(Inicial!L37="SI",Inicial!F37,"N/A")</f>
        <v>N/A</v>
      </c>
      <c r="G37" s="61" t="str">
        <f>IF(Inicial!L37="SI",Inicial!G37,"N/A")</f>
        <v>N/A</v>
      </c>
      <c r="H37" s="61" t="str">
        <f>IF(Inicial!L37="SI",Inicial!H37,"N/A")</f>
        <v>N/A</v>
      </c>
      <c r="I37" s="63" t="str">
        <f>IF(Inicial!L37="SI",Inicial!I37,"N/A")</f>
        <v>N/A</v>
      </c>
      <c r="J37" s="11"/>
      <c r="K37" s="11"/>
      <c r="L37" s="11"/>
      <c r="M37" s="11"/>
      <c r="N37" s="11"/>
      <c r="O37" s="11"/>
      <c r="P37" s="11"/>
      <c r="Q37" s="11"/>
      <c r="R37" s="11"/>
      <c r="S37" s="11"/>
      <c r="T37" s="11"/>
      <c r="U37" s="11"/>
      <c r="V37" s="11"/>
      <c r="W37" s="11"/>
      <c r="X37" s="11"/>
      <c r="Y37" s="11"/>
      <c r="Z37" s="11"/>
      <c r="AA37" s="11"/>
      <c r="AB37" s="11"/>
      <c r="AC37" s="11"/>
      <c r="AD37" s="11"/>
      <c r="AE37" s="11"/>
      <c r="AF37" s="12" t="str" cm="1">
        <f t="array" ref="AF37">IF(OR(M37:AE37="NO"),"No aceptable","Aceptable")</f>
        <v>Aceptable</v>
      </c>
      <c r="AG37" s="11"/>
      <c r="AH37" s="11"/>
      <c r="AI37" s="11"/>
      <c r="AJ37" s="11"/>
      <c r="AK37" s="11"/>
      <c r="AL37" s="11"/>
      <c r="AM37" s="11"/>
      <c r="AN37" s="11"/>
      <c r="AO37" s="11"/>
      <c r="AP37" s="11"/>
      <c r="AQ37" s="11"/>
      <c r="AR37" s="11"/>
      <c r="AS37" s="11"/>
      <c r="AT37" s="11"/>
      <c r="AU37" s="11"/>
      <c r="AV37" s="11"/>
      <c r="AW37" s="11"/>
      <c r="AX37" s="11"/>
      <c r="AY37" s="11"/>
      <c r="AZ37" s="11"/>
      <c r="BA37" s="11"/>
      <c r="BB37" s="11"/>
      <c r="BC37" s="3" t="str" cm="1">
        <f t="array" ref="BC37">IF(OR(AJ37:BB37="SI"),"Critico","No Critico")</f>
        <v>No Critico</v>
      </c>
    </row>
    <row r="38" spans="1:55" ht="38.25" hidden="1">
      <c r="A38" s="60">
        <f>Inicial!A38</f>
        <v>36</v>
      </c>
      <c r="B38" s="61" t="str">
        <f>Inicial!B38</f>
        <v>Desposte</v>
      </c>
      <c r="C38" s="61" t="str">
        <f>Inicial!C38</f>
        <v>Operario de producción Línea Lomos</v>
      </c>
      <c r="D38" s="62" t="str">
        <f>Inicial!D38</f>
        <v>Calibrado de tailen</v>
      </c>
      <c r="E38" s="60" t="str">
        <f>IF(Inicial!L38="SI",Inicial!E38,"N/A")</f>
        <v>N/A</v>
      </c>
      <c r="F38" s="61" t="str">
        <f>IF(Inicial!L38="SI",Inicial!F38,"N/A")</f>
        <v>N/A</v>
      </c>
      <c r="G38" s="61" t="str">
        <f>IF(Inicial!L38="SI",Inicial!G38,"N/A")</f>
        <v>N/A</v>
      </c>
      <c r="H38" s="61" t="str">
        <f>IF(Inicial!L38="SI",Inicial!H38,"N/A")</f>
        <v>N/A</v>
      </c>
      <c r="I38" s="63" t="str">
        <f>IF(Inicial!L38="SI",Inicial!I38,"N/A")</f>
        <v>N/A</v>
      </c>
      <c r="J38" s="11"/>
      <c r="K38" s="11"/>
      <c r="L38" s="11"/>
      <c r="M38" s="11"/>
      <c r="N38" s="11"/>
      <c r="O38" s="11"/>
      <c r="P38" s="11"/>
      <c r="Q38" s="11"/>
      <c r="R38" s="11"/>
      <c r="S38" s="11"/>
      <c r="T38" s="11"/>
      <c r="U38" s="11"/>
      <c r="V38" s="11"/>
      <c r="W38" s="11"/>
      <c r="X38" s="11"/>
      <c r="Y38" s="11"/>
      <c r="Z38" s="11"/>
      <c r="AA38" s="11"/>
      <c r="AB38" s="11"/>
      <c r="AC38" s="11"/>
      <c r="AD38" s="11"/>
      <c r="AE38" s="11"/>
      <c r="AF38" s="12" t="str" cm="1">
        <f t="array" ref="AF38">IF(OR(M38:AE38="NO"),"No aceptable","Aceptable")</f>
        <v>Aceptable</v>
      </c>
      <c r="AG38" s="11"/>
      <c r="AH38" s="11"/>
      <c r="AI38" s="11"/>
      <c r="AJ38" s="11"/>
      <c r="AK38" s="11"/>
      <c r="AL38" s="11"/>
      <c r="AM38" s="11"/>
      <c r="AN38" s="11"/>
      <c r="AO38" s="11"/>
      <c r="AP38" s="11"/>
      <c r="AQ38" s="11"/>
      <c r="AR38" s="11"/>
      <c r="AS38" s="11"/>
      <c r="AT38" s="11"/>
      <c r="AU38" s="11"/>
      <c r="AV38" s="11"/>
      <c r="AW38" s="11"/>
      <c r="AX38" s="11"/>
      <c r="AY38" s="11"/>
      <c r="AZ38" s="11"/>
      <c r="BA38" s="11"/>
      <c r="BB38" s="11"/>
      <c r="BC38" s="3" t="str" cm="1">
        <f t="array" ref="BC38">IF(OR(AJ38:BB38="SI"),"Critico","No Critico")</f>
        <v>No Critico</v>
      </c>
    </row>
    <row r="39" spans="1:55" ht="38.25" hidden="1">
      <c r="A39" s="60">
        <f>Inicial!A39</f>
        <v>37</v>
      </c>
      <c r="B39" s="61" t="str">
        <f>Inicial!B39</f>
        <v>Desposte</v>
      </c>
      <c r="C39" s="61" t="str">
        <f>Inicial!C39</f>
        <v>Operario de producción Línea Lomos</v>
      </c>
      <c r="D39" s="62" t="str">
        <f>Inicial!D39</f>
        <v>Calibrado de baby back ribs</v>
      </c>
      <c r="E39" s="60" t="str">
        <f>IF(Inicial!L39="SI",Inicial!E39,"N/A")</f>
        <v>N/A</v>
      </c>
      <c r="F39" s="61" t="str">
        <f>IF(Inicial!L39="SI",Inicial!F39,"N/A")</f>
        <v>N/A</v>
      </c>
      <c r="G39" s="61" t="str">
        <f>IF(Inicial!L39="SI",Inicial!G39,"N/A")</f>
        <v>N/A</v>
      </c>
      <c r="H39" s="61" t="str">
        <f>IF(Inicial!L39="SI",Inicial!H39,"N/A")</f>
        <v>N/A</v>
      </c>
      <c r="I39" s="63" t="str">
        <f>IF(Inicial!L39="SI",Inicial!I39,"N/A")</f>
        <v>N/A</v>
      </c>
      <c r="J39" s="11"/>
      <c r="K39" s="11"/>
      <c r="L39" s="11"/>
      <c r="M39" s="11"/>
      <c r="N39" s="11"/>
      <c r="O39" s="11"/>
      <c r="P39" s="11"/>
      <c r="Q39" s="11"/>
      <c r="R39" s="11"/>
      <c r="S39" s="11"/>
      <c r="T39" s="11"/>
      <c r="U39" s="11"/>
      <c r="V39" s="11"/>
      <c r="W39" s="11"/>
      <c r="X39" s="11"/>
      <c r="Y39" s="11"/>
      <c r="Z39" s="11"/>
      <c r="AA39" s="11"/>
      <c r="AB39" s="11"/>
      <c r="AC39" s="11"/>
      <c r="AD39" s="11"/>
      <c r="AE39" s="11"/>
      <c r="AF39" s="12" t="str" cm="1">
        <f t="array" ref="AF39">IF(OR(M39:AE39="NO"),"No aceptable","Aceptable")</f>
        <v>Aceptable</v>
      </c>
      <c r="AG39" s="11"/>
      <c r="AH39" s="11"/>
      <c r="AI39" s="11"/>
      <c r="AJ39" s="11"/>
      <c r="AK39" s="11"/>
      <c r="AL39" s="11"/>
      <c r="AM39" s="11"/>
      <c r="AN39" s="11"/>
      <c r="AO39" s="11"/>
      <c r="AP39" s="11"/>
      <c r="AQ39" s="11"/>
      <c r="AR39" s="11"/>
      <c r="AS39" s="11"/>
      <c r="AT39" s="11"/>
      <c r="AU39" s="11"/>
      <c r="AV39" s="11"/>
      <c r="AW39" s="11"/>
      <c r="AX39" s="11"/>
      <c r="AY39" s="11"/>
      <c r="AZ39" s="11"/>
      <c r="BA39" s="11"/>
      <c r="BB39" s="11"/>
      <c r="BC39" s="3" t="str" cm="1">
        <f t="array" ref="BC39">IF(OR(AJ39:BB39="SI"),"Critico","No Critico")</f>
        <v>No Critico</v>
      </c>
    </row>
    <row r="40" spans="1:55" ht="38.25" hidden="1">
      <c r="A40" s="60">
        <f>Inicial!A40</f>
        <v>38</v>
      </c>
      <c r="B40" s="61" t="str">
        <f>Inicial!B40</f>
        <v>Desposte</v>
      </c>
      <c r="C40" s="61" t="str">
        <f>Inicial!C40</f>
        <v>Operario de producción Línea Lomos</v>
      </c>
      <c r="D40" s="62" t="str">
        <f>Inicial!D40</f>
        <v>Embalaje de baby back ribs</v>
      </c>
      <c r="E40" s="60" t="str">
        <f>IF(Inicial!L40="SI",Inicial!E40,"N/A")</f>
        <v>N/A</v>
      </c>
      <c r="F40" s="61" t="str">
        <f>IF(Inicial!L40="SI",Inicial!F40,"N/A")</f>
        <v>N/A</v>
      </c>
      <c r="G40" s="61" t="str">
        <f>IF(Inicial!L40="SI",Inicial!G40,"N/A")</f>
        <v>N/A</v>
      </c>
      <c r="H40" s="61" t="str">
        <f>IF(Inicial!L40="SI",Inicial!H40,"N/A")</f>
        <v>N/A</v>
      </c>
      <c r="I40" s="63" t="str">
        <f>IF(Inicial!L40="SI",Inicial!I40,"N/A")</f>
        <v>N/A</v>
      </c>
      <c r="J40" s="11"/>
      <c r="K40" s="11"/>
      <c r="L40" s="11"/>
      <c r="M40" s="11"/>
      <c r="N40" s="11"/>
      <c r="O40" s="11"/>
      <c r="P40" s="11"/>
      <c r="Q40" s="11"/>
      <c r="R40" s="11"/>
      <c r="S40" s="11"/>
      <c r="T40" s="11"/>
      <c r="U40" s="11"/>
      <c r="V40" s="11"/>
      <c r="W40" s="11"/>
      <c r="X40" s="11"/>
      <c r="Y40" s="11"/>
      <c r="Z40" s="11"/>
      <c r="AA40" s="11"/>
      <c r="AB40" s="11"/>
      <c r="AC40" s="11"/>
      <c r="AD40" s="11"/>
      <c r="AE40" s="11"/>
      <c r="AF40" s="12" t="str" cm="1">
        <f t="array" ref="AF40">IF(OR(M40:AE40="NO"),"No aceptable","Aceptable")</f>
        <v>Aceptable</v>
      </c>
      <c r="AG40" s="11"/>
      <c r="AH40" s="11"/>
      <c r="AI40" s="11"/>
      <c r="AJ40" s="11"/>
      <c r="AK40" s="11"/>
      <c r="AL40" s="11"/>
      <c r="AM40" s="11"/>
      <c r="AN40" s="11"/>
      <c r="AO40" s="11"/>
      <c r="AP40" s="11"/>
      <c r="AQ40" s="11"/>
      <c r="AR40" s="11"/>
      <c r="AS40" s="11"/>
      <c r="AT40" s="11"/>
      <c r="AU40" s="11"/>
      <c r="AV40" s="11"/>
      <c r="AW40" s="11"/>
      <c r="AX40" s="11"/>
      <c r="AY40" s="11"/>
      <c r="AZ40" s="11"/>
      <c r="BA40" s="11"/>
      <c r="BB40" s="11"/>
      <c r="BC40" s="3" t="str" cm="1">
        <f t="array" ref="BC40">IF(OR(AJ40:BB40="SI"),"Critico","No Critico")</f>
        <v>No Critico</v>
      </c>
    </row>
    <row r="41" spans="1:55" ht="38.25" hidden="1">
      <c r="A41" s="60">
        <f>Inicial!A41</f>
        <v>39</v>
      </c>
      <c r="B41" s="61" t="str">
        <f>Inicial!B41</f>
        <v>Desposte</v>
      </c>
      <c r="C41" s="61" t="str">
        <f>Inicial!C41</f>
        <v>Operario de producción Línea Lomos</v>
      </c>
      <c r="D41" s="62" t="str">
        <f>Inicial!D41</f>
        <v>Estuche</v>
      </c>
      <c r="E41" s="60" t="str">
        <f>IF(Inicial!L41="SI",Inicial!E41,"N/A")</f>
        <v>N/A</v>
      </c>
      <c r="F41" s="61" t="str">
        <f>IF(Inicial!L41="SI",Inicial!F41,"N/A")</f>
        <v>N/A</v>
      </c>
      <c r="G41" s="61" t="str">
        <f>IF(Inicial!L41="SI",Inicial!G41,"N/A")</f>
        <v>N/A</v>
      </c>
      <c r="H41" s="61" t="str">
        <f>IF(Inicial!L41="SI",Inicial!H41,"N/A")</f>
        <v>N/A</v>
      </c>
      <c r="I41" s="63" t="str">
        <f>IF(Inicial!L41="SI",Inicial!I41,"N/A")</f>
        <v>N/A</v>
      </c>
      <c r="J41" s="11"/>
      <c r="K41" s="11"/>
      <c r="L41" s="11"/>
      <c r="M41" s="11"/>
      <c r="N41" s="11"/>
      <c r="O41" s="11"/>
      <c r="P41" s="11"/>
      <c r="Q41" s="11"/>
      <c r="R41" s="11"/>
      <c r="S41" s="11"/>
      <c r="T41" s="11"/>
      <c r="U41" s="11"/>
      <c r="V41" s="11"/>
      <c r="W41" s="11"/>
      <c r="X41" s="11"/>
      <c r="Y41" s="11"/>
      <c r="Z41" s="11"/>
      <c r="AA41" s="11"/>
      <c r="AB41" s="11"/>
      <c r="AC41" s="11"/>
      <c r="AD41" s="11"/>
      <c r="AE41" s="11"/>
      <c r="AF41" s="12" t="str" cm="1">
        <f t="array" ref="AF41">IF(OR(M41:AE41="NO"),"No aceptable","Aceptable")</f>
        <v>Aceptable</v>
      </c>
      <c r="AG41" s="11"/>
      <c r="AH41" s="11"/>
      <c r="AI41" s="11"/>
      <c r="AJ41" s="11"/>
      <c r="AK41" s="11"/>
      <c r="AL41" s="11"/>
      <c r="AM41" s="11"/>
      <c r="AN41" s="11"/>
      <c r="AO41" s="11"/>
      <c r="AP41" s="11"/>
      <c r="AQ41" s="11"/>
      <c r="AR41" s="11"/>
      <c r="AS41" s="11"/>
      <c r="AT41" s="11"/>
      <c r="AU41" s="11"/>
      <c r="AV41" s="11"/>
      <c r="AW41" s="11"/>
      <c r="AX41" s="11"/>
      <c r="AY41" s="11"/>
      <c r="AZ41" s="11"/>
      <c r="BA41" s="11"/>
      <c r="BB41" s="11"/>
      <c r="BC41" s="3" t="str" cm="1">
        <f t="array" ref="BC41">IF(OR(AJ41:BB41="SI"),"Critico","No Critico")</f>
        <v>No Critico</v>
      </c>
    </row>
    <row r="42" spans="1:55" ht="38.25" hidden="1">
      <c r="A42" s="60">
        <f>Inicial!A42</f>
        <v>40</v>
      </c>
      <c r="B42" s="61" t="str">
        <f>Inicial!B42</f>
        <v>Desposte</v>
      </c>
      <c r="C42" s="61" t="str">
        <f>Inicial!C42</f>
        <v>Operario de producción Línea Lomos</v>
      </c>
      <c r="D42" s="62" t="str">
        <f>Inicial!D42</f>
        <v>Pegar fechas</v>
      </c>
      <c r="E42" s="60" t="str">
        <f>IF(Inicial!L42="SI",Inicial!E42,"N/A")</f>
        <v>N/A</v>
      </c>
      <c r="F42" s="61" t="str">
        <f>IF(Inicial!L42="SI",Inicial!F42,"N/A")</f>
        <v>N/A</v>
      </c>
      <c r="G42" s="61" t="str">
        <f>IF(Inicial!L42="SI",Inicial!G42,"N/A")</f>
        <v>N/A</v>
      </c>
      <c r="H42" s="61" t="str">
        <f>IF(Inicial!L42="SI",Inicial!H42,"N/A")</f>
        <v>N/A</v>
      </c>
      <c r="I42" s="63" t="str">
        <f>IF(Inicial!L42="SI",Inicial!I42,"N/A")</f>
        <v>N/A</v>
      </c>
      <c r="J42" s="11"/>
      <c r="K42" s="11"/>
      <c r="L42" s="11"/>
      <c r="M42" s="11"/>
      <c r="N42" s="11"/>
      <c r="O42" s="11"/>
      <c r="P42" s="11"/>
      <c r="Q42" s="11"/>
      <c r="R42" s="11"/>
      <c r="S42" s="11"/>
      <c r="T42" s="11"/>
      <c r="U42" s="11"/>
      <c r="V42" s="11"/>
      <c r="W42" s="11"/>
      <c r="X42" s="11"/>
      <c r="Y42" s="11"/>
      <c r="Z42" s="11"/>
      <c r="AA42" s="11"/>
      <c r="AB42" s="11"/>
      <c r="AC42" s="11"/>
      <c r="AD42" s="11"/>
      <c r="AE42" s="11"/>
      <c r="AF42" s="12" t="str" cm="1">
        <f t="array" ref="AF42">IF(OR(M42:AE42="NO"),"No aceptable","Aceptable")</f>
        <v>Aceptable</v>
      </c>
      <c r="AG42" s="11"/>
      <c r="AH42" s="11"/>
      <c r="AI42" s="11"/>
      <c r="AJ42" s="11"/>
      <c r="AK42" s="11"/>
      <c r="AL42" s="11"/>
      <c r="AM42" s="11"/>
      <c r="AN42" s="11"/>
      <c r="AO42" s="11"/>
      <c r="AP42" s="11"/>
      <c r="AQ42" s="11"/>
      <c r="AR42" s="11"/>
      <c r="AS42" s="11"/>
      <c r="AT42" s="11"/>
      <c r="AU42" s="11"/>
      <c r="AV42" s="11"/>
      <c r="AW42" s="11"/>
      <c r="AX42" s="11"/>
      <c r="AY42" s="11"/>
      <c r="AZ42" s="11"/>
      <c r="BA42" s="11"/>
      <c r="BB42" s="11"/>
      <c r="BC42" s="3" t="str" cm="1">
        <f t="array" ref="BC42">IF(OR(AJ42:BB42="SI"),"Critico","No Critico")</f>
        <v>No Critico</v>
      </c>
    </row>
    <row r="43" spans="1:55" ht="38.25" hidden="1">
      <c r="A43" s="60">
        <f>Inicial!A43</f>
        <v>41</v>
      </c>
      <c r="B43" s="61" t="str">
        <f>Inicial!B43</f>
        <v>Desposte</v>
      </c>
      <c r="C43" s="61" t="str">
        <f>Inicial!C43</f>
        <v>Operario de producción Línea Lomos</v>
      </c>
      <c r="D43" s="62" t="str">
        <f>Inicial!D43</f>
        <v>Operador de equipo Selladora C-500</v>
      </c>
      <c r="E43" s="60" t="str">
        <f>IF(Inicial!L43="SI",Inicial!E43,"N/A")</f>
        <v>N/A</v>
      </c>
      <c r="F43" s="61" t="str">
        <f>IF(Inicial!L43="SI",Inicial!F43,"N/A")</f>
        <v>N/A</v>
      </c>
      <c r="G43" s="61" t="str">
        <f>IF(Inicial!L43="SI",Inicial!G43,"N/A")</f>
        <v>N/A</v>
      </c>
      <c r="H43" s="61" t="str">
        <f>IF(Inicial!L43="SI",Inicial!H43,"N/A")</f>
        <v>N/A</v>
      </c>
      <c r="I43" s="63" t="str">
        <f>IF(Inicial!L43="SI",Inicial!I43,"N/A")</f>
        <v>N/A</v>
      </c>
      <c r="J43" s="11"/>
      <c r="K43" s="11"/>
      <c r="L43" s="11"/>
      <c r="M43" s="11"/>
      <c r="N43" s="11"/>
      <c r="O43" s="11"/>
      <c r="P43" s="11"/>
      <c r="Q43" s="11"/>
      <c r="R43" s="11"/>
      <c r="S43" s="11"/>
      <c r="T43" s="11"/>
      <c r="U43" s="11"/>
      <c r="V43" s="11"/>
      <c r="W43" s="11"/>
      <c r="X43" s="11"/>
      <c r="Y43" s="11"/>
      <c r="Z43" s="11"/>
      <c r="AA43" s="11"/>
      <c r="AB43" s="11"/>
      <c r="AC43" s="11"/>
      <c r="AD43" s="11"/>
      <c r="AE43" s="11"/>
      <c r="AF43" s="12" t="str" cm="1">
        <f t="array" ref="AF43">IF(OR(M43:AE43="NO"),"No aceptable","Aceptable")</f>
        <v>Aceptable</v>
      </c>
      <c r="AG43" s="11"/>
      <c r="AH43" s="11"/>
      <c r="AI43" s="11"/>
      <c r="AJ43" s="11"/>
      <c r="AK43" s="11"/>
      <c r="AL43" s="11"/>
      <c r="AM43" s="11"/>
      <c r="AN43" s="11"/>
      <c r="AO43" s="11"/>
      <c r="AP43" s="11"/>
      <c r="AQ43" s="11"/>
      <c r="AR43" s="11"/>
      <c r="AS43" s="11"/>
      <c r="AT43" s="11"/>
      <c r="AU43" s="11"/>
      <c r="AV43" s="11"/>
      <c r="AW43" s="11"/>
      <c r="AX43" s="11"/>
      <c r="AY43" s="11"/>
      <c r="AZ43" s="11"/>
      <c r="BA43" s="11"/>
      <c r="BB43" s="11"/>
      <c r="BC43" s="3" t="str" cm="1">
        <f t="array" ref="BC43">IF(OR(AJ43:BB43="SI"),"Critico","No Critico")</f>
        <v>No Critico</v>
      </c>
    </row>
    <row r="44" spans="1:55" ht="38.25" hidden="1">
      <c r="A44" s="60">
        <f>Inicial!A44</f>
        <v>42</v>
      </c>
      <c r="B44" s="61" t="str">
        <f>Inicial!B44</f>
        <v>Desposte</v>
      </c>
      <c r="C44" s="61" t="str">
        <f>Inicial!C44</f>
        <v>Operario de producción Línea Paletas</v>
      </c>
      <c r="D44" s="62" t="str">
        <f>Inicial!D44</f>
        <v>Despunte Axilar</v>
      </c>
      <c r="E44" s="60" t="str">
        <f>IF(Inicial!L44="SI",Inicial!E44,"N/A")</f>
        <v>N/A</v>
      </c>
      <c r="F44" s="61" t="str">
        <f>IF(Inicial!L44="SI",Inicial!F44,"N/A")</f>
        <v>N/A</v>
      </c>
      <c r="G44" s="61" t="str">
        <f>IF(Inicial!L44="SI",Inicial!G44,"N/A")</f>
        <v>N/A</v>
      </c>
      <c r="H44" s="61" t="str">
        <f>IF(Inicial!L44="SI",Inicial!H44,"N/A")</f>
        <v>N/A</v>
      </c>
      <c r="I44" s="63" t="str">
        <f>IF(Inicial!L44="SI",Inicial!I44,"N/A")</f>
        <v>N/A</v>
      </c>
      <c r="J44" s="11"/>
      <c r="K44" s="11"/>
      <c r="L44" s="11"/>
      <c r="M44" s="11"/>
      <c r="N44" s="11"/>
      <c r="O44" s="11"/>
      <c r="P44" s="11"/>
      <c r="Q44" s="11"/>
      <c r="R44" s="11"/>
      <c r="S44" s="11"/>
      <c r="T44" s="11"/>
      <c r="U44" s="11"/>
      <c r="V44" s="11"/>
      <c r="W44" s="11"/>
      <c r="X44" s="11"/>
      <c r="Y44" s="11"/>
      <c r="Z44" s="11"/>
      <c r="AA44" s="11"/>
      <c r="AB44" s="11"/>
      <c r="AC44" s="11"/>
      <c r="AD44" s="11"/>
      <c r="AE44" s="11"/>
      <c r="AF44" s="12" t="str" cm="1">
        <f t="array" ref="AF44">IF(OR(M44:AE44="NO"),"No aceptable","Aceptable")</f>
        <v>Aceptable</v>
      </c>
      <c r="AG44" s="11"/>
      <c r="AH44" s="11"/>
      <c r="AI44" s="11"/>
      <c r="AJ44" s="11"/>
      <c r="AK44" s="11"/>
      <c r="AL44" s="11"/>
      <c r="AM44" s="11"/>
      <c r="AN44" s="11"/>
      <c r="AO44" s="11"/>
      <c r="AP44" s="11"/>
      <c r="AQ44" s="11"/>
      <c r="AR44" s="11"/>
      <c r="AS44" s="11"/>
      <c r="AT44" s="11"/>
      <c r="AU44" s="11"/>
      <c r="AV44" s="11"/>
      <c r="AW44" s="11"/>
      <c r="AX44" s="11"/>
      <c r="AY44" s="11"/>
      <c r="AZ44" s="11"/>
      <c r="BA44" s="11"/>
      <c r="BB44" s="11"/>
      <c r="BC44" s="3" t="str" cm="1">
        <f t="array" ref="BC44">IF(OR(AJ44:BB44="SI"),"Critico","No Critico")</f>
        <v>No Critico</v>
      </c>
    </row>
    <row r="45" spans="1:55" ht="38.25" hidden="1">
      <c r="A45" s="60">
        <f>Inicial!A45</f>
        <v>43</v>
      </c>
      <c r="B45" s="61" t="str">
        <f>Inicial!B45</f>
        <v>Desposte</v>
      </c>
      <c r="C45" s="61" t="str">
        <f>Inicial!C45</f>
        <v>Operario de producción Línea Paletas</v>
      </c>
      <c r="D45" s="62" t="str">
        <f>Inicial!D45</f>
        <v>Desforrado de Paleta</v>
      </c>
      <c r="E45" s="60" t="str">
        <f>IF(Inicial!L45="SI",Inicial!E45,"N/A")</f>
        <v>N/A</v>
      </c>
      <c r="F45" s="61" t="str">
        <f>IF(Inicial!L45="SI",Inicial!F45,"N/A")</f>
        <v>N/A</v>
      </c>
      <c r="G45" s="61" t="str">
        <f>IF(Inicial!L45="SI",Inicial!G45,"N/A")</f>
        <v>N/A</v>
      </c>
      <c r="H45" s="61" t="str">
        <f>IF(Inicial!L45="SI",Inicial!H45,"N/A")</f>
        <v>N/A</v>
      </c>
      <c r="I45" s="63" t="str">
        <f>IF(Inicial!L45="SI",Inicial!I45,"N/A")</f>
        <v>N/A</v>
      </c>
      <c r="J45" s="11"/>
      <c r="K45" s="11"/>
      <c r="L45" s="11"/>
      <c r="M45" s="11"/>
      <c r="N45" s="11"/>
      <c r="O45" s="11"/>
      <c r="P45" s="11"/>
      <c r="Q45" s="11"/>
      <c r="R45" s="11"/>
      <c r="S45" s="11"/>
      <c r="T45" s="11"/>
      <c r="U45" s="11"/>
      <c r="V45" s="11"/>
      <c r="W45" s="11"/>
      <c r="X45" s="11"/>
      <c r="Y45" s="11"/>
      <c r="Z45" s="11"/>
      <c r="AA45" s="11"/>
      <c r="AB45" s="11"/>
      <c r="AC45" s="11"/>
      <c r="AD45" s="11"/>
      <c r="AE45" s="11"/>
      <c r="AF45" s="12" t="str" cm="1">
        <f t="array" ref="AF45">IF(OR(M45:AE45="NO"),"No aceptable","Aceptable")</f>
        <v>Aceptable</v>
      </c>
      <c r="AG45" s="11"/>
      <c r="AH45" s="11"/>
      <c r="AI45" s="11"/>
      <c r="AJ45" s="11"/>
      <c r="AK45" s="11"/>
      <c r="AL45" s="11"/>
      <c r="AM45" s="11"/>
      <c r="AN45" s="11"/>
      <c r="AO45" s="11"/>
      <c r="AP45" s="11"/>
      <c r="AQ45" s="11"/>
      <c r="AR45" s="11"/>
      <c r="AS45" s="11"/>
      <c r="AT45" s="11"/>
      <c r="AU45" s="11"/>
      <c r="AV45" s="11"/>
      <c r="AW45" s="11"/>
      <c r="AX45" s="11"/>
      <c r="AY45" s="11"/>
      <c r="AZ45" s="11"/>
      <c r="BA45" s="11"/>
      <c r="BB45" s="11"/>
      <c r="BC45" s="3" t="str" cm="1">
        <f t="array" ref="BC45">IF(OR(AJ45:BB45="SI"),"Critico","No Critico")</f>
        <v>No Critico</v>
      </c>
    </row>
    <row r="46" spans="1:55" ht="38.25" hidden="1">
      <c r="A46" s="60">
        <f>Inicial!A46</f>
        <v>44</v>
      </c>
      <c r="B46" s="61" t="str">
        <f>Inicial!B46</f>
        <v>Desposte</v>
      </c>
      <c r="C46" s="61" t="str">
        <f>Inicial!C46</f>
        <v>Operario de producción Línea Paletas</v>
      </c>
      <c r="D46" s="62" t="str">
        <f>Inicial!D46</f>
        <v>Extracción de ganglios paleta</v>
      </c>
      <c r="E46" s="60" t="str">
        <f>IF(Inicial!L46="SI",Inicial!E46,"N/A")</f>
        <v>N/A</v>
      </c>
      <c r="F46" s="61" t="str">
        <f>IF(Inicial!L46="SI",Inicial!F46,"N/A")</f>
        <v>N/A</v>
      </c>
      <c r="G46" s="61" t="str">
        <f>IF(Inicial!L46="SI",Inicial!G46,"N/A")</f>
        <v>N/A</v>
      </c>
      <c r="H46" s="61" t="str">
        <f>IF(Inicial!L46="SI",Inicial!H46,"N/A")</f>
        <v>N/A</v>
      </c>
      <c r="I46" s="63" t="str">
        <f>IF(Inicial!L46="SI",Inicial!I46,"N/A")</f>
        <v>N/A</v>
      </c>
      <c r="J46" s="11"/>
      <c r="K46" s="11"/>
      <c r="L46" s="11"/>
      <c r="M46" s="11"/>
      <c r="N46" s="11"/>
      <c r="O46" s="11"/>
      <c r="P46" s="11"/>
      <c r="Q46" s="11"/>
      <c r="R46" s="11"/>
      <c r="S46" s="11"/>
      <c r="T46" s="11"/>
      <c r="U46" s="11"/>
      <c r="V46" s="11"/>
      <c r="W46" s="11"/>
      <c r="X46" s="11"/>
      <c r="Y46" s="11"/>
      <c r="Z46" s="11"/>
      <c r="AA46" s="11"/>
      <c r="AB46" s="11"/>
      <c r="AC46" s="11"/>
      <c r="AD46" s="11"/>
      <c r="AE46" s="11"/>
      <c r="AF46" s="12" t="str" cm="1">
        <f t="array" ref="AF46">IF(OR(M46:AE46="NO"),"No aceptable","Aceptable")</f>
        <v>Aceptable</v>
      </c>
      <c r="AG46" s="11"/>
      <c r="AH46" s="11"/>
      <c r="AI46" s="11"/>
      <c r="AJ46" s="11"/>
      <c r="AK46" s="11"/>
      <c r="AL46" s="11"/>
      <c r="AM46" s="11"/>
      <c r="AN46" s="11"/>
      <c r="AO46" s="11"/>
      <c r="AP46" s="11"/>
      <c r="AQ46" s="11"/>
      <c r="AR46" s="11"/>
      <c r="AS46" s="11"/>
      <c r="AT46" s="11"/>
      <c r="AU46" s="11"/>
      <c r="AV46" s="11"/>
      <c r="AW46" s="11"/>
      <c r="AX46" s="11"/>
      <c r="AY46" s="11"/>
      <c r="AZ46" s="11"/>
      <c r="BA46" s="11"/>
      <c r="BB46" s="11"/>
      <c r="BC46" s="3" t="str" cm="1">
        <f t="array" ref="BC46">IF(OR(AJ46:BB46="SI"),"Critico","No Critico")</f>
        <v>No Critico</v>
      </c>
    </row>
    <row r="47" spans="1:55" ht="38.25" hidden="1">
      <c r="A47" s="60">
        <f>Inicial!A47</f>
        <v>45</v>
      </c>
      <c r="B47" s="61" t="str">
        <f>Inicial!B47</f>
        <v>Desposte</v>
      </c>
      <c r="C47" s="61" t="str">
        <f>Inicial!C47</f>
        <v>Operario de producción Línea Paletas</v>
      </c>
      <c r="D47" s="62" t="str">
        <f>Inicial!D47</f>
        <v>Extracción de plateada de paleta</v>
      </c>
      <c r="E47" s="60" t="str">
        <f>IF(Inicial!L47="SI",Inicial!E47,"N/A")</f>
        <v>N/A</v>
      </c>
      <c r="F47" s="61" t="str">
        <f>IF(Inicial!L47="SI",Inicial!F47,"N/A")</f>
        <v>N/A</v>
      </c>
      <c r="G47" s="61" t="str">
        <f>IF(Inicial!L47="SI",Inicial!G47,"N/A")</f>
        <v>N/A</v>
      </c>
      <c r="H47" s="61" t="str">
        <f>IF(Inicial!L47="SI",Inicial!H47,"N/A")</f>
        <v>N/A</v>
      </c>
      <c r="I47" s="63" t="str">
        <f>IF(Inicial!L47="SI",Inicial!I47,"N/A")</f>
        <v>N/A</v>
      </c>
      <c r="J47" s="11"/>
      <c r="K47" s="11"/>
      <c r="L47" s="11"/>
      <c r="M47" s="11"/>
      <c r="N47" s="11"/>
      <c r="O47" s="11"/>
      <c r="P47" s="11"/>
      <c r="Q47" s="11"/>
      <c r="R47" s="11"/>
      <c r="S47" s="11"/>
      <c r="T47" s="11"/>
      <c r="U47" s="11"/>
      <c r="V47" s="11"/>
      <c r="W47" s="11"/>
      <c r="X47" s="11"/>
      <c r="Y47" s="11"/>
      <c r="Z47" s="11"/>
      <c r="AA47" s="11"/>
      <c r="AB47" s="11"/>
      <c r="AC47" s="11"/>
      <c r="AD47" s="11"/>
      <c r="AE47" s="11"/>
      <c r="AF47" s="12" t="str" cm="1">
        <f t="array" ref="AF47">IF(OR(M47:AE47="NO"),"No aceptable","Aceptable")</f>
        <v>Aceptable</v>
      </c>
      <c r="AG47" s="11"/>
      <c r="AH47" s="11"/>
      <c r="AI47" s="11"/>
      <c r="AJ47" s="11"/>
      <c r="AK47" s="11"/>
      <c r="AL47" s="11"/>
      <c r="AM47" s="11"/>
      <c r="AN47" s="11"/>
      <c r="AO47" s="11"/>
      <c r="AP47" s="11"/>
      <c r="AQ47" s="11"/>
      <c r="AR47" s="11"/>
      <c r="AS47" s="11"/>
      <c r="AT47" s="11"/>
      <c r="AU47" s="11"/>
      <c r="AV47" s="11"/>
      <c r="AW47" s="11"/>
      <c r="AX47" s="11"/>
      <c r="AY47" s="11"/>
      <c r="AZ47" s="11"/>
      <c r="BA47" s="11"/>
      <c r="BB47" s="11"/>
      <c r="BC47" s="3" t="str" cm="1">
        <f t="array" ref="BC47">IF(OR(AJ47:BB47="SI"),"Critico","No Critico")</f>
        <v>No Critico</v>
      </c>
    </row>
    <row r="48" spans="1:55" ht="38.25" hidden="1">
      <c r="A48" s="60">
        <f>Inicial!A48</f>
        <v>46</v>
      </c>
      <c r="B48" s="61" t="str">
        <f>Inicial!B48</f>
        <v>Desposte</v>
      </c>
      <c r="C48" s="61" t="str">
        <f>Inicial!C48</f>
        <v>Operario de producción Línea Paletas</v>
      </c>
      <c r="D48" s="62" t="str">
        <f>Inicial!D48</f>
        <v>Prolijado de plateada</v>
      </c>
      <c r="E48" s="60" t="str">
        <f>IF(Inicial!L48="SI",Inicial!E48,"N/A")</f>
        <v>N/A</v>
      </c>
      <c r="F48" s="61" t="str">
        <f>IF(Inicial!L48="SI",Inicial!F48,"N/A")</f>
        <v>N/A</v>
      </c>
      <c r="G48" s="61" t="str">
        <f>IF(Inicial!L48="SI",Inicial!G48,"N/A")</f>
        <v>N/A</v>
      </c>
      <c r="H48" s="61" t="str">
        <f>IF(Inicial!L48="SI",Inicial!H48,"N/A")</f>
        <v>N/A</v>
      </c>
      <c r="I48" s="63" t="str">
        <f>IF(Inicial!L48="SI",Inicial!I48,"N/A")</f>
        <v>N/A</v>
      </c>
      <c r="J48" s="11"/>
      <c r="K48" s="11"/>
      <c r="L48" s="11"/>
      <c r="M48" s="11"/>
      <c r="N48" s="11"/>
      <c r="O48" s="11"/>
      <c r="P48" s="11"/>
      <c r="Q48" s="11"/>
      <c r="R48" s="11"/>
      <c r="S48" s="11"/>
      <c r="T48" s="11"/>
      <c r="U48" s="11"/>
      <c r="V48" s="11"/>
      <c r="W48" s="11"/>
      <c r="X48" s="11"/>
      <c r="Y48" s="11"/>
      <c r="Z48" s="11"/>
      <c r="AA48" s="11"/>
      <c r="AB48" s="11"/>
      <c r="AC48" s="11"/>
      <c r="AD48" s="11"/>
      <c r="AE48" s="11"/>
      <c r="AF48" s="12" t="str" cm="1">
        <f t="array" ref="AF48">IF(OR(M48:AE48="NO"),"No aceptable","Aceptable")</f>
        <v>Aceptable</v>
      </c>
      <c r="AG48" s="11"/>
      <c r="AH48" s="11"/>
      <c r="AI48" s="11"/>
      <c r="AJ48" s="11"/>
      <c r="AK48" s="11"/>
      <c r="AL48" s="11"/>
      <c r="AM48" s="11"/>
      <c r="AN48" s="11"/>
      <c r="AO48" s="11"/>
      <c r="AP48" s="11"/>
      <c r="AQ48" s="11"/>
      <c r="AR48" s="11"/>
      <c r="AS48" s="11"/>
      <c r="AT48" s="11"/>
      <c r="AU48" s="11"/>
      <c r="AV48" s="11"/>
      <c r="AW48" s="11"/>
      <c r="AX48" s="11"/>
      <c r="AY48" s="11"/>
      <c r="AZ48" s="11"/>
      <c r="BA48" s="11"/>
      <c r="BB48" s="11"/>
      <c r="BC48" s="3" t="str" cm="1">
        <f t="array" ref="BC48">IF(OR(AJ48:BB48="SI"),"Critico","No Critico")</f>
        <v>No Critico</v>
      </c>
    </row>
    <row r="49" spans="1:55" ht="38.25" hidden="1">
      <c r="A49" s="60">
        <f>Inicial!A49</f>
        <v>47</v>
      </c>
      <c r="B49" s="61" t="str">
        <f>Inicial!B49</f>
        <v>Desposte</v>
      </c>
      <c r="C49" s="61" t="str">
        <f>Inicial!C49</f>
        <v>Operario de producción Línea Paletas</v>
      </c>
      <c r="D49" s="62" t="str">
        <f>Inicial!D49</f>
        <v>Revisión de paleta con cuchillo</v>
      </c>
      <c r="E49" s="60" t="str">
        <f>IF(Inicial!L49="SI",Inicial!E49,"N/A")</f>
        <v>N/A</v>
      </c>
      <c r="F49" s="61" t="str">
        <f>IF(Inicial!L49="SI",Inicial!F49,"N/A")</f>
        <v>N/A</v>
      </c>
      <c r="G49" s="61" t="str">
        <f>IF(Inicial!L49="SI",Inicial!G49,"N/A")</f>
        <v>N/A</v>
      </c>
      <c r="H49" s="61" t="str">
        <f>IF(Inicial!L49="SI",Inicial!H49,"N/A")</f>
        <v>N/A</v>
      </c>
      <c r="I49" s="63" t="str">
        <f>IF(Inicial!L49="SI",Inicial!I49,"N/A")</f>
        <v>N/A</v>
      </c>
      <c r="J49" s="11"/>
      <c r="K49" s="11"/>
      <c r="L49" s="11"/>
      <c r="M49" s="11"/>
      <c r="N49" s="11"/>
      <c r="O49" s="11"/>
      <c r="P49" s="11"/>
      <c r="Q49" s="11"/>
      <c r="R49" s="11"/>
      <c r="S49" s="11"/>
      <c r="T49" s="11"/>
      <c r="U49" s="11"/>
      <c r="V49" s="11"/>
      <c r="W49" s="11"/>
      <c r="X49" s="11"/>
      <c r="Y49" s="11"/>
      <c r="Z49" s="11"/>
      <c r="AA49" s="11"/>
      <c r="AB49" s="11"/>
      <c r="AC49" s="11"/>
      <c r="AD49" s="11"/>
      <c r="AE49" s="11"/>
      <c r="AF49" s="12" t="str" cm="1">
        <f t="array" ref="AF49">IF(OR(M49:AE49="NO"),"No aceptable","Aceptable")</f>
        <v>Aceptable</v>
      </c>
      <c r="AG49" s="11"/>
      <c r="AH49" s="11"/>
      <c r="AI49" s="11"/>
      <c r="AJ49" s="11"/>
      <c r="AK49" s="11"/>
      <c r="AL49" s="11"/>
      <c r="AM49" s="11"/>
      <c r="AN49" s="11"/>
      <c r="AO49" s="11"/>
      <c r="AP49" s="11"/>
      <c r="AQ49" s="11"/>
      <c r="AR49" s="11"/>
      <c r="AS49" s="11"/>
      <c r="AT49" s="11"/>
      <c r="AU49" s="11"/>
      <c r="AV49" s="11"/>
      <c r="AW49" s="11"/>
      <c r="AX49" s="11"/>
      <c r="AY49" s="11"/>
      <c r="AZ49" s="11"/>
      <c r="BA49" s="11"/>
      <c r="BB49" s="11"/>
      <c r="BC49" s="3" t="str" cm="1">
        <f t="array" ref="BC49">IF(OR(AJ49:BB49="SI"),"Critico","No Critico")</f>
        <v>No Critico</v>
      </c>
    </row>
    <row r="50" spans="1:55" ht="38.25" hidden="1">
      <c r="A50" s="60">
        <f>Inicial!A50</f>
        <v>48</v>
      </c>
      <c r="B50" s="61" t="str">
        <f>Inicial!B50</f>
        <v>Desposte</v>
      </c>
      <c r="C50" s="61" t="str">
        <f>Inicial!C50</f>
        <v>Operario de producción Línea Paletas</v>
      </c>
      <c r="D50" s="62" t="str">
        <f>Inicial!D50</f>
        <v>Prolijado de paleta</v>
      </c>
      <c r="E50" s="60" t="str">
        <f>IF(Inicial!L50="SI",Inicial!E50,"N/A")</f>
        <v>N/A</v>
      </c>
      <c r="F50" s="61" t="str">
        <f>IF(Inicial!L50="SI",Inicial!F50,"N/A")</f>
        <v>N/A</v>
      </c>
      <c r="G50" s="61" t="str">
        <f>IF(Inicial!L50="SI",Inicial!G50,"N/A")</f>
        <v>N/A</v>
      </c>
      <c r="H50" s="61" t="str">
        <f>IF(Inicial!L50="SI",Inicial!H50,"N/A")</f>
        <v>N/A</v>
      </c>
      <c r="I50" s="63" t="str">
        <f>IF(Inicial!L50="SI",Inicial!I50,"N/A")</f>
        <v>N/A</v>
      </c>
      <c r="J50" s="11"/>
      <c r="K50" s="11"/>
      <c r="L50" s="11"/>
      <c r="M50" s="11"/>
      <c r="N50" s="11"/>
      <c r="O50" s="11"/>
      <c r="P50" s="11"/>
      <c r="Q50" s="11"/>
      <c r="R50" s="11"/>
      <c r="S50" s="11"/>
      <c r="T50" s="11"/>
      <c r="U50" s="11"/>
      <c r="V50" s="11"/>
      <c r="W50" s="11"/>
      <c r="X50" s="11"/>
      <c r="Y50" s="11"/>
      <c r="Z50" s="11"/>
      <c r="AA50" s="11"/>
      <c r="AB50" s="11"/>
      <c r="AC50" s="11"/>
      <c r="AD50" s="11"/>
      <c r="AE50" s="11"/>
      <c r="AF50" s="12" t="str" cm="1">
        <f t="array" ref="AF50">IF(OR(M50:AE50="NO"),"No aceptable","Aceptable")</f>
        <v>Aceptable</v>
      </c>
      <c r="AG50" s="11"/>
      <c r="AH50" s="11"/>
      <c r="AI50" s="11"/>
      <c r="AJ50" s="11"/>
      <c r="AK50" s="11"/>
      <c r="AL50" s="11"/>
      <c r="AM50" s="11"/>
      <c r="AN50" s="11"/>
      <c r="AO50" s="11"/>
      <c r="AP50" s="11"/>
      <c r="AQ50" s="11"/>
      <c r="AR50" s="11"/>
      <c r="AS50" s="11"/>
      <c r="AT50" s="11"/>
      <c r="AU50" s="11"/>
      <c r="AV50" s="11"/>
      <c r="AW50" s="11"/>
      <c r="AX50" s="11"/>
      <c r="AY50" s="11"/>
      <c r="AZ50" s="11"/>
      <c r="BA50" s="11"/>
      <c r="BB50" s="11"/>
      <c r="BC50" s="3" t="str" cm="1">
        <f t="array" ref="BC50">IF(OR(AJ50:BB50="SI"),"Critico","No Critico")</f>
        <v>No Critico</v>
      </c>
    </row>
    <row r="51" spans="1:55" ht="38.25" hidden="1">
      <c r="A51" s="60">
        <f>Inicial!A51</f>
        <v>49</v>
      </c>
      <c r="B51" s="61" t="str">
        <f>Inicial!B51</f>
        <v>Desposte</v>
      </c>
      <c r="C51" s="61" t="str">
        <f>Inicial!C51</f>
        <v>Operario de producción Línea Paletas</v>
      </c>
      <c r="D51" s="62" t="str">
        <f>Inicial!D51</f>
        <v>Operador de equipo cortador de pernil</v>
      </c>
      <c r="E51" s="60" t="str">
        <f>IF(Inicial!L51="SI",Inicial!E51,"N/A")</f>
        <v>N/A</v>
      </c>
      <c r="F51" s="61" t="str">
        <f>IF(Inicial!L51="SI",Inicial!F51,"N/A")</f>
        <v>N/A</v>
      </c>
      <c r="G51" s="61" t="str">
        <f>IF(Inicial!L51="SI",Inicial!G51,"N/A")</f>
        <v>N/A</v>
      </c>
      <c r="H51" s="61" t="str">
        <f>IF(Inicial!L51="SI",Inicial!H51,"N/A")</f>
        <v>N/A</v>
      </c>
      <c r="I51" s="63" t="str">
        <f>IF(Inicial!L51="SI",Inicial!I51,"N/A")</f>
        <v>N/A</v>
      </c>
      <c r="J51" s="11"/>
      <c r="K51" s="11"/>
      <c r="L51" s="11"/>
      <c r="M51" s="11"/>
      <c r="N51" s="11"/>
      <c r="O51" s="11"/>
      <c r="P51" s="11"/>
      <c r="Q51" s="11"/>
      <c r="R51" s="11"/>
      <c r="S51" s="11"/>
      <c r="T51" s="11"/>
      <c r="U51" s="11"/>
      <c r="V51" s="11"/>
      <c r="W51" s="11"/>
      <c r="X51" s="11"/>
      <c r="Y51" s="11"/>
      <c r="Z51" s="11"/>
      <c r="AA51" s="11"/>
      <c r="AB51" s="11"/>
      <c r="AC51" s="11"/>
      <c r="AD51" s="11"/>
      <c r="AE51" s="11"/>
      <c r="AF51" s="12" t="str" cm="1">
        <f t="array" ref="AF51">IF(OR(M51:AE51="NO"),"No aceptable","Aceptable")</f>
        <v>Aceptable</v>
      </c>
      <c r="AG51" s="11"/>
      <c r="AH51" s="11"/>
      <c r="AI51" s="11"/>
      <c r="AJ51" s="11"/>
      <c r="AK51" s="11"/>
      <c r="AL51" s="11"/>
      <c r="AM51" s="11"/>
      <c r="AN51" s="11"/>
      <c r="AO51" s="11"/>
      <c r="AP51" s="11"/>
      <c r="AQ51" s="11"/>
      <c r="AR51" s="11"/>
      <c r="AS51" s="11"/>
      <c r="AT51" s="11"/>
      <c r="AU51" s="11"/>
      <c r="AV51" s="11"/>
      <c r="AW51" s="11"/>
      <c r="AX51" s="11"/>
      <c r="AY51" s="11"/>
      <c r="AZ51" s="11"/>
      <c r="BA51" s="11"/>
      <c r="BB51" s="11"/>
      <c r="BC51" s="3" t="str" cm="1">
        <f t="array" ref="BC51">IF(OR(AJ51:BB51="SI"),"Critico","No Critico")</f>
        <v>No Critico</v>
      </c>
    </row>
    <row r="52" spans="1:55" ht="38.25">
      <c r="A52" s="60">
        <f>Inicial!A52</f>
        <v>50</v>
      </c>
      <c r="B52" s="61" t="str">
        <f>Inicial!B52</f>
        <v>Desposte</v>
      </c>
      <c r="C52" s="61" t="str">
        <f>Inicial!C52</f>
        <v>Operario de producción Línea Paletas</v>
      </c>
      <c r="D52" s="62" t="str">
        <f>Inicial!D52</f>
        <v>Acomodado de pernil y cambio de bandeja</v>
      </c>
      <c r="E52" s="60" t="str">
        <f>IF(Inicial!L52="SI",Inicial!E52,"N/A")</f>
        <v>Am: 07:00 a 16:00 - PM: 17:15 a 02:45</v>
      </c>
      <c r="F52" s="61" t="str">
        <f>IF(Inicial!L52="SI",Inicial!F52,"N/A")</f>
        <v>0.5</v>
      </c>
      <c r="G52" s="61">
        <f>IF(Inicial!L52="SI",Inicial!G52,"N/A")</f>
        <v>4.5</v>
      </c>
      <c r="H52" s="61">
        <f>IF(Inicial!L52="SI",Inicial!H52,"N/A")</f>
        <v>100</v>
      </c>
      <c r="I52" s="63">
        <f>IF(Inicial!L52="SI",Inicial!I52,"N/A")</f>
        <v>0</v>
      </c>
      <c r="J52" s="11" t="s">
        <v>16</v>
      </c>
      <c r="K52" s="11" t="s">
        <v>346</v>
      </c>
      <c r="L52" s="11" t="s">
        <v>346</v>
      </c>
      <c r="M52" s="11" t="s">
        <v>346</v>
      </c>
      <c r="N52" s="11" t="s">
        <v>346</v>
      </c>
      <c r="O52" s="11" t="s">
        <v>346</v>
      </c>
      <c r="P52" s="11" t="s">
        <v>346</v>
      </c>
      <c r="Q52" s="11" t="s">
        <v>16</v>
      </c>
      <c r="R52" s="11" t="s">
        <v>346</v>
      </c>
      <c r="S52" s="11" t="s">
        <v>346</v>
      </c>
      <c r="T52" s="11" t="s">
        <v>346</v>
      </c>
      <c r="U52" s="11" t="s">
        <v>346</v>
      </c>
      <c r="V52" s="11" t="s">
        <v>346</v>
      </c>
      <c r="W52" s="11" t="s">
        <v>346</v>
      </c>
      <c r="X52" s="11" t="s">
        <v>346</v>
      </c>
      <c r="Y52" s="11" t="s">
        <v>346</v>
      </c>
      <c r="Z52" s="11" t="s">
        <v>346</v>
      </c>
      <c r="AA52" s="11" t="s">
        <v>346</v>
      </c>
      <c r="AB52" s="11" t="s">
        <v>346</v>
      </c>
      <c r="AC52" s="11" t="s">
        <v>346</v>
      </c>
      <c r="AD52" s="11" t="s">
        <v>346</v>
      </c>
      <c r="AE52" s="11" t="s">
        <v>346</v>
      </c>
      <c r="AF52" s="12" t="str" cm="1">
        <f t="array" ref="AF52">IF(OR(M52:AE52="NO"),"No aceptable","Aceptable")</f>
        <v>No aceptable</v>
      </c>
      <c r="AG52" s="11" t="s">
        <v>16</v>
      </c>
      <c r="AH52" s="11" t="s">
        <v>16</v>
      </c>
      <c r="AI52" s="11" t="s">
        <v>16</v>
      </c>
      <c r="AJ52" s="11" t="s">
        <v>16</v>
      </c>
      <c r="AK52" s="11" t="s">
        <v>16</v>
      </c>
      <c r="AL52" s="11" t="s">
        <v>16</v>
      </c>
      <c r="AM52" s="11" t="s">
        <v>16</v>
      </c>
      <c r="AN52" s="11" t="s">
        <v>16</v>
      </c>
      <c r="AO52" s="11" t="s">
        <v>16</v>
      </c>
      <c r="AP52" s="11" t="s">
        <v>16</v>
      </c>
      <c r="AQ52" s="11" t="s">
        <v>16</v>
      </c>
      <c r="AR52" s="11" t="s">
        <v>16</v>
      </c>
      <c r="AS52" s="11" t="s">
        <v>16</v>
      </c>
      <c r="AT52" s="11" t="s">
        <v>16</v>
      </c>
      <c r="AU52" s="11" t="s">
        <v>16</v>
      </c>
      <c r="AV52" s="11" t="s">
        <v>16</v>
      </c>
      <c r="AW52" s="11" t="s">
        <v>16</v>
      </c>
      <c r="AX52" s="11" t="s">
        <v>16</v>
      </c>
      <c r="AY52" s="11" t="s">
        <v>16</v>
      </c>
      <c r="AZ52" s="11" t="s">
        <v>16</v>
      </c>
      <c r="BA52" s="11" t="s">
        <v>16</v>
      </c>
      <c r="BB52" s="11" t="s">
        <v>16</v>
      </c>
      <c r="BC52" s="3" t="str" cm="1">
        <f t="array" ref="BC52">IF(OR(AJ52:BB52="SI"),"Critico","No Critico")</f>
        <v>No Critico</v>
      </c>
    </row>
    <row r="53" spans="1:55" ht="38.25" hidden="1">
      <c r="A53" s="60">
        <f>Inicial!A53</f>
        <v>51</v>
      </c>
      <c r="B53" s="61" t="str">
        <f>Inicial!B53</f>
        <v>Desposte</v>
      </c>
      <c r="C53" s="61" t="str">
        <f>Inicial!C53</f>
        <v>Operario de producción Línea Paletas</v>
      </c>
      <c r="D53" s="62" t="str">
        <f>Inicial!D53</f>
        <v>Extracción de ganglios paleta</v>
      </c>
      <c r="E53" s="60" t="str">
        <f>IF(Inicial!L53="SI",Inicial!E53,"N/A")</f>
        <v>N/A</v>
      </c>
      <c r="F53" s="61" t="str">
        <f>IF(Inicial!L53="SI",Inicial!F53,"N/A")</f>
        <v>N/A</v>
      </c>
      <c r="G53" s="61" t="str">
        <f>IF(Inicial!L53="SI",Inicial!G53,"N/A")</f>
        <v>N/A</v>
      </c>
      <c r="H53" s="61" t="str">
        <f>IF(Inicial!L53="SI",Inicial!H53,"N/A")</f>
        <v>N/A</v>
      </c>
      <c r="I53" s="63" t="str">
        <f>IF(Inicial!L53="SI",Inicial!I53,"N/A")</f>
        <v>N/A</v>
      </c>
      <c r="J53" s="11"/>
      <c r="K53" s="11"/>
      <c r="L53" s="11"/>
      <c r="M53" s="11"/>
      <c r="N53" s="11"/>
      <c r="O53" s="11"/>
      <c r="P53" s="11"/>
      <c r="Q53" s="11"/>
      <c r="R53" s="11"/>
      <c r="S53" s="11"/>
      <c r="T53" s="11"/>
      <c r="U53" s="11"/>
      <c r="V53" s="11"/>
      <c r="W53" s="11"/>
      <c r="X53" s="11"/>
      <c r="Y53" s="11"/>
      <c r="Z53" s="11"/>
      <c r="AA53" s="11"/>
      <c r="AB53" s="11"/>
      <c r="AC53" s="11"/>
      <c r="AD53" s="11"/>
      <c r="AE53" s="11"/>
      <c r="AF53" s="12" t="str" cm="1">
        <f t="array" ref="AF53">IF(OR(M53:AE53="NO"),"No aceptable","Aceptable")</f>
        <v>Aceptable</v>
      </c>
      <c r="AG53" s="11"/>
      <c r="AH53" s="11"/>
      <c r="AI53" s="11"/>
      <c r="AJ53" s="11"/>
      <c r="AK53" s="11"/>
      <c r="AL53" s="11"/>
      <c r="AM53" s="11"/>
      <c r="AN53" s="11"/>
      <c r="AO53" s="11"/>
      <c r="AP53" s="11"/>
      <c r="AQ53" s="11"/>
      <c r="AR53" s="11"/>
      <c r="AS53" s="11"/>
      <c r="AT53" s="11"/>
      <c r="AU53" s="11"/>
      <c r="AV53" s="11"/>
      <c r="AW53" s="11"/>
      <c r="AX53" s="11"/>
      <c r="AY53" s="11"/>
      <c r="AZ53" s="11"/>
      <c r="BA53" s="11"/>
      <c r="BB53" s="11"/>
      <c r="BC53" s="3" t="str" cm="1">
        <f t="array" ref="BC53">IF(OR(AJ53:BB53="SI"),"Critico","No Critico")</f>
        <v>No Critico</v>
      </c>
    </row>
    <row r="54" spans="1:55" ht="38.25" hidden="1">
      <c r="A54" s="60">
        <f>Inicial!A54</f>
        <v>52</v>
      </c>
      <c r="B54" s="61" t="str">
        <f>Inicial!B54</f>
        <v>Desposte</v>
      </c>
      <c r="C54" s="61" t="str">
        <f>Inicial!C54</f>
        <v>Operario de producción Línea Paletas</v>
      </c>
      <c r="D54" s="62" t="str">
        <f>Inicial!D54</f>
        <v>Abertura de pulpa paleta</v>
      </c>
      <c r="E54" s="60" t="str">
        <f>IF(Inicial!L54="SI",Inicial!E54,"N/A")</f>
        <v>N/A</v>
      </c>
      <c r="F54" s="61" t="str">
        <f>IF(Inicial!L54="SI",Inicial!F54,"N/A")</f>
        <v>N/A</v>
      </c>
      <c r="G54" s="61" t="str">
        <f>IF(Inicial!L54="SI",Inicial!G54,"N/A")</f>
        <v>N/A</v>
      </c>
      <c r="H54" s="61" t="str">
        <f>IF(Inicial!L54="SI",Inicial!H54,"N/A")</f>
        <v>N/A</v>
      </c>
      <c r="I54" s="63" t="str">
        <f>IF(Inicial!L54="SI",Inicial!I54,"N/A")</f>
        <v>N/A</v>
      </c>
      <c r="J54" s="11"/>
      <c r="K54" s="11"/>
      <c r="L54" s="11"/>
      <c r="M54" s="11"/>
      <c r="N54" s="11"/>
      <c r="O54" s="11"/>
      <c r="P54" s="11"/>
      <c r="Q54" s="11"/>
      <c r="R54" s="11"/>
      <c r="S54" s="11"/>
      <c r="T54" s="11"/>
      <c r="U54" s="11"/>
      <c r="V54" s="11"/>
      <c r="W54" s="11"/>
      <c r="X54" s="11"/>
      <c r="Y54" s="11"/>
      <c r="Z54" s="11"/>
      <c r="AA54" s="11"/>
      <c r="AB54" s="11"/>
      <c r="AC54" s="11"/>
      <c r="AD54" s="11"/>
      <c r="AE54" s="11"/>
      <c r="AF54" s="12" t="str" cm="1">
        <f t="array" ref="AF54">IF(OR(M54:AE54="NO"),"No aceptable","Aceptable")</f>
        <v>Aceptable</v>
      </c>
      <c r="AG54" s="11"/>
      <c r="AH54" s="11"/>
      <c r="AI54" s="11"/>
      <c r="AJ54" s="11"/>
      <c r="AK54" s="11"/>
      <c r="AL54" s="11"/>
      <c r="AM54" s="11"/>
      <c r="AN54" s="11"/>
      <c r="AO54" s="11"/>
      <c r="AP54" s="11"/>
      <c r="AQ54" s="11"/>
      <c r="AR54" s="11"/>
      <c r="AS54" s="11"/>
      <c r="AT54" s="11"/>
      <c r="AU54" s="11"/>
      <c r="AV54" s="11"/>
      <c r="AW54" s="11"/>
      <c r="AX54" s="11"/>
      <c r="AY54" s="11"/>
      <c r="AZ54" s="11"/>
      <c r="BA54" s="11"/>
      <c r="BB54" s="11"/>
      <c r="BC54" s="3" t="str" cm="1">
        <f t="array" ref="BC54">IF(OR(AJ54:BB54="SI"),"Critico","No Critico")</f>
        <v>No Critico</v>
      </c>
    </row>
    <row r="55" spans="1:55" ht="38.25" hidden="1">
      <c r="A55" s="60">
        <f>Inicial!A55</f>
        <v>53</v>
      </c>
      <c r="B55" s="61" t="str">
        <f>Inicial!B55</f>
        <v>Desposte</v>
      </c>
      <c r="C55" s="61" t="str">
        <f>Inicial!C55</f>
        <v>Operario de producción Línea Paletas</v>
      </c>
      <c r="D55" s="62" t="str">
        <f>Inicial!D55</f>
        <v>Rayado de escapula</v>
      </c>
      <c r="E55" s="60" t="str">
        <f>IF(Inicial!L55="SI",Inicial!E55,"N/A")</f>
        <v>N/A</v>
      </c>
      <c r="F55" s="61" t="str">
        <f>IF(Inicial!L55="SI",Inicial!F55,"N/A")</f>
        <v>N/A</v>
      </c>
      <c r="G55" s="61" t="str">
        <f>IF(Inicial!L55="SI",Inicial!G55,"N/A")</f>
        <v>N/A</v>
      </c>
      <c r="H55" s="61" t="str">
        <f>IF(Inicial!L55="SI",Inicial!H55,"N/A")</f>
        <v>N/A</v>
      </c>
      <c r="I55" s="63" t="str">
        <f>IF(Inicial!L55="SI",Inicial!I55,"N/A")</f>
        <v>N/A</v>
      </c>
      <c r="J55" s="11"/>
      <c r="K55" s="11"/>
      <c r="L55" s="11"/>
      <c r="M55" s="11"/>
      <c r="N55" s="11"/>
      <c r="O55" s="11"/>
      <c r="P55" s="11"/>
      <c r="Q55" s="11"/>
      <c r="R55" s="11"/>
      <c r="S55" s="11"/>
      <c r="T55" s="11"/>
      <c r="U55" s="11"/>
      <c r="V55" s="11"/>
      <c r="W55" s="11"/>
      <c r="X55" s="11"/>
      <c r="Y55" s="11"/>
      <c r="Z55" s="11"/>
      <c r="AA55" s="11"/>
      <c r="AB55" s="11"/>
      <c r="AC55" s="11"/>
      <c r="AD55" s="11"/>
      <c r="AE55" s="11"/>
      <c r="AF55" s="12" t="str" cm="1">
        <f t="array" ref="AF55">IF(OR(M55:AE55="NO"),"No aceptable","Aceptable")</f>
        <v>Aceptable</v>
      </c>
      <c r="AG55" s="11"/>
      <c r="AH55" s="11"/>
      <c r="AI55" s="11"/>
      <c r="AJ55" s="11"/>
      <c r="AK55" s="11"/>
      <c r="AL55" s="11"/>
      <c r="AM55" s="11"/>
      <c r="AN55" s="11"/>
      <c r="AO55" s="11"/>
      <c r="AP55" s="11"/>
      <c r="AQ55" s="11"/>
      <c r="AR55" s="11"/>
      <c r="AS55" s="11"/>
      <c r="AT55" s="11"/>
      <c r="AU55" s="11"/>
      <c r="AV55" s="11"/>
      <c r="AW55" s="11"/>
      <c r="AX55" s="11"/>
      <c r="AY55" s="11"/>
      <c r="AZ55" s="11"/>
      <c r="BA55" s="11"/>
      <c r="BB55" s="11"/>
      <c r="BC55" s="3" t="str" cm="1">
        <f t="array" ref="BC55">IF(OR(AJ55:BB55="SI"),"Critico","No Critico")</f>
        <v>No Critico</v>
      </c>
    </row>
    <row r="56" spans="1:55" ht="38.25" hidden="1">
      <c r="A56" s="60">
        <f>Inicial!A56</f>
        <v>54</v>
      </c>
      <c r="B56" s="61" t="str">
        <f>Inicial!B56</f>
        <v>Desposte</v>
      </c>
      <c r="C56" s="61" t="str">
        <f>Inicial!C56</f>
        <v>Operario de producción Línea Paletas</v>
      </c>
      <c r="D56" s="62" t="str">
        <f>Inicial!D56</f>
        <v>Extracción de escapula con pistola neumatica</v>
      </c>
      <c r="E56" s="60" t="str">
        <f>IF(Inicial!L56="SI",Inicial!E56,"N/A")</f>
        <v>N/A</v>
      </c>
      <c r="F56" s="61" t="str">
        <f>IF(Inicial!L56="SI",Inicial!F56,"N/A")</f>
        <v>N/A</v>
      </c>
      <c r="G56" s="61" t="str">
        <f>IF(Inicial!L56="SI",Inicial!G56,"N/A")</f>
        <v>N/A</v>
      </c>
      <c r="H56" s="61" t="str">
        <f>IF(Inicial!L56="SI",Inicial!H56,"N/A")</f>
        <v>N/A</v>
      </c>
      <c r="I56" s="63" t="str">
        <f>IF(Inicial!L56="SI",Inicial!I56,"N/A")</f>
        <v>N/A</v>
      </c>
      <c r="J56" s="11"/>
      <c r="K56" s="11"/>
      <c r="L56" s="11"/>
      <c r="M56" s="11"/>
      <c r="N56" s="11"/>
      <c r="O56" s="11"/>
      <c r="P56" s="11"/>
      <c r="Q56" s="11"/>
      <c r="R56" s="11"/>
      <c r="S56" s="11"/>
      <c r="T56" s="11"/>
      <c r="U56" s="11"/>
      <c r="V56" s="11"/>
      <c r="W56" s="11"/>
      <c r="X56" s="11"/>
      <c r="Y56" s="11"/>
      <c r="Z56" s="11"/>
      <c r="AA56" s="11"/>
      <c r="AB56" s="11"/>
      <c r="AC56" s="11"/>
      <c r="AD56" s="11"/>
      <c r="AE56" s="11"/>
      <c r="AF56" s="12" t="str" cm="1">
        <f t="array" ref="AF56">IF(OR(M56:AE56="NO"),"No aceptable","Aceptable")</f>
        <v>Aceptable</v>
      </c>
      <c r="AG56" s="11"/>
      <c r="AH56" s="11"/>
      <c r="AI56" s="11"/>
      <c r="AJ56" s="11"/>
      <c r="AK56" s="11"/>
      <c r="AL56" s="11"/>
      <c r="AM56" s="11"/>
      <c r="AN56" s="11"/>
      <c r="AO56" s="11"/>
      <c r="AP56" s="11"/>
      <c r="AQ56" s="11"/>
      <c r="AR56" s="11"/>
      <c r="AS56" s="11"/>
      <c r="AT56" s="11"/>
      <c r="AU56" s="11"/>
      <c r="AV56" s="11"/>
      <c r="AW56" s="11"/>
      <c r="AX56" s="11"/>
      <c r="AY56" s="11"/>
      <c r="AZ56" s="11"/>
      <c r="BA56" s="11"/>
      <c r="BB56" s="11"/>
      <c r="BC56" s="3" t="str" cm="1">
        <f t="array" ref="BC56">IF(OR(AJ56:BB56="SI"),"Critico","No Critico")</f>
        <v>No Critico</v>
      </c>
    </row>
    <row r="57" spans="1:55" ht="38.25" hidden="1">
      <c r="A57" s="60">
        <f>Inicial!A57</f>
        <v>55</v>
      </c>
      <c r="B57" s="61" t="str">
        <f>Inicial!B57</f>
        <v>Desposte</v>
      </c>
      <c r="C57" s="61" t="str">
        <f>Inicial!C57</f>
        <v>Operario de producción Línea Paletas</v>
      </c>
      <c r="D57" s="62" t="str">
        <f>Inicial!D57</f>
        <v>Extracción de escapula</v>
      </c>
      <c r="E57" s="60" t="str">
        <f>IF(Inicial!L57="SI",Inicial!E57,"N/A")</f>
        <v>N/A</v>
      </c>
      <c r="F57" s="61" t="str">
        <f>IF(Inicial!L57="SI",Inicial!F57,"N/A")</f>
        <v>N/A</v>
      </c>
      <c r="G57" s="61" t="str">
        <f>IF(Inicial!L57="SI",Inicial!G57,"N/A")</f>
        <v>N/A</v>
      </c>
      <c r="H57" s="61" t="str">
        <f>IF(Inicial!L57="SI",Inicial!H57,"N/A")</f>
        <v>N/A</v>
      </c>
      <c r="I57" s="63" t="str">
        <f>IF(Inicial!L57="SI",Inicial!I57,"N/A")</f>
        <v>N/A</v>
      </c>
      <c r="J57" s="11"/>
      <c r="K57" s="11"/>
      <c r="L57" s="11"/>
      <c r="M57" s="11"/>
      <c r="N57" s="11"/>
      <c r="O57" s="11"/>
      <c r="P57" s="11"/>
      <c r="Q57" s="11"/>
      <c r="R57" s="11"/>
      <c r="S57" s="11"/>
      <c r="T57" s="11"/>
      <c r="U57" s="11"/>
      <c r="V57" s="11"/>
      <c r="W57" s="11"/>
      <c r="X57" s="11"/>
      <c r="Y57" s="11"/>
      <c r="Z57" s="11"/>
      <c r="AA57" s="11"/>
      <c r="AB57" s="11"/>
      <c r="AC57" s="11"/>
      <c r="AD57" s="11"/>
      <c r="AE57" s="11"/>
      <c r="AF57" s="12" t="str" cm="1">
        <f t="array" ref="AF57">IF(OR(M57:AE57="NO"),"No aceptable","Aceptable")</f>
        <v>Aceptable</v>
      </c>
      <c r="AG57" s="11"/>
      <c r="AH57" s="11"/>
      <c r="AI57" s="11"/>
      <c r="AJ57" s="11"/>
      <c r="AK57" s="11"/>
      <c r="AL57" s="11"/>
      <c r="AM57" s="11"/>
      <c r="AN57" s="11"/>
      <c r="AO57" s="11"/>
      <c r="AP57" s="11"/>
      <c r="AQ57" s="11"/>
      <c r="AR57" s="11"/>
      <c r="AS57" s="11"/>
      <c r="AT57" s="11"/>
      <c r="AU57" s="11"/>
      <c r="AV57" s="11"/>
      <c r="AW57" s="11"/>
      <c r="AX57" s="11"/>
      <c r="AY57" s="11"/>
      <c r="AZ57" s="11"/>
      <c r="BA57" s="11"/>
      <c r="BB57" s="11"/>
      <c r="BC57" s="3" t="str" cm="1">
        <f t="array" ref="BC57">IF(OR(AJ57:BB57="SI"),"Critico","No Critico")</f>
        <v>No Critico</v>
      </c>
    </row>
    <row r="58" spans="1:55" ht="38.25" hidden="1">
      <c r="A58" s="60">
        <f>Inicial!A58</f>
        <v>56</v>
      </c>
      <c r="B58" s="61" t="str">
        <f>Inicial!B58</f>
        <v>Desposte</v>
      </c>
      <c r="C58" s="61" t="str">
        <f>Inicial!C58</f>
        <v>Operario de producción Línea Paletas</v>
      </c>
      <c r="D58" s="62" t="str">
        <f>Inicial!D58</f>
        <v>Deshuesado de hueso humero</v>
      </c>
      <c r="E58" s="60" t="str">
        <f>IF(Inicial!L58="SI",Inicial!E58,"N/A")</f>
        <v>N/A</v>
      </c>
      <c r="F58" s="61" t="str">
        <f>IF(Inicial!L58="SI",Inicial!F58,"N/A")</f>
        <v>N/A</v>
      </c>
      <c r="G58" s="61" t="str">
        <f>IF(Inicial!L58="SI",Inicial!G58,"N/A")</f>
        <v>N/A</v>
      </c>
      <c r="H58" s="61" t="str">
        <f>IF(Inicial!L58="SI",Inicial!H58,"N/A")</f>
        <v>N/A</v>
      </c>
      <c r="I58" s="63" t="str">
        <f>IF(Inicial!L58="SI",Inicial!I58,"N/A")</f>
        <v>N/A</v>
      </c>
      <c r="J58" s="11"/>
      <c r="K58" s="11"/>
      <c r="L58" s="11"/>
      <c r="M58" s="11"/>
      <c r="N58" s="11"/>
      <c r="O58" s="11"/>
      <c r="P58" s="11"/>
      <c r="Q58" s="11"/>
      <c r="R58" s="11"/>
      <c r="S58" s="11"/>
      <c r="T58" s="11"/>
      <c r="U58" s="11"/>
      <c r="V58" s="11"/>
      <c r="W58" s="11"/>
      <c r="X58" s="11"/>
      <c r="Y58" s="11"/>
      <c r="Z58" s="11"/>
      <c r="AA58" s="11"/>
      <c r="AB58" s="11"/>
      <c r="AC58" s="11"/>
      <c r="AD58" s="11"/>
      <c r="AE58" s="11"/>
      <c r="AF58" s="12" t="str" cm="1">
        <f t="array" ref="AF58">IF(OR(M58:AE58="NO"),"No aceptable","Aceptable")</f>
        <v>Aceptable</v>
      </c>
      <c r="AG58" s="11"/>
      <c r="AH58" s="11"/>
      <c r="AI58" s="11"/>
      <c r="AJ58" s="11"/>
      <c r="AK58" s="11"/>
      <c r="AL58" s="11"/>
      <c r="AM58" s="11"/>
      <c r="AN58" s="11"/>
      <c r="AO58" s="11"/>
      <c r="AP58" s="11"/>
      <c r="AQ58" s="11"/>
      <c r="AR58" s="11"/>
      <c r="AS58" s="11"/>
      <c r="AT58" s="11"/>
      <c r="AU58" s="11"/>
      <c r="AV58" s="11"/>
      <c r="AW58" s="11"/>
      <c r="AX58" s="11"/>
      <c r="AY58" s="11"/>
      <c r="AZ58" s="11"/>
      <c r="BA58" s="11"/>
      <c r="BB58" s="11"/>
      <c r="BC58" s="3" t="str" cm="1">
        <f t="array" ref="BC58">IF(OR(AJ58:BB58="SI"),"Critico","No Critico")</f>
        <v>No Critico</v>
      </c>
    </row>
    <row r="59" spans="1:55" ht="38.25" hidden="1">
      <c r="A59" s="60">
        <f>Inicial!A59</f>
        <v>57</v>
      </c>
      <c r="B59" s="61" t="str">
        <f>Inicial!B59</f>
        <v>Desposte</v>
      </c>
      <c r="C59" s="61" t="str">
        <f>Inicial!C59</f>
        <v>Operario de producción Línea Paletas</v>
      </c>
      <c r="D59" s="62" t="str">
        <f>Inicial!D59</f>
        <v>Extracción de cartilago de paleta</v>
      </c>
      <c r="E59" s="60" t="str">
        <f>IF(Inicial!L59="SI",Inicial!E59,"N/A")</f>
        <v>N/A</v>
      </c>
      <c r="F59" s="61" t="str">
        <f>IF(Inicial!L59="SI",Inicial!F59,"N/A")</f>
        <v>N/A</v>
      </c>
      <c r="G59" s="61" t="str">
        <f>IF(Inicial!L59="SI",Inicial!G59,"N/A")</f>
        <v>N/A</v>
      </c>
      <c r="H59" s="61" t="str">
        <f>IF(Inicial!L59="SI",Inicial!H59,"N/A")</f>
        <v>N/A</v>
      </c>
      <c r="I59" s="63" t="str">
        <f>IF(Inicial!L59="SI",Inicial!I59,"N/A")</f>
        <v>N/A</v>
      </c>
      <c r="J59" s="11"/>
      <c r="K59" s="11"/>
      <c r="L59" s="11"/>
      <c r="M59" s="11"/>
      <c r="N59" s="11"/>
      <c r="O59" s="11"/>
      <c r="P59" s="11"/>
      <c r="Q59" s="11"/>
      <c r="R59" s="11"/>
      <c r="S59" s="11"/>
      <c r="T59" s="11"/>
      <c r="U59" s="11"/>
      <c r="V59" s="11"/>
      <c r="W59" s="11"/>
      <c r="X59" s="11"/>
      <c r="Y59" s="11"/>
      <c r="Z59" s="11"/>
      <c r="AA59" s="11"/>
      <c r="AB59" s="11"/>
      <c r="AC59" s="11"/>
      <c r="AD59" s="11"/>
      <c r="AE59" s="11"/>
      <c r="AF59" s="12" t="str" cm="1">
        <f t="array" ref="AF59">IF(OR(M59:AE59="NO"),"No aceptable","Aceptable")</f>
        <v>Aceptable</v>
      </c>
      <c r="AG59" s="11"/>
      <c r="AH59" s="11"/>
      <c r="AI59" s="11"/>
      <c r="AJ59" s="11"/>
      <c r="AK59" s="11"/>
      <c r="AL59" s="11"/>
      <c r="AM59" s="11"/>
      <c r="AN59" s="11"/>
      <c r="AO59" s="11"/>
      <c r="AP59" s="11"/>
      <c r="AQ59" s="11"/>
      <c r="AR59" s="11"/>
      <c r="AS59" s="11"/>
      <c r="AT59" s="11"/>
      <c r="AU59" s="11"/>
      <c r="AV59" s="11"/>
      <c r="AW59" s="11"/>
      <c r="AX59" s="11"/>
      <c r="AY59" s="11"/>
      <c r="AZ59" s="11"/>
      <c r="BA59" s="11"/>
      <c r="BB59" s="11"/>
      <c r="BC59" s="3" t="str" cm="1">
        <f t="array" ref="BC59">IF(OR(AJ59:BB59="SI"),"Critico","No Critico")</f>
        <v>No Critico</v>
      </c>
    </row>
    <row r="60" spans="1:55" ht="51" hidden="1">
      <c r="A60" s="60">
        <f>Inicial!A60</f>
        <v>58</v>
      </c>
      <c r="B60" s="61" t="str">
        <f>Inicial!B60</f>
        <v>Desposte</v>
      </c>
      <c r="C60" s="61" t="str">
        <f>Inicial!C60</f>
        <v>Operario de producción Línea Paletas</v>
      </c>
      <c r="D60" s="62" t="str">
        <f>Inicial!D60</f>
        <v>Acomodado de pulpa y direccionamiento de pernil</v>
      </c>
      <c r="E60" s="60" t="str">
        <f>IF(Inicial!L60="SI",Inicial!E60,"N/A")</f>
        <v>N/A</v>
      </c>
      <c r="F60" s="61" t="str">
        <f>IF(Inicial!L60="SI",Inicial!F60,"N/A")</f>
        <v>N/A</v>
      </c>
      <c r="G60" s="61" t="str">
        <f>IF(Inicial!L60="SI",Inicial!G60,"N/A")</f>
        <v>N/A</v>
      </c>
      <c r="H60" s="61" t="str">
        <f>IF(Inicial!L60="SI",Inicial!H60,"N/A")</f>
        <v>N/A</v>
      </c>
      <c r="I60" s="63" t="str">
        <f>IF(Inicial!L60="SI",Inicial!I60,"N/A")</f>
        <v>N/A</v>
      </c>
      <c r="J60" s="11"/>
      <c r="K60" s="11"/>
      <c r="L60" s="11"/>
      <c r="M60" s="11"/>
      <c r="N60" s="11"/>
      <c r="O60" s="11"/>
      <c r="P60" s="11"/>
      <c r="Q60" s="11"/>
      <c r="R60" s="11"/>
      <c r="S60" s="11"/>
      <c r="T60" s="11"/>
      <c r="U60" s="11"/>
      <c r="V60" s="11"/>
      <c r="W60" s="11"/>
      <c r="X60" s="11"/>
      <c r="Y60" s="11"/>
      <c r="Z60" s="11"/>
      <c r="AA60" s="11"/>
      <c r="AB60" s="11"/>
      <c r="AC60" s="11"/>
      <c r="AD60" s="11"/>
      <c r="AE60" s="11"/>
      <c r="AF60" s="12" t="str" cm="1">
        <f t="array" ref="AF60">IF(OR(M60:AE60="NO"),"No aceptable","Aceptable")</f>
        <v>Aceptable</v>
      </c>
      <c r="AG60" s="11"/>
      <c r="AH60" s="11"/>
      <c r="AI60" s="11"/>
      <c r="AJ60" s="11"/>
      <c r="AK60" s="11"/>
      <c r="AL60" s="11"/>
      <c r="AM60" s="11"/>
      <c r="AN60" s="11"/>
      <c r="AO60" s="11"/>
      <c r="AP60" s="11"/>
      <c r="AQ60" s="11"/>
      <c r="AR60" s="11"/>
      <c r="AS60" s="11"/>
      <c r="AT60" s="11"/>
      <c r="AU60" s="11"/>
      <c r="AV60" s="11"/>
      <c r="AW60" s="11"/>
      <c r="AX60" s="11"/>
      <c r="AY60" s="11"/>
      <c r="AZ60" s="11"/>
      <c r="BA60" s="11"/>
      <c r="BB60" s="11"/>
      <c r="BC60" s="3" t="str" cm="1">
        <f t="array" ref="BC60">IF(OR(AJ60:BB60="SI"),"Critico","No Critico")</f>
        <v>No Critico</v>
      </c>
    </row>
    <row r="61" spans="1:55" ht="38.25" hidden="1">
      <c r="A61" s="60">
        <f>Inicial!A61</f>
        <v>59</v>
      </c>
      <c r="B61" s="61" t="str">
        <f>Inicial!B61</f>
        <v>Desposte</v>
      </c>
      <c r="C61" s="61" t="str">
        <f>Inicial!C61</f>
        <v>Operario de producción Línea Paletas</v>
      </c>
      <c r="D61" s="62" t="str">
        <f>Inicial!D61</f>
        <v>Extracción de membrana y cartilago</v>
      </c>
      <c r="E61" s="60" t="str">
        <f>IF(Inicial!L61="SI",Inicial!E61,"N/A")</f>
        <v>N/A</v>
      </c>
      <c r="F61" s="61" t="str">
        <f>IF(Inicial!L61="SI",Inicial!F61,"N/A")</f>
        <v>N/A</v>
      </c>
      <c r="G61" s="61" t="str">
        <f>IF(Inicial!L61="SI",Inicial!G61,"N/A")</f>
        <v>N/A</v>
      </c>
      <c r="H61" s="61" t="str">
        <f>IF(Inicial!L61="SI",Inicial!H61,"N/A")</f>
        <v>N/A</v>
      </c>
      <c r="I61" s="63" t="str">
        <f>IF(Inicial!L61="SI",Inicial!I61,"N/A")</f>
        <v>N/A</v>
      </c>
      <c r="J61" s="11"/>
      <c r="K61" s="11"/>
      <c r="L61" s="11"/>
      <c r="M61" s="11"/>
      <c r="N61" s="11"/>
      <c r="O61" s="11"/>
      <c r="P61" s="11"/>
      <c r="Q61" s="11"/>
      <c r="R61" s="11"/>
      <c r="S61" s="11"/>
      <c r="T61" s="11"/>
      <c r="U61" s="11"/>
      <c r="V61" s="11"/>
      <c r="W61" s="11"/>
      <c r="X61" s="11"/>
      <c r="Y61" s="11"/>
      <c r="Z61" s="11"/>
      <c r="AA61" s="11"/>
      <c r="AB61" s="11"/>
      <c r="AC61" s="11"/>
      <c r="AD61" s="11"/>
      <c r="AE61" s="11"/>
      <c r="AF61" s="12" t="str" cm="1">
        <f t="array" ref="AF61">IF(OR(M61:AE61="NO"),"No aceptable","Aceptable")</f>
        <v>Aceptable</v>
      </c>
      <c r="AG61" s="11"/>
      <c r="AH61" s="11"/>
      <c r="AI61" s="11"/>
      <c r="AJ61" s="11"/>
      <c r="AK61" s="11"/>
      <c r="AL61" s="11"/>
      <c r="AM61" s="11"/>
      <c r="AN61" s="11"/>
      <c r="AO61" s="11"/>
      <c r="AP61" s="11"/>
      <c r="AQ61" s="11"/>
      <c r="AR61" s="11"/>
      <c r="AS61" s="11"/>
      <c r="AT61" s="11"/>
      <c r="AU61" s="11"/>
      <c r="AV61" s="11"/>
      <c r="AW61" s="11"/>
      <c r="AX61" s="11"/>
      <c r="AY61" s="11"/>
      <c r="AZ61" s="11"/>
      <c r="BA61" s="11"/>
      <c r="BB61" s="11"/>
      <c r="BC61" s="3" t="str" cm="1">
        <f t="array" ref="BC61">IF(OR(AJ61:BB61="SI"),"Critico","No Critico")</f>
        <v>No Critico</v>
      </c>
    </row>
    <row r="62" spans="1:55" ht="38.25" hidden="1">
      <c r="A62" s="60">
        <f>Inicial!A62</f>
        <v>60</v>
      </c>
      <c r="B62" s="61" t="str">
        <f>Inicial!B62</f>
        <v>Desposte</v>
      </c>
      <c r="C62" s="61" t="str">
        <f>Inicial!C62</f>
        <v>Operario de producción Línea Paletas</v>
      </c>
      <c r="D62" s="62" t="str">
        <f>Inicial!D62</f>
        <v>Ordenar cuero</v>
      </c>
      <c r="E62" s="60" t="str">
        <f>IF(Inicial!L62="SI",Inicial!E62,"N/A")</f>
        <v>N/A</v>
      </c>
      <c r="F62" s="61" t="str">
        <f>IF(Inicial!L62="SI",Inicial!F62,"N/A")</f>
        <v>N/A</v>
      </c>
      <c r="G62" s="61" t="str">
        <f>IF(Inicial!L62="SI",Inicial!G62,"N/A")</f>
        <v>N/A</v>
      </c>
      <c r="H62" s="61" t="str">
        <f>IF(Inicial!L62="SI",Inicial!H62,"N/A")</f>
        <v>N/A</v>
      </c>
      <c r="I62" s="63" t="str">
        <f>IF(Inicial!L62="SI",Inicial!I62,"N/A")</f>
        <v>N/A</v>
      </c>
      <c r="J62" s="11"/>
      <c r="K62" s="11"/>
      <c r="L62" s="11"/>
      <c r="M62" s="11"/>
      <c r="N62" s="11"/>
      <c r="O62" s="11"/>
      <c r="P62" s="11"/>
      <c r="Q62" s="11"/>
      <c r="R62" s="11"/>
      <c r="S62" s="11"/>
      <c r="T62" s="11"/>
      <c r="U62" s="11"/>
      <c r="V62" s="11"/>
      <c r="W62" s="11"/>
      <c r="X62" s="11"/>
      <c r="Y62" s="11"/>
      <c r="Z62" s="11"/>
      <c r="AA62" s="11"/>
      <c r="AB62" s="11"/>
      <c r="AC62" s="11"/>
      <c r="AD62" s="11"/>
      <c r="AE62" s="11"/>
      <c r="AF62" s="12" t="str" cm="1">
        <f t="array" ref="AF62">IF(OR(M62:AE62="NO"),"No aceptable","Aceptable")</f>
        <v>Aceptable</v>
      </c>
      <c r="AG62" s="11"/>
      <c r="AH62" s="11"/>
      <c r="AI62" s="11"/>
      <c r="AJ62" s="11"/>
      <c r="AK62" s="11"/>
      <c r="AL62" s="11"/>
      <c r="AM62" s="11"/>
      <c r="AN62" s="11"/>
      <c r="AO62" s="11"/>
      <c r="AP62" s="11"/>
      <c r="AQ62" s="11"/>
      <c r="AR62" s="11"/>
      <c r="AS62" s="11"/>
      <c r="AT62" s="11"/>
      <c r="AU62" s="11"/>
      <c r="AV62" s="11"/>
      <c r="AW62" s="11"/>
      <c r="AX62" s="11"/>
      <c r="AY62" s="11"/>
      <c r="AZ62" s="11"/>
      <c r="BA62" s="11"/>
      <c r="BB62" s="11"/>
      <c r="BC62" s="3" t="str" cm="1">
        <f t="array" ref="BC62">IF(OR(AJ62:BB62="SI"),"Critico","No Critico")</f>
        <v>No Critico</v>
      </c>
    </row>
    <row r="63" spans="1:55" ht="38.25" hidden="1">
      <c r="A63" s="60">
        <f>Inicial!A63</f>
        <v>61</v>
      </c>
      <c r="B63" s="61" t="str">
        <f>Inicial!B63</f>
        <v>Desposte</v>
      </c>
      <c r="C63" s="61" t="str">
        <f>Inicial!C63</f>
        <v>Operario de producción Línea Paletas</v>
      </c>
      <c r="D63" s="62" t="str">
        <f>Inicial!D63</f>
        <v>Prolijado de paleta y extracción de cuero</v>
      </c>
      <c r="E63" s="60" t="str">
        <f>IF(Inicial!L63="SI",Inicial!E63,"N/A")</f>
        <v>N/A</v>
      </c>
      <c r="F63" s="61" t="str">
        <f>IF(Inicial!L63="SI",Inicial!F63,"N/A")</f>
        <v>N/A</v>
      </c>
      <c r="G63" s="61" t="str">
        <f>IF(Inicial!L63="SI",Inicial!G63,"N/A")</f>
        <v>N/A</v>
      </c>
      <c r="H63" s="61" t="str">
        <f>IF(Inicial!L63="SI",Inicial!H63,"N/A")</f>
        <v>N/A</v>
      </c>
      <c r="I63" s="63" t="str">
        <f>IF(Inicial!L63="SI",Inicial!I63,"N/A")</f>
        <v>N/A</v>
      </c>
      <c r="J63" s="11"/>
      <c r="K63" s="11"/>
      <c r="L63" s="11"/>
      <c r="M63" s="11"/>
      <c r="N63" s="11"/>
      <c r="O63" s="11"/>
      <c r="P63" s="11"/>
      <c r="Q63" s="11"/>
      <c r="R63" s="11"/>
      <c r="S63" s="11"/>
      <c r="T63" s="11"/>
      <c r="U63" s="11"/>
      <c r="V63" s="11"/>
      <c r="W63" s="11"/>
      <c r="X63" s="11"/>
      <c r="Y63" s="11"/>
      <c r="Z63" s="11"/>
      <c r="AA63" s="11"/>
      <c r="AB63" s="11"/>
      <c r="AC63" s="11"/>
      <c r="AD63" s="11"/>
      <c r="AE63" s="11"/>
      <c r="AF63" s="12" t="str" cm="1">
        <f t="array" ref="AF63">IF(OR(M63:AE63="NO"),"No aceptable","Aceptable")</f>
        <v>Aceptable</v>
      </c>
      <c r="AG63" s="11"/>
      <c r="AH63" s="11"/>
      <c r="AI63" s="11"/>
      <c r="AJ63" s="11"/>
      <c r="AK63" s="11"/>
      <c r="AL63" s="11"/>
      <c r="AM63" s="11"/>
      <c r="AN63" s="11"/>
      <c r="AO63" s="11"/>
      <c r="AP63" s="11"/>
      <c r="AQ63" s="11"/>
      <c r="AR63" s="11"/>
      <c r="AS63" s="11"/>
      <c r="AT63" s="11"/>
      <c r="AU63" s="11"/>
      <c r="AV63" s="11"/>
      <c r="AW63" s="11"/>
      <c r="AX63" s="11"/>
      <c r="AY63" s="11"/>
      <c r="AZ63" s="11"/>
      <c r="BA63" s="11"/>
      <c r="BB63" s="11"/>
      <c r="BC63" s="3" t="str" cm="1">
        <f t="array" ref="BC63">IF(OR(AJ63:BB63="SI"),"Critico","No Critico")</f>
        <v>No Critico</v>
      </c>
    </row>
    <row r="64" spans="1:55" ht="38.25" hidden="1">
      <c r="A64" s="60">
        <f>Inicial!A64</f>
        <v>62</v>
      </c>
      <c r="B64" s="61" t="str">
        <f>Inicial!B64</f>
        <v>Desposte</v>
      </c>
      <c r="C64" s="61" t="str">
        <f>Inicial!C64</f>
        <v>Operario de producción Línea Paletas</v>
      </c>
      <c r="D64" s="62" t="str">
        <f>Inicial!D64</f>
        <v>Prolijado de pulpa paleta</v>
      </c>
      <c r="E64" s="60" t="str">
        <f>IF(Inicial!L64="SI",Inicial!E64,"N/A")</f>
        <v>N/A</v>
      </c>
      <c r="F64" s="61" t="str">
        <f>IF(Inicial!L64="SI",Inicial!F64,"N/A")</f>
        <v>N/A</v>
      </c>
      <c r="G64" s="61" t="str">
        <f>IF(Inicial!L64="SI",Inicial!G64,"N/A")</f>
        <v>N/A</v>
      </c>
      <c r="H64" s="61" t="str">
        <f>IF(Inicial!L64="SI",Inicial!H64,"N/A")</f>
        <v>N/A</v>
      </c>
      <c r="I64" s="63" t="str">
        <f>IF(Inicial!L64="SI",Inicial!I64,"N/A")</f>
        <v>N/A</v>
      </c>
      <c r="J64" s="11"/>
      <c r="K64" s="11"/>
      <c r="L64" s="11"/>
      <c r="M64" s="11"/>
      <c r="N64" s="11"/>
      <c r="O64" s="11"/>
      <c r="P64" s="11"/>
      <c r="Q64" s="11"/>
      <c r="R64" s="11"/>
      <c r="S64" s="11"/>
      <c r="T64" s="11"/>
      <c r="U64" s="11"/>
      <c r="V64" s="11"/>
      <c r="W64" s="11"/>
      <c r="X64" s="11"/>
      <c r="Y64" s="11"/>
      <c r="Z64" s="11"/>
      <c r="AA64" s="11"/>
      <c r="AB64" s="11"/>
      <c r="AC64" s="11"/>
      <c r="AD64" s="11"/>
      <c r="AE64" s="11"/>
      <c r="AF64" s="12" t="str" cm="1">
        <f t="array" ref="AF64">IF(OR(M64:AE64="NO"),"No aceptable","Aceptable")</f>
        <v>Aceptable</v>
      </c>
      <c r="AG64" s="11"/>
      <c r="AH64" s="11"/>
      <c r="AI64" s="11"/>
      <c r="AJ64" s="11"/>
      <c r="AK64" s="11"/>
      <c r="AL64" s="11"/>
      <c r="AM64" s="11"/>
      <c r="AN64" s="11"/>
      <c r="AO64" s="11"/>
      <c r="AP64" s="11"/>
      <c r="AQ64" s="11"/>
      <c r="AR64" s="11"/>
      <c r="AS64" s="11"/>
      <c r="AT64" s="11"/>
      <c r="AU64" s="11"/>
      <c r="AV64" s="11"/>
      <c r="AW64" s="11"/>
      <c r="AX64" s="11"/>
      <c r="AY64" s="11"/>
      <c r="AZ64" s="11"/>
      <c r="BA64" s="11"/>
      <c r="BB64" s="11"/>
      <c r="BC64" s="3" t="str" cm="1">
        <f t="array" ref="BC64">IF(OR(AJ64:BB64="SI"),"Critico","No Critico")</f>
        <v>No Critico</v>
      </c>
    </row>
    <row r="65" spans="1:55" ht="38.25" hidden="1">
      <c r="A65" s="60">
        <f>Inicial!A65</f>
        <v>63</v>
      </c>
      <c r="B65" s="61" t="str">
        <f>Inicial!B65</f>
        <v>Desposte</v>
      </c>
      <c r="C65" s="61" t="str">
        <f>Inicial!C65</f>
        <v>Operario de producción Línea Paletas</v>
      </c>
      <c r="D65" s="62" t="str">
        <f>Inicial!D65</f>
        <v>Aspiradora de pulpa paleta</v>
      </c>
      <c r="E65" s="60" t="str">
        <f>IF(Inicial!L65="SI",Inicial!E65,"N/A")</f>
        <v>N/A</v>
      </c>
      <c r="F65" s="61" t="str">
        <f>IF(Inicial!L65="SI",Inicial!F65,"N/A")</f>
        <v>N/A</v>
      </c>
      <c r="G65" s="61" t="str">
        <f>IF(Inicial!L65="SI",Inicial!G65,"N/A")</f>
        <v>N/A</v>
      </c>
      <c r="H65" s="61" t="str">
        <f>IF(Inicial!L65="SI",Inicial!H65,"N/A")</f>
        <v>N/A</v>
      </c>
      <c r="I65" s="63" t="str">
        <f>IF(Inicial!L65="SI",Inicial!I65,"N/A")</f>
        <v>N/A</v>
      </c>
      <c r="J65" s="11"/>
      <c r="K65" s="11"/>
      <c r="L65" s="11"/>
      <c r="M65" s="11"/>
      <c r="N65" s="11"/>
      <c r="O65" s="11"/>
      <c r="P65" s="11"/>
      <c r="Q65" s="11"/>
      <c r="R65" s="11"/>
      <c r="S65" s="11"/>
      <c r="T65" s="11"/>
      <c r="U65" s="11"/>
      <c r="V65" s="11"/>
      <c r="W65" s="11"/>
      <c r="X65" s="11"/>
      <c r="Y65" s="11"/>
      <c r="Z65" s="11"/>
      <c r="AA65" s="11"/>
      <c r="AB65" s="11"/>
      <c r="AC65" s="11"/>
      <c r="AD65" s="11"/>
      <c r="AE65" s="11"/>
      <c r="AF65" s="12" t="str" cm="1">
        <f t="array" ref="AF65">IF(OR(M65:AE65="NO"),"No aceptable","Aceptable")</f>
        <v>Aceptable</v>
      </c>
      <c r="AG65" s="11"/>
      <c r="AH65" s="11"/>
      <c r="AI65" s="11"/>
      <c r="AJ65" s="11"/>
      <c r="AK65" s="11"/>
      <c r="AL65" s="11"/>
      <c r="AM65" s="11"/>
      <c r="AN65" s="11"/>
      <c r="AO65" s="11"/>
      <c r="AP65" s="11"/>
      <c r="AQ65" s="11"/>
      <c r="AR65" s="11"/>
      <c r="AS65" s="11"/>
      <c r="AT65" s="11"/>
      <c r="AU65" s="11"/>
      <c r="AV65" s="11"/>
      <c r="AW65" s="11"/>
      <c r="AX65" s="11"/>
      <c r="AY65" s="11"/>
      <c r="AZ65" s="11"/>
      <c r="BA65" s="11"/>
      <c r="BB65" s="11"/>
      <c r="BC65" s="3" t="str" cm="1">
        <f t="array" ref="BC65">IF(OR(AJ65:BB65="SI"),"Critico","No Critico")</f>
        <v>No Critico</v>
      </c>
    </row>
    <row r="66" spans="1:55" ht="51">
      <c r="A66" s="60">
        <f>Inicial!A66</f>
        <v>64</v>
      </c>
      <c r="B66" s="61" t="str">
        <f>Inicial!B66</f>
        <v>Desposte</v>
      </c>
      <c r="C66" s="61" t="str">
        <f>Inicial!C66</f>
        <v>Operario de producción Línea Pulpa Piernas</v>
      </c>
      <c r="D66" s="62" t="str">
        <f>Inicial!D66</f>
        <v>Direccionador de piernas</v>
      </c>
      <c r="E66" s="60" t="str">
        <f>IF(Inicial!L66="SI",Inicial!E66,"N/A")</f>
        <v>Am: 07:00 a 16:00 - PM: 17:15 a 02:45</v>
      </c>
      <c r="F66" s="61" t="str">
        <f>IF(Inicial!L66="SI",Inicial!F66,"N/A")</f>
        <v>0.5</v>
      </c>
      <c r="G66" s="61">
        <f>IF(Inicial!L66="SI",Inicial!G66,"N/A")</f>
        <v>4.5</v>
      </c>
      <c r="H66" s="61">
        <f>IF(Inicial!L66="SI",Inicial!H66,"N/A")</f>
        <v>92</v>
      </c>
      <c r="I66" s="63">
        <f>IF(Inicial!L66="SI",Inicial!I66,"N/A")</f>
        <v>0</v>
      </c>
      <c r="J66" s="11" t="s">
        <v>16</v>
      </c>
      <c r="K66" s="11" t="s">
        <v>346</v>
      </c>
      <c r="L66" s="11" t="s">
        <v>346</v>
      </c>
      <c r="M66" s="11" t="s">
        <v>346</v>
      </c>
      <c r="N66" s="11" t="s">
        <v>16</v>
      </c>
      <c r="O66" s="11" t="s">
        <v>346</v>
      </c>
      <c r="P66" s="11" t="s">
        <v>346</v>
      </c>
      <c r="Q66" s="11" t="s">
        <v>16</v>
      </c>
      <c r="R66" s="11" t="s">
        <v>346</v>
      </c>
      <c r="S66" s="11" t="s">
        <v>346</v>
      </c>
      <c r="T66" s="11" t="s">
        <v>346</v>
      </c>
      <c r="U66" s="11" t="s">
        <v>346</v>
      </c>
      <c r="V66" s="11" t="s">
        <v>346</v>
      </c>
      <c r="W66" s="11" t="s">
        <v>346</v>
      </c>
      <c r="X66" s="11" t="s">
        <v>346</v>
      </c>
      <c r="Y66" s="11" t="s">
        <v>346</v>
      </c>
      <c r="Z66" s="11" t="s">
        <v>346</v>
      </c>
      <c r="AA66" s="11" t="s">
        <v>346</v>
      </c>
      <c r="AB66" s="11" t="s">
        <v>346</v>
      </c>
      <c r="AC66" s="11" t="s">
        <v>346</v>
      </c>
      <c r="AD66" s="11" t="s">
        <v>346</v>
      </c>
      <c r="AE66" s="11" t="s">
        <v>346</v>
      </c>
      <c r="AF66" s="12" t="str" cm="1">
        <f t="array" ref="AF66">IF(OR(M66:AE66="NO"),"No aceptable","Aceptable")</f>
        <v>No aceptable</v>
      </c>
      <c r="AG66" s="11" t="s">
        <v>16</v>
      </c>
      <c r="AH66" s="11" t="s">
        <v>16</v>
      </c>
      <c r="AI66" s="11" t="s">
        <v>16</v>
      </c>
      <c r="AJ66" s="11" t="s">
        <v>16</v>
      </c>
      <c r="AK66" s="11" t="s">
        <v>16</v>
      </c>
      <c r="AL66" s="11" t="s">
        <v>16</v>
      </c>
      <c r="AM66" s="11" t="s">
        <v>16</v>
      </c>
      <c r="AN66" s="11" t="s">
        <v>16</v>
      </c>
      <c r="AO66" s="11" t="s">
        <v>16</v>
      </c>
      <c r="AP66" s="11" t="s">
        <v>16</v>
      </c>
      <c r="AQ66" s="11" t="s">
        <v>16</v>
      </c>
      <c r="AR66" s="11" t="s">
        <v>16</v>
      </c>
      <c r="AS66" s="11" t="s">
        <v>16</v>
      </c>
      <c r="AT66" s="11" t="s">
        <v>16</v>
      </c>
      <c r="AU66" s="11" t="s">
        <v>16</v>
      </c>
      <c r="AV66" s="11" t="s">
        <v>16</v>
      </c>
      <c r="AW66" s="11" t="s">
        <v>16</v>
      </c>
      <c r="AX66" s="11" t="s">
        <v>16</v>
      </c>
      <c r="AY66" s="11" t="s">
        <v>16</v>
      </c>
      <c r="AZ66" s="11" t="s">
        <v>16</v>
      </c>
      <c r="BA66" s="11" t="s">
        <v>16</v>
      </c>
      <c r="BB66" s="11" t="s">
        <v>16</v>
      </c>
      <c r="BC66" s="3" t="str" cm="1">
        <f t="array" ref="BC66">IF(OR(AJ66:BB66="SI"),"Critico","No Critico")</f>
        <v>No Critico</v>
      </c>
    </row>
    <row r="67" spans="1:55" ht="51" hidden="1">
      <c r="A67" s="60">
        <f>Inicial!A67</f>
        <v>65</v>
      </c>
      <c r="B67" s="61" t="str">
        <f>Inicial!B67</f>
        <v>Desposte</v>
      </c>
      <c r="C67" s="61" t="str">
        <f>Inicial!C67</f>
        <v>Operario de producción Línea Pulpa Piernas</v>
      </c>
      <c r="D67" s="62" t="str">
        <f>Inicial!D67</f>
        <v>Extracción de pernil</v>
      </c>
      <c r="E67" s="60" t="str">
        <f>IF(Inicial!L67="SI",Inicial!E67,"N/A")</f>
        <v>N/A</v>
      </c>
      <c r="F67" s="61" t="str">
        <f>IF(Inicial!L67="SI",Inicial!F67,"N/A")</f>
        <v>N/A</v>
      </c>
      <c r="G67" s="61" t="str">
        <f>IF(Inicial!L67="SI",Inicial!G67,"N/A")</f>
        <v>N/A</v>
      </c>
      <c r="H67" s="61" t="str">
        <f>IF(Inicial!L67="SI",Inicial!H67,"N/A")</f>
        <v>N/A</v>
      </c>
      <c r="I67" s="63" t="str">
        <f>IF(Inicial!L67="SI",Inicial!I67,"N/A")</f>
        <v>N/A</v>
      </c>
      <c r="J67" s="11"/>
      <c r="K67" s="11"/>
      <c r="L67" s="11"/>
      <c r="M67" s="11"/>
      <c r="N67" s="11"/>
      <c r="O67" s="11"/>
      <c r="P67" s="11"/>
      <c r="Q67" s="11"/>
      <c r="R67" s="11"/>
      <c r="S67" s="11"/>
      <c r="T67" s="11"/>
      <c r="U67" s="11"/>
      <c r="V67" s="11"/>
      <c r="W67" s="11"/>
      <c r="X67" s="11"/>
      <c r="Y67" s="11"/>
      <c r="Z67" s="11"/>
      <c r="AA67" s="11"/>
      <c r="AB67" s="11"/>
      <c r="AC67" s="11"/>
      <c r="AD67" s="11"/>
      <c r="AE67" s="11"/>
      <c r="AF67" s="12" t="str" cm="1">
        <f t="array" ref="AF67">IF(OR(M67:AE67="NO"),"No aceptable","Aceptable")</f>
        <v>Aceptable</v>
      </c>
      <c r="AG67" s="11"/>
      <c r="AH67" s="11"/>
      <c r="AI67" s="11"/>
      <c r="AJ67" s="11"/>
      <c r="AK67" s="11"/>
      <c r="AL67" s="11"/>
      <c r="AM67" s="11"/>
      <c r="AN67" s="11"/>
      <c r="AO67" s="11"/>
      <c r="AP67" s="11"/>
      <c r="AQ67" s="11"/>
      <c r="AR67" s="11"/>
      <c r="AS67" s="11"/>
      <c r="AT67" s="11"/>
      <c r="AU67" s="11"/>
      <c r="AV67" s="11"/>
      <c r="AW67" s="11"/>
      <c r="AX67" s="11"/>
      <c r="AY67" s="11"/>
      <c r="AZ67" s="11"/>
      <c r="BA67" s="11"/>
      <c r="BB67" s="11"/>
      <c r="BC67" s="3" t="str" cm="1">
        <f t="array" ref="BC67">IF(OR(AJ67:BB67="SI"),"Critico","No Critico")</f>
        <v>No Critico</v>
      </c>
    </row>
    <row r="68" spans="1:55" ht="51" hidden="1">
      <c r="A68" s="60">
        <f>Inicial!A68</f>
        <v>66</v>
      </c>
      <c r="B68" s="61" t="str">
        <f>Inicial!B68</f>
        <v>Desposte</v>
      </c>
      <c r="C68" s="61" t="str">
        <f>Inicial!C68</f>
        <v>Operario de producción Línea Pulpa Piernas</v>
      </c>
      <c r="D68" s="62" t="str">
        <f>Inicial!D68</f>
        <v xml:space="preserve">Extracción Cazuela y cola </v>
      </c>
      <c r="E68" s="60" t="str">
        <f>IF(Inicial!L68="SI",Inicial!E68,"N/A")</f>
        <v>N/A</v>
      </c>
      <c r="F68" s="61" t="str">
        <f>IF(Inicial!L68="SI",Inicial!F68,"N/A")</f>
        <v>N/A</v>
      </c>
      <c r="G68" s="61" t="str">
        <f>IF(Inicial!L68="SI",Inicial!G68,"N/A")</f>
        <v>N/A</v>
      </c>
      <c r="H68" s="61" t="str">
        <f>IF(Inicial!L68="SI",Inicial!H68,"N/A")</f>
        <v>N/A</v>
      </c>
      <c r="I68" s="63" t="str">
        <f>IF(Inicial!L68="SI",Inicial!I68,"N/A")</f>
        <v>N/A</v>
      </c>
      <c r="J68" s="11"/>
      <c r="K68" s="11"/>
      <c r="L68" s="11"/>
      <c r="M68" s="11"/>
      <c r="N68" s="11"/>
      <c r="O68" s="11"/>
      <c r="P68" s="11"/>
      <c r="Q68" s="11"/>
      <c r="R68" s="11"/>
      <c r="S68" s="11"/>
      <c r="T68" s="11"/>
      <c r="U68" s="11"/>
      <c r="V68" s="11"/>
      <c r="W68" s="11"/>
      <c r="X68" s="11"/>
      <c r="Y68" s="11"/>
      <c r="Z68" s="11"/>
      <c r="AA68" s="11"/>
      <c r="AB68" s="11"/>
      <c r="AC68" s="11"/>
      <c r="AD68" s="11"/>
      <c r="AE68" s="11"/>
      <c r="AF68" s="12" t="str" cm="1">
        <f t="array" ref="AF68">IF(OR(M68:AE68="NO"),"No aceptable","Aceptable")</f>
        <v>Aceptable</v>
      </c>
      <c r="AG68" s="11"/>
      <c r="AH68" s="11"/>
      <c r="AI68" s="11"/>
      <c r="AJ68" s="11"/>
      <c r="AK68" s="11"/>
      <c r="AL68" s="11"/>
      <c r="AM68" s="11"/>
      <c r="AN68" s="11"/>
      <c r="AO68" s="11"/>
      <c r="AP68" s="11"/>
      <c r="AQ68" s="11"/>
      <c r="AR68" s="11"/>
      <c r="AS68" s="11"/>
      <c r="AT68" s="11"/>
      <c r="AU68" s="11"/>
      <c r="AV68" s="11"/>
      <c r="AW68" s="11"/>
      <c r="AX68" s="11"/>
      <c r="AY68" s="11"/>
      <c r="AZ68" s="11"/>
      <c r="BA68" s="11"/>
      <c r="BB68" s="11"/>
      <c r="BC68" s="3" t="str" cm="1">
        <f t="array" ref="BC68">IF(OR(AJ68:BB68="SI"),"Critico","No Critico")</f>
        <v>No Critico</v>
      </c>
    </row>
    <row r="69" spans="1:55" ht="51" hidden="1">
      <c r="A69" s="60">
        <f>Inicial!A69</f>
        <v>67</v>
      </c>
      <c r="B69" s="61" t="str">
        <f>Inicial!B69</f>
        <v>Desposte</v>
      </c>
      <c r="C69" s="61" t="str">
        <f>Inicial!C69</f>
        <v>Operario de producción Línea Pulpa Piernas</v>
      </c>
      <c r="D69" s="62" t="str">
        <f>Inicial!D69</f>
        <v>Prolijado de pierna</v>
      </c>
      <c r="E69" s="60" t="str">
        <f>IF(Inicial!L69="SI",Inicial!E69,"N/A")</f>
        <v>N/A</v>
      </c>
      <c r="F69" s="61" t="str">
        <f>IF(Inicial!L69="SI",Inicial!F69,"N/A")</f>
        <v>N/A</v>
      </c>
      <c r="G69" s="61" t="str">
        <f>IF(Inicial!L69="SI",Inicial!G69,"N/A")</f>
        <v>N/A</v>
      </c>
      <c r="H69" s="61" t="str">
        <f>IF(Inicial!L69="SI",Inicial!H69,"N/A")</f>
        <v>N/A</v>
      </c>
      <c r="I69" s="63" t="str">
        <f>IF(Inicial!L69="SI",Inicial!I69,"N/A")</f>
        <v>N/A</v>
      </c>
      <c r="J69" s="11"/>
      <c r="K69" s="11"/>
      <c r="L69" s="11"/>
      <c r="M69" s="11"/>
      <c r="N69" s="11"/>
      <c r="O69" s="11"/>
      <c r="P69" s="11"/>
      <c r="Q69" s="11"/>
      <c r="R69" s="11"/>
      <c r="S69" s="11"/>
      <c r="T69" s="11"/>
      <c r="U69" s="11"/>
      <c r="V69" s="11"/>
      <c r="W69" s="11"/>
      <c r="X69" s="11"/>
      <c r="Y69" s="11"/>
      <c r="Z69" s="11"/>
      <c r="AA69" s="11"/>
      <c r="AB69" s="11"/>
      <c r="AC69" s="11"/>
      <c r="AD69" s="11"/>
      <c r="AE69" s="11"/>
      <c r="AF69" s="12" t="str" cm="1">
        <f t="array" ref="AF69">IF(OR(M69:AE69="NO"),"No aceptable","Aceptable")</f>
        <v>Aceptable</v>
      </c>
      <c r="AG69" s="11"/>
      <c r="AH69" s="11"/>
      <c r="AI69" s="11"/>
      <c r="AJ69" s="11"/>
      <c r="AK69" s="11"/>
      <c r="AL69" s="11"/>
      <c r="AM69" s="11"/>
      <c r="AN69" s="11"/>
      <c r="AO69" s="11"/>
      <c r="AP69" s="11"/>
      <c r="AQ69" s="11"/>
      <c r="AR69" s="11"/>
      <c r="AS69" s="11"/>
      <c r="AT69" s="11"/>
      <c r="AU69" s="11"/>
      <c r="AV69" s="11"/>
      <c r="AW69" s="11"/>
      <c r="AX69" s="11"/>
      <c r="AY69" s="11"/>
      <c r="AZ69" s="11"/>
      <c r="BA69" s="11"/>
      <c r="BB69" s="11"/>
      <c r="BC69" s="3" t="str" cm="1">
        <f t="array" ref="BC69">IF(OR(AJ69:BB69="SI"),"Critico","No Critico")</f>
        <v>No Critico</v>
      </c>
    </row>
    <row r="70" spans="1:55" ht="51" hidden="1">
      <c r="A70" s="60">
        <f>Inicial!A70</f>
        <v>68</v>
      </c>
      <c r="B70" s="61" t="str">
        <f>Inicial!B70</f>
        <v>Desposte</v>
      </c>
      <c r="C70" s="61" t="str">
        <f>Inicial!C70</f>
        <v>Operario de producción Línea Pulpa Piernas</v>
      </c>
      <c r="D70" s="62" t="str">
        <f>Inicial!D70</f>
        <v>Deshuesado coxal</v>
      </c>
      <c r="E70" s="60" t="str">
        <f>IF(Inicial!L70="SI",Inicial!E70,"N/A")</f>
        <v>N/A</v>
      </c>
      <c r="F70" s="61" t="str">
        <f>IF(Inicial!L70="SI",Inicial!F70,"N/A")</f>
        <v>N/A</v>
      </c>
      <c r="G70" s="61" t="str">
        <f>IF(Inicial!L70="SI",Inicial!G70,"N/A")</f>
        <v>N/A</v>
      </c>
      <c r="H70" s="61" t="str">
        <f>IF(Inicial!L70="SI",Inicial!H70,"N/A")</f>
        <v>N/A</v>
      </c>
      <c r="I70" s="63" t="str">
        <f>IF(Inicial!L70="SI",Inicial!I70,"N/A")</f>
        <v>N/A</v>
      </c>
      <c r="J70" s="11"/>
      <c r="K70" s="11"/>
      <c r="L70" s="11"/>
      <c r="M70" s="11"/>
      <c r="N70" s="11"/>
      <c r="O70" s="11"/>
      <c r="P70" s="11"/>
      <c r="Q70" s="11"/>
      <c r="R70" s="11"/>
      <c r="S70" s="11"/>
      <c r="T70" s="11"/>
      <c r="U70" s="11"/>
      <c r="V70" s="11"/>
      <c r="W70" s="11"/>
      <c r="X70" s="11"/>
      <c r="Y70" s="11"/>
      <c r="Z70" s="11"/>
      <c r="AA70" s="11"/>
      <c r="AB70" s="11"/>
      <c r="AC70" s="11"/>
      <c r="AD70" s="11"/>
      <c r="AE70" s="11"/>
      <c r="AF70" s="12" t="str" cm="1">
        <f t="array" ref="AF70">IF(OR(M70:AE70="NO"),"No aceptable","Aceptable")</f>
        <v>Aceptable</v>
      </c>
      <c r="AG70" s="11"/>
      <c r="AH70" s="11"/>
      <c r="AI70" s="11"/>
      <c r="AJ70" s="11"/>
      <c r="AK70" s="11"/>
      <c r="AL70" s="11"/>
      <c r="AM70" s="11"/>
      <c r="AN70" s="11"/>
      <c r="AO70" s="11"/>
      <c r="AP70" s="11"/>
      <c r="AQ70" s="11"/>
      <c r="AR70" s="11"/>
      <c r="AS70" s="11"/>
      <c r="AT70" s="11"/>
      <c r="AU70" s="11"/>
      <c r="AV70" s="11"/>
      <c r="AW70" s="11"/>
      <c r="AX70" s="11"/>
      <c r="AY70" s="11"/>
      <c r="AZ70" s="11"/>
      <c r="BA70" s="11"/>
      <c r="BB70" s="11"/>
      <c r="BC70" s="3" t="str" cm="1">
        <f t="array" ref="BC70">IF(OR(AJ70:BB70="SI"),"Critico","No Critico")</f>
        <v>No Critico</v>
      </c>
    </row>
    <row r="71" spans="1:55" ht="51" hidden="1">
      <c r="A71" s="60">
        <f>Inicial!A71</f>
        <v>69</v>
      </c>
      <c r="B71" s="61" t="str">
        <f>Inicial!B71</f>
        <v>Desposte</v>
      </c>
      <c r="C71" s="61" t="str">
        <f>Inicial!C71</f>
        <v>Operario de producción Línea Pulpa Piernas</v>
      </c>
      <c r="D71" s="62" t="str">
        <f>Inicial!D71</f>
        <v>Deshuesado fémur</v>
      </c>
      <c r="E71" s="60" t="str">
        <f>IF(Inicial!L71="SI",Inicial!E71,"N/A")</f>
        <v>N/A</v>
      </c>
      <c r="F71" s="61" t="str">
        <f>IF(Inicial!L71="SI",Inicial!F71,"N/A")</f>
        <v>N/A</v>
      </c>
      <c r="G71" s="61" t="str">
        <f>IF(Inicial!L71="SI",Inicial!G71,"N/A")</f>
        <v>N/A</v>
      </c>
      <c r="H71" s="61" t="str">
        <f>IF(Inicial!L71="SI",Inicial!H71,"N/A")</f>
        <v>N/A</v>
      </c>
      <c r="I71" s="63" t="str">
        <f>IF(Inicial!L71="SI",Inicial!I71,"N/A")</f>
        <v>N/A</v>
      </c>
      <c r="J71" s="11"/>
      <c r="K71" s="11"/>
      <c r="L71" s="11"/>
      <c r="M71" s="11"/>
      <c r="N71" s="11"/>
      <c r="O71" s="11"/>
      <c r="P71" s="11"/>
      <c r="Q71" s="11"/>
      <c r="R71" s="11"/>
      <c r="S71" s="11"/>
      <c r="T71" s="11"/>
      <c r="U71" s="11"/>
      <c r="V71" s="11"/>
      <c r="W71" s="11"/>
      <c r="X71" s="11"/>
      <c r="Y71" s="11"/>
      <c r="Z71" s="11"/>
      <c r="AA71" s="11"/>
      <c r="AB71" s="11"/>
      <c r="AC71" s="11"/>
      <c r="AD71" s="11"/>
      <c r="AE71" s="11"/>
      <c r="AF71" s="12" t="str" cm="1">
        <f t="array" ref="AF71">IF(OR(M71:AE71="NO"),"No aceptable","Aceptable")</f>
        <v>Aceptable</v>
      </c>
      <c r="AG71" s="11"/>
      <c r="AH71" s="11"/>
      <c r="AI71" s="11"/>
      <c r="AJ71" s="11"/>
      <c r="AK71" s="11"/>
      <c r="AL71" s="11"/>
      <c r="AM71" s="11"/>
      <c r="AN71" s="11"/>
      <c r="AO71" s="11"/>
      <c r="AP71" s="11"/>
      <c r="AQ71" s="11"/>
      <c r="AR71" s="11"/>
      <c r="AS71" s="11"/>
      <c r="AT71" s="11"/>
      <c r="AU71" s="11"/>
      <c r="AV71" s="11"/>
      <c r="AW71" s="11"/>
      <c r="AX71" s="11"/>
      <c r="AY71" s="11"/>
      <c r="AZ71" s="11"/>
      <c r="BA71" s="11"/>
      <c r="BB71" s="11"/>
      <c r="BC71" s="3" t="str" cm="1">
        <f t="array" ref="BC71">IF(OR(AJ71:BB71="SI"),"Critico","No Critico")</f>
        <v>No Critico</v>
      </c>
    </row>
    <row r="72" spans="1:55" ht="51" hidden="1">
      <c r="A72" s="60">
        <f>Inicial!A72</f>
        <v>70</v>
      </c>
      <c r="B72" s="61" t="str">
        <f>Inicial!B72</f>
        <v>Desposte</v>
      </c>
      <c r="C72" s="61" t="str">
        <f>Inicial!C72</f>
        <v>Operario de producción Línea Pulpa Piernas</v>
      </c>
      <c r="D72" s="62" t="str">
        <f>Inicial!D72</f>
        <v>Prolijado de cartilago</v>
      </c>
      <c r="E72" s="60" t="str">
        <f>IF(Inicial!L72="SI",Inicial!E72,"N/A")</f>
        <v>N/A</v>
      </c>
      <c r="F72" s="61" t="str">
        <f>IF(Inicial!L72="SI",Inicial!F72,"N/A")</f>
        <v>N/A</v>
      </c>
      <c r="G72" s="61" t="str">
        <f>IF(Inicial!L72="SI",Inicial!G72,"N/A")</f>
        <v>N/A</v>
      </c>
      <c r="H72" s="61" t="str">
        <f>IF(Inicial!L72="SI",Inicial!H72,"N/A")</f>
        <v>N/A</v>
      </c>
      <c r="I72" s="63" t="str">
        <f>IF(Inicial!L72="SI",Inicial!I72,"N/A")</f>
        <v>N/A</v>
      </c>
      <c r="J72" s="11"/>
      <c r="K72" s="11"/>
      <c r="L72" s="11"/>
      <c r="M72" s="11"/>
      <c r="N72" s="11"/>
      <c r="O72" s="11"/>
      <c r="P72" s="11"/>
      <c r="Q72" s="11"/>
      <c r="R72" s="11"/>
      <c r="S72" s="11"/>
      <c r="T72" s="11"/>
      <c r="U72" s="11"/>
      <c r="V72" s="11"/>
      <c r="W72" s="11"/>
      <c r="X72" s="11"/>
      <c r="Y72" s="11"/>
      <c r="Z72" s="11"/>
      <c r="AA72" s="11"/>
      <c r="AB72" s="11"/>
      <c r="AC72" s="11"/>
      <c r="AD72" s="11"/>
      <c r="AE72" s="11"/>
      <c r="AF72" s="12" t="str" cm="1">
        <f t="array" ref="AF72">IF(OR(M72:AE72="NO"),"No aceptable","Aceptable")</f>
        <v>Aceptable</v>
      </c>
      <c r="AG72" s="11"/>
      <c r="AH72" s="11"/>
      <c r="AI72" s="11"/>
      <c r="AJ72" s="11"/>
      <c r="AK72" s="11"/>
      <c r="AL72" s="11"/>
      <c r="AM72" s="11"/>
      <c r="AN72" s="11"/>
      <c r="AO72" s="11"/>
      <c r="AP72" s="11"/>
      <c r="AQ72" s="11"/>
      <c r="AR72" s="11"/>
      <c r="AS72" s="11"/>
      <c r="AT72" s="11"/>
      <c r="AU72" s="11"/>
      <c r="AV72" s="11"/>
      <c r="AW72" s="11"/>
      <c r="AX72" s="11"/>
      <c r="AY72" s="11"/>
      <c r="AZ72" s="11"/>
      <c r="BA72" s="11"/>
      <c r="BB72" s="11"/>
      <c r="BC72" s="3" t="str" cm="1">
        <f t="array" ref="BC72">IF(OR(AJ72:BB72="SI"),"Critico","No Critico")</f>
        <v>No Critico</v>
      </c>
    </row>
    <row r="73" spans="1:55" ht="51" hidden="1">
      <c r="A73" s="60">
        <f>Inicial!A73</f>
        <v>71</v>
      </c>
      <c r="B73" s="61" t="str">
        <f>Inicial!B73</f>
        <v>Desposte</v>
      </c>
      <c r="C73" s="61" t="str">
        <f>Inicial!C73</f>
        <v>Operario de producción Línea Pulpa Piernas</v>
      </c>
      <c r="D73" s="62" t="str">
        <f>Inicial!D73</f>
        <v>Prolijado de pulpa</v>
      </c>
      <c r="E73" s="60" t="str">
        <f>IF(Inicial!L73="SI",Inicial!E73,"N/A")</f>
        <v>N/A</v>
      </c>
      <c r="F73" s="61" t="str">
        <f>IF(Inicial!L73="SI",Inicial!F73,"N/A")</f>
        <v>N/A</v>
      </c>
      <c r="G73" s="61" t="str">
        <f>IF(Inicial!L73="SI",Inicial!G73,"N/A")</f>
        <v>N/A</v>
      </c>
      <c r="H73" s="61" t="str">
        <f>IF(Inicial!L73="SI",Inicial!H73,"N/A")</f>
        <v>N/A</v>
      </c>
      <c r="I73" s="63" t="str">
        <f>IF(Inicial!L73="SI",Inicial!I73,"N/A")</f>
        <v>N/A</v>
      </c>
      <c r="J73" s="11"/>
      <c r="K73" s="11"/>
      <c r="L73" s="11"/>
      <c r="M73" s="11"/>
      <c r="N73" s="11"/>
      <c r="O73" s="11"/>
      <c r="P73" s="11"/>
      <c r="Q73" s="11"/>
      <c r="R73" s="11"/>
      <c r="S73" s="11"/>
      <c r="T73" s="11"/>
      <c r="U73" s="11"/>
      <c r="V73" s="11"/>
      <c r="W73" s="11"/>
      <c r="X73" s="11"/>
      <c r="Y73" s="11"/>
      <c r="Z73" s="11"/>
      <c r="AA73" s="11"/>
      <c r="AB73" s="11"/>
      <c r="AC73" s="11"/>
      <c r="AD73" s="11"/>
      <c r="AE73" s="11"/>
      <c r="AF73" s="12" t="str" cm="1">
        <f t="array" ref="AF73">IF(OR(M73:AE73="NO"),"No aceptable","Aceptable")</f>
        <v>Aceptable</v>
      </c>
      <c r="AG73" s="11"/>
      <c r="AH73" s="11"/>
      <c r="AI73" s="11"/>
      <c r="AJ73" s="11"/>
      <c r="AK73" s="11"/>
      <c r="AL73" s="11"/>
      <c r="AM73" s="11"/>
      <c r="AN73" s="11"/>
      <c r="AO73" s="11"/>
      <c r="AP73" s="11"/>
      <c r="AQ73" s="11"/>
      <c r="AR73" s="11"/>
      <c r="AS73" s="11"/>
      <c r="AT73" s="11"/>
      <c r="AU73" s="11"/>
      <c r="AV73" s="11"/>
      <c r="AW73" s="11"/>
      <c r="AX73" s="11"/>
      <c r="AY73" s="11"/>
      <c r="AZ73" s="11"/>
      <c r="BA73" s="11"/>
      <c r="BB73" s="11"/>
      <c r="BC73" s="3" t="str" cm="1">
        <f t="array" ref="BC73">IF(OR(AJ73:BB73="SI"),"Critico","No Critico")</f>
        <v>No Critico</v>
      </c>
    </row>
    <row r="74" spans="1:55" ht="51" hidden="1">
      <c r="A74" s="60">
        <f>Inicial!A74</f>
        <v>72</v>
      </c>
      <c r="B74" s="61" t="str">
        <f>Inicial!B74</f>
        <v>Desposte</v>
      </c>
      <c r="C74" s="61" t="str">
        <f>Inicial!C74</f>
        <v>Operario de producción Línea Pulpa Piernas</v>
      </c>
      <c r="D74" s="62" t="str">
        <f>Inicial!D74</f>
        <v>Extracción de posta rosada</v>
      </c>
      <c r="E74" s="60" t="str">
        <f>IF(Inicial!L74="SI",Inicial!E74,"N/A")</f>
        <v>N/A</v>
      </c>
      <c r="F74" s="61" t="str">
        <f>IF(Inicial!L74="SI",Inicial!F74,"N/A")</f>
        <v>N/A</v>
      </c>
      <c r="G74" s="61" t="str">
        <f>IF(Inicial!L74="SI",Inicial!G74,"N/A")</f>
        <v>N/A</v>
      </c>
      <c r="H74" s="61" t="str">
        <f>IF(Inicial!L74="SI",Inicial!H74,"N/A")</f>
        <v>N/A</v>
      </c>
      <c r="I74" s="63" t="str">
        <f>IF(Inicial!L74="SI",Inicial!I74,"N/A")</f>
        <v>N/A</v>
      </c>
      <c r="J74" s="11"/>
      <c r="K74" s="11"/>
      <c r="L74" s="11"/>
      <c r="M74" s="11"/>
      <c r="N74" s="11"/>
      <c r="O74" s="11"/>
      <c r="P74" s="11"/>
      <c r="Q74" s="11"/>
      <c r="R74" s="11"/>
      <c r="S74" s="11"/>
      <c r="T74" s="11"/>
      <c r="U74" s="11"/>
      <c r="V74" s="11"/>
      <c r="W74" s="11"/>
      <c r="X74" s="11"/>
      <c r="Y74" s="11"/>
      <c r="Z74" s="11"/>
      <c r="AA74" s="11"/>
      <c r="AB74" s="11"/>
      <c r="AC74" s="11"/>
      <c r="AD74" s="11"/>
      <c r="AE74" s="11"/>
      <c r="AF74" s="12" t="str" cm="1">
        <f t="array" ref="AF74">IF(OR(M74:AE74="NO"),"No aceptable","Aceptable")</f>
        <v>Aceptable</v>
      </c>
      <c r="AG74" s="11"/>
      <c r="AH74" s="11"/>
      <c r="AI74" s="11"/>
      <c r="AJ74" s="11"/>
      <c r="AK74" s="11"/>
      <c r="AL74" s="11"/>
      <c r="AM74" s="11"/>
      <c r="AN74" s="11"/>
      <c r="AO74" s="11"/>
      <c r="AP74" s="11"/>
      <c r="AQ74" s="11"/>
      <c r="AR74" s="11"/>
      <c r="AS74" s="11"/>
      <c r="AT74" s="11"/>
      <c r="AU74" s="11"/>
      <c r="AV74" s="11"/>
      <c r="AW74" s="11"/>
      <c r="AX74" s="11"/>
      <c r="AY74" s="11"/>
      <c r="AZ74" s="11"/>
      <c r="BA74" s="11"/>
      <c r="BB74" s="11"/>
      <c r="BC74" s="3" t="str" cm="1">
        <f t="array" ref="BC74">IF(OR(AJ74:BB74="SI"),"Critico","No Critico")</f>
        <v>No Critico</v>
      </c>
    </row>
    <row r="75" spans="1:55" ht="51" hidden="1">
      <c r="A75" s="60">
        <f>Inicial!A75</f>
        <v>73</v>
      </c>
      <c r="B75" s="61" t="str">
        <f>Inicial!B75</f>
        <v>Desposte</v>
      </c>
      <c r="C75" s="61" t="str">
        <f>Inicial!C75</f>
        <v>Operario de producción Línea Pulpa Piernas</v>
      </c>
      <c r="D75" s="62" t="str">
        <f>Inicial!D75</f>
        <v>Extracción de posta negra</v>
      </c>
      <c r="E75" s="60" t="str">
        <f>IF(Inicial!L75="SI",Inicial!E75,"N/A")</f>
        <v>N/A</v>
      </c>
      <c r="F75" s="61" t="str">
        <f>IF(Inicial!L75="SI",Inicial!F75,"N/A")</f>
        <v>N/A</v>
      </c>
      <c r="G75" s="61" t="str">
        <f>IF(Inicial!L75="SI",Inicial!G75,"N/A")</f>
        <v>N/A</v>
      </c>
      <c r="H75" s="61" t="str">
        <f>IF(Inicial!L75="SI",Inicial!H75,"N/A")</f>
        <v>N/A</v>
      </c>
      <c r="I75" s="63" t="str">
        <f>IF(Inicial!L75="SI",Inicial!I75,"N/A")</f>
        <v>N/A</v>
      </c>
      <c r="J75" s="11"/>
      <c r="K75" s="11"/>
      <c r="L75" s="11"/>
      <c r="M75" s="11"/>
      <c r="N75" s="11"/>
      <c r="O75" s="11"/>
      <c r="P75" s="11"/>
      <c r="Q75" s="11"/>
      <c r="R75" s="11"/>
      <c r="S75" s="11"/>
      <c r="T75" s="11"/>
      <c r="U75" s="11"/>
      <c r="V75" s="11"/>
      <c r="W75" s="11"/>
      <c r="X75" s="11"/>
      <c r="Y75" s="11"/>
      <c r="Z75" s="11"/>
      <c r="AA75" s="11"/>
      <c r="AB75" s="11"/>
      <c r="AC75" s="11"/>
      <c r="AD75" s="11"/>
      <c r="AE75" s="11"/>
      <c r="AF75" s="12" t="str" cm="1">
        <f t="array" ref="AF75">IF(OR(M75:AE75="NO"),"No aceptable","Aceptable")</f>
        <v>Aceptable</v>
      </c>
      <c r="AG75" s="11"/>
      <c r="AH75" s="11"/>
      <c r="AI75" s="11"/>
      <c r="AJ75" s="11"/>
      <c r="AK75" s="11"/>
      <c r="AL75" s="11"/>
      <c r="AM75" s="11"/>
      <c r="AN75" s="11"/>
      <c r="AO75" s="11"/>
      <c r="AP75" s="11"/>
      <c r="AQ75" s="11"/>
      <c r="AR75" s="11"/>
      <c r="AS75" s="11"/>
      <c r="AT75" s="11"/>
      <c r="AU75" s="11"/>
      <c r="AV75" s="11"/>
      <c r="AW75" s="11"/>
      <c r="AX75" s="11"/>
      <c r="AY75" s="11"/>
      <c r="AZ75" s="11"/>
      <c r="BA75" s="11"/>
      <c r="BB75" s="11"/>
      <c r="BC75" s="3" t="str" cm="1">
        <f t="array" ref="BC75">IF(OR(AJ75:BB75="SI"),"Critico","No Critico")</f>
        <v>No Critico</v>
      </c>
    </row>
    <row r="76" spans="1:55" ht="51" hidden="1">
      <c r="A76" s="60">
        <f>Inicial!A76</f>
        <v>74</v>
      </c>
      <c r="B76" s="61" t="str">
        <f>Inicial!B76</f>
        <v>Desposte</v>
      </c>
      <c r="C76" s="61" t="str">
        <f>Inicial!C76</f>
        <v>Operario de producción Línea Pulpa Piernas</v>
      </c>
      <c r="D76" s="62" t="str">
        <f>Inicial!D76</f>
        <v>Extracción de asiento</v>
      </c>
      <c r="E76" s="60" t="str">
        <f>IF(Inicial!L76="SI",Inicial!E76,"N/A")</f>
        <v>N/A</v>
      </c>
      <c r="F76" s="61" t="str">
        <f>IF(Inicial!L76="SI",Inicial!F76,"N/A")</f>
        <v>N/A</v>
      </c>
      <c r="G76" s="61" t="str">
        <f>IF(Inicial!L76="SI",Inicial!G76,"N/A")</f>
        <v>N/A</v>
      </c>
      <c r="H76" s="61" t="str">
        <f>IF(Inicial!L76="SI",Inicial!H76,"N/A")</f>
        <v>N/A</v>
      </c>
      <c r="I76" s="63" t="str">
        <f>IF(Inicial!L76="SI",Inicial!I76,"N/A")</f>
        <v>N/A</v>
      </c>
      <c r="J76" s="11"/>
      <c r="K76" s="11"/>
      <c r="L76" s="11"/>
      <c r="M76" s="11"/>
      <c r="N76" s="11"/>
      <c r="O76" s="11"/>
      <c r="P76" s="11"/>
      <c r="Q76" s="11"/>
      <c r="R76" s="11"/>
      <c r="S76" s="11"/>
      <c r="T76" s="11"/>
      <c r="U76" s="11"/>
      <c r="V76" s="11"/>
      <c r="W76" s="11"/>
      <c r="X76" s="11"/>
      <c r="Y76" s="11"/>
      <c r="Z76" s="11"/>
      <c r="AA76" s="11"/>
      <c r="AB76" s="11"/>
      <c r="AC76" s="11"/>
      <c r="AD76" s="11"/>
      <c r="AE76" s="11"/>
      <c r="AF76" s="12" t="str" cm="1">
        <f t="array" ref="AF76">IF(OR(M76:AE76="NO"),"No aceptable","Aceptable")</f>
        <v>Aceptable</v>
      </c>
      <c r="AG76" s="11"/>
      <c r="AH76" s="11"/>
      <c r="AI76" s="11"/>
      <c r="AJ76" s="11"/>
      <c r="AK76" s="11"/>
      <c r="AL76" s="11"/>
      <c r="AM76" s="11"/>
      <c r="AN76" s="11"/>
      <c r="AO76" s="11"/>
      <c r="AP76" s="11"/>
      <c r="AQ76" s="11"/>
      <c r="AR76" s="11"/>
      <c r="AS76" s="11"/>
      <c r="AT76" s="11"/>
      <c r="AU76" s="11"/>
      <c r="AV76" s="11"/>
      <c r="AW76" s="11"/>
      <c r="AX76" s="11"/>
      <c r="AY76" s="11"/>
      <c r="AZ76" s="11"/>
      <c r="BA76" s="11"/>
      <c r="BB76" s="11"/>
      <c r="BC76" s="3" t="str" cm="1">
        <f t="array" ref="BC76">IF(OR(AJ76:BB76="SI"),"Critico","No Critico")</f>
        <v>No Critico</v>
      </c>
    </row>
    <row r="77" spans="1:55" ht="51" hidden="1">
      <c r="A77" s="60">
        <f>Inicial!A77</f>
        <v>75</v>
      </c>
      <c r="B77" s="61" t="str">
        <f>Inicial!B77</f>
        <v>Desposte</v>
      </c>
      <c r="C77" s="61" t="str">
        <f>Inicial!C77</f>
        <v>Operario de producción Línea Pulpa Piernas</v>
      </c>
      <c r="D77" s="62" t="str">
        <f>Inicial!D77</f>
        <v xml:space="preserve">Extracción de abastero </v>
      </c>
      <c r="E77" s="60" t="str">
        <f>IF(Inicial!L77="SI",Inicial!E77,"N/A")</f>
        <v>N/A</v>
      </c>
      <c r="F77" s="61" t="str">
        <f>IF(Inicial!L77="SI",Inicial!F77,"N/A")</f>
        <v>N/A</v>
      </c>
      <c r="G77" s="61" t="str">
        <f>IF(Inicial!L77="SI",Inicial!G77,"N/A")</f>
        <v>N/A</v>
      </c>
      <c r="H77" s="61" t="str">
        <f>IF(Inicial!L77="SI",Inicial!H77,"N/A")</f>
        <v>N/A</v>
      </c>
      <c r="I77" s="63" t="str">
        <f>IF(Inicial!L77="SI",Inicial!I77,"N/A")</f>
        <v>N/A</v>
      </c>
      <c r="J77" s="11"/>
      <c r="K77" s="11"/>
      <c r="L77" s="11"/>
      <c r="M77" s="11"/>
      <c r="N77" s="11"/>
      <c r="O77" s="11"/>
      <c r="P77" s="11"/>
      <c r="Q77" s="11"/>
      <c r="R77" s="11"/>
      <c r="S77" s="11"/>
      <c r="T77" s="11"/>
      <c r="U77" s="11"/>
      <c r="V77" s="11"/>
      <c r="W77" s="11"/>
      <c r="X77" s="11"/>
      <c r="Y77" s="11"/>
      <c r="Z77" s="11"/>
      <c r="AA77" s="11"/>
      <c r="AB77" s="11"/>
      <c r="AC77" s="11"/>
      <c r="AD77" s="11"/>
      <c r="AE77" s="11"/>
      <c r="AF77" s="12" t="str" cm="1">
        <f t="array" ref="AF77">IF(OR(M77:AE77="NO"),"No aceptable","Aceptable")</f>
        <v>Aceptable</v>
      </c>
      <c r="AG77" s="11"/>
      <c r="AH77" s="11"/>
      <c r="AI77" s="11"/>
      <c r="AJ77" s="11"/>
      <c r="AK77" s="11"/>
      <c r="AL77" s="11"/>
      <c r="AM77" s="11"/>
      <c r="AN77" s="11"/>
      <c r="AO77" s="11"/>
      <c r="AP77" s="11"/>
      <c r="AQ77" s="11"/>
      <c r="AR77" s="11"/>
      <c r="AS77" s="11"/>
      <c r="AT77" s="11"/>
      <c r="AU77" s="11"/>
      <c r="AV77" s="11"/>
      <c r="AW77" s="11"/>
      <c r="AX77" s="11"/>
      <c r="AY77" s="11"/>
      <c r="AZ77" s="11"/>
      <c r="BA77" s="11"/>
      <c r="BB77" s="11"/>
      <c r="BC77" s="3" t="str" cm="1">
        <f t="array" ref="BC77">IF(OR(AJ77:BB77="SI"),"Critico","No Critico")</f>
        <v>No Critico</v>
      </c>
    </row>
    <row r="78" spans="1:55" ht="51" hidden="1">
      <c r="A78" s="60">
        <f>Inicial!A78</f>
        <v>76</v>
      </c>
      <c r="B78" s="61" t="str">
        <f>Inicial!B78</f>
        <v>Desposte</v>
      </c>
      <c r="C78" s="61" t="str">
        <f>Inicial!C78</f>
        <v>Operario de producción Línea Pulpa Piernas</v>
      </c>
      <c r="D78" s="62" t="str">
        <f>Inicial!D78</f>
        <v>Extracción de ganso</v>
      </c>
      <c r="E78" s="60" t="str">
        <f>IF(Inicial!L78="SI",Inicial!E78,"N/A")</f>
        <v>N/A</v>
      </c>
      <c r="F78" s="61" t="str">
        <f>IF(Inicial!L78="SI",Inicial!F78,"N/A")</f>
        <v>N/A</v>
      </c>
      <c r="G78" s="61" t="str">
        <f>IF(Inicial!L78="SI",Inicial!G78,"N/A")</f>
        <v>N/A</v>
      </c>
      <c r="H78" s="61" t="str">
        <f>IF(Inicial!L78="SI",Inicial!H78,"N/A")</f>
        <v>N/A</v>
      </c>
      <c r="I78" s="63" t="str">
        <f>IF(Inicial!L78="SI",Inicial!I78,"N/A")</f>
        <v>N/A</v>
      </c>
      <c r="J78" s="11"/>
      <c r="K78" s="11"/>
      <c r="L78" s="11"/>
      <c r="M78" s="11"/>
      <c r="N78" s="11"/>
      <c r="O78" s="11"/>
      <c r="P78" s="11"/>
      <c r="Q78" s="11"/>
      <c r="R78" s="11"/>
      <c r="S78" s="11"/>
      <c r="T78" s="11"/>
      <c r="U78" s="11"/>
      <c r="V78" s="11"/>
      <c r="W78" s="11"/>
      <c r="X78" s="11"/>
      <c r="Y78" s="11"/>
      <c r="Z78" s="11"/>
      <c r="AA78" s="11"/>
      <c r="AB78" s="11"/>
      <c r="AC78" s="11"/>
      <c r="AD78" s="11"/>
      <c r="AE78" s="11"/>
      <c r="AF78" s="12" t="str" cm="1">
        <f t="array" ref="AF78">IF(OR(M78:AE78="NO"),"No aceptable","Aceptable")</f>
        <v>Aceptable</v>
      </c>
      <c r="AG78" s="11"/>
      <c r="AH78" s="11"/>
      <c r="AI78" s="11"/>
      <c r="AJ78" s="11"/>
      <c r="AK78" s="11"/>
      <c r="AL78" s="11"/>
      <c r="AM78" s="11"/>
      <c r="AN78" s="11"/>
      <c r="AO78" s="11"/>
      <c r="AP78" s="11"/>
      <c r="AQ78" s="11"/>
      <c r="AR78" s="11"/>
      <c r="AS78" s="11"/>
      <c r="AT78" s="11"/>
      <c r="AU78" s="11"/>
      <c r="AV78" s="11"/>
      <c r="AW78" s="11"/>
      <c r="AX78" s="11"/>
      <c r="AY78" s="11"/>
      <c r="AZ78" s="11"/>
      <c r="BA78" s="11"/>
      <c r="BB78" s="11"/>
      <c r="BC78" s="3" t="str" cm="1">
        <f t="array" ref="BC78">IF(OR(AJ78:BB78="SI"),"Critico","No Critico")</f>
        <v>No Critico</v>
      </c>
    </row>
    <row r="79" spans="1:55" ht="51">
      <c r="A79" s="60">
        <f>Inicial!A79</f>
        <v>77</v>
      </c>
      <c r="B79" s="61" t="str">
        <f>Inicial!B79</f>
        <v>Desposte</v>
      </c>
      <c r="C79" s="61" t="str">
        <f>Inicial!C79</f>
        <v>Operario de producción Línea Pulpa Piernas</v>
      </c>
      <c r="D79" s="62" t="str">
        <f>Inicial!D79</f>
        <v>Operador desmenbranadora</v>
      </c>
      <c r="E79" s="60" t="str">
        <f>IF(Inicial!L79="SI",Inicial!E79,"N/A")</f>
        <v>Am: 07:00 a 16:00 - PM: 17:15 a 02:45</v>
      </c>
      <c r="F79" s="61" t="str">
        <f>IF(Inicial!L79="SI",Inicial!F79,"N/A")</f>
        <v>0.5</v>
      </c>
      <c r="G79" s="61">
        <f>IF(Inicial!L79="SI",Inicial!G79,"N/A")</f>
        <v>4.5</v>
      </c>
      <c r="H79" s="61">
        <f>IF(Inicial!L79="SI",Inicial!H79,"N/A")</f>
        <v>92</v>
      </c>
      <c r="I79" s="63">
        <f>IF(Inicial!L79="SI",Inicial!I79,"N/A")</f>
        <v>0</v>
      </c>
      <c r="J79" s="11" t="s">
        <v>16</v>
      </c>
      <c r="K79" s="11" t="s">
        <v>346</v>
      </c>
      <c r="L79" s="11" t="s">
        <v>346</v>
      </c>
      <c r="M79" s="11" t="s">
        <v>346</v>
      </c>
      <c r="N79" s="11" t="s">
        <v>346</v>
      </c>
      <c r="O79" s="11" t="s">
        <v>346</v>
      </c>
      <c r="P79" s="11" t="s">
        <v>346</v>
      </c>
      <c r="Q79" s="11" t="s">
        <v>16</v>
      </c>
      <c r="R79" s="11" t="s">
        <v>346</v>
      </c>
      <c r="S79" s="11" t="s">
        <v>346</v>
      </c>
      <c r="T79" s="11" t="s">
        <v>346</v>
      </c>
      <c r="U79" s="11" t="s">
        <v>346</v>
      </c>
      <c r="V79" s="11" t="s">
        <v>346</v>
      </c>
      <c r="W79" s="11" t="s">
        <v>346</v>
      </c>
      <c r="X79" s="11" t="s">
        <v>346</v>
      </c>
      <c r="Y79" s="11" t="s">
        <v>346</v>
      </c>
      <c r="Z79" s="11" t="s">
        <v>346</v>
      </c>
      <c r="AA79" s="11" t="s">
        <v>346</v>
      </c>
      <c r="AB79" s="11" t="s">
        <v>346</v>
      </c>
      <c r="AC79" s="11" t="s">
        <v>346</v>
      </c>
      <c r="AD79" s="11" t="s">
        <v>346</v>
      </c>
      <c r="AE79" s="11" t="s">
        <v>346</v>
      </c>
      <c r="AF79" s="12" t="str" cm="1">
        <f t="array" ref="AF79">IF(OR(M79:AE79="NO"),"No aceptable","Aceptable")</f>
        <v>No aceptable</v>
      </c>
      <c r="AG79" s="11" t="s">
        <v>16</v>
      </c>
      <c r="AH79" s="11" t="s">
        <v>16</v>
      </c>
      <c r="AI79" s="11" t="s">
        <v>16</v>
      </c>
      <c r="AJ79" s="11" t="s">
        <v>16</v>
      </c>
      <c r="AK79" s="11" t="s">
        <v>16</v>
      </c>
      <c r="AL79" s="11" t="s">
        <v>16</v>
      </c>
      <c r="AM79" s="11" t="s">
        <v>16</v>
      </c>
      <c r="AN79" s="11" t="s">
        <v>16</v>
      </c>
      <c r="AO79" s="11" t="s">
        <v>16</v>
      </c>
      <c r="AP79" s="11" t="s">
        <v>16</v>
      </c>
      <c r="AQ79" s="11" t="s">
        <v>16</v>
      </c>
      <c r="AR79" s="11" t="s">
        <v>16</v>
      </c>
      <c r="AS79" s="11" t="s">
        <v>16</v>
      </c>
      <c r="AT79" s="11" t="s">
        <v>16</v>
      </c>
      <c r="AU79" s="11" t="s">
        <v>16</v>
      </c>
      <c r="AV79" s="11" t="s">
        <v>16</v>
      </c>
      <c r="AW79" s="11" t="s">
        <v>16</v>
      </c>
      <c r="AX79" s="11" t="s">
        <v>16</v>
      </c>
      <c r="AY79" s="11" t="s">
        <v>16</v>
      </c>
      <c r="AZ79" s="11" t="s">
        <v>16</v>
      </c>
      <c r="BA79" s="11" t="s">
        <v>16</v>
      </c>
      <c r="BB79" s="11" t="s">
        <v>16</v>
      </c>
      <c r="BC79" s="3" t="str" cm="1">
        <f t="array" ref="BC79">IF(OR(AJ79:BB79="SI"),"Critico","No Critico")</f>
        <v>No Critico</v>
      </c>
    </row>
    <row r="80" spans="1:55" ht="51" hidden="1">
      <c r="A80" s="60">
        <f>Inicial!A80</f>
        <v>78</v>
      </c>
      <c r="B80" s="61" t="str">
        <f>Inicial!B80</f>
        <v>Desposte</v>
      </c>
      <c r="C80" s="61" t="str">
        <f>Inicial!C80</f>
        <v>Operario de producción Línea Pulpa Piernas</v>
      </c>
      <c r="D80" s="62" t="str">
        <f>Inicial!D80</f>
        <v xml:space="preserve">Embalaje </v>
      </c>
      <c r="E80" s="60" t="str">
        <f>IF(Inicial!L80="SI",Inicial!E80,"N/A")</f>
        <v>N/A</v>
      </c>
      <c r="F80" s="61" t="str">
        <f>IF(Inicial!L80="SI",Inicial!F80,"N/A")</f>
        <v>N/A</v>
      </c>
      <c r="G80" s="61" t="str">
        <f>IF(Inicial!L80="SI",Inicial!G80,"N/A")</f>
        <v>N/A</v>
      </c>
      <c r="H80" s="61" t="str">
        <f>IF(Inicial!L80="SI",Inicial!H80,"N/A")</f>
        <v>N/A</v>
      </c>
      <c r="I80" s="63" t="str">
        <f>IF(Inicial!L80="SI",Inicial!I80,"N/A")</f>
        <v>N/A</v>
      </c>
      <c r="J80" s="11"/>
      <c r="K80" s="11"/>
      <c r="L80" s="11"/>
      <c r="M80" s="11"/>
      <c r="N80" s="11"/>
      <c r="O80" s="11"/>
      <c r="P80" s="11"/>
      <c r="Q80" s="11"/>
      <c r="R80" s="11"/>
      <c r="S80" s="11"/>
      <c r="T80" s="11"/>
      <c r="U80" s="11"/>
      <c r="V80" s="11"/>
      <c r="W80" s="11"/>
      <c r="X80" s="11"/>
      <c r="Y80" s="11"/>
      <c r="Z80" s="11"/>
      <c r="AA80" s="11"/>
      <c r="AB80" s="11"/>
      <c r="AC80" s="11"/>
      <c r="AD80" s="11"/>
      <c r="AE80" s="11"/>
      <c r="AF80" s="12" t="str" cm="1">
        <f t="array" ref="AF80">IF(OR(M80:AE80="NO"),"No aceptable","Aceptable")</f>
        <v>Aceptable</v>
      </c>
      <c r="AG80" s="11"/>
      <c r="AH80" s="11"/>
      <c r="AI80" s="11"/>
      <c r="AJ80" s="11"/>
      <c r="AK80" s="11"/>
      <c r="AL80" s="11"/>
      <c r="AM80" s="11"/>
      <c r="AN80" s="11"/>
      <c r="AO80" s="11"/>
      <c r="AP80" s="11"/>
      <c r="AQ80" s="11"/>
      <c r="AR80" s="11"/>
      <c r="AS80" s="11"/>
      <c r="AT80" s="11"/>
      <c r="AU80" s="11"/>
      <c r="AV80" s="11"/>
      <c r="AW80" s="11"/>
      <c r="AX80" s="11"/>
      <c r="AY80" s="11"/>
      <c r="AZ80" s="11"/>
      <c r="BA80" s="11"/>
      <c r="BB80" s="11"/>
      <c r="BC80" s="3" t="str" cm="1">
        <f t="array" ref="BC80">IF(OR(AJ80:BB80="SI"),"Critico","No Critico")</f>
        <v>No Critico</v>
      </c>
    </row>
    <row r="81" spans="1:55" ht="51" hidden="1">
      <c r="A81" s="60">
        <f>Inicial!A81</f>
        <v>79</v>
      </c>
      <c r="B81" s="61" t="str">
        <f>Inicial!B81</f>
        <v>Desposte</v>
      </c>
      <c r="C81" s="61" t="str">
        <f>Inicial!C81</f>
        <v>Operario de producción Línea Pulpa Piernas</v>
      </c>
      <c r="D81" s="62" t="str">
        <f>Inicial!D81</f>
        <v>Prolijado de Cueros</v>
      </c>
      <c r="E81" s="60" t="str">
        <f>IF(Inicial!L81="SI",Inicial!E81,"N/A")</f>
        <v>N/A</v>
      </c>
      <c r="F81" s="61" t="str">
        <f>IF(Inicial!L81="SI",Inicial!F81,"N/A")</f>
        <v>N/A</v>
      </c>
      <c r="G81" s="61" t="str">
        <f>IF(Inicial!L81="SI",Inicial!G81,"N/A")</f>
        <v>N/A</v>
      </c>
      <c r="H81" s="61" t="str">
        <f>IF(Inicial!L81="SI",Inicial!H81,"N/A")</f>
        <v>N/A</v>
      </c>
      <c r="I81" s="63" t="str">
        <f>IF(Inicial!L81="SI",Inicial!I81,"N/A")</f>
        <v>N/A</v>
      </c>
      <c r="J81" s="11"/>
      <c r="K81" s="11"/>
      <c r="L81" s="11"/>
      <c r="M81" s="11"/>
      <c r="N81" s="11"/>
      <c r="O81" s="11"/>
      <c r="P81" s="11"/>
      <c r="Q81" s="11"/>
      <c r="R81" s="11"/>
      <c r="S81" s="11"/>
      <c r="T81" s="11"/>
      <c r="U81" s="11"/>
      <c r="V81" s="11"/>
      <c r="W81" s="11"/>
      <c r="X81" s="11"/>
      <c r="Y81" s="11"/>
      <c r="Z81" s="11"/>
      <c r="AA81" s="11"/>
      <c r="AB81" s="11"/>
      <c r="AC81" s="11"/>
      <c r="AD81" s="11"/>
      <c r="AE81" s="11"/>
      <c r="AF81" s="12" t="str" cm="1">
        <f t="array" ref="AF81">IF(OR(M81:AE81="NO"),"No aceptable","Aceptable")</f>
        <v>Aceptable</v>
      </c>
      <c r="AG81" s="11"/>
      <c r="AH81" s="11"/>
      <c r="AI81" s="11"/>
      <c r="AJ81" s="11"/>
      <c r="AK81" s="11"/>
      <c r="AL81" s="11"/>
      <c r="AM81" s="11"/>
      <c r="AN81" s="11"/>
      <c r="AO81" s="11"/>
      <c r="AP81" s="11"/>
      <c r="AQ81" s="11"/>
      <c r="AR81" s="11"/>
      <c r="AS81" s="11"/>
      <c r="AT81" s="11"/>
      <c r="AU81" s="11"/>
      <c r="AV81" s="11"/>
      <c r="AW81" s="11"/>
      <c r="AX81" s="11"/>
      <c r="AY81" s="11"/>
      <c r="AZ81" s="11"/>
      <c r="BA81" s="11"/>
      <c r="BB81" s="11"/>
      <c r="BC81" s="3" t="str" cm="1">
        <f t="array" ref="BC81">IF(OR(AJ81:BB81="SI"),"Critico","No Critico")</f>
        <v>No Critico</v>
      </c>
    </row>
    <row r="82" spans="1:55" ht="51">
      <c r="A82" s="60">
        <f>Inicial!A82</f>
        <v>80</v>
      </c>
      <c r="B82" s="61" t="str">
        <f>Inicial!B82</f>
        <v>Desposte</v>
      </c>
      <c r="C82" s="61" t="str">
        <f>Inicial!C82</f>
        <v>Operario de producción Línea Pulpa Piernas</v>
      </c>
      <c r="D82" s="62" t="str">
        <f>Inicial!D82</f>
        <v>Operador descueradora</v>
      </c>
      <c r="E82" s="60" t="str">
        <f>IF(Inicial!L82="SI",Inicial!E82,"N/A")</f>
        <v>Am: 07:00 a 16:00 - PM: 17:15 a 02:45</v>
      </c>
      <c r="F82" s="61" t="str">
        <f>IF(Inicial!L82="SI",Inicial!F82,"N/A")</f>
        <v>0.5</v>
      </c>
      <c r="G82" s="61">
        <f>IF(Inicial!L82="SI",Inicial!G82,"N/A")</f>
        <v>4.5</v>
      </c>
      <c r="H82" s="61">
        <f>IF(Inicial!L82="SI",Inicial!H82,"N/A")</f>
        <v>92</v>
      </c>
      <c r="I82" s="63">
        <f>IF(Inicial!L82="SI",Inicial!I82,"N/A")</f>
        <v>0</v>
      </c>
      <c r="J82" s="11" t="s">
        <v>16</v>
      </c>
      <c r="K82" s="11" t="s">
        <v>346</v>
      </c>
      <c r="L82" s="11" t="s">
        <v>346</v>
      </c>
      <c r="M82" s="11" t="s">
        <v>346</v>
      </c>
      <c r="N82" s="11" t="s">
        <v>346</v>
      </c>
      <c r="O82" s="11" t="s">
        <v>346</v>
      </c>
      <c r="P82" s="11" t="s">
        <v>346</v>
      </c>
      <c r="Q82" s="11" t="s">
        <v>16</v>
      </c>
      <c r="R82" s="11" t="s">
        <v>346</v>
      </c>
      <c r="S82" s="11" t="s">
        <v>346</v>
      </c>
      <c r="T82" s="11" t="s">
        <v>346</v>
      </c>
      <c r="U82" s="11" t="s">
        <v>346</v>
      </c>
      <c r="V82" s="11" t="s">
        <v>346</v>
      </c>
      <c r="W82" s="11" t="s">
        <v>346</v>
      </c>
      <c r="X82" s="11" t="s">
        <v>346</v>
      </c>
      <c r="Y82" s="11" t="s">
        <v>346</v>
      </c>
      <c r="Z82" s="11" t="s">
        <v>346</v>
      </c>
      <c r="AA82" s="11" t="s">
        <v>346</v>
      </c>
      <c r="AB82" s="11" t="s">
        <v>346</v>
      </c>
      <c r="AC82" s="11" t="s">
        <v>346</v>
      </c>
      <c r="AD82" s="11" t="s">
        <v>346</v>
      </c>
      <c r="AE82" s="11" t="s">
        <v>346</v>
      </c>
      <c r="AF82" s="12" t="str" cm="1">
        <f t="array" ref="AF82">IF(OR(M82:AE82="NO"),"No aceptable","Aceptable")</f>
        <v>No aceptable</v>
      </c>
      <c r="AG82" s="11" t="s">
        <v>16</v>
      </c>
      <c r="AH82" s="11" t="s">
        <v>16</v>
      </c>
      <c r="AI82" s="11" t="s">
        <v>16</v>
      </c>
      <c r="AJ82" s="11" t="s">
        <v>16</v>
      </c>
      <c r="AK82" s="11" t="s">
        <v>16</v>
      </c>
      <c r="AL82" s="11" t="s">
        <v>16</v>
      </c>
      <c r="AM82" s="11" t="s">
        <v>16</v>
      </c>
      <c r="AN82" s="11" t="s">
        <v>16</v>
      </c>
      <c r="AO82" s="11" t="s">
        <v>16</v>
      </c>
      <c r="AP82" s="11" t="s">
        <v>16</v>
      </c>
      <c r="AQ82" s="11" t="s">
        <v>16</v>
      </c>
      <c r="AR82" s="11" t="s">
        <v>16</v>
      </c>
      <c r="AS82" s="11" t="s">
        <v>16</v>
      </c>
      <c r="AT82" s="11" t="s">
        <v>16</v>
      </c>
      <c r="AU82" s="11" t="s">
        <v>16</v>
      </c>
      <c r="AV82" s="11" t="s">
        <v>16</v>
      </c>
      <c r="AW82" s="11" t="s">
        <v>16</v>
      </c>
      <c r="AX82" s="11" t="s">
        <v>16</v>
      </c>
      <c r="AY82" s="11" t="s">
        <v>16</v>
      </c>
      <c r="AZ82" s="11" t="s">
        <v>16</v>
      </c>
      <c r="BA82" s="11" t="s">
        <v>16</v>
      </c>
      <c r="BB82" s="11" t="s">
        <v>16</v>
      </c>
      <c r="BC82" s="3" t="str" cm="1">
        <f t="array" ref="BC82">IF(OR(AJ82:BB82="SI"),"Critico","No Critico")</f>
        <v>No Critico</v>
      </c>
    </row>
    <row r="83" spans="1:55" ht="51" hidden="1">
      <c r="A83" s="60">
        <f>Inicial!A83</f>
        <v>81</v>
      </c>
      <c r="B83" s="61" t="str">
        <f>Inicial!B83</f>
        <v>Desposte</v>
      </c>
      <c r="C83" s="61" t="str">
        <f>Inicial!C83</f>
        <v>Operario de producción Línea Embolsado</v>
      </c>
      <c r="D83" s="62" t="str">
        <f>Inicial!D83</f>
        <v>Revision de pancetas robot</v>
      </c>
      <c r="E83" s="60" t="str">
        <f>IF(Inicial!L83="SI",Inicial!E83,"N/A")</f>
        <v>N/A</v>
      </c>
      <c r="F83" s="61" t="str">
        <f>IF(Inicial!L83="SI",Inicial!F83,"N/A")</f>
        <v>N/A</v>
      </c>
      <c r="G83" s="61" t="str">
        <f>IF(Inicial!L83="SI",Inicial!G83,"N/A")</f>
        <v>N/A</v>
      </c>
      <c r="H83" s="61" t="str">
        <f>IF(Inicial!L83="SI",Inicial!H83,"N/A")</f>
        <v>N/A</v>
      </c>
      <c r="I83" s="63" t="str">
        <f>IF(Inicial!L83="SI",Inicial!I83,"N/A")</f>
        <v>N/A</v>
      </c>
      <c r="J83" s="11"/>
      <c r="K83" s="11"/>
      <c r="L83" s="11"/>
      <c r="M83" s="11"/>
      <c r="N83" s="11"/>
      <c r="O83" s="11"/>
      <c r="P83" s="11"/>
      <c r="Q83" s="11"/>
      <c r="R83" s="11"/>
      <c r="S83" s="11"/>
      <c r="T83" s="11"/>
      <c r="U83" s="11"/>
      <c r="V83" s="11"/>
      <c r="W83" s="11"/>
      <c r="X83" s="11"/>
      <c r="Y83" s="11"/>
      <c r="Z83" s="11"/>
      <c r="AA83" s="11"/>
      <c r="AB83" s="11"/>
      <c r="AC83" s="11"/>
      <c r="AD83" s="11"/>
      <c r="AE83" s="11"/>
      <c r="AF83" s="12" t="str" cm="1">
        <f t="array" ref="AF83">IF(OR(M83:AE83="NO"),"No aceptable","Aceptable")</f>
        <v>Aceptable</v>
      </c>
      <c r="AG83" s="11"/>
      <c r="AH83" s="11"/>
      <c r="AI83" s="11"/>
      <c r="AJ83" s="11"/>
      <c r="AK83" s="11"/>
      <c r="AL83" s="11"/>
      <c r="AM83" s="11"/>
      <c r="AN83" s="11"/>
      <c r="AO83" s="11"/>
      <c r="AP83" s="11"/>
      <c r="AQ83" s="11"/>
      <c r="AR83" s="11"/>
      <c r="AS83" s="11"/>
      <c r="AT83" s="11"/>
      <c r="AU83" s="11"/>
      <c r="AV83" s="11"/>
      <c r="AW83" s="11"/>
      <c r="AX83" s="11"/>
      <c r="AY83" s="11"/>
      <c r="AZ83" s="11"/>
      <c r="BA83" s="11"/>
      <c r="BB83" s="11"/>
      <c r="BC83" s="3" t="str" cm="1">
        <f t="array" ref="BC83">IF(OR(AJ83:BB83="SI"),"Critico","No Critico")</f>
        <v>No Critico</v>
      </c>
    </row>
    <row r="84" spans="1:55" ht="51" hidden="1">
      <c r="A84" s="60">
        <f>Inicial!A84</f>
        <v>82</v>
      </c>
      <c r="B84" s="61" t="str">
        <f>Inicial!B84</f>
        <v>Desposte</v>
      </c>
      <c r="C84" s="61" t="str">
        <f>Inicial!C84</f>
        <v>Operario de producción Línea Embolsado</v>
      </c>
      <c r="D84" s="62" t="str">
        <f>Inicial!D84</f>
        <v>Operador de robot</v>
      </c>
      <c r="E84" s="60" t="str">
        <f>IF(Inicial!L84="SI",Inicial!E84,"N/A")</f>
        <v>N/A</v>
      </c>
      <c r="F84" s="61" t="str">
        <f>IF(Inicial!L84="SI",Inicial!F84,"N/A")</f>
        <v>N/A</v>
      </c>
      <c r="G84" s="61" t="str">
        <f>IF(Inicial!L84="SI",Inicial!G84,"N/A")</f>
        <v>N/A</v>
      </c>
      <c r="H84" s="61" t="str">
        <f>IF(Inicial!L84="SI",Inicial!H84,"N/A")</f>
        <v>N/A</v>
      </c>
      <c r="I84" s="63" t="str">
        <f>IF(Inicial!L84="SI",Inicial!I84,"N/A")</f>
        <v>N/A</v>
      </c>
      <c r="J84" s="11"/>
      <c r="K84" s="11"/>
      <c r="L84" s="11"/>
      <c r="M84" s="11"/>
      <c r="N84" s="11"/>
      <c r="O84" s="11"/>
      <c r="P84" s="11"/>
      <c r="Q84" s="11"/>
      <c r="R84" s="11"/>
      <c r="S84" s="11"/>
      <c r="T84" s="11"/>
      <c r="U84" s="11"/>
      <c r="V84" s="11"/>
      <c r="W84" s="11"/>
      <c r="X84" s="11"/>
      <c r="Y84" s="11"/>
      <c r="Z84" s="11"/>
      <c r="AA84" s="11"/>
      <c r="AB84" s="11"/>
      <c r="AC84" s="11"/>
      <c r="AD84" s="11"/>
      <c r="AE84" s="11"/>
      <c r="AF84" s="12" t="str" cm="1">
        <f t="array" ref="AF84">IF(OR(M84:AE84="NO"),"No aceptable","Aceptable")</f>
        <v>Aceptable</v>
      </c>
      <c r="AG84" s="11"/>
      <c r="AH84" s="11"/>
      <c r="AI84" s="11"/>
      <c r="AJ84" s="11"/>
      <c r="AK84" s="11"/>
      <c r="AL84" s="11"/>
      <c r="AM84" s="11"/>
      <c r="AN84" s="11"/>
      <c r="AO84" s="11"/>
      <c r="AP84" s="11"/>
      <c r="AQ84" s="11"/>
      <c r="AR84" s="11"/>
      <c r="AS84" s="11"/>
      <c r="AT84" s="11"/>
      <c r="AU84" s="11"/>
      <c r="AV84" s="11"/>
      <c r="AW84" s="11"/>
      <c r="AX84" s="11"/>
      <c r="AY84" s="11"/>
      <c r="AZ84" s="11"/>
      <c r="BA84" s="11"/>
      <c r="BB84" s="11"/>
      <c r="BC84" s="3" t="str" cm="1">
        <f t="array" ref="BC84">IF(OR(AJ84:BB84="SI"),"Critico","No Critico")</f>
        <v>No Critico</v>
      </c>
    </row>
    <row r="85" spans="1:55" ht="51" hidden="1">
      <c r="A85" s="60">
        <f>Inicial!A85</f>
        <v>83</v>
      </c>
      <c r="B85" s="61" t="str">
        <f>Inicial!B85</f>
        <v>Desposte</v>
      </c>
      <c r="C85" s="61" t="str">
        <f>Inicial!C85</f>
        <v>Operario de producción Línea Embolsado</v>
      </c>
      <c r="D85" s="62" t="str">
        <f>Inicial!D85</f>
        <v>Operador de rotativa</v>
      </c>
      <c r="E85" s="60" t="str">
        <f>IF(Inicial!L85="SI",Inicial!E85,"N/A")</f>
        <v>N/A</v>
      </c>
      <c r="F85" s="61" t="str">
        <f>IF(Inicial!L85="SI",Inicial!F85,"N/A")</f>
        <v>N/A</v>
      </c>
      <c r="G85" s="61" t="str">
        <f>IF(Inicial!L85="SI",Inicial!G85,"N/A")</f>
        <v>N/A</v>
      </c>
      <c r="H85" s="61" t="str">
        <f>IF(Inicial!L85="SI",Inicial!H85,"N/A")</f>
        <v>N/A</v>
      </c>
      <c r="I85" s="63" t="str">
        <f>IF(Inicial!L85="SI",Inicial!I85,"N/A")</f>
        <v>N/A</v>
      </c>
      <c r="J85" s="11"/>
      <c r="K85" s="11"/>
      <c r="L85" s="11"/>
      <c r="M85" s="11"/>
      <c r="N85" s="11"/>
      <c r="O85" s="11"/>
      <c r="P85" s="11"/>
      <c r="Q85" s="11"/>
      <c r="R85" s="11"/>
      <c r="S85" s="11"/>
      <c r="T85" s="11"/>
      <c r="U85" s="11"/>
      <c r="V85" s="11"/>
      <c r="W85" s="11"/>
      <c r="X85" s="11"/>
      <c r="Y85" s="11"/>
      <c r="Z85" s="11"/>
      <c r="AA85" s="11"/>
      <c r="AB85" s="11"/>
      <c r="AC85" s="11"/>
      <c r="AD85" s="11"/>
      <c r="AE85" s="11"/>
      <c r="AF85" s="12" t="str" cm="1">
        <f t="array" ref="AF85">IF(OR(M85:AE85="NO"),"No aceptable","Aceptable")</f>
        <v>Aceptable</v>
      </c>
      <c r="AG85" s="11"/>
      <c r="AH85" s="11"/>
      <c r="AI85" s="11"/>
      <c r="AJ85" s="11"/>
      <c r="AK85" s="11"/>
      <c r="AL85" s="11"/>
      <c r="AM85" s="11"/>
      <c r="AN85" s="11"/>
      <c r="AO85" s="11"/>
      <c r="AP85" s="11"/>
      <c r="AQ85" s="11"/>
      <c r="AR85" s="11"/>
      <c r="AS85" s="11"/>
      <c r="AT85" s="11"/>
      <c r="AU85" s="11"/>
      <c r="AV85" s="11"/>
      <c r="AW85" s="11"/>
      <c r="AX85" s="11"/>
      <c r="AY85" s="11"/>
      <c r="AZ85" s="11"/>
      <c r="BA85" s="11"/>
      <c r="BB85" s="11"/>
      <c r="BC85" s="3" t="str" cm="1">
        <f t="array" ref="BC85">IF(OR(AJ85:BB85="SI"),"Critico","No Critico")</f>
        <v>No Critico</v>
      </c>
    </row>
    <row r="86" spans="1:55" ht="51" hidden="1">
      <c r="A86" s="60">
        <f>Inicial!A86</f>
        <v>84</v>
      </c>
      <c r="B86" s="61" t="str">
        <f>Inicial!B86</f>
        <v>Desposte</v>
      </c>
      <c r="C86" s="61" t="str">
        <f>Inicial!C86</f>
        <v>Operario de producción Línea Embolsado</v>
      </c>
      <c r="D86" s="62" t="str">
        <f>Inicial!D86</f>
        <v>Traspaso de productos</v>
      </c>
      <c r="E86" s="60" t="str">
        <f>IF(Inicial!L86="SI",Inicial!E86,"N/A")</f>
        <v>N/A</v>
      </c>
      <c r="F86" s="61" t="str">
        <f>IF(Inicial!L86="SI",Inicial!F86,"N/A")</f>
        <v>N/A</v>
      </c>
      <c r="G86" s="61" t="str">
        <f>IF(Inicial!L86="SI",Inicial!G86,"N/A")</f>
        <v>N/A</v>
      </c>
      <c r="H86" s="61" t="str">
        <f>IF(Inicial!L86="SI",Inicial!H86,"N/A")</f>
        <v>N/A</v>
      </c>
      <c r="I86" s="63" t="str">
        <f>IF(Inicial!L86="SI",Inicial!I86,"N/A")</f>
        <v>N/A</v>
      </c>
      <c r="J86" s="11"/>
      <c r="K86" s="11"/>
      <c r="L86" s="11"/>
      <c r="M86" s="11"/>
      <c r="N86" s="11"/>
      <c r="O86" s="11"/>
      <c r="P86" s="11"/>
      <c r="Q86" s="11"/>
      <c r="R86" s="11"/>
      <c r="S86" s="11"/>
      <c r="T86" s="11"/>
      <c r="U86" s="11"/>
      <c r="V86" s="11"/>
      <c r="W86" s="11"/>
      <c r="X86" s="11"/>
      <c r="Y86" s="11"/>
      <c r="Z86" s="11"/>
      <c r="AA86" s="11"/>
      <c r="AB86" s="11"/>
      <c r="AC86" s="11"/>
      <c r="AD86" s="11"/>
      <c r="AE86" s="11"/>
      <c r="AF86" s="12" t="str" cm="1">
        <f t="array" ref="AF86">IF(OR(M86:AE86="NO"),"No aceptable","Aceptable")</f>
        <v>Aceptable</v>
      </c>
      <c r="AG86" s="11"/>
      <c r="AH86" s="11"/>
      <c r="AI86" s="11"/>
      <c r="AJ86" s="11"/>
      <c r="AK86" s="11"/>
      <c r="AL86" s="11"/>
      <c r="AM86" s="11"/>
      <c r="AN86" s="11"/>
      <c r="AO86" s="11"/>
      <c r="AP86" s="11"/>
      <c r="AQ86" s="11"/>
      <c r="AR86" s="11"/>
      <c r="AS86" s="11"/>
      <c r="AT86" s="11"/>
      <c r="AU86" s="11"/>
      <c r="AV86" s="11"/>
      <c r="AW86" s="11"/>
      <c r="AX86" s="11"/>
      <c r="AY86" s="11"/>
      <c r="AZ86" s="11"/>
      <c r="BA86" s="11"/>
      <c r="BB86" s="11"/>
      <c r="BC86" s="3" t="str" cm="1">
        <f t="array" ref="BC86">IF(OR(AJ86:BB86="SI"),"Critico","No Critico")</f>
        <v>No Critico</v>
      </c>
    </row>
    <row r="87" spans="1:55" ht="51" hidden="1">
      <c r="A87" s="60">
        <f>Inicial!A87</f>
        <v>85</v>
      </c>
      <c r="B87" s="61" t="str">
        <f>Inicial!B87</f>
        <v>Desposte</v>
      </c>
      <c r="C87" s="61" t="str">
        <f>Inicial!C87</f>
        <v>Operario de producción Línea Embolsado</v>
      </c>
      <c r="D87" s="62" t="str">
        <f>Inicial!D87</f>
        <v>Operador Rayos X</v>
      </c>
      <c r="E87" s="60" t="str">
        <f>IF(Inicial!L87="SI",Inicial!E87,"N/A")</f>
        <v>N/A</v>
      </c>
      <c r="F87" s="61" t="str">
        <f>IF(Inicial!L87="SI",Inicial!F87,"N/A")</f>
        <v>N/A</v>
      </c>
      <c r="G87" s="61" t="str">
        <f>IF(Inicial!L87="SI",Inicial!G87,"N/A")</f>
        <v>N/A</v>
      </c>
      <c r="H87" s="61" t="str">
        <f>IF(Inicial!L87="SI",Inicial!H87,"N/A")</f>
        <v>N/A</v>
      </c>
      <c r="I87" s="63" t="str">
        <f>IF(Inicial!L87="SI",Inicial!I87,"N/A")</f>
        <v>N/A</v>
      </c>
      <c r="J87" s="11"/>
      <c r="K87" s="11"/>
      <c r="L87" s="11"/>
      <c r="M87" s="11"/>
      <c r="N87" s="11"/>
      <c r="O87" s="11"/>
      <c r="P87" s="11"/>
      <c r="Q87" s="11"/>
      <c r="R87" s="11"/>
      <c r="S87" s="11"/>
      <c r="T87" s="11"/>
      <c r="U87" s="11"/>
      <c r="V87" s="11"/>
      <c r="W87" s="11"/>
      <c r="X87" s="11"/>
      <c r="Y87" s="11"/>
      <c r="Z87" s="11"/>
      <c r="AA87" s="11"/>
      <c r="AB87" s="11"/>
      <c r="AC87" s="11"/>
      <c r="AD87" s="11"/>
      <c r="AE87" s="11"/>
      <c r="AF87" s="12" t="str" cm="1">
        <f t="array" ref="AF87">IF(OR(M87:AE87="NO"),"No aceptable","Aceptable")</f>
        <v>Aceptable</v>
      </c>
      <c r="AG87" s="11"/>
      <c r="AH87" s="11"/>
      <c r="AI87" s="11"/>
      <c r="AJ87" s="11"/>
      <c r="AK87" s="11"/>
      <c r="AL87" s="11"/>
      <c r="AM87" s="11"/>
      <c r="AN87" s="11"/>
      <c r="AO87" s="11"/>
      <c r="AP87" s="11"/>
      <c r="AQ87" s="11"/>
      <c r="AR87" s="11"/>
      <c r="AS87" s="11"/>
      <c r="AT87" s="11"/>
      <c r="AU87" s="11"/>
      <c r="AV87" s="11"/>
      <c r="AW87" s="11"/>
      <c r="AX87" s="11"/>
      <c r="AY87" s="11"/>
      <c r="AZ87" s="11"/>
      <c r="BA87" s="11"/>
      <c r="BB87" s="11"/>
      <c r="BC87" s="3" t="str" cm="1">
        <f t="array" ref="BC87">IF(OR(AJ87:BB87="SI"),"Critico","No Critico")</f>
        <v>No Critico</v>
      </c>
    </row>
    <row r="88" spans="1:55" ht="51" hidden="1">
      <c r="A88" s="60">
        <f>Inicial!A88</f>
        <v>86</v>
      </c>
      <c r="B88" s="61" t="str">
        <f>Inicial!B88</f>
        <v>Desposte</v>
      </c>
      <c r="C88" s="61" t="str">
        <f>Inicial!C88</f>
        <v>Operario de producción Línea Embolsado</v>
      </c>
      <c r="D88" s="62" t="str">
        <f>Inicial!D88</f>
        <v>Termoformadora</v>
      </c>
      <c r="E88" s="60" t="str">
        <f>IF(Inicial!L88="SI",Inicial!E88,"N/A")</f>
        <v>N/A</v>
      </c>
      <c r="F88" s="61" t="str">
        <f>IF(Inicial!L88="SI",Inicial!F88,"N/A")</f>
        <v>N/A</v>
      </c>
      <c r="G88" s="61" t="str">
        <f>IF(Inicial!L88="SI",Inicial!G88,"N/A")</f>
        <v>N/A</v>
      </c>
      <c r="H88" s="61" t="str">
        <f>IF(Inicial!L88="SI",Inicial!H88,"N/A")</f>
        <v>N/A</v>
      </c>
      <c r="I88" s="63" t="str">
        <f>IF(Inicial!L88="SI",Inicial!I88,"N/A")</f>
        <v>N/A</v>
      </c>
      <c r="J88" s="11"/>
      <c r="K88" s="11"/>
      <c r="L88" s="11"/>
      <c r="M88" s="11"/>
      <c r="N88" s="11"/>
      <c r="O88" s="11"/>
      <c r="P88" s="11"/>
      <c r="Q88" s="11"/>
      <c r="R88" s="11"/>
      <c r="S88" s="11"/>
      <c r="T88" s="11"/>
      <c r="U88" s="11"/>
      <c r="V88" s="11"/>
      <c r="W88" s="11"/>
      <c r="X88" s="11"/>
      <c r="Y88" s="11"/>
      <c r="Z88" s="11"/>
      <c r="AA88" s="11"/>
      <c r="AB88" s="11"/>
      <c r="AC88" s="11"/>
      <c r="AD88" s="11"/>
      <c r="AE88" s="11"/>
      <c r="AF88" s="12" t="str" cm="1">
        <f t="array" ref="AF88">IF(OR(M88:AE88="NO"),"No aceptable","Aceptable")</f>
        <v>Aceptable</v>
      </c>
      <c r="AG88" s="11"/>
      <c r="AH88" s="11"/>
      <c r="AI88" s="11"/>
      <c r="AJ88" s="11"/>
      <c r="AK88" s="11"/>
      <c r="AL88" s="11"/>
      <c r="AM88" s="11"/>
      <c r="AN88" s="11"/>
      <c r="AO88" s="11"/>
      <c r="AP88" s="11"/>
      <c r="AQ88" s="11"/>
      <c r="AR88" s="11"/>
      <c r="AS88" s="11"/>
      <c r="AT88" s="11"/>
      <c r="AU88" s="11"/>
      <c r="AV88" s="11"/>
      <c r="AW88" s="11"/>
      <c r="AX88" s="11"/>
      <c r="AY88" s="11"/>
      <c r="AZ88" s="11"/>
      <c r="BA88" s="11"/>
      <c r="BB88" s="11"/>
      <c r="BC88" s="3" t="str" cm="1">
        <f t="array" ref="BC88">IF(OR(AJ88:BB88="SI"),"Critico","No Critico")</f>
        <v>No Critico</v>
      </c>
    </row>
    <row r="89" spans="1:55" ht="51" hidden="1">
      <c r="A89" s="60">
        <f>Inicial!A89</f>
        <v>87</v>
      </c>
      <c r="B89" s="61" t="str">
        <f>Inicial!B89</f>
        <v>Desposte</v>
      </c>
      <c r="C89" s="61" t="str">
        <f>Inicial!C89</f>
        <v>Operario de producción Línea Embolsado</v>
      </c>
      <c r="D89" s="62" t="str">
        <f>Inicial!D89</f>
        <v>Revision de pancetas termoformadora</v>
      </c>
      <c r="E89" s="60" t="str">
        <f>IF(Inicial!L89="SI",Inicial!E89,"N/A")</f>
        <v>N/A</v>
      </c>
      <c r="F89" s="61" t="str">
        <f>IF(Inicial!L89="SI",Inicial!F89,"N/A")</f>
        <v>N/A</v>
      </c>
      <c r="G89" s="61" t="str">
        <f>IF(Inicial!L89="SI",Inicial!G89,"N/A")</f>
        <v>N/A</v>
      </c>
      <c r="H89" s="61" t="str">
        <f>IF(Inicial!L89="SI",Inicial!H89,"N/A")</f>
        <v>N/A</v>
      </c>
      <c r="I89" s="63" t="str">
        <f>IF(Inicial!L89="SI",Inicial!I89,"N/A")</f>
        <v>N/A</v>
      </c>
      <c r="J89" s="11"/>
      <c r="K89" s="11"/>
      <c r="L89" s="11"/>
      <c r="M89" s="11"/>
      <c r="N89" s="11"/>
      <c r="O89" s="11"/>
      <c r="P89" s="11"/>
      <c r="Q89" s="11"/>
      <c r="R89" s="11"/>
      <c r="S89" s="11"/>
      <c r="T89" s="11"/>
      <c r="U89" s="11"/>
      <c r="V89" s="11"/>
      <c r="W89" s="11"/>
      <c r="X89" s="11"/>
      <c r="Y89" s="11"/>
      <c r="Z89" s="11"/>
      <c r="AA89" s="11"/>
      <c r="AB89" s="11"/>
      <c r="AC89" s="11"/>
      <c r="AD89" s="11"/>
      <c r="AE89" s="11"/>
      <c r="AF89" s="12" t="str" cm="1">
        <f t="array" ref="AF89">IF(OR(M89:AE89="NO"),"No aceptable","Aceptable")</f>
        <v>Aceptable</v>
      </c>
      <c r="AG89" s="11"/>
      <c r="AH89" s="11"/>
      <c r="AI89" s="11"/>
      <c r="AJ89" s="11"/>
      <c r="AK89" s="11"/>
      <c r="AL89" s="11"/>
      <c r="AM89" s="11"/>
      <c r="AN89" s="11"/>
      <c r="AO89" s="11"/>
      <c r="AP89" s="11"/>
      <c r="AQ89" s="11"/>
      <c r="AR89" s="11"/>
      <c r="AS89" s="11"/>
      <c r="AT89" s="11"/>
      <c r="AU89" s="11"/>
      <c r="AV89" s="11"/>
      <c r="AW89" s="11"/>
      <c r="AX89" s="11"/>
      <c r="AY89" s="11"/>
      <c r="AZ89" s="11"/>
      <c r="BA89" s="11"/>
      <c r="BB89" s="11"/>
      <c r="BC89" s="3" t="str" cm="1">
        <f t="array" ref="BC89">IF(OR(AJ89:BB89="SI"),"Critico","No Critico")</f>
        <v>No Critico</v>
      </c>
    </row>
    <row r="90" spans="1:55" ht="51" hidden="1">
      <c r="A90" s="60">
        <f>Inicial!A90</f>
        <v>88</v>
      </c>
      <c r="B90" s="61" t="str">
        <f>Inicial!B90</f>
        <v>Desposte</v>
      </c>
      <c r="C90" s="61" t="str">
        <f>Inicial!C90</f>
        <v>Operario de producción Línea Embolsado</v>
      </c>
      <c r="D90" s="62" t="str">
        <f>Inicial!D90</f>
        <v>Embolsado lomo mm loin</v>
      </c>
      <c r="E90" s="60" t="str">
        <f>IF(Inicial!L90="SI",Inicial!E90,"N/A")</f>
        <v>N/A</v>
      </c>
      <c r="F90" s="61" t="str">
        <f>IF(Inicial!L90="SI",Inicial!F90,"N/A")</f>
        <v>N/A</v>
      </c>
      <c r="G90" s="61" t="str">
        <f>IF(Inicial!L90="SI",Inicial!G90,"N/A")</f>
        <v>N/A</v>
      </c>
      <c r="H90" s="61" t="str">
        <f>IF(Inicial!L90="SI",Inicial!H90,"N/A")</f>
        <v>N/A</v>
      </c>
      <c r="I90" s="63" t="str">
        <f>IF(Inicial!L90="SI",Inicial!I90,"N/A")</f>
        <v>N/A</v>
      </c>
      <c r="J90" s="11"/>
      <c r="K90" s="11"/>
      <c r="L90" s="11"/>
      <c r="M90" s="11"/>
      <c r="N90" s="11"/>
      <c r="O90" s="11"/>
      <c r="P90" s="11"/>
      <c r="Q90" s="11"/>
      <c r="R90" s="11"/>
      <c r="S90" s="11"/>
      <c r="T90" s="11"/>
      <c r="U90" s="11"/>
      <c r="V90" s="11"/>
      <c r="W90" s="11"/>
      <c r="X90" s="11"/>
      <c r="Y90" s="11"/>
      <c r="Z90" s="11"/>
      <c r="AA90" s="11"/>
      <c r="AB90" s="11"/>
      <c r="AC90" s="11"/>
      <c r="AD90" s="11"/>
      <c r="AE90" s="11"/>
      <c r="AF90" s="12" t="str" cm="1">
        <f t="array" ref="AF90">IF(OR(M90:AE90="NO"),"No aceptable","Aceptable")</f>
        <v>Aceptable</v>
      </c>
      <c r="AG90" s="11"/>
      <c r="AH90" s="11"/>
      <c r="AI90" s="11"/>
      <c r="AJ90" s="11"/>
      <c r="AK90" s="11"/>
      <c r="AL90" s="11"/>
      <c r="AM90" s="11"/>
      <c r="AN90" s="11"/>
      <c r="AO90" s="11"/>
      <c r="AP90" s="11"/>
      <c r="AQ90" s="11"/>
      <c r="AR90" s="11"/>
      <c r="AS90" s="11"/>
      <c r="AT90" s="11"/>
      <c r="AU90" s="11"/>
      <c r="AV90" s="11"/>
      <c r="AW90" s="11"/>
      <c r="AX90" s="11"/>
      <c r="AY90" s="11"/>
      <c r="AZ90" s="11"/>
      <c r="BA90" s="11"/>
      <c r="BB90" s="11"/>
      <c r="BC90" s="3" t="str" cm="1">
        <f t="array" ref="BC90">IF(OR(AJ90:BB90="SI"),"Critico","No Critico")</f>
        <v>No Critico</v>
      </c>
    </row>
    <row r="91" spans="1:55" ht="51" hidden="1">
      <c r="A91" s="60">
        <f>Inicial!A91</f>
        <v>89</v>
      </c>
      <c r="B91" s="61" t="str">
        <f>Inicial!B91</f>
        <v>Desposte</v>
      </c>
      <c r="C91" s="61" t="str">
        <f>Inicial!C91</f>
        <v>Operario de producción Línea Embolsado</v>
      </c>
      <c r="D91" s="62" t="str">
        <f>Inicial!D91</f>
        <v>Embolsado  lomo  vetado</v>
      </c>
      <c r="E91" s="60" t="str">
        <f>IF(Inicial!L91="SI",Inicial!E91,"N/A")</f>
        <v>N/A</v>
      </c>
      <c r="F91" s="61" t="str">
        <f>IF(Inicial!L91="SI",Inicial!F91,"N/A")</f>
        <v>N/A</v>
      </c>
      <c r="G91" s="61" t="str">
        <f>IF(Inicial!L91="SI",Inicial!G91,"N/A")</f>
        <v>N/A</v>
      </c>
      <c r="H91" s="61" t="str">
        <f>IF(Inicial!L91="SI",Inicial!H91,"N/A")</f>
        <v>N/A</v>
      </c>
      <c r="I91" s="63" t="str">
        <f>IF(Inicial!L91="SI",Inicial!I91,"N/A")</f>
        <v>N/A</v>
      </c>
      <c r="J91" s="11"/>
      <c r="K91" s="11"/>
      <c r="L91" s="11"/>
      <c r="M91" s="11"/>
      <c r="N91" s="11"/>
      <c r="O91" s="11"/>
      <c r="P91" s="11"/>
      <c r="Q91" s="11"/>
      <c r="R91" s="11"/>
      <c r="S91" s="11"/>
      <c r="T91" s="11"/>
      <c r="U91" s="11"/>
      <c r="V91" s="11"/>
      <c r="W91" s="11"/>
      <c r="X91" s="11"/>
      <c r="Y91" s="11"/>
      <c r="Z91" s="11"/>
      <c r="AA91" s="11"/>
      <c r="AB91" s="11"/>
      <c r="AC91" s="11"/>
      <c r="AD91" s="11"/>
      <c r="AE91" s="11"/>
      <c r="AF91" s="12" t="str" cm="1">
        <f t="array" ref="AF91">IF(OR(M91:AE91="NO"),"No aceptable","Aceptable")</f>
        <v>Aceptable</v>
      </c>
      <c r="AG91" s="11"/>
      <c r="AH91" s="11"/>
      <c r="AI91" s="11"/>
      <c r="AJ91" s="11"/>
      <c r="AK91" s="11"/>
      <c r="AL91" s="11"/>
      <c r="AM91" s="11"/>
      <c r="AN91" s="11"/>
      <c r="AO91" s="11"/>
      <c r="AP91" s="11"/>
      <c r="AQ91" s="11"/>
      <c r="AR91" s="11"/>
      <c r="AS91" s="11"/>
      <c r="AT91" s="11"/>
      <c r="AU91" s="11"/>
      <c r="AV91" s="11"/>
      <c r="AW91" s="11"/>
      <c r="AX91" s="11"/>
      <c r="AY91" s="11"/>
      <c r="AZ91" s="11"/>
      <c r="BA91" s="11"/>
      <c r="BB91" s="11"/>
      <c r="BC91" s="3" t="str" cm="1">
        <f t="array" ref="BC91">IF(OR(AJ91:BB91="SI"),"Critico","No Critico")</f>
        <v>No Critico</v>
      </c>
    </row>
    <row r="92" spans="1:55" ht="51" hidden="1">
      <c r="A92" s="60">
        <f>Inicial!A92</f>
        <v>90</v>
      </c>
      <c r="B92" s="61" t="str">
        <f>Inicial!B92</f>
        <v>Desposte</v>
      </c>
      <c r="C92" s="61" t="str">
        <f>Inicial!C92</f>
        <v>Operario de producción Línea Embolsado</v>
      </c>
      <c r="D92" s="62" t="str">
        <f>Inicial!D92</f>
        <v>Embolsado de pancetas</v>
      </c>
      <c r="E92" s="60" t="str">
        <f>IF(Inicial!L92="SI",Inicial!E92,"N/A")</f>
        <v>N/A</v>
      </c>
      <c r="F92" s="61" t="str">
        <f>IF(Inicial!L92="SI",Inicial!F92,"N/A")</f>
        <v>N/A</v>
      </c>
      <c r="G92" s="61" t="str">
        <f>IF(Inicial!L92="SI",Inicial!G92,"N/A")</f>
        <v>N/A</v>
      </c>
      <c r="H92" s="61" t="str">
        <f>IF(Inicial!L92="SI",Inicial!H92,"N/A")</f>
        <v>N/A</v>
      </c>
      <c r="I92" s="63" t="str">
        <f>IF(Inicial!L92="SI",Inicial!I92,"N/A")</f>
        <v>N/A</v>
      </c>
      <c r="J92" s="11"/>
      <c r="K92" s="11"/>
      <c r="L92" s="11"/>
      <c r="M92" s="11"/>
      <c r="N92" s="11"/>
      <c r="O92" s="11"/>
      <c r="P92" s="11"/>
      <c r="Q92" s="11"/>
      <c r="R92" s="11"/>
      <c r="S92" s="11"/>
      <c r="T92" s="11"/>
      <c r="U92" s="11"/>
      <c r="V92" s="11"/>
      <c r="W92" s="11"/>
      <c r="X92" s="11"/>
      <c r="Y92" s="11"/>
      <c r="Z92" s="11"/>
      <c r="AA92" s="11"/>
      <c r="AB92" s="11"/>
      <c r="AC92" s="11"/>
      <c r="AD92" s="11"/>
      <c r="AE92" s="11"/>
      <c r="AF92" s="12" t="str" cm="1">
        <f t="array" ref="AF92">IF(OR(M92:AE92="NO"),"No aceptable","Aceptable")</f>
        <v>Aceptable</v>
      </c>
      <c r="AG92" s="11"/>
      <c r="AH92" s="11"/>
      <c r="AI92" s="11"/>
      <c r="AJ92" s="11"/>
      <c r="AK92" s="11"/>
      <c r="AL92" s="11"/>
      <c r="AM92" s="11"/>
      <c r="AN92" s="11"/>
      <c r="AO92" s="11"/>
      <c r="AP92" s="11"/>
      <c r="AQ92" s="11"/>
      <c r="AR92" s="11"/>
      <c r="AS92" s="11"/>
      <c r="AT92" s="11"/>
      <c r="AU92" s="11"/>
      <c r="AV92" s="11"/>
      <c r="AW92" s="11"/>
      <c r="AX92" s="11"/>
      <c r="AY92" s="11"/>
      <c r="AZ92" s="11"/>
      <c r="BA92" s="11"/>
      <c r="BB92" s="11"/>
      <c r="BC92" s="3" t="str" cm="1">
        <f t="array" ref="BC92">IF(OR(AJ92:BB92="SI"),"Critico","No Critico")</f>
        <v>No Critico</v>
      </c>
    </row>
    <row r="93" spans="1:55" ht="51" hidden="1">
      <c r="A93" s="60">
        <f>Inicial!A93</f>
        <v>91</v>
      </c>
      <c r="B93" s="61" t="str">
        <f>Inicial!B93</f>
        <v>Desposte</v>
      </c>
      <c r="C93" s="61" t="str">
        <f>Inicial!C93</f>
        <v>Operario de producción Línea Embolsado</v>
      </c>
      <c r="D93" s="62" t="str">
        <f>Inicial!D93</f>
        <v>Embolsado de lomo tecla</v>
      </c>
      <c r="E93" s="60" t="str">
        <f>IF(Inicial!L93="SI",Inicial!E93,"N/A")</f>
        <v>N/A</v>
      </c>
      <c r="F93" s="61" t="str">
        <f>IF(Inicial!L93="SI",Inicial!F93,"N/A")</f>
        <v>N/A</v>
      </c>
      <c r="G93" s="61" t="str">
        <f>IF(Inicial!L93="SI",Inicial!G93,"N/A")</f>
        <v>N/A</v>
      </c>
      <c r="H93" s="61" t="str">
        <f>IF(Inicial!L93="SI",Inicial!H93,"N/A")</f>
        <v>N/A</v>
      </c>
      <c r="I93" s="63" t="str">
        <f>IF(Inicial!L93="SI",Inicial!I93,"N/A")</f>
        <v>N/A</v>
      </c>
      <c r="J93" s="11"/>
      <c r="K93" s="11"/>
      <c r="L93" s="11"/>
      <c r="M93" s="11"/>
      <c r="N93" s="11"/>
      <c r="O93" s="11"/>
      <c r="P93" s="11"/>
      <c r="Q93" s="11"/>
      <c r="R93" s="11"/>
      <c r="S93" s="11"/>
      <c r="T93" s="11"/>
      <c r="U93" s="11"/>
      <c r="V93" s="11"/>
      <c r="W93" s="11"/>
      <c r="X93" s="11"/>
      <c r="Y93" s="11"/>
      <c r="Z93" s="11"/>
      <c r="AA93" s="11"/>
      <c r="AB93" s="11"/>
      <c r="AC93" s="11"/>
      <c r="AD93" s="11"/>
      <c r="AE93" s="11"/>
      <c r="AF93" s="12" t="str" cm="1">
        <f t="array" ref="AF93">IF(OR(M93:AE93="NO"),"No aceptable","Aceptable")</f>
        <v>Aceptable</v>
      </c>
      <c r="AG93" s="11"/>
      <c r="AH93" s="11"/>
      <c r="AI93" s="11"/>
      <c r="AJ93" s="11"/>
      <c r="AK93" s="11"/>
      <c r="AL93" s="11"/>
      <c r="AM93" s="11"/>
      <c r="AN93" s="11"/>
      <c r="AO93" s="11"/>
      <c r="AP93" s="11"/>
      <c r="AQ93" s="11"/>
      <c r="AR93" s="11"/>
      <c r="AS93" s="11"/>
      <c r="AT93" s="11"/>
      <c r="AU93" s="11"/>
      <c r="AV93" s="11"/>
      <c r="AW93" s="11"/>
      <c r="AX93" s="11"/>
      <c r="AY93" s="11"/>
      <c r="AZ93" s="11"/>
      <c r="BA93" s="11"/>
      <c r="BB93" s="11"/>
      <c r="BC93" s="3" t="str" cm="1">
        <f t="array" ref="BC93">IF(OR(AJ93:BB93="SI"),"Critico","No Critico")</f>
        <v>No Critico</v>
      </c>
    </row>
    <row r="94" spans="1:55" ht="51">
      <c r="A94" s="60">
        <f>Inicial!A94</f>
        <v>92</v>
      </c>
      <c r="B94" s="61" t="str">
        <f>Inicial!B94</f>
        <v>Desposte</v>
      </c>
      <c r="C94" s="61" t="str">
        <f>Inicial!C94</f>
        <v>Operario de producción Línea Embolsado</v>
      </c>
      <c r="D94" s="62" t="str">
        <f>Inicial!D94</f>
        <v>Reproceso</v>
      </c>
      <c r="E94" s="60" t="str">
        <f>IF(Inicial!L94="SI",Inicial!E94,"N/A")</f>
        <v>Am: 07:30 a 16:15 - PM: 17:30 a 03:00</v>
      </c>
      <c r="F94" s="61" t="str">
        <f>IF(Inicial!L94="SI",Inicial!F94,"N/A")</f>
        <v>0.5</v>
      </c>
      <c r="G94" s="61">
        <f>IF(Inicial!L94="SI",Inicial!G94,"N/A")</f>
        <v>4.5</v>
      </c>
      <c r="H94" s="61">
        <f>IF(Inicial!L94="SI",Inicial!H94,"N/A")</f>
        <v>0</v>
      </c>
      <c r="I94" s="63">
        <f>IF(Inicial!L94="SI",Inicial!I94,"N/A")</f>
        <v>60</v>
      </c>
      <c r="J94" s="11" t="s">
        <v>16</v>
      </c>
      <c r="K94" s="11" t="s">
        <v>346</v>
      </c>
      <c r="L94" s="11" t="s">
        <v>346</v>
      </c>
      <c r="M94" s="11" t="s">
        <v>346</v>
      </c>
      <c r="N94" s="11" t="s">
        <v>346</v>
      </c>
      <c r="O94" s="11" t="s">
        <v>346</v>
      </c>
      <c r="P94" s="11" t="s">
        <v>346</v>
      </c>
      <c r="Q94" s="11" t="s">
        <v>346</v>
      </c>
      <c r="R94" s="11" t="s">
        <v>346</v>
      </c>
      <c r="S94" s="11" t="s">
        <v>346</v>
      </c>
      <c r="T94" s="11" t="s">
        <v>346</v>
      </c>
      <c r="U94" s="11" t="s">
        <v>346</v>
      </c>
      <c r="V94" s="11" t="s">
        <v>346</v>
      </c>
      <c r="W94" s="11" t="s">
        <v>346</v>
      </c>
      <c r="X94" s="11" t="s">
        <v>346</v>
      </c>
      <c r="Y94" s="11" t="s">
        <v>346</v>
      </c>
      <c r="Z94" s="11" t="s">
        <v>346</v>
      </c>
      <c r="AA94" s="11" t="s">
        <v>346</v>
      </c>
      <c r="AB94" s="11" t="s">
        <v>346</v>
      </c>
      <c r="AC94" s="11" t="s">
        <v>346</v>
      </c>
      <c r="AD94" s="11" t="s">
        <v>346</v>
      </c>
      <c r="AE94" s="11" t="s">
        <v>346</v>
      </c>
      <c r="AF94" s="12" t="str" cm="1">
        <f t="array" ref="AF94">IF(OR(M94:AE94="NO"),"No aceptable","Aceptable")</f>
        <v>Aceptable</v>
      </c>
      <c r="AG94" s="11"/>
      <c r="AH94" s="11"/>
      <c r="AI94" s="11"/>
      <c r="AJ94" s="11"/>
      <c r="AK94" s="11"/>
      <c r="AL94" s="11"/>
      <c r="AM94" s="11"/>
      <c r="AN94" s="11"/>
      <c r="AO94" s="11"/>
      <c r="AP94" s="11"/>
      <c r="AQ94" s="11"/>
      <c r="AR94" s="11"/>
      <c r="AS94" s="11"/>
      <c r="AT94" s="11"/>
      <c r="AU94" s="11"/>
      <c r="AV94" s="11"/>
      <c r="AW94" s="11"/>
      <c r="AX94" s="11"/>
      <c r="AY94" s="11"/>
      <c r="AZ94" s="11"/>
      <c r="BA94" s="11"/>
      <c r="BB94" s="11"/>
      <c r="BC94" s="3" t="str" cm="1">
        <f t="array" ref="BC94">IF(OR(AJ94:BB94="SI"),"Critico","No Critico")</f>
        <v>No Critico</v>
      </c>
    </row>
    <row r="95" spans="1:55" ht="38.25" hidden="1">
      <c r="A95" s="60">
        <f>Inicial!A95</f>
        <v>93</v>
      </c>
      <c r="B95" s="61" t="str">
        <f>Inicial!B95</f>
        <v>Desposte</v>
      </c>
      <c r="C95" s="61" t="str">
        <f>Inicial!C95</f>
        <v>Operario de producción Línea Pancetas</v>
      </c>
      <c r="D95" s="62" t="str">
        <f>Inicial!D95</f>
        <v>Operador de descueradora automatica (ABT)</v>
      </c>
      <c r="E95" s="60" t="str">
        <f>IF(Inicial!L95="SI",Inicial!E95,"N/A")</f>
        <v>N/A</v>
      </c>
      <c r="F95" s="61" t="str">
        <f>IF(Inicial!L95="SI",Inicial!F95,"N/A")</f>
        <v>N/A</v>
      </c>
      <c r="G95" s="61" t="str">
        <f>IF(Inicial!L95="SI",Inicial!G95,"N/A")</f>
        <v>N/A</v>
      </c>
      <c r="H95" s="61" t="str">
        <f>IF(Inicial!L95="SI",Inicial!H95,"N/A")</f>
        <v>N/A</v>
      </c>
      <c r="I95" s="63" t="str">
        <f>IF(Inicial!L95="SI",Inicial!I95,"N/A")</f>
        <v>N/A</v>
      </c>
      <c r="J95" s="11"/>
      <c r="K95" s="11"/>
      <c r="L95" s="11"/>
      <c r="M95" s="11"/>
      <c r="N95" s="11"/>
      <c r="O95" s="11"/>
      <c r="P95" s="11"/>
      <c r="Q95" s="11"/>
      <c r="R95" s="11"/>
      <c r="S95" s="11"/>
      <c r="T95" s="11"/>
      <c r="U95" s="11"/>
      <c r="V95" s="11"/>
      <c r="W95" s="11"/>
      <c r="X95" s="11"/>
      <c r="Y95" s="11"/>
      <c r="Z95" s="11"/>
      <c r="AA95" s="11"/>
      <c r="AB95" s="11"/>
      <c r="AC95" s="11"/>
      <c r="AD95" s="11"/>
      <c r="AE95" s="11"/>
      <c r="AF95" s="12" t="str" cm="1">
        <f t="array" ref="AF95">IF(OR(M95:AE95="NO"),"No aceptable","Aceptable")</f>
        <v>Aceptable</v>
      </c>
      <c r="AG95" s="11"/>
      <c r="AH95" s="11"/>
      <c r="AI95" s="11"/>
      <c r="AJ95" s="11"/>
      <c r="AK95" s="11"/>
      <c r="AL95" s="11"/>
      <c r="AM95" s="11"/>
      <c r="AN95" s="11"/>
      <c r="AO95" s="11"/>
      <c r="AP95" s="11"/>
      <c r="AQ95" s="11"/>
      <c r="AR95" s="11"/>
      <c r="AS95" s="11"/>
      <c r="AT95" s="11"/>
      <c r="AU95" s="11"/>
      <c r="AV95" s="11"/>
      <c r="AW95" s="11"/>
      <c r="AX95" s="11"/>
      <c r="AY95" s="11"/>
      <c r="AZ95" s="11"/>
      <c r="BA95" s="11"/>
      <c r="BB95" s="11"/>
      <c r="BC95" s="3" t="str" cm="1">
        <f t="array" ref="BC95">IF(OR(AJ95:BB95="SI"),"Critico","No Critico")</f>
        <v>No Critico</v>
      </c>
    </row>
    <row r="96" spans="1:55" ht="38.25" hidden="1">
      <c r="A96" s="60">
        <f>Inicial!A96</f>
        <v>94</v>
      </c>
      <c r="B96" s="61" t="str">
        <f>Inicial!B96</f>
        <v>Desposte</v>
      </c>
      <c r="C96" s="61" t="str">
        <f>Inicial!C96</f>
        <v>Operario de producción Línea Pancetas</v>
      </c>
      <c r="D96" s="62" t="str">
        <f>Inicial!D96</f>
        <v>Acomodador de pancetas</v>
      </c>
      <c r="E96" s="60" t="str">
        <f>IF(Inicial!L96="SI",Inicial!E96,"N/A")</f>
        <v>N/A</v>
      </c>
      <c r="F96" s="61" t="str">
        <f>IF(Inicial!L96="SI",Inicial!F96,"N/A")</f>
        <v>N/A</v>
      </c>
      <c r="G96" s="61" t="str">
        <f>IF(Inicial!L96="SI",Inicial!G96,"N/A")</f>
        <v>N/A</v>
      </c>
      <c r="H96" s="61" t="str">
        <f>IF(Inicial!L96="SI",Inicial!H96,"N/A")</f>
        <v>N/A</v>
      </c>
      <c r="I96" s="63" t="str">
        <f>IF(Inicial!L96="SI",Inicial!I96,"N/A")</f>
        <v>N/A</v>
      </c>
      <c r="J96" s="11"/>
      <c r="K96" s="11"/>
      <c r="L96" s="11"/>
      <c r="M96" s="11"/>
      <c r="N96" s="11"/>
      <c r="O96" s="11"/>
      <c r="P96" s="11"/>
      <c r="Q96" s="11"/>
      <c r="R96" s="11"/>
      <c r="S96" s="11"/>
      <c r="T96" s="11"/>
      <c r="U96" s="11"/>
      <c r="V96" s="11"/>
      <c r="W96" s="11"/>
      <c r="X96" s="11"/>
      <c r="Y96" s="11"/>
      <c r="Z96" s="11"/>
      <c r="AA96" s="11"/>
      <c r="AB96" s="11"/>
      <c r="AC96" s="11"/>
      <c r="AD96" s="11"/>
      <c r="AE96" s="11"/>
      <c r="AF96" s="12" t="str" cm="1">
        <f t="array" ref="AF96">IF(OR(M96:AE96="NO"),"No aceptable","Aceptable")</f>
        <v>Aceptable</v>
      </c>
      <c r="AG96" s="11"/>
      <c r="AH96" s="11"/>
      <c r="AI96" s="11"/>
      <c r="AJ96" s="11"/>
      <c r="AK96" s="11"/>
      <c r="AL96" s="11"/>
      <c r="AM96" s="11"/>
      <c r="AN96" s="11"/>
      <c r="AO96" s="11"/>
      <c r="AP96" s="11"/>
      <c r="AQ96" s="11"/>
      <c r="AR96" s="11"/>
      <c r="AS96" s="11"/>
      <c r="AT96" s="11"/>
      <c r="AU96" s="11"/>
      <c r="AV96" s="11"/>
      <c r="AW96" s="11"/>
      <c r="AX96" s="11"/>
      <c r="AY96" s="11"/>
      <c r="AZ96" s="11"/>
      <c r="BA96" s="11"/>
      <c r="BB96" s="11"/>
      <c r="BC96" s="3" t="str" cm="1">
        <f t="array" ref="BC96">IF(OR(AJ96:BB96="SI"),"Critico","No Critico")</f>
        <v>No Critico</v>
      </c>
    </row>
    <row r="97" spans="1:55" ht="38.25" hidden="1">
      <c r="A97" s="60">
        <f>Inicial!A97</f>
        <v>95</v>
      </c>
      <c r="B97" s="61" t="str">
        <f>Inicial!B97</f>
        <v>Desposte</v>
      </c>
      <c r="C97" s="61" t="str">
        <f>Inicial!C97</f>
        <v>Operario de producción Línea Pancetas</v>
      </c>
      <c r="D97" s="62" t="str">
        <f>Inicial!D97</f>
        <v xml:space="preserve">Separación de recortes falda y laterales </v>
      </c>
      <c r="E97" s="60" t="str">
        <f>IF(Inicial!L97="SI",Inicial!E97,"N/A")</f>
        <v>N/A</v>
      </c>
      <c r="F97" s="61" t="str">
        <f>IF(Inicial!L97="SI",Inicial!F97,"N/A")</f>
        <v>N/A</v>
      </c>
      <c r="G97" s="61" t="str">
        <f>IF(Inicial!L97="SI",Inicial!G97,"N/A")</f>
        <v>N/A</v>
      </c>
      <c r="H97" s="61" t="str">
        <f>IF(Inicial!L97="SI",Inicial!H97,"N/A")</f>
        <v>N/A</v>
      </c>
      <c r="I97" s="63" t="str">
        <f>IF(Inicial!L97="SI",Inicial!I97,"N/A")</f>
        <v>N/A</v>
      </c>
      <c r="J97" s="11"/>
      <c r="K97" s="11"/>
      <c r="L97" s="11"/>
      <c r="M97" s="11"/>
      <c r="N97" s="11"/>
      <c r="O97" s="11"/>
      <c r="P97" s="11"/>
      <c r="Q97" s="11"/>
      <c r="R97" s="11"/>
      <c r="S97" s="11"/>
      <c r="T97" s="11"/>
      <c r="U97" s="11"/>
      <c r="V97" s="11"/>
      <c r="W97" s="11"/>
      <c r="X97" s="11"/>
      <c r="Y97" s="11"/>
      <c r="Z97" s="11"/>
      <c r="AA97" s="11"/>
      <c r="AB97" s="11"/>
      <c r="AC97" s="11"/>
      <c r="AD97" s="11"/>
      <c r="AE97" s="11"/>
      <c r="AF97" s="12" t="str" cm="1">
        <f t="array" ref="AF97">IF(OR(M97:AE97="NO"),"No aceptable","Aceptable")</f>
        <v>Aceptable</v>
      </c>
      <c r="AG97" s="11"/>
      <c r="AH97" s="11"/>
      <c r="AI97" s="11"/>
      <c r="AJ97" s="11"/>
      <c r="AK97" s="11"/>
      <c r="AL97" s="11"/>
      <c r="AM97" s="11"/>
      <c r="AN97" s="11"/>
      <c r="AO97" s="11"/>
      <c r="AP97" s="11"/>
      <c r="AQ97" s="11"/>
      <c r="AR97" s="11"/>
      <c r="AS97" s="11"/>
      <c r="AT97" s="11"/>
      <c r="AU97" s="11"/>
      <c r="AV97" s="11"/>
      <c r="AW97" s="11"/>
      <c r="AX97" s="11"/>
      <c r="AY97" s="11"/>
      <c r="AZ97" s="11"/>
      <c r="BA97" s="11"/>
      <c r="BB97" s="11"/>
      <c r="BC97" s="3" t="str" cm="1">
        <f t="array" ref="BC97">IF(OR(AJ97:BB97="SI"),"Critico","No Critico")</f>
        <v>No Critico</v>
      </c>
    </row>
    <row r="98" spans="1:55" ht="38.25" hidden="1">
      <c r="A98" s="60">
        <f>Inicial!A98</f>
        <v>96</v>
      </c>
      <c r="B98" s="61" t="str">
        <f>Inicial!B98</f>
        <v>Desposte</v>
      </c>
      <c r="C98" s="61" t="str">
        <f>Inicial!C98</f>
        <v>Operario de producción Línea Pancetas</v>
      </c>
      <c r="D98" s="62" t="str">
        <f>Inicial!D98</f>
        <v>Prolijado de Cueros</v>
      </c>
      <c r="E98" s="60" t="str">
        <f>IF(Inicial!L98="SI",Inicial!E98,"N/A")</f>
        <v>N/A</v>
      </c>
      <c r="F98" s="61" t="str">
        <f>IF(Inicial!L98="SI",Inicial!F98,"N/A")</f>
        <v>N/A</v>
      </c>
      <c r="G98" s="61" t="str">
        <f>IF(Inicial!L98="SI",Inicial!G98,"N/A")</f>
        <v>N/A</v>
      </c>
      <c r="H98" s="61" t="str">
        <f>IF(Inicial!L98="SI",Inicial!H98,"N/A")</f>
        <v>N/A</v>
      </c>
      <c r="I98" s="63" t="str">
        <f>IF(Inicial!L98="SI",Inicial!I98,"N/A")</f>
        <v>N/A</v>
      </c>
      <c r="J98" s="11"/>
      <c r="K98" s="11"/>
      <c r="L98" s="11"/>
      <c r="M98" s="11"/>
      <c r="N98" s="11"/>
      <c r="O98" s="11"/>
      <c r="P98" s="11"/>
      <c r="Q98" s="11"/>
      <c r="R98" s="11"/>
      <c r="S98" s="11"/>
      <c r="T98" s="11"/>
      <c r="U98" s="11"/>
      <c r="V98" s="11"/>
      <c r="W98" s="11"/>
      <c r="X98" s="11"/>
      <c r="Y98" s="11"/>
      <c r="Z98" s="11"/>
      <c r="AA98" s="11"/>
      <c r="AB98" s="11"/>
      <c r="AC98" s="11"/>
      <c r="AD98" s="11"/>
      <c r="AE98" s="11"/>
      <c r="AF98" s="12" t="str" cm="1">
        <f t="array" ref="AF98">IF(OR(M98:AE98="NO"),"No aceptable","Aceptable")</f>
        <v>Aceptable</v>
      </c>
      <c r="AG98" s="11"/>
      <c r="AH98" s="11"/>
      <c r="AI98" s="11"/>
      <c r="AJ98" s="11"/>
      <c r="AK98" s="11"/>
      <c r="AL98" s="11"/>
      <c r="AM98" s="11"/>
      <c r="AN98" s="11"/>
      <c r="AO98" s="11"/>
      <c r="AP98" s="11"/>
      <c r="AQ98" s="11"/>
      <c r="AR98" s="11"/>
      <c r="AS98" s="11"/>
      <c r="AT98" s="11"/>
      <c r="AU98" s="11"/>
      <c r="AV98" s="11"/>
      <c r="AW98" s="11"/>
      <c r="AX98" s="11"/>
      <c r="AY98" s="11"/>
      <c r="AZ98" s="11"/>
      <c r="BA98" s="11"/>
      <c r="BB98" s="11"/>
      <c r="BC98" s="3" t="str" cm="1">
        <f t="array" ref="BC98">IF(OR(AJ98:BB98="SI"),"Critico","No Critico")</f>
        <v>No Critico</v>
      </c>
    </row>
    <row r="99" spans="1:55" ht="38.25" hidden="1">
      <c r="A99" s="60">
        <f>Inicial!A99</f>
        <v>97</v>
      </c>
      <c r="B99" s="61" t="str">
        <f>Inicial!B99</f>
        <v>Desposte</v>
      </c>
      <c r="C99" s="61" t="str">
        <f>Inicial!C99</f>
        <v>Operario de producción Línea Pancetas</v>
      </c>
      <c r="D99" s="62" t="str">
        <f>Inicial!D99</f>
        <v>Prolijado de tiras de panceta</v>
      </c>
      <c r="E99" s="60" t="str">
        <f>IF(Inicial!L99="SI",Inicial!E99,"N/A")</f>
        <v>N/A</v>
      </c>
      <c r="F99" s="61" t="str">
        <f>IF(Inicial!L99="SI",Inicial!F99,"N/A")</f>
        <v>N/A</v>
      </c>
      <c r="G99" s="61" t="str">
        <f>IF(Inicial!L99="SI",Inicial!G99,"N/A")</f>
        <v>N/A</v>
      </c>
      <c r="H99" s="61" t="str">
        <f>IF(Inicial!L99="SI",Inicial!H99,"N/A")</f>
        <v>N/A</v>
      </c>
      <c r="I99" s="63" t="str">
        <f>IF(Inicial!L99="SI",Inicial!I99,"N/A")</f>
        <v>N/A</v>
      </c>
      <c r="J99" s="11"/>
      <c r="K99" s="11"/>
      <c r="L99" s="11"/>
      <c r="M99" s="11"/>
      <c r="N99" s="11"/>
      <c r="O99" s="11"/>
      <c r="P99" s="11"/>
      <c r="Q99" s="11"/>
      <c r="R99" s="11"/>
      <c r="S99" s="11"/>
      <c r="T99" s="11"/>
      <c r="U99" s="11"/>
      <c r="V99" s="11"/>
      <c r="W99" s="11"/>
      <c r="X99" s="11"/>
      <c r="Y99" s="11"/>
      <c r="Z99" s="11"/>
      <c r="AA99" s="11"/>
      <c r="AB99" s="11"/>
      <c r="AC99" s="11"/>
      <c r="AD99" s="11"/>
      <c r="AE99" s="11"/>
      <c r="AF99" s="12" t="str" cm="1">
        <f t="array" ref="AF99">IF(OR(M99:AE99="NO"),"No aceptable","Aceptable")</f>
        <v>Aceptable</v>
      </c>
      <c r="AG99" s="11"/>
      <c r="AH99" s="11"/>
      <c r="AI99" s="11"/>
      <c r="AJ99" s="11"/>
      <c r="AK99" s="11"/>
      <c r="AL99" s="11"/>
      <c r="AM99" s="11"/>
      <c r="AN99" s="11"/>
      <c r="AO99" s="11"/>
      <c r="AP99" s="11"/>
      <c r="AQ99" s="11"/>
      <c r="AR99" s="11"/>
      <c r="AS99" s="11"/>
      <c r="AT99" s="11"/>
      <c r="AU99" s="11"/>
      <c r="AV99" s="11"/>
      <c r="AW99" s="11"/>
      <c r="AX99" s="11"/>
      <c r="AY99" s="11"/>
      <c r="AZ99" s="11"/>
      <c r="BA99" s="11"/>
      <c r="BB99" s="11"/>
      <c r="BC99" s="3" t="str" cm="1">
        <f t="array" ref="BC99">IF(OR(AJ99:BB99="SI"),"Critico","No Critico")</f>
        <v>No Critico</v>
      </c>
    </row>
    <row r="100" spans="1:55" ht="38.25" hidden="1">
      <c r="A100" s="60">
        <f>Inicial!A100</f>
        <v>98</v>
      </c>
      <c r="B100" s="61" t="str">
        <f>Inicial!B100</f>
        <v>Desposte</v>
      </c>
      <c r="C100" s="61" t="str">
        <f>Inicial!C100</f>
        <v>Operario de producción Línea Pancetas</v>
      </c>
      <c r="D100" s="62" t="str">
        <f>Inicial!D100</f>
        <v>Prolijado de falda</v>
      </c>
      <c r="E100" s="60" t="str">
        <f>IF(Inicial!L100="SI",Inicial!E100,"N/A")</f>
        <v>N/A</v>
      </c>
      <c r="F100" s="61" t="str">
        <f>IF(Inicial!L100="SI",Inicial!F100,"N/A")</f>
        <v>N/A</v>
      </c>
      <c r="G100" s="61" t="str">
        <f>IF(Inicial!L100="SI",Inicial!G100,"N/A")</f>
        <v>N/A</v>
      </c>
      <c r="H100" s="61" t="str">
        <f>IF(Inicial!L100="SI",Inicial!H100,"N/A")</f>
        <v>N/A</v>
      </c>
      <c r="I100" s="63" t="str">
        <f>IF(Inicial!L100="SI",Inicial!I100,"N/A")</f>
        <v>N/A</v>
      </c>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2" t="str" cm="1">
        <f t="array" ref="AF100">IF(OR(M100:AE100="NO"),"No aceptable","Aceptable")</f>
        <v>Aceptable</v>
      </c>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3" t="str" cm="1">
        <f t="array" ref="BC100">IF(OR(AJ100:BB100="SI"),"Critico","No Critico")</f>
        <v>No Critico</v>
      </c>
    </row>
    <row r="101" spans="1:55" ht="38.25">
      <c r="A101" s="60">
        <f>Inicial!A101</f>
        <v>99</v>
      </c>
      <c r="B101" s="61" t="str">
        <f>Inicial!B101</f>
        <v>Desposte</v>
      </c>
      <c r="C101" s="61" t="str">
        <f>Inicial!C101</f>
        <v>Operario de producción Línea Pancetas</v>
      </c>
      <c r="D101" s="62" t="str">
        <f>Inicial!D101</f>
        <v>Acomodador de pancetas salida de ABT</v>
      </c>
      <c r="E101" s="60" t="str">
        <f>IF(Inicial!L101="SI",Inicial!E101,"N/A")</f>
        <v>Am: 07:00 a 16:00 - PM: 17:15 a 02:45</v>
      </c>
      <c r="F101" s="61" t="str">
        <f>IF(Inicial!L101="SI",Inicial!F101,"N/A")</f>
        <v>0.5</v>
      </c>
      <c r="G101" s="61">
        <f>IF(Inicial!L101="SI",Inicial!G101,"N/A")</f>
        <v>4.5</v>
      </c>
      <c r="H101" s="61">
        <f>IF(Inicial!L101="SI",Inicial!H101,"N/A")</f>
        <v>61</v>
      </c>
      <c r="I101" s="63">
        <f>IF(Inicial!L101="SI",Inicial!I101,"N/A")</f>
        <v>0</v>
      </c>
      <c r="J101" s="11" t="s">
        <v>16</v>
      </c>
      <c r="K101" s="11" t="s">
        <v>346</v>
      </c>
      <c r="L101" s="11" t="s">
        <v>346</v>
      </c>
      <c r="M101" s="11" t="s">
        <v>346</v>
      </c>
      <c r="N101" s="11" t="s">
        <v>16</v>
      </c>
      <c r="O101" s="11" t="s">
        <v>346</v>
      </c>
      <c r="P101" s="11" t="s">
        <v>346</v>
      </c>
      <c r="Q101" s="11" t="s">
        <v>16</v>
      </c>
      <c r="R101" s="11" t="s">
        <v>346</v>
      </c>
      <c r="S101" s="11" t="s">
        <v>346</v>
      </c>
      <c r="T101" s="11" t="s">
        <v>346</v>
      </c>
      <c r="U101" s="11" t="s">
        <v>346</v>
      </c>
      <c r="V101" s="11" t="s">
        <v>346</v>
      </c>
      <c r="W101" s="11" t="s">
        <v>346</v>
      </c>
      <c r="X101" s="11" t="s">
        <v>346</v>
      </c>
      <c r="Y101" s="11" t="s">
        <v>346</v>
      </c>
      <c r="Z101" s="11" t="s">
        <v>346</v>
      </c>
      <c r="AA101" s="11" t="s">
        <v>346</v>
      </c>
      <c r="AB101" s="11" t="s">
        <v>346</v>
      </c>
      <c r="AC101" s="11" t="s">
        <v>346</v>
      </c>
      <c r="AD101" s="11" t="s">
        <v>346</v>
      </c>
      <c r="AE101" s="11" t="s">
        <v>346</v>
      </c>
      <c r="AF101" s="12" t="str" cm="1">
        <f t="array" ref="AF101">IF(OR(M101:AE101="NO"),"No aceptable","Aceptable")</f>
        <v>No aceptable</v>
      </c>
      <c r="AG101" s="11" t="s">
        <v>16</v>
      </c>
      <c r="AH101" s="11" t="s">
        <v>16</v>
      </c>
      <c r="AI101" s="11" t="s">
        <v>16</v>
      </c>
      <c r="AJ101" s="11" t="s">
        <v>16</v>
      </c>
      <c r="AK101" s="11" t="s">
        <v>16</v>
      </c>
      <c r="AL101" s="11" t="s">
        <v>16</v>
      </c>
      <c r="AM101" s="11" t="s">
        <v>16</v>
      </c>
      <c r="AN101" s="11" t="s">
        <v>16</v>
      </c>
      <c r="AO101" s="11" t="s">
        <v>16</v>
      </c>
      <c r="AP101" s="11" t="s">
        <v>16</v>
      </c>
      <c r="AQ101" s="11" t="s">
        <v>16</v>
      </c>
      <c r="AR101" s="11" t="s">
        <v>16</v>
      </c>
      <c r="AS101" s="11" t="s">
        <v>16</v>
      </c>
      <c r="AT101" s="11" t="s">
        <v>16</v>
      </c>
      <c r="AU101" s="11" t="s">
        <v>16</v>
      </c>
      <c r="AV101" s="11" t="s">
        <v>16</v>
      </c>
      <c r="AW101" s="11" t="s">
        <v>16</v>
      </c>
      <c r="AX101" s="11" t="s">
        <v>16</v>
      </c>
      <c r="AY101" s="11" t="s">
        <v>16</v>
      </c>
      <c r="AZ101" s="11" t="s">
        <v>16</v>
      </c>
      <c r="BA101" s="11" t="s">
        <v>16</v>
      </c>
      <c r="BB101" s="11" t="s">
        <v>16</v>
      </c>
      <c r="BC101" s="3" t="str" cm="1">
        <f t="array" ref="BC101">IF(OR(AJ101:BB101="SI"),"Critico","No Critico")</f>
        <v>No Critico</v>
      </c>
    </row>
    <row r="102" spans="1:55" ht="38.25" hidden="1">
      <c r="A102" s="60">
        <f>Inicial!A102</f>
        <v>100</v>
      </c>
      <c r="B102" s="61" t="str">
        <f>Inicial!B102</f>
        <v>Desposte</v>
      </c>
      <c r="C102" s="61" t="str">
        <f>Inicial!C102</f>
        <v>Operario de producción Línea Pancetas</v>
      </c>
      <c r="D102" s="62" t="str">
        <f>Inicial!D102</f>
        <v>Biselado</v>
      </c>
      <c r="E102" s="60" t="str">
        <f>IF(Inicial!L102="SI",Inicial!E102,"N/A")</f>
        <v>N/A</v>
      </c>
      <c r="F102" s="61" t="str">
        <f>IF(Inicial!L102="SI",Inicial!F102,"N/A")</f>
        <v>N/A</v>
      </c>
      <c r="G102" s="61" t="str">
        <f>IF(Inicial!L102="SI",Inicial!G102,"N/A")</f>
        <v>N/A</v>
      </c>
      <c r="H102" s="61" t="str">
        <f>IF(Inicial!L102="SI",Inicial!H102,"N/A")</f>
        <v>N/A</v>
      </c>
      <c r="I102" s="63" t="str">
        <f>IF(Inicial!L102="SI",Inicial!I102,"N/A")</f>
        <v>N/A</v>
      </c>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2" t="str" cm="1">
        <f t="array" ref="AF102">IF(OR(M102:AE102="NO"),"No aceptable","Aceptable")</f>
        <v>Aceptable</v>
      </c>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3" t="str" cm="1">
        <f t="array" ref="BC102">IF(OR(AJ102:BB102="SI"),"Critico","No Critico")</f>
        <v>No Critico</v>
      </c>
    </row>
    <row r="103" spans="1:55" ht="38.25" hidden="1">
      <c r="A103" s="60">
        <f>Inicial!A103</f>
        <v>101</v>
      </c>
      <c r="B103" s="61" t="str">
        <f>Inicial!B103</f>
        <v>Desposte</v>
      </c>
      <c r="C103" s="61" t="str">
        <f>Inicial!C103</f>
        <v>Operario de producción Línea Pancetas</v>
      </c>
      <c r="D103" s="62" t="str">
        <f>Inicial!D103</f>
        <v>Prolijado de panceta / pecho</v>
      </c>
      <c r="E103" s="60" t="str">
        <f>IF(Inicial!L103="SI",Inicial!E103,"N/A")</f>
        <v>N/A</v>
      </c>
      <c r="F103" s="61" t="str">
        <f>IF(Inicial!L103="SI",Inicial!F103,"N/A")</f>
        <v>N/A</v>
      </c>
      <c r="G103" s="61" t="str">
        <f>IF(Inicial!L103="SI",Inicial!G103,"N/A")</f>
        <v>N/A</v>
      </c>
      <c r="H103" s="61" t="str">
        <f>IF(Inicial!L103="SI",Inicial!H103,"N/A")</f>
        <v>N/A</v>
      </c>
      <c r="I103" s="63" t="str">
        <f>IF(Inicial!L103="SI",Inicial!I103,"N/A")</f>
        <v>N/A</v>
      </c>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2" t="str" cm="1">
        <f t="array" ref="AF103">IF(OR(M103:AE103="NO"),"No aceptable","Aceptable")</f>
        <v>Aceptable</v>
      </c>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3" t="str" cm="1">
        <f t="array" ref="BC103">IF(OR(AJ103:BB103="SI"),"Critico","No Critico")</f>
        <v>No Critico</v>
      </c>
    </row>
    <row r="104" spans="1:55" ht="38.25" hidden="1">
      <c r="A104" s="60">
        <f>Inicial!A104</f>
        <v>102</v>
      </c>
      <c r="B104" s="61" t="str">
        <f>Inicial!B104</f>
        <v>Desposte</v>
      </c>
      <c r="C104" s="61" t="str">
        <f>Inicial!C104</f>
        <v>Operario de producción Línea Pancetas</v>
      </c>
      <c r="D104" s="62" t="str">
        <f>Inicial!D104</f>
        <v>Calibrado de panceta</v>
      </c>
      <c r="E104" s="60" t="str">
        <f>IF(Inicial!L104="SI",Inicial!E104,"N/A")</f>
        <v>N/A</v>
      </c>
      <c r="F104" s="61" t="str">
        <f>IF(Inicial!L104="SI",Inicial!F104,"N/A")</f>
        <v>N/A</v>
      </c>
      <c r="G104" s="61" t="str">
        <f>IF(Inicial!L104="SI",Inicial!G104,"N/A")</f>
        <v>N/A</v>
      </c>
      <c r="H104" s="61" t="str">
        <f>IF(Inicial!L104="SI",Inicial!H104,"N/A")</f>
        <v>N/A</v>
      </c>
      <c r="I104" s="63" t="str">
        <f>IF(Inicial!L104="SI",Inicial!I104,"N/A")</f>
        <v>N/A</v>
      </c>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2" t="str" cm="1">
        <f t="array" ref="AF104">IF(OR(M104:AE104="NO"),"No aceptable","Aceptable")</f>
        <v>Aceptable</v>
      </c>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3" t="str" cm="1">
        <f t="array" ref="BC104">IF(OR(AJ104:BB104="SI"),"Critico","No Critico")</f>
        <v>No Critico</v>
      </c>
    </row>
    <row r="105" spans="1:55" ht="38.25" hidden="1">
      <c r="A105" s="60">
        <f>Inicial!A105</f>
        <v>103</v>
      </c>
      <c r="B105" s="61" t="str">
        <f>Inicial!B105</f>
        <v>Desposte</v>
      </c>
      <c r="C105" s="61" t="str">
        <f>Inicial!C105</f>
        <v>Operario de producción Línea Pancetas</v>
      </c>
      <c r="D105" s="62" t="str">
        <f>Inicial!D105</f>
        <v>Revisión final de panceta</v>
      </c>
      <c r="E105" s="60" t="str">
        <f>IF(Inicial!L105="SI",Inicial!E105,"N/A")</f>
        <v>N/A</v>
      </c>
      <c r="F105" s="61" t="str">
        <f>IF(Inicial!L105="SI",Inicial!F105,"N/A")</f>
        <v>N/A</v>
      </c>
      <c r="G105" s="61" t="str">
        <f>IF(Inicial!L105="SI",Inicial!G105,"N/A")</f>
        <v>N/A</v>
      </c>
      <c r="H105" s="61" t="str">
        <f>IF(Inicial!L105="SI",Inicial!H105,"N/A")</f>
        <v>N/A</v>
      </c>
      <c r="I105" s="63" t="str">
        <f>IF(Inicial!L105="SI",Inicial!I105,"N/A")</f>
        <v>N/A</v>
      </c>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2" t="str" cm="1">
        <f t="array" ref="AF105">IF(OR(M105:AE105="NO"),"No aceptable","Aceptable")</f>
        <v>Aceptable</v>
      </c>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3" t="str" cm="1">
        <f t="array" ref="BC105">IF(OR(AJ105:BB105="SI"),"Critico","No Critico")</f>
        <v>No Critico</v>
      </c>
    </row>
    <row r="106" spans="1:55" ht="38.25" hidden="1">
      <c r="A106" s="60">
        <f>Inicial!A106</f>
        <v>104</v>
      </c>
      <c r="B106" s="61" t="str">
        <f>Inicial!B106</f>
        <v>Desposte</v>
      </c>
      <c r="C106" s="61" t="str">
        <f>Inicial!C106</f>
        <v>Operario de producción Línea Pancetas</v>
      </c>
      <c r="D106" s="62" t="str">
        <f>Inicial!D106</f>
        <v>Extracción de tetillas ABT</v>
      </c>
      <c r="E106" s="60" t="str">
        <f>IF(Inicial!L106="SI",Inicial!E106,"N/A")</f>
        <v>N/A</v>
      </c>
      <c r="F106" s="61" t="str">
        <f>IF(Inicial!L106="SI",Inicial!F106,"N/A")</f>
        <v>N/A</v>
      </c>
      <c r="G106" s="61" t="str">
        <f>IF(Inicial!L106="SI",Inicial!G106,"N/A")</f>
        <v>N/A</v>
      </c>
      <c r="H106" s="61" t="str">
        <f>IF(Inicial!L106="SI",Inicial!H106,"N/A")</f>
        <v>N/A</v>
      </c>
      <c r="I106" s="63" t="str">
        <f>IF(Inicial!L106="SI",Inicial!I106,"N/A")</f>
        <v>N/A</v>
      </c>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2" t="str" cm="1">
        <f t="array" ref="AF106">IF(OR(M106:AE106="NO"),"No aceptable","Aceptable")</f>
        <v>Aceptable</v>
      </c>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3" t="str" cm="1">
        <f t="array" ref="BC106">IF(OR(AJ106:BB106="SI"),"Critico","No Critico")</f>
        <v>No Critico</v>
      </c>
    </row>
    <row r="107" spans="1:55" ht="38.25" hidden="1">
      <c r="A107" s="60">
        <f>Inicial!A107</f>
        <v>105</v>
      </c>
      <c r="B107" s="61" t="str">
        <f>Inicial!B107</f>
        <v>Desposte</v>
      </c>
      <c r="C107" s="61" t="str">
        <f>Inicial!C107</f>
        <v>Operario de producción Línea Pancetas</v>
      </c>
      <c r="D107" s="62" t="str">
        <f>Inicial!D107</f>
        <v>Extracción de manteca</v>
      </c>
      <c r="E107" s="60" t="str">
        <f>IF(Inicial!L107="SI",Inicial!E107,"N/A")</f>
        <v>N/A</v>
      </c>
      <c r="F107" s="61" t="str">
        <f>IF(Inicial!L107="SI",Inicial!F107,"N/A")</f>
        <v>N/A</v>
      </c>
      <c r="G107" s="61" t="str">
        <f>IF(Inicial!L107="SI",Inicial!G107,"N/A")</f>
        <v>N/A</v>
      </c>
      <c r="H107" s="61" t="str">
        <f>IF(Inicial!L107="SI",Inicial!H107,"N/A")</f>
        <v>N/A</v>
      </c>
      <c r="I107" s="63" t="str">
        <f>IF(Inicial!L107="SI",Inicial!I107,"N/A")</f>
        <v>N/A</v>
      </c>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2" t="str" cm="1">
        <f t="array" ref="AF107">IF(OR(M107:AE107="NO"),"No aceptable","Aceptable")</f>
        <v>Aceptable</v>
      </c>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3" t="str" cm="1">
        <f t="array" ref="BC107">IF(OR(AJ107:BB107="SI"),"Critico","No Critico")</f>
        <v>No Critico</v>
      </c>
    </row>
    <row r="108" spans="1:55" ht="15" hidden="1">
      <c r="A108" s="60">
        <f>Inicial!A108</f>
        <v>106</v>
      </c>
      <c r="B108" s="61">
        <f>Inicial!B108</f>
        <v>0</v>
      </c>
      <c r="C108" s="61">
        <f>Inicial!C108</f>
        <v>0</v>
      </c>
      <c r="D108" s="62">
        <f>Inicial!D108</f>
        <v>0</v>
      </c>
      <c r="E108" s="60" t="str">
        <f>IF(Inicial!L108="SI",Inicial!E108,"N/A")</f>
        <v>N/A</v>
      </c>
      <c r="F108" s="61" t="str">
        <f>IF(Inicial!L108="SI",Inicial!F108,"N/A")</f>
        <v>N/A</v>
      </c>
      <c r="G108" s="61" t="str">
        <f>IF(Inicial!L108="SI",Inicial!G108,"N/A")</f>
        <v>N/A</v>
      </c>
      <c r="H108" s="61" t="str">
        <f>IF(Inicial!L108="SI",Inicial!H108,"N/A")</f>
        <v>N/A</v>
      </c>
      <c r="I108" s="63" t="str">
        <f>IF(Inicial!L108="SI",Inicial!I108,"N/A")</f>
        <v>N/A</v>
      </c>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2" t="str" cm="1">
        <f t="array" ref="AF108">IF(OR(M108:AE108="NO"),"No aceptable","Aceptable")</f>
        <v>Aceptable</v>
      </c>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3" t="str" cm="1">
        <f t="array" ref="BC108">IF(OR(AJ108:BB108="SI"),"Critico","No Critico")</f>
        <v>No Critico</v>
      </c>
    </row>
    <row r="109" spans="1:55" ht="15" hidden="1">
      <c r="A109" s="60">
        <f>Inicial!A109</f>
        <v>107</v>
      </c>
      <c r="B109" s="61">
        <f>Inicial!B109</f>
        <v>0</v>
      </c>
      <c r="C109" s="61">
        <f>Inicial!C109</f>
        <v>0</v>
      </c>
      <c r="D109" s="62">
        <f>Inicial!D109</f>
        <v>0</v>
      </c>
      <c r="E109" s="60" t="str">
        <f>IF(Inicial!L109="SI",Inicial!E109,"N/A")</f>
        <v>N/A</v>
      </c>
      <c r="F109" s="61" t="str">
        <f>IF(Inicial!L109="SI",Inicial!F109,"N/A")</f>
        <v>N/A</v>
      </c>
      <c r="G109" s="61" t="str">
        <f>IF(Inicial!L109="SI",Inicial!G109,"N/A")</f>
        <v>N/A</v>
      </c>
      <c r="H109" s="61" t="str">
        <f>IF(Inicial!L109="SI",Inicial!H109,"N/A")</f>
        <v>N/A</v>
      </c>
      <c r="I109" s="63" t="str">
        <f>IF(Inicial!L109="SI",Inicial!I109,"N/A")</f>
        <v>N/A</v>
      </c>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2" t="str" cm="1">
        <f t="array" ref="AF109">IF(OR(M109:AE109="NO"),"No aceptable","Aceptable")</f>
        <v>Aceptable</v>
      </c>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3" t="str" cm="1">
        <f t="array" ref="BC109">IF(OR(AJ109:BB109="SI"),"Critico","No Critico")</f>
        <v>No Critico</v>
      </c>
    </row>
    <row r="110" spans="1:55" ht="15" hidden="1">
      <c r="A110" s="60">
        <f>Inicial!A110</f>
        <v>108</v>
      </c>
      <c r="B110" s="61">
        <f>Inicial!B110</f>
        <v>0</v>
      </c>
      <c r="C110" s="61">
        <f>Inicial!C110</f>
        <v>0</v>
      </c>
      <c r="D110" s="62">
        <f>Inicial!D110</f>
        <v>0</v>
      </c>
      <c r="E110" s="60" t="str">
        <f>IF(Inicial!L110="SI",Inicial!E110,"N/A")</f>
        <v>N/A</v>
      </c>
      <c r="F110" s="61" t="str">
        <f>IF(Inicial!L110="SI",Inicial!F110,"N/A")</f>
        <v>N/A</v>
      </c>
      <c r="G110" s="61" t="str">
        <f>IF(Inicial!L110="SI",Inicial!G110,"N/A")</f>
        <v>N/A</v>
      </c>
      <c r="H110" s="61" t="str">
        <f>IF(Inicial!L110="SI",Inicial!H110,"N/A")</f>
        <v>N/A</v>
      </c>
      <c r="I110" s="63" t="str">
        <f>IF(Inicial!L110="SI",Inicial!I110,"N/A")</f>
        <v>N/A</v>
      </c>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2" t="str" cm="1">
        <f t="array" ref="AF110">IF(OR(M110:AE110="NO"),"No aceptable","Aceptable")</f>
        <v>Aceptable</v>
      </c>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3" t="str" cm="1">
        <f t="array" ref="BC110">IF(OR(AJ110:BB110="SI"),"Critico","No Critico")</f>
        <v>No Critico</v>
      </c>
    </row>
    <row r="111" spans="1:55" ht="15" hidden="1">
      <c r="A111" s="60">
        <f>Inicial!A111</f>
        <v>109</v>
      </c>
      <c r="B111" s="61">
        <f>Inicial!B111</f>
        <v>0</v>
      </c>
      <c r="C111" s="61">
        <f>Inicial!C111</f>
        <v>0</v>
      </c>
      <c r="D111" s="62">
        <f>Inicial!D111</f>
        <v>0</v>
      </c>
      <c r="E111" s="60" t="str">
        <f>IF(Inicial!L111="SI",Inicial!E111,"N/A")</f>
        <v>N/A</v>
      </c>
      <c r="F111" s="61" t="str">
        <f>IF(Inicial!L111="SI",Inicial!F111,"N/A")</f>
        <v>N/A</v>
      </c>
      <c r="G111" s="61" t="str">
        <f>IF(Inicial!L111="SI",Inicial!G111,"N/A")</f>
        <v>N/A</v>
      </c>
      <c r="H111" s="61" t="str">
        <f>IF(Inicial!L111="SI",Inicial!H111,"N/A")</f>
        <v>N/A</v>
      </c>
      <c r="I111" s="63" t="str">
        <f>IF(Inicial!L111="SI",Inicial!I111,"N/A")</f>
        <v>N/A</v>
      </c>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2" t="str" cm="1">
        <f t="array" ref="AF111">IF(OR(M111:AE111="NO"),"No aceptable","Aceptable")</f>
        <v>Aceptable</v>
      </c>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3" t="str" cm="1">
        <f t="array" ref="BC111">IF(OR(AJ111:BB111="SI"),"Critico","No Critico")</f>
        <v>No Critico</v>
      </c>
    </row>
    <row r="112" spans="1:55" ht="15" hidden="1">
      <c r="A112" s="60">
        <f>Inicial!A112</f>
        <v>110</v>
      </c>
      <c r="B112" s="61">
        <f>Inicial!B112</f>
        <v>0</v>
      </c>
      <c r="C112" s="61">
        <f>Inicial!C112</f>
        <v>0</v>
      </c>
      <c r="D112" s="62">
        <f>Inicial!D112</f>
        <v>0</v>
      </c>
      <c r="E112" s="60" t="str">
        <f>IF(Inicial!L112="SI",Inicial!E112,"N/A")</f>
        <v>N/A</v>
      </c>
      <c r="F112" s="61" t="str">
        <f>IF(Inicial!L112="SI",Inicial!F112,"N/A")</f>
        <v>N/A</v>
      </c>
      <c r="G112" s="61" t="str">
        <f>IF(Inicial!L112="SI",Inicial!G112,"N/A")</f>
        <v>N/A</v>
      </c>
      <c r="H112" s="61" t="str">
        <f>IF(Inicial!L112="SI",Inicial!H112,"N/A")</f>
        <v>N/A</v>
      </c>
      <c r="I112" s="63" t="str">
        <f>IF(Inicial!L112="SI",Inicial!I112,"N/A")</f>
        <v>N/A</v>
      </c>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2" t="str" cm="1">
        <f t="array" ref="AF112">IF(OR(M112:AE112="NO"),"No aceptable","Aceptable")</f>
        <v>Aceptable</v>
      </c>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3" t="str" cm="1">
        <f t="array" ref="BC112">IF(OR(AJ112:BB112="SI"),"Critico","No Critico")</f>
        <v>No Critico</v>
      </c>
    </row>
    <row r="113" spans="1:55" ht="15" hidden="1">
      <c r="A113" s="60">
        <f>Inicial!A113</f>
        <v>111</v>
      </c>
      <c r="B113" s="61">
        <f>Inicial!B113</f>
        <v>0</v>
      </c>
      <c r="C113" s="61">
        <f>Inicial!C113</f>
        <v>0</v>
      </c>
      <c r="D113" s="62">
        <f>Inicial!D113</f>
        <v>0</v>
      </c>
      <c r="E113" s="60" t="str">
        <f>IF(Inicial!L113="SI",Inicial!E113,"N/A")</f>
        <v>N/A</v>
      </c>
      <c r="F113" s="61" t="str">
        <f>IF(Inicial!L113="SI",Inicial!F113,"N/A")</f>
        <v>N/A</v>
      </c>
      <c r="G113" s="61" t="str">
        <f>IF(Inicial!L113="SI",Inicial!G113,"N/A")</f>
        <v>N/A</v>
      </c>
      <c r="H113" s="61" t="str">
        <f>IF(Inicial!L113="SI",Inicial!H113,"N/A")</f>
        <v>N/A</v>
      </c>
      <c r="I113" s="63" t="str">
        <f>IF(Inicial!L113="SI",Inicial!I113,"N/A")</f>
        <v>N/A</v>
      </c>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2" t="str" cm="1">
        <f t="array" ref="AF113">IF(OR(M113:AE113="NO"),"No aceptable","Aceptable")</f>
        <v>Aceptable</v>
      </c>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3" t="str" cm="1">
        <f t="array" ref="BC113">IF(OR(AJ113:BB113="SI"),"Critico","No Critico")</f>
        <v>No Critico</v>
      </c>
    </row>
    <row r="114" spans="1:55" ht="15" hidden="1">
      <c r="A114" s="60">
        <f>Inicial!A114</f>
        <v>112</v>
      </c>
      <c r="B114" s="61">
        <f>Inicial!B114</f>
        <v>0</v>
      </c>
      <c r="C114" s="61">
        <f>Inicial!C114</f>
        <v>0</v>
      </c>
      <c r="D114" s="62">
        <f>Inicial!D114</f>
        <v>0</v>
      </c>
      <c r="E114" s="60" t="str">
        <f>IF(Inicial!L114="SI",Inicial!E114,"N/A")</f>
        <v>N/A</v>
      </c>
      <c r="F114" s="61" t="str">
        <f>IF(Inicial!L114="SI",Inicial!F114,"N/A")</f>
        <v>N/A</v>
      </c>
      <c r="G114" s="61" t="str">
        <f>IF(Inicial!L114="SI",Inicial!G114,"N/A")</f>
        <v>N/A</v>
      </c>
      <c r="H114" s="61" t="str">
        <f>IF(Inicial!L114="SI",Inicial!H114,"N/A")</f>
        <v>N/A</v>
      </c>
      <c r="I114" s="63" t="str">
        <f>IF(Inicial!L114="SI",Inicial!I114,"N/A")</f>
        <v>N/A</v>
      </c>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2" t="str" cm="1">
        <f t="array" ref="AF114">IF(OR(M114:AE114="NO"),"No aceptable","Aceptable")</f>
        <v>Aceptable</v>
      </c>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3" t="str" cm="1">
        <f t="array" ref="BC114">IF(OR(AJ114:BB114="SI"),"Critico","No Critico")</f>
        <v>No Critico</v>
      </c>
    </row>
    <row r="115" spans="1:55" ht="15" hidden="1">
      <c r="A115" s="60">
        <f>Inicial!A115</f>
        <v>113</v>
      </c>
      <c r="B115" s="61">
        <f>Inicial!B115</f>
        <v>0</v>
      </c>
      <c r="C115" s="61">
        <f>Inicial!C115</f>
        <v>0</v>
      </c>
      <c r="D115" s="62">
        <f>Inicial!D115</f>
        <v>0</v>
      </c>
      <c r="E115" s="60" t="str">
        <f>IF(Inicial!L115="SI",Inicial!E115,"N/A")</f>
        <v>N/A</v>
      </c>
      <c r="F115" s="61" t="str">
        <f>IF(Inicial!L115="SI",Inicial!F115,"N/A")</f>
        <v>N/A</v>
      </c>
      <c r="G115" s="61" t="str">
        <f>IF(Inicial!L115="SI",Inicial!G115,"N/A")</f>
        <v>N/A</v>
      </c>
      <c r="H115" s="61" t="str">
        <f>IF(Inicial!L115="SI",Inicial!H115,"N/A")</f>
        <v>N/A</v>
      </c>
      <c r="I115" s="63" t="str">
        <f>IF(Inicial!L115="SI",Inicial!I115,"N/A")</f>
        <v>N/A</v>
      </c>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2" t="str" cm="1">
        <f t="array" ref="AF115">IF(OR(M115:AE115="NO"),"No aceptable","Aceptable")</f>
        <v>Aceptable</v>
      </c>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3" t="str" cm="1">
        <f t="array" ref="BC115">IF(OR(AJ115:BB115="SI"),"Critico","No Critico")</f>
        <v>No Critico</v>
      </c>
    </row>
    <row r="116" spans="1:55" ht="15" hidden="1">
      <c r="A116" s="60">
        <f>Inicial!A116</f>
        <v>114</v>
      </c>
      <c r="B116" s="61">
        <f>Inicial!B116</f>
        <v>0</v>
      </c>
      <c r="C116" s="61">
        <f>Inicial!C116</f>
        <v>0</v>
      </c>
      <c r="D116" s="62">
        <f>Inicial!D116</f>
        <v>0</v>
      </c>
      <c r="E116" s="60" t="str">
        <f>IF(Inicial!L116="SI",Inicial!E116,"N/A")</f>
        <v>N/A</v>
      </c>
      <c r="F116" s="61" t="str">
        <f>IF(Inicial!L116="SI",Inicial!F116,"N/A")</f>
        <v>N/A</v>
      </c>
      <c r="G116" s="61" t="str">
        <f>IF(Inicial!L116="SI",Inicial!G116,"N/A")</f>
        <v>N/A</v>
      </c>
      <c r="H116" s="61" t="str">
        <f>IF(Inicial!L116="SI",Inicial!H116,"N/A")</f>
        <v>N/A</v>
      </c>
      <c r="I116" s="63" t="str">
        <f>IF(Inicial!L116="SI",Inicial!I116,"N/A")</f>
        <v>N/A</v>
      </c>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2" t="str" cm="1">
        <f t="array" ref="AF116">IF(OR(M116:AE116="NO"),"No aceptable","Aceptable")</f>
        <v>Aceptable</v>
      </c>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3" t="str" cm="1">
        <f t="array" ref="BC116">IF(OR(AJ116:BB116="SI"),"Critico","No Critico")</f>
        <v>No Critico</v>
      </c>
    </row>
    <row r="117" spans="1:55" ht="15" hidden="1">
      <c r="A117" s="60">
        <f>Inicial!A117</f>
        <v>115</v>
      </c>
      <c r="B117" s="61">
        <f>Inicial!B117</f>
        <v>0</v>
      </c>
      <c r="C117" s="61">
        <f>Inicial!C117</f>
        <v>0</v>
      </c>
      <c r="D117" s="62">
        <f>Inicial!D117</f>
        <v>0</v>
      </c>
      <c r="E117" s="60" t="str">
        <f>IF(Inicial!L117="SI",Inicial!E117,"N/A")</f>
        <v>N/A</v>
      </c>
      <c r="F117" s="61" t="str">
        <f>IF(Inicial!L117="SI",Inicial!F117,"N/A")</f>
        <v>N/A</v>
      </c>
      <c r="G117" s="61" t="str">
        <f>IF(Inicial!L117="SI",Inicial!G117,"N/A")</f>
        <v>N/A</v>
      </c>
      <c r="H117" s="61" t="str">
        <f>IF(Inicial!L117="SI",Inicial!H117,"N/A")</f>
        <v>N/A</v>
      </c>
      <c r="I117" s="63" t="str">
        <f>IF(Inicial!L117="SI",Inicial!I117,"N/A")</f>
        <v>N/A</v>
      </c>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2" t="str" cm="1">
        <f t="array" ref="AF117">IF(OR(M117:AE117="NO"),"No aceptable","Aceptable")</f>
        <v>Aceptable</v>
      </c>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3" t="str" cm="1">
        <f t="array" ref="BC117">IF(OR(AJ117:BB117="SI"),"Critico","No Critico")</f>
        <v>No Critico</v>
      </c>
    </row>
    <row r="118" spans="1:55" ht="15" hidden="1">
      <c r="A118" s="60">
        <f>Inicial!A118</f>
        <v>116</v>
      </c>
      <c r="B118" s="61">
        <f>Inicial!B118</f>
        <v>0</v>
      </c>
      <c r="C118" s="61">
        <f>Inicial!C118</f>
        <v>0</v>
      </c>
      <c r="D118" s="62">
        <f>Inicial!D118</f>
        <v>0</v>
      </c>
      <c r="E118" s="60" t="str">
        <f>IF(Inicial!L118="SI",Inicial!E118,"N/A")</f>
        <v>N/A</v>
      </c>
      <c r="F118" s="61" t="str">
        <f>IF(Inicial!L118="SI",Inicial!F118,"N/A")</f>
        <v>N/A</v>
      </c>
      <c r="G118" s="61" t="str">
        <f>IF(Inicial!L118="SI",Inicial!G118,"N/A")</f>
        <v>N/A</v>
      </c>
      <c r="H118" s="61" t="str">
        <f>IF(Inicial!L118="SI",Inicial!H118,"N/A")</f>
        <v>N/A</v>
      </c>
      <c r="I118" s="63" t="str">
        <f>IF(Inicial!L118="SI",Inicial!I118,"N/A")</f>
        <v>N/A</v>
      </c>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2" t="str" cm="1">
        <f t="array" ref="AF118">IF(OR(M118:AE118="NO"),"No aceptable","Aceptable")</f>
        <v>Aceptable</v>
      </c>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3" t="str" cm="1">
        <f t="array" ref="BC118">IF(OR(AJ118:BB118="SI"),"Critico","No Critico")</f>
        <v>No Critico</v>
      </c>
    </row>
    <row r="119" spans="1:55" ht="15" hidden="1">
      <c r="A119" s="60">
        <f>Inicial!A119</f>
        <v>117</v>
      </c>
      <c r="B119" s="61">
        <f>Inicial!B119</f>
        <v>0</v>
      </c>
      <c r="C119" s="61">
        <f>Inicial!C119</f>
        <v>0</v>
      </c>
      <c r="D119" s="62">
        <f>Inicial!D119</f>
        <v>0</v>
      </c>
      <c r="E119" s="60" t="str">
        <f>IF(Inicial!L119="SI",Inicial!E119,"N/A")</f>
        <v>N/A</v>
      </c>
      <c r="F119" s="61" t="str">
        <f>IF(Inicial!L119="SI",Inicial!F119,"N/A")</f>
        <v>N/A</v>
      </c>
      <c r="G119" s="61" t="str">
        <f>IF(Inicial!L119="SI",Inicial!G119,"N/A")</f>
        <v>N/A</v>
      </c>
      <c r="H119" s="61" t="str">
        <f>IF(Inicial!L119="SI",Inicial!H119,"N/A")</f>
        <v>N/A</v>
      </c>
      <c r="I119" s="63" t="str">
        <f>IF(Inicial!L119="SI",Inicial!I119,"N/A")</f>
        <v>N/A</v>
      </c>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2" t="str" cm="1">
        <f t="array" ref="AF119">IF(OR(M119:AE119="NO"),"No aceptable","Aceptable")</f>
        <v>Aceptable</v>
      </c>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3" t="str" cm="1">
        <f t="array" ref="BC119">IF(OR(AJ119:BB119="SI"),"Critico","No Critico")</f>
        <v>No Critico</v>
      </c>
    </row>
    <row r="120" spans="1:55" ht="15" hidden="1">
      <c r="A120" s="60">
        <f>Inicial!A120</f>
        <v>118</v>
      </c>
      <c r="B120" s="61">
        <f>Inicial!B120</f>
        <v>0</v>
      </c>
      <c r="C120" s="61">
        <f>Inicial!C120</f>
        <v>0</v>
      </c>
      <c r="D120" s="62">
        <f>Inicial!D120</f>
        <v>0</v>
      </c>
      <c r="E120" s="60" t="str">
        <f>IF(Inicial!L120="SI",Inicial!E120,"N/A")</f>
        <v>N/A</v>
      </c>
      <c r="F120" s="61" t="str">
        <f>IF(Inicial!L120="SI",Inicial!F120,"N/A")</f>
        <v>N/A</v>
      </c>
      <c r="G120" s="61" t="str">
        <f>IF(Inicial!L120="SI",Inicial!G120,"N/A")</f>
        <v>N/A</v>
      </c>
      <c r="H120" s="61" t="str">
        <f>IF(Inicial!L120="SI",Inicial!H120,"N/A")</f>
        <v>N/A</v>
      </c>
      <c r="I120" s="63" t="str">
        <f>IF(Inicial!L120="SI",Inicial!I120,"N/A")</f>
        <v>N/A</v>
      </c>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2" t="str" cm="1">
        <f t="array" ref="AF120">IF(OR(M120:AE120="NO"),"No aceptable","Aceptable")</f>
        <v>Aceptable</v>
      </c>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3" t="str" cm="1">
        <f t="array" ref="BC120">IF(OR(AJ120:BB120="SI"),"Critico","No Critico")</f>
        <v>No Critico</v>
      </c>
    </row>
    <row r="121" spans="1:55" ht="15" hidden="1">
      <c r="A121" s="60">
        <f>Inicial!A121</f>
        <v>119</v>
      </c>
      <c r="B121" s="61">
        <f>Inicial!B121</f>
        <v>0</v>
      </c>
      <c r="C121" s="61">
        <f>Inicial!C121</f>
        <v>0</v>
      </c>
      <c r="D121" s="62">
        <f>Inicial!D121</f>
        <v>0</v>
      </c>
      <c r="E121" s="60" t="str">
        <f>IF(Inicial!L121="SI",Inicial!E121,"N/A")</f>
        <v>N/A</v>
      </c>
      <c r="F121" s="61" t="str">
        <f>IF(Inicial!L121="SI",Inicial!F121,"N/A")</f>
        <v>N/A</v>
      </c>
      <c r="G121" s="61" t="str">
        <f>IF(Inicial!L121="SI",Inicial!G121,"N/A")</f>
        <v>N/A</v>
      </c>
      <c r="H121" s="61" t="str">
        <f>IF(Inicial!L121="SI",Inicial!H121,"N/A")</f>
        <v>N/A</v>
      </c>
      <c r="I121" s="63" t="str">
        <f>IF(Inicial!L121="SI",Inicial!I121,"N/A")</f>
        <v>N/A</v>
      </c>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2" t="str" cm="1">
        <f t="array" ref="AF121">IF(OR(M121:AE121="NO"),"No aceptable","Aceptable")</f>
        <v>Aceptable</v>
      </c>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3" t="str" cm="1">
        <f t="array" ref="BC121">IF(OR(AJ121:BB121="SI"),"Critico","No Critico")</f>
        <v>No Critico</v>
      </c>
    </row>
    <row r="122" spans="1:55" ht="15" hidden="1">
      <c r="A122" s="60">
        <f>Inicial!A122</f>
        <v>120</v>
      </c>
      <c r="B122" s="61">
        <f>Inicial!B122</f>
        <v>0</v>
      </c>
      <c r="C122" s="61">
        <f>Inicial!C122</f>
        <v>0</v>
      </c>
      <c r="D122" s="62">
        <f>Inicial!D122</f>
        <v>0</v>
      </c>
      <c r="E122" s="60" t="str">
        <f>IF(Inicial!L122="SI",Inicial!E122,"N/A")</f>
        <v>N/A</v>
      </c>
      <c r="F122" s="61" t="str">
        <f>IF(Inicial!L122="SI",Inicial!F122,"N/A")</f>
        <v>N/A</v>
      </c>
      <c r="G122" s="61" t="str">
        <f>IF(Inicial!L122="SI",Inicial!G122,"N/A")</f>
        <v>N/A</v>
      </c>
      <c r="H122" s="61" t="str">
        <f>IF(Inicial!L122="SI",Inicial!H122,"N/A")</f>
        <v>N/A</v>
      </c>
      <c r="I122" s="63" t="str">
        <f>IF(Inicial!L122="SI",Inicial!I122,"N/A")</f>
        <v>N/A</v>
      </c>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2" t="str" cm="1">
        <f t="array" ref="AF122">IF(OR(M122:AE122="NO"),"No aceptable","Aceptable")</f>
        <v>Aceptable</v>
      </c>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3" t="str" cm="1">
        <f t="array" ref="BC122">IF(OR(AJ122:BB122="SI"),"Critico","No Critico")</f>
        <v>No Critico</v>
      </c>
    </row>
    <row r="123" spans="1:55" ht="15" hidden="1">
      <c r="A123" s="60">
        <f>Inicial!A123</f>
        <v>121</v>
      </c>
      <c r="B123" s="61">
        <f>Inicial!B123</f>
        <v>0</v>
      </c>
      <c r="C123" s="61">
        <f>Inicial!C123</f>
        <v>0</v>
      </c>
      <c r="D123" s="62">
        <f>Inicial!D123</f>
        <v>0</v>
      </c>
      <c r="E123" s="60" t="str">
        <f>IF(Inicial!L123="SI",Inicial!E123,"N/A")</f>
        <v>N/A</v>
      </c>
      <c r="F123" s="61" t="str">
        <f>IF(Inicial!L123="SI",Inicial!F123,"N/A")</f>
        <v>N/A</v>
      </c>
      <c r="G123" s="61" t="str">
        <f>IF(Inicial!L123="SI",Inicial!G123,"N/A")</f>
        <v>N/A</v>
      </c>
      <c r="H123" s="61" t="str">
        <f>IF(Inicial!L123="SI",Inicial!H123,"N/A")</f>
        <v>N/A</v>
      </c>
      <c r="I123" s="63" t="str">
        <f>IF(Inicial!L123="SI",Inicial!I123,"N/A")</f>
        <v>N/A</v>
      </c>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2" t="str" cm="1">
        <f t="array" ref="AF123">IF(OR(M123:AE123="NO"),"No aceptable","Aceptable")</f>
        <v>Aceptable</v>
      </c>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3" t="str" cm="1">
        <f t="array" ref="BC123">IF(OR(AJ123:BB123="SI"),"Critico","No Critico")</f>
        <v>No Critico</v>
      </c>
    </row>
    <row r="124" spans="1:55" ht="15" hidden="1">
      <c r="A124" s="60">
        <f>Inicial!A124</f>
        <v>122</v>
      </c>
      <c r="B124" s="61">
        <f>Inicial!B124</f>
        <v>0</v>
      </c>
      <c r="C124" s="61">
        <f>Inicial!C124</f>
        <v>0</v>
      </c>
      <c r="D124" s="62">
        <f>Inicial!D124</f>
        <v>0</v>
      </c>
      <c r="E124" s="60" t="str">
        <f>IF(Inicial!L124="SI",Inicial!E124,"N/A")</f>
        <v>N/A</v>
      </c>
      <c r="F124" s="61" t="str">
        <f>IF(Inicial!L124="SI",Inicial!F124,"N/A")</f>
        <v>N/A</v>
      </c>
      <c r="G124" s="61" t="str">
        <f>IF(Inicial!L124="SI",Inicial!G124,"N/A")</f>
        <v>N/A</v>
      </c>
      <c r="H124" s="61" t="str">
        <f>IF(Inicial!L124="SI",Inicial!H124,"N/A")</f>
        <v>N/A</v>
      </c>
      <c r="I124" s="63" t="str">
        <f>IF(Inicial!L124="SI",Inicial!I124,"N/A")</f>
        <v>N/A</v>
      </c>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2" t="str" cm="1">
        <f t="array" ref="AF124">IF(OR(M124:AE124="NO"),"No aceptable","Aceptable")</f>
        <v>Aceptable</v>
      </c>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3" t="str" cm="1">
        <f t="array" ref="BC124">IF(OR(AJ124:BB124="SI"),"Critico","No Critico")</f>
        <v>No Critico</v>
      </c>
    </row>
    <row r="125" spans="1:55" ht="15" hidden="1">
      <c r="A125" s="60">
        <f>Inicial!A125</f>
        <v>123</v>
      </c>
      <c r="B125" s="61">
        <f>Inicial!B125</f>
        <v>0</v>
      </c>
      <c r="C125" s="61">
        <f>Inicial!C125</f>
        <v>0</v>
      </c>
      <c r="D125" s="62">
        <f>Inicial!D125</f>
        <v>0</v>
      </c>
      <c r="E125" s="60" t="str">
        <f>IF(Inicial!L125="SI",Inicial!E125,"N/A")</f>
        <v>N/A</v>
      </c>
      <c r="F125" s="61" t="str">
        <f>IF(Inicial!L125="SI",Inicial!F125,"N/A")</f>
        <v>N/A</v>
      </c>
      <c r="G125" s="61" t="str">
        <f>IF(Inicial!L125="SI",Inicial!G125,"N/A")</f>
        <v>N/A</v>
      </c>
      <c r="H125" s="61" t="str">
        <f>IF(Inicial!L125="SI",Inicial!H125,"N/A")</f>
        <v>N/A</v>
      </c>
      <c r="I125" s="63" t="str">
        <f>IF(Inicial!L125="SI",Inicial!I125,"N/A")</f>
        <v>N/A</v>
      </c>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2" t="str" cm="1">
        <f t="array" ref="AF125">IF(OR(M125:AE125="NO"),"No aceptable","Aceptable")</f>
        <v>Aceptable</v>
      </c>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3" t="str" cm="1">
        <f t="array" ref="BC125">IF(OR(AJ125:BB125="SI"),"Critico","No Critico")</f>
        <v>No Critico</v>
      </c>
    </row>
    <row r="126" spans="1:55" ht="15" hidden="1">
      <c r="A126" s="60">
        <f>Inicial!A126</f>
        <v>124</v>
      </c>
      <c r="B126" s="61">
        <f>Inicial!B126</f>
        <v>0</v>
      </c>
      <c r="C126" s="61">
        <f>Inicial!C126</f>
        <v>0</v>
      </c>
      <c r="D126" s="62">
        <f>Inicial!D126</f>
        <v>0</v>
      </c>
      <c r="E126" s="60" t="str">
        <f>IF(Inicial!L126="SI",Inicial!E126,"N/A")</f>
        <v>N/A</v>
      </c>
      <c r="F126" s="61" t="str">
        <f>IF(Inicial!L126="SI",Inicial!F126,"N/A")</f>
        <v>N/A</v>
      </c>
      <c r="G126" s="61" t="str">
        <f>IF(Inicial!L126="SI",Inicial!G126,"N/A")</f>
        <v>N/A</v>
      </c>
      <c r="H126" s="61" t="str">
        <f>IF(Inicial!L126="SI",Inicial!H126,"N/A")</f>
        <v>N/A</v>
      </c>
      <c r="I126" s="63" t="str">
        <f>IF(Inicial!L126="SI",Inicial!I126,"N/A")</f>
        <v>N/A</v>
      </c>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2" t="str" cm="1">
        <f t="array" ref="AF126">IF(OR(M126:AE126="NO"),"No aceptable","Aceptable")</f>
        <v>Aceptable</v>
      </c>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3" t="str" cm="1">
        <f t="array" ref="BC126">IF(OR(AJ126:BB126="SI"),"Critico","No Critico")</f>
        <v>No Critico</v>
      </c>
    </row>
    <row r="127" spans="1:55" ht="15" hidden="1">
      <c r="A127" s="60">
        <f>Inicial!A127</f>
        <v>125</v>
      </c>
      <c r="B127" s="61">
        <f>Inicial!B127</f>
        <v>0</v>
      </c>
      <c r="C127" s="61">
        <f>Inicial!C127</f>
        <v>0</v>
      </c>
      <c r="D127" s="62">
        <f>Inicial!D127</f>
        <v>0</v>
      </c>
      <c r="E127" s="60" t="str">
        <f>IF(Inicial!L127="SI",Inicial!E127,"N/A")</f>
        <v>N/A</v>
      </c>
      <c r="F127" s="61" t="str">
        <f>IF(Inicial!L127="SI",Inicial!F127,"N/A")</f>
        <v>N/A</v>
      </c>
      <c r="G127" s="61" t="str">
        <f>IF(Inicial!L127="SI",Inicial!G127,"N/A")</f>
        <v>N/A</v>
      </c>
      <c r="H127" s="61" t="str">
        <f>IF(Inicial!L127="SI",Inicial!H127,"N/A")</f>
        <v>N/A</v>
      </c>
      <c r="I127" s="63" t="str">
        <f>IF(Inicial!L127="SI",Inicial!I127,"N/A")</f>
        <v>N/A</v>
      </c>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2" t="str" cm="1">
        <f t="array" ref="AF127">IF(OR(M127:AE127="NO"),"No aceptable","Aceptable")</f>
        <v>Aceptable</v>
      </c>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3" t="str" cm="1">
        <f t="array" ref="BC127">IF(OR(AJ127:BB127="SI"),"Critico","No Critico")</f>
        <v>No Critico</v>
      </c>
    </row>
    <row r="128" spans="1:55" ht="15" hidden="1">
      <c r="A128" s="60">
        <f>Inicial!A128</f>
        <v>126</v>
      </c>
      <c r="B128" s="61">
        <f>Inicial!B128</f>
        <v>0</v>
      </c>
      <c r="C128" s="61">
        <f>Inicial!C128</f>
        <v>0</v>
      </c>
      <c r="D128" s="62">
        <f>Inicial!D128</f>
        <v>0</v>
      </c>
      <c r="E128" s="60" t="str">
        <f>IF(Inicial!L128="SI",Inicial!E128,"N/A")</f>
        <v>N/A</v>
      </c>
      <c r="F128" s="61" t="str">
        <f>IF(Inicial!L128="SI",Inicial!F128,"N/A")</f>
        <v>N/A</v>
      </c>
      <c r="G128" s="61" t="str">
        <f>IF(Inicial!L128="SI",Inicial!G128,"N/A")</f>
        <v>N/A</v>
      </c>
      <c r="H128" s="61" t="str">
        <f>IF(Inicial!L128="SI",Inicial!H128,"N/A")</f>
        <v>N/A</v>
      </c>
      <c r="I128" s="63" t="str">
        <f>IF(Inicial!L128="SI",Inicial!I128,"N/A")</f>
        <v>N/A</v>
      </c>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2" t="str" cm="1">
        <f t="array" ref="AF128">IF(OR(M128:AE128="NO"),"No aceptable","Aceptable")</f>
        <v>Aceptable</v>
      </c>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3" t="str" cm="1">
        <f t="array" ref="BC128">IF(OR(AJ128:BB128="SI"),"Critico","No Critico")</f>
        <v>No Critico</v>
      </c>
    </row>
    <row r="129" spans="1:55" ht="15" hidden="1">
      <c r="A129" s="60">
        <f>Inicial!A129</f>
        <v>127</v>
      </c>
      <c r="B129" s="61">
        <f>Inicial!B129</f>
        <v>0</v>
      </c>
      <c r="C129" s="61">
        <f>Inicial!C129</f>
        <v>0</v>
      </c>
      <c r="D129" s="62">
        <f>Inicial!D129</f>
        <v>0</v>
      </c>
      <c r="E129" s="60" t="str">
        <f>IF(Inicial!L129="SI",Inicial!E129,"N/A")</f>
        <v>N/A</v>
      </c>
      <c r="F129" s="61" t="str">
        <f>IF(Inicial!L129="SI",Inicial!F129,"N/A")</f>
        <v>N/A</v>
      </c>
      <c r="G129" s="61" t="str">
        <f>IF(Inicial!L129="SI",Inicial!G129,"N/A")</f>
        <v>N/A</v>
      </c>
      <c r="H129" s="61" t="str">
        <f>IF(Inicial!L129="SI",Inicial!H129,"N/A")</f>
        <v>N/A</v>
      </c>
      <c r="I129" s="63" t="str">
        <f>IF(Inicial!L129="SI",Inicial!I129,"N/A")</f>
        <v>N/A</v>
      </c>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2" t="str" cm="1">
        <f t="array" ref="AF129">IF(OR(M129:AE129="NO"),"No aceptable","Aceptable")</f>
        <v>Aceptable</v>
      </c>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3" t="str" cm="1">
        <f t="array" ref="BC129">IF(OR(AJ129:BB129="SI"),"Critico","No Critico")</f>
        <v>No Critico</v>
      </c>
    </row>
    <row r="130" spans="1:55" ht="15" hidden="1">
      <c r="A130" s="60">
        <f>Inicial!A130</f>
        <v>128</v>
      </c>
      <c r="B130" s="61">
        <f>Inicial!B130</f>
        <v>0</v>
      </c>
      <c r="C130" s="61">
        <f>Inicial!C130</f>
        <v>0</v>
      </c>
      <c r="D130" s="62">
        <f>Inicial!D130</f>
        <v>0</v>
      </c>
      <c r="E130" s="60" t="str">
        <f>IF(Inicial!L130="SI",Inicial!E130,"N/A")</f>
        <v>N/A</v>
      </c>
      <c r="F130" s="61" t="str">
        <f>IF(Inicial!L130="SI",Inicial!F130,"N/A")</f>
        <v>N/A</v>
      </c>
      <c r="G130" s="61" t="str">
        <f>IF(Inicial!L130="SI",Inicial!G130,"N/A")</f>
        <v>N/A</v>
      </c>
      <c r="H130" s="61" t="str">
        <f>IF(Inicial!L130="SI",Inicial!H130,"N/A")</f>
        <v>N/A</v>
      </c>
      <c r="I130" s="63" t="str">
        <f>IF(Inicial!L130="SI",Inicial!I130,"N/A")</f>
        <v>N/A</v>
      </c>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2" t="str" cm="1">
        <f t="array" ref="AF130">IF(OR(M130:AE130="NO"),"No aceptable","Aceptable")</f>
        <v>Aceptable</v>
      </c>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3" t="str" cm="1">
        <f t="array" ref="BC130">IF(OR(AJ130:BB130="SI"),"Critico","No Critico")</f>
        <v>No Critico</v>
      </c>
    </row>
    <row r="131" spans="1:55" ht="15" hidden="1">
      <c r="A131" s="60">
        <f>Inicial!A131</f>
        <v>129</v>
      </c>
      <c r="B131" s="61">
        <f>Inicial!B131</f>
        <v>0</v>
      </c>
      <c r="C131" s="61">
        <f>Inicial!C131</f>
        <v>0</v>
      </c>
      <c r="D131" s="62">
        <f>Inicial!D131</f>
        <v>0</v>
      </c>
      <c r="E131" s="60" t="str">
        <f>IF(Inicial!L131="SI",Inicial!E131,"N/A")</f>
        <v>N/A</v>
      </c>
      <c r="F131" s="61" t="str">
        <f>IF(Inicial!L131="SI",Inicial!F131,"N/A")</f>
        <v>N/A</v>
      </c>
      <c r="G131" s="61" t="str">
        <f>IF(Inicial!L131="SI",Inicial!G131,"N/A")</f>
        <v>N/A</v>
      </c>
      <c r="H131" s="61" t="str">
        <f>IF(Inicial!L131="SI",Inicial!H131,"N/A")</f>
        <v>N/A</v>
      </c>
      <c r="I131" s="63" t="str">
        <f>IF(Inicial!L131="SI",Inicial!I131,"N/A")</f>
        <v>N/A</v>
      </c>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2" t="str" cm="1">
        <f t="array" ref="AF131">IF(OR(M131:AE131="NO"),"No aceptable","Aceptable")</f>
        <v>Aceptable</v>
      </c>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3" t="str" cm="1">
        <f t="array" ref="BC131">IF(OR(AJ131:BB131="SI"),"Critico","No Critico")</f>
        <v>No Critico</v>
      </c>
    </row>
    <row r="132" spans="1:55" ht="15" hidden="1">
      <c r="A132" s="60">
        <f>Inicial!A132</f>
        <v>130</v>
      </c>
      <c r="B132" s="61">
        <f>Inicial!B132</f>
        <v>0</v>
      </c>
      <c r="C132" s="61">
        <f>Inicial!C132</f>
        <v>0</v>
      </c>
      <c r="D132" s="62">
        <f>Inicial!D132</f>
        <v>0</v>
      </c>
      <c r="E132" s="60" t="str">
        <f>IF(Inicial!L132="SI",Inicial!E132,"N/A")</f>
        <v>N/A</v>
      </c>
      <c r="F132" s="61" t="str">
        <f>IF(Inicial!L132="SI",Inicial!F132,"N/A")</f>
        <v>N/A</v>
      </c>
      <c r="G132" s="61" t="str">
        <f>IF(Inicial!L132="SI",Inicial!G132,"N/A")</f>
        <v>N/A</v>
      </c>
      <c r="H132" s="61" t="str">
        <f>IF(Inicial!L132="SI",Inicial!H132,"N/A")</f>
        <v>N/A</v>
      </c>
      <c r="I132" s="63" t="str">
        <f>IF(Inicial!L132="SI",Inicial!I132,"N/A")</f>
        <v>N/A</v>
      </c>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2" t="str" cm="1">
        <f t="array" ref="AF132">IF(OR(M132:AE132="NO"),"No aceptable","Aceptable")</f>
        <v>Aceptable</v>
      </c>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3" t="str" cm="1">
        <f t="array" ref="BC132">IF(OR(AJ132:BB132="SI"),"Critico","No Critico")</f>
        <v>No Critico</v>
      </c>
    </row>
    <row r="133" spans="1:55" ht="15" hidden="1">
      <c r="A133" s="60">
        <f>Inicial!A133</f>
        <v>131</v>
      </c>
      <c r="B133" s="61">
        <f>Inicial!B133</f>
        <v>0</v>
      </c>
      <c r="C133" s="61">
        <f>Inicial!C133</f>
        <v>0</v>
      </c>
      <c r="D133" s="62">
        <f>Inicial!D133</f>
        <v>0</v>
      </c>
      <c r="E133" s="60" t="str">
        <f>IF(Inicial!L133="SI",Inicial!E133,"N/A")</f>
        <v>N/A</v>
      </c>
      <c r="F133" s="61" t="str">
        <f>IF(Inicial!L133="SI",Inicial!F133,"N/A")</f>
        <v>N/A</v>
      </c>
      <c r="G133" s="61" t="str">
        <f>IF(Inicial!L133="SI",Inicial!G133,"N/A")</f>
        <v>N/A</v>
      </c>
      <c r="H133" s="61" t="str">
        <f>IF(Inicial!L133="SI",Inicial!H133,"N/A")</f>
        <v>N/A</v>
      </c>
      <c r="I133" s="63" t="str">
        <f>IF(Inicial!L133="SI",Inicial!I133,"N/A")</f>
        <v>N/A</v>
      </c>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2" t="str" cm="1">
        <f t="array" ref="AF133">IF(OR(M133:AE133="NO"),"No aceptable","Aceptable")</f>
        <v>Aceptable</v>
      </c>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3" t="str" cm="1">
        <f t="array" ref="BC133">IF(OR(AJ133:BB133="SI"),"Critico","No Critico")</f>
        <v>No Critico</v>
      </c>
    </row>
    <row r="134" spans="1:55" ht="15" hidden="1">
      <c r="A134" s="60">
        <f>Inicial!A134</f>
        <v>132</v>
      </c>
      <c r="B134" s="61">
        <f>Inicial!B134</f>
        <v>0</v>
      </c>
      <c r="C134" s="61">
        <f>Inicial!C134</f>
        <v>0</v>
      </c>
      <c r="D134" s="62">
        <f>Inicial!D134</f>
        <v>0</v>
      </c>
      <c r="E134" s="60" t="str">
        <f>IF(Inicial!L134="SI",Inicial!E134,"N/A")</f>
        <v>N/A</v>
      </c>
      <c r="F134" s="61" t="str">
        <f>IF(Inicial!L134="SI",Inicial!F134,"N/A")</f>
        <v>N/A</v>
      </c>
      <c r="G134" s="61" t="str">
        <f>IF(Inicial!L134="SI",Inicial!G134,"N/A")</f>
        <v>N/A</v>
      </c>
      <c r="H134" s="61" t="str">
        <f>IF(Inicial!L134="SI",Inicial!H134,"N/A")</f>
        <v>N/A</v>
      </c>
      <c r="I134" s="63" t="str">
        <f>IF(Inicial!L134="SI",Inicial!I134,"N/A")</f>
        <v>N/A</v>
      </c>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2" t="str" cm="1">
        <f t="array" ref="AF134">IF(OR(M134:AE134="NO"),"No aceptable","Aceptable")</f>
        <v>Aceptable</v>
      </c>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3" t="str" cm="1">
        <f t="array" ref="BC134">IF(OR(AJ134:BB134="SI"),"Critico","No Critico")</f>
        <v>No Critico</v>
      </c>
    </row>
    <row r="135" spans="1:55" ht="15" hidden="1">
      <c r="A135" s="60">
        <f>Inicial!A135</f>
        <v>133</v>
      </c>
      <c r="B135" s="61">
        <f>Inicial!B135</f>
        <v>0</v>
      </c>
      <c r="C135" s="61">
        <f>Inicial!C135</f>
        <v>0</v>
      </c>
      <c r="D135" s="62">
        <f>Inicial!D135</f>
        <v>0</v>
      </c>
      <c r="E135" s="60" t="str">
        <f>IF(Inicial!L135="SI",Inicial!E135,"N/A")</f>
        <v>N/A</v>
      </c>
      <c r="F135" s="61" t="str">
        <f>IF(Inicial!L135="SI",Inicial!F135,"N/A")</f>
        <v>N/A</v>
      </c>
      <c r="G135" s="61" t="str">
        <f>IF(Inicial!L135="SI",Inicial!G135,"N/A")</f>
        <v>N/A</v>
      </c>
      <c r="H135" s="61" t="str">
        <f>IF(Inicial!L135="SI",Inicial!H135,"N/A")</f>
        <v>N/A</v>
      </c>
      <c r="I135" s="63" t="str">
        <f>IF(Inicial!L135="SI",Inicial!I135,"N/A")</f>
        <v>N/A</v>
      </c>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2" t="str" cm="1">
        <f t="array" ref="AF135">IF(OR(M135:AE135="NO"),"No aceptable","Aceptable")</f>
        <v>Aceptable</v>
      </c>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3" t="str" cm="1">
        <f t="array" ref="BC135">IF(OR(AJ135:BB135="SI"),"Critico","No Critico")</f>
        <v>No Critico</v>
      </c>
    </row>
    <row r="136" spans="1:55" ht="15" hidden="1">
      <c r="A136" s="60">
        <f>Inicial!A136</f>
        <v>134</v>
      </c>
      <c r="B136" s="61">
        <f>Inicial!B136</f>
        <v>0</v>
      </c>
      <c r="C136" s="61">
        <f>Inicial!C136</f>
        <v>0</v>
      </c>
      <c r="D136" s="62">
        <f>Inicial!D136</f>
        <v>0</v>
      </c>
      <c r="E136" s="60" t="str">
        <f>IF(Inicial!L136="SI",Inicial!E136,"N/A")</f>
        <v>N/A</v>
      </c>
      <c r="F136" s="61" t="str">
        <f>IF(Inicial!L136="SI",Inicial!F136,"N/A")</f>
        <v>N/A</v>
      </c>
      <c r="G136" s="61" t="str">
        <f>IF(Inicial!L136="SI",Inicial!G136,"N/A")</f>
        <v>N/A</v>
      </c>
      <c r="H136" s="61" t="str">
        <f>IF(Inicial!L136="SI",Inicial!H136,"N/A")</f>
        <v>N/A</v>
      </c>
      <c r="I136" s="63" t="str">
        <f>IF(Inicial!L136="SI",Inicial!I136,"N/A")</f>
        <v>N/A</v>
      </c>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2" t="str" cm="1">
        <f t="array" ref="AF136">IF(OR(M136:AE136="NO"),"No aceptable","Aceptable")</f>
        <v>Aceptable</v>
      </c>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3" t="str" cm="1">
        <f t="array" ref="BC136">IF(OR(AJ136:BB136="SI"),"Critico","No Critico")</f>
        <v>No Critico</v>
      </c>
    </row>
    <row r="137" spans="1:55" ht="15" hidden="1">
      <c r="A137" s="60">
        <f>Inicial!A137</f>
        <v>135</v>
      </c>
      <c r="B137" s="61">
        <f>Inicial!B137</f>
        <v>0</v>
      </c>
      <c r="C137" s="61">
        <f>Inicial!C137</f>
        <v>0</v>
      </c>
      <c r="D137" s="62">
        <f>Inicial!D137</f>
        <v>0</v>
      </c>
      <c r="E137" s="60" t="str">
        <f>IF(Inicial!L137="SI",Inicial!E137,"N/A")</f>
        <v>N/A</v>
      </c>
      <c r="F137" s="61" t="str">
        <f>IF(Inicial!L137="SI",Inicial!F137,"N/A")</f>
        <v>N/A</v>
      </c>
      <c r="G137" s="61" t="str">
        <f>IF(Inicial!L137="SI",Inicial!G137,"N/A")</f>
        <v>N/A</v>
      </c>
      <c r="H137" s="61" t="str">
        <f>IF(Inicial!L137="SI",Inicial!H137,"N/A")</f>
        <v>N/A</v>
      </c>
      <c r="I137" s="63" t="str">
        <f>IF(Inicial!L137="SI",Inicial!I137,"N/A")</f>
        <v>N/A</v>
      </c>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2" t="str" cm="1">
        <f t="array" ref="AF137">IF(OR(M137:AE137="NO"),"No aceptable","Aceptable")</f>
        <v>Aceptable</v>
      </c>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3" t="str" cm="1">
        <f t="array" ref="BC137">IF(OR(AJ137:BB137="SI"),"Critico","No Critico")</f>
        <v>No Critico</v>
      </c>
    </row>
    <row r="138" spans="1:55" ht="15" hidden="1">
      <c r="A138" s="60">
        <f>Inicial!A138</f>
        <v>136</v>
      </c>
      <c r="B138" s="61">
        <f>Inicial!B138</f>
        <v>0</v>
      </c>
      <c r="C138" s="61">
        <f>Inicial!C138</f>
        <v>0</v>
      </c>
      <c r="D138" s="62">
        <f>Inicial!D138</f>
        <v>0</v>
      </c>
      <c r="E138" s="60" t="str">
        <f>IF(Inicial!L138="SI",Inicial!E138,"N/A")</f>
        <v>N/A</v>
      </c>
      <c r="F138" s="61" t="str">
        <f>IF(Inicial!L138="SI",Inicial!F138,"N/A")</f>
        <v>N/A</v>
      </c>
      <c r="G138" s="61" t="str">
        <f>IF(Inicial!L138="SI",Inicial!G138,"N/A")</f>
        <v>N/A</v>
      </c>
      <c r="H138" s="61" t="str">
        <f>IF(Inicial!L138="SI",Inicial!H138,"N/A")</f>
        <v>N/A</v>
      </c>
      <c r="I138" s="63" t="str">
        <f>IF(Inicial!L138="SI",Inicial!I138,"N/A")</f>
        <v>N/A</v>
      </c>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2" t="str" cm="1">
        <f t="array" ref="AF138">IF(OR(M138:AE138="NO"),"No aceptable","Aceptable")</f>
        <v>Aceptable</v>
      </c>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3" t="str" cm="1">
        <f t="array" ref="BC138">IF(OR(AJ138:BB138="SI"),"Critico","No Critico")</f>
        <v>No Critico</v>
      </c>
    </row>
    <row r="139" spans="1:55" ht="15" hidden="1">
      <c r="A139" s="60">
        <f>Inicial!A139</f>
        <v>137</v>
      </c>
      <c r="B139" s="61">
        <f>Inicial!B139</f>
        <v>0</v>
      </c>
      <c r="C139" s="61">
        <f>Inicial!C139</f>
        <v>0</v>
      </c>
      <c r="D139" s="62">
        <f>Inicial!D139</f>
        <v>0</v>
      </c>
      <c r="E139" s="60" t="str">
        <f>IF(Inicial!L139="SI",Inicial!E139,"N/A")</f>
        <v>N/A</v>
      </c>
      <c r="F139" s="61" t="str">
        <f>IF(Inicial!L139="SI",Inicial!F139,"N/A")</f>
        <v>N/A</v>
      </c>
      <c r="G139" s="61" t="str">
        <f>IF(Inicial!L139="SI",Inicial!G139,"N/A")</f>
        <v>N/A</v>
      </c>
      <c r="H139" s="61" t="str">
        <f>IF(Inicial!L139="SI",Inicial!H139,"N/A")</f>
        <v>N/A</v>
      </c>
      <c r="I139" s="63" t="str">
        <f>IF(Inicial!L139="SI",Inicial!I139,"N/A")</f>
        <v>N/A</v>
      </c>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2" t="str" cm="1">
        <f t="array" ref="AF139">IF(OR(M139:AE139="NO"),"No aceptable","Aceptable")</f>
        <v>Aceptable</v>
      </c>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3" t="str" cm="1">
        <f t="array" ref="BC139">IF(OR(AJ139:BB139="SI"),"Critico","No Critico")</f>
        <v>No Critico</v>
      </c>
    </row>
    <row r="140" spans="1:55" ht="15" hidden="1">
      <c r="A140" s="60">
        <f>Inicial!A140</f>
        <v>138</v>
      </c>
      <c r="B140" s="61">
        <f>Inicial!B140</f>
        <v>0</v>
      </c>
      <c r="C140" s="61">
        <f>Inicial!C140</f>
        <v>0</v>
      </c>
      <c r="D140" s="62">
        <f>Inicial!D140</f>
        <v>0</v>
      </c>
      <c r="E140" s="60" t="str">
        <f>IF(Inicial!L140="SI",Inicial!E140,"N/A")</f>
        <v>N/A</v>
      </c>
      <c r="F140" s="61" t="str">
        <f>IF(Inicial!L140="SI",Inicial!F140,"N/A")</f>
        <v>N/A</v>
      </c>
      <c r="G140" s="61" t="str">
        <f>IF(Inicial!L140="SI",Inicial!G140,"N/A")</f>
        <v>N/A</v>
      </c>
      <c r="H140" s="61" t="str">
        <f>IF(Inicial!L140="SI",Inicial!H140,"N/A")</f>
        <v>N/A</v>
      </c>
      <c r="I140" s="63" t="str">
        <f>IF(Inicial!L140="SI",Inicial!I140,"N/A")</f>
        <v>N/A</v>
      </c>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2" t="str" cm="1">
        <f t="array" ref="AF140">IF(OR(M140:AE140="NO"),"No aceptable","Aceptable")</f>
        <v>Aceptable</v>
      </c>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3" t="str" cm="1">
        <f t="array" ref="BC140">IF(OR(AJ140:BB140="SI"),"Critico","No Critico")</f>
        <v>No Critico</v>
      </c>
    </row>
    <row r="141" spans="1:55" ht="15" hidden="1">
      <c r="A141" s="60">
        <f>Inicial!A141</f>
        <v>139</v>
      </c>
      <c r="B141" s="61">
        <f>Inicial!B141</f>
        <v>0</v>
      </c>
      <c r="C141" s="61">
        <f>Inicial!C141</f>
        <v>0</v>
      </c>
      <c r="D141" s="62">
        <f>Inicial!D141</f>
        <v>0</v>
      </c>
      <c r="E141" s="60" t="str">
        <f>IF(Inicial!L141="SI",Inicial!E141,"N/A")</f>
        <v>N/A</v>
      </c>
      <c r="F141" s="61" t="str">
        <f>IF(Inicial!L141="SI",Inicial!F141,"N/A")</f>
        <v>N/A</v>
      </c>
      <c r="G141" s="61" t="str">
        <f>IF(Inicial!L141="SI",Inicial!G141,"N/A")</f>
        <v>N/A</v>
      </c>
      <c r="H141" s="61" t="str">
        <f>IF(Inicial!L141="SI",Inicial!H141,"N/A")</f>
        <v>N/A</v>
      </c>
      <c r="I141" s="63" t="str">
        <f>IF(Inicial!L141="SI",Inicial!I141,"N/A")</f>
        <v>N/A</v>
      </c>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2" t="str" cm="1">
        <f t="array" ref="AF141">IF(OR(M141:AE141="NO"),"No aceptable","Aceptable")</f>
        <v>Aceptable</v>
      </c>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3" t="str" cm="1">
        <f t="array" ref="BC141">IF(OR(AJ141:BB141="SI"),"Critico","No Critico")</f>
        <v>No Critico</v>
      </c>
    </row>
    <row r="142" spans="1:55" ht="15" hidden="1">
      <c r="A142" s="60">
        <f>Inicial!A142</f>
        <v>140</v>
      </c>
      <c r="B142" s="61">
        <f>Inicial!B142</f>
        <v>0</v>
      </c>
      <c r="C142" s="61">
        <f>Inicial!C142</f>
        <v>0</v>
      </c>
      <c r="D142" s="62">
        <f>Inicial!D142</f>
        <v>0</v>
      </c>
      <c r="E142" s="60" t="str">
        <f>IF(Inicial!L142="SI",Inicial!E142,"N/A")</f>
        <v>N/A</v>
      </c>
      <c r="F142" s="61" t="str">
        <f>IF(Inicial!L142="SI",Inicial!F142,"N/A")</f>
        <v>N/A</v>
      </c>
      <c r="G142" s="61" t="str">
        <f>IF(Inicial!L142="SI",Inicial!G142,"N/A")</f>
        <v>N/A</v>
      </c>
      <c r="H142" s="61" t="str">
        <f>IF(Inicial!L142="SI",Inicial!H142,"N/A")</f>
        <v>N/A</v>
      </c>
      <c r="I142" s="63" t="str">
        <f>IF(Inicial!L142="SI",Inicial!I142,"N/A")</f>
        <v>N/A</v>
      </c>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2" t="str" cm="1">
        <f t="array" ref="AF142">IF(OR(M142:AE142="NO"),"No aceptable","Aceptable")</f>
        <v>Aceptable</v>
      </c>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3" t="str" cm="1">
        <f t="array" ref="BC142">IF(OR(AJ142:BB142="SI"),"Critico","No Critico")</f>
        <v>No Critico</v>
      </c>
    </row>
    <row r="143" spans="1:55" ht="15" hidden="1">
      <c r="A143" s="60">
        <f>Inicial!A143</f>
        <v>141</v>
      </c>
      <c r="B143" s="61">
        <f>Inicial!B143</f>
        <v>0</v>
      </c>
      <c r="C143" s="61">
        <f>Inicial!C143</f>
        <v>0</v>
      </c>
      <c r="D143" s="62">
        <f>Inicial!D143</f>
        <v>0</v>
      </c>
      <c r="E143" s="60" t="str">
        <f>IF(Inicial!L143="SI",Inicial!E143,"N/A")</f>
        <v>N/A</v>
      </c>
      <c r="F143" s="61" t="str">
        <f>IF(Inicial!L143="SI",Inicial!F143,"N/A")</f>
        <v>N/A</v>
      </c>
      <c r="G143" s="61" t="str">
        <f>IF(Inicial!L143="SI",Inicial!G143,"N/A")</f>
        <v>N/A</v>
      </c>
      <c r="H143" s="61" t="str">
        <f>IF(Inicial!L143="SI",Inicial!H143,"N/A")</f>
        <v>N/A</v>
      </c>
      <c r="I143" s="63" t="str">
        <f>IF(Inicial!L143="SI",Inicial!I143,"N/A")</f>
        <v>N/A</v>
      </c>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2" t="str" cm="1">
        <f t="array" ref="AF143">IF(OR(M143:AE143="NO"),"No aceptable","Aceptable")</f>
        <v>Aceptable</v>
      </c>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3" t="str" cm="1">
        <f t="array" ref="BC143">IF(OR(AJ143:BB143="SI"),"Critico","No Critico")</f>
        <v>No Critico</v>
      </c>
    </row>
    <row r="144" spans="1:55" ht="15" hidden="1">
      <c r="A144" s="60">
        <f>Inicial!A144</f>
        <v>142</v>
      </c>
      <c r="B144" s="61">
        <f>Inicial!B144</f>
        <v>0</v>
      </c>
      <c r="C144" s="61">
        <f>Inicial!C144</f>
        <v>0</v>
      </c>
      <c r="D144" s="62">
        <f>Inicial!D144</f>
        <v>0</v>
      </c>
      <c r="E144" s="60" t="str">
        <f>IF(Inicial!L144="SI",Inicial!E144,"N/A")</f>
        <v>N/A</v>
      </c>
      <c r="F144" s="61" t="str">
        <f>IF(Inicial!L144="SI",Inicial!F144,"N/A")</f>
        <v>N/A</v>
      </c>
      <c r="G144" s="61" t="str">
        <f>IF(Inicial!L144="SI",Inicial!G144,"N/A")</f>
        <v>N/A</v>
      </c>
      <c r="H144" s="61" t="str">
        <f>IF(Inicial!L144="SI",Inicial!H144,"N/A")</f>
        <v>N/A</v>
      </c>
      <c r="I144" s="63" t="str">
        <f>IF(Inicial!L144="SI",Inicial!I144,"N/A")</f>
        <v>N/A</v>
      </c>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2" t="str" cm="1">
        <f t="array" ref="AF144">IF(OR(M144:AE144="NO"),"No aceptable","Aceptable")</f>
        <v>Aceptable</v>
      </c>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3" t="str" cm="1">
        <f t="array" ref="BC144">IF(OR(AJ144:BB144="SI"),"Critico","No Critico")</f>
        <v>No Critico</v>
      </c>
    </row>
    <row r="145" spans="1:55" ht="15" hidden="1">
      <c r="A145" s="60">
        <f>Inicial!A145</f>
        <v>143</v>
      </c>
      <c r="B145" s="61">
        <f>Inicial!B145</f>
        <v>0</v>
      </c>
      <c r="C145" s="61">
        <f>Inicial!C145</f>
        <v>0</v>
      </c>
      <c r="D145" s="62">
        <f>Inicial!D145</f>
        <v>0</v>
      </c>
      <c r="E145" s="60" t="str">
        <f>IF(Inicial!L145="SI",Inicial!E145,"N/A")</f>
        <v>N/A</v>
      </c>
      <c r="F145" s="61" t="str">
        <f>IF(Inicial!L145="SI",Inicial!F145,"N/A")</f>
        <v>N/A</v>
      </c>
      <c r="G145" s="61" t="str">
        <f>IF(Inicial!L145="SI",Inicial!G145,"N/A")</f>
        <v>N/A</v>
      </c>
      <c r="H145" s="61" t="str">
        <f>IF(Inicial!L145="SI",Inicial!H145,"N/A")</f>
        <v>N/A</v>
      </c>
      <c r="I145" s="63" t="str">
        <f>IF(Inicial!L145="SI",Inicial!I145,"N/A")</f>
        <v>N/A</v>
      </c>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2" t="str" cm="1">
        <f t="array" ref="AF145">IF(OR(M145:AE145="NO"),"No aceptable","Aceptable")</f>
        <v>Aceptable</v>
      </c>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3" t="str" cm="1">
        <f t="array" ref="BC145">IF(OR(AJ145:BB145="SI"),"Critico","No Critico")</f>
        <v>No Critico</v>
      </c>
    </row>
    <row r="146" spans="1:55" ht="15" hidden="1">
      <c r="A146" s="60">
        <f>Inicial!A146</f>
        <v>144</v>
      </c>
      <c r="B146" s="61">
        <f>Inicial!B146</f>
        <v>0</v>
      </c>
      <c r="C146" s="61">
        <f>Inicial!C146</f>
        <v>0</v>
      </c>
      <c r="D146" s="62">
        <f>Inicial!D146</f>
        <v>0</v>
      </c>
      <c r="E146" s="60" t="str">
        <f>IF(Inicial!L146="SI",Inicial!E146,"N/A")</f>
        <v>N/A</v>
      </c>
      <c r="F146" s="61" t="str">
        <f>IF(Inicial!L146="SI",Inicial!F146,"N/A")</f>
        <v>N/A</v>
      </c>
      <c r="G146" s="61" t="str">
        <f>IF(Inicial!L146="SI",Inicial!G146,"N/A")</f>
        <v>N/A</v>
      </c>
      <c r="H146" s="61" t="str">
        <f>IF(Inicial!L146="SI",Inicial!H146,"N/A")</f>
        <v>N/A</v>
      </c>
      <c r="I146" s="63" t="str">
        <f>IF(Inicial!L146="SI",Inicial!I146,"N/A")</f>
        <v>N/A</v>
      </c>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2" t="str" cm="1">
        <f t="array" ref="AF146">IF(OR(M146:AE146="NO"),"No aceptable","Aceptable")</f>
        <v>Aceptable</v>
      </c>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3" t="str" cm="1">
        <f t="array" ref="BC146">IF(OR(AJ146:BB146="SI"),"Critico","No Critico")</f>
        <v>No Critico</v>
      </c>
    </row>
    <row r="147" spans="1:55" ht="15" hidden="1">
      <c r="A147" s="60">
        <f>Inicial!A147</f>
        <v>145</v>
      </c>
      <c r="B147" s="61">
        <f>Inicial!B147</f>
        <v>0</v>
      </c>
      <c r="C147" s="61">
        <f>Inicial!C147</f>
        <v>0</v>
      </c>
      <c r="D147" s="62">
        <f>Inicial!D147</f>
        <v>0</v>
      </c>
      <c r="E147" s="60" t="str">
        <f>IF(Inicial!L147="SI",Inicial!E147,"N/A")</f>
        <v>N/A</v>
      </c>
      <c r="F147" s="61" t="str">
        <f>IF(Inicial!L147="SI",Inicial!F147,"N/A")</f>
        <v>N/A</v>
      </c>
      <c r="G147" s="61" t="str">
        <f>IF(Inicial!L147="SI",Inicial!G147,"N/A")</f>
        <v>N/A</v>
      </c>
      <c r="H147" s="61" t="str">
        <f>IF(Inicial!L147="SI",Inicial!H147,"N/A")</f>
        <v>N/A</v>
      </c>
      <c r="I147" s="63" t="str">
        <f>IF(Inicial!L147="SI",Inicial!I147,"N/A")</f>
        <v>N/A</v>
      </c>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2" t="str" cm="1">
        <f t="array" ref="AF147">IF(OR(M147:AE147="NO"),"No aceptable","Aceptable")</f>
        <v>Aceptable</v>
      </c>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3" t="str" cm="1">
        <f t="array" ref="BC147">IF(OR(AJ147:BB147="SI"),"Critico","No Critico")</f>
        <v>No Critico</v>
      </c>
    </row>
    <row r="148" spans="1:55" ht="15" hidden="1">
      <c r="A148" s="60">
        <f>Inicial!A148</f>
        <v>146</v>
      </c>
      <c r="B148" s="61">
        <f>Inicial!B148</f>
        <v>0</v>
      </c>
      <c r="C148" s="61">
        <f>Inicial!C148</f>
        <v>0</v>
      </c>
      <c r="D148" s="62">
        <f>Inicial!D148</f>
        <v>0</v>
      </c>
      <c r="E148" s="60" t="str">
        <f>IF(Inicial!L148="SI",Inicial!E148,"N/A")</f>
        <v>N/A</v>
      </c>
      <c r="F148" s="61" t="str">
        <f>IF(Inicial!L148="SI",Inicial!F148,"N/A")</f>
        <v>N/A</v>
      </c>
      <c r="G148" s="61" t="str">
        <f>IF(Inicial!L148="SI",Inicial!G148,"N/A")</f>
        <v>N/A</v>
      </c>
      <c r="H148" s="61" t="str">
        <f>IF(Inicial!L148="SI",Inicial!H148,"N/A")</f>
        <v>N/A</v>
      </c>
      <c r="I148" s="63" t="str">
        <f>IF(Inicial!L148="SI",Inicial!I148,"N/A")</f>
        <v>N/A</v>
      </c>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2" t="str" cm="1">
        <f t="array" ref="AF148">IF(OR(M148:AE148="NO"),"No aceptable","Aceptable")</f>
        <v>Aceptable</v>
      </c>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3" t="str" cm="1">
        <f t="array" ref="BC148">IF(OR(AJ148:BB148="SI"),"Critico","No Critico")</f>
        <v>No Critico</v>
      </c>
    </row>
    <row r="149" spans="1:55" ht="15" hidden="1">
      <c r="A149" s="60">
        <f>Inicial!A149</f>
        <v>147</v>
      </c>
      <c r="B149" s="61">
        <f>Inicial!B149</f>
        <v>0</v>
      </c>
      <c r="C149" s="61">
        <f>Inicial!C149</f>
        <v>0</v>
      </c>
      <c r="D149" s="62">
        <f>Inicial!D149</f>
        <v>0</v>
      </c>
      <c r="E149" s="60" t="str">
        <f>IF(Inicial!L149="SI",Inicial!E149,"N/A")</f>
        <v>N/A</v>
      </c>
      <c r="F149" s="61" t="str">
        <f>IF(Inicial!L149="SI",Inicial!F149,"N/A")</f>
        <v>N/A</v>
      </c>
      <c r="G149" s="61" t="str">
        <f>IF(Inicial!L149="SI",Inicial!G149,"N/A")</f>
        <v>N/A</v>
      </c>
      <c r="H149" s="61" t="str">
        <f>IF(Inicial!L149="SI",Inicial!H149,"N/A")</f>
        <v>N/A</v>
      </c>
      <c r="I149" s="63" t="str">
        <f>IF(Inicial!L149="SI",Inicial!I149,"N/A")</f>
        <v>N/A</v>
      </c>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2" t="str" cm="1">
        <f t="array" ref="AF149">IF(OR(M149:AE149="NO"),"No aceptable","Aceptable")</f>
        <v>Aceptable</v>
      </c>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3" t="str" cm="1">
        <f t="array" ref="BC149">IF(OR(AJ149:BB149="SI"),"Critico","No Critico")</f>
        <v>No Critico</v>
      </c>
    </row>
    <row r="150" spans="1:55" ht="15" hidden="1">
      <c r="A150" s="60">
        <f>Inicial!A150</f>
        <v>148</v>
      </c>
      <c r="B150" s="61">
        <f>Inicial!B150</f>
        <v>0</v>
      </c>
      <c r="C150" s="61">
        <f>Inicial!C150</f>
        <v>0</v>
      </c>
      <c r="D150" s="62">
        <f>Inicial!D150</f>
        <v>0</v>
      </c>
      <c r="E150" s="60" t="str">
        <f>IF(Inicial!L150="SI",Inicial!E150,"N/A")</f>
        <v>N/A</v>
      </c>
      <c r="F150" s="61" t="str">
        <f>IF(Inicial!L150="SI",Inicial!F150,"N/A")</f>
        <v>N/A</v>
      </c>
      <c r="G150" s="61" t="str">
        <f>IF(Inicial!L150="SI",Inicial!G150,"N/A")</f>
        <v>N/A</v>
      </c>
      <c r="H150" s="61" t="str">
        <f>IF(Inicial!L150="SI",Inicial!H150,"N/A")</f>
        <v>N/A</v>
      </c>
      <c r="I150" s="63" t="str">
        <f>IF(Inicial!L150="SI",Inicial!I150,"N/A")</f>
        <v>N/A</v>
      </c>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2" t="str" cm="1">
        <f t="array" ref="AF150">IF(OR(M150:AE150="NO"),"No aceptable","Aceptable")</f>
        <v>Aceptable</v>
      </c>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3" t="str" cm="1">
        <f t="array" ref="BC150">IF(OR(AJ150:BB150="SI"),"Critico","No Critico")</f>
        <v>No Critico</v>
      </c>
    </row>
    <row r="151" spans="1:55" ht="15" hidden="1">
      <c r="A151" s="60">
        <f>Inicial!A151</f>
        <v>149</v>
      </c>
      <c r="B151" s="61">
        <f>Inicial!B151</f>
        <v>0</v>
      </c>
      <c r="C151" s="61">
        <f>Inicial!C151</f>
        <v>0</v>
      </c>
      <c r="D151" s="62">
        <f>Inicial!D151</f>
        <v>0</v>
      </c>
      <c r="E151" s="60" t="str">
        <f>IF(Inicial!L151="SI",Inicial!E151,"N/A")</f>
        <v>N/A</v>
      </c>
      <c r="F151" s="61" t="str">
        <f>IF(Inicial!L151="SI",Inicial!F151,"N/A")</f>
        <v>N/A</v>
      </c>
      <c r="G151" s="61" t="str">
        <f>IF(Inicial!L151="SI",Inicial!G151,"N/A")</f>
        <v>N/A</v>
      </c>
      <c r="H151" s="61" t="str">
        <f>IF(Inicial!L151="SI",Inicial!H151,"N/A")</f>
        <v>N/A</v>
      </c>
      <c r="I151" s="63" t="str">
        <f>IF(Inicial!L151="SI",Inicial!I151,"N/A")</f>
        <v>N/A</v>
      </c>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2" t="str" cm="1">
        <f t="array" ref="AF151">IF(OR(M151:AE151="NO"),"No aceptable","Aceptable")</f>
        <v>Aceptable</v>
      </c>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3" t="str" cm="1">
        <f t="array" ref="BC151">IF(OR(AJ151:BB151="SI"),"Critico","No Critico")</f>
        <v>No Critico</v>
      </c>
    </row>
    <row r="152" spans="1:55" ht="15" hidden="1">
      <c r="A152" s="60">
        <f>Inicial!A152</f>
        <v>150</v>
      </c>
      <c r="B152" s="61">
        <f>Inicial!B152</f>
        <v>0</v>
      </c>
      <c r="C152" s="61">
        <f>Inicial!C152</f>
        <v>0</v>
      </c>
      <c r="D152" s="62">
        <f>Inicial!D152</f>
        <v>0</v>
      </c>
      <c r="E152" s="60" t="str">
        <f>IF(Inicial!L152="SI",Inicial!E152,"N/A")</f>
        <v>N/A</v>
      </c>
      <c r="F152" s="61" t="str">
        <f>IF(Inicial!L152="SI",Inicial!F152,"N/A")</f>
        <v>N/A</v>
      </c>
      <c r="G152" s="61" t="str">
        <f>IF(Inicial!L152="SI",Inicial!G152,"N/A")</f>
        <v>N/A</v>
      </c>
      <c r="H152" s="61" t="str">
        <f>IF(Inicial!L152="SI",Inicial!H152,"N/A")</f>
        <v>N/A</v>
      </c>
      <c r="I152" s="63" t="str">
        <f>IF(Inicial!L152="SI",Inicial!I152,"N/A")</f>
        <v>N/A</v>
      </c>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2" t="str" cm="1">
        <f t="array" ref="AF152">IF(OR(M152:AE152="NO"),"No aceptable","Aceptable")</f>
        <v>Aceptable</v>
      </c>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3" t="str" cm="1">
        <f t="array" ref="BC152">IF(OR(AJ152:BB152="SI"),"Critico","No Critico")</f>
        <v>No Critico</v>
      </c>
    </row>
    <row r="153" spans="1:55" ht="15" hidden="1">
      <c r="A153" s="60">
        <f>Inicial!A153</f>
        <v>151</v>
      </c>
      <c r="B153" s="61">
        <f>Inicial!B153</f>
        <v>0</v>
      </c>
      <c r="C153" s="61">
        <f>Inicial!C153</f>
        <v>0</v>
      </c>
      <c r="D153" s="62">
        <f>Inicial!D153</f>
        <v>0</v>
      </c>
      <c r="E153" s="60" t="str">
        <f>IF(Inicial!L153="SI",Inicial!E153,"N/A")</f>
        <v>N/A</v>
      </c>
      <c r="F153" s="61" t="str">
        <f>IF(Inicial!L153="SI",Inicial!F153,"N/A")</f>
        <v>N/A</v>
      </c>
      <c r="G153" s="61" t="str">
        <f>IF(Inicial!L153="SI",Inicial!G153,"N/A")</f>
        <v>N/A</v>
      </c>
      <c r="H153" s="61" t="str">
        <f>IF(Inicial!L153="SI",Inicial!H153,"N/A")</f>
        <v>N/A</v>
      </c>
      <c r="I153" s="63" t="str">
        <f>IF(Inicial!L153="SI",Inicial!I153,"N/A")</f>
        <v>N/A</v>
      </c>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2" t="str" cm="1">
        <f t="array" ref="AF153">IF(OR(M153:AE153="NO"),"No aceptable","Aceptable")</f>
        <v>Aceptable</v>
      </c>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3" t="str" cm="1">
        <f t="array" ref="BC153">IF(OR(AJ153:BB153="SI"),"Critico","No Critico")</f>
        <v>No Critico</v>
      </c>
    </row>
    <row r="154" spans="1:55" ht="15" hidden="1">
      <c r="A154" s="60">
        <f>Inicial!A154</f>
        <v>152</v>
      </c>
      <c r="B154" s="61">
        <f>Inicial!B154</f>
        <v>0</v>
      </c>
      <c r="C154" s="61">
        <f>Inicial!C154</f>
        <v>0</v>
      </c>
      <c r="D154" s="62">
        <f>Inicial!D154</f>
        <v>0</v>
      </c>
      <c r="E154" s="60" t="str">
        <f>IF(Inicial!L154="SI",Inicial!E154,"N/A")</f>
        <v>N/A</v>
      </c>
      <c r="F154" s="61" t="str">
        <f>IF(Inicial!L154="SI",Inicial!F154,"N/A")</f>
        <v>N/A</v>
      </c>
      <c r="G154" s="61" t="str">
        <f>IF(Inicial!L154="SI",Inicial!G154,"N/A")</f>
        <v>N/A</v>
      </c>
      <c r="H154" s="61" t="str">
        <f>IF(Inicial!L154="SI",Inicial!H154,"N/A")</f>
        <v>N/A</v>
      </c>
      <c r="I154" s="63" t="str">
        <f>IF(Inicial!L154="SI",Inicial!I154,"N/A")</f>
        <v>N/A</v>
      </c>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2" t="str" cm="1">
        <f t="array" ref="AF154">IF(OR(M154:AE154="NO"),"No aceptable","Aceptable")</f>
        <v>Aceptable</v>
      </c>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3" t="str" cm="1">
        <f t="array" ref="BC154">IF(OR(AJ154:BB154="SI"),"Critico","No Critico")</f>
        <v>No Critico</v>
      </c>
    </row>
    <row r="155" spans="1:55" ht="15" hidden="1">
      <c r="A155" s="60">
        <f>Inicial!A155</f>
        <v>153</v>
      </c>
      <c r="B155" s="61">
        <f>Inicial!B155</f>
        <v>0</v>
      </c>
      <c r="C155" s="61">
        <f>Inicial!C155</f>
        <v>0</v>
      </c>
      <c r="D155" s="62">
        <f>Inicial!D155</f>
        <v>0</v>
      </c>
      <c r="E155" s="60" t="str">
        <f>IF(Inicial!L155="SI",Inicial!E155,"N/A")</f>
        <v>N/A</v>
      </c>
      <c r="F155" s="61" t="str">
        <f>IF(Inicial!L155="SI",Inicial!F155,"N/A")</f>
        <v>N/A</v>
      </c>
      <c r="G155" s="61" t="str">
        <f>IF(Inicial!L155="SI",Inicial!G155,"N/A")</f>
        <v>N/A</v>
      </c>
      <c r="H155" s="61" t="str">
        <f>IF(Inicial!L155="SI",Inicial!H155,"N/A")</f>
        <v>N/A</v>
      </c>
      <c r="I155" s="63" t="str">
        <f>IF(Inicial!L155="SI",Inicial!I155,"N/A")</f>
        <v>N/A</v>
      </c>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2" t="str" cm="1">
        <f t="array" ref="AF155">IF(OR(M155:AE155="NO"),"No aceptable","Aceptable")</f>
        <v>Aceptable</v>
      </c>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3" t="str" cm="1">
        <f t="array" ref="BC155">IF(OR(AJ155:BB155="SI"),"Critico","No Critico")</f>
        <v>No Critico</v>
      </c>
    </row>
    <row r="156" spans="1:55" ht="15" hidden="1">
      <c r="A156" s="60">
        <f>Inicial!A156</f>
        <v>154</v>
      </c>
      <c r="B156" s="61">
        <f>Inicial!B156</f>
        <v>0</v>
      </c>
      <c r="C156" s="61">
        <f>Inicial!C156</f>
        <v>0</v>
      </c>
      <c r="D156" s="62">
        <f>Inicial!D156</f>
        <v>0</v>
      </c>
      <c r="E156" s="60" t="str">
        <f>IF(Inicial!L156="SI",Inicial!E156,"N/A")</f>
        <v>N/A</v>
      </c>
      <c r="F156" s="61" t="str">
        <f>IF(Inicial!L156="SI",Inicial!F156,"N/A")</f>
        <v>N/A</v>
      </c>
      <c r="G156" s="61" t="str">
        <f>IF(Inicial!L156="SI",Inicial!G156,"N/A")</f>
        <v>N/A</v>
      </c>
      <c r="H156" s="61" t="str">
        <f>IF(Inicial!L156="SI",Inicial!H156,"N/A")</f>
        <v>N/A</v>
      </c>
      <c r="I156" s="63" t="str">
        <f>IF(Inicial!L156="SI",Inicial!I156,"N/A")</f>
        <v>N/A</v>
      </c>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2" t="str" cm="1">
        <f t="array" ref="AF156">IF(OR(M156:AE156="NO"),"No aceptable","Aceptable")</f>
        <v>Aceptable</v>
      </c>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3" t="str" cm="1">
        <f t="array" ref="BC156">IF(OR(AJ156:BB156="SI"),"Critico","No Critico")</f>
        <v>No Critico</v>
      </c>
    </row>
    <row r="157" spans="1:55" ht="15" hidden="1">
      <c r="A157" s="60">
        <f>Inicial!A157</f>
        <v>155</v>
      </c>
      <c r="B157" s="61">
        <f>Inicial!B157</f>
        <v>0</v>
      </c>
      <c r="C157" s="61">
        <f>Inicial!C157</f>
        <v>0</v>
      </c>
      <c r="D157" s="62">
        <f>Inicial!D157</f>
        <v>0</v>
      </c>
      <c r="E157" s="60" t="str">
        <f>IF(Inicial!L157="SI",Inicial!E157,"N/A")</f>
        <v>N/A</v>
      </c>
      <c r="F157" s="61" t="str">
        <f>IF(Inicial!L157="SI",Inicial!F157,"N/A")</f>
        <v>N/A</v>
      </c>
      <c r="G157" s="61" t="str">
        <f>IF(Inicial!L157="SI",Inicial!G157,"N/A")</f>
        <v>N/A</v>
      </c>
      <c r="H157" s="61" t="str">
        <f>IF(Inicial!L157="SI",Inicial!H157,"N/A")</f>
        <v>N/A</v>
      </c>
      <c r="I157" s="63" t="str">
        <f>IF(Inicial!L157="SI",Inicial!I157,"N/A")</f>
        <v>N/A</v>
      </c>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2" t="str" cm="1">
        <f t="array" ref="AF157">IF(OR(M157:AE157="NO"),"No aceptable","Aceptable")</f>
        <v>Aceptable</v>
      </c>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3" t="str" cm="1">
        <f t="array" ref="BC157">IF(OR(AJ157:BB157="SI"),"Critico","No Critico")</f>
        <v>No Critico</v>
      </c>
    </row>
    <row r="158" spans="1:55" ht="15" hidden="1">
      <c r="A158" s="60">
        <f>Inicial!A158</f>
        <v>156</v>
      </c>
      <c r="B158" s="61">
        <f>Inicial!B158</f>
        <v>0</v>
      </c>
      <c r="C158" s="61">
        <f>Inicial!C158</f>
        <v>0</v>
      </c>
      <c r="D158" s="62">
        <f>Inicial!D158</f>
        <v>0</v>
      </c>
      <c r="E158" s="60" t="str">
        <f>IF(Inicial!L158="SI",Inicial!E158,"N/A")</f>
        <v>N/A</v>
      </c>
      <c r="F158" s="61" t="str">
        <f>IF(Inicial!L158="SI",Inicial!F158,"N/A")</f>
        <v>N/A</v>
      </c>
      <c r="G158" s="61" t="str">
        <f>IF(Inicial!L158="SI",Inicial!G158,"N/A")</f>
        <v>N/A</v>
      </c>
      <c r="H158" s="61" t="str">
        <f>IF(Inicial!L158="SI",Inicial!H158,"N/A")</f>
        <v>N/A</v>
      </c>
      <c r="I158" s="63" t="str">
        <f>IF(Inicial!L158="SI",Inicial!I158,"N/A")</f>
        <v>N/A</v>
      </c>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2" t="str" cm="1">
        <f t="array" ref="AF158">IF(OR(M158:AE158="NO"),"No aceptable","Aceptable")</f>
        <v>Aceptable</v>
      </c>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3" t="str" cm="1">
        <f t="array" ref="BC158">IF(OR(AJ158:BB158="SI"),"Critico","No Critico")</f>
        <v>No Critico</v>
      </c>
    </row>
    <row r="159" spans="1:55" ht="15" hidden="1">
      <c r="A159" s="60">
        <f>Inicial!A159</f>
        <v>157</v>
      </c>
      <c r="B159" s="61">
        <f>Inicial!B159</f>
        <v>0</v>
      </c>
      <c r="C159" s="61">
        <f>Inicial!C159</f>
        <v>0</v>
      </c>
      <c r="D159" s="62">
        <f>Inicial!D159</f>
        <v>0</v>
      </c>
      <c r="E159" s="60" t="str">
        <f>IF(Inicial!L159="SI",Inicial!E159,"N/A")</f>
        <v>N/A</v>
      </c>
      <c r="F159" s="61" t="str">
        <f>IF(Inicial!L159="SI",Inicial!F159,"N/A")</f>
        <v>N/A</v>
      </c>
      <c r="G159" s="61" t="str">
        <f>IF(Inicial!L159="SI",Inicial!G159,"N/A")</f>
        <v>N/A</v>
      </c>
      <c r="H159" s="61" t="str">
        <f>IF(Inicial!L159="SI",Inicial!H159,"N/A")</f>
        <v>N/A</v>
      </c>
      <c r="I159" s="63" t="str">
        <f>IF(Inicial!L159="SI",Inicial!I159,"N/A")</f>
        <v>N/A</v>
      </c>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2" t="str" cm="1">
        <f t="array" ref="AF159">IF(OR(M159:AE159="NO"),"No aceptable","Aceptable")</f>
        <v>Aceptable</v>
      </c>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3" t="str" cm="1">
        <f t="array" ref="BC159">IF(OR(AJ159:BB159="SI"),"Critico","No Critico")</f>
        <v>No Critico</v>
      </c>
    </row>
    <row r="160" spans="1:55" ht="15" hidden="1">
      <c r="A160" s="60">
        <f>Inicial!A160</f>
        <v>158</v>
      </c>
      <c r="B160" s="61">
        <f>Inicial!B160</f>
        <v>0</v>
      </c>
      <c r="C160" s="61">
        <f>Inicial!C160</f>
        <v>0</v>
      </c>
      <c r="D160" s="62">
        <f>Inicial!D160</f>
        <v>0</v>
      </c>
      <c r="E160" s="60" t="str">
        <f>IF(Inicial!L160="SI",Inicial!E160,"N/A")</f>
        <v>N/A</v>
      </c>
      <c r="F160" s="61" t="str">
        <f>IF(Inicial!L160="SI",Inicial!F160,"N/A")</f>
        <v>N/A</v>
      </c>
      <c r="G160" s="61" t="str">
        <f>IF(Inicial!L160="SI",Inicial!G160,"N/A")</f>
        <v>N/A</v>
      </c>
      <c r="H160" s="61" t="str">
        <f>IF(Inicial!L160="SI",Inicial!H160,"N/A")</f>
        <v>N/A</v>
      </c>
      <c r="I160" s="63" t="str">
        <f>IF(Inicial!L160="SI",Inicial!I160,"N/A")</f>
        <v>N/A</v>
      </c>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2" t="str" cm="1">
        <f t="array" ref="AF160">IF(OR(M160:AE160="NO"),"No aceptable","Aceptable")</f>
        <v>Aceptable</v>
      </c>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3" t="str" cm="1">
        <f t="array" ref="BC160">IF(OR(AJ160:BB160="SI"),"Critico","No Critico")</f>
        <v>No Critico</v>
      </c>
    </row>
    <row r="161" spans="1:55" ht="15" hidden="1">
      <c r="A161" s="60">
        <f>Inicial!A161</f>
        <v>159</v>
      </c>
      <c r="B161" s="61">
        <f>Inicial!B161</f>
        <v>0</v>
      </c>
      <c r="C161" s="61">
        <f>Inicial!C161</f>
        <v>0</v>
      </c>
      <c r="D161" s="62">
        <f>Inicial!D161</f>
        <v>0</v>
      </c>
      <c r="E161" s="60" t="str">
        <f>IF(Inicial!L161="SI",Inicial!E161,"N/A")</f>
        <v>N/A</v>
      </c>
      <c r="F161" s="61" t="str">
        <f>IF(Inicial!L161="SI",Inicial!F161,"N/A")</f>
        <v>N/A</v>
      </c>
      <c r="G161" s="61" t="str">
        <f>IF(Inicial!L161="SI",Inicial!G161,"N/A")</f>
        <v>N/A</v>
      </c>
      <c r="H161" s="61" t="str">
        <f>IF(Inicial!L161="SI",Inicial!H161,"N/A")</f>
        <v>N/A</v>
      </c>
      <c r="I161" s="63" t="str">
        <f>IF(Inicial!L161="SI",Inicial!I161,"N/A")</f>
        <v>N/A</v>
      </c>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2" t="str" cm="1">
        <f t="array" ref="AF161">IF(OR(M161:AE161="NO"),"No aceptable","Aceptable")</f>
        <v>Aceptable</v>
      </c>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3" t="str" cm="1">
        <f t="array" ref="BC161">IF(OR(AJ161:BB161="SI"),"Critico","No Critico")</f>
        <v>No Critico</v>
      </c>
    </row>
    <row r="162" spans="1:55" ht="15" hidden="1">
      <c r="A162" s="60">
        <f>Inicial!A162</f>
        <v>160</v>
      </c>
      <c r="B162" s="61">
        <f>Inicial!B162</f>
        <v>0</v>
      </c>
      <c r="C162" s="61">
        <f>Inicial!C162</f>
        <v>0</v>
      </c>
      <c r="D162" s="62">
        <f>Inicial!D162</f>
        <v>0</v>
      </c>
      <c r="E162" s="60" t="str">
        <f>IF(Inicial!L162="SI",Inicial!E162,"N/A")</f>
        <v>N/A</v>
      </c>
      <c r="F162" s="61" t="str">
        <f>IF(Inicial!L162="SI",Inicial!F162,"N/A")</f>
        <v>N/A</v>
      </c>
      <c r="G162" s="61" t="str">
        <f>IF(Inicial!L162="SI",Inicial!G162,"N/A")</f>
        <v>N/A</v>
      </c>
      <c r="H162" s="61" t="str">
        <f>IF(Inicial!L162="SI",Inicial!H162,"N/A")</f>
        <v>N/A</v>
      </c>
      <c r="I162" s="63" t="str">
        <f>IF(Inicial!L162="SI",Inicial!I162,"N/A")</f>
        <v>N/A</v>
      </c>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2" t="str" cm="1">
        <f t="array" ref="AF162">IF(OR(M162:AE162="NO"),"No aceptable","Aceptable")</f>
        <v>Aceptable</v>
      </c>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3" t="str" cm="1">
        <f t="array" ref="BC162">IF(OR(AJ162:BB162="SI"),"Critico","No Critico")</f>
        <v>No Critico</v>
      </c>
    </row>
    <row r="163" spans="1:55" ht="15" hidden="1">
      <c r="A163" s="60">
        <f>Inicial!A163</f>
        <v>161</v>
      </c>
      <c r="B163" s="61">
        <f>Inicial!B163</f>
        <v>0</v>
      </c>
      <c r="C163" s="61">
        <f>Inicial!C163</f>
        <v>0</v>
      </c>
      <c r="D163" s="62">
        <f>Inicial!D163</f>
        <v>0</v>
      </c>
      <c r="E163" s="60" t="str">
        <f>IF(Inicial!L163="SI",Inicial!E163,"N/A")</f>
        <v>N/A</v>
      </c>
      <c r="F163" s="61" t="str">
        <f>IF(Inicial!L163="SI",Inicial!F163,"N/A")</f>
        <v>N/A</v>
      </c>
      <c r="G163" s="61" t="str">
        <f>IF(Inicial!L163="SI",Inicial!G163,"N/A")</f>
        <v>N/A</v>
      </c>
      <c r="H163" s="61" t="str">
        <f>IF(Inicial!L163="SI",Inicial!H163,"N/A")</f>
        <v>N/A</v>
      </c>
      <c r="I163" s="63" t="str">
        <f>IF(Inicial!L163="SI",Inicial!I163,"N/A")</f>
        <v>N/A</v>
      </c>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2" t="str" cm="1">
        <f t="array" ref="AF163">IF(OR(M163:AE163="NO"),"No aceptable","Aceptable")</f>
        <v>Aceptable</v>
      </c>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3" t="str" cm="1">
        <f t="array" ref="BC163">IF(OR(AJ163:BB163="SI"),"Critico","No Critico")</f>
        <v>No Critico</v>
      </c>
    </row>
    <row r="164" spans="1:55" ht="15" hidden="1">
      <c r="A164" s="60">
        <f>Inicial!A164</f>
        <v>162</v>
      </c>
      <c r="B164" s="61">
        <f>Inicial!B164</f>
        <v>0</v>
      </c>
      <c r="C164" s="61">
        <f>Inicial!C164</f>
        <v>0</v>
      </c>
      <c r="D164" s="62">
        <f>Inicial!D164</f>
        <v>0</v>
      </c>
      <c r="E164" s="60" t="str">
        <f>IF(Inicial!L164="SI",Inicial!E164,"N/A")</f>
        <v>N/A</v>
      </c>
      <c r="F164" s="61" t="str">
        <f>IF(Inicial!L164="SI",Inicial!F164,"N/A")</f>
        <v>N/A</v>
      </c>
      <c r="G164" s="61" t="str">
        <f>IF(Inicial!L164="SI",Inicial!G164,"N/A")</f>
        <v>N/A</v>
      </c>
      <c r="H164" s="61" t="str">
        <f>IF(Inicial!L164="SI",Inicial!H164,"N/A")</f>
        <v>N/A</v>
      </c>
      <c r="I164" s="63" t="str">
        <f>IF(Inicial!L164="SI",Inicial!I164,"N/A")</f>
        <v>N/A</v>
      </c>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2" t="str" cm="1">
        <f t="array" ref="AF164">IF(OR(M164:AE164="NO"),"No aceptable","Aceptable")</f>
        <v>Aceptable</v>
      </c>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3" t="str" cm="1">
        <f t="array" ref="BC164">IF(OR(AJ164:BB164="SI"),"Critico","No Critico")</f>
        <v>No Critico</v>
      </c>
    </row>
    <row r="165" spans="1:55" ht="15" hidden="1">
      <c r="A165" s="60">
        <f>Inicial!A165</f>
        <v>163</v>
      </c>
      <c r="B165" s="61">
        <f>Inicial!B165</f>
        <v>0</v>
      </c>
      <c r="C165" s="61">
        <f>Inicial!C165</f>
        <v>0</v>
      </c>
      <c r="D165" s="62">
        <f>Inicial!D165</f>
        <v>0</v>
      </c>
      <c r="E165" s="60" t="str">
        <f>IF(Inicial!L165="SI",Inicial!E165,"N/A")</f>
        <v>N/A</v>
      </c>
      <c r="F165" s="61" t="str">
        <f>IF(Inicial!L165="SI",Inicial!F165,"N/A")</f>
        <v>N/A</v>
      </c>
      <c r="G165" s="61" t="str">
        <f>IF(Inicial!L165="SI",Inicial!G165,"N/A")</f>
        <v>N/A</v>
      </c>
      <c r="H165" s="61" t="str">
        <f>IF(Inicial!L165="SI",Inicial!H165,"N/A")</f>
        <v>N/A</v>
      </c>
      <c r="I165" s="63" t="str">
        <f>IF(Inicial!L165="SI",Inicial!I165,"N/A")</f>
        <v>N/A</v>
      </c>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2" t="str" cm="1">
        <f t="array" ref="AF165">IF(OR(M165:AE165="NO"),"No aceptable","Aceptable")</f>
        <v>Aceptable</v>
      </c>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3" t="str" cm="1">
        <f t="array" ref="BC165">IF(OR(AJ165:BB165="SI"),"Critico","No Critico")</f>
        <v>No Critico</v>
      </c>
    </row>
    <row r="166" spans="1:55" ht="15" hidden="1">
      <c r="A166" s="60">
        <f>Inicial!A166</f>
        <v>164</v>
      </c>
      <c r="B166" s="61">
        <f>Inicial!B166</f>
        <v>0</v>
      </c>
      <c r="C166" s="61">
        <f>Inicial!C166</f>
        <v>0</v>
      </c>
      <c r="D166" s="62">
        <f>Inicial!D166</f>
        <v>0</v>
      </c>
      <c r="E166" s="60" t="str">
        <f>IF(Inicial!L166="SI",Inicial!E166,"N/A")</f>
        <v>N/A</v>
      </c>
      <c r="F166" s="61" t="str">
        <f>IF(Inicial!L166="SI",Inicial!F166,"N/A")</f>
        <v>N/A</v>
      </c>
      <c r="G166" s="61" t="str">
        <f>IF(Inicial!L166="SI",Inicial!G166,"N/A")</f>
        <v>N/A</v>
      </c>
      <c r="H166" s="61" t="str">
        <f>IF(Inicial!L166="SI",Inicial!H166,"N/A")</f>
        <v>N/A</v>
      </c>
      <c r="I166" s="63" t="str">
        <f>IF(Inicial!L166="SI",Inicial!I166,"N/A")</f>
        <v>N/A</v>
      </c>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2" t="str" cm="1">
        <f t="array" ref="AF166">IF(OR(M166:AE166="NO"),"No aceptable","Aceptable")</f>
        <v>Aceptable</v>
      </c>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3" t="str" cm="1">
        <f t="array" ref="BC166">IF(OR(AJ166:BB166="SI"),"Critico","No Critico")</f>
        <v>No Critico</v>
      </c>
    </row>
    <row r="167" spans="1:55" ht="15" hidden="1">
      <c r="A167" s="60">
        <f>Inicial!A167</f>
        <v>165</v>
      </c>
      <c r="B167" s="61">
        <f>Inicial!B167</f>
        <v>0</v>
      </c>
      <c r="C167" s="61">
        <f>Inicial!C167</f>
        <v>0</v>
      </c>
      <c r="D167" s="62">
        <f>Inicial!D167</f>
        <v>0</v>
      </c>
      <c r="E167" s="60" t="str">
        <f>IF(Inicial!L167="SI",Inicial!E167,"N/A")</f>
        <v>N/A</v>
      </c>
      <c r="F167" s="61" t="str">
        <f>IF(Inicial!L167="SI",Inicial!F167,"N/A")</f>
        <v>N/A</v>
      </c>
      <c r="G167" s="61" t="str">
        <f>IF(Inicial!L167="SI",Inicial!G167,"N/A")</f>
        <v>N/A</v>
      </c>
      <c r="H167" s="61" t="str">
        <f>IF(Inicial!L167="SI",Inicial!H167,"N/A")</f>
        <v>N/A</v>
      </c>
      <c r="I167" s="63" t="str">
        <f>IF(Inicial!L167="SI",Inicial!I167,"N/A")</f>
        <v>N/A</v>
      </c>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2" t="str" cm="1">
        <f t="array" ref="AF167">IF(OR(M167:AE167="NO"),"No aceptable","Aceptable")</f>
        <v>Aceptable</v>
      </c>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3" t="str" cm="1">
        <f t="array" ref="BC167">IF(OR(AJ167:BB167="SI"),"Critico","No Critico")</f>
        <v>No Critico</v>
      </c>
    </row>
    <row r="168" spans="1:55" ht="15" hidden="1">
      <c r="A168" s="60">
        <f>Inicial!A168</f>
        <v>166</v>
      </c>
      <c r="B168" s="61">
        <f>Inicial!B168</f>
        <v>0</v>
      </c>
      <c r="C168" s="61">
        <f>Inicial!C168</f>
        <v>0</v>
      </c>
      <c r="D168" s="62">
        <f>Inicial!D168</f>
        <v>0</v>
      </c>
      <c r="E168" s="60" t="str">
        <f>IF(Inicial!L168="SI",Inicial!E168,"N/A")</f>
        <v>N/A</v>
      </c>
      <c r="F168" s="61" t="str">
        <f>IF(Inicial!L168="SI",Inicial!F168,"N/A")</f>
        <v>N/A</v>
      </c>
      <c r="G168" s="61" t="str">
        <f>IF(Inicial!L168="SI",Inicial!G168,"N/A")</f>
        <v>N/A</v>
      </c>
      <c r="H168" s="61" t="str">
        <f>IF(Inicial!L168="SI",Inicial!H168,"N/A")</f>
        <v>N/A</v>
      </c>
      <c r="I168" s="63" t="str">
        <f>IF(Inicial!L168="SI",Inicial!I168,"N/A")</f>
        <v>N/A</v>
      </c>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2" t="str" cm="1">
        <f t="array" ref="AF168">IF(OR(M168:AE168="NO"),"No aceptable","Aceptable")</f>
        <v>Aceptable</v>
      </c>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3" t="str" cm="1">
        <f t="array" ref="BC168">IF(OR(AJ168:BB168="SI"),"Critico","No Critico")</f>
        <v>No Critico</v>
      </c>
    </row>
    <row r="169" spans="1:55" ht="15" hidden="1">
      <c r="A169" s="60">
        <f>Inicial!A169</f>
        <v>167</v>
      </c>
      <c r="B169" s="61">
        <f>Inicial!B169</f>
        <v>0</v>
      </c>
      <c r="C169" s="61">
        <f>Inicial!C169</f>
        <v>0</v>
      </c>
      <c r="D169" s="62">
        <f>Inicial!D169</f>
        <v>0</v>
      </c>
      <c r="E169" s="60" t="str">
        <f>IF(Inicial!L169="SI",Inicial!E169,"N/A")</f>
        <v>N/A</v>
      </c>
      <c r="F169" s="61" t="str">
        <f>IF(Inicial!L169="SI",Inicial!F169,"N/A")</f>
        <v>N/A</v>
      </c>
      <c r="G169" s="61" t="str">
        <f>IF(Inicial!L169="SI",Inicial!G169,"N/A")</f>
        <v>N/A</v>
      </c>
      <c r="H169" s="61" t="str">
        <f>IF(Inicial!L169="SI",Inicial!H169,"N/A")</f>
        <v>N/A</v>
      </c>
      <c r="I169" s="63" t="str">
        <f>IF(Inicial!L169="SI",Inicial!I169,"N/A")</f>
        <v>N/A</v>
      </c>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2" t="str" cm="1">
        <f t="array" ref="AF169">IF(OR(M169:AE169="NO"),"No aceptable","Aceptable")</f>
        <v>Aceptable</v>
      </c>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3" t="str" cm="1">
        <f t="array" ref="BC169">IF(OR(AJ169:BB169="SI"),"Critico","No Critico")</f>
        <v>No Critico</v>
      </c>
    </row>
    <row r="170" spans="1:55" ht="15" hidden="1">
      <c r="A170" s="60">
        <f>Inicial!A170</f>
        <v>168</v>
      </c>
      <c r="B170" s="61">
        <f>Inicial!B170</f>
        <v>0</v>
      </c>
      <c r="C170" s="61">
        <f>Inicial!C170</f>
        <v>0</v>
      </c>
      <c r="D170" s="62">
        <f>Inicial!D170</f>
        <v>0</v>
      </c>
      <c r="E170" s="60" t="str">
        <f>IF(Inicial!L170="SI",Inicial!E170,"N/A")</f>
        <v>N/A</v>
      </c>
      <c r="F170" s="61" t="str">
        <f>IF(Inicial!L170="SI",Inicial!F170,"N/A")</f>
        <v>N/A</v>
      </c>
      <c r="G170" s="61" t="str">
        <f>IF(Inicial!L170="SI",Inicial!G170,"N/A")</f>
        <v>N/A</v>
      </c>
      <c r="H170" s="61" t="str">
        <f>IF(Inicial!L170="SI",Inicial!H170,"N/A")</f>
        <v>N/A</v>
      </c>
      <c r="I170" s="63" t="str">
        <f>IF(Inicial!L170="SI",Inicial!I170,"N/A")</f>
        <v>N/A</v>
      </c>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2" t="str" cm="1">
        <f t="array" ref="AF170">IF(OR(M170:AE170="NO"),"No aceptable","Aceptable")</f>
        <v>Aceptable</v>
      </c>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3" t="str" cm="1">
        <f t="array" ref="BC170">IF(OR(AJ170:BB170="SI"),"Critico","No Critico")</f>
        <v>No Critico</v>
      </c>
    </row>
    <row r="171" spans="1:55" ht="15" hidden="1">
      <c r="A171" s="60">
        <f>Inicial!A171</f>
        <v>169</v>
      </c>
      <c r="B171" s="61">
        <f>Inicial!B171</f>
        <v>0</v>
      </c>
      <c r="C171" s="61">
        <f>Inicial!C171</f>
        <v>0</v>
      </c>
      <c r="D171" s="62">
        <f>Inicial!D171</f>
        <v>0</v>
      </c>
      <c r="E171" s="60" t="str">
        <f>IF(Inicial!L171="SI",Inicial!E171,"N/A")</f>
        <v>N/A</v>
      </c>
      <c r="F171" s="61" t="str">
        <f>IF(Inicial!L171="SI",Inicial!F171,"N/A")</f>
        <v>N/A</v>
      </c>
      <c r="G171" s="61" t="str">
        <f>IF(Inicial!L171="SI",Inicial!G171,"N/A")</f>
        <v>N/A</v>
      </c>
      <c r="H171" s="61" t="str">
        <f>IF(Inicial!L171="SI",Inicial!H171,"N/A")</f>
        <v>N/A</v>
      </c>
      <c r="I171" s="63" t="str">
        <f>IF(Inicial!L171="SI",Inicial!I171,"N/A")</f>
        <v>N/A</v>
      </c>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2" t="str" cm="1">
        <f t="array" ref="AF171">IF(OR(M171:AE171="NO"),"No aceptable","Aceptable")</f>
        <v>Aceptable</v>
      </c>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3" t="str" cm="1">
        <f t="array" ref="BC171">IF(OR(AJ171:BB171="SI"),"Critico","No Critico")</f>
        <v>No Critico</v>
      </c>
    </row>
    <row r="172" spans="1:55" ht="15" hidden="1">
      <c r="A172" s="60">
        <f>Inicial!A172</f>
        <v>170</v>
      </c>
      <c r="B172" s="61">
        <f>Inicial!B172</f>
        <v>0</v>
      </c>
      <c r="C172" s="61">
        <f>Inicial!C172</f>
        <v>0</v>
      </c>
      <c r="D172" s="62">
        <f>Inicial!D172</f>
        <v>0</v>
      </c>
      <c r="E172" s="60" t="str">
        <f>IF(Inicial!L172="SI",Inicial!E172,"N/A")</f>
        <v>N/A</v>
      </c>
      <c r="F172" s="61" t="str">
        <f>IF(Inicial!L172="SI",Inicial!F172,"N/A")</f>
        <v>N/A</v>
      </c>
      <c r="G172" s="61" t="str">
        <f>IF(Inicial!L172="SI",Inicial!G172,"N/A")</f>
        <v>N/A</v>
      </c>
      <c r="H172" s="61" t="str">
        <f>IF(Inicial!L172="SI",Inicial!H172,"N/A")</f>
        <v>N/A</v>
      </c>
      <c r="I172" s="63" t="str">
        <f>IF(Inicial!L172="SI",Inicial!I172,"N/A")</f>
        <v>N/A</v>
      </c>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2" t="str" cm="1">
        <f t="array" ref="AF172">IF(OR(M172:AE172="NO"),"No aceptable","Aceptable")</f>
        <v>Aceptable</v>
      </c>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3" t="str" cm="1">
        <f t="array" ref="BC172">IF(OR(AJ172:BB172="SI"),"Critico","No Critico")</f>
        <v>No Critico</v>
      </c>
    </row>
    <row r="173" spans="1:55" ht="15" hidden="1">
      <c r="A173" s="60">
        <f>Inicial!A173</f>
        <v>171</v>
      </c>
      <c r="B173" s="61"/>
      <c r="C173" s="61"/>
      <c r="D173" s="62"/>
      <c r="E173" s="60"/>
      <c r="F173" s="61"/>
      <c r="G173" s="61"/>
      <c r="H173" s="61"/>
      <c r="I173" s="63"/>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2" t="str" cm="1">
        <f t="array" ref="AF173">IF(OR(M173:AE173="NO"),"No aceptable","Aceptable")</f>
        <v>Aceptable</v>
      </c>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3" t="str" cm="1">
        <f t="array" ref="BC173">IF(OR(AJ173:BB173="SI"),"Critico","No Critico")</f>
        <v>No Critico</v>
      </c>
    </row>
    <row r="174" spans="1:55" ht="15" hidden="1">
      <c r="A174" s="60">
        <f>Inicial!A174</f>
        <v>172</v>
      </c>
      <c r="B174" s="61"/>
      <c r="C174" s="61"/>
      <c r="D174" s="62"/>
      <c r="E174" s="60"/>
      <c r="F174" s="61"/>
      <c r="G174" s="61"/>
      <c r="H174" s="61"/>
      <c r="I174" s="63"/>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2" t="str" cm="1">
        <f t="array" ref="AF174">IF(OR(M174:AE174="NO"),"No aceptable","Aceptable")</f>
        <v>Aceptable</v>
      </c>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3" t="str" cm="1">
        <f t="array" ref="BC174">IF(OR(AJ174:BB174="SI"),"Critico","No Critico")</f>
        <v>No Critico</v>
      </c>
    </row>
    <row r="175" spans="1:55" ht="15" hidden="1">
      <c r="A175" s="60">
        <f>Inicial!A175</f>
        <v>173</v>
      </c>
      <c r="J175" s="11"/>
      <c r="K175" s="11"/>
      <c r="L175" s="11"/>
      <c r="M175" s="11"/>
      <c r="N175" s="11"/>
      <c r="O175" s="11"/>
      <c r="P175" s="11"/>
      <c r="Q175" s="11"/>
      <c r="R175" s="11"/>
      <c r="S175" s="11"/>
      <c r="T175" s="11"/>
      <c r="U175" s="11"/>
      <c r="V175" s="11"/>
      <c r="W175" s="11"/>
      <c r="X175" s="11"/>
      <c r="Y175" s="11"/>
      <c r="Z175" s="11"/>
      <c r="AA175" s="11"/>
      <c r="AB175" s="11"/>
      <c r="AC175" s="11"/>
      <c r="AD175" s="11"/>
      <c r="AE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3" t="str" cm="1">
        <f t="array" ref="BC175">IF(OR(AJ175:BB175="SI"),"Critico","No Critico")</f>
        <v>No Critico</v>
      </c>
    </row>
    <row r="176" spans="1:55" ht="15" hidden="1">
      <c r="A176" s="60">
        <f>Inicial!A176</f>
        <v>174</v>
      </c>
      <c r="J176" s="11"/>
      <c r="K176" s="11"/>
      <c r="L176" s="11"/>
      <c r="M176" s="11"/>
      <c r="N176" s="11"/>
      <c r="O176" s="11"/>
      <c r="P176" s="11"/>
      <c r="Q176" s="11"/>
      <c r="R176" s="11"/>
      <c r="S176" s="11"/>
      <c r="T176" s="11"/>
      <c r="U176" s="11"/>
      <c r="V176" s="11"/>
      <c r="W176" s="11"/>
      <c r="X176" s="11"/>
      <c r="Y176" s="11"/>
      <c r="Z176" s="11"/>
      <c r="AA176" s="11"/>
      <c r="AB176" s="11"/>
      <c r="AC176" s="11"/>
      <c r="AD176" s="11"/>
      <c r="AE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3" t="str" cm="1">
        <f t="array" ref="BC176">IF(OR(AJ176:BB176="SI"),"Critico","No Critico")</f>
        <v>No Critico</v>
      </c>
    </row>
    <row r="177" spans="1:55" ht="15" hidden="1">
      <c r="A177" s="60">
        <f>Inicial!A177</f>
        <v>175</v>
      </c>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3" t="str" cm="1">
        <f t="array" ref="BC177">IF(OR(AJ177:BB177="SI"),"Critico","No Critico")</f>
        <v>No Critico</v>
      </c>
    </row>
    <row r="178" spans="1:55" ht="15" hidden="1">
      <c r="A178" s="60">
        <f>Inicial!A178</f>
        <v>176</v>
      </c>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3" t="str" cm="1">
        <f t="array" ref="BC178">IF(OR(AJ178:BB178="SI"),"Critico","No Critico")</f>
        <v>No Critico</v>
      </c>
    </row>
    <row r="179" spans="1:55">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5">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5">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5">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5">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5">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5">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5">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5">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5">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5">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5">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5">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5">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33:54">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33:54">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33:54">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33:54">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33:54">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33:54">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33:54">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33:54">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33:54">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33:54">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33:54">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33:54">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33:54">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33:54">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33:54">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33:54">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33:54">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33:54">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33:54">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33:54">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33:54">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33:54">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33:54">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33:54">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33:54">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33:54">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33:54">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33:54">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33:54">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33:54">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33:54">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33:54">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33:54">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33:54">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33:54">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33:54">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33:54">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33:54">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33:54">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33:54">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33:54">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33:54">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33:54">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33:54">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33:54">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33:54">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33:54">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33:54">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33:54">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33:54">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33:54">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33:54">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33:54">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33:54">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33:54">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33:54">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33:54">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33:54">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33:54">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33:54">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33:54">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33:54">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33:54">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33:54">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33:54">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33:54">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33:54">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33:54">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33:54">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33:54">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33:54">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33:54">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33:54">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33:54">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33:54">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33:54">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33:54">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33:54">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33:54">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33:54">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33:54">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33:54">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33:54">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33:54">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33:54">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33:54">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33:54">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33:54">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33:54">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33:54">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33:54">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33:54">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33:54">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33:54">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33:54">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33:54">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33:54">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33:54">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33:54">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33:54">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33:54">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33:54">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33:54">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33:54">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33:54">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33:54">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sheetData>
  <autoFilter ref="A2:BI178">
    <filterColumn colId="4">
      <filters>
        <filter val="Am: 07:00 a 16:00 - PM: 17:15 a 02:45"/>
        <filter val="Am: 07:30 a 16:15 - PM: 17:30 a 03:00"/>
      </filters>
    </filterColumn>
  </autoFilter>
  <mergeCells count="15">
    <mergeCell ref="A1:E1"/>
    <mergeCell ref="BD1:BI1"/>
    <mergeCell ref="AO1:AU1"/>
    <mergeCell ref="AV1:AZ1"/>
    <mergeCell ref="BA1:BB1"/>
    <mergeCell ref="AG1:AI1"/>
    <mergeCell ref="AJ1:AM1"/>
    <mergeCell ref="U1:X1"/>
    <mergeCell ref="Z1:AB1"/>
    <mergeCell ref="AC1:AE1"/>
    <mergeCell ref="F1:G1"/>
    <mergeCell ref="H1:I1"/>
    <mergeCell ref="J1:L1"/>
    <mergeCell ref="M1:P1"/>
    <mergeCell ref="Q1:T1"/>
  </mergeCells>
  <conditionalFormatting sqref="J3:AE1048576">
    <cfRule type="cellIs" dxfId="47" priority="2" operator="equal">
      <formula>"N/A"</formula>
    </cfRule>
    <cfRule type="cellIs" dxfId="46" priority="9" operator="equal">
      <formula>"NO"</formula>
    </cfRule>
    <cfRule type="cellIs" dxfId="45" priority="10" operator="equal">
      <formula>"SI"</formula>
    </cfRule>
  </conditionalFormatting>
  <conditionalFormatting sqref="AF3:AF174">
    <cfRule type="cellIs" dxfId="44" priority="13" operator="equal">
      <formula>"No Aceptable"</formula>
    </cfRule>
    <cfRule type="cellIs" dxfId="43" priority="14" operator="equal">
      <formula>"Aceptable"</formula>
    </cfRule>
  </conditionalFormatting>
  <conditionalFormatting sqref="AG3:BB298">
    <cfRule type="cellIs" dxfId="42" priority="1" operator="equal">
      <formula>"N/A"</formula>
    </cfRule>
    <cfRule type="cellIs" dxfId="41" priority="7" operator="equal">
      <formula>"SI"</formula>
    </cfRule>
    <cfRule type="cellIs" dxfId="40" priority="8" operator="equal">
      <formula>"NO"</formula>
    </cfRule>
  </conditionalFormatting>
  <conditionalFormatting sqref="BC3:BC178">
    <cfRule type="cellIs" dxfId="39" priority="3" operator="equal">
      <formula>"Critico"</formula>
    </cfRule>
    <cfRule type="cellIs" dxfId="38" priority="4" operator="equal">
      <formula>"No critico"</formula>
    </cfRule>
  </conditionalFormatting>
  <dataValidations count="6">
    <dataValidation type="list" allowBlank="1" showInputMessage="1" showErrorMessage="1" sqref="J3:AE176 AG3:BB298">
      <formula1>"SI,NO,N/A"</formula1>
    </dataValidation>
    <dataValidation allowBlank="1" showInputMessage="1" showErrorMessage="1" prompt="Se debe declarar si es fija o variable, si existe pago de bonos individuales o colectivos por producción, por no ausentarse al trabajo, etc." sqref="AG2"/>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J2"/>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K2:AM2"/>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BC2 AF1:AF2"/>
    <dataValidation allowBlank="1" showInputMessage="1" showErrorMessage="1" prompt="Conjunto de acciones técnicas utilizadas para cumplir un objetivo dentro de un proceso productivo o la obtención de un producto determinado dentro del mismo." sqref="AH2:AI2"/>
  </dataValidations>
  <pageMargins left="0.7" right="0.7" top="0.75" bottom="0.75" header="0.3" footer="0.3"/>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98"/>
  <sheetViews>
    <sheetView workbookViewId="0">
      <pane xSplit="9" ySplit="2" topLeftCell="J65" activePane="bottomRight" state="frozen"/>
      <selection pane="topRight" activeCell="J1" sqref="J1"/>
      <selection pane="bottomLeft" activeCell="A3" sqref="A3"/>
      <selection pane="bottomRight" activeCell="D66" sqref="D66"/>
    </sheetView>
  </sheetViews>
  <sheetFormatPr baseColWidth="10" defaultRowHeight="14.25"/>
  <cols>
    <col min="1" max="1" width="3.125" style="4" customWidth="1"/>
    <col min="2" max="3" width="11.5" style="1" customWidth="1"/>
    <col min="4" max="4" width="14.375" style="1" customWidth="1"/>
    <col min="5" max="5" width="13.5" style="1" customWidth="1"/>
    <col min="6" max="6" width="11.5" style="1"/>
    <col min="9" max="9" width="11.5" customWidth="1"/>
    <col min="10" max="10" width="15.875" style="1" customWidth="1"/>
    <col min="11" max="11" width="18.25" customWidth="1"/>
    <col min="12" max="12" width="17.875" customWidth="1"/>
    <col min="13" max="13" width="15" customWidth="1"/>
    <col min="14" max="14" width="14.25" customWidth="1"/>
    <col min="15" max="16" width="18.25" customWidth="1"/>
    <col min="17" max="17" width="19.875" customWidth="1"/>
    <col min="18" max="18" width="45.25" customWidth="1"/>
    <col min="19" max="20" width="28.75" customWidth="1"/>
    <col min="21" max="21" width="19.5" customWidth="1"/>
    <col min="22" max="23" width="22" customWidth="1"/>
    <col min="24" max="24" width="30.125" customWidth="1"/>
    <col min="25" max="25" width="14.625" customWidth="1"/>
    <col min="26" max="26" width="27.125" customWidth="1"/>
    <col min="29" max="30" width="14.375" style="4" customWidth="1"/>
    <col min="31" max="31" width="11.5" style="4"/>
    <col min="32" max="32" width="20" style="4" customWidth="1"/>
    <col min="33" max="33" width="37.5" style="4" customWidth="1"/>
    <col min="34" max="34" width="33.125" style="4" customWidth="1"/>
    <col min="35" max="35" width="34.625" customWidth="1"/>
    <col min="36" max="36" width="31.625" customWidth="1"/>
    <col min="37" max="37" width="30.875" customWidth="1"/>
    <col min="38" max="38" width="36" customWidth="1"/>
    <col min="39" max="39" width="19.75" customWidth="1"/>
    <col min="40" max="40" width="13.75" customWidth="1"/>
  </cols>
  <sheetData>
    <row r="1" spans="1:46" ht="60" customHeight="1">
      <c r="A1" s="134" t="s">
        <v>288</v>
      </c>
      <c r="B1" s="125"/>
      <c r="C1" s="125"/>
      <c r="D1" s="125"/>
      <c r="E1" s="125"/>
      <c r="F1" s="125" t="s">
        <v>60</v>
      </c>
      <c r="G1" s="125"/>
      <c r="H1" s="125" t="s">
        <v>57</v>
      </c>
      <c r="I1" s="125"/>
      <c r="J1" s="138" t="s">
        <v>162</v>
      </c>
      <c r="K1" s="139"/>
      <c r="L1" s="140"/>
      <c r="M1" s="138" t="s">
        <v>168</v>
      </c>
      <c r="N1" s="139"/>
      <c r="O1" s="139"/>
      <c r="P1" s="139"/>
      <c r="Q1" s="140"/>
      <c r="R1" s="18" t="s">
        <v>169</v>
      </c>
      <c r="S1" s="18" t="s">
        <v>171</v>
      </c>
      <c r="T1" s="18" t="s">
        <v>174</v>
      </c>
      <c r="U1" s="18" t="s">
        <v>176</v>
      </c>
      <c r="V1" s="18" t="s">
        <v>178</v>
      </c>
      <c r="W1" s="10" t="s">
        <v>159</v>
      </c>
      <c r="X1" s="138" t="s">
        <v>179</v>
      </c>
      <c r="Y1" s="139"/>
      <c r="Z1" s="139"/>
      <c r="AA1" s="139" t="s">
        <v>180</v>
      </c>
      <c r="AB1" s="139"/>
      <c r="AC1" s="139"/>
      <c r="AD1" s="139"/>
      <c r="AE1" s="140"/>
      <c r="AF1" s="16" t="s">
        <v>144</v>
      </c>
      <c r="AG1" s="18" t="s">
        <v>186</v>
      </c>
      <c r="AH1" s="18" t="s">
        <v>188</v>
      </c>
      <c r="AI1" s="18" t="s">
        <v>190</v>
      </c>
      <c r="AJ1" s="18" t="s">
        <v>192</v>
      </c>
      <c r="AK1" s="18" t="s">
        <v>196</v>
      </c>
      <c r="AL1" s="18" t="s">
        <v>197</v>
      </c>
      <c r="AM1" s="18" t="s">
        <v>197</v>
      </c>
      <c r="AN1" s="17" t="s">
        <v>159</v>
      </c>
      <c r="AO1" s="135" t="s">
        <v>19</v>
      </c>
      <c r="AP1" s="136"/>
      <c r="AQ1" s="136"/>
      <c r="AR1" s="136"/>
      <c r="AS1" s="136"/>
      <c r="AT1" s="137"/>
    </row>
    <row r="2" spans="1:46" ht="88.15" customHeight="1">
      <c r="A2" s="8" t="s">
        <v>0</v>
      </c>
      <c r="B2" s="9" t="s">
        <v>20</v>
      </c>
      <c r="C2" s="9" t="s">
        <v>1</v>
      </c>
      <c r="D2" s="9" t="s">
        <v>2</v>
      </c>
      <c r="E2" s="9" t="s">
        <v>21</v>
      </c>
      <c r="F2" s="9" t="s">
        <v>40</v>
      </c>
      <c r="G2" s="9" t="s">
        <v>61</v>
      </c>
      <c r="H2" s="9" t="s">
        <v>58</v>
      </c>
      <c r="I2" s="9" t="s">
        <v>59</v>
      </c>
      <c r="J2" s="13" t="s">
        <v>108</v>
      </c>
      <c r="K2" s="13" t="s">
        <v>160</v>
      </c>
      <c r="L2" s="13" t="s">
        <v>161</v>
      </c>
      <c r="M2" s="13" t="s">
        <v>163</v>
      </c>
      <c r="N2" s="13" t="s">
        <v>164</v>
      </c>
      <c r="O2" s="13" t="s">
        <v>165</v>
      </c>
      <c r="P2" s="13" t="s">
        <v>166</v>
      </c>
      <c r="Q2" s="13" t="s">
        <v>167</v>
      </c>
      <c r="R2" s="13" t="s">
        <v>170</v>
      </c>
      <c r="S2" s="13" t="s">
        <v>172</v>
      </c>
      <c r="T2" s="13" t="s">
        <v>173</v>
      </c>
      <c r="U2" s="13" t="s">
        <v>175</v>
      </c>
      <c r="V2" s="13" t="s">
        <v>177</v>
      </c>
      <c r="W2" s="10" t="s">
        <v>28</v>
      </c>
      <c r="X2" s="13" t="s">
        <v>127</v>
      </c>
      <c r="Y2" s="13" t="s">
        <v>128</v>
      </c>
      <c r="Z2" s="13" t="s">
        <v>129</v>
      </c>
      <c r="AA2" s="13" t="s">
        <v>181</v>
      </c>
      <c r="AB2" s="13" t="s">
        <v>182</v>
      </c>
      <c r="AC2" s="13" t="s">
        <v>185</v>
      </c>
      <c r="AD2" s="13" t="s">
        <v>184</v>
      </c>
      <c r="AE2" s="13" t="s">
        <v>183</v>
      </c>
      <c r="AF2" s="13" t="s">
        <v>134</v>
      </c>
      <c r="AG2" s="13" t="s">
        <v>187</v>
      </c>
      <c r="AH2" s="13" t="s">
        <v>189</v>
      </c>
      <c r="AI2" s="13" t="s">
        <v>191</v>
      </c>
      <c r="AJ2" s="13" t="s">
        <v>193</v>
      </c>
      <c r="AK2" s="13" t="s">
        <v>194</v>
      </c>
      <c r="AL2" s="13" t="s">
        <v>195</v>
      </c>
      <c r="AM2" s="13" t="s">
        <v>198</v>
      </c>
      <c r="AN2" s="13" t="s">
        <v>33</v>
      </c>
      <c r="AO2" s="13" t="s">
        <v>34</v>
      </c>
      <c r="AP2" s="13" t="s">
        <v>35</v>
      </c>
      <c r="AQ2" s="13" t="s">
        <v>36</v>
      </c>
      <c r="AR2" s="13" t="s">
        <v>37</v>
      </c>
      <c r="AS2" s="13" t="s">
        <v>38</v>
      </c>
      <c r="AT2" s="13" t="s">
        <v>39</v>
      </c>
    </row>
    <row r="3" spans="1:46" s="5" customFormat="1" ht="25.9" customHeight="1">
      <c r="A3" s="60">
        <f>Inicial!A3</f>
        <v>1</v>
      </c>
      <c r="B3" s="61" t="str">
        <f>Inicial!B3</f>
        <v>Desposte</v>
      </c>
      <c r="C3" s="61" t="str">
        <f>Inicial!C3</f>
        <v>Operario de producción línea Principal 1</v>
      </c>
      <c r="D3" s="62" t="str">
        <f>Inicial!D3</f>
        <v>Marcaje de pernil</v>
      </c>
      <c r="E3" s="60" t="str">
        <f>IF(Inicial!M3="SI",Inicial!E3,"N/A")</f>
        <v>N/A</v>
      </c>
      <c r="F3" s="61" t="str">
        <f>IF(Inicial!M3="SI",Inicial!F3,"N/A")</f>
        <v>N/A</v>
      </c>
      <c r="G3" s="61" t="str">
        <f>IF(Inicial!M3="SI",Inicial!G3,"N/A")</f>
        <v>N/A</v>
      </c>
      <c r="H3" s="61" t="str">
        <f>IF(Inicial!M3="SI",Inicial!H3,"N/A")</f>
        <v>N/A</v>
      </c>
      <c r="I3" s="63" t="str">
        <f>IF(Inicial!M3="SI",Inicial!I3,"N/A")</f>
        <v>N/A</v>
      </c>
      <c r="J3" s="11"/>
      <c r="K3" s="11"/>
      <c r="L3" s="11"/>
      <c r="M3" s="11"/>
      <c r="N3" s="11"/>
      <c r="O3" s="11"/>
      <c r="P3" s="11"/>
      <c r="Q3" s="11"/>
      <c r="R3" s="11"/>
      <c r="S3" s="11"/>
      <c r="T3" s="11"/>
      <c r="U3" s="11"/>
      <c r="V3" s="11"/>
      <c r="W3" s="12" t="str" cm="1">
        <f t="array" ref="W3">IF(OR(M3:V3="NO"),"No aceptable","Aceptable")</f>
        <v>Aceptable</v>
      </c>
      <c r="X3" s="11"/>
      <c r="Y3" s="11"/>
      <c r="Z3" s="11"/>
      <c r="AA3" s="11"/>
      <c r="AB3" s="11"/>
      <c r="AC3" s="11"/>
      <c r="AD3" s="11"/>
      <c r="AE3" s="11"/>
      <c r="AF3" s="11"/>
      <c r="AG3" s="11"/>
      <c r="AH3" s="11"/>
      <c r="AI3" s="11"/>
      <c r="AJ3" s="11"/>
      <c r="AK3" s="11"/>
      <c r="AL3" s="11"/>
      <c r="AM3" s="11"/>
      <c r="AN3" s="3" t="str" cm="1">
        <f t="array" ref="AN3">IF(OR(AA3:AM3="SI"),"Critico","No Critico")</f>
        <v>No Critico</v>
      </c>
      <c r="AO3" s="1"/>
      <c r="AP3" s="1"/>
      <c r="AQ3" s="1"/>
      <c r="AR3" s="1"/>
      <c r="AS3" s="1"/>
      <c r="AT3" s="1"/>
    </row>
    <row r="4" spans="1:46" ht="25.9" customHeight="1">
      <c r="A4" s="60">
        <f>Inicial!A4</f>
        <v>2</v>
      </c>
      <c r="B4" s="61" t="str">
        <f>Inicial!B4</f>
        <v>Desposte</v>
      </c>
      <c r="C4" s="61" t="str">
        <f>Inicial!C4</f>
        <v>Operario de producción línea Principal 1</v>
      </c>
      <c r="D4" s="62" t="str">
        <f>Inicial!D4</f>
        <v>Apertura de falda derecha</v>
      </c>
      <c r="E4" s="60" t="str">
        <f>IF(Inicial!M4="SI",Inicial!E4,"N/A")</f>
        <v>N/A</v>
      </c>
      <c r="F4" s="61" t="str">
        <f>IF(Inicial!M4="SI",Inicial!F4,"N/A")</f>
        <v>N/A</v>
      </c>
      <c r="G4" s="61" t="str">
        <f>IF(Inicial!M4="SI",Inicial!G4,"N/A")</f>
        <v>N/A</v>
      </c>
      <c r="H4" s="61" t="str">
        <f>IF(Inicial!M4="SI",Inicial!H4,"N/A")</f>
        <v>N/A</v>
      </c>
      <c r="I4" s="63" t="str">
        <f>IF(Inicial!M4="SI",Inicial!I4,"N/A")</f>
        <v>N/A</v>
      </c>
      <c r="J4" s="11"/>
      <c r="K4" s="11"/>
      <c r="L4" s="11"/>
      <c r="M4" s="11"/>
      <c r="N4" s="11"/>
      <c r="O4" s="11"/>
      <c r="P4" s="11"/>
      <c r="Q4" s="11"/>
      <c r="R4" s="11"/>
      <c r="S4" s="11"/>
      <c r="T4" s="11"/>
      <c r="U4" s="11"/>
      <c r="V4" s="11"/>
      <c r="W4" s="12" t="str" cm="1">
        <f t="array" ref="W4">IF(OR(M4:V4="NO"),"No aceptable","Aceptable")</f>
        <v>Aceptable</v>
      </c>
      <c r="X4" s="11"/>
      <c r="Y4" s="11"/>
      <c r="Z4" s="11"/>
      <c r="AA4" s="11"/>
      <c r="AB4" s="11"/>
      <c r="AC4" s="11"/>
      <c r="AD4" s="11"/>
      <c r="AE4" s="11"/>
      <c r="AF4" s="11"/>
      <c r="AG4" s="11"/>
      <c r="AH4" s="11"/>
      <c r="AI4" s="11"/>
      <c r="AJ4" s="11"/>
      <c r="AK4" s="11"/>
      <c r="AL4" s="11"/>
      <c r="AM4" s="11"/>
      <c r="AN4" s="3" t="str" cm="1">
        <f t="array" ref="AN4">IF(OR(AA4:AM4="SI"),"Critico","No Critico")</f>
        <v>No Critico</v>
      </c>
      <c r="AO4" s="1"/>
      <c r="AP4" s="1"/>
      <c r="AQ4" s="1"/>
      <c r="AR4" s="1"/>
      <c r="AS4" s="1"/>
      <c r="AT4" s="1"/>
    </row>
    <row r="5" spans="1:46" ht="25.9" customHeight="1">
      <c r="A5" s="60">
        <f>Inicial!A5</f>
        <v>3</v>
      </c>
      <c r="B5" s="61" t="str">
        <f>Inicial!B5</f>
        <v>Desposte</v>
      </c>
      <c r="C5" s="61" t="str">
        <f>Inicial!C5</f>
        <v>Operario de producción línea Principal 1</v>
      </c>
      <c r="D5" s="62" t="str">
        <f>Inicial!D5</f>
        <v>Apertura de falda izquierda</v>
      </c>
      <c r="E5" s="60" t="str">
        <f>IF(Inicial!M5="SI",Inicial!E5,"N/A")</f>
        <v>N/A</v>
      </c>
      <c r="F5" s="61" t="str">
        <f>IF(Inicial!M5="SI",Inicial!F5,"N/A")</f>
        <v>N/A</v>
      </c>
      <c r="G5" s="61" t="str">
        <f>IF(Inicial!M5="SI",Inicial!G5,"N/A")</f>
        <v>N/A</v>
      </c>
      <c r="H5" s="61" t="str">
        <f>IF(Inicial!M5="SI",Inicial!H5,"N/A")</f>
        <v>N/A</v>
      </c>
      <c r="I5" s="63" t="str">
        <f>IF(Inicial!M5="SI",Inicial!I5,"N/A")</f>
        <v>N/A</v>
      </c>
      <c r="J5" s="11"/>
      <c r="K5" s="11"/>
      <c r="L5" s="11"/>
      <c r="M5" s="11"/>
      <c r="N5" s="11"/>
      <c r="O5" s="11"/>
      <c r="P5" s="11"/>
      <c r="Q5" s="11"/>
      <c r="R5" s="11"/>
      <c r="S5" s="11"/>
      <c r="T5" s="11"/>
      <c r="U5" s="11"/>
      <c r="V5" s="11"/>
      <c r="W5" s="12" t="str" cm="1">
        <f t="array" ref="W5">IF(OR(M5:V5="NO"),"No aceptable","Aceptable")</f>
        <v>Aceptable</v>
      </c>
      <c r="X5" s="11"/>
      <c r="Y5" s="11"/>
      <c r="Z5" s="11"/>
      <c r="AA5" s="11"/>
      <c r="AB5" s="11"/>
      <c r="AC5" s="11"/>
      <c r="AD5" s="11"/>
      <c r="AE5" s="11"/>
      <c r="AF5" s="11"/>
      <c r="AG5" s="11"/>
      <c r="AH5" s="11"/>
      <c r="AI5" s="11"/>
      <c r="AJ5" s="11"/>
      <c r="AK5" s="11"/>
      <c r="AL5" s="11"/>
      <c r="AM5" s="11"/>
      <c r="AN5" s="3" t="str" cm="1">
        <f t="array" ref="AN5">IF(OR(AA5:AM5="SI"),"Critico","No Critico")</f>
        <v>No Critico</v>
      </c>
      <c r="AO5" s="1"/>
      <c r="AP5" s="1"/>
      <c r="AQ5" s="1"/>
      <c r="AR5" s="1"/>
      <c r="AS5" s="1"/>
      <c r="AT5" s="1"/>
    </row>
    <row r="6" spans="1:46" ht="25.9" customHeight="1">
      <c r="A6" s="60">
        <f>Inicial!A6</f>
        <v>4</v>
      </c>
      <c r="B6" s="61" t="str">
        <f>Inicial!B6</f>
        <v>Desposte</v>
      </c>
      <c r="C6" s="61" t="str">
        <f>Inicial!C6</f>
        <v>Operario de producción línea Principal 1</v>
      </c>
      <c r="D6" s="62" t="str">
        <f>Inicial!D6</f>
        <v>Sierra cortadora de patas</v>
      </c>
      <c r="E6" s="60" t="str">
        <f>IF(Inicial!M6="SI",Inicial!E6,"N/A")</f>
        <v>N/A</v>
      </c>
      <c r="F6" s="61" t="str">
        <f>IF(Inicial!M6="SI",Inicial!F6,"N/A")</f>
        <v>N/A</v>
      </c>
      <c r="G6" s="61" t="str">
        <f>IF(Inicial!M6="SI",Inicial!G6,"N/A")</f>
        <v>N/A</v>
      </c>
      <c r="H6" s="61" t="str">
        <f>IF(Inicial!M6="SI",Inicial!H6,"N/A")</f>
        <v>N/A</v>
      </c>
      <c r="I6" s="63" t="str">
        <f>IF(Inicial!M6="SI",Inicial!I6,"N/A")</f>
        <v>N/A</v>
      </c>
      <c r="J6" s="11"/>
      <c r="K6" s="11"/>
      <c r="L6" s="11"/>
      <c r="M6" s="11"/>
      <c r="N6" s="11"/>
      <c r="O6" s="11"/>
      <c r="P6" s="11"/>
      <c r="Q6" s="11"/>
      <c r="R6" s="11"/>
      <c r="S6" s="11"/>
      <c r="T6" s="11"/>
      <c r="U6" s="11"/>
      <c r="V6" s="11"/>
      <c r="W6" s="12" t="str" cm="1">
        <f t="array" ref="W6">IF(OR(M6:V6="NO"),"No aceptable","Aceptable")</f>
        <v>Aceptable</v>
      </c>
      <c r="X6" s="11"/>
      <c r="Y6" s="11"/>
      <c r="Z6" s="11"/>
      <c r="AA6" s="11"/>
      <c r="AB6" s="11"/>
      <c r="AC6" s="11"/>
      <c r="AD6" s="11"/>
      <c r="AE6" s="11"/>
      <c r="AF6" s="11"/>
      <c r="AG6" s="11"/>
      <c r="AH6" s="11"/>
      <c r="AI6" s="11"/>
      <c r="AJ6" s="11"/>
      <c r="AK6" s="11"/>
      <c r="AL6" s="11"/>
      <c r="AM6" s="11"/>
      <c r="AN6" s="3" t="str" cm="1">
        <f t="array" ref="AN6">IF(OR(AA6:AM6="SI"),"Critico","No Critico")</f>
        <v>No Critico</v>
      </c>
    </row>
    <row r="7" spans="1:46" ht="25.9" customHeight="1">
      <c r="A7" s="60">
        <f>Inicial!A7</f>
        <v>5</v>
      </c>
      <c r="B7" s="61" t="str">
        <f>Inicial!B7</f>
        <v>Desposte</v>
      </c>
      <c r="C7" s="61" t="str">
        <f>Inicial!C7</f>
        <v>Operario de producción línea Principal 1</v>
      </c>
      <c r="D7" s="62" t="str">
        <f>Inicial!D7</f>
        <v>Tijera cortadora de manos</v>
      </c>
      <c r="E7" s="60" t="str">
        <f>IF(Inicial!M7="SI",Inicial!E7,"N/A")</f>
        <v>N/A</v>
      </c>
      <c r="F7" s="61" t="str">
        <f>IF(Inicial!M7="SI",Inicial!F7,"N/A")</f>
        <v>N/A</v>
      </c>
      <c r="G7" s="61" t="str">
        <f>IF(Inicial!M7="SI",Inicial!G7,"N/A")</f>
        <v>N/A</v>
      </c>
      <c r="H7" s="61" t="str">
        <f>IF(Inicial!M7="SI",Inicial!H7,"N/A")</f>
        <v>N/A</v>
      </c>
      <c r="I7" s="63" t="str">
        <f>IF(Inicial!M7="SI",Inicial!I7,"N/A")</f>
        <v>N/A</v>
      </c>
      <c r="J7" s="11"/>
      <c r="K7" s="11"/>
      <c r="L7" s="11"/>
      <c r="M7" s="11"/>
      <c r="N7" s="11"/>
      <c r="O7" s="11"/>
      <c r="P7" s="11"/>
      <c r="Q7" s="11"/>
      <c r="R7" s="11"/>
      <c r="S7" s="11"/>
      <c r="T7" s="11"/>
      <c r="U7" s="11"/>
      <c r="V7" s="11"/>
      <c r="W7" s="12" t="str" cm="1">
        <f t="array" ref="W7">IF(OR(M7:V7="NO"),"No aceptable","Aceptable")</f>
        <v>Aceptable</v>
      </c>
      <c r="X7" s="11"/>
      <c r="Y7" s="11"/>
      <c r="Z7" s="11"/>
      <c r="AA7" s="11"/>
      <c r="AB7" s="11"/>
      <c r="AC7" s="11"/>
      <c r="AD7" s="11"/>
      <c r="AE7" s="11"/>
      <c r="AF7" s="11"/>
      <c r="AG7" s="11"/>
      <c r="AH7" s="11"/>
      <c r="AI7" s="11"/>
      <c r="AJ7" s="11"/>
      <c r="AK7" s="11"/>
      <c r="AL7" s="11"/>
      <c r="AM7" s="11"/>
      <c r="AN7" s="3" t="str" cm="1">
        <f t="array" ref="AN7">IF(OR(AA7:AM7="SI"),"Critico","No Critico")</f>
        <v>No Critico</v>
      </c>
    </row>
    <row r="8" spans="1:46" ht="25.9" customHeight="1">
      <c r="A8" s="60">
        <f>Inicial!A8</f>
        <v>6</v>
      </c>
      <c r="B8" s="61" t="str">
        <f>Inicial!B8</f>
        <v>Desposte</v>
      </c>
      <c r="C8" s="61" t="str">
        <f>Inicial!C8</f>
        <v>Operario de producción línea Principal 1</v>
      </c>
      <c r="D8" s="62" t="str">
        <f>Inicial!D8</f>
        <v>Sierra EFA 86 corte de pernil</v>
      </c>
      <c r="E8" s="60" t="str">
        <f>IF(Inicial!M8="SI",Inicial!E8,"N/A")</f>
        <v>N/A</v>
      </c>
      <c r="F8" s="61" t="str">
        <f>IF(Inicial!M8="SI",Inicial!F8,"N/A")</f>
        <v>N/A</v>
      </c>
      <c r="G8" s="61" t="str">
        <f>IF(Inicial!M8="SI",Inicial!G8,"N/A")</f>
        <v>N/A</v>
      </c>
      <c r="H8" s="61" t="str">
        <f>IF(Inicial!M8="SI",Inicial!H8,"N/A")</f>
        <v>N/A</v>
      </c>
      <c r="I8" s="63" t="str">
        <f>IF(Inicial!M8="SI",Inicial!I8,"N/A")</f>
        <v>N/A</v>
      </c>
      <c r="J8" s="11"/>
      <c r="K8" s="11"/>
      <c r="L8" s="11"/>
      <c r="M8" s="11"/>
      <c r="N8" s="11"/>
      <c r="O8" s="11"/>
      <c r="P8" s="11"/>
      <c r="Q8" s="11"/>
      <c r="R8" s="11"/>
      <c r="S8" s="11"/>
      <c r="T8" s="11"/>
      <c r="U8" s="11"/>
      <c r="V8" s="11"/>
      <c r="W8" s="12" t="str" cm="1">
        <f t="array" ref="W8">IF(OR(M8:V8="NO"),"No aceptable","Aceptable")</f>
        <v>Aceptable</v>
      </c>
      <c r="X8" s="11"/>
      <c r="Y8" s="11"/>
      <c r="Z8" s="11"/>
      <c r="AA8" s="11"/>
      <c r="AB8" s="11"/>
      <c r="AC8" s="11"/>
      <c r="AD8" s="11"/>
      <c r="AE8" s="11"/>
      <c r="AF8" s="11"/>
      <c r="AG8" s="11"/>
      <c r="AH8" s="11"/>
      <c r="AI8" s="11"/>
      <c r="AJ8" s="11"/>
      <c r="AK8" s="11"/>
      <c r="AL8" s="11"/>
      <c r="AM8" s="11"/>
      <c r="AN8" s="3" t="str" cm="1">
        <f t="array" ref="AN8">IF(OR(AA8:AM8="SI"),"Critico","No Critico")</f>
        <v>No Critico</v>
      </c>
    </row>
    <row r="9" spans="1:46" ht="38.25">
      <c r="A9" s="60">
        <f>Inicial!A9</f>
        <v>7</v>
      </c>
      <c r="B9" s="61" t="str">
        <f>Inicial!B9</f>
        <v>Desposte</v>
      </c>
      <c r="C9" s="61" t="str">
        <f>Inicial!C9</f>
        <v>Operario de producción línea Principal 1</v>
      </c>
      <c r="D9" s="62" t="str">
        <f>Inicial!D9</f>
        <v>RK 11 cuarto trasero</v>
      </c>
      <c r="E9" s="60" t="str">
        <f>IF(Inicial!M9="SI",Inicial!E9,"N/A")</f>
        <v>N/A</v>
      </c>
      <c r="F9" s="61" t="str">
        <f>IF(Inicial!M9="SI",Inicial!F9,"N/A")</f>
        <v>N/A</v>
      </c>
      <c r="G9" s="61" t="str">
        <f>IF(Inicial!M9="SI",Inicial!G9,"N/A")</f>
        <v>N/A</v>
      </c>
      <c r="H9" s="61" t="str">
        <f>IF(Inicial!M9="SI",Inicial!H9,"N/A")</f>
        <v>N/A</v>
      </c>
      <c r="I9" s="63" t="str">
        <f>IF(Inicial!M9="SI",Inicial!I9,"N/A")</f>
        <v>N/A</v>
      </c>
      <c r="J9" s="11"/>
      <c r="K9" s="11"/>
      <c r="L9" s="11"/>
      <c r="M9" s="11"/>
      <c r="N9" s="11"/>
      <c r="O9" s="11"/>
      <c r="P9" s="11"/>
      <c r="Q9" s="11"/>
      <c r="R9" s="11"/>
      <c r="S9" s="11"/>
      <c r="T9" s="11"/>
      <c r="U9" s="11"/>
      <c r="V9" s="11"/>
      <c r="W9" s="12" t="str" cm="1">
        <f t="array" ref="W9">IF(OR(M9:V9="NO"),"No aceptable","Aceptable")</f>
        <v>Aceptable</v>
      </c>
      <c r="X9" s="11"/>
      <c r="Y9" s="11"/>
      <c r="Z9" s="11"/>
      <c r="AA9" s="11"/>
      <c r="AB9" s="11"/>
      <c r="AC9" s="11"/>
      <c r="AD9" s="11"/>
      <c r="AE9" s="11"/>
      <c r="AF9" s="11"/>
      <c r="AG9" s="11"/>
      <c r="AH9" s="11"/>
      <c r="AI9" s="11"/>
      <c r="AJ9" s="11"/>
      <c r="AK9" s="11"/>
      <c r="AL9" s="11"/>
      <c r="AM9" s="11"/>
      <c r="AN9" s="3" t="str" cm="1">
        <f t="array" ref="AN9">IF(OR(AA9:AM9="SI"),"Critico","No Critico")</f>
        <v>No Critico</v>
      </c>
    </row>
    <row r="10" spans="1:46" ht="38.25">
      <c r="A10" s="60">
        <f>Inicial!A10</f>
        <v>8</v>
      </c>
      <c r="B10" s="61" t="str">
        <f>Inicial!B10</f>
        <v>Desposte</v>
      </c>
      <c r="C10" s="61" t="str">
        <f>Inicial!C10</f>
        <v>Operario de producción línea Principal 1</v>
      </c>
      <c r="D10" s="62" t="str">
        <f>Inicial!D10</f>
        <v>RK 11 cuarto delantero</v>
      </c>
      <c r="E10" s="60" t="str">
        <f>IF(Inicial!M10="SI",Inicial!E10,"N/A")</f>
        <v>N/A</v>
      </c>
      <c r="F10" s="61" t="str">
        <f>IF(Inicial!M10="SI",Inicial!F10,"N/A")</f>
        <v>N/A</v>
      </c>
      <c r="G10" s="61" t="str">
        <f>IF(Inicial!M10="SI",Inicial!G10,"N/A")</f>
        <v>N/A</v>
      </c>
      <c r="H10" s="61" t="str">
        <f>IF(Inicial!M10="SI",Inicial!H10,"N/A")</f>
        <v>N/A</v>
      </c>
      <c r="I10" s="63" t="str">
        <f>IF(Inicial!M10="SI",Inicial!I10,"N/A")</f>
        <v>N/A</v>
      </c>
      <c r="J10" s="11"/>
      <c r="K10" s="11"/>
      <c r="L10" s="11"/>
      <c r="M10" s="11"/>
      <c r="N10" s="11"/>
      <c r="O10" s="11"/>
      <c r="P10" s="11"/>
      <c r="Q10" s="11"/>
      <c r="R10" s="11"/>
      <c r="S10" s="11"/>
      <c r="T10" s="11"/>
      <c r="U10" s="11"/>
      <c r="V10" s="11"/>
      <c r="W10" s="12" t="str" cm="1">
        <f t="array" ref="W10">IF(OR(M10:V10="NO"),"No aceptable","Aceptable")</f>
        <v>Aceptable</v>
      </c>
      <c r="X10" s="11"/>
      <c r="Y10" s="11"/>
      <c r="Z10" s="11"/>
      <c r="AA10" s="11"/>
      <c r="AB10" s="11"/>
      <c r="AC10" s="11"/>
      <c r="AD10" s="11"/>
      <c r="AE10" s="11"/>
      <c r="AF10" s="11"/>
      <c r="AG10" s="11"/>
      <c r="AH10" s="11"/>
      <c r="AI10" s="11"/>
      <c r="AJ10" s="11"/>
      <c r="AK10" s="11"/>
      <c r="AL10" s="11"/>
      <c r="AM10" s="11"/>
      <c r="AN10" s="3" t="str" cm="1">
        <f t="array" ref="AN10">IF(OR(AA10:AM10="SI"),"Critico","No Critico")</f>
        <v>No Critico</v>
      </c>
    </row>
    <row r="11" spans="1:46" ht="38.25">
      <c r="A11" s="60">
        <f>Inicial!A11</f>
        <v>9</v>
      </c>
      <c r="B11" s="61" t="str">
        <f>Inicial!B11</f>
        <v>Desposte</v>
      </c>
      <c r="C11" s="61" t="str">
        <f>Inicial!C11</f>
        <v>Operario de producción línea Principal 1</v>
      </c>
      <c r="D11" s="62" t="str">
        <f>Inicial!D11</f>
        <v>Sierra EFA 86 Punta costilla</v>
      </c>
      <c r="E11" s="60" t="str">
        <f>IF(Inicial!M11="SI",Inicial!E11,"N/A")</f>
        <v>N/A</v>
      </c>
      <c r="F11" s="61" t="str">
        <f>IF(Inicial!M11="SI",Inicial!F11,"N/A")</f>
        <v>N/A</v>
      </c>
      <c r="G11" s="61" t="str">
        <f>IF(Inicial!M11="SI",Inicial!G11,"N/A")</f>
        <v>N/A</v>
      </c>
      <c r="H11" s="61" t="str">
        <f>IF(Inicial!M11="SI",Inicial!H11,"N/A")</f>
        <v>N/A</v>
      </c>
      <c r="I11" s="63" t="str">
        <f>IF(Inicial!M11="SI",Inicial!I11,"N/A")</f>
        <v>N/A</v>
      </c>
      <c r="J11" s="11"/>
      <c r="K11" s="11"/>
      <c r="L11" s="11"/>
      <c r="M11" s="11"/>
      <c r="N11" s="11"/>
      <c r="O11" s="11"/>
      <c r="P11" s="11"/>
      <c r="Q11" s="11"/>
      <c r="R11" s="11"/>
      <c r="S11" s="11"/>
      <c r="T11" s="11"/>
      <c r="U11" s="11"/>
      <c r="V11" s="11"/>
      <c r="W11" s="12" t="str" cm="1">
        <f t="array" ref="W11">IF(OR(M11:V11="NO"),"No aceptable","Aceptable")</f>
        <v>Aceptable</v>
      </c>
      <c r="X11" s="11"/>
      <c r="Y11" s="11"/>
      <c r="Z11" s="11"/>
      <c r="AA11" s="11"/>
      <c r="AB11" s="11"/>
      <c r="AC11" s="11"/>
      <c r="AD11" s="11"/>
      <c r="AE11" s="11"/>
      <c r="AF11" s="11"/>
      <c r="AG11" s="11"/>
      <c r="AH11" s="11"/>
      <c r="AI11" s="11"/>
      <c r="AJ11" s="11"/>
      <c r="AK11" s="11"/>
      <c r="AL11" s="11"/>
      <c r="AM11" s="11"/>
      <c r="AN11" s="3" t="str" cm="1">
        <f t="array" ref="AN11">IF(OR(AA11:AM11="SI"),"Critico","No Critico")</f>
        <v>No Critico</v>
      </c>
    </row>
    <row r="12" spans="1:46" ht="38.25">
      <c r="A12" s="60">
        <f>Inicial!A12</f>
        <v>10</v>
      </c>
      <c r="B12" s="61" t="str">
        <f>Inicial!B12</f>
        <v>Desposte</v>
      </c>
      <c r="C12" s="61" t="str">
        <f>Inicial!C12</f>
        <v>Operario de producción línea Principal 1</v>
      </c>
      <c r="D12" s="62" t="str">
        <f>Inicial!D12</f>
        <v>Extracción de diafragma</v>
      </c>
      <c r="E12" s="60" t="str">
        <f>IF(Inicial!M12="SI",Inicial!E12,"N/A")</f>
        <v>N/A</v>
      </c>
      <c r="F12" s="61" t="str">
        <f>IF(Inicial!M12="SI",Inicial!F12,"N/A")</f>
        <v>N/A</v>
      </c>
      <c r="G12" s="61" t="str">
        <f>IF(Inicial!M12="SI",Inicial!G12,"N/A")</f>
        <v>N/A</v>
      </c>
      <c r="H12" s="61" t="str">
        <f>IF(Inicial!M12="SI",Inicial!H12,"N/A")</f>
        <v>N/A</v>
      </c>
      <c r="I12" s="63" t="str">
        <f>IF(Inicial!M12="SI",Inicial!I12,"N/A")</f>
        <v>N/A</v>
      </c>
      <c r="J12" s="11"/>
      <c r="K12" s="11"/>
      <c r="L12" s="11"/>
      <c r="M12" s="11"/>
      <c r="N12" s="11"/>
      <c r="O12" s="11"/>
      <c r="P12" s="11"/>
      <c r="Q12" s="11"/>
      <c r="R12" s="11"/>
      <c r="S12" s="11"/>
      <c r="T12" s="11"/>
      <c r="U12" s="11"/>
      <c r="V12" s="11"/>
      <c r="W12" s="12" t="str" cm="1">
        <f t="array" ref="W12">IF(OR(M12:V12="NO"),"No aceptable","Aceptable")</f>
        <v>Aceptable</v>
      </c>
      <c r="X12" s="11"/>
      <c r="Y12" s="11"/>
      <c r="Z12" s="11"/>
      <c r="AA12" s="11"/>
      <c r="AB12" s="11"/>
      <c r="AC12" s="11"/>
      <c r="AD12" s="11"/>
      <c r="AE12" s="11"/>
      <c r="AF12" s="11"/>
      <c r="AG12" s="11"/>
      <c r="AH12" s="11"/>
      <c r="AI12" s="11"/>
      <c r="AJ12" s="11"/>
      <c r="AK12" s="11"/>
      <c r="AL12" s="11"/>
      <c r="AM12" s="11"/>
      <c r="AN12" s="3" t="str" cm="1">
        <f t="array" ref="AN12">IF(OR(AA12:AM12="SI"),"Critico","No Critico")</f>
        <v>No Critico</v>
      </c>
    </row>
    <row r="13" spans="1:46" ht="38.25">
      <c r="A13" s="60">
        <f>Inicial!A13</f>
        <v>11</v>
      </c>
      <c r="B13" s="61" t="str">
        <f>Inicial!B13</f>
        <v>Desposte</v>
      </c>
      <c r="C13" s="61" t="str">
        <f>Inicial!C13</f>
        <v>Operario de producción línea Principal 1</v>
      </c>
      <c r="D13" s="62" t="str">
        <f>Inicial!D13</f>
        <v>Corte de pernil</v>
      </c>
      <c r="E13" s="60" t="str">
        <f>IF(Inicial!M13="SI",Inicial!E13,"N/A")</f>
        <v>N/A</v>
      </c>
      <c r="F13" s="61" t="str">
        <f>IF(Inicial!M13="SI",Inicial!F13,"N/A")</f>
        <v>N/A</v>
      </c>
      <c r="G13" s="61" t="str">
        <f>IF(Inicial!M13="SI",Inicial!G13,"N/A")</f>
        <v>N/A</v>
      </c>
      <c r="H13" s="61" t="str">
        <f>IF(Inicial!M13="SI",Inicial!H13,"N/A")</f>
        <v>N/A</v>
      </c>
      <c r="I13" s="63" t="str">
        <f>IF(Inicial!M13="SI",Inicial!I13,"N/A")</f>
        <v>N/A</v>
      </c>
      <c r="J13" s="11"/>
      <c r="K13" s="11"/>
      <c r="L13" s="11"/>
      <c r="M13" s="11"/>
      <c r="N13" s="11"/>
      <c r="O13" s="11"/>
      <c r="P13" s="11"/>
      <c r="Q13" s="11"/>
      <c r="R13" s="11"/>
      <c r="S13" s="11"/>
      <c r="T13" s="11"/>
      <c r="U13" s="11"/>
      <c r="V13" s="11"/>
      <c r="W13" s="12" t="str" cm="1">
        <f t="array" ref="W13">IF(OR(M13:V13="NO"),"No aceptable","Aceptable")</f>
        <v>Aceptable</v>
      </c>
      <c r="X13" s="11"/>
      <c r="Y13" s="11"/>
      <c r="Z13" s="11"/>
      <c r="AA13" s="11"/>
      <c r="AB13" s="11"/>
      <c r="AC13" s="11"/>
      <c r="AD13" s="11"/>
      <c r="AE13" s="11"/>
      <c r="AF13" s="11"/>
      <c r="AG13" s="11"/>
      <c r="AH13" s="11"/>
      <c r="AI13" s="11"/>
      <c r="AJ13" s="11"/>
      <c r="AK13" s="11"/>
      <c r="AL13" s="11"/>
      <c r="AM13" s="11"/>
      <c r="AN13" s="3" t="str" cm="1">
        <f t="array" ref="AN13">IF(OR(AA13:AM13="SI"),"Critico","No Critico")</f>
        <v>No Critico</v>
      </c>
    </row>
    <row r="14" spans="1:46" ht="38.25">
      <c r="A14" s="60">
        <f>Inicial!A14</f>
        <v>12</v>
      </c>
      <c r="B14" s="61" t="str">
        <f>Inicial!B14</f>
        <v>Desposte</v>
      </c>
      <c r="C14" s="61" t="str">
        <f>Inicial!C14</f>
        <v>Operario de producción línea Principal 1</v>
      </c>
      <c r="D14" s="62" t="str">
        <f>Inicial!D14</f>
        <v>Extracción de papada</v>
      </c>
      <c r="E14" s="60" t="str">
        <f>IF(Inicial!M14="SI",Inicial!E14,"N/A")</f>
        <v>N/A</v>
      </c>
      <c r="F14" s="61" t="str">
        <f>IF(Inicial!M14="SI",Inicial!F14,"N/A")</f>
        <v>N/A</v>
      </c>
      <c r="G14" s="61" t="str">
        <f>IF(Inicial!M14="SI",Inicial!G14,"N/A")</f>
        <v>N/A</v>
      </c>
      <c r="H14" s="61" t="str">
        <f>IF(Inicial!M14="SI",Inicial!H14,"N/A")</f>
        <v>N/A</v>
      </c>
      <c r="I14" s="63" t="str">
        <f>IF(Inicial!M14="SI",Inicial!I14,"N/A")</f>
        <v>N/A</v>
      </c>
      <c r="J14" s="11"/>
      <c r="K14" s="11"/>
      <c r="L14" s="11"/>
      <c r="M14" s="11"/>
      <c r="N14" s="11"/>
      <c r="O14" s="11"/>
      <c r="P14" s="11"/>
      <c r="Q14" s="11"/>
      <c r="R14" s="11"/>
      <c r="S14" s="11"/>
      <c r="T14" s="11"/>
      <c r="U14" s="11"/>
      <c r="V14" s="11"/>
      <c r="W14" s="12" t="str" cm="1">
        <f t="array" ref="W14">IF(OR(M14:V14="NO"),"No aceptable","Aceptable")</f>
        <v>Aceptable</v>
      </c>
      <c r="X14" s="11"/>
      <c r="Y14" s="11"/>
      <c r="Z14" s="11"/>
      <c r="AA14" s="11"/>
      <c r="AB14" s="11"/>
      <c r="AC14" s="11"/>
      <c r="AD14" s="11"/>
      <c r="AE14" s="11"/>
      <c r="AF14" s="11"/>
      <c r="AG14" s="11"/>
      <c r="AH14" s="11"/>
      <c r="AI14" s="11"/>
      <c r="AJ14" s="11"/>
      <c r="AK14" s="11"/>
      <c r="AL14" s="11"/>
      <c r="AM14" s="11"/>
      <c r="AN14" s="3" t="str" cm="1">
        <f t="array" ref="AN14">IF(OR(AA14:AM14="SI"),"Critico","No Critico")</f>
        <v>No Critico</v>
      </c>
    </row>
    <row r="15" spans="1:46" ht="38.25">
      <c r="A15" s="60">
        <f>Inicial!A15</f>
        <v>13</v>
      </c>
      <c r="B15" s="61" t="str">
        <f>Inicial!B15</f>
        <v>Desposte</v>
      </c>
      <c r="C15" s="61" t="str">
        <f>Inicial!C15</f>
        <v>Operario de producción línea Principal 1</v>
      </c>
      <c r="D15" s="62" t="str">
        <f>Inicial!D15</f>
        <v>Extracción de punta costilla izquierda</v>
      </c>
      <c r="E15" s="60" t="str">
        <f>IF(Inicial!M15="SI",Inicial!E15,"N/A")</f>
        <v>N/A</v>
      </c>
      <c r="F15" s="61" t="str">
        <f>IF(Inicial!M15="SI",Inicial!F15,"N/A")</f>
        <v>N/A</v>
      </c>
      <c r="G15" s="61" t="str">
        <f>IF(Inicial!M15="SI",Inicial!G15,"N/A")</f>
        <v>N/A</v>
      </c>
      <c r="H15" s="61" t="str">
        <f>IF(Inicial!M15="SI",Inicial!H15,"N/A")</f>
        <v>N/A</v>
      </c>
      <c r="I15" s="63" t="str">
        <f>IF(Inicial!M15="SI",Inicial!I15,"N/A")</f>
        <v>N/A</v>
      </c>
      <c r="J15" s="11"/>
      <c r="K15" s="11"/>
      <c r="L15" s="11"/>
      <c r="M15" s="11"/>
      <c r="N15" s="11"/>
      <c r="O15" s="11"/>
      <c r="P15" s="11"/>
      <c r="Q15" s="11"/>
      <c r="R15" s="11"/>
      <c r="S15" s="11"/>
      <c r="T15" s="11"/>
      <c r="U15" s="11"/>
      <c r="V15" s="11"/>
      <c r="W15" s="12" t="str" cm="1">
        <f t="array" ref="W15">IF(OR(M15:V15="NO"),"No aceptable","Aceptable")</f>
        <v>Aceptable</v>
      </c>
      <c r="X15" s="11"/>
      <c r="Y15" s="11"/>
      <c r="Z15" s="11"/>
      <c r="AA15" s="11"/>
      <c r="AB15" s="11"/>
      <c r="AC15" s="11"/>
      <c r="AD15" s="11"/>
      <c r="AE15" s="11"/>
      <c r="AF15" s="11"/>
      <c r="AG15" s="11"/>
      <c r="AH15" s="11"/>
      <c r="AI15" s="11"/>
      <c r="AJ15" s="11"/>
      <c r="AK15" s="11"/>
      <c r="AL15" s="11"/>
      <c r="AM15" s="11"/>
      <c r="AN15" s="3" t="str" cm="1">
        <f t="array" ref="AN15">IF(OR(AA15:AM15="SI"),"Critico","No Critico")</f>
        <v>No Critico</v>
      </c>
    </row>
    <row r="16" spans="1:46" ht="38.25">
      <c r="A16" s="60">
        <f>Inicial!A16</f>
        <v>14</v>
      </c>
      <c r="B16" s="61" t="str">
        <f>Inicial!B16</f>
        <v>Desposte</v>
      </c>
      <c r="C16" s="61" t="str">
        <f>Inicial!C16</f>
        <v>Operario de producción línea Principal 1</v>
      </c>
      <c r="D16" s="62" t="str">
        <f>Inicial!D16</f>
        <v>Extracción de punta costilla derecha</v>
      </c>
      <c r="E16" s="60" t="str">
        <f>IF(Inicial!M16="SI",Inicial!E16,"N/A")</f>
        <v>N/A</v>
      </c>
      <c r="F16" s="61" t="str">
        <f>IF(Inicial!M16="SI",Inicial!F16,"N/A")</f>
        <v>N/A</v>
      </c>
      <c r="G16" s="61" t="str">
        <f>IF(Inicial!M16="SI",Inicial!G16,"N/A")</f>
        <v>N/A</v>
      </c>
      <c r="H16" s="61" t="str">
        <f>IF(Inicial!M16="SI",Inicial!H16,"N/A")</f>
        <v>N/A</v>
      </c>
      <c r="I16" s="63" t="str">
        <f>IF(Inicial!M16="SI",Inicial!I16,"N/A")</f>
        <v>N/A</v>
      </c>
      <c r="J16" s="11"/>
      <c r="K16" s="11"/>
      <c r="L16" s="11"/>
      <c r="M16" s="11"/>
      <c r="N16" s="11"/>
      <c r="O16" s="11"/>
      <c r="P16" s="11"/>
      <c r="Q16" s="11"/>
      <c r="R16" s="11"/>
      <c r="S16" s="11"/>
      <c r="T16" s="11"/>
      <c r="U16" s="11"/>
      <c r="V16" s="11"/>
      <c r="W16" s="12" t="str" cm="1">
        <f t="array" ref="W16">IF(OR(M16:V16="NO"),"No aceptable","Aceptable")</f>
        <v>Aceptable</v>
      </c>
      <c r="X16" s="11"/>
      <c r="Y16" s="11"/>
      <c r="Z16" s="11"/>
      <c r="AA16" s="11"/>
      <c r="AB16" s="11"/>
      <c r="AC16" s="11"/>
      <c r="AD16" s="11"/>
      <c r="AE16" s="11"/>
      <c r="AF16" s="11"/>
      <c r="AG16" s="11"/>
      <c r="AH16" s="11"/>
      <c r="AI16" s="11"/>
      <c r="AJ16" s="11"/>
      <c r="AK16" s="11"/>
      <c r="AL16" s="11"/>
      <c r="AM16" s="11"/>
      <c r="AN16" s="3" t="str" cm="1">
        <f t="array" ref="AN16">IF(OR(AA16:AM16="SI"),"Critico","No Critico")</f>
        <v>No Critico</v>
      </c>
    </row>
    <row r="17" spans="1:40" ht="38.25">
      <c r="A17" s="60">
        <f>Inicial!A17</f>
        <v>15</v>
      </c>
      <c r="B17" s="61" t="str">
        <f>Inicial!B17</f>
        <v>Desposte</v>
      </c>
      <c r="C17" s="61" t="str">
        <f>Inicial!C17</f>
        <v>Operario de producción línea Principal 1</v>
      </c>
      <c r="D17" s="62" t="str">
        <f>Inicial!D17</f>
        <v>Operación de MSS</v>
      </c>
      <c r="E17" s="60" t="str">
        <f>IF(Inicial!M17="SI",Inicial!E17,"N/A")</f>
        <v>N/A</v>
      </c>
      <c r="F17" s="61" t="str">
        <f>IF(Inicial!M17="SI",Inicial!F17,"N/A")</f>
        <v>N/A</v>
      </c>
      <c r="G17" s="61" t="str">
        <f>IF(Inicial!M17="SI",Inicial!G17,"N/A")</f>
        <v>N/A</v>
      </c>
      <c r="H17" s="61" t="str">
        <f>IF(Inicial!M17="SI",Inicial!H17,"N/A")</f>
        <v>N/A</v>
      </c>
      <c r="I17" s="63" t="str">
        <f>IF(Inicial!M17="SI",Inicial!I17,"N/A")</f>
        <v>N/A</v>
      </c>
      <c r="J17" s="11"/>
      <c r="K17" s="11"/>
      <c r="L17" s="11"/>
      <c r="M17" s="11"/>
      <c r="N17" s="11"/>
      <c r="O17" s="11"/>
      <c r="P17" s="11"/>
      <c r="Q17" s="11"/>
      <c r="R17" s="11"/>
      <c r="S17" s="11"/>
      <c r="T17" s="11"/>
      <c r="U17" s="11"/>
      <c r="V17" s="11"/>
      <c r="W17" s="12" t="str" cm="1">
        <f t="array" ref="W17">IF(OR(M17:V17="NO"),"No aceptable","Aceptable")</f>
        <v>Aceptable</v>
      </c>
      <c r="X17" s="11"/>
      <c r="Y17" s="11"/>
      <c r="Z17" s="11"/>
      <c r="AA17" s="11"/>
      <c r="AB17" s="11"/>
      <c r="AC17" s="11"/>
      <c r="AD17" s="11"/>
      <c r="AE17" s="11"/>
      <c r="AF17" s="11"/>
      <c r="AG17" s="11"/>
      <c r="AH17" s="11"/>
      <c r="AI17" s="11"/>
      <c r="AJ17" s="11"/>
      <c r="AK17" s="11"/>
      <c r="AL17" s="11"/>
      <c r="AM17" s="11"/>
      <c r="AN17" s="3" t="str" cm="1">
        <f t="array" ref="AN17">IF(OR(AA17:AM17="SI"),"Critico","No Critico")</f>
        <v>No Critico</v>
      </c>
    </row>
    <row r="18" spans="1:40" ht="38.25">
      <c r="A18" s="60">
        <f>Inicial!A18</f>
        <v>16</v>
      </c>
      <c r="B18" s="61" t="str">
        <f>Inicial!B18</f>
        <v>Desposte</v>
      </c>
      <c r="C18" s="61" t="str">
        <f>Inicial!C18</f>
        <v>Operario de producción línea Principal 1</v>
      </c>
      <c r="D18" s="62" t="str">
        <f>Inicial!D18</f>
        <v>Extracción de hueso pecho</v>
      </c>
      <c r="E18" s="60" t="str">
        <f>IF(Inicial!M18="SI",Inicial!E18,"N/A")</f>
        <v>N/A</v>
      </c>
      <c r="F18" s="61" t="str">
        <f>IF(Inicial!M18="SI",Inicial!F18,"N/A")</f>
        <v>N/A</v>
      </c>
      <c r="G18" s="61" t="str">
        <f>IF(Inicial!M18="SI",Inicial!G18,"N/A")</f>
        <v>N/A</v>
      </c>
      <c r="H18" s="61" t="str">
        <f>IF(Inicial!M18="SI",Inicial!H18,"N/A")</f>
        <v>N/A</v>
      </c>
      <c r="I18" s="63" t="str">
        <f>IF(Inicial!M18="SI",Inicial!I18,"N/A")</f>
        <v>N/A</v>
      </c>
      <c r="J18" s="11"/>
      <c r="K18" s="11"/>
      <c r="L18" s="11"/>
      <c r="M18" s="11"/>
      <c r="N18" s="11"/>
      <c r="O18" s="11"/>
      <c r="P18" s="11"/>
      <c r="Q18" s="11"/>
      <c r="R18" s="11"/>
      <c r="S18" s="11"/>
      <c r="T18" s="11"/>
      <c r="U18" s="11"/>
      <c r="V18" s="11"/>
      <c r="W18" s="12" t="str" cm="1">
        <f t="array" ref="W18">IF(OR(M18:V18="NO"),"No aceptable","Aceptable")</f>
        <v>Aceptable</v>
      </c>
      <c r="X18" s="11"/>
      <c r="Y18" s="11"/>
      <c r="Z18" s="11"/>
      <c r="AA18" s="11"/>
      <c r="AB18" s="11"/>
      <c r="AC18" s="11"/>
      <c r="AD18" s="11"/>
      <c r="AE18" s="11"/>
      <c r="AF18" s="11"/>
      <c r="AG18" s="11"/>
      <c r="AH18" s="11"/>
      <c r="AI18" s="11"/>
      <c r="AJ18" s="11"/>
      <c r="AK18" s="11"/>
      <c r="AL18" s="11"/>
      <c r="AM18" s="11"/>
      <c r="AN18" s="3" t="str" cm="1">
        <f t="array" ref="AN18">IF(OR(AA18:AM18="SI"),"Critico","No Critico")</f>
        <v>No Critico</v>
      </c>
    </row>
    <row r="19" spans="1:40" ht="38.25">
      <c r="A19" s="60">
        <f>Inicial!A19</f>
        <v>17</v>
      </c>
      <c r="B19" s="61" t="str">
        <f>Inicial!B19</f>
        <v>Desposte</v>
      </c>
      <c r="C19" s="61" t="str">
        <f>Inicial!C19</f>
        <v>Operario de producción línea Principal 1</v>
      </c>
      <c r="D19" s="62" t="str">
        <f>Inicial!D19</f>
        <v>Deshuesado de panceta</v>
      </c>
      <c r="E19" s="60" t="str">
        <f>IF(Inicial!M19="SI",Inicial!E19,"N/A")</f>
        <v>N/A</v>
      </c>
      <c r="F19" s="61" t="str">
        <f>IF(Inicial!M19="SI",Inicial!F19,"N/A")</f>
        <v>N/A</v>
      </c>
      <c r="G19" s="61" t="str">
        <f>IF(Inicial!M19="SI",Inicial!G19,"N/A")</f>
        <v>N/A</v>
      </c>
      <c r="H19" s="61" t="str">
        <f>IF(Inicial!M19="SI",Inicial!H19,"N/A")</f>
        <v>N/A</v>
      </c>
      <c r="I19" s="63" t="str">
        <f>IF(Inicial!M19="SI",Inicial!I19,"N/A")</f>
        <v>N/A</v>
      </c>
      <c r="J19" s="11"/>
      <c r="K19" s="11"/>
      <c r="L19" s="11"/>
      <c r="M19" s="11"/>
      <c r="N19" s="11"/>
      <c r="O19" s="11"/>
      <c r="P19" s="11"/>
      <c r="Q19" s="11"/>
      <c r="R19" s="11"/>
      <c r="S19" s="11"/>
      <c r="T19" s="11"/>
      <c r="U19" s="11"/>
      <c r="V19" s="11"/>
      <c r="W19" s="12" t="str" cm="1">
        <f t="array" ref="W19">IF(OR(M19:V19="NO"),"No aceptable","Aceptable")</f>
        <v>Aceptable</v>
      </c>
      <c r="X19" s="11"/>
      <c r="Y19" s="11"/>
      <c r="Z19" s="11"/>
      <c r="AA19" s="11"/>
      <c r="AB19" s="11"/>
      <c r="AC19" s="11"/>
      <c r="AD19" s="11"/>
      <c r="AE19" s="11"/>
      <c r="AF19" s="11"/>
      <c r="AG19" s="11"/>
      <c r="AH19" s="11"/>
      <c r="AI19" s="11"/>
      <c r="AJ19" s="11"/>
      <c r="AK19" s="11"/>
      <c r="AL19" s="11"/>
      <c r="AM19" s="11"/>
      <c r="AN19" s="3" t="str" cm="1">
        <f t="array" ref="AN19">IF(OR(AA19:AM19="SI"),"Critico","No Critico")</f>
        <v>No Critico</v>
      </c>
    </row>
    <row r="20" spans="1:40" ht="38.25">
      <c r="A20" s="60">
        <f>Inicial!A20</f>
        <v>18</v>
      </c>
      <c r="B20" s="61" t="str">
        <f>Inicial!B20</f>
        <v>Desposte</v>
      </c>
      <c r="C20" s="61" t="str">
        <f>Inicial!C20</f>
        <v>Operario de producción Línea Lomos</v>
      </c>
      <c r="D20" s="62" t="str">
        <f>Inicial!D20</f>
        <v xml:space="preserve">Operador Descueradora Manual </v>
      </c>
      <c r="E20" s="60" t="str">
        <f>IF(Inicial!M20="SI",Inicial!E20,"N/A")</f>
        <v>N/A</v>
      </c>
      <c r="F20" s="61" t="str">
        <f>IF(Inicial!M20="SI",Inicial!F20,"N/A")</f>
        <v>N/A</v>
      </c>
      <c r="G20" s="61" t="str">
        <f>IF(Inicial!M20="SI",Inicial!G20,"N/A")</f>
        <v>N/A</v>
      </c>
      <c r="H20" s="61" t="str">
        <f>IF(Inicial!M20="SI",Inicial!H20,"N/A")</f>
        <v>N/A</v>
      </c>
      <c r="I20" s="63" t="str">
        <f>IF(Inicial!M20="SI",Inicial!I20,"N/A")</f>
        <v>N/A</v>
      </c>
      <c r="J20" s="11"/>
      <c r="K20" s="11"/>
      <c r="L20" s="11"/>
      <c r="M20" s="11"/>
      <c r="N20" s="11"/>
      <c r="O20" s="11"/>
      <c r="P20" s="11"/>
      <c r="Q20" s="11"/>
      <c r="R20" s="11"/>
      <c r="S20" s="11"/>
      <c r="T20" s="11"/>
      <c r="U20" s="11"/>
      <c r="V20" s="11"/>
      <c r="W20" s="12" t="str" cm="1">
        <f t="array" ref="W20">IF(OR(M20:V20="NO"),"No aceptable","Aceptable")</f>
        <v>Aceptable</v>
      </c>
      <c r="X20" s="11"/>
      <c r="Y20" s="11"/>
      <c r="Z20" s="11"/>
      <c r="AA20" s="11"/>
      <c r="AB20" s="11"/>
      <c r="AC20" s="11"/>
      <c r="AD20" s="11"/>
      <c r="AE20" s="11"/>
      <c r="AF20" s="11"/>
      <c r="AG20" s="11"/>
      <c r="AH20" s="11"/>
      <c r="AI20" s="11"/>
      <c r="AJ20" s="11"/>
      <c r="AK20" s="11"/>
      <c r="AL20" s="11"/>
      <c r="AM20" s="11"/>
      <c r="AN20" s="3" t="str" cm="1">
        <f t="array" ref="AN20">IF(OR(AA20:AM20="SI"),"Critico","No Critico")</f>
        <v>No Critico</v>
      </c>
    </row>
    <row r="21" spans="1:40" ht="38.25">
      <c r="A21" s="60">
        <f>Inicial!A21</f>
        <v>19</v>
      </c>
      <c r="B21" s="61" t="str">
        <f>Inicial!B21</f>
        <v>Desposte</v>
      </c>
      <c r="C21" s="61" t="str">
        <f>Inicial!C21</f>
        <v>Operario de producción Línea Lomos</v>
      </c>
      <c r="D21" s="62" t="str">
        <f>Inicial!D21</f>
        <v>Posicionamiento de lomo tecla</v>
      </c>
      <c r="E21" s="60" t="str">
        <f>IF(Inicial!M21="SI",Inicial!E21,"N/A")</f>
        <v>N/A</v>
      </c>
      <c r="F21" s="61" t="str">
        <f>IF(Inicial!M21="SI",Inicial!F21,"N/A")</f>
        <v>N/A</v>
      </c>
      <c r="G21" s="61" t="str">
        <f>IF(Inicial!M21="SI",Inicial!G21,"N/A")</f>
        <v>N/A</v>
      </c>
      <c r="H21" s="61" t="str">
        <f>IF(Inicial!M21="SI",Inicial!H21,"N/A")</f>
        <v>N/A</v>
      </c>
      <c r="I21" s="63" t="str">
        <f>IF(Inicial!M21="SI",Inicial!I21,"N/A")</f>
        <v>N/A</v>
      </c>
      <c r="J21" s="11"/>
      <c r="K21" s="11"/>
      <c r="L21" s="11"/>
      <c r="M21" s="11"/>
      <c r="N21" s="11"/>
      <c r="O21" s="11"/>
      <c r="P21" s="11"/>
      <c r="Q21" s="11"/>
      <c r="R21" s="11"/>
      <c r="S21" s="11"/>
      <c r="T21" s="11"/>
      <c r="U21" s="11"/>
      <c r="V21" s="11"/>
      <c r="W21" s="12" t="str" cm="1">
        <f t="array" ref="W21">IF(OR(M21:V21="NO"),"No aceptable","Aceptable")</f>
        <v>Aceptable</v>
      </c>
      <c r="X21" s="11"/>
      <c r="Y21" s="11"/>
      <c r="Z21" s="11"/>
      <c r="AA21" s="11"/>
      <c r="AB21" s="11"/>
      <c r="AC21" s="11"/>
      <c r="AD21" s="11"/>
      <c r="AE21" s="11"/>
      <c r="AF21" s="11"/>
      <c r="AG21" s="11"/>
      <c r="AH21" s="11"/>
      <c r="AI21" s="11"/>
      <c r="AJ21" s="11"/>
      <c r="AK21" s="11"/>
      <c r="AL21" s="11"/>
      <c r="AM21" s="11"/>
      <c r="AN21" s="3" t="str" cm="1">
        <f t="array" ref="AN21">IF(OR(AA21:AM21="SI"),"Critico","No Critico")</f>
        <v>No Critico</v>
      </c>
    </row>
    <row r="22" spans="1:40" ht="38.25">
      <c r="A22" s="60">
        <f>Inicial!A22</f>
        <v>20</v>
      </c>
      <c r="B22" s="61" t="str">
        <f>Inicial!B22</f>
        <v>Desposte</v>
      </c>
      <c r="C22" s="61" t="str">
        <f>Inicial!C22</f>
        <v>Operario de producción Línea Lomos</v>
      </c>
      <c r="D22" s="62" t="str">
        <f>Inicial!D22</f>
        <v>Prolijado de lomo tecla extracción de cordon</v>
      </c>
      <c r="E22" s="60" t="str">
        <f>IF(Inicial!M22="SI",Inicial!E22,"N/A")</f>
        <v>N/A</v>
      </c>
      <c r="F22" s="61" t="str">
        <f>IF(Inicial!M22="SI",Inicial!F22,"N/A")</f>
        <v>N/A</v>
      </c>
      <c r="G22" s="61" t="str">
        <f>IF(Inicial!M22="SI",Inicial!G22,"N/A")</f>
        <v>N/A</v>
      </c>
      <c r="H22" s="61" t="str">
        <f>IF(Inicial!M22="SI",Inicial!H22,"N/A")</f>
        <v>N/A</v>
      </c>
      <c r="I22" s="63" t="str">
        <f>IF(Inicial!M22="SI",Inicial!I22,"N/A")</f>
        <v>N/A</v>
      </c>
      <c r="J22" s="11"/>
      <c r="K22" s="11"/>
      <c r="L22" s="11"/>
      <c r="M22" s="11"/>
      <c r="N22" s="11"/>
      <c r="O22" s="11"/>
      <c r="P22" s="11"/>
      <c r="Q22" s="11"/>
      <c r="R22" s="11"/>
      <c r="S22" s="11"/>
      <c r="T22" s="11"/>
      <c r="U22" s="11"/>
      <c r="V22" s="11"/>
      <c r="W22" s="12" t="str" cm="1">
        <f t="array" ref="W22">IF(OR(M22:V22="NO"),"No aceptable","Aceptable")</f>
        <v>Aceptable</v>
      </c>
      <c r="X22" s="11"/>
      <c r="Y22" s="11"/>
      <c r="Z22" s="11"/>
      <c r="AA22" s="11"/>
      <c r="AB22" s="11"/>
      <c r="AC22" s="11"/>
      <c r="AD22" s="11"/>
      <c r="AE22" s="11"/>
      <c r="AF22" s="11"/>
      <c r="AG22" s="11"/>
      <c r="AH22" s="11"/>
      <c r="AI22" s="11"/>
      <c r="AJ22" s="11"/>
      <c r="AK22" s="11"/>
      <c r="AL22" s="11"/>
      <c r="AM22" s="11"/>
      <c r="AN22" s="3" t="str" cm="1">
        <f t="array" ref="AN22">IF(OR(AA22:AM22="SI"),"Critico","No Critico")</f>
        <v>No Critico</v>
      </c>
    </row>
    <row r="23" spans="1:40" ht="38.25">
      <c r="A23" s="60">
        <f>Inicial!A23</f>
        <v>21</v>
      </c>
      <c r="B23" s="61" t="str">
        <f>Inicial!B23</f>
        <v>Desposte</v>
      </c>
      <c r="C23" s="61" t="str">
        <f>Inicial!C23</f>
        <v>Operario de producción Línea Lomos</v>
      </c>
      <c r="D23" s="62" t="str">
        <f>Inicial!D23</f>
        <v>Extracción de cuero a tocino</v>
      </c>
      <c r="E23" s="60" t="str">
        <f>IF(Inicial!M23="SI",Inicial!E23,"N/A")</f>
        <v>N/A</v>
      </c>
      <c r="F23" s="61" t="str">
        <f>IF(Inicial!M23="SI",Inicial!F23,"N/A")</f>
        <v>N/A</v>
      </c>
      <c r="G23" s="61" t="str">
        <f>IF(Inicial!M23="SI",Inicial!G23,"N/A")</f>
        <v>N/A</v>
      </c>
      <c r="H23" s="61" t="str">
        <f>IF(Inicial!M23="SI",Inicial!H23,"N/A")</f>
        <v>N/A</v>
      </c>
      <c r="I23" s="63" t="str">
        <f>IF(Inicial!M23="SI",Inicial!I23,"N/A")</f>
        <v>N/A</v>
      </c>
      <c r="J23" s="11"/>
      <c r="K23" s="11"/>
      <c r="L23" s="11"/>
      <c r="M23" s="11"/>
      <c r="N23" s="11"/>
      <c r="O23" s="11"/>
      <c r="P23" s="11"/>
      <c r="Q23" s="11"/>
      <c r="R23" s="11"/>
      <c r="S23" s="11"/>
      <c r="T23" s="11"/>
      <c r="U23" s="11"/>
      <c r="V23" s="11"/>
      <c r="W23" s="12" t="str" cm="1">
        <f t="array" ref="W23">IF(OR(M23:V23="NO"),"No aceptable","Aceptable")</f>
        <v>Aceptable</v>
      </c>
      <c r="X23" s="11"/>
      <c r="Y23" s="11"/>
      <c r="Z23" s="11"/>
      <c r="AA23" s="11"/>
      <c r="AB23" s="11"/>
      <c r="AC23" s="11"/>
      <c r="AD23" s="11"/>
      <c r="AE23" s="11"/>
      <c r="AF23" s="11"/>
      <c r="AG23" s="11"/>
      <c r="AH23" s="11"/>
      <c r="AI23" s="11"/>
      <c r="AJ23" s="11"/>
      <c r="AK23" s="11"/>
      <c r="AL23" s="11"/>
      <c r="AM23" s="11"/>
      <c r="AN23" s="3" t="str" cm="1">
        <f t="array" ref="AN23">IF(OR(AA23:AM23="SI"),"Critico","No Critico")</f>
        <v>No Critico</v>
      </c>
    </row>
    <row r="24" spans="1:40" ht="38.25">
      <c r="A24" s="60">
        <f>Inicial!A24</f>
        <v>22</v>
      </c>
      <c r="B24" s="61" t="str">
        <f>Inicial!B24</f>
        <v>Desposte</v>
      </c>
      <c r="C24" s="61" t="str">
        <f>Inicial!C24</f>
        <v>Operario de producción Línea Lomos</v>
      </c>
      <c r="D24" s="62" t="str">
        <f>Inicial!D24</f>
        <v xml:space="preserve">Rayado de lomo tecla </v>
      </c>
      <c r="E24" s="60" t="str">
        <f>IF(Inicial!M24="SI",Inicial!E24,"N/A")</f>
        <v>N/A</v>
      </c>
      <c r="F24" s="61" t="str">
        <f>IF(Inicial!M24="SI",Inicial!F24,"N/A")</f>
        <v>N/A</v>
      </c>
      <c r="G24" s="61" t="str">
        <f>IF(Inicial!M24="SI",Inicial!G24,"N/A")</f>
        <v>N/A</v>
      </c>
      <c r="H24" s="61" t="str">
        <f>IF(Inicial!M24="SI",Inicial!H24,"N/A")</f>
        <v>N/A</v>
      </c>
      <c r="I24" s="63" t="str">
        <f>IF(Inicial!M24="SI",Inicial!I24,"N/A")</f>
        <v>N/A</v>
      </c>
      <c r="J24" s="11"/>
      <c r="K24" s="11"/>
      <c r="L24" s="11"/>
      <c r="M24" s="11"/>
      <c r="N24" s="11"/>
      <c r="O24" s="11"/>
      <c r="P24" s="11"/>
      <c r="Q24" s="11"/>
      <c r="R24" s="11"/>
      <c r="S24" s="11"/>
      <c r="T24" s="11"/>
      <c r="U24" s="11"/>
      <c r="V24" s="11"/>
      <c r="W24" s="12" t="str" cm="1">
        <f t="array" ref="W24">IF(OR(M24:V24="NO"),"No aceptable","Aceptable")</f>
        <v>Aceptable</v>
      </c>
      <c r="X24" s="11"/>
      <c r="Y24" s="11"/>
      <c r="Z24" s="11"/>
      <c r="AA24" s="11"/>
      <c r="AB24" s="11"/>
      <c r="AC24" s="11"/>
      <c r="AD24" s="11"/>
      <c r="AE24" s="11"/>
      <c r="AF24" s="11"/>
      <c r="AG24" s="11"/>
      <c r="AH24" s="11"/>
      <c r="AI24" s="11"/>
      <c r="AJ24" s="11"/>
      <c r="AK24" s="11"/>
      <c r="AL24" s="11"/>
      <c r="AM24" s="11"/>
      <c r="AN24" s="3" t="str" cm="1">
        <f t="array" ref="AN24">IF(OR(AA24:AM24="SI"),"Critico","No Critico")</f>
        <v>No Critico</v>
      </c>
    </row>
    <row r="25" spans="1:40" ht="38.25">
      <c r="A25" s="60">
        <f>Inicial!A25</f>
        <v>23</v>
      </c>
      <c r="B25" s="61" t="str">
        <f>Inicial!B25</f>
        <v>Desposte</v>
      </c>
      <c r="C25" s="61" t="str">
        <f>Inicial!C25</f>
        <v>Operario de producción Línea Lomos</v>
      </c>
      <c r="D25" s="62" t="str">
        <f>Inicial!D25</f>
        <v>Rayado de lomo</v>
      </c>
      <c r="E25" s="60" t="str">
        <f>IF(Inicial!M25="SI",Inicial!E25,"N/A")</f>
        <v>N/A</v>
      </c>
      <c r="F25" s="61" t="str">
        <f>IF(Inicial!M25="SI",Inicial!F25,"N/A")</f>
        <v>N/A</v>
      </c>
      <c r="G25" s="61" t="str">
        <f>IF(Inicial!M25="SI",Inicial!G25,"N/A")</f>
        <v>N/A</v>
      </c>
      <c r="H25" s="61" t="str">
        <f>IF(Inicial!M25="SI",Inicial!H25,"N/A")</f>
        <v>N/A</v>
      </c>
      <c r="I25" s="63" t="str">
        <f>IF(Inicial!M25="SI",Inicial!I25,"N/A")</f>
        <v>N/A</v>
      </c>
      <c r="J25" s="11"/>
      <c r="K25" s="11"/>
      <c r="L25" s="11"/>
      <c r="M25" s="11"/>
      <c r="N25" s="11"/>
      <c r="O25" s="11"/>
      <c r="P25" s="11"/>
      <c r="Q25" s="11"/>
      <c r="R25" s="11"/>
      <c r="S25" s="11"/>
      <c r="T25" s="11"/>
      <c r="U25" s="11"/>
      <c r="V25" s="11"/>
      <c r="W25" s="12" t="str" cm="1">
        <f t="array" ref="W25">IF(OR(M25:V25="NO"),"No aceptable","Aceptable")</f>
        <v>Aceptable</v>
      </c>
      <c r="X25" s="11"/>
      <c r="Y25" s="11"/>
      <c r="Z25" s="11"/>
      <c r="AA25" s="11"/>
      <c r="AB25" s="11"/>
      <c r="AC25" s="11"/>
      <c r="AD25" s="11"/>
      <c r="AE25" s="11"/>
      <c r="AF25" s="11"/>
      <c r="AG25" s="11"/>
      <c r="AH25" s="11"/>
      <c r="AI25" s="11"/>
      <c r="AJ25" s="11"/>
      <c r="AK25" s="11"/>
      <c r="AL25" s="11"/>
      <c r="AM25" s="11"/>
      <c r="AN25" s="3" t="str" cm="1">
        <f t="array" ref="AN25">IF(OR(AA25:AM25="SI"),"Critico","No Critico")</f>
        <v>No Critico</v>
      </c>
    </row>
    <row r="26" spans="1:40" ht="38.25">
      <c r="A26" s="60">
        <f>Inicial!A26</f>
        <v>24</v>
      </c>
      <c r="B26" s="61" t="str">
        <f>Inicial!B26</f>
        <v>Desposte</v>
      </c>
      <c r="C26" s="61" t="str">
        <f>Inicial!C26</f>
        <v>Operario de producción Línea Lomos</v>
      </c>
      <c r="D26" s="62" t="str">
        <f>Inicial!D26</f>
        <v>Operador de Desprendedora de Lomo</v>
      </c>
      <c r="E26" s="60" t="str">
        <f>IF(Inicial!M26="SI",Inicial!E26,"N/A")</f>
        <v>N/A</v>
      </c>
      <c r="F26" s="61" t="str">
        <f>IF(Inicial!M26="SI",Inicial!F26,"N/A")</f>
        <v>N/A</v>
      </c>
      <c r="G26" s="61" t="str">
        <f>IF(Inicial!M26="SI",Inicial!G26,"N/A")</f>
        <v>N/A</v>
      </c>
      <c r="H26" s="61" t="str">
        <f>IF(Inicial!M26="SI",Inicial!H26,"N/A")</f>
        <v>N/A</v>
      </c>
      <c r="I26" s="63" t="str">
        <f>IF(Inicial!M26="SI",Inicial!I26,"N/A")</f>
        <v>N/A</v>
      </c>
      <c r="J26" s="11"/>
      <c r="K26" s="11"/>
      <c r="L26" s="11"/>
      <c r="M26" s="11"/>
      <c r="N26" s="11"/>
      <c r="O26" s="11"/>
      <c r="P26" s="11"/>
      <c r="Q26" s="11"/>
      <c r="R26" s="11"/>
      <c r="S26" s="11"/>
      <c r="T26" s="11"/>
      <c r="U26" s="11"/>
      <c r="V26" s="11"/>
      <c r="W26" s="12" t="str" cm="1">
        <f t="array" ref="W26">IF(OR(M26:V26="NO"),"No aceptable","Aceptable")</f>
        <v>Aceptable</v>
      </c>
      <c r="X26" s="11"/>
      <c r="Y26" s="11"/>
      <c r="Z26" s="11"/>
      <c r="AA26" s="11"/>
      <c r="AB26" s="11"/>
      <c r="AC26" s="11"/>
      <c r="AD26" s="11"/>
      <c r="AE26" s="11"/>
      <c r="AF26" s="11"/>
      <c r="AG26" s="11"/>
      <c r="AH26" s="11"/>
      <c r="AI26" s="11"/>
      <c r="AJ26" s="11"/>
      <c r="AK26" s="11"/>
      <c r="AL26" s="11"/>
      <c r="AM26" s="11"/>
      <c r="AN26" s="3" t="str" cm="1">
        <f t="array" ref="AN26">IF(OR(AA26:AM26="SI"),"Critico","No Critico")</f>
        <v>No Critico</v>
      </c>
    </row>
    <row r="27" spans="1:40" ht="38.25">
      <c r="A27" s="60">
        <f>Inicial!A27</f>
        <v>25</v>
      </c>
      <c r="B27" s="61" t="str">
        <f>Inicial!B27</f>
        <v>Desposte</v>
      </c>
      <c r="C27" s="61" t="str">
        <f>Inicial!C27</f>
        <v>Operario de producción Línea Lomos</v>
      </c>
      <c r="D27" s="62" t="str">
        <f>Inicial!D27</f>
        <v>Prolijado de lomo tocino</v>
      </c>
      <c r="E27" s="60" t="str">
        <f>IF(Inicial!M27="SI",Inicial!E27,"N/A")</f>
        <v>N/A</v>
      </c>
      <c r="F27" s="61" t="str">
        <f>IF(Inicial!M27="SI",Inicial!F27,"N/A")</f>
        <v>N/A</v>
      </c>
      <c r="G27" s="61" t="str">
        <f>IF(Inicial!M27="SI",Inicial!G27,"N/A")</f>
        <v>N/A</v>
      </c>
      <c r="H27" s="61" t="str">
        <f>IF(Inicial!M27="SI",Inicial!H27,"N/A")</f>
        <v>N/A</v>
      </c>
      <c r="I27" s="63" t="str">
        <f>IF(Inicial!M27="SI",Inicial!I27,"N/A")</f>
        <v>N/A</v>
      </c>
      <c r="J27" s="11"/>
      <c r="K27" s="11"/>
      <c r="L27" s="11"/>
      <c r="M27" s="11"/>
      <c r="N27" s="11"/>
      <c r="O27" s="11"/>
      <c r="P27" s="11"/>
      <c r="Q27" s="11"/>
      <c r="R27" s="11"/>
      <c r="S27" s="11"/>
      <c r="T27" s="11"/>
      <c r="U27" s="11"/>
      <c r="V27" s="11"/>
      <c r="W27" s="12" t="str" cm="1">
        <f t="array" ref="W27">IF(OR(M27:V27="NO"),"No aceptable","Aceptable")</f>
        <v>Aceptable</v>
      </c>
      <c r="X27" s="11"/>
      <c r="Y27" s="11"/>
      <c r="Z27" s="11"/>
      <c r="AA27" s="11"/>
      <c r="AB27" s="11"/>
      <c r="AC27" s="11"/>
      <c r="AD27" s="11"/>
      <c r="AE27" s="11"/>
      <c r="AF27" s="11"/>
      <c r="AG27" s="11"/>
      <c r="AH27" s="11"/>
      <c r="AI27" s="11"/>
      <c r="AJ27" s="11"/>
      <c r="AK27" s="11"/>
      <c r="AL27" s="11"/>
      <c r="AM27" s="11"/>
      <c r="AN27" s="3" t="str" cm="1">
        <f t="array" ref="AN27">IF(OR(AA27:AM27="SI"),"Critico","No Critico")</f>
        <v>No Critico</v>
      </c>
    </row>
    <row r="28" spans="1:40" ht="38.25">
      <c r="A28" s="60">
        <f>Inicial!A28</f>
        <v>26</v>
      </c>
      <c r="B28" s="61" t="str">
        <f>Inicial!B28</f>
        <v>Desposte</v>
      </c>
      <c r="C28" s="61" t="str">
        <f>Inicial!C28</f>
        <v>Operario de producción Línea Lomos</v>
      </c>
      <c r="D28" s="62" t="str">
        <f>Inicial!D28</f>
        <v>Cuadrado de lomo tecla</v>
      </c>
      <c r="E28" s="60" t="str">
        <f>IF(Inicial!M28="SI",Inicial!E28,"N/A")</f>
        <v>N/A</v>
      </c>
      <c r="F28" s="61" t="str">
        <f>IF(Inicial!M28="SI",Inicial!F28,"N/A")</f>
        <v>N/A</v>
      </c>
      <c r="G28" s="61" t="str">
        <f>IF(Inicial!M28="SI",Inicial!G28,"N/A")</f>
        <v>N/A</v>
      </c>
      <c r="H28" s="61" t="str">
        <f>IF(Inicial!M28="SI",Inicial!H28,"N/A")</f>
        <v>N/A</v>
      </c>
      <c r="I28" s="63" t="str">
        <f>IF(Inicial!M28="SI",Inicial!I28,"N/A")</f>
        <v>N/A</v>
      </c>
      <c r="J28" s="11"/>
      <c r="K28" s="11"/>
      <c r="L28" s="11"/>
      <c r="M28" s="11"/>
      <c r="N28" s="11"/>
      <c r="O28" s="11"/>
      <c r="P28" s="11"/>
      <c r="Q28" s="11"/>
      <c r="R28" s="11"/>
      <c r="S28" s="11"/>
      <c r="T28" s="11"/>
      <c r="U28" s="11"/>
      <c r="V28" s="11"/>
      <c r="W28" s="12" t="str" cm="1">
        <f t="array" ref="W28">IF(OR(M28:V28="NO"),"No aceptable","Aceptable")</f>
        <v>Aceptable</v>
      </c>
      <c r="X28" s="11"/>
      <c r="Y28" s="11"/>
      <c r="Z28" s="11"/>
      <c r="AA28" s="11"/>
      <c r="AB28" s="11"/>
      <c r="AC28" s="11"/>
      <c r="AD28" s="11"/>
      <c r="AE28" s="11"/>
      <c r="AF28" s="11"/>
      <c r="AG28" s="11"/>
      <c r="AH28" s="11"/>
      <c r="AI28" s="11"/>
      <c r="AJ28" s="11"/>
      <c r="AK28" s="11"/>
      <c r="AL28" s="11"/>
      <c r="AM28" s="11"/>
      <c r="AN28" s="3" t="str" cm="1">
        <f t="array" ref="AN28">IF(OR(AA28:AM28="SI"),"Critico","No Critico")</f>
        <v>No Critico</v>
      </c>
    </row>
    <row r="29" spans="1:40" ht="38.25">
      <c r="A29" s="60">
        <f>Inicial!A29</f>
        <v>27</v>
      </c>
      <c r="B29" s="61" t="str">
        <f>Inicial!B29</f>
        <v>Desposte</v>
      </c>
      <c r="C29" s="61" t="str">
        <f>Inicial!C29</f>
        <v>Operario de producción Línea Lomos</v>
      </c>
      <c r="D29" s="62" t="str">
        <f>Inicial!D29</f>
        <v>Distribuidor de lomos</v>
      </c>
      <c r="E29" s="60" t="str">
        <f>IF(Inicial!M29="SI",Inicial!E29,"N/A")</f>
        <v>N/A</v>
      </c>
      <c r="F29" s="61" t="str">
        <f>IF(Inicial!M29="SI",Inicial!F29,"N/A")</f>
        <v>N/A</v>
      </c>
      <c r="G29" s="61" t="str">
        <f>IF(Inicial!M29="SI",Inicial!G29,"N/A")</f>
        <v>N/A</v>
      </c>
      <c r="H29" s="61" t="str">
        <f>IF(Inicial!M29="SI",Inicial!H29,"N/A")</f>
        <v>N/A</v>
      </c>
      <c r="I29" s="63" t="str">
        <f>IF(Inicial!M29="SI",Inicial!I29,"N/A")</f>
        <v>N/A</v>
      </c>
      <c r="J29" s="11"/>
      <c r="K29" s="11"/>
      <c r="L29" s="11"/>
      <c r="M29" s="11"/>
      <c r="N29" s="11"/>
      <c r="O29" s="11"/>
      <c r="P29" s="11"/>
      <c r="Q29" s="11"/>
      <c r="R29" s="11"/>
      <c r="S29" s="11"/>
      <c r="T29" s="11"/>
      <c r="U29" s="11"/>
      <c r="V29" s="11"/>
      <c r="W29" s="12" t="str" cm="1">
        <f t="array" ref="W29">IF(OR(M29:V29="NO"),"No aceptable","Aceptable")</f>
        <v>Aceptable</v>
      </c>
      <c r="X29" s="11"/>
      <c r="Y29" s="11"/>
      <c r="Z29" s="11"/>
      <c r="AA29" s="11"/>
      <c r="AB29" s="11"/>
      <c r="AC29" s="11"/>
      <c r="AD29" s="11"/>
      <c r="AE29" s="11"/>
      <c r="AF29" s="11"/>
      <c r="AG29" s="11"/>
      <c r="AH29" s="11"/>
      <c r="AI29" s="11"/>
      <c r="AJ29" s="11"/>
      <c r="AK29" s="11"/>
      <c r="AL29" s="11"/>
      <c r="AM29" s="11"/>
      <c r="AN29" s="3" t="str" cm="1">
        <f t="array" ref="AN29">IF(OR(AA29:AM29="SI"),"Critico","No Critico")</f>
        <v>No Critico</v>
      </c>
    </row>
    <row r="30" spans="1:40" ht="38.25">
      <c r="A30" s="60">
        <f>Inicial!A30</f>
        <v>28</v>
      </c>
      <c r="B30" s="61" t="str">
        <f>Inicial!B30</f>
        <v>Desposte</v>
      </c>
      <c r="C30" s="61" t="str">
        <f>Inicial!C30</f>
        <v>Operario de producción Línea Lomos</v>
      </c>
      <c r="D30" s="62" t="str">
        <f>Inicial!D30</f>
        <v>Extraccion de cordon de lomo</v>
      </c>
      <c r="E30" s="60" t="str">
        <f>IF(Inicial!M30="SI",Inicial!E30,"N/A")</f>
        <v>N/A</v>
      </c>
      <c r="F30" s="61" t="str">
        <f>IF(Inicial!M30="SI",Inicial!F30,"N/A")</f>
        <v>N/A</v>
      </c>
      <c r="G30" s="61" t="str">
        <f>IF(Inicial!M30="SI",Inicial!G30,"N/A")</f>
        <v>N/A</v>
      </c>
      <c r="H30" s="61" t="str">
        <f>IF(Inicial!M30="SI",Inicial!H30,"N/A")</f>
        <v>N/A</v>
      </c>
      <c r="I30" s="63" t="str">
        <f>IF(Inicial!M30="SI",Inicial!I30,"N/A")</f>
        <v>N/A</v>
      </c>
      <c r="J30" s="11"/>
      <c r="K30" s="11"/>
      <c r="L30" s="11"/>
      <c r="M30" s="11"/>
      <c r="N30" s="11"/>
      <c r="O30" s="11"/>
      <c r="P30" s="11"/>
      <c r="Q30" s="11"/>
      <c r="R30" s="11"/>
      <c r="S30" s="11"/>
      <c r="T30" s="11"/>
      <c r="U30" s="11"/>
      <c r="V30" s="11"/>
      <c r="W30" s="12" t="str" cm="1">
        <f t="array" ref="W30">IF(OR(M30:V30="NO"),"No aceptable","Aceptable")</f>
        <v>Aceptable</v>
      </c>
      <c r="X30" s="11"/>
      <c r="Y30" s="11"/>
      <c r="Z30" s="11"/>
      <c r="AA30" s="11"/>
      <c r="AB30" s="11"/>
      <c r="AC30" s="11"/>
      <c r="AD30" s="11"/>
      <c r="AE30" s="11"/>
      <c r="AF30" s="11"/>
      <c r="AG30" s="11"/>
      <c r="AH30" s="11"/>
      <c r="AI30" s="11"/>
      <c r="AJ30" s="11"/>
      <c r="AK30" s="11"/>
      <c r="AL30" s="11"/>
      <c r="AM30" s="11"/>
      <c r="AN30" s="3" t="str" cm="1">
        <f t="array" ref="AN30">IF(OR(AA30:AM30="SI"),"Critico","No Critico")</f>
        <v>No Critico</v>
      </c>
    </row>
    <row r="31" spans="1:40" ht="38.25">
      <c r="A31" s="60">
        <f>Inicial!A31</f>
        <v>29</v>
      </c>
      <c r="B31" s="61" t="str">
        <f>Inicial!B31</f>
        <v>Desposte</v>
      </c>
      <c r="C31" s="61" t="str">
        <f>Inicial!C31</f>
        <v>Operario de producción Línea Lomos</v>
      </c>
      <c r="D31" s="62" t="str">
        <f>Inicial!D31</f>
        <v>Prolijado de lomo con cuchillo circular</v>
      </c>
      <c r="E31" s="60" t="str">
        <f>IF(Inicial!M31="SI",Inicial!E31,"N/A")</f>
        <v>N/A</v>
      </c>
      <c r="F31" s="61" t="str">
        <f>IF(Inicial!M31="SI",Inicial!F31,"N/A")</f>
        <v>N/A</v>
      </c>
      <c r="G31" s="61" t="str">
        <f>IF(Inicial!M31="SI",Inicial!G31,"N/A")</f>
        <v>N/A</v>
      </c>
      <c r="H31" s="61" t="str">
        <f>IF(Inicial!M31="SI",Inicial!H31,"N/A")</f>
        <v>N/A</v>
      </c>
      <c r="I31" s="63" t="str">
        <f>IF(Inicial!M31="SI",Inicial!I31,"N/A")</f>
        <v>N/A</v>
      </c>
      <c r="J31" s="11"/>
      <c r="K31" s="11"/>
      <c r="L31" s="11"/>
      <c r="M31" s="11"/>
      <c r="N31" s="11"/>
      <c r="O31" s="11"/>
      <c r="P31" s="11"/>
      <c r="Q31" s="11"/>
      <c r="R31" s="11"/>
      <c r="S31" s="11"/>
      <c r="T31" s="11"/>
      <c r="U31" s="11"/>
      <c r="V31" s="11"/>
      <c r="W31" s="12" t="str" cm="1">
        <f t="array" ref="W31">IF(OR(M31:V31="NO"),"No aceptable","Aceptable")</f>
        <v>Aceptable</v>
      </c>
      <c r="X31" s="11"/>
      <c r="Y31" s="11"/>
      <c r="Z31" s="11"/>
      <c r="AA31" s="11"/>
      <c r="AB31" s="11"/>
      <c r="AC31" s="11"/>
      <c r="AD31" s="11"/>
      <c r="AE31" s="11"/>
      <c r="AF31" s="11"/>
      <c r="AG31" s="11"/>
      <c r="AH31" s="11"/>
      <c r="AI31" s="11"/>
      <c r="AJ31" s="11"/>
      <c r="AK31" s="11"/>
      <c r="AL31" s="11"/>
      <c r="AM31" s="11"/>
      <c r="AN31" s="3" t="str" cm="1">
        <f t="array" ref="AN31">IF(OR(AA31:AM31="SI"),"Critico","No Critico")</f>
        <v>No Critico</v>
      </c>
    </row>
    <row r="32" spans="1:40" ht="38.25">
      <c r="A32" s="60">
        <f>Inicial!A32</f>
        <v>30</v>
      </c>
      <c r="B32" s="61" t="str">
        <f>Inicial!B32</f>
        <v>Desposte</v>
      </c>
      <c r="C32" s="61" t="str">
        <f>Inicial!C32</f>
        <v>Operario de producción Línea Lomos</v>
      </c>
      <c r="D32" s="62" t="str">
        <f>Inicial!D32</f>
        <v>Cuadrado de lomo</v>
      </c>
      <c r="E32" s="60" t="str">
        <f>IF(Inicial!M32="SI",Inicial!E32,"N/A")</f>
        <v>N/A</v>
      </c>
      <c r="F32" s="61" t="str">
        <f>IF(Inicial!M32="SI",Inicial!F32,"N/A")</f>
        <v>N/A</v>
      </c>
      <c r="G32" s="61" t="str">
        <f>IF(Inicial!M32="SI",Inicial!G32,"N/A")</f>
        <v>N/A</v>
      </c>
      <c r="H32" s="61" t="str">
        <f>IF(Inicial!M32="SI",Inicial!H32,"N/A")</f>
        <v>N/A</v>
      </c>
      <c r="I32" s="63" t="str">
        <f>IF(Inicial!M32="SI",Inicial!I32,"N/A")</f>
        <v>N/A</v>
      </c>
      <c r="J32" s="11"/>
      <c r="K32" s="11"/>
      <c r="L32" s="11"/>
      <c r="M32" s="11"/>
      <c r="N32" s="11"/>
      <c r="O32" s="11"/>
      <c r="P32" s="11"/>
      <c r="Q32" s="11"/>
      <c r="R32" s="11"/>
      <c r="S32" s="11"/>
      <c r="T32" s="11"/>
      <c r="U32" s="11"/>
      <c r="V32" s="11"/>
      <c r="W32" s="12" t="str" cm="1">
        <f t="array" ref="W32">IF(OR(M32:V32="NO"),"No aceptable","Aceptable")</f>
        <v>Aceptable</v>
      </c>
      <c r="X32" s="11"/>
      <c r="Y32" s="11"/>
      <c r="Z32" s="11"/>
      <c r="AA32" s="11"/>
      <c r="AB32" s="11"/>
      <c r="AC32" s="11"/>
      <c r="AD32" s="11"/>
      <c r="AE32" s="11"/>
      <c r="AF32" s="11"/>
      <c r="AG32" s="11"/>
      <c r="AH32" s="11"/>
      <c r="AI32" s="11"/>
      <c r="AJ32" s="11"/>
      <c r="AK32" s="11"/>
      <c r="AL32" s="11"/>
      <c r="AM32" s="11"/>
      <c r="AN32" s="3" t="str" cm="1">
        <f t="array" ref="AN32">IF(OR(AA32:AM32="SI"),"Critico","No Critico")</f>
        <v>No Critico</v>
      </c>
    </row>
    <row r="33" spans="1:40" ht="38.25">
      <c r="A33" s="60">
        <f>Inicial!A33</f>
        <v>31</v>
      </c>
      <c r="B33" s="61" t="str">
        <f>Inicial!B33</f>
        <v>Desposte</v>
      </c>
      <c r="C33" s="61" t="str">
        <f>Inicial!C33</f>
        <v>Operario de producción Línea Lomos</v>
      </c>
      <c r="D33" s="62" t="str">
        <f>Inicial!D33</f>
        <v>Operador de equipo Freund</v>
      </c>
      <c r="E33" s="60" t="str">
        <f>IF(Inicial!M33="SI",Inicial!E33,"N/A")</f>
        <v>N/A</v>
      </c>
      <c r="F33" s="61" t="str">
        <f>IF(Inicial!M33="SI",Inicial!F33,"N/A")</f>
        <v>N/A</v>
      </c>
      <c r="G33" s="61" t="str">
        <f>IF(Inicial!M33="SI",Inicial!G33,"N/A")</f>
        <v>N/A</v>
      </c>
      <c r="H33" s="61" t="str">
        <f>IF(Inicial!M33="SI",Inicial!H33,"N/A")</f>
        <v>N/A</v>
      </c>
      <c r="I33" s="63" t="str">
        <f>IF(Inicial!M33="SI",Inicial!I33,"N/A")</f>
        <v>N/A</v>
      </c>
      <c r="J33" s="11"/>
      <c r="K33" s="11"/>
      <c r="L33" s="11"/>
      <c r="M33" s="11"/>
      <c r="N33" s="11"/>
      <c r="O33" s="11"/>
      <c r="P33" s="11"/>
      <c r="Q33" s="11"/>
      <c r="R33" s="11"/>
      <c r="S33" s="11"/>
      <c r="T33" s="11"/>
      <c r="U33" s="11"/>
      <c r="V33" s="11"/>
      <c r="W33" s="12" t="str" cm="1">
        <f t="array" ref="W33">IF(OR(M33:V33="NO"),"No aceptable","Aceptable")</f>
        <v>Aceptable</v>
      </c>
      <c r="X33" s="11"/>
      <c r="Y33" s="11"/>
      <c r="Z33" s="11"/>
      <c r="AA33" s="11"/>
      <c r="AB33" s="11"/>
      <c r="AC33" s="11"/>
      <c r="AD33" s="11"/>
      <c r="AE33" s="11"/>
      <c r="AF33" s="11"/>
      <c r="AG33" s="11"/>
      <c r="AH33" s="11"/>
      <c r="AI33" s="11"/>
      <c r="AJ33" s="11"/>
      <c r="AK33" s="11"/>
      <c r="AL33" s="11"/>
      <c r="AM33" s="11"/>
      <c r="AN33" s="3" t="str" cm="1">
        <f t="array" ref="AN33">IF(OR(AA33:AM33="SI"),"Critico","No Critico")</f>
        <v>No Critico</v>
      </c>
    </row>
    <row r="34" spans="1:40" ht="38.25">
      <c r="A34" s="60">
        <f>Inicial!A34</f>
        <v>32</v>
      </c>
      <c r="B34" s="61" t="str">
        <f>Inicial!B34</f>
        <v>Desposte</v>
      </c>
      <c r="C34" s="61" t="str">
        <f>Inicial!C34</f>
        <v>Operario de producción Línea Lomos</v>
      </c>
      <c r="D34" s="62" t="str">
        <f>Inicial!D34</f>
        <v>Operador de Tira Hueso</v>
      </c>
      <c r="E34" s="60" t="str">
        <f>IF(Inicial!M34="SI",Inicial!E34,"N/A")</f>
        <v>N/A</v>
      </c>
      <c r="F34" s="61" t="str">
        <f>IF(Inicial!M34="SI",Inicial!F34,"N/A")</f>
        <v>N/A</v>
      </c>
      <c r="G34" s="61" t="str">
        <f>IF(Inicial!M34="SI",Inicial!G34,"N/A")</f>
        <v>N/A</v>
      </c>
      <c r="H34" s="61" t="str">
        <f>IF(Inicial!M34="SI",Inicial!H34,"N/A")</f>
        <v>N/A</v>
      </c>
      <c r="I34" s="63" t="str">
        <f>IF(Inicial!M34="SI",Inicial!I34,"N/A")</f>
        <v>N/A</v>
      </c>
      <c r="J34" s="11"/>
      <c r="K34" s="11"/>
      <c r="L34" s="11"/>
      <c r="M34" s="11"/>
      <c r="N34" s="11"/>
      <c r="O34" s="11"/>
      <c r="P34" s="11"/>
      <c r="Q34" s="11"/>
      <c r="R34" s="11"/>
      <c r="S34" s="11"/>
      <c r="T34" s="11"/>
      <c r="U34" s="11"/>
      <c r="V34" s="11"/>
      <c r="W34" s="12" t="str" cm="1">
        <f t="array" ref="W34">IF(OR(M34:V34="NO"),"No aceptable","Aceptable")</f>
        <v>Aceptable</v>
      </c>
      <c r="X34" s="11"/>
      <c r="Y34" s="11"/>
      <c r="Z34" s="11"/>
      <c r="AA34" s="11"/>
      <c r="AB34" s="11"/>
      <c r="AC34" s="11"/>
      <c r="AD34" s="11"/>
      <c r="AE34" s="11"/>
      <c r="AF34" s="11"/>
      <c r="AG34" s="11"/>
      <c r="AH34" s="11"/>
      <c r="AI34" s="11"/>
      <c r="AJ34" s="11"/>
      <c r="AK34" s="11"/>
      <c r="AL34" s="11"/>
      <c r="AM34" s="11"/>
      <c r="AN34" s="3" t="str" cm="1">
        <f t="array" ref="AN34">IF(OR(AA34:AM34="SI"),"Critico","No Critico")</f>
        <v>No Critico</v>
      </c>
    </row>
    <row r="35" spans="1:40" ht="38.25">
      <c r="A35" s="60">
        <f>Inicial!A35</f>
        <v>33</v>
      </c>
      <c r="B35" s="61" t="str">
        <f>Inicial!B35</f>
        <v>Desposte</v>
      </c>
      <c r="C35" s="61" t="str">
        <f>Inicial!C35</f>
        <v>Operario de producción Línea Lomos</v>
      </c>
      <c r="D35" s="62" t="str">
        <f>Inicial!D35</f>
        <v>Operador de MA 100</v>
      </c>
      <c r="E35" s="60" t="str">
        <f>IF(Inicial!M35="SI",Inicial!E35,"N/A")</f>
        <v>N/A</v>
      </c>
      <c r="F35" s="61" t="str">
        <f>IF(Inicial!M35="SI",Inicial!F35,"N/A")</f>
        <v>N/A</v>
      </c>
      <c r="G35" s="61" t="str">
        <f>IF(Inicial!M35="SI",Inicial!G35,"N/A")</f>
        <v>N/A</v>
      </c>
      <c r="H35" s="61" t="str">
        <f>IF(Inicial!M35="SI",Inicial!H35,"N/A")</f>
        <v>N/A</v>
      </c>
      <c r="I35" s="63" t="str">
        <f>IF(Inicial!M35="SI",Inicial!I35,"N/A")</f>
        <v>N/A</v>
      </c>
      <c r="J35" s="11"/>
      <c r="K35" s="11"/>
      <c r="L35" s="11"/>
      <c r="M35" s="11"/>
      <c r="N35" s="11"/>
      <c r="O35" s="11"/>
      <c r="P35" s="11"/>
      <c r="Q35" s="11"/>
      <c r="R35" s="11"/>
      <c r="S35" s="11"/>
      <c r="T35" s="11"/>
      <c r="U35" s="11"/>
      <c r="V35" s="11"/>
      <c r="W35" s="12" t="str" cm="1">
        <f t="array" ref="W35">IF(OR(M35:V35="NO"),"No aceptable","Aceptable")</f>
        <v>Aceptable</v>
      </c>
      <c r="X35" s="11"/>
      <c r="Y35" s="11"/>
      <c r="Z35" s="11"/>
      <c r="AA35" s="11"/>
      <c r="AB35" s="11"/>
      <c r="AC35" s="11"/>
      <c r="AD35" s="11"/>
      <c r="AE35" s="11"/>
      <c r="AF35" s="11"/>
      <c r="AG35" s="11"/>
      <c r="AH35" s="11"/>
      <c r="AI35" s="11"/>
      <c r="AJ35" s="11"/>
      <c r="AK35" s="11"/>
      <c r="AL35" s="11"/>
      <c r="AM35" s="11"/>
      <c r="AN35" s="3" t="str" cm="1">
        <f t="array" ref="AN35">IF(OR(AA35:AM35="SI"),"Critico","No Critico")</f>
        <v>No Critico</v>
      </c>
    </row>
    <row r="36" spans="1:40" ht="38.25">
      <c r="A36" s="60">
        <f>Inicial!A36</f>
        <v>34</v>
      </c>
      <c r="B36" s="61" t="str">
        <f>Inicial!B36</f>
        <v>Desposte</v>
      </c>
      <c r="C36" s="61" t="str">
        <f>Inicial!C36</f>
        <v>Operario de producción Línea Lomos</v>
      </c>
      <c r="D36" s="62" t="str">
        <f>Inicial!D36</f>
        <v>Separación de resto tira hueso</v>
      </c>
      <c r="E36" s="60" t="str">
        <f>IF(Inicial!M36="SI",Inicial!E36,"N/A")</f>
        <v>N/A</v>
      </c>
      <c r="F36" s="61" t="str">
        <f>IF(Inicial!M36="SI",Inicial!F36,"N/A")</f>
        <v>N/A</v>
      </c>
      <c r="G36" s="61" t="str">
        <f>IF(Inicial!M36="SI",Inicial!G36,"N/A")</f>
        <v>N/A</v>
      </c>
      <c r="H36" s="61" t="str">
        <f>IF(Inicial!M36="SI",Inicial!H36,"N/A")</f>
        <v>N/A</v>
      </c>
      <c r="I36" s="63" t="str">
        <f>IF(Inicial!M36="SI",Inicial!I36,"N/A")</f>
        <v>N/A</v>
      </c>
      <c r="J36" s="11"/>
      <c r="K36" s="11"/>
      <c r="L36" s="11"/>
      <c r="M36" s="11"/>
      <c r="N36" s="11"/>
      <c r="O36" s="11"/>
      <c r="P36" s="11"/>
      <c r="Q36" s="11"/>
      <c r="R36" s="11"/>
      <c r="S36" s="11"/>
      <c r="T36" s="11"/>
      <c r="U36" s="11"/>
      <c r="V36" s="11"/>
      <c r="W36" s="12" t="str" cm="1">
        <f t="array" ref="W36">IF(OR(M36:V36="NO"),"No aceptable","Aceptable")</f>
        <v>Aceptable</v>
      </c>
      <c r="X36" s="11"/>
      <c r="Y36" s="11"/>
      <c r="Z36" s="11"/>
      <c r="AA36" s="11"/>
      <c r="AB36" s="11"/>
      <c r="AC36" s="11"/>
      <c r="AD36" s="11"/>
      <c r="AE36" s="11"/>
      <c r="AF36" s="11"/>
      <c r="AG36" s="11"/>
      <c r="AH36" s="11"/>
      <c r="AI36" s="11"/>
      <c r="AJ36" s="11"/>
      <c r="AK36" s="11"/>
      <c r="AL36" s="11"/>
      <c r="AM36" s="11"/>
      <c r="AN36" s="3" t="str" cm="1">
        <f t="array" ref="AN36">IF(OR(AA36:AM36="SI"),"Critico","No Critico")</f>
        <v>No Critico</v>
      </c>
    </row>
    <row r="37" spans="1:40" ht="38.25">
      <c r="A37" s="60">
        <f>Inicial!A37</f>
        <v>35</v>
      </c>
      <c r="B37" s="61" t="str">
        <f>Inicial!B37</f>
        <v>Desposte</v>
      </c>
      <c r="C37" s="61" t="str">
        <f>Inicial!C37</f>
        <v>Operario de producción Línea Lomos</v>
      </c>
      <c r="D37" s="62" t="str">
        <f>Inicial!D37</f>
        <v>Prolijado de tailen</v>
      </c>
      <c r="E37" s="60" t="str">
        <f>IF(Inicial!M37="SI",Inicial!E37,"N/A")</f>
        <v>N/A</v>
      </c>
      <c r="F37" s="61" t="str">
        <f>IF(Inicial!M37="SI",Inicial!F37,"N/A")</f>
        <v>N/A</v>
      </c>
      <c r="G37" s="61" t="str">
        <f>IF(Inicial!M37="SI",Inicial!G37,"N/A")</f>
        <v>N/A</v>
      </c>
      <c r="H37" s="61" t="str">
        <f>IF(Inicial!M37="SI",Inicial!H37,"N/A")</f>
        <v>N/A</v>
      </c>
      <c r="I37" s="63" t="str">
        <f>IF(Inicial!M37="SI",Inicial!I37,"N/A")</f>
        <v>N/A</v>
      </c>
      <c r="J37" s="11"/>
      <c r="K37" s="11"/>
      <c r="L37" s="11"/>
      <c r="M37" s="11"/>
      <c r="N37" s="11"/>
      <c r="O37" s="11"/>
      <c r="P37" s="11"/>
      <c r="Q37" s="11"/>
      <c r="R37" s="11"/>
      <c r="S37" s="11"/>
      <c r="T37" s="11"/>
      <c r="U37" s="11"/>
      <c r="V37" s="11"/>
      <c r="W37" s="12" t="str" cm="1">
        <f t="array" ref="W37">IF(OR(M37:V37="NO"),"No aceptable","Aceptable")</f>
        <v>Aceptable</v>
      </c>
      <c r="X37" s="11"/>
      <c r="Y37" s="11"/>
      <c r="Z37" s="11"/>
      <c r="AA37" s="11"/>
      <c r="AB37" s="11"/>
      <c r="AC37" s="11"/>
      <c r="AD37" s="11"/>
      <c r="AE37" s="11"/>
      <c r="AF37" s="11"/>
      <c r="AG37" s="11"/>
      <c r="AH37" s="11"/>
      <c r="AI37" s="11"/>
      <c r="AJ37" s="11"/>
      <c r="AK37" s="11"/>
      <c r="AL37" s="11"/>
      <c r="AM37" s="11"/>
      <c r="AN37" s="3" t="str" cm="1">
        <f t="array" ref="AN37">IF(OR(AA37:AM37="SI"),"Critico","No Critico")</f>
        <v>No Critico</v>
      </c>
    </row>
    <row r="38" spans="1:40" ht="38.25">
      <c r="A38" s="60">
        <f>Inicial!A38</f>
        <v>36</v>
      </c>
      <c r="B38" s="61" t="str">
        <f>Inicial!B38</f>
        <v>Desposte</v>
      </c>
      <c r="C38" s="61" t="str">
        <f>Inicial!C38</f>
        <v>Operario de producción Línea Lomos</v>
      </c>
      <c r="D38" s="62" t="str">
        <f>Inicial!D38</f>
        <v>Calibrado de tailen</v>
      </c>
      <c r="E38" s="60" t="str">
        <f>IF(Inicial!M38="SI",Inicial!E38,"N/A")</f>
        <v>N/A</v>
      </c>
      <c r="F38" s="61" t="str">
        <f>IF(Inicial!M38="SI",Inicial!F38,"N/A")</f>
        <v>N/A</v>
      </c>
      <c r="G38" s="61" t="str">
        <f>IF(Inicial!M38="SI",Inicial!G38,"N/A")</f>
        <v>N/A</v>
      </c>
      <c r="H38" s="61" t="str">
        <f>IF(Inicial!M38="SI",Inicial!H38,"N/A")</f>
        <v>N/A</v>
      </c>
      <c r="I38" s="63" t="str">
        <f>IF(Inicial!M38="SI",Inicial!I38,"N/A")</f>
        <v>N/A</v>
      </c>
      <c r="J38" s="11"/>
      <c r="K38" s="11"/>
      <c r="L38" s="11"/>
      <c r="M38" s="11"/>
      <c r="N38" s="11"/>
      <c r="O38" s="11"/>
      <c r="P38" s="11"/>
      <c r="Q38" s="11"/>
      <c r="R38" s="11"/>
      <c r="S38" s="11"/>
      <c r="T38" s="11"/>
      <c r="U38" s="11"/>
      <c r="V38" s="11"/>
      <c r="W38" s="12" t="str" cm="1">
        <f t="array" ref="W38">IF(OR(M38:V38="NO"),"No aceptable","Aceptable")</f>
        <v>Aceptable</v>
      </c>
      <c r="X38" s="11"/>
      <c r="Y38" s="11"/>
      <c r="Z38" s="11"/>
      <c r="AA38" s="11"/>
      <c r="AB38" s="11"/>
      <c r="AC38" s="11"/>
      <c r="AD38" s="11"/>
      <c r="AE38" s="11"/>
      <c r="AF38" s="11"/>
      <c r="AG38" s="11"/>
      <c r="AH38" s="11"/>
      <c r="AI38" s="11"/>
      <c r="AJ38" s="11"/>
      <c r="AK38" s="11"/>
      <c r="AL38" s="11"/>
      <c r="AM38" s="11"/>
      <c r="AN38" s="3" t="str" cm="1">
        <f t="array" ref="AN38">IF(OR(AA38:AM38="SI"),"Critico","No Critico")</f>
        <v>No Critico</v>
      </c>
    </row>
    <row r="39" spans="1:40" ht="38.25">
      <c r="A39" s="60">
        <f>Inicial!A39</f>
        <v>37</v>
      </c>
      <c r="B39" s="61" t="str">
        <f>Inicial!B39</f>
        <v>Desposte</v>
      </c>
      <c r="C39" s="61" t="str">
        <f>Inicial!C39</f>
        <v>Operario de producción Línea Lomos</v>
      </c>
      <c r="D39" s="62" t="str">
        <f>Inicial!D39</f>
        <v>Calibrado de baby back ribs</v>
      </c>
      <c r="E39" s="60" t="str">
        <f>IF(Inicial!M39="SI",Inicial!E39,"N/A")</f>
        <v>N/A</v>
      </c>
      <c r="F39" s="61" t="str">
        <f>IF(Inicial!M39="SI",Inicial!F39,"N/A")</f>
        <v>N/A</v>
      </c>
      <c r="G39" s="61" t="str">
        <f>IF(Inicial!M39="SI",Inicial!G39,"N/A")</f>
        <v>N/A</v>
      </c>
      <c r="H39" s="61" t="str">
        <f>IF(Inicial!M39="SI",Inicial!H39,"N/A")</f>
        <v>N/A</v>
      </c>
      <c r="I39" s="63" t="str">
        <f>IF(Inicial!M39="SI",Inicial!I39,"N/A")</f>
        <v>N/A</v>
      </c>
      <c r="J39" s="11"/>
      <c r="K39" s="11"/>
      <c r="L39" s="11"/>
      <c r="M39" s="11"/>
      <c r="N39" s="11"/>
      <c r="O39" s="11"/>
      <c r="P39" s="11"/>
      <c r="Q39" s="11"/>
      <c r="R39" s="11"/>
      <c r="S39" s="11"/>
      <c r="T39" s="11"/>
      <c r="U39" s="11"/>
      <c r="V39" s="11"/>
      <c r="W39" s="12" t="str" cm="1">
        <f t="array" ref="W39">IF(OR(M39:V39="NO"),"No aceptable","Aceptable")</f>
        <v>Aceptable</v>
      </c>
      <c r="X39" s="11"/>
      <c r="Y39" s="11"/>
      <c r="Z39" s="11"/>
      <c r="AA39" s="11"/>
      <c r="AB39" s="11"/>
      <c r="AC39" s="11"/>
      <c r="AD39" s="11"/>
      <c r="AE39" s="11"/>
      <c r="AF39" s="11"/>
      <c r="AG39" s="11"/>
      <c r="AH39" s="11"/>
      <c r="AI39" s="11"/>
      <c r="AJ39" s="11"/>
      <c r="AK39" s="11"/>
      <c r="AL39" s="11"/>
      <c r="AM39" s="11"/>
      <c r="AN39" s="3" t="str" cm="1">
        <f t="array" ref="AN39">IF(OR(AA39:AM39="SI"),"Critico","No Critico")</f>
        <v>No Critico</v>
      </c>
    </row>
    <row r="40" spans="1:40" ht="38.25">
      <c r="A40" s="60">
        <f>Inicial!A40</f>
        <v>38</v>
      </c>
      <c r="B40" s="61" t="str">
        <f>Inicial!B40</f>
        <v>Desposte</v>
      </c>
      <c r="C40" s="61" t="str">
        <f>Inicial!C40</f>
        <v>Operario de producción Línea Lomos</v>
      </c>
      <c r="D40" s="62" t="str">
        <f>Inicial!D40</f>
        <v>Embalaje de baby back ribs</v>
      </c>
      <c r="E40" s="60" t="str">
        <f>IF(Inicial!M40="SI",Inicial!E40,"N/A")</f>
        <v>N/A</v>
      </c>
      <c r="F40" s="61" t="str">
        <f>IF(Inicial!M40="SI",Inicial!F40,"N/A")</f>
        <v>N/A</v>
      </c>
      <c r="G40" s="61" t="str">
        <f>IF(Inicial!M40="SI",Inicial!G40,"N/A")</f>
        <v>N/A</v>
      </c>
      <c r="H40" s="61" t="str">
        <f>IF(Inicial!M40="SI",Inicial!H40,"N/A")</f>
        <v>N/A</v>
      </c>
      <c r="I40" s="63" t="str">
        <f>IF(Inicial!M40="SI",Inicial!I40,"N/A")</f>
        <v>N/A</v>
      </c>
      <c r="J40" s="11"/>
      <c r="K40" s="11"/>
      <c r="L40" s="11"/>
      <c r="M40" s="11"/>
      <c r="N40" s="11"/>
      <c r="O40" s="11"/>
      <c r="P40" s="11"/>
      <c r="Q40" s="11"/>
      <c r="R40" s="11"/>
      <c r="S40" s="11"/>
      <c r="T40" s="11"/>
      <c r="U40" s="11"/>
      <c r="V40" s="11"/>
      <c r="W40" s="12" t="str" cm="1">
        <f t="array" ref="W40">IF(OR(M40:V40="NO"),"No aceptable","Aceptable")</f>
        <v>Aceptable</v>
      </c>
      <c r="X40" s="11"/>
      <c r="Y40" s="11"/>
      <c r="Z40" s="11"/>
      <c r="AA40" s="11"/>
      <c r="AB40" s="11"/>
      <c r="AC40" s="11"/>
      <c r="AD40" s="11"/>
      <c r="AE40" s="11"/>
      <c r="AF40" s="11"/>
      <c r="AG40" s="11"/>
      <c r="AH40" s="11"/>
      <c r="AI40" s="11"/>
      <c r="AJ40" s="11"/>
      <c r="AK40" s="11"/>
      <c r="AL40" s="11"/>
      <c r="AM40" s="11"/>
      <c r="AN40" s="3" t="str" cm="1">
        <f t="array" ref="AN40">IF(OR(AA40:AM40="SI"),"Critico","No Critico")</f>
        <v>No Critico</v>
      </c>
    </row>
    <row r="41" spans="1:40" ht="38.25">
      <c r="A41" s="60">
        <f>Inicial!A41</f>
        <v>39</v>
      </c>
      <c r="B41" s="61" t="str">
        <f>Inicial!B41</f>
        <v>Desposte</v>
      </c>
      <c r="C41" s="61" t="str">
        <f>Inicial!C41</f>
        <v>Operario de producción Línea Lomos</v>
      </c>
      <c r="D41" s="62" t="str">
        <f>Inicial!D41</f>
        <v>Estuche</v>
      </c>
      <c r="E41" s="60" t="str">
        <f>IF(Inicial!M41="SI",Inicial!E41,"N/A")</f>
        <v>N/A</v>
      </c>
      <c r="F41" s="61" t="str">
        <f>IF(Inicial!M41="SI",Inicial!F41,"N/A")</f>
        <v>N/A</v>
      </c>
      <c r="G41" s="61" t="str">
        <f>IF(Inicial!M41="SI",Inicial!G41,"N/A")</f>
        <v>N/A</v>
      </c>
      <c r="H41" s="61" t="str">
        <f>IF(Inicial!M41="SI",Inicial!H41,"N/A")</f>
        <v>N/A</v>
      </c>
      <c r="I41" s="63" t="str">
        <f>IF(Inicial!M41="SI",Inicial!I41,"N/A")</f>
        <v>N/A</v>
      </c>
      <c r="J41" s="11"/>
      <c r="K41" s="11"/>
      <c r="L41" s="11"/>
      <c r="M41" s="11"/>
      <c r="N41" s="11"/>
      <c r="O41" s="11"/>
      <c r="P41" s="11"/>
      <c r="Q41" s="11"/>
      <c r="R41" s="11"/>
      <c r="S41" s="11"/>
      <c r="T41" s="11"/>
      <c r="U41" s="11"/>
      <c r="V41" s="11"/>
      <c r="W41" s="12" t="str" cm="1">
        <f t="array" ref="W41">IF(OR(M41:V41="NO"),"No aceptable","Aceptable")</f>
        <v>Aceptable</v>
      </c>
      <c r="X41" s="11"/>
      <c r="Y41" s="11"/>
      <c r="Z41" s="11"/>
      <c r="AA41" s="11"/>
      <c r="AB41" s="11"/>
      <c r="AC41" s="11"/>
      <c r="AD41" s="11"/>
      <c r="AE41" s="11"/>
      <c r="AF41" s="11"/>
      <c r="AG41" s="11"/>
      <c r="AH41" s="11"/>
      <c r="AI41" s="11"/>
      <c r="AJ41" s="11"/>
      <c r="AK41" s="11"/>
      <c r="AL41" s="11"/>
      <c r="AM41" s="11"/>
      <c r="AN41" s="3" t="str" cm="1">
        <f t="array" ref="AN41">IF(OR(AA41:AM41="SI"),"Critico","No Critico")</f>
        <v>No Critico</v>
      </c>
    </row>
    <row r="42" spans="1:40" ht="38.25">
      <c r="A42" s="60">
        <f>Inicial!A42</f>
        <v>40</v>
      </c>
      <c r="B42" s="61" t="str">
        <f>Inicial!B42</f>
        <v>Desposte</v>
      </c>
      <c r="C42" s="61" t="str">
        <f>Inicial!C42</f>
        <v>Operario de producción Línea Lomos</v>
      </c>
      <c r="D42" s="62" t="str">
        <f>Inicial!D42</f>
        <v>Pegar fechas</v>
      </c>
      <c r="E42" s="60" t="str">
        <f>IF(Inicial!M42="SI",Inicial!E42,"N/A")</f>
        <v>N/A</v>
      </c>
      <c r="F42" s="61" t="str">
        <f>IF(Inicial!M42="SI",Inicial!F42,"N/A")</f>
        <v>N/A</v>
      </c>
      <c r="G42" s="61" t="str">
        <f>IF(Inicial!M42="SI",Inicial!G42,"N/A")</f>
        <v>N/A</v>
      </c>
      <c r="H42" s="61" t="str">
        <f>IF(Inicial!M42="SI",Inicial!H42,"N/A")</f>
        <v>N/A</v>
      </c>
      <c r="I42" s="63" t="str">
        <f>IF(Inicial!M42="SI",Inicial!I42,"N/A")</f>
        <v>N/A</v>
      </c>
      <c r="J42" s="11"/>
      <c r="K42" s="11"/>
      <c r="L42" s="11"/>
      <c r="M42" s="11"/>
      <c r="N42" s="11"/>
      <c r="O42" s="11"/>
      <c r="P42" s="11"/>
      <c r="Q42" s="11"/>
      <c r="R42" s="11"/>
      <c r="S42" s="11"/>
      <c r="T42" s="11"/>
      <c r="U42" s="11"/>
      <c r="V42" s="11"/>
      <c r="W42" s="12" t="str" cm="1">
        <f t="array" ref="W42">IF(OR(M42:V42="NO"),"No aceptable","Aceptable")</f>
        <v>Aceptable</v>
      </c>
      <c r="X42" s="11"/>
      <c r="Y42" s="11"/>
      <c r="Z42" s="11"/>
      <c r="AA42" s="11"/>
      <c r="AB42" s="11"/>
      <c r="AC42" s="11"/>
      <c r="AD42" s="11"/>
      <c r="AE42" s="11"/>
      <c r="AF42" s="11"/>
      <c r="AG42" s="11"/>
      <c r="AH42" s="11"/>
      <c r="AI42" s="11"/>
      <c r="AJ42" s="11"/>
      <c r="AK42" s="11"/>
      <c r="AL42" s="11"/>
      <c r="AM42" s="11"/>
      <c r="AN42" s="3" t="str" cm="1">
        <f t="array" ref="AN42">IF(OR(AA42:AM42="SI"),"Critico","No Critico")</f>
        <v>No Critico</v>
      </c>
    </row>
    <row r="43" spans="1:40" ht="38.25">
      <c r="A43" s="60">
        <f>Inicial!A43</f>
        <v>41</v>
      </c>
      <c r="B43" s="61" t="str">
        <f>Inicial!B43</f>
        <v>Desposte</v>
      </c>
      <c r="C43" s="61" t="str">
        <f>Inicial!C43</f>
        <v>Operario de producción Línea Lomos</v>
      </c>
      <c r="D43" s="62" t="str">
        <f>Inicial!D43</f>
        <v>Operador de equipo Selladora C-500</v>
      </c>
      <c r="E43" s="60" t="str">
        <f>IF(Inicial!M43="SI",Inicial!E43,"N/A")</f>
        <v>N/A</v>
      </c>
      <c r="F43" s="61" t="str">
        <f>IF(Inicial!M43="SI",Inicial!F43,"N/A")</f>
        <v>N/A</v>
      </c>
      <c r="G43" s="61" t="str">
        <f>IF(Inicial!M43="SI",Inicial!G43,"N/A")</f>
        <v>N/A</v>
      </c>
      <c r="H43" s="61" t="str">
        <f>IF(Inicial!M43="SI",Inicial!H43,"N/A")</f>
        <v>N/A</v>
      </c>
      <c r="I43" s="63" t="str">
        <f>IF(Inicial!M43="SI",Inicial!I43,"N/A")</f>
        <v>N/A</v>
      </c>
      <c r="J43" s="11"/>
      <c r="K43" s="11"/>
      <c r="L43" s="11"/>
      <c r="M43" s="11"/>
      <c r="N43" s="11"/>
      <c r="O43" s="11"/>
      <c r="P43" s="11"/>
      <c r="Q43" s="11"/>
      <c r="R43" s="11"/>
      <c r="S43" s="11"/>
      <c r="T43" s="11"/>
      <c r="U43" s="11"/>
      <c r="V43" s="11"/>
      <c r="W43" s="12" t="str" cm="1">
        <f t="array" ref="W43">IF(OR(M43:V43="NO"),"No aceptable","Aceptable")</f>
        <v>Aceptable</v>
      </c>
      <c r="X43" s="11"/>
      <c r="Y43" s="11"/>
      <c r="Z43" s="11"/>
      <c r="AA43" s="11"/>
      <c r="AB43" s="11"/>
      <c r="AC43" s="11"/>
      <c r="AD43" s="11"/>
      <c r="AE43" s="11"/>
      <c r="AF43" s="11"/>
      <c r="AG43" s="11"/>
      <c r="AH43" s="11"/>
      <c r="AI43" s="11"/>
      <c r="AJ43" s="11"/>
      <c r="AK43" s="11"/>
      <c r="AL43" s="11"/>
      <c r="AM43" s="11"/>
      <c r="AN43" s="3" t="str" cm="1">
        <f t="array" ref="AN43">IF(OR(AA43:AM43="SI"),"Critico","No Critico")</f>
        <v>No Critico</v>
      </c>
    </row>
    <row r="44" spans="1:40" ht="38.25">
      <c r="A44" s="60">
        <f>Inicial!A44</f>
        <v>42</v>
      </c>
      <c r="B44" s="61" t="str">
        <f>Inicial!B44</f>
        <v>Desposte</v>
      </c>
      <c r="C44" s="61" t="str">
        <f>Inicial!C44</f>
        <v>Operario de producción Línea Paletas</v>
      </c>
      <c r="D44" s="62" t="str">
        <f>Inicial!D44</f>
        <v>Despunte Axilar</v>
      </c>
      <c r="E44" s="60" t="str">
        <f>IF(Inicial!M44="SI",Inicial!E44,"N/A")</f>
        <v>N/A</v>
      </c>
      <c r="F44" s="61" t="str">
        <f>IF(Inicial!M44="SI",Inicial!F44,"N/A")</f>
        <v>N/A</v>
      </c>
      <c r="G44" s="61" t="str">
        <f>IF(Inicial!M44="SI",Inicial!G44,"N/A")</f>
        <v>N/A</v>
      </c>
      <c r="H44" s="61" t="str">
        <f>IF(Inicial!M44="SI",Inicial!H44,"N/A")</f>
        <v>N/A</v>
      </c>
      <c r="I44" s="63" t="str">
        <f>IF(Inicial!M44="SI",Inicial!I44,"N/A")</f>
        <v>N/A</v>
      </c>
      <c r="J44" s="11"/>
      <c r="K44" s="11"/>
      <c r="L44" s="11"/>
      <c r="M44" s="11"/>
      <c r="N44" s="11"/>
      <c r="O44" s="11"/>
      <c r="P44" s="11"/>
      <c r="Q44" s="11"/>
      <c r="R44" s="11"/>
      <c r="S44" s="11"/>
      <c r="T44" s="11"/>
      <c r="U44" s="11"/>
      <c r="V44" s="11"/>
      <c r="W44" s="12" t="str" cm="1">
        <f t="array" ref="W44">IF(OR(M44:V44="NO"),"No aceptable","Aceptable")</f>
        <v>Aceptable</v>
      </c>
      <c r="X44" s="11"/>
      <c r="Y44" s="11"/>
      <c r="Z44" s="11"/>
      <c r="AA44" s="11"/>
      <c r="AB44" s="11"/>
      <c r="AC44" s="11"/>
      <c r="AD44" s="11"/>
      <c r="AE44" s="11"/>
      <c r="AF44" s="11"/>
      <c r="AG44" s="11"/>
      <c r="AH44" s="11"/>
      <c r="AI44" s="11"/>
      <c r="AJ44" s="11"/>
      <c r="AK44" s="11"/>
      <c r="AL44" s="11"/>
      <c r="AM44" s="11"/>
      <c r="AN44" s="3" t="str" cm="1">
        <f t="array" ref="AN44">IF(OR(AA44:AM44="SI"),"Critico","No Critico")</f>
        <v>No Critico</v>
      </c>
    </row>
    <row r="45" spans="1:40" ht="38.25">
      <c r="A45" s="60">
        <f>Inicial!A45</f>
        <v>43</v>
      </c>
      <c r="B45" s="61" t="str">
        <f>Inicial!B45</f>
        <v>Desposte</v>
      </c>
      <c r="C45" s="61" t="str">
        <f>Inicial!C45</f>
        <v>Operario de producción Línea Paletas</v>
      </c>
      <c r="D45" s="62" t="str">
        <f>Inicial!D45</f>
        <v>Desforrado de Paleta</v>
      </c>
      <c r="E45" s="60" t="str">
        <f>IF(Inicial!M45="SI",Inicial!E45,"N/A")</f>
        <v>N/A</v>
      </c>
      <c r="F45" s="61" t="str">
        <f>IF(Inicial!M45="SI",Inicial!F45,"N/A")</f>
        <v>N/A</v>
      </c>
      <c r="G45" s="61" t="str">
        <f>IF(Inicial!M45="SI",Inicial!G45,"N/A")</f>
        <v>N/A</v>
      </c>
      <c r="H45" s="61" t="str">
        <f>IF(Inicial!M45="SI",Inicial!H45,"N/A")</f>
        <v>N/A</v>
      </c>
      <c r="I45" s="63" t="str">
        <f>IF(Inicial!M45="SI",Inicial!I45,"N/A")</f>
        <v>N/A</v>
      </c>
      <c r="J45" s="11"/>
      <c r="K45" s="11"/>
      <c r="L45" s="11"/>
      <c r="M45" s="11"/>
      <c r="N45" s="11"/>
      <c r="O45" s="11"/>
      <c r="P45" s="11"/>
      <c r="Q45" s="11"/>
      <c r="R45" s="11"/>
      <c r="S45" s="11"/>
      <c r="T45" s="11"/>
      <c r="U45" s="11"/>
      <c r="V45" s="11"/>
      <c r="W45" s="12" t="str" cm="1">
        <f t="array" ref="W45">IF(OR(M45:V45="NO"),"No aceptable","Aceptable")</f>
        <v>Aceptable</v>
      </c>
      <c r="X45" s="11"/>
      <c r="Y45" s="11"/>
      <c r="Z45" s="11"/>
      <c r="AA45" s="11"/>
      <c r="AB45" s="11"/>
      <c r="AC45" s="11"/>
      <c r="AD45" s="11"/>
      <c r="AE45" s="11"/>
      <c r="AF45" s="11"/>
      <c r="AG45" s="11"/>
      <c r="AH45" s="11"/>
      <c r="AI45" s="11"/>
      <c r="AJ45" s="11"/>
      <c r="AK45" s="11"/>
      <c r="AL45" s="11"/>
      <c r="AM45" s="11"/>
      <c r="AN45" s="3" t="str" cm="1">
        <f t="array" ref="AN45">IF(OR(AA45:AM45="SI"),"Critico","No Critico")</f>
        <v>No Critico</v>
      </c>
    </row>
    <row r="46" spans="1:40" ht="38.25">
      <c r="A46" s="60">
        <f>Inicial!A46</f>
        <v>44</v>
      </c>
      <c r="B46" s="61" t="str">
        <f>Inicial!B46</f>
        <v>Desposte</v>
      </c>
      <c r="C46" s="61" t="str">
        <f>Inicial!C46</f>
        <v>Operario de producción Línea Paletas</v>
      </c>
      <c r="D46" s="62" t="str">
        <f>Inicial!D46</f>
        <v>Extracción de ganglios paleta</v>
      </c>
      <c r="E46" s="60" t="str">
        <f>IF(Inicial!M46="SI",Inicial!E46,"N/A")</f>
        <v>N/A</v>
      </c>
      <c r="F46" s="61" t="str">
        <f>IF(Inicial!M46="SI",Inicial!F46,"N/A")</f>
        <v>N/A</v>
      </c>
      <c r="G46" s="61" t="str">
        <f>IF(Inicial!M46="SI",Inicial!G46,"N/A")</f>
        <v>N/A</v>
      </c>
      <c r="H46" s="61" t="str">
        <f>IF(Inicial!M46="SI",Inicial!H46,"N/A")</f>
        <v>N/A</v>
      </c>
      <c r="I46" s="63" t="str">
        <f>IF(Inicial!M46="SI",Inicial!I46,"N/A")</f>
        <v>N/A</v>
      </c>
      <c r="J46" s="11"/>
      <c r="K46" s="11"/>
      <c r="L46" s="11"/>
      <c r="M46" s="11"/>
      <c r="N46" s="11"/>
      <c r="O46" s="11"/>
      <c r="P46" s="11"/>
      <c r="Q46" s="11"/>
      <c r="R46" s="11"/>
      <c r="S46" s="11"/>
      <c r="T46" s="11"/>
      <c r="U46" s="11"/>
      <c r="V46" s="11"/>
      <c r="W46" s="12" t="str" cm="1">
        <f t="array" ref="W46">IF(OR(M46:V46="NO"),"No aceptable","Aceptable")</f>
        <v>Aceptable</v>
      </c>
      <c r="X46" s="11"/>
      <c r="Y46" s="11"/>
      <c r="Z46" s="11"/>
      <c r="AA46" s="11"/>
      <c r="AB46" s="11"/>
      <c r="AC46" s="11"/>
      <c r="AD46" s="11"/>
      <c r="AE46" s="11"/>
      <c r="AF46" s="11"/>
      <c r="AG46" s="11"/>
      <c r="AH46" s="11"/>
      <c r="AI46" s="11"/>
      <c r="AJ46" s="11"/>
      <c r="AK46" s="11"/>
      <c r="AL46" s="11"/>
      <c r="AM46" s="11"/>
      <c r="AN46" s="3" t="str" cm="1">
        <f t="array" ref="AN46">IF(OR(AA46:AM46="SI"),"Critico","No Critico")</f>
        <v>No Critico</v>
      </c>
    </row>
    <row r="47" spans="1:40" ht="38.25">
      <c r="A47" s="60">
        <f>Inicial!A47</f>
        <v>45</v>
      </c>
      <c r="B47" s="61" t="str">
        <f>Inicial!B47</f>
        <v>Desposte</v>
      </c>
      <c r="C47" s="61" t="str">
        <f>Inicial!C47</f>
        <v>Operario de producción Línea Paletas</v>
      </c>
      <c r="D47" s="62" t="str">
        <f>Inicial!D47</f>
        <v>Extracción de plateada de paleta</v>
      </c>
      <c r="E47" s="60" t="str">
        <f>IF(Inicial!M47="SI",Inicial!E47,"N/A")</f>
        <v>N/A</v>
      </c>
      <c r="F47" s="61" t="str">
        <f>IF(Inicial!M47="SI",Inicial!F47,"N/A")</f>
        <v>N/A</v>
      </c>
      <c r="G47" s="61" t="str">
        <f>IF(Inicial!M47="SI",Inicial!G47,"N/A")</f>
        <v>N/A</v>
      </c>
      <c r="H47" s="61" t="str">
        <f>IF(Inicial!M47="SI",Inicial!H47,"N/A")</f>
        <v>N/A</v>
      </c>
      <c r="I47" s="63" t="str">
        <f>IF(Inicial!M47="SI",Inicial!I47,"N/A")</f>
        <v>N/A</v>
      </c>
      <c r="J47" s="11"/>
      <c r="K47" s="11"/>
      <c r="L47" s="11"/>
      <c r="M47" s="11"/>
      <c r="N47" s="11"/>
      <c r="O47" s="11"/>
      <c r="P47" s="11"/>
      <c r="Q47" s="11"/>
      <c r="R47" s="11"/>
      <c r="S47" s="11"/>
      <c r="T47" s="11"/>
      <c r="U47" s="11"/>
      <c r="V47" s="11"/>
      <c r="W47" s="12" t="str" cm="1">
        <f t="array" ref="W47">IF(OR(M47:V47="NO"),"No aceptable","Aceptable")</f>
        <v>Aceptable</v>
      </c>
      <c r="X47" s="11"/>
      <c r="Y47" s="11"/>
      <c r="Z47" s="11"/>
      <c r="AA47" s="11"/>
      <c r="AB47" s="11"/>
      <c r="AC47" s="11"/>
      <c r="AD47" s="11"/>
      <c r="AE47" s="11"/>
      <c r="AF47" s="11"/>
      <c r="AG47" s="11"/>
      <c r="AH47" s="11"/>
      <c r="AI47" s="11"/>
      <c r="AJ47" s="11"/>
      <c r="AK47" s="11"/>
      <c r="AL47" s="11"/>
      <c r="AM47" s="11"/>
      <c r="AN47" s="3" t="str" cm="1">
        <f t="array" ref="AN47">IF(OR(AA47:AM47="SI"),"Critico","No Critico")</f>
        <v>No Critico</v>
      </c>
    </row>
    <row r="48" spans="1:40" ht="38.25">
      <c r="A48" s="60">
        <f>Inicial!A48</f>
        <v>46</v>
      </c>
      <c r="B48" s="61" t="str">
        <f>Inicial!B48</f>
        <v>Desposte</v>
      </c>
      <c r="C48" s="61" t="str">
        <f>Inicial!C48</f>
        <v>Operario de producción Línea Paletas</v>
      </c>
      <c r="D48" s="62" t="str">
        <f>Inicial!D48</f>
        <v>Prolijado de plateada</v>
      </c>
      <c r="E48" s="60" t="str">
        <f>IF(Inicial!M48="SI",Inicial!E48,"N/A")</f>
        <v>N/A</v>
      </c>
      <c r="F48" s="61" t="str">
        <f>IF(Inicial!M48="SI",Inicial!F48,"N/A")</f>
        <v>N/A</v>
      </c>
      <c r="G48" s="61" t="str">
        <f>IF(Inicial!M48="SI",Inicial!G48,"N/A")</f>
        <v>N/A</v>
      </c>
      <c r="H48" s="61" t="str">
        <f>IF(Inicial!M48="SI",Inicial!H48,"N/A")</f>
        <v>N/A</v>
      </c>
      <c r="I48" s="63" t="str">
        <f>IF(Inicial!M48="SI",Inicial!I48,"N/A")</f>
        <v>N/A</v>
      </c>
      <c r="J48" s="11"/>
      <c r="K48" s="11"/>
      <c r="L48" s="11"/>
      <c r="M48" s="11"/>
      <c r="N48" s="11"/>
      <c r="O48" s="11"/>
      <c r="P48" s="11"/>
      <c r="Q48" s="11"/>
      <c r="R48" s="11"/>
      <c r="S48" s="11"/>
      <c r="T48" s="11"/>
      <c r="U48" s="11"/>
      <c r="V48" s="11"/>
      <c r="W48" s="12" t="str" cm="1">
        <f t="array" ref="W48">IF(OR(M48:V48="NO"),"No aceptable","Aceptable")</f>
        <v>Aceptable</v>
      </c>
      <c r="X48" s="11"/>
      <c r="Y48" s="11"/>
      <c r="Z48" s="11"/>
      <c r="AA48" s="11"/>
      <c r="AB48" s="11"/>
      <c r="AC48" s="11"/>
      <c r="AD48" s="11"/>
      <c r="AE48" s="11"/>
      <c r="AF48" s="11"/>
      <c r="AG48" s="11"/>
      <c r="AH48" s="11"/>
      <c r="AI48" s="11"/>
      <c r="AJ48" s="11"/>
      <c r="AK48" s="11"/>
      <c r="AL48" s="11"/>
      <c r="AM48" s="11"/>
      <c r="AN48" s="3" t="str" cm="1">
        <f t="array" ref="AN48">IF(OR(AA48:AM48="SI"),"Critico","No Critico")</f>
        <v>No Critico</v>
      </c>
    </row>
    <row r="49" spans="1:40" ht="38.25">
      <c r="A49" s="60">
        <f>Inicial!A49</f>
        <v>47</v>
      </c>
      <c r="B49" s="61" t="str">
        <f>Inicial!B49</f>
        <v>Desposte</v>
      </c>
      <c r="C49" s="61" t="str">
        <f>Inicial!C49</f>
        <v>Operario de producción Línea Paletas</v>
      </c>
      <c r="D49" s="62" t="str">
        <f>Inicial!D49</f>
        <v>Revisión de paleta con cuchillo</v>
      </c>
      <c r="E49" s="60" t="str">
        <f>IF(Inicial!M49="SI",Inicial!E49,"N/A")</f>
        <v>N/A</v>
      </c>
      <c r="F49" s="61" t="str">
        <f>IF(Inicial!M49="SI",Inicial!F49,"N/A")</f>
        <v>N/A</v>
      </c>
      <c r="G49" s="61" t="str">
        <f>IF(Inicial!M49="SI",Inicial!G49,"N/A")</f>
        <v>N/A</v>
      </c>
      <c r="H49" s="61" t="str">
        <f>IF(Inicial!M49="SI",Inicial!H49,"N/A")</f>
        <v>N/A</v>
      </c>
      <c r="I49" s="63" t="str">
        <f>IF(Inicial!M49="SI",Inicial!I49,"N/A")</f>
        <v>N/A</v>
      </c>
      <c r="J49" s="11"/>
      <c r="K49" s="11"/>
      <c r="L49" s="11"/>
      <c r="M49" s="11"/>
      <c r="N49" s="11"/>
      <c r="O49" s="11"/>
      <c r="P49" s="11"/>
      <c r="Q49" s="11"/>
      <c r="R49" s="11"/>
      <c r="S49" s="11"/>
      <c r="T49" s="11"/>
      <c r="U49" s="11"/>
      <c r="V49" s="11"/>
      <c r="W49" s="12" t="str" cm="1">
        <f t="array" ref="W49">IF(OR(M49:V49="NO"),"No aceptable","Aceptable")</f>
        <v>Aceptable</v>
      </c>
      <c r="X49" s="11"/>
      <c r="Y49" s="11"/>
      <c r="Z49" s="11"/>
      <c r="AA49" s="11"/>
      <c r="AB49" s="11"/>
      <c r="AC49" s="11"/>
      <c r="AD49" s="11"/>
      <c r="AE49" s="11"/>
      <c r="AF49" s="11"/>
      <c r="AG49" s="11"/>
      <c r="AH49" s="11"/>
      <c r="AI49" s="11"/>
      <c r="AJ49" s="11"/>
      <c r="AK49" s="11"/>
      <c r="AL49" s="11"/>
      <c r="AM49" s="11"/>
      <c r="AN49" s="3" t="str" cm="1">
        <f t="array" ref="AN49">IF(OR(AA49:AM49="SI"),"Critico","No Critico")</f>
        <v>No Critico</v>
      </c>
    </row>
    <row r="50" spans="1:40" ht="38.25">
      <c r="A50" s="60">
        <f>Inicial!A50</f>
        <v>48</v>
      </c>
      <c r="B50" s="61" t="str">
        <f>Inicial!B50</f>
        <v>Desposte</v>
      </c>
      <c r="C50" s="61" t="str">
        <f>Inicial!C50</f>
        <v>Operario de producción Línea Paletas</v>
      </c>
      <c r="D50" s="62" t="str">
        <f>Inicial!D50</f>
        <v>Prolijado de paleta</v>
      </c>
      <c r="E50" s="60" t="str">
        <f>IF(Inicial!M50="SI",Inicial!E50,"N/A")</f>
        <v>N/A</v>
      </c>
      <c r="F50" s="61" t="str">
        <f>IF(Inicial!M50="SI",Inicial!F50,"N/A")</f>
        <v>N/A</v>
      </c>
      <c r="G50" s="61" t="str">
        <f>IF(Inicial!M50="SI",Inicial!G50,"N/A")</f>
        <v>N/A</v>
      </c>
      <c r="H50" s="61" t="str">
        <f>IF(Inicial!M50="SI",Inicial!H50,"N/A")</f>
        <v>N/A</v>
      </c>
      <c r="I50" s="63" t="str">
        <f>IF(Inicial!M50="SI",Inicial!I50,"N/A")</f>
        <v>N/A</v>
      </c>
      <c r="J50" s="11"/>
      <c r="K50" s="11"/>
      <c r="L50" s="11"/>
      <c r="M50" s="11"/>
      <c r="N50" s="11"/>
      <c r="O50" s="11"/>
      <c r="P50" s="11"/>
      <c r="Q50" s="11"/>
      <c r="R50" s="11"/>
      <c r="S50" s="11"/>
      <c r="T50" s="11"/>
      <c r="U50" s="11"/>
      <c r="V50" s="11"/>
      <c r="W50" s="12" t="str" cm="1">
        <f t="array" ref="W50">IF(OR(M50:V50="NO"),"No aceptable","Aceptable")</f>
        <v>Aceptable</v>
      </c>
      <c r="X50" s="11"/>
      <c r="Y50" s="11"/>
      <c r="Z50" s="11"/>
      <c r="AA50" s="11"/>
      <c r="AB50" s="11"/>
      <c r="AC50" s="11"/>
      <c r="AD50" s="11"/>
      <c r="AE50" s="11"/>
      <c r="AF50" s="11"/>
      <c r="AG50" s="11"/>
      <c r="AH50" s="11"/>
      <c r="AI50" s="11"/>
      <c r="AJ50" s="11"/>
      <c r="AK50" s="11"/>
      <c r="AL50" s="11"/>
      <c r="AM50" s="11"/>
      <c r="AN50" s="3" t="str" cm="1">
        <f t="array" ref="AN50">IF(OR(AA50:AM50="SI"),"Critico","No Critico")</f>
        <v>No Critico</v>
      </c>
    </row>
    <row r="51" spans="1:40" ht="38.25">
      <c r="A51" s="60">
        <f>Inicial!A51</f>
        <v>49</v>
      </c>
      <c r="B51" s="61" t="str">
        <f>Inicial!B51</f>
        <v>Desposte</v>
      </c>
      <c r="C51" s="61" t="str">
        <f>Inicial!C51</f>
        <v>Operario de producción Línea Paletas</v>
      </c>
      <c r="D51" s="62" t="str">
        <f>Inicial!D51</f>
        <v>Operador de equipo cortador de pernil</v>
      </c>
      <c r="E51" s="60" t="str">
        <f>IF(Inicial!M51="SI",Inicial!E51,"N/A")</f>
        <v>N/A</v>
      </c>
      <c r="F51" s="61" t="str">
        <f>IF(Inicial!M51="SI",Inicial!F51,"N/A")</f>
        <v>N/A</v>
      </c>
      <c r="G51" s="61" t="str">
        <f>IF(Inicial!M51="SI",Inicial!G51,"N/A")</f>
        <v>N/A</v>
      </c>
      <c r="H51" s="61" t="str">
        <f>IF(Inicial!M51="SI",Inicial!H51,"N/A")</f>
        <v>N/A</v>
      </c>
      <c r="I51" s="63" t="str">
        <f>IF(Inicial!M51="SI",Inicial!I51,"N/A")</f>
        <v>N/A</v>
      </c>
      <c r="J51" s="11"/>
      <c r="K51" s="11"/>
      <c r="L51" s="11"/>
      <c r="M51" s="11"/>
      <c r="N51" s="11"/>
      <c r="O51" s="11"/>
      <c r="P51" s="11"/>
      <c r="Q51" s="11"/>
      <c r="R51" s="11"/>
      <c r="S51" s="11"/>
      <c r="T51" s="11"/>
      <c r="U51" s="11"/>
      <c r="V51" s="11"/>
      <c r="W51" s="12" t="str" cm="1">
        <f t="array" ref="W51">IF(OR(M51:V51="NO"),"No aceptable","Aceptable")</f>
        <v>Aceptable</v>
      </c>
      <c r="X51" s="11"/>
      <c r="Y51" s="11"/>
      <c r="Z51" s="11"/>
      <c r="AA51" s="11"/>
      <c r="AB51" s="11"/>
      <c r="AC51" s="11"/>
      <c r="AD51" s="11"/>
      <c r="AE51" s="11"/>
      <c r="AF51" s="11"/>
      <c r="AG51" s="11"/>
      <c r="AH51" s="11"/>
      <c r="AI51" s="11"/>
      <c r="AJ51" s="11"/>
      <c r="AK51" s="11"/>
      <c r="AL51" s="11"/>
      <c r="AM51" s="11"/>
      <c r="AN51" s="3" t="str" cm="1">
        <f t="array" ref="AN51">IF(OR(AA51:AM51="SI"),"Critico","No Critico")</f>
        <v>No Critico</v>
      </c>
    </row>
    <row r="52" spans="1:40" ht="38.25">
      <c r="A52" s="60">
        <f>Inicial!A52</f>
        <v>50</v>
      </c>
      <c r="B52" s="61" t="str">
        <f>Inicial!B52</f>
        <v>Desposte</v>
      </c>
      <c r="C52" s="61" t="str">
        <f>Inicial!C52</f>
        <v>Operario de producción Línea Paletas</v>
      </c>
      <c r="D52" s="62" t="str">
        <f>Inicial!D52</f>
        <v>Acomodado de pernil y cambio de bandeja</v>
      </c>
      <c r="E52" s="60" t="str">
        <f>IF(Inicial!M52="SI",Inicial!E52,"N/A")</f>
        <v>N/A</v>
      </c>
      <c r="F52" s="61" t="str">
        <f>IF(Inicial!M52="SI",Inicial!F52,"N/A")</f>
        <v>N/A</v>
      </c>
      <c r="G52" s="61" t="str">
        <f>IF(Inicial!M52="SI",Inicial!G52,"N/A")</f>
        <v>N/A</v>
      </c>
      <c r="H52" s="61" t="str">
        <f>IF(Inicial!M52="SI",Inicial!H52,"N/A")</f>
        <v>N/A</v>
      </c>
      <c r="I52" s="63" t="str">
        <f>IF(Inicial!M52="SI",Inicial!I52,"N/A")</f>
        <v>N/A</v>
      </c>
      <c r="J52" s="11"/>
      <c r="K52" s="11"/>
      <c r="L52" s="11"/>
      <c r="M52" s="11"/>
      <c r="N52" s="11"/>
      <c r="O52" s="11"/>
      <c r="P52" s="11"/>
      <c r="Q52" s="11"/>
      <c r="R52" s="11"/>
      <c r="S52" s="11"/>
      <c r="T52" s="11"/>
      <c r="U52" s="11"/>
      <c r="V52" s="11"/>
      <c r="W52" s="12" t="str" cm="1">
        <f t="array" ref="W52">IF(OR(M52:V52="NO"),"No aceptable","Aceptable")</f>
        <v>Aceptable</v>
      </c>
      <c r="X52" s="11"/>
      <c r="Y52" s="11"/>
      <c r="Z52" s="11"/>
      <c r="AA52" s="11"/>
      <c r="AB52" s="11"/>
      <c r="AC52" s="11"/>
      <c r="AD52" s="11"/>
      <c r="AE52" s="11"/>
      <c r="AF52" s="11"/>
      <c r="AG52" s="11"/>
      <c r="AH52" s="11"/>
      <c r="AI52" s="11"/>
      <c r="AJ52" s="11"/>
      <c r="AK52" s="11"/>
      <c r="AL52" s="11"/>
      <c r="AM52" s="11"/>
      <c r="AN52" s="3" t="str" cm="1">
        <f t="array" ref="AN52">IF(OR(AA52:AM52="SI"),"Critico","No Critico")</f>
        <v>No Critico</v>
      </c>
    </row>
    <row r="53" spans="1:40" ht="38.25">
      <c r="A53" s="60">
        <f>Inicial!A53</f>
        <v>51</v>
      </c>
      <c r="B53" s="61" t="str">
        <f>Inicial!B53</f>
        <v>Desposte</v>
      </c>
      <c r="C53" s="61" t="str">
        <f>Inicial!C53</f>
        <v>Operario de producción Línea Paletas</v>
      </c>
      <c r="D53" s="62" t="str">
        <f>Inicial!D53</f>
        <v>Extracción de ganglios paleta</v>
      </c>
      <c r="E53" s="60" t="str">
        <f>IF(Inicial!M53="SI",Inicial!E53,"N/A")</f>
        <v>N/A</v>
      </c>
      <c r="F53" s="61" t="str">
        <f>IF(Inicial!M53="SI",Inicial!F53,"N/A")</f>
        <v>N/A</v>
      </c>
      <c r="G53" s="61" t="str">
        <f>IF(Inicial!M53="SI",Inicial!G53,"N/A")</f>
        <v>N/A</v>
      </c>
      <c r="H53" s="61" t="str">
        <f>IF(Inicial!M53="SI",Inicial!H53,"N/A")</f>
        <v>N/A</v>
      </c>
      <c r="I53" s="63" t="str">
        <f>IF(Inicial!M53="SI",Inicial!I53,"N/A")</f>
        <v>N/A</v>
      </c>
      <c r="J53" s="11"/>
      <c r="K53" s="11"/>
      <c r="L53" s="11"/>
      <c r="M53" s="11"/>
      <c r="N53" s="11"/>
      <c r="O53" s="11"/>
      <c r="P53" s="11"/>
      <c r="Q53" s="11"/>
      <c r="R53" s="11"/>
      <c r="S53" s="11"/>
      <c r="T53" s="11"/>
      <c r="U53" s="11"/>
      <c r="V53" s="11"/>
      <c r="W53" s="12" t="str" cm="1">
        <f t="array" ref="W53">IF(OR(M53:V53="NO"),"No aceptable","Aceptable")</f>
        <v>Aceptable</v>
      </c>
      <c r="X53" s="11"/>
      <c r="Y53" s="11"/>
      <c r="Z53" s="11"/>
      <c r="AA53" s="11"/>
      <c r="AB53" s="11"/>
      <c r="AC53" s="11"/>
      <c r="AD53" s="11"/>
      <c r="AE53" s="11"/>
      <c r="AF53" s="11"/>
      <c r="AG53" s="11"/>
      <c r="AH53" s="11"/>
      <c r="AI53" s="11"/>
      <c r="AJ53" s="11"/>
      <c r="AK53" s="11"/>
      <c r="AL53" s="11"/>
      <c r="AM53" s="11"/>
      <c r="AN53" s="3" t="str" cm="1">
        <f t="array" ref="AN53">IF(OR(AA53:AM53="SI"),"Critico","No Critico")</f>
        <v>No Critico</v>
      </c>
    </row>
    <row r="54" spans="1:40" ht="38.25">
      <c r="A54" s="60">
        <f>Inicial!A54</f>
        <v>52</v>
      </c>
      <c r="B54" s="61" t="str">
        <f>Inicial!B54</f>
        <v>Desposte</v>
      </c>
      <c r="C54" s="61" t="str">
        <f>Inicial!C54</f>
        <v>Operario de producción Línea Paletas</v>
      </c>
      <c r="D54" s="62" t="str">
        <f>Inicial!D54</f>
        <v>Abertura de pulpa paleta</v>
      </c>
      <c r="E54" s="60" t="str">
        <f>IF(Inicial!M54="SI",Inicial!E54,"N/A")</f>
        <v>N/A</v>
      </c>
      <c r="F54" s="61" t="str">
        <f>IF(Inicial!M54="SI",Inicial!F54,"N/A")</f>
        <v>N/A</v>
      </c>
      <c r="G54" s="61" t="str">
        <f>IF(Inicial!M54="SI",Inicial!G54,"N/A")</f>
        <v>N/A</v>
      </c>
      <c r="H54" s="61" t="str">
        <f>IF(Inicial!M54="SI",Inicial!H54,"N/A")</f>
        <v>N/A</v>
      </c>
      <c r="I54" s="63" t="str">
        <f>IF(Inicial!M54="SI",Inicial!I54,"N/A")</f>
        <v>N/A</v>
      </c>
      <c r="J54" s="11"/>
      <c r="K54" s="11"/>
      <c r="L54" s="11"/>
      <c r="M54" s="11"/>
      <c r="N54" s="11"/>
      <c r="O54" s="11"/>
      <c r="P54" s="11"/>
      <c r="Q54" s="11"/>
      <c r="R54" s="11"/>
      <c r="S54" s="11"/>
      <c r="T54" s="11"/>
      <c r="U54" s="11"/>
      <c r="V54" s="11"/>
      <c r="W54" s="12" t="str" cm="1">
        <f t="array" ref="W54">IF(OR(M54:V54="NO"),"No aceptable","Aceptable")</f>
        <v>Aceptable</v>
      </c>
      <c r="X54" s="11"/>
      <c r="Y54" s="11"/>
      <c r="Z54" s="11"/>
      <c r="AA54" s="11"/>
      <c r="AB54" s="11"/>
      <c r="AC54" s="11"/>
      <c r="AD54" s="11"/>
      <c r="AE54" s="11"/>
      <c r="AF54" s="11"/>
      <c r="AG54" s="11"/>
      <c r="AH54" s="11"/>
      <c r="AI54" s="11"/>
      <c r="AJ54" s="11"/>
      <c r="AK54" s="11"/>
      <c r="AL54" s="11"/>
      <c r="AM54" s="11"/>
      <c r="AN54" s="3" t="str" cm="1">
        <f t="array" ref="AN54">IF(OR(AA54:AM54="SI"),"Critico","No Critico")</f>
        <v>No Critico</v>
      </c>
    </row>
    <row r="55" spans="1:40" ht="38.25">
      <c r="A55" s="60">
        <f>Inicial!A55</f>
        <v>53</v>
      </c>
      <c r="B55" s="61" t="str">
        <f>Inicial!B55</f>
        <v>Desposte</v>
      </c>
      <c r="C55" s="61" t="str">
        <f>Inicial!C55</f>
        <v>Operario de producción Línea Paletas</v>
      </c>
      <c r="D55" s="62" t="str">
        <f>Inicial!D55</f>
        <v>Rayado de escapula</v>
      </c>
      <c r="E55" s="60" t="str">
        <f>IF(Inicial!M55="SI",Inicial!E55,"N/A")</f>
        <v>N/A</v>
      </c>
      <c r="F55" s="61" t="str">
        <f>IF(Inicial!M55="SI",Inicial!F55,"N/A")</f>
        <v>N/A</v>
      </c>
      <c r="G55" s="61" t="str">
        <f>IF(Inicial!M55="SI",Inicial!G55,"N/A")</f>
        <v>N/A</v>
      </c>
      <c r="H55" s="61" t="str">
        <f>IF(Inicial!M55="SI",Inicial!H55,"N/A")</f>
        <v>N/A</v>
      </c>
      <c r="I55" s="63" t="str">
        <f>IF(Inicial!M55="SI",Inicial!I55,"N/A")</f>
        <v>N/A</v>
      </c>
      <c r="J55" s="11"/>
      <c r="K55" s="11"/>
      <c r="L55" s="11"/>
      <c r="M55" s="11"/>
      <c r="N55" s="11"/>
      <c r="O55" s="11"/>
      <c r="P55" s="11"/>
      <c r="Q55" s="11"/>
      <c r="R55" s="11"/>
      <c r="S55" s="11"/>
      <c r="T55" s="11"/>
      <c r="U55" s="11"/>
      <c r="V55" s="11"/>
      <c r="W55" s="12" t="str" cm="1">
        <f t="array" ref="W55">IF(OR(M55:V55="NO"),"No aceptable","Aceptable")</f>
        <v>Aceptable</v>
      </c>
      <c r="X55" s="11"/>
      <c r="Y55" s="11"/>
      <c r="Z55" s="11"/>
      <c r="AA55" s="11"/>
      <c r="AB55" s="11"/>
      <c r="AC55" s="11"/>
      <c r="AD55" s="11"/>
      <c r="AE55" s="11"/>
      <c r="AF55" s="11"/>
      <c r="AG55" s="11"/>
      <c r="AH55" s="11"/>
      <c r="AI55" s="11"/>
      <c r="AJ55" s="11"/>
      <c r="AK55" s="11"/>
      <c r="AL55" s="11"/>
      <c r="AM55" s="11"/>
      <c r="AN55" s="3" t="str" cm="1">
        <f t="array" ref="AN55">IF(OR(AA55:AM55="SI"),"Critico","No Critico")</f>
        <v>No Critico</v>
      </c>
    </row>
    <row r="56" spans="1:40" ht="38.25">
      <c r="A56" s="60">
        <f>Inicial!A56</f>
        <v>54</v>
      </c>
      <c r="B56" s="61" t="str">
        <f>Inicial!B56</f>
        <v>Desposte</v>
      </c>
      <c r="C56" s="61" t="str">
        <f>Inicial!C56</f>
        <v>Operario de producción Línea Paletas</v>
      </c>
      <c r="D56" s="62" t="str">
        <f>Inicial!D56</f>
        <v>Extracción de escapula con pistola neumatica</v>
      </c>
      <c r="E56" s="60" t="str">
        <f>IF(Inicial!M56="SI",Inicial!E56,"N/A")</f>
        <v>N/A</v>
      </c>
      <c r="F56" s="61" t="str">
        <f>IF(Inicial!M56="SI",Inicial!F56,"N/A")</f>
        <v>N/A</v>
      </c>
      <c r="G56" s="61" t="str">
        <f>IF(Inicial!M56="SI",Inicial!G56,"N/A")</f>
        <v>N/A</v>
      </c>
      <c r="H56" s="61" t="str">
        <f>IF(Inicial!M56="SI",Inicial!H56,"N/A")</f>
        <v>N/A</v>
      </c>
      <c r="I56" s="63" t="str">
        <f>IF(Inicial!M56="SI",Inicial!I56,"N/A")</f>
        <v>N/A</v>
      </c>
      <c r="J56" s="11"/>
      <c r="K56" s="11"/>
      <c r="L56" s="11"/>
      <c r="M56" s="11"/>
      <c r="N56" s="11"/>
      <c r="O56" s="11"/>
      <c r="P56" s="11"/>
      <c r="Q56" s="11"/>
      <c r="R56" s="11"/>
      <c r="S56" s="11"/>
      <c r="T56" s="11"/>
      <c r="U56" s="11"/>
      <c r="V56" s="11"/>
      <c r="W56" s="12" t="str" cm="1">
        <f t="array" ref="W56">IF(OR(M56:V56="NO"),"No aceptable","Aceptable")</f>
        <v>Aceptable</v>
      </c>
      <c r="X56" s="11"/>
      <c r="Y56" s="11"/>
      <c r="Z56" s="11"/>
      <c r="AA56" s="11"/>
      <c r="AB56" s="11"/>
      <c r="AC56" s="11"/>
      <c r="AD56" s="11"/>
      <c r="AE56" s="11"/>
      <c r="AF56" s="11"/>
      <c r="AG56" s="11"/>
      <c r="AH56" s="11"/>
      <c r="AI56" s="11"/>
      <c r="AJ56" s="11"/>
      <c r="AK56" s="11"/>
      <c r="AL56" s="11"/>
      <c r="AM56" s="11"/>
      <c r="AN56" s="3" t="str" cm="1">
        <f t="array" ref="AN56">IF(OR(AA56:AM56="SI"),"Critico","No Critico")</f>
        <v>No Critico</v>
      </c>
    </row>
    <row r="57" spans="1:40" ht="38.25">
      <c r="A57" s="60">
        <f>Inicial!A57</f>
        <v>55</v>
      </c>
      <c r="B57" s="61" t="str">
        <f>Inicial!B57</f>
        <v>Desposte</v>
      </c>
      <c r="C57" s="61" t="str">
        <f>Inicial!C57</f>
        <v>Operario de producción Línea Paletas</v>
      </c>
      <c r="D57" s="62" t="str">
        <f>Inicial!D57</f>
        <v>Extracción de escapula</v>
      </c>
      <c r="E57" s="60" t="str">
        <f>IF(Inicial!M57="SI",Inicial!E57,"N/A")</f>
        <v>N/A</v>
      </c>
      <c r="F57" s="61" t="str">
        <f>IF(Inicial!M57="SI",Inicial!F57,"N/A")</f>
        <v>N/A</v>
      </c>
      <c r="G57" s="61" t="str">
        <f>IF(Inicial!M57="SI",Inicial!G57,"N/A")</f>
        <v>N/A</v>
      </c>
      <c r="H57" s="61" t="str">
        <f>IF(Inicial!M57="SI",Inicial!H57,"N/A")</f>
        <v>N/A</v>
      </c>
      <c r="I57" s="63" t="str">
        <f>IF(Inicial!M57="SI",Inicial!I57,"N/A")</f>
        <v>N/A</v>
      </c>
      <c r="J57" s="11"/>
      <c r="K57" s="11"/>
      <c r="L57" s="11"/>
      <c r="M57" s="11"/>
      <c r="N57" s="11"/>
      <c r="O57" s="11"/>
      <c r="P57" s="11"/>
      <c r="Q57" s="11"/>
      <c r="R57" s="11"/>
      <c r="S57" s="11"/>
      <c r="T57" s="11"/>
      <c r="U57" s="11"/>
      <c r="V57" s="11"/>
      <c r="W57" s="12" t="str" cm="1">
        <f t="array" ref="W57">IF(OR(M57:V57="NO"),"No aceptable","Aceptable")</f>
        <v>Aceptable</v>
      </c>
      <c r="X57" s="11"/>
      <c r="Y57" s="11"/>
      <c r="Z57" s="11"/>
      <c r="AA57" s="11"/>
      <c r="AB57" s="11"/>
      <c r="AC57" s="11"/>
      <c r="AD57" s="11"/>
      <c r="AE57" s="11"/>
      <c r="AF57" s="11"/>
      <c r="AG57" s="11"/>
      <c r="AH57" s="11"/>
      <c r="AI57" s="11"/>
      <c r="AJ57" s="11"/>
      <c r="AK57" s="11"/>
      <c r="AL57" s="11"/>
      <c r="AM57" s="11"/>
      <c r="AN57" s="3" t="str" cm="1">
        <f t="array" ref="AN57">IF(OR(AA57:AM57="SI"),"Critico","No Critico")</f>
        <v>No Critico</v>
      </c>
    </row>
    <row r="58" spans="1:40" ht="38.25">
      <c r="A58" s="60">
        <f>Inicial!A58</f>
        <v>56</v>
      </c>
      <c r="B58" s="61" t="str">
        <f>Inicial!B58</f>
        <v>Desposte</v>
      </c>
      <c r="C58" s="61" t="str">
        <f>Inicial!C58</f>
        <v>Operario de producción Línea Paletas</v>
      </c>
      <c r="D58" s="62" t="str">
        <f>Inicial!D58</f>
        <v>Deshuesado de hueso humero</v>
      </c>
      <c r="E58" s="60" t="str">
        <f>IF(Inicial!M58="SI",Inicial!E58,"N/A")</f>
        <v>N/A</v>
      </c>
      <c r="F58" s="61" t="str">
        <f>IF(Inicial!M58="SI",Inicial!F58,"N/A")</f>
        <v>N/A</v>
      </c>
      <c r="G58" s="61" t="str">
        <f>IF(Inicial!M58="SI",Inicial!G58,"N/A")</f>
        <v>N/A</v>
      </c>
      <c r="H58" s="61" t="str">
        <f>IF(Inicial!M58="SI",Inicial!H58,"N/A")</f>
        <v>N/A</v>
      </c>
      <c r="I58" s="63" t="str">
        <f>IF(Inicial!M58="SI",Inicial!I58,"N/A")</f>
        <v>N/A</v>
      </c>
      <c r="J58" s="11"/>
      <c r="K58" s="11"/>
      <c r="L58" s="11"/>
      <c r="M58" s="11"/>
      <c r="N58" s="11"/>
      <c r="O58" s="11"/>
      <c r="P58" s="11"/>
      <c r="Q58" s="11"/>
      <c r="R58" s="11"/>
      <c r="S58" s="11"/>
      <c r="T58" s="11"/>
      <c r="U58" s="11"/>
      <c r="V58" s="11"/>
      <c r="W58" s="12" t="str" cm="1">
        <f t="array" ref="W58">IF(OR(M58:V58="NO"),"No aceptable","Aceptable")</f>
        <v>Aceptable</v>
      </c>
      <c r="X58" s="11"/>
      <c r="Y58" s="11"/>
      <c r="Z58" s="11"/>
      <c r="AA58" s="11"/>
      <c r="AB58" s="11"/>
      <c r="AC58" s="11"/>
      <c r="AD58" s="11"/>
      <c r="AE58" s="11"/>
      <c r="AF58" s="11"/>
      <c r="AG58" s="11"/>
      <c r="AH58" s="11"/>
      <c r="AI58" s="11"/>
      <c r="AJ58" s="11"/>
      <c r="AK58" s="11"/>
      <c r="AL58" s="11"/>
      <c r="AM58" s="11"/>
      <c r="AN58" s="3" t="str" cm="1">
        <f t="array" ref="AN58">IF(OR(AA58:AM58="SI"),"Critico","No Critico")</f>
        <v>No Critico</v>
      </c>
    </row>
    <row r="59" spans="1:40" ht="38.25">
      <c r="A59" s="60">
        <f>Inicial!A59</f>
        <v>57</v>
      </c>
      <c r="B59" s="61" t="str">
        <f>Inicial!B59</f>
        <v>Desposte</v>
      </c>
      <c r="C59" s="61" t="str">
        <f>Inicial!C59</f>
        <v>Operario de producción Línea Paletas</v>
      </c>
      <c r="D59" s="62" t="str">
        <f>Inicial!D59</f>
        <v>Extracción de cartilago de paleta</v>
      </c>
      <c r="E59" s="60" t="str">
        <f>IF(Inicial!M59="SI",Inicial!E59,"N/A")</f>
        <v>N/A</v>
      </c>
      <c r="F59" s="61" t="str">
        <f>IF(Inicial!M59="SI",Inicial!F59,"N/A")</f>
        <v>N/A</v>
      </c>
      <c r="G59" s="61" t="str">
        <f>IF(Inicial!M59="SI",Inicial!G59,"N/A")</f>
        <v>N/A</v>
      </c>
      <c r="H59" s="61" t="str">
        <f>IF(Inicial!M59="SI",Inicial!H59,"N/A")</f>
        <v>N/A</v>
      </c>
      <c r="I59" s="63" t="str">
        <f>IF(Inicial!M59="SI",Inicial!I59,"N/A")</f>
        <v>N/A</v>
      </c>
      <c r="J59" s="11"/>
      <c r="K59" s="11"/>
      <c r="L59" s="11"/>
      <c r="M59" s="11"/>
      <c r="N59" s="11"/>
      <c r="O59" s="11"/>
      <c r="P59" s="11"/>
      <c r="Q59" s="11"/>
      <c r="R59" s="11"/>
      <c r="S59" s="11"/>
      <c r="T59" s="11"/>
      <c r="U59" s="11"/>
      <c r="V59" s="11"/>
      <c r="W59" s="12" t="str" cm="1">
        <f t="array" ref="W59">IF(OR(M59:V59="NO"),"No aceptable","Aceptable")</f>
        <v>Aceptable</v>
      </c>
      <c r="X59" s="11"/>
      <c r="Y59" s="11"/>
      <c r="Z59" s="11"/>
      <c r="AA59" s="11"/>
      <c r="AB59" s="11"/>
      <c r="AC59" s="11"/>
      <c r="AD59" s="11"/>
      <c r="AE59" s="11"/>
      <c r="AF59" s="11"/>
      <c r="AG59" s="11"/>
      <c r="AH59" s="11"/>
      <c r="AI59" s="11"/>
      <c r="AJ59" s="11"/>
      <c r="AK59" s="11"/>
      <c r="AL59" s="11"/>
      <c r="AM59" s="11"/>
      <c r="AN59" s="3" t="str" cm="1">
        <f t="array" ref="AN59">IF(OR(AA59:AM59="SI"),"Critico","No Critico")</f>
        <v>No Critico</v>
      </c>
    </row>
    <row r="60" spans="1:40" ht="51">
      <c r="A60" s="60">
        <f>Inicial!A60</f>
        <v>58</v>
      </c>
      <c r="B60" s="61" t="str">
        <f>Inicial!B60</f>
        <v>Desposte</v>
      </c>
      <c r="C60" s="61" t="str">
        <f>Inicial!C60</f>
        <v>Operario de producción Línea Paletas</v>
      </c>
      <c r="D60" s="62" t="str">
        <f>Inicial!D60</f>
        <v>Acomodado de pulpa y direccionamiento de pernil</v>
      </c>
      <c r="E60" s="60" t="str">
        <f>IF(Inicial!M60="SI",Inicial!E60,"N/A")</f>
        <v>N/A</v>
      </c>
      <c r="F60" s="61" t="str">
        <f>IF(Inicial!M60="SI",Inicial!F60,"N/A")</f>
        <v>N/A</v>
      </c>
      <c r="G60" s="61" t="str">
        <f>IF(Inicial!M60="SI",Inicial!G60,"N/A")</f>
        <v>N/A</v>
      </c>
      <c r="H60" s="61" t="str">
        <f>IF(Inicial!M60="SI",Inicial!H60,"N/A")</f>
        <v>N/A</v>
      </c>
      <c r="I60" s="63" t="str">
        <f>IF(Inicial!M60="SI",Inicial!I60,"N/A")</f>
        <v>N/A</v>
      </c>
      <c r="J60" s="11"/>
      <c r="K60" s="11"/>
      <c r="L60" s="11"/>
      <c r="M60" s="11"/>
      <c r="N60" s="11"/>
      <c r="O60" s="11"/>
      <c r="P60" s="11"/>
      <c r="Q60" s="11"/>
      <c r="R60" s="11"/>
      <c r="S60" s="11"/>
      <c r="T60" s="11"/>
      <c r="U60" s="11"/>
      <c r="V60" s="11"/>
      <c r="W60" s="12" t="str" cm="1">
        <f t="array" ref="W60">IF(OR(M60:V60="NO"),"No aceptable","Aceptable")</f>
        <v>Aceptable</v>
      </c>
      <c r="X60" s="11"/>
      <c r="Y60" s="11"/>
      <c r="Z60" s="11"/>
      <c r="AA60" s="11"/>
      <c r="AB60" s="11"/>
      <c r="AC60" s="11"/>
      <c r="AD60" s="11"/>
      <c r="AE60" s="11"/>
      <c r="AF60" s="11"/>
      <c r="AG60" s="11"/>
      <c r="AH60" s="11"/>
      <c r="AI60" s="11"/>
      <c r="AJ60" s="11"/>
      <c r="AK60" s="11"/>
      <c r="AL60" s="11"/>
      <c r="AM60" s="11"/>
      <c r="AN60" s="3" t="str" cm="1">
        <f t="array" ref="AN60">IF(OR(AA60:AM60="SI"),"Critico","No Critico")</f>
        <v>No Critico</v>
      </c>
    </row>
    <row r="61" spans="1:40" ht="38.25">
      <c r="A61" s="60">
        <f>Inicial!A61</f>
        <v>59</v>
      </c>
      <c r="B61" s="61" t="str">
        <f>Inicial!B61</f>
        <v>Desposte</v>
      </c>
      <c r="C61" s="61" t="str">
        <f>Inicial!C61</f>
        <v>Operario de producción Línea Paletas</v>
      </c>
      <c r="D61" s="62" t="str">
        <f>Inicial!D61</f>
        <v>Extracción de membrana y cartilago</v>
      </c>
      <c r="E61" s="60" t="str">
        <f>IF(Inicial!M61="SI",Inicial!E61,"N/A")</f>
        <v>N/A</v>
      </c>
      <c r="F61" s="61" t="str">
        <f>IF(Inicial!M61="SI",Inicial!F61,"N/A")</f>
        <v>N/A</v>
      </c>
      <c r="G61" s="61" t="str">
        <f>IF(Inicial!M61="SI",Inicial!G61,"N/A")</f>
        <v>N/A</v>
      </c>
      <c r="H61" s="61" t="str">
        <f>IF(Inicial!M61="SI",Inicial!H61,"N/A")</f>
        <v>N/A</v>
      </c>
      <c r="I61" s="63" t="str">
        <f>IF(Inicial!M61="SI",Inicial!I61,"N/A")</f>
        <v>N/A</v>
      </c>
      <c r="J61" s="11"/>
      <c r="K61" s="11"/>
      <c r="L61" s="11"/>
      <c r="M61" s="11"/>
      <c r="N61" s="11"/>
      <c r="O61" s="11"/>
      <c r="P61" s="11"/>
      <c r="Q61" s="11"/>
      <c r="R61" s="11"/>
      <c r="S61" s="11"/>
      <c r="T61" s="11"/>
      <c r="U61" s="11"/>
      <c r="V61" s="11"/>
      <c r="W61" s="12" t="str" cm="1">
        <f t="array" ref="W61">IF(OR(M61:V61="NO"),"No aceptable","Aceptable")</f>
        <v>Aceptable</v>
      </c>
      <c r="X61" s="11"/>
      <c r="Y61" s="11"/>
      <c r="Z61" s="11"/>
      <c r="AA61" s="11"/>
      <c r="AB61" s="11"/>
      <c r="AC61" s="11"/>
      <c r="AD61" s="11"/>
      <c r="AE61" s="11"/>
      <c r="AF61" s="11"/>
      <c r="AG61" s="11"/>
      <c r="AH61" s="11"/>
      <c r="AI61" s="11"/>
      <c r="AJ61" s="11"/>
      <c r="AK61" s="11"/>
      <c r="AL61" s="11"/>
      <c r="AM61" s="11"/>
      <c r="AN61" s="3" t="str" cm="1">
        <f t="array" ref="AN61">IF(OR(AA61:AM61="SI"),"Critico","No Critico")</f>
        <v>No Critico</v>
      </c>
    </row>
    <row r="62" spans="1:40" ht="38.25">
      <c r="A62" s="60">
        <f>Inicial!A62</f>
        <v>60</v>
      </c>
      <c r="B62" s="61" t="str">
        <f>Inicial!B62</f>
        <v>Desposte</v>
      </c>
      <c r="C62" s="61" t="str">
        <f>Inicial!C62</f>
        <v>Operario de producción Línea Paletas</v>
      </c>
      <c r="D62" s="62" t="str">
        <f>Inicial!D62</f>
        <v>Ordenar cuero</v>
      </c>
      <c r="E62" s="60" t="str">
        <f>IF(Inicial!M62="SI",Inicial!E62,"N/A")</f>
        <v>N/A</v>
      </c>
      <c r="F62" s="61" t="str">
        <f>IF(Inicial!M62="SI",Inicial!F62,"N/A")</f>
        <v>N/A</v>
      </c>
      <c r="G62" s="61" t="str">
        <f>IF(Inicial!M62="SI",Inicial!G62,"N/A")</f>
        <v>N/A</v>
      </c>
      <c r="H62" s="61" t="str">
        <f>IF(Inicial!M62="SI",Inicial!H62,"N/A")</f>
        <v>N/A</v>
      </c>
      <c r="I62" s="63" t="str">
        <f>IF(Inicial!M62="SI",Inicial!I62,"N/A")</f>
        <v>N/A</v>
      </c>
      <c r="J62" s="11"/>
      <c r="K62" s="11"/>
      <c r="L62" s="11"/>
      <c r="M62" s="11"/>
      <c r="N62" s="11"/>
      <c r="O62" s="11"/>
      <c r="P62" s="11"/>
      <c r="Q62" s="11"/>
      <c r="R62" s="11"/>
      <c r="S62" s="11"/>
      <c r="T62" s="11"/>
      <c r="U62" s="11"/>
      <c r="V62" s="11"/>
      <c r="W62" s="12" t="str" cm="1">
        <f t="array" ref="W62">IF(OR(M62:V62="NO"),"No aceptable","Aceptable")</f>
        <v>Aceptable</v>
      </c>
      <c r="X62" s="11"/>
      <c r="Y62" s="11"/>
      <c r="Z62" s="11"/>
      <c r="AA62" s="11"/>
      <c r="AB62" s="11"/>
      <c r="AC62" s="11"/>
      <c r="AD62" s="11"/>
      <c r="AE62" s="11"/>
      <c r="AF62" s="11"/>
      <c r="AG62" s="11"/>
      <c r="AH62" s="11"/>
      <c r="AI62" s="11"/>
      <c r="AJ62" s="11"/>
      <c r="AK62" s="11"/>
      <c r="AL62" s="11"/>
      <c r="AM62" s="11"/>
      <c r="AN62" s="3" t="str" cm="1">
        <f t="array" ref="AN62">IF(OR(AA62:AM62="SI"),"Critico","No Critico")</f>
        <v>No Critico</v>
      </c>
    </row>
    <row r="63" spans="1:40" ht="38.25">
      <c r="A63" s="60">
        <f>Inicial!A63</f>
        <v>61</v>
      </c>
      <c r="B63" s="61" t="str">
        <f>Inicial!B63</f>
        <v>Desposte</v>
      </c>
      <c r="C63" s="61" t="str">
        <f>Inicial!C63</f>
        <v>Operario de producción Línea Paletas</v>
      </c>
      <c r="D63" s="62" t="str">
        <f>Inicial!D63</f>
        <v>Prolijado de paleta y extracción de cuero</v>
      </c>
      <c r="E63" s="60" t="str">
        <f>IF(Inicial!M63="SI",Inicial!E63,"N/A")</f>
        <v>N/A</v>
      </c>
      <c r="F63" s="61" t="str">
        <f>IF(Inicial!M63="SI",Inicial!F63,"N/A")</f>
        <v>N/A</v>
      </c>
      <c r="G63" s="61" t="str">
        <f>IF(Inicial!M63="SI",Inicial!G63,"N/A")</f>
        <v>N/A</v>
      </c>
      <c r="H63" s="61" t="str">
        <f>IF(Inicial!M63="SI",Inicial!H63,"N/A")</f>
        <v>N/A</v>
      </c>
      <c r="I63" s="63" t="str">
        <f>IF(Inicial!M63="SI",Inicial!I63,"N/A")</f>
        <v>N/A</v>
      </c>
      <c r="J63" s="11"/>
      <c r="K63" s="11"/>
      <c r="L63" s="11"/>
      <c r="M63" s="11"/>
      <c r="N63" s="11"/>
      <c r="O63" s="11"/>
      <c r="P63" s="11"/>
      <c r="Q63" s="11"/>
      <c r="R63" s="11"/>
      <c r="S63" s="11"/>
      <c r="T63" s="11"/>
      <c r="U63" s="11"/>
      <c r="V63" s="11"/>
      <c r="W63" s="12" t="str" cm="1">
        <f t="array" ref="W63">IF(OR(M63:V63="NO"),"No aceptable","Aceptable")</f>
        <v>Aceptable</v>
      </c>
      <c r="X63" s="11"/>
      <c r="Y63" s="11"/>
      <c r="Z63" s="11"/>
      <c r="AA63" s="11"/>
      <c r="AB63" s="11"/>
      <c r="AC63" s="11"/>
      <c r="AD63" s="11"/>
      <c r="AE63" s="11"/>
      <c r="AF63" s="11"/>
      <c r="AG63" s="11"/>
      <c r="AH63" s="11"/>
      <c r="AI63" s="11"/>
      <c r="AJ63" s="11"/>
      <c r="AK63" s="11"/>
      <c r="AL63" s="11"/>
      <c r="AM63" s="11"/>
      <c r="AN63" s="3" t="str" cm="1">
        <f t="array" ref="AN63">IF(OR(AA63:AM63="SI"),"Critico","No Critico")</f>
        <v>No Critico</v>
      </c>
    </row>
    <row r="64" spans="1:40" ht="38.25">
      <c r="A64" s="60">
        <f>Inicial!A64</f>
        <v>62</v>
      </c>
      <c r="B64" s="61" t="str">
        <f>Inicial!B64</f>
        <v>Desposte</v>
      </c>
      <c r="C64" s="61" t="str">
        <f>Inicial!C64</f>
        <v>Operario de producción Línea Paletas</v>
      </c>
      <c r="D64" s="62" t="str">
        <f>Inicial!D64</f>
        <v>Prolijado de pulpa paleta</v>
      </c>
      <c r="E64" s="60" t="str">
        <f>IF(Inicial!M64="SI",Inicial!E64,"N/A")</f>
        <v>N/A</v>
      </c>
      <c r="F64" s="61" t="str">
        <f>IF(Inicial!M64="SI",Inicial!F64,"N/A")</f>
        <v>N/A</v>
      </c>
      <c r="G64" s="61" t="str">
        <f>IF(Inicial!M64="SI",Inicial!G64,"N/A")</f>
        <v>N/A</v>
      </c>
      <c r="H64" s="61" t="str">
        <f>IF(Inicial!M64="SI",Inicial!H64,"N/A")</f>
        <v>N/A</v>
      </c>
      <c r="I64" s="63" t="str">
        <f>IF(Inicial!M64="SI",Inicial!I64,"N/A")</f>
        <v>N/A</v>
      </c>
      <c r="J64" s="11"/>
      <c r="K64" s="11"/>
      <c r="L64" s="11"/>
      <c r="M64" s="11"/>
      <c r="N64" s="11"/>
      <c r="O64" s="11"/>
      <c r="P64" s="11"/>
      <c r="Q64" s="11"/>
      <c r="R64" s="11"/>
      <c r="S64" s="11"/>
      <c r="T64" s="11"/>
      <c r="U64" s="11"/>
      <c r="V64" s="11"/>
      <c r="W64" s="12" t="str" cm="1">
        <f t="array" ref="W64">IF(OR(M64:V64="NO"),"No aceptable","Aceptable")</f>
        <v>Aceptable</v>
      </c>
      <c r="X64" s="11"/>
      <c r="Y64" s="11"/>
      <c r="Z64" s="11"/>
      <c r="AA64" s="11"/>
      <c r="AB64" s="11"/>
      <c r="AC64" s="11"/>
      <c r="AD64" s="11"/>
      <c r="AE64" s="11"/>
      <c r="AF64" s="11"/>
      <c r="AG64" s="11"/>
      <c r="AH64" s="11"/>
      <c r="AI64" s="11"/>
      <c r="AJ64" s="11"/>
      <c r="AK64" s="11"/>
      <c r="AL64" s="11"/>
      <c r="AM64" s="11"/>
      <c r="AN64" s="3" t="str" cm="1">
        <f t="array" ref="AN64">IF(OR(AA64:AM64="SI"),"Critico","No Critico")</f>
        <v>No Critico</v>
      </c>
    </row>
    <row r="65" spans="1:40" ht="38.25">
      <c r="A65" s="60">
        <f>Inicial!A65</f>
        <v>63</v>
      </c>
      <c r="B65" s="61" t="str">
        <f>Inicial!B65</f>
        <v>Desposte</v>
      </c>
      <c r="C65" s="61" t="str">
        <f>Inicial!C65</f>
        <v>Operario de producción Línea Paletas</v>
      </c>
      <c r="D65" s="62" t="str">
        <f>Inicial!D65</f>
        <v>Aspiradora de pulpa paleta</v>
      </c>
      <c r="E65" s="60" t="str">
        <f>IF(Inicial!M65="SI",Inicial!E65,"N/A")</f>
        <v>N/A</v>
      </c>
      <c r="F65" s="61" t="str">
        <f>IF(Inicial!M65="SI",Inicial!F65,"N/A")</f>
        <v>N/A</v>
      </c>
      <c r="G65" s="61" t="str">
        <f>IF(Inicial!M65="SI",Inicial!G65,"N/A")</f>
        <v>N/A</v>
      </c>
      <c r="H65" s="61" t="str">
        <f>IF(Inicial!M65="SI",Inicial!H65,"N/A")</f>
        <v>N/A</v>
      </c>
      <c r="I65" s="63" t="str">
        <f>IF(Inicial!M65="SI",Inicial!I65,"N/A")</f>
        <v>N/A</v>
      </c>
      <c r="J65" s="11"/>
      <c r="K65" s="11"/>
      <c r="L65" s="11"/>
      <c r="M65" s="11"/>
      <c r="N65" s="11"/>
      <c r="O65" s="11"/>
      <c r="P65" s="11"/>
      <c r="Q65" s="11"/>
      <c r="R65" s="11"/>
      <c r="S65" s="11"/>
      <c r="T65" s="11"/>
      <c r="U65" s="11"/>
      <c r="V65" s="11"/>
      <c r="W65" s="12" t="str" cm="1">
        <f t="array" ref="W65">IF(OR(M65:V65="NO"),"No aceptable","Aceptable")</f>
        <v>Aceptable</v>
      </c>
      <c r="X65" s="11"/>
      <c r="Y65" s="11"/>
      <c r="Z65" s="11"/>
      <c r="AA65" s="11"/>
      <c r="AB65" s="11"/>
      <c r="AC65" s="11"/>
      <c r="AD65" s="11"/>
      <c r="AE65" s="11"/>
      <c r="AF65" s="11"/>
      <c r="AG65" s="11"/>
      <c r="AH65" s="11"/>
      <c r="AI65" s="11"/>
      <c r="AJ65" s="11"/>
      <c r="AK65" s="11"/>
      <c r="AL65" s="11"/>
      <c r="AM65" s="11"/>
      <c r="AN65" s="3" t="str" cm="1">
        <f t="array" ref="AN65">IF(OR(AA65:AM65="SI"),"Critico","No Critico")</f>
        <v>No Critico</v>
      </c>
    </row>
    <row r="66" spans="1:40" ht="51">
      <c r="A66" s="60">
        <f>Inicial!A66</f>
        <v>64</v>
      </c>
      <c r="B66" s="61" t="str">
        <f>Inicial!B66</f>
        <v>Desposte</v>
      </c>
      <c r="C66" s="61" t="str">
        <f>Inicial!C66</f>
        <v>Operario de producción Línea Pulpa Piernas</v>
      </c>
      <c r="D66" s="62" t="str">
        <f>Inicial!D66</f>
        <v>Direccionador de piernas</v>
      </c>
      <c r="E66" s="60" t="str">
        <f>IF(Inicial!M66="SI",Inicial!E66,"N/A")</f>
        <v>N/A</v>
      </c>
      <c r="F66" s="61" t="str">
        <f>IF(Inicial!M66="SI",Inicial!F66,"N/A")</f>
        <v>N/A</v>
      </c>
      <c r="G66" s="61" t="str">
        <f>IF(Inicial!M66="SI",Inicial!G66,"N/A")</f>
        <v>N/A</v>
      </c>
      <c r="H66" s="61" t="str">
        <f>IF(Inicial!M66="SI",Inicial!H66,"N/A")</f>
        <v>N/A</v>
      </c>
      <c r="I66" s="63" t="str">
        <f>IF(Inicial!M66="SI",Inicial!I66,"N/A")</f>
        <v>N/A</v>
      </c>
      <c r="J66" s="11"/>
      <c r="K66" s="11"/>
      <c r="L66" s="11"/>
      <c r="M66" s="11"/>
      <c r="N66" s="11"/>
      <c r="O66" s="11"/>
      <c r="P66" s="11"/>
      <c r="Q66" s="11"/>
      <c r="R66" s="11"/>
      <c r="S66" s="11"/>
      <c r="T66" s="11"/>
      <c r="U66" s="11"/>
      <c r="V66" s="11"/>
      <c r="W66" s="12" t="str" cm="1">
        <f t="array" ref="W66">IF(OR(M66:V66="NO"),"No aceptable","Aceptable")</f>
        <v>Aceptable</v>
      </c>
      <c r="X66" s="11"/>
      <c r="Y66" s="11"/>
      <c r="Z66" s="11"/>
      <c r="AA66" s="11"/>
      <c r="AB66" s="11"/>
      <c r="AC66" s="11"/>
      <c r="AD66" s="11"/>
      <c r="AE66" s="11"/>
      <c r="AF66" s="11"/>
      <c r="AG66" s="11"/>
      <c r="AH66" s="11"/>
      <c r="AI66" s="11"/>
      <c r="AJ66" s="11"/>
      <c r="AK66" s="11"/>
      <c r="AL66" s="11"/>
      <c r="AM66" s="11"/>
      <c r="AN66" s="3" t="str" cm="1">
        <f t="array" ref="AN66">IF(OR(AA66:AM66="SI"),"Critico","No Critico")</f>
        <v>No Critico</v>
      </c>
    </row>
    <row r="67" spans="1:40" ht="51">
      <c r="A67" s="60">
        <f>Inicial!A67</f>
        <v>65</v>
      </c>
      <c r="B67" s="61" t="str">
        <f>Inicial!B67</f>
        <v>Desposte</v>
      </c>
      <c r="C67" s="61" t="str">
        <f>Inicial!C67</f>
        <v>Operario de producción Línea Pulpa Piernas</v>
      </c>
      <c r="D67" s="62" t="str">
        <f>Inicial!D67</f>
        <v>Extracción de pernil</v>
      </c>
      <c r="E67" s="60" t="str">
        <f>IF(Inicial!M67="SI",Inicial!E67,"N/A")</f>
        <v>N/A</v>
      </c>
      <c r="F67" s="61" t="str">
        <f>IF(Inicial!M67="SI",Inicial!F67,"N/A")</f>
        <v>N/A</v>
      </c>
      <c r="G67" s="61" t="str">
        <f>IF(Inicial!M67="SI",Inicial!G67,"N/A")</f>
        <v>N/A</v>
      </c>
      <c r="H67" s="61" t="str">
        <f>IF(Inicial!M67="SI",Inicial!H67,"N/A")</f>
        <v>N/A</v>
      </c>
      <c r="I67" s="63" t="str">
        <f>IF(Inicial!M67="SI",Inicial!I67,"N/A")</f>
        <v>N/A</v>
      </c>
      <c r="J67" s="11"/>
      <c r="K67" s="11"/>
      <c r="L67" s="11"/>
      <c r="M67" s="11"/>
      <c r="N67" s="11"/>
      <c r="O67" s="11"/>
      <c r="P67" s="11"/>
      <c r="Q67" s="11"/>
      <c r="R67" s="11"/>
      <c r="S67" s="11"/>
      <c r="T67" s="11"/>
      <c r="U67" s="11"/>
      <c r="V67" s="11"/>
      <c r="W67" s="12" t="str" cm="1">
        <f t="array" ref="W67">IF(OR(M67:V67="NO"),"No aceptable","Aceptable")</f>
        <v>Aceptable</v>
      </c>
      <c r="X67" s="11"/>
      <c r="Y67" s="11"/>
      <c r="Z67" s="11"/>
      <c r="AA67" s="11"/>
      <c r="AB67" s="11"/>
      <c r="AC67" s="11"/>
      <c r="AD67" s="11"/>
      <c r="AE67" s="11"/>
      <c r="AF67" s="11"/>
      <c r="AG67" s="11"/>
      <c r="AH67" s="11"/>
      <c r="AI67" s="11"/>
      <c r="AJ67" s="11"/>
      <c r="AK67" s="11"/>
      <c r="AL67" s="11"/>
      <c r="AM67" s="11"/>
      <c r="AN67" s="3" t="str" cm="1">
        <f t="array" ref="AN67">IF(OR(AA67:AM67="SI"),"Critico","No Critico")</f>
        <v>No Critico</v>
      </c>
    </row>
    <row r="68" spans="1:40" ht="51">
      <c r="A68" s="60">
        <f>Inicial!A68</f>
        <v>66</v>
      </c>
      <c r="B68" s="61" t="str">
        <f>Inicial!B68</f>
        <v>Desposte</v>
      </c>
      <c r="C68" s="61" t="str">
        <f>Inicial!C68</f>
        <v>Operario de producción Línea Pulpa Piernas</v>
      </c>
      <c r="D68" s="62" t="str">
        <f>Inicial!D68</f>
        <v xml:space="preserve">Extracción Cazuela y cola </v>
      </c>
      <c r="E68" s="60" t="str">
        <f>IF(Inicial!M68="SI",Inicial!E68,"N/A")</f>
        <v>N/A</v>
      </c>
      <c r="F68" s="61" t="str">
        <f>IF(Inicial!M68="SI",Inicial!F68,"N/A")</f>
        <v>N/A</v>
      </c>
      <c r="G68" s="61" t="str">
        <f>IF(Inicial!M68="SI",Inicial!G68,"N/A")</f>
        <v>N/A</v>
      </c>
      <c r="H68" s="61" t="str">
        <f>IF(Inicial!M68="SI",Inicial!H68,"N/A")</f>
        <v>N/A</v>
      </c>
      <c r="I68" s="63" t="str">
        <f>IF(Inicial!M68="SI",Inicial!I68,"N/A")</f>
        <v>N/A</v>
      </c>
      <c r="J68" s="11"/>
      <c r="K68" s="11"/>
      <c r="L68" s="11"/>
      <c r="M68" s="11"/>
      <c r="N68" s="11"/>
      <c r="O68" s="11"/>
      <c r="P68" s="11"/>
      <c r="Q68" s="11"/>
      <c r="R68" s="11"/>
      <c r="S68" s="11"/>
      <c r="T68" s="11"/>
      <c r="U68" s="11"/>
      <c r="V68" s="11"/>
      <c r="W68" s="12" t="str" cm="1">
        <f t="array" ref="W68">IF(OR(M68:V68="NO"),"No aceptable","Aceptable")</f>
        <v>Aceptable</v>
      </c>
      <c r="X68" s="11"/>
      <c r="Y68" s="11"/>
      <c r="Z68" s="11"/>
      <c r="AA68" s="11"/>
      <c r="AB68" s="11"/>
      <c r="AC68" s="11"/>
      <c r="AD68" s="11"/>
      <c r="AE68" s="11"/>
      <c r="AF68" s="11"/>
      <c r="AG68" s="11"/>
      <c r="AH68" s="11"/>
      <c r="AI68" s="11"/>
      <c r="AJ68" s="11"/>
      <c r="AK68" s="11"/>
      <c r="AL68" s="11"/>
      <c r="AM68" s="11"/>
      <c r="AN68" s="3" t="str" cm="1">
        <f t="array" ref="AN68">IF(OR(AA68:AM68="SI"),"Critico","No Critico")</f>
        <v>No Critico</v>
      </c>
    </row>
    <row r="69" spans="1:40" ht="51">
      <c r="A69" s="60">
        <f>Inicial!A69</f>
        <v>67</v>
      </c>
      <c r="B69" s="61" t="str">
        <f>Inicial!B69</f>
        <v>Desposte</v>
      </c>
      <c r="C69" s="61" t="str">
        <f>Inicial!C69</f>
        <v>Operario de producción Línea Pulpa Piernas</v>
      </c>
      <c r="D69" s="62" t="str">
        <f>Inicial!D69</f>
        <v>Prolijado de pierna</v>
      </c>
      <c r="E69" s="60" t="str">
        <f>IF(Inicial!M69="SI",Inicial!E69,"N/A")</f>
        <v>N/A</v>
      </c>
      <c r="F69" s="61" t="str">
        <f>IF(Inicial!M69="SI",Inicial!F69,"N/A")</f>
        <v>N/A</v>
      </c>
      <c r="G69" s="61" t="str">
        <f>IF(Inicial!M69="SI",Inicial!G69,"N/A")</f>
        <v>N/A</v>
      </c>
      <c r="H69" s="61" t="str">
        <f>IF(Inicial!M69="SI",Inicial!H69,"N/A")</f>
        <v>N/A</v>
      </c>
      <c r="I69" s="63" t="str">
        <f>IF(Inicial!M69="SI",Inicial!I69,"N/A")</f>
        <v>N/A</v>
      </c>
      <c r="J69" s="11"/>
      <c r="K69" s="11"/>
      <c r="L69" s="11"/>
      <c r="M69" s="11"/>
      <c r="N69" s="11"/>
      <c r="O69" s="11"/>
      <c r="P69" s="11"/>
      <c r="Q69" s="11"/>
      <c r="R69" s="11"/>
      <c r="S69" s="11"/>
      <c r="T69" s="11"/>
      <c r="U69" s="11"/>
      <c r="V69" s="11"/>
      <c r="W69" s="12" t="str" cm="1">
        <f t="array" ref="W69">IF(OR(M69:V69="NO"),"No aceptable","Aceptable")</f>
        <v>Aceptable</v>
      </c>
      <c r="X69" s="11"/>
      <c r="Y69" s="11"/>
      <c r="Z69" s="11"/>
      <c r="AA69" s="11"/>
      <c r="AB69" s="11"/>
      <c r="AC69" s="11"/>
      <c r="AD69" s="11"/>
      <c r="AE69" s="11"/>
      <c r="AF69" s="11"/>
      <c r="AG69" s="11"/>
      <c r="AH69" s="11"/>
      <c r="AI69" s="11"/>
      <c r="AJ69" s="11"/>
      <c r="AK69" s="11"/>
      <c r="AL69" s="11"/>
      <c r="AM69" s="11"/>
      <c r="AN69" s="3" t="str" cm="1">
        <f t="array" ref="AN69">IF(OR(AA69:AM69="SI"),"Critico","No Critico")</f>
        <v>No Critico</v>
      </c>
    </row>
    <row r="70" spans="1:40" ht="51">
      <c r="A70" s="60">
        <f>Inicial!A70</f>
        <v>68</v>
      </c>
      <c r="B70" s="61" t="str">
        <f>Inicial!B70</f>
        <v>Desposte</v>
      </c>
      <c r="C70" s="61" t="str">
        <f>Inicial!C70</f>
        <v>Operario de producción Línea Pulpa Piernas</v>
      </c>
      <c r="D70" s="62" t="str">
        <f>Inicial!D70</f>
        <v>Deshuesado coxal</v>
      </c>
      <c r="E70" s="60" t="str">
        <f>IF(Inicial!M70="SI",Inicial!E70,"N/A")</f>
        <v>N/A</v>
      </c>
      <c r="F70" s="61" t="str">
        <f>IF(Inicial!M70="SI",Inicial!F70,"N/A")</f>
        <v>N/A</v>
      </c>
      <c r="G70" s="61" t="str">
        <f>IF(Inicial!M70="SI",Inicial!G70,"N/A")</f>
        <v>N/A</v>
      </c>
      <c r="H70" s="61" t="str">
        <f>IF(Inicial!M70="SI",Inicial!H70,"N/A")</f>
        <v>N/A</v>
      </c>
      <c r="I70" s="63" t="str">
        <f>IF(Inicial!M70="SI",Inicial!I70,"N/A")</f>
        <v>N/A</v>
      </c>
      <c r="J70" s="11"/>
      <c r="K70" s="11"/>
      <c r="L70" s="11"/>
      <c r="M70" s="11"/>
      <c r="N70" s="11"/>
      <c r="O70" s="11"/>
      <c r="P70" s="11"/>
      <c r="Q70" s="11"/>
      <c r="R70" s="11"/>
      <c r="S70" s="11"/>
      <c r="T70" s="11"/>
      <c r="U70" s="11"/>
      <c r="V70" s="11"/>
      <c r="W70" s="12" t="str" cm="1">
        <f t="array" ref="W70">IF(OR(M70:V70="NO"),"No aceptable","Aceptable")</f>
        <v>Aceptable</v>
      </c>
      <c r="X70" s="11"/>
      <c r="Y70" s="11"/>
      <c r="Z70" s="11"/>
      <c r="AA70" s="11"/>
      <c r="AB70" s="11"/>
      <c r="AC70" s="11"/>
      <c r="AD70" s="11"/>
      <c r="AE70" s="11"/>
      <c r="AF70" s="11"/>
      <c r="AG70" s="11"/>
      <c r="AH70" s="11"/>
      <c r="AI70" s="11"/>
      <c r="AJ70" s="11"/>
      <c r="AK70" s="11"/>
      <c r="AL70" s="11"/>
      <c r="AM70" s="11"/>
      <c r="AN70" s="3" t="str" cm="1">
        <f t="array" ref="AN70">IF(OR(AA70:AM70="SI"),"Critico","No Critico")</f>
        <v>No Critico</v>
      </c>
    </row>
    <row r="71" spans="1:40" ht="51">
      <c r="A71" s="60">
        <f>Inicial!A71</f>
        <v>69</v>
      </c>
      <c r="B71" s="61" t="str">
        <f>Inicial!B71</f>
        <v>Desposte</v>
      </c>
      <c r="C71" s="61" t="str">
        <f>Inicial!C71</f>
        <v>Operario de producción Línea Pulpa Piernas</v>
      </c>
      <c r="D71" s="62" t="str">
        <f>Inicial!D71</f>
        <v>Deshuesado fémur</v>
      </c>
      <c r="E71" s="60" t="str">
        <f>IF(Inicial!M71="SI",Inicial!E71,"N/A")</f>
        <v>N/A</v>
      </c>
      <c r="F71" s="61" t="str">
        <f>IF(Inicial!M71="SI",Inicial!F71,"N/A")</f>
        <v>N/A</v>
      </c>
      <c r="G71" s="61" t="str">
        <f>IF(Inicial!M71="SI",Inicial!G71,"N/A")</f>
        <v>N/A</v>
      </c>
      <c r="H71" s="61" t="str">
        <f>IF(Inicial!M71="SI",Inicial!H71,"N/A")</f>
        <v>N/A</v>
      </c>
      <c r="I71" s="63" t="str">
        <f>IF(Inicial!M71="SI",Inicial!I71,"N/A")</f>
        <v>N/A</v>
      </c>
      <c r="J71" s="11"/>
      <c r="K71" s="11"/>
      <c r="L71" s="11"/>
      <c r="M71" s="11"/>
      <c r="N71" s="11"/>
      <c r="O71" s="11"/>
      <c r="P71" s="11"/>
      <c r="Q71" s="11"/>
      <c r="R71" s="11"/>
      <c r="S71" s="11"/>
      <c r="T71" s="11"/>
      <c r="U71" s="11"/>
      <c r="V71" s="11"/>
      <c r="W71" s="12" t="str" cm="1">
        <f t="array" ref="W71">IF(OR(M71:V71="NO"),"No aceptable","Aceptable")</f>
        <v>Aceptable</v>
      </c>
      <c r="X71" s="11"/>
      <c r="Y71" s="11"/>
      <c r="Z71" s="11"/>
      <c r="AA71" s="11"/>
      <c r="AB71" s="11"/>
      <c r="AC71" s="11"/>
      <c r="AD71" s="11"/>
      <c r="AE71" s="11"/>
      <c r="AF71" s="11"/>
      <c r="AG71" s="11"/>
      <c r="AH71" s="11"/>
      <c r="AI71" s="11"/>
      <c r="AJ71" s="11"/>
      <c r="AK71" s="11"/>
      <c r="AL71" s="11"/>
      <c r="AM71" s="11"/>
      <c r="AN71" s="3" t="str" cm="1">
        <f t="array" ref="AN71">IF(OR(AA71:AM71="SI"),"Critico","No Critico")</f>
        <v>No Critico</v>
      </c>
    </row>
    <row r="72" spans="1:40" ht="51">
      <c r="A72" s="60">
        <f>Inicial!A72</f>
        <v>70</v>
      </c>
      <c r="B72" s="61" t="str">
        <f>Inicial!B72</f>
        <v>Desposte</v>
      </c>
      <c r="C72" s="61" t="str">
        <f>Inicial!C72</f>
        <v>Operario de producción Línea Pulpa Piernas</v>
      </c>
      <c r="D72" s="62" t="str">
        <f>Inicial!D72</f>
        <v>Prolijado de cartilago</v>
      </c>
      <c r="E72" s="60" t="str">
        <f>IF(Inicial!M72="SI",Inicial!E72,"N/A")</f>
        <v>N/A</v>
      </c>
      <c r="F72" s="61" t="str">
        <f>IF(Inicial!M72="SI",Inicial!F72,"N/A")</f>
        <v>N/A</v>
      </c>
      <c r="G72" s="61" t="str">
        <f>IF(Inicial!M72="SI",Inicial!G72,"N/A")</f>
        <v>N/A</v>
      </c>
      <c r="H72" s="61" t="str">
        <f>IF(Inicial!M72="SI",Inicial!H72,"N/A")</f>
        <v>N/A</v>
      </c>
      <c r="I72" s="63" t="str">
        <f>IF(Inicial!M72="SI",Inicial!I72,"N/A")</f>
        <v>N/A</v>
      </c>
      <c r="J72" s="11"/>
      <c r="K72" s="11"/>
      <c r="L72" s="11"/>
      <c r="M72" s="11"/>
      <c r="N72" s="11"/>
      <c r="O72" s="11"/>
      <c r="P72" s="11"/>
      <c r="Q72" s="11"/>
      <c r="R72" s="11"/>
      <c r="S72" s="11"/>
      <c r="T72" s="11"/>
      <c r="U72" s="11"/>
      <c r="V72" s="11"/>
      <c r="W72" s="12" t="str" cm="1">
        <f t="array" ref="W72">IF(OR(M72:V72="NO"),"No aceptable","Aceptable")</f>
        <v>Aceptable</v>
      </c>
      <c r="X72" s="11"/>
      <c r="Y72" s="11"/>
      <c r="Z72" s="11"/>
      <c r="AA72" s="11"/>
      <c r="AB72" s="11"/>
      <c r="AC72" s="11"/>
      <c r="AD72" s="11"/>
      <c r="AE72" s="11"/>
      <c r="AF72" s="11"/>
      <c r="AG72" s="11"/>
      <c r="AH72" s="11"/>
      <c r="AI72" s="11"/>
      <c r="AJ72" s="11"/>
      <c r="AK72" s="11"/>
      <c r="AL72" s="11"/>
      <c r="AM72" s="11"/>
      <c r="AN72" s="3" t="str" cm="1">
        <f t="array" ref="AN72">IF(OR(AA72:AM72="SI"),"Critico","No Critico")</f>
        <v>No Critico</v>
      </c>
    </row>
    <row r="73" spans="1:40" ht="51">
      <c r="A73" s="60">
        <f>Inicial!A73</f>
        <v>71</v>
      </c>
      <c r="B73" s="61" t="str">
        <f>Inicial!B73</f>
        <v>Desposte</v>
      </c>
      <c r="C73" s="61" t="str">
        <f>Inicial!C73</f>
        <v>Operario de producción Línea Pulpa Piernas</v>
      </c>
      <c r="D73" s="62" t="str">
        <f>Inicial!D73</f>
        <v>Prolijado de pulpa</v>
      </c>
      <c r="E73" s="60" t="str">
        <f>IF(Inicial!M73="SI",Inicial!E73,"N/A")</f>
        <v>N/A</v>
      </c>
      <c r="F73" s="61" t="str">
        <f>IF(Inicial!M73="SI",Inicial!F73,"N/A")</f>
        <v>N/A</v>
      </c>
      <c r="G73" s="61" t="str">
        <f>IF(Inicial!M73="SI",Inicial!G73,"N/A")</f>
        <v>N/A</v>
      </c>
      <c r="H73" s="61" t="str">
        <f>IF(Inicial!M73="SI",Inicial!H73,"N/A")</f>
        <v>N/A</v>
      </c>
      <c r="I73" s="63" t="str">
        <f>IF(Inicial!M73="SI",Inicial!I73,"N/A")</f>
        <v>N/A</v>
      </c>
      <c r="J73" s="11"/>
      <c r="K73" s="11"/>
      <c r="L73" s="11"/>
      <c r="M73" s="11"/>
      <c r="N73" s="11"/>
      <c r="O73" s="11"/>
      <c r="P73" s="11"/>
      <c r="Q73" s="11"/>
      <c r="R73" s="11"/>
      <c r="S73" s="11"/>
      <c r="T73" s="11"/>
      <c r="U73" s="11"/>
      <c r="V73" s="11"/>
      <c r="W73" s="12" t="str" cm="1">
        <f t="array" ref="W73">IF(OR(M73:V73="NO"),"No aceptable","Aceptable")</f>
        <v>Aceptable</v>
      </c>
      <c r="X73" s="11"/>
      <c r="Y73" s="11"/>
      <c r="Z73" s="11"/>
      <c r="AA73" s="11"/>
      <c r="AB73" s="11"/>
      <c r="AC73" s="11"/>
      <c r="AD73" s="11"/>
      <c r="AE73" s="11"/>
      <c r="AF73" s="11"/>
      <c r="AG73" s="11"/>
      <c r="AH73" s="11"/>
      <c r="AI73" s="11"/>
      <c r="AJ73" s="11"/>
      <c r="AK73" s="11"/>
      <c r="AL73" s="11"/>
      <c r="AM73" s="11"/>
      <c r="AN73" s="3" t="str" cm="1">
        <f t="array" ref="AN73">IF(OR(AA73:AM73="SI"),"Critico","No Critico")</f>
        <v>No Critico</v>
      </c>
    </row>
    <row r="74" spans="1:40" ht="51">
      <c r="A74" s="60">
        <f>Inicial!A74</f>
        <v>72</v>
      </c>
      <c r="B74" s="61" t="str">
        <f>Inicial!B74</f>
        <v>Desposte</v>
      </c>
      <c r="C74" s="61" t="str">
        <f>Inicial!C74</f>
        <v>Operario de producción Línea Pulpa Piernas</v>
      </c>
      <c r="D74" s="62" t="str">
        <f>Inicial!D74</f>
        <v>Extracción de posta rosada</v>
      </c>
      <c r="E74" s="60" t="str">
        <f>IF(Inicial!M74="SI",Inicial!E74,"N/A")</f>
        <v>N/A</v>
      </c>
      <c r="F74" s="61" t="str">
        <f>IF(Inicial!M74="SI",Inicial!F74,"N/A")</f>
        <v>N/A</v>
      </c>
      <c r="G74" s="61" t="str">
        <f>IF(Inicial!M74="SI",Inicial!G74,"N/A")</f>
        <v>N/A</v>
      </c>
      <c r="H74" s="61" t="str">
        <f>IF(Inicial!M74="SI",Inicial!H74,"N/A")</f>
        <v>N/A</v>
      </c>
      <c r="I74" s="63" t="str">
        <f>IF(Inicial!M74="SI",Inicial!I74,"N/A")</f>
        <v>N/A</v>
      </c>
      <c r="J74" s="11"/>
      <c r="K74" s="11"/>
      <c r="L74" s="11"/>
      <c r="M74" s="11"/>
      <c r="N74" s="11"/>
      <c r="O74" s="11"/>
      <c r="P74" s="11"/>
      <c r="Q74" s="11"/>
      <c r="R74" s="11"/>
      <c r="S74" s="11"/>
      <c r="T74" s="11"/>
      <c r="U74" s="11"/>
      <c r="V74" s="11"/>
      <c r="W74" s="12" t="str" cm="1">
        <f t="array" ref="W74">IF(OR(M74:V74="NO"),"No aceptable","Aceptable")</f>
        <v>Aceptable</v>
      </c>
      <c r="X74" s="11"/>
      <c r="Y74" s="11"/>
      <c r="Z74" s="11"/>
      <c r="AA74" s="11"/>
      <c r="AB74" s="11"/>
      <c r="AC74" s="11"/>
      <c r="AD74" s="11"/>
      <c r="AE74" s="11"/>
      <c r="AF74" s="11"/>
      <c r="AG74" s="11"/>
      <c r="AH74" s="11"/>
      <c r="AI74" s="11"/>
      <c r="AJ74" s="11"/>
      <c r="AK74" s="11"/>
      <c r="AL74" s="11"/>
      <c r="AM74" s="11"/>
      <c r="AN74" s="3" t="str" cm="1">
        <f t="array" ref="AN74">IF(OR(AA74:AM74="SI"),"Critico","No Critico")</f>
        <v>No Critico</v>
      </c>
    </row>
    <row r="75" spans="1:40" ht="51">
      <c r="A75" s="60">
        <f>Inicial!A75</f>
        <v>73</v>
      </c>
      <c r="B75" s="61" t="str">
        <f>Inicial!B75</f>
        <v>Desposte</v>
      </c>
      <c r="C75" s="61" t="str">
        <f>Inicial!C75</f>
        <v>Operario de producción Línea Pulpa Piernas</v>
      </c>
      <c r="D75" s="62" t="str">
        <f>Inicial!D75</f>
        <v>Extracción de posta negra</v>
      </c>
      <c r="E75" s="60" t="str">
        <f>IF(Inicial!M75="SI",Inicial!E75,"N/A")</f>
        <v>N/A</v>
      </c>
      <c r="F75" s="61" t="str">
        <f>IF(Inicial!M75="SI",Inicial!F75,"N/A")</f>
        <v>N/A</v>
      </c>
      <c r="G75" s="61" t="str">
        <f>IF(Inicial!M75="SI",Inicial!G75,"N/A")</f>
        <v>N/A</v>
      </c>
      <c r="H75" s="61" t="str">
        <f>IF(Inicial!M75="SI",Inicial!H75,"N/A")</f>
        <v>N/A</v>
      </c>
      <c r="I75" s="63" t="str">
        <f>IF(Inicial!M75="SI",Inicial!I75,"N/A")</f>
        <v>N/A</v>
      </c>
      <c r="J75" s="11"/>
      <c r="K75" s="11"/>
      <c r="L75" s="11"/>
      <c r="M75" s="11"/>
      <c r="N75" s="11"/>
      <c r="O75" s="11"/>
      <c r="P75" s="11"/>
      <c r="Q75" s="11"/>
      <c r="R75" s="11"/>
      <c r="S75" s="11"/>
      <c r="T75" s="11"/>
      <c r="U75" s="11"/>
      <c r="V75" s="11"/>
      <c r="W75" s="12" t="str" cm="1">
        <f t="array" ref="W75">IF(OR(M75:V75="NO"),"No aceptable","Aceptable")</f>
        <v>Aceptable</v>
      </c>
      <c r="X75" s="11"/>
      <c r="Y75" s="11"/>
      <c r="Z75" s="11"/>
      <c r="AA75" s="11"/>
      <c r="AB75" s="11"/>
      <c r="AC75" s="11"/>
      <c r="AD75" s="11"/>
      <c r="AE75" s="11"/>
      <c r="AF75" s="11"/>
      <c r="AG75" s="11"/>
      <c r="AH75" s="11"/>
      <c r="AI75" s="11"/>
      <c r="AJ75" s="11"/>
      <c r="AK75" s="11"/>
      <c r="AL75" s="11"/>
      <c r="AM75" s="11"/>
      <c r="AN75" s="3" t="str" cm="1">
        <f t="array" ref="AN75">IF(OR(AA75:AM75="SI"),"Critico","No Critico")</f>
        <v>No Critico</v>
      </c>
    </row>
    <row r="76" spans="1:40" ht="51">
      <c r="A76" s="60">
        <f>Inicial!A76</f>
        <v>74</v>
      </c>
      <c r="B76" s="61" t="str">
        <f>Inicial!B76</f>
        <v>Desposte</v>
      </c>
      <c r="C76" s="61" t="str">
        <f>Inicial!C76</f>
        <v>Operario de producción Línea Pulpa Piernas</v>
      </c>
      <c r="D76" s="62" t="str">
        <f>Inicial!D76</f>
        <v>Extracción de asiento</v>
      </c>
      <c r="E76" s="60" t="str">
        <f>IF(Inicial!M76="SI",Inicial!E76,"N/A")</f>
        <v>N/A</v>
      </c>
      <c r="F76" s="61" t="str">
        <f>IF(Inicial!M76="SI",Inicial!F76,"N/A")</f>
        <v>N/A</v>
      </c>
      <c r="G76" s="61" t="str">
        <f>IF(Inicial!M76="SI",Inicial!G76,"N/A")</f>
        <v>N/A</v>
      </c>
      <c r="H76" s="61" t="str">
        <f>IF(Inicial!M76="SI",Inicial!H76,"N/A")</f>
        <v>N/A</v>
      </c>
      <c r="I76" s="63" t="str">
        <f>IF(Inicial!M76="SI",Inicial!I76,"N/A")</f>
        <v>N/A</v>
      </c>
      <c r="J76" s="11"/>
      <c r="K76" s="11"/>
      <c r="L76" s="11"/>
      <c r="M76" s="11"/>
      <c r="N76" s="11"/>
      <c r="O76" s="11"/>
      <c r="P76" s="11"/>
      <c r="Q76" s="11"/>
      <c r="R76" s="11"/>
      <c r="S76" s="11"/>
      <c r="T76" s="11"/>
      <c r="U76" s="11"/>
      <c r="V76" s="11"/>
      <c r="W76" s="12" t="str" cm="1">
        <f t="array" ref="W76">IF(OR(M76:V76="NO"),"No aceptable","Aceptable")</f>
        <v>Aceptable</v>
      </c>
      <c r="X76" s="11"/>
      <c r="Y76" s="11"/>
      <c r="Z76" s="11"/>
      <c r="AA76" s="11"/>
      <c r="AB76" s="11"/>
      <c r="AC76" s="11"/>
      <c r="AD76" s="11"/>
      <c r="AE76" s="11"/>
      <c r="AF76" s="11"/>
      <c r="AG76" s="11"/>
      <c r="AH76" s="11"/>
      <c r="AI76" s="11"/>
      <c r="AJ76" s="11"/>
      <c r="AK76" s="11"/>
      <c r="AL76" s="11"/>
      <c r="AM76" s="11"/>
      <c r="AN76" s="3" t="str" cm="1">
        <f t="array" ref="AN76">IF(OR(AA76:AM76="SI"),"Critico","No Critico")</f>
        <v>No Critico</v>
      </c>
    </row>
    <row r="77" spans="1:40" ht="51">
      <c r="A77" s="60">
        <f>Inicial!A77</f>
        <v>75</v>
      </c>
      <c r="B77" s="61" t="str">
        <f>Inicial!B77</f>
        <v>Desposte</v>
      </c>
      <c r="C77" s="61" t="str">
        <f>Inicial!C77</f>
        <v>Operario de producción Línea Pulpa Piernas</v>
      </c>
      <c r="D77" s="62" t="str">
        <f>Inicial!D77</f>
        <v xml:space="preserve">Extracción de abastero </v>
      </c>
      <c r="E77" s="60" t="str">
        <f>IF(Inicial!M77="SI",Inicial!E77,"N/A")</f>
        <v>N/A</v>
      </c>
      <c r="F77" s="61" t="str">
        <f>IF(Inicial!M77="SI",Inicial!F77,"N/A")</f>
        <v>N/A</v>
      </c>
      <c r="G77" s="61" t="str">
        <f>IF(Inicial!M77="SI",Inicial!G77,"N/A")</f>
        <v>N/A</v>
      </c>
      <c r="H77" s="61" t="str">
        <f>IF(Inicial!M77="SI",Inicial!H77,"N/A")</f>
        <v>N/A</v>
      </c>
      <c r="I77" s="63" t="str">
        <f>IF(Inicial!M77="SI",Inicial!I77,"N/A")</f>
        <v>N/A</v>
      </c>
      <c r="J77" s="11"/>
      <c r="K77" s="11"/>
      <c r="L77" s="11"/>
      <c r="M77" s="11"/>
      <c r="N77" s="11"/>
      <c r="O77" s="11"/>
      <c r="P77" s="11"/>
      <c r="Q77" s="11"/>
      <c r="R77" s="11"/>
      <c r="S77" s="11"/>
      <c r="T77" s="11"/>
      <c r="U77" s="11"/>
      <c r="V77" s="11"/>
      <c r="W77" s="12" t="str" cm="1">
        <f t="array" ref="W77">IF(OR(M77:V77="NO"),"No aceptable","Aceptable")</f>
        <v>Aceptable</v>
      </c>
      <c r="X77" s="11"/>
      <c r="Y77" s="11"/>
      <c r="Z77" s="11"/>
      <c r="AA77" s="11"/>
      <c r="AB77" s="11"/>
      <c r="AC77" s="11"/>
      <c r="AD77" s="11"/>
      <c r="AE77" s="11"/>
      <c r="AF77" s="11"/>
      <c r="AG77" s="11"/>
      <c r="AH77" s="11"/>
      <c r="AI77" s="11"/>
      <c r="AJ77" s="11"/>
      <c r="AK77" s="11"/>
      <c r="AL77" s="11"/>
      <c r="AM77" s="11"/>
      <c r="AN77" s="3" t="str" cm="1">
        <f t="array" ref="AN77">IF(OR(AA77:AM77="SI"),"Critico","No Critico")</f>
        <v>No Critico</v>
      </c>
    </row>
    <row r="78" spans="1:40" ht="51">
      <c r="A78" s="60">
        <f>Inicial!A78</f>
        <v>76</v>
      </c>
      <c r="B78" s="61" t="str">
        <f>Inicial!B78</f>
        <v>Desposte</v>
      </c>
      <c r="C78" s="61" t="str">
        <f>Inicial!C78</f>
        <v>Operario de producción Línea Pulpa Piernas</v>
      </c>
      <c r="D78" s="62" t="str">
        <f>Inicial!D78</f>
        <v>Extracción de ganso</v>
      </c>
      <c r="E78" s="60" t="str">
        <f>IF(Inicial!M78="SI",Inicial!E78,"N/A")</f>
        <v>N/A</v>
      </c>
      <c r="F78" s="61" t="str">
        <f>IF(Inicial!M78="SI",Inicial!F78,"N/A")</f>
        <v>N/A</v>
      </c>
      <c r="G78" s="61" t="str">
        <f>IF(Inicial!M78="SI",Inicial!G78,"N/A")</f>
        <v>N/A</v>
      </c>
      <c r="H78" s="61" t="str">
        <f>IF(Inicial!M78="SI",Inicial!H78,"N/A")</f>
        <v>N/A</v>
      </c>
      <c r="I78" s="63" t="str">
        <f>IF(Inicial!M78="SI",Inicial!I78,"N/A")</f>
        <v>N/A</v>
      </c>
      <c r="J78" s="11"/>
      <c r="K78" s="11"/>
      <c r="L78" s="11"/>
      <c r="M78" s="11"/>
      <c r="N78" s="11"/>
      <c r="O78" s="11"/>
      <c r="P78" s="11"/>
      <c r="Q78" s="11"/>
      <c r="R78" s="11"/>
      <c r="S78" s="11"/>
      <c r="T78" s="11"/>
      <c r="U78" s="11"/>
      <c r="V78" s="11"/>
      <c r="W78" s="12" t="str" cm="1">
        <f t="array" ref="W78">IF(OR(M78:V78="NO"),"No aceptable","Aceptable")</f>
        <v>Aceptable</v>
      </c>
      <c r="X78" s="11"/>
      <c r="Y78" s="11"/>
      <c r="Z78" s="11"/>
      <c r="AA78" s="11"/>
      <c r="AB78" s="11"/>
      <c r="AC78" s="11"/>
      <c r="AD78" s="11"/>
      <c r="AE78" s="11"/>
      <c r="AF78" s="11"/>
      <c r="AG78" s="11"/>
      <c r="AH78" s="11"/>
      <c r="AI78" s="11"/>
      <c r="AJ78" s="11"/>
      <c r="AK78" s="11"/>
      <c r="AL78" s="11"/>
      <c r="AM78" s="11"/>
      <c r="AN78" s="3" t="str" cm="1">
        <f t="array" ref="AN78">IF(OR(AA78:AM78="SI"),"Critico","No Critico")</f>
        <v>No Critico</v>
      </c>
    </row>
    <row r="79" spans="1:40" ht="51">
      <c r="A79" s="60">
        <f>Inicial!A79</f>
        <v>77</v>
      </c>
      <c r="B79" s="61" t="str">
        <f>Inicial!B79</f>
        <v>Desposte</v>
      </c>
      <c r="C79" s="61" t="str">
        <f>Inicial!C79</f>
        <v>Operario de producción Línea Pulpa Piernas</v>
      </c>
      <c r="D79" s="62" t="str">
        <f>Inicial!D79</f>
        <v>Operador desmenbranadora</v>
      </c>
      <c r="E79" s="60" t="str">
        <f>IF(Inicial!M79="SI",Inicial!E79,"N/A")</f>
        <v>N/A</v>
      </c>
      <c r="F79" s="61" t="str">
        <f>IF(Inicial!M79="SI",Inicial!F79,"N/A")</f>
        <v>N/A</v>
      </c>
      <c r="G79" s="61" t="str">
        <f>IF(Inicial!M79="SI",Inicial!G79,"N/A")</f>
        <v>N/A</v>
      </c>
      <c r="H79" s="61" t="str">
        <f>IF(Inicial!M79="SI",Inicial!H79,"N/A")</f>
        <v>N/A</v>
      </c>
      <c r="I79" s="63" t="str">
        <f>IF(Inicial!M79="SI",Inicial!I79,"N/A")</f>
        <v>N/A</v>
      </c>
      <c r="J79" s="11"/>
      <c r="K79" s="11"/>
      <c r="L79" s="11"/>
      <c r="M79" s="11"/>
      <c r="N79" s="11"/>
      <c r="O79" s="11"/>
      <c r="P79" s="11"/>
      <c r="Q79" s="11"/>
      <c r="R79" s="11"/>
      <c r="S79" s="11"/>
      <c r="T79" s="11"/>
      <c r="U79" s="11"/>
      <c r="V79" s="11"/>
      <c r="W79" s="12" t="str" cm="1">
        <f t="array" ref="W79">IF(OR(M79:V79="NO"),"No aceptable","Aceptable")</f>
        <v>Aceptable</v>
      </c>
      <c r="X79" s="11"/>
      <c r="Y79" s="11"/>
      <c r="Z79" s="11"/>
      <c r="AA79" s="11"/>
      <c r="AB79" s="11"/>
      <c r="AC79" s="11"/>
      <c r="AD79" s="11"/>
      <c r="AE79" s="11"/>
      <c r="AF79" s="11"/>
      <c r="AG79" s="11"/>
      <c r="AH79" s="11"/>
      <c r="AI79" s="11"/>
      <c r="AJ79" s="11"/>
      <c r="AK79" s="11"/>
      <c r="AL79" s="11"/>
      <c r="AM79" s="11"/>
      <c r="AN79" s="3" t="str" cm="1">
        <f t="array" ref="AN79">IF(OR(AA79:AM79="SI"),"Critico","No Critico")</f>
        <v>No Critico</v>
      </c>
    </row>
    <row r="80" spans="1:40" ht="51">
      <c r="A80" s="60">
        <f>Inicial!A80</f>
        <v>78</v>
      </c>
      <c r="B80" s="61" t="str">
        <f>Inicial!B80</f>
        <v>Desposte</v>
      </c>
      <c r="C80" s="61" t="str">
        <f>Inicial!C80</f>
        <v>Operario de producción Línea Pulpa Piernas</v>
      </c>
      <c r="D80" s="62" t="str">
        <f>Inicial!D80</f>
        <v xml:space="preserve">Embalaje </v>
      </c>
      <c r="E80" s="60" t="str">
        <f>IF(Inicial!M80="SI",Inicial!E80,"N/A")</f>
        <v>N/A</v>
      </c>
      <c r="F80" s="61" t="str">
        <f>IF(Inicial!M80="SI",Inicial!F80,"N/A")</f>
        <v>N/A</v>
      </c>
      <c r="G80" s="61" t="str">
        <f>IF(Inicial!M80="SI",Inicial!G80,"N/A")</f>
        <v>N/A</v>
      </c>
      <c r="H80" s="61" t="str">
        <f>IF(Inicial!M80="SI",Inicial!H80,"N/A")</f>
        <v>N/A</v>
      </c>
      <c r="I80" s="63" t="str">
        <f>IF(Inicial!M80="SI",Inicial!I80,"N/A")</f>
        <v>N/A</v>
      </c>
      <c r="J80" s="11"/>
      <c r="K80" s="11"/>
      <c r="L80" s="11"/>
      <c r="M80" s="11"/>
      <c r="N80" s="11"/>
      <c r="O80" s="11"/>
      <c r="P80" s="11"/>
      <c r="Q80" s="11"/>
      <c r="R80" s="11"/>
      <c r="S80" s="11"/>
      <c r="T80" s="11"/>
      <c r="U80" s="11"/>
      <c r="V80" s="11"/>
      <c r="W80" s="12" t="str" cm="1">
        <f t="array" ref="W80">IF(OR(M80:V80="NO"),"No aceptable","Aceptable")</f>
        <v>Aceptable</v>
      </c>
      <c r="X80" s="11"/>
      <c r="Y80" s="11"/>
      <c r="Z80" s="11"/>
      <c r="AA80" s="11"/>
      <c r="AB80" s="11"/>
      <c r="AC80" s="11"/>
      <c r="AD80" s="11"/>
      <c r="AE80" s="11"/>
      <c r="AF80" s="11"/>
      <c r="AG80" s="11"/>
      <c r="AH80" s="11"/>
      <c r="AI80" s="11"/>
      <c r="AJ80" s="11"/>
      <c r="AK80" s="11"/>
      <c r="AL80" s="11"/>
      <c r="AM80" s="11"/>
      <c r="AN80" s="3" t="str" cm="1">
        <f t="array" ref="AN80">IF(OR(AA80:AM80="SI"),"Critico","No Critico")</f>
        <v>No Critico</v>
      </c>
    </row>
    <row r="81" spans="1:40" ht="51">
      <c r="A81" s="60">
        <f>Inicial!A81</f>
        <v>79</v>
      </c>
      <c r="B81" s="61" t="str">
        <f>Inicial!B81</f>
        <v>Desposte</v>
      </c>
      <c r="C81" s="61" t="str">
        <f>Inicial!C81</f>
        <v>Operario de producción Línea Pulpa Piernas</v>
      </c>
      <c r="D81" s="62" t="str">
        <f>Inicial!D81</f>
        <v>Prolijado de Cueros</v>
      </c>
      <c r="E81" s="60" t="str">
        <f>IF(Inicial!M81="SI",Inicial!E81,"N/A")</f>
        <v>N/A</v>
      </c>
      <c r="F81" s="61" t="str">
        <f>IF(Inicial!M81="SI",Inicial!F81,"N/A")</f>
        <v>N/A</v>
      </c>
      <c r="G81" s="61" t="str">
        <f>IF(Inicial!M81="SI",Inicial!G81,"N/A")</f>
        <v>N/A</v>
      </c>
      <c r="H81" s="61" t="str">
        <f>IF(Inicial!M81="SI",Inicial!H81,"N/A")</f>
        <v>N/A</v>
      </c>
      <c r="I81" s="63" t="str">
        <f>IF(Inicial!M81="SI",Inicial!I81,"N/A")</f>
        <v>N/A</v>
      </c>
      <c r="J81" s="11"/>
      <c r="K81" s="11"/>
      <c r="L81" s="11"/>
      <c r="M81" s="11"/>
      <c r="N81" s="11"/>
      <c r="O81" s="11"/>
      <c r="P81" s="11"/>
      <c r="Q81" s="11"/>
      <c r="R81" s="11"/>
      <c r="S81" s="11"/>
      <c r="T81" s="11"/>
      <c r="U81" s="11"/>
      <c r="V81" s="11"/>
      <c r="W81" s="12" t="str" cm="1">
        <f t="array" ref="W81">IF(OR(M81:V81="NO"),"No aceptable","Aceptable")</f>
        <v>Aceptable</v>
      </c>
      <c r="X81" s="11"/>
      <c r="Y81" s="11"/>
      <c r="Z81" s="11"/>
      <c r="AA81" s="11"/>
      <c r="AB81" s="11"/>
      <c r="AC81" s="11"/>
      <c r="AD81" s="11"/>
      <c r="AE81" s="11"/>
      <c r="AF81" s="11"/>
      <c r="AG81" s="11"/>
      <c r="AH81" s="11"/>
      <c r="AI81" s="11"/>
      <c r="AJ81" s="11"/>
      <c r="AK81" s="11"/>
      <c r="AL81" s="11"/>
      <c r="AM81" s="11"/>
      <c r="AN81" s="3" t="str" cm="1">
        <f t="array" ref="AN81">IF(OR(AA81:AM81="SI"),"Critico","No Critico")</f>
        <v>No Critico</v>
      </c>
    </row>
    <row r="82" spans="1:40" ht="51">
      <c r="A82" s="60">
        <f>Inicial!A82</f>
        <v>80</v>
      </c>
      <c r="B82" s="61" t="str">
        <f>Inicial!B82</f>
        <v>Desposte</v>
      </c>
      <c r="C82" s="61" t="str">
        <f>Inicial!C82</f>
        <v>Operario de producción Línea Pulpa Piernas</v>
      </c>
      <c r="D82" s="62" t="str">
        <f>Inicial!D82</f>
        <v>Operador descueradora</v>
      </c>
      <c r="E82" s="60" t="str">
        <f>IF(Inicial!M82="SI",Inicial!E82,"N/A")</f>
        <v>N/A</v>
      </c>
      <c r="F82" s="61" t="str">
        <f>IF(Inicial!M82="SI",Inicial!F82,"N/A")</f>
        <v>N/A</v>
      </c>
      <c r="G82" s="61" t="str">
        <f>IF(Inicial!M82="SI",Inicial!G82,"N/A")</f>
        <v>N/A</v>
      </c>
      <c r="H82" s="61" t="str">
        <f>IF(Inicial!M82="SI",Inicial!H82,"N/A")</f>
        <v>N/A</v>
      </c>
      <c r="I82" s="63" t="str">
        <f>IF(Inicial!M82="SI",Inicial!I82,"N/A")</f>
        <v>N/A</v>
      </c>
      <c r="J82" s="11"/>
      <c r="K82" s="11"/>
      <c r="L82" s="11"/>
      <c r="M82" s="11"/>
      <c r="N82" s="11"/>
      <c r="O82" s="11"/>
      <c r="P82" s="11"/>
      <c r="Q82" s="11"/>
      <c r="R82" s="11"/>
      <c r="S82" s="11"/>
      <c r="T82" s="11"/>
      <c r="U82" s="11"/>
      <c r="V82" s="11"/>
      <c r="W82" s="12" t="str" cm="1">
        <f t="array" ref="W82">IF(OR(M82:V82="NO"),"No aceptable","Aceptable")</f>
        <v>Aceptable</v>
      </c>
      <c r="X82" s="11"/>
      <c r="Y82" s="11"/>
      <c r="Z82" s="11"/>
      <c r="AA82" s="11"/>
      <c r="AB82" s="11"/>
      <c r="AC82" s="11"/>
      <c r="AD82" s="11"/>
      <c r="AE82" s="11"/>
      <c r="AF82" s="11"/>
      <c r="AG82" s="11"/>
      <c r="AH82" s="11"/>
      <c r="AI82" s="11"/>
      <c r="AJ82" s="11"/>
      <c r="AK82" s="11"/>
      <c r="AL82" s="11"/>
      <c r="AM82" s="11"/>
      <c r="AN82" s="3" t="str" cm="1">
        <f t="array" ref="AN82">IF(OR(AA82:AM82="SI"),"Critico","No Critico")</f>
        <v>No Critico</v>
      </c>
    </row>
    <row r="83" spans="1:40" ht="51">
      <c r="A83" s="60">
        <f>Inicial!A83</f>
        <v>81</v>
      </c>
      <c r="B83" s="61" t="str">
        <f>Inicial!B83</f>
        <v>Desposte</v>
      </c>
      <c r="C83" s="61" t="str">
        <f>Inicial!C83</f>
        <v>Operario de producción Línea Embolsado</v>
      </c>
      <c r="D83" s="62" t="str">
        <f>Inicial!D83</f>
        <v>Revision de pancetas robot</v>
      </c>
      <c r="E83" s="60" t="str">
        <f>IF(Inicial!M83="SI",Inicial!E83,"N/A")</f>
        <v>N/A</v>
      </c>
      <c r="F83" s="61" t="str">
        <f>IF(Inicial!M83="SI",Inicial!F83,"N/A")</f>
        <v>N/A</v>
      </c>
      <c r="G83" s="61" t="str">
        <f>IF(Inicial!M83="SI",Inicial!G83,"N/A")</f>
        <v>N/A</v>
      </c>
      <c r="H83" s="61" t="str">
        <f>IF(Inicial!M83="SI",Inicial!H83,"N/A")</f>
        <v>N/A</v>
      </c>
      <c r="I83" s="63" t="str">
        <f>IF(Inicial!M83="SI",Inicial!I83,"N/A")</f>
        <v>N/A</v>
      </c>
      <c r="J83" s="11"/>
      <c r="K83" s="11"/>
      <c r="L83" s="11"/>
      <c r="M83" s="11"/>
      <c r="N83" s="11"/>
      <c r="O83" s="11"/>
      <c r="P83" s="11"/>
      <c r="Q83" s="11"/>
      <c r="R83" s="11"/>
      <c r="S83" s="11"/>
      <c r="T83" s="11"/>
      <c r="U83" s="11"/>
      <c r="V83" s="11"/>
      <c r="W83" s="12" t="str" cm="1">
        <f t="array" ref="W83">IF(OR(M83:V83="NO"),"No aceptable","Aceptable")</f>
        <v>Aceptable</v>
      </c>
      <c r="X83" s="11"/>
      <c r="Y83" s="11"/>
      <c r="Z83" s="11"/>
      <c r="AA83" s="11"/>
      <c r="AB83" s="11"/>
      <c r="AC83" s="11"/>
      <c r="AD83" s="11"/>
      <c r="AE83" s="11"/>
      <c r="AF83" s="11"/>
      <c r="AG83" s="11"/>
      <c r="AH83" s="11"/>
      <c r="AI83" s="11"/>
      <c r="AJ83" s="11"/>
      <c r="AK83" s="11"/>
      <c r="AL83" s="11"/>
      <c r="AM83" s="11"/>
      <c r="AN83" s="3" t="str" cm="1">
        <f t="array" ref="AN83">IF(OR(AA83:AM83="SI"),"Critico","No Critico")</f>
        <v>No Critico</v>
      </c>
    </row>
    <row r="84" spans="1:40" ht="51">
      <c r="A84" s="60">
        <f>Inicial!A84</f>
        <v>82</v>
      </c>
      <c r="B84" s="61" t="str">
        <f>Inicial!B84</f>
        <v>Desposte</v>
      </c>
      <c r="C84" s="61" t="str">
        <f>Inicial!C84</f>
        <v>Operario de producción Línea Embolsado</v>
      </c>
      <c r="D84" s="62" t="str">
        <f>Inicial!D84</f>
        <v>Operador de robot</v>
      </c>
      <c r="E84" s="60" t="str">
        <f>IF(Inicial!M84="SI",Inicial!E84,"N/A")</f>
        <v>N/A</v>
      </c>
      <c r="F84" s="61" t="str">
        <f>IF(Inicial!M84="SI",Inicial!F84,"N/A")</f>
        <v>N/A</v>
      </c>
      <c r="G84" s="61" t="str">
        <f>IF(Inicial!M84="SI",Inicial!G84,"N/A")</f>
        <v>N/A</v>
      </c>
      <c r="H84" s="61" t="str">
        <f>IF(Inicial!M84="SI",Inicial!H84,"N/A")</f>
        <v>N/A</v>
      </c>
      <c r="I84" s="63" t="str">
        <f>IF(Inicial!M84="SI",Inicial!I84,"N/A")</f>
        <v>N/A</v>
      </c>
      <c r="J84" s="11"/>
      <c r="K84" s="11"/>
      <c r="L84" s="11"/>
      <c r="M84" s="11"/>
      <c r="N84" s="11"/>
      <c r="O84" s="11"/>
      <c r="P84" s="11"/>
      <c r="Q84" s="11"/>
      <c r="R84" s="11"/>
      <c r="S84" s="11"/>
      <c r="T84" s="11"/>
      <c r="U84" s="11"/>
      <c r="V84" s="11"/>
      <c r="W84" s="12" t="str" cm="1">
        <f t="array" ref="W84">IF(OR(M84:V84="NO"),"No aceptable","Aceptable")</f>
        <v>Aceptable</v>
      </c>
      <c r="X84" s="11"/>
      <c r="Y84" s="11"/>
      <c r="Z84" s="11"/>
      <c r="AA84" s="11"/>
      <c r="AB84" s="11"/>
      <c r="AC84" s="11"/>
      <c r="AD84" s="11"/>
      <c r="AE84" s="11"/>
      <c r="AF84" s="11"/>
      <c r="AG84" s="11"/>
      <c r="AH84" s="11"/>
      <c r="AI84" s="11"/>
      <c r="AJ84" s="11"/>
      <c r="AK84" s="11"/>
      <c r="AL84" s="11"/>
      <c r="AM84" s="11"/>
      <c r="AN84" s="3" t="str" cm="1">
        <f t="array" ref="AN84">IF(OR(AA84:AM84="SI"),"Critico","No Critico")</f>
        <v>No Critico</v>
      </c>
    </row>
    <row r="85" spans="1:40" ht="51">
      <c r="A85" s="60">
        <f>Inicial!A85</f>
        <v>83</v>
      </c>
      <c r="B85" s="61" t="str">
        <f>Inicial!B85</f>
        <v>Desposte</v>
      </c>
      <c r="C85" s="61" t="str">
        <f>Inicial!C85</f>
        <v>Operario de producción Línea Embolsado</v>
      </c>
      <c r="D85" s="62" t="str">
        <f>Inicial!D85</f>
        <v>Operador de rotativa</v>
      </c>
      <c r="E85" s="60" t="str">
        <f>IF(Inicial!M85="SI",Inicial!E85,"N/A")</f>
        <v>N/A</v>
      </c>
      <c r="F85" s="61" t="str">
        <f>IF(Inicial!M85="SI",Inicial!F85,"N/A")</f>
        <v>N/A</v>
      </c>
      <c r="G85" s="61" t="str">
        <f>IF(Inicial!M85="SI",Inicial!G85,"N/A")</f>
        <v>N/A</v>
      </c>
      <c r="H85" s="61" t="str">
        <f>IF(Inicial!M85="SI",Inicial!H85,"N/A")</f>
        <v>N/A</v>
      </c>
      <c r="I85" s="63" t="str">
        <f>IF(Inicial!M85="SI",Inicial!I85,"N/A")</f>
        <v>N/A</v>
      </c>
      <c r="J85" s="11"/>
      <c r="K85" s="11"/>
      <c r="L85" s="11"/>
      <c r="M85" s="11"/>
      <c r="N85" s="11"/>
      <c r="O85" s="11"/>
      <c r="P85" s="11"/>
      <c r="Q85" s="11"/>
      <c r="R85" s="11"/>
      <c r="S85" s="11"/>
      <c r="T85" s="11"/>
      <c r="U85" s="11"/>
      <c r="V85" s="11"/>
      <c r="W85" s="12" t="str" cm="1">
        <f t="array" ref="W85">IF(OR(M85:V85="NO"),"No aceptable","Aceptable")</f>
        <v>Aceptable</v>
      </c>
      <c r="X85" s="11"/>
      <c r="Y85" s="11"/>
      <c r="Z85" s="11"/>
      <c r="AA85" s="11"/>
      <c r="AB85" s="11"/>
      <c r="AC85" s="11"/>
      <c r="AD85" s="11"/>
      <c r="AE85" s="11"/>
      <c r="AF85" s="11"/>
      <c r="AG85" s="11"/>
      <c r="AH85" s="11"/>
      <c r="AI85" s="11"/>
      <c r="AJ85" s="11"/>
      <c r="AK85" s="11"/>
      <c r="AL85" s="11"/>
      <c r="AM85" s="11"/>
      <c r="AN85" s="3" t="str" cm="1">
        <f t="array" ref="AN85">IF(OR(AA85:AM85="SI"),"Critico","No Critico")</f>
        <v>No Critico</v>
      </c>
    </row>
    <row r="86" spans="1:40" ht="51">
      <c r="A86" s="60">
        <f>Inicial!A86</f>
        <v>84</v>
      </c>
      <c r="B86" s="61" t="str">
        <f>Inicial!B86</f>
        <v>Desposte</v>
      </c>
      <c r="C86" s="61" t="str">
        <f>Inicial!C86</f>
        <v>Operario de producción Línea Embolsado</v>
      </c>
      <c r="D86" s="62" t="str">
        <f>Inicial!D86</f>
        <v>Traspaso de productos</v>
      </c>
      <c r="E86" s="60" t="str">
        <f>IF(Inicial!M86="SI",Inicial!E86,"N/A")</f>
        <v>N/A</v>
      </c>
      <c r="F86" s="61" t="str">
        <f>IF(Inicial!M86="SI",Inicial!F86,"N/A")</f>
        <v>N/A</v>
      </c>
      <c r="G86" s="61" t="str">
        <f>IF(Inicial!M86="SI",Inicial!G86,"N/A")</f>
        <v>N/A</v>
      </c>
      <c r="H86" s="61" t="str">
        <f>IF(Inicial!M86="SI",Inicial!H86,"N/A")</f>
        <v>N/A</v>
      </c>
      <c r="I86" s="63" t="str">
        <f>IF(Inicial!M86="SI",Inicial!I86,"N/A")</f>
        <v>N/A</v>
      </c>
      <c r="J86" s="11"/>
      <c r="K86" s="11"/>
      <c r="L86" s="11"/>
      <c r="M86" s="11"/>
      <c r="N86" s="11"/>
      <c r="O86" s="11"/>
      <c r="P86" s="11"/>
      <c r="Q86" s="11"/>
      <c r="R86" s="11"/>
      <c r="S86" s="11"/>
      <c r="T86" s="11"/>
      <c r="U86" s="11"/>
      <c r="V86" s="11"/>
      <c r="W86" s="12" t="str" cm="1">
        <f t="array" ref="W86">IF(OR(M86:V86="NO"),"No aceptable","Aceptable")</f>
        <v>Aceptable</v>
      </c>
      <c r="X86" s="11"/>
      <c r="Y86" s="11"/>
      <c r="Z86" s="11"/>
      <c r="AA86" s="11"/>
      <c r="AB86" s="11"/>
      <c r="AC86" s="11"/>
      <c r="AD86" s="11"/>
      <c r="AE86" s="11"/>
      <c r="AF86" s="11"/>
      <c r="AG86" s="11"/>
      <c r="AH86" s="11"/>
      <c r="AI86" s="11"/>
      <c r="AJ86" s="11"/>
      <c r="AK86" s="11"/>
      <c r="AL86" s="11"/>
      <c r="AM86" s="11"/>
      <c r="AN86" s="3" t="str" cm="1">
        <f t="array" ref="AN86">IF(OR(AA86:AM86="SI"),"Critico","No Critico")</f>
        <v>No Critico</v>
      </c>
    </row>
    <row r="87" spans="1:40" ht="51">
      <c r="A87" s="60">
        <f>Inicial!A87</f>
        <v>85</v>
      </c>
      <c r="B87" s="61" t="str">
        <f>Inicial!B87</f>
        <v>Desposte</v>
      </c>
      <c r="C87" s="61" t="str">
        <f>Inicial!C87</f>
        <v>Operario de producción Línea Embolsado</v>
      </c>
      <c r="D87" s="62" t="str">
        <f>Inicial!D87</f>
        <v>Operador Rayos X</v>
      </c>
      <c r="E87" s="60" t="str">
        <f>IF(Inicial!M87="SI",Inicial!E87,"N/A")</f>
        <v>N/A</v>
      </c>
      <c r="F87" s="61" t="str">
        <f>IF(Inicial!M87="SI",Inicial!F87,"N/A")</f>
        <v>N/A</v>
      </c>
      <c r="G87" s="61" t="str">
        <f>IF(Inicial!M87="SI",Inicial!G87,"N/A")</f>
        <v>N/A</v>
      </c>
      <c r="H87" s="61" t="str">
        <f>IF(Inicial!M87="SI",Inicial!H87,"N/A")</f>
        <v>N/A</v>
      </c>
      <c r="I87" s="63" t="str">
        <f>IF(Inicial!M87="SI",Inicial!I87,"N/A")</f>
        <v>N/A</v>
      </c>
      <c r="J87" s="11"/>
      <c r="K87" s="11"/>
      <c r="L87" s="11"/>
      <c r="M87" s="11"/>
      <c r="N87" s="11"/>
      <c r="O87" s="11"/>
      <c r="P87" s="11"/>
      <c r="Q87" s="11"/>
      <c r="R87" s="11"/>
      <c r="S87" s="11"/>
      <c r="T87" s="11"/>
      <c r="U87" s="11"/>
      <c r="V87" s="11"/>
      <c r="W87" s="12" t="str" cm="1">
        <f t="array" ref="W87">IF(OR(M87:V87="NO"),"No aceptable","Aceptable")</f>
        <v>Aceptable</v>
      </c>
      <c r="X87" s="11"/>
      <c r="Y87" s="11"/>
      <c r="Z87" s="11"/>
      <c r="AA87" s="11"/>
      <c r="AB87" s="11"/>
      <c r="AC87" s="11"/>
      <c r="AD87" s="11"/>
      <c r="AE87" s="11"/>
      <c r="AF87" s="11"/>
      <c r="AG87" s="11"/>
      <c r="AH87" s="11"/>
      <c r="AI87" s="11"/>
      <c r="AJ87" s="11"/>
      <c r="AK87" s="11"/>
      <c r="AL87" s="11"/>
      <c r="AM87" s="11"/>
      <c r="AN87" s="3" t="str" cm="1">
        <f t="array" ref="AN87">IF(OR(AA87:AM87="SI"),"Critico","No Critico")</f>
        <v>No Critico</v>
      </c>
    </row>
    <row r="88" spans="1:40" ht="51">
      <c r="A88" s="60">
        <f>Inicial!A88</f>
        <v>86</v>
      </c>
      <c r="B88" s="61" t="str">
        <f>Inicial!B88</f>
        <v>Desposte</v>
      </c>
      <c r="C88" s="61" t="str">
        <f>Inicial!C88</f>
        <v>Operario de producción Línea Embolsado</v>
      </c>
      <c r="D88" s="62" t="str">
        <f>Inicial!D88</f>
        <v>Termoformadora</v>
      </c>
      <c r="E88" s="60" t="str">
        <f>IF(Inicial!M88="SI",Inicial!E88,"N/A")</f>
        <v>N/A</v>
      </c>
      <c r="F88" s="61" t="str">
        <f>IF(Inicial!M88="SI",Inicial!F88,"N/A")</f>
        <v>N/A</v>
      </c>
      <c r="G88" s="61" t="str">
        <f>IF(Inicial!M88="SI",Inicial!G88,"N/A")</f>
        <v>N/A</v>
      </c>
      <c r="H88" s="61" t="str">
        <f>IF(Inicial!M88="SI",Inicial!H88,"N/A")</f>
        <v>N/A</v>
      </c>
      <c r="I88" s="63" t="str">
        <f>IF(Inicial!M88="SI",Inicial!I88,"N/A")</f>
        <v>N/A</v>
      </c>
      <c r="J88" s="11"/>
      <c r="K88" s="11"/>
      <c r="L88" s="11"/>
      <c r="M88" s="11"/>
      <c r="N88" s="11"/>
      <c r="O88" s="11"/>
      <c r="P88" s="11"/>
      <c r="Q88" s="11"/>
      <c r="R88" s="11"/>
      <c r="S88" s="11"/>
      <c r="T88" s="11"/>
      <c r="U88" s="11"/>
      <c r="V88" s="11"/>
      <c r="W88" s="12" t="str" cm="1">
        <f t="array" ref="W88">IF(OR(M88:V88="NO"),"No aceptable","Aceptable")</f>
        <v>Aceptable</v>
      </c>
      <c r="X88" s="11"/>
      <c r="Y88" s="11"/>
      <c r="Z88" s="11"/>
      <c r="AA88" s="11"/>
      <c r="AB88" s="11"/>
      <c r="AC88" s="11"/>
      <c r="AD88" s="11"/>
      <c r="AE88" s="11"/>
      <c r="AF88" s="11"/>
      <c r="AG88" s="11"/>
      <c r="AH88" s="11"/>
      <c r="AI88" s="11"/>
      <c r="AJ88" s="11"/>
      <c r="AK88" s="11"/>
      <c r="AL88" s="11"/>
      <c r="AM88" s="11"/>
      <c r="AN88" s="3" t="str" cm="1">
        <f t="array" ref="AN88">IF(OR(AA88:AM88="SI"),"Critico","No Critico")</f>
        <v>No Critico</v>
      </c>
    </row>
    <row r="89" spans="1:40" ht="51">
      <c r="A89" s="60">
        <f>Inicial!A89</f>
        <v>87</v>
      </c>
      <c r="B89" s="61" t="str">
        <f>Inicial!B89</f>
        <v>Desposte</v>
      </c>
      <c r="C89" s="61" t="str">
        <f>Inicial!C89</f>
        <v>Operario de producción Línea Embolsado</v>
      </c>
      <c r="D89" s="62" t="str">
        <f>Inicial!D89</f>
        <v>Revision de pancetas termoformadora</v>
      </c>
      <c r="E89" s="60" t="str">
        <f>IF(Inicial!M89="SI",Inicial!E89,"N/A")</f>
        <v>N/A</v>
      </c>
      <c r="F89" s="61" t="str">
        <f>IF(Inicial!M89="SI",Inicial!F89,"N/A")</f>
        <v>N/A</v>
      </c>
      <c r="G89" s="61" t="str">
        <f>IF(Inicial!M89="SI",Inicial!G89,"N/A")</f>
        <v>N/A</v>
      </c>
      <c r="H89" s="61" t="str">
        <f>IF(Inicial!M89="SI",Inicial!H89,"N/A")</f>
        <v>N/A</v>
      </c>
      <c r="I89" s="63" t="str">
        <f>IF(Inicial!M89="SI",Inicial!I89,"N/A")</f>
        <v>N/A</v>
      </c>
      <c r="J89" s="11"/>
      <c r="K89" s="11"/>
      <c r="L89" s="11"/>
      <c r="M89" s="11"/>
      <c r="N89" s="11"/>
      <c r="O89" s="11"/>
      <c r="P89" s="11"/>
      <c r="Q89" s="11"/>
      <c r="R89" s="11"/>
      <c r="S89" s="11"/>
      <c r="T89" s="11"/>
      <c r="U89" s="11"/>
      <c r="V89" s="11"/>
      <c r="W89" s="12" t="str" cm="1">
        <f t="array" ref="W89">IF(OR(M89:V89="NO"),"No aceptable","Aceptable")</f>
        <v>Aceptable</v>
      </c>
      <c r="X89" s="11"/>
      <c r="Y89" s="11"/>
      <c r="Z89" s="11"/>
      <c r="AA89" s="11"/>
      <c r="AB89" s="11"/>
      <c r="AC89" s="11"/>
      <c r="AD89" s="11"/>
      <c r="AE89" s="11"/>
      <c r="AF89" s="11"/>
      <c r="AG89" s="11"/>
      <c r="AH89" s="11"/>
      <c r="AI89" s="11"/>
      <c r="AJ89" s="11"/>
      <c r="AK89" s="11"/>
      <c r="AL89" s="11"/>
      <c r="AM89" s="11"/>
      <c r="AN89" s="3" t="str" cm="1">
        <f t="array" ref="AN89">IF(OR(AA89:AM89="SI"),"Critico","No Critico")</f>
        <v>No Critico</v>
      </c>
    </row>
    <row r="90" spans="1:40" ht="51">
      <c r="A90" s="60">
        <f>Inicial!A90</f>
        <v>88</v>
      </c>
      <c r="B90" s="61" t="str">
        <f>Inicial!B90</f>
        <v>Desposte</v>
      </c>
      <c r="C90" s="61" t="str">
        <f>Inicial!C90</f>
        <v>Operario de producción Línea Embolsado</v>
      </c>
      <c r="D90" s="62" t="str">
        <f>Inicial!D90</f>
        <v>Embolsado lomo mm loin</v>
      </c>
      <c r="E90" s="60" t="str">
        <f>IF(Inicial!M90="SI",Inicial!E90,"N/A")</f>
        <v>N/A</v>
      </c>
      <c r="F90" s="61" t="str">
        <f>IF(Inicial!M90="SI",Inicial!F90,"N/A")</f>
        <v>N/A</v>
      </c>
      <c r="G90" s="61" t="str">
        <f>IF(Inicial!M90="SI",Inicial!G90,"N/A")</f>
        <v>N/A</v>
      </c>
      <c r="H90" s="61" t="str">
        <f>IF(Inicial!M90="SI",Inicial!H90,"N/A")</f>
        <v>N/A</v>
      </c>
      <c r="I90" s="63" t="str">
        <f>IF(Inicial!M90="SI",Inicial!I90,"N/A")</f>
        <v>N/A</v>
      </c>
      <c r="J90" s="11"/>
      <c r="K90" s="11"/>
      <c r="L90" s="11"/>
      <c r="M90" s="11"/>
      <c r="N90" s="11"/>
      <c r="O90" s="11"/>
      <c r="P90" s="11"/>
      <c r="Q90" s="11"/>
      <c r="R90" s="11"/>
      <c r="S90" s="11"/>
      <c r="T90" s="11"/>
      <c r="U90" s="11"/>
      <c r="V90" s="11"/>
      <c r="W90" s="12" t="str" cm="1">
        <f t="array" ref="W90">IF(OR(M90:V90="NO"),"No aceptable","Aceptable")</f>
        <v>Aceptable</v>
      </c>
      <c r="X90" s="11"/>
      <c r="Y90" s="11"/>
      <c r="Z90" s="11"/>
      <c r="AA90" s="11"/>
      <c r="AB90" s="11"/>
      <c r="AC90" s="11"/>
      <c r="AD90" s="11"/>
      <c r="AE90" s="11"/>
      <c r="AF90" s="11"/>
      <c r="AG90" s="11"/>
      <c r="AH90" s="11"/>
      <c r="AI90" s="11"/>
      <c r="AJ90" s="11"/>
      <c r="AK90" s="11"/>
      <c r="AL90" s="11"/>
      <c r="AM90" s="11"/>
      <c r="AN90" s="3" t="str" cm="1">
        <f t="array" ref="AN90">IF(OR(AA90:AM90="SI"),"Critico","No Critico")</f>
        <v>No Critico</v>
      </c>
    </row>
    <row r="91" spans="1:40" ht="51">
      <c r="A91" s="60">
        <f>Inicial!A91</f>
        <v>89</v>
      </c>
      <c r="B91" s="61" t="str">
        <f>Inicial!B91</f>
        <v>Desposte</v>
      </c>
      <c r="C91" s="61" t="str">
        <f>Inicial!C91</f>
        <v>Operario de producción Línea Embolsado</v>
      </c>
      <c r="D91" s="62" t="str">
        <f>Inicial!D91</f>
        <v>Embolsado  lomo  vetado</v>
      </c>
      <c r="E91" s="60" t="str">
        <f>IF(Inicial!M91="SI",Inicial!E91,"N/A")</f>
        <v>N/A</v>
      </c>
      <c r="F91" s="61" t="str">
        <f>IF(Inicial!M91="SI",Inicial!F91,"N/A")</f>
        <v>N/A</v>
      </c>
      <c r="G91" s="61" t="str">
        <f>IF(Inicial!M91="SI",Inicial!G91,"N/A")</f>
        <v>N/A</v>
      </c>
      <c r="H91" s="61" t="str">
        <f>IF(Inicial!M91="SI",Inicial!H91,"N/A")</f>
        <v>N/A</v>
      </c>
      <c r="I91" s="63" t="str">
        <f>IF(Inicial!M91="SI",Inicial!I91,"N/A")</f>
        <v>N/A</v>
      </c>
      <c r="J91" s="11"/>
      <c r="K91" s="11"/>
      <c r="L91" s="11"/>
      <c r="M91" s="11"/>
      <c r="N91" s="11"/>
      <c r="O91" s="11"/>
      <c r="P91" s="11"/>
      <c r="Q91" s="11"/>
      <c r="R91" s="11"/>
      <c r="S91" s="11"/>
      <c r="T91" s="11"/>
      <c r="U91" s="11"/>
      <c r="V91" s="11"/>
      <c r="W91" s="12" t="str" cm="1">
        <f t="array" ref="W91">IF(OR(M91:V91="NO"),"No aceptable","Aceptable")</f>
        <v>Aceptable</v>
      </c>
      <c r="X91" s="11"/>
      <c r="Y91" s="11"/>
      <c r="Z91" s="11"/>
      <c r="AA91" s="11"/>
      <c r="AB91" s="11"/>
      <c r="AC91" s="11"/>
      <c r="AD91" s="11"/>
      <c r="AE91" s="11"/>
      <c r="AF91" s="11"/>
      <c r="AG91" s="11"/>
      <c r="AH91" s="11"/>
      <c r="AI91" s="11"/>
      <c r="AJ91" s="11"/>
      <c r="AK91" s="11"/>
      <c r="AL91" s="11"/>
      <c r="AM91" s="11"/>
      <c r="AN91" s="3" t="str" cm="1">
        <f t="array" ref="AN91">IF(OR(AA91:AM91="SI"),"Critico","No Critico")</f>
        <v>No Critico</v>
      </c>
    </row>
    <row r="92" spans="1:40" ht="51">
      <c r="A92" s="60">
        <f>Inicial!A92</f>
        <v>90</v>
      </c>
      <c r="B92" s="61" t="str">
        <f>Inicial!B92</f>
        <v>Desposte</v>
      </c>
      <c r="C92" s="61" t="str">
        <f>Inicial!C92</f>
        <v>Operario de producción Línea Embolsado</v>
      </c>
      <c r="D92" s="62" t="str">
        <f>Inicial!D92</f>
        <v>Embolsado de pancetas</v>
      </c>
      <c r="E92" s="60" t="str">
        <f>IF(Inicial!M92="SI",Inicial!E92,"N/A")</f>
        <v>N/A</v>
      </c>
      <c r="F92" s="61" t="str">
        <f>IF(Inicial!M92="SI",Inicial!F92,"N/A")</f>
        <v>N/A</v>
      </c>
      <c r="G92" s="61" t="str">
        <f>IF(Inicial!M92="SI",Inicial!G92,"N/A")</f>
        <v>N/A</v>
      </c>
      <c r="H92" s="61" t="str">
        <f>IF(Inicial!M92="SI",Inicial!H92,"N/A")</f>
        <v>N/A</v>
      </c>
      <c r="I92" s="63" t="str">
        <f>IF(Inicial!M92="SI",Inicial!I92,"N/A")</f>
        <v>N/A</v>
      </c>
      <c r="J92" s="11"/>
      <c r="K92" s="11"/>
      <c r="L92" s="11"/>
      <c r="M92" s="11"/>
      <c r="N92" s="11"/>
      <c r="O92" s="11"/>
      <c r="P92" s="11"/>
      <c r="Q92" s="11"/>
      <c r="R92" s="11"/>
      <c r="S92" s="11"/>
      <c r="T92" s="11"/>
      <c r="U92" s="11"/>
      <c r="V92" s="11"/>
      <c r="W92" s="12" t="str" cm="1">
        <f t="array" ref="W92">IF(OR(M92:V92="NO"),"No aceptable","Aceptable")</f>
        <v>Aceptable</v>
      </c>
      <c r="X92" s="11"/>
      <c r="Y92" s="11"/>
      <c r="Z92" s="11"/>
      <c r="AA92" s="11"/>
      <c r="AB92" s="11"/>
      <c r="AC92" s="11"/>
      <c r="AD92" s="11"/>
      <c r="AE92" s="11"/>
      <c r="AF92" s="11"/>
      <c r="AG92" s="11"/>
      <c r="AH92" s="11"/>
      <c r="AI92" s="11"/>
      <c r="AJ92" s="11"/>
      <c r="AK92" s="11"/>
      <c r="AL92" s="11"/>
      <c r="AM92" s="11"/>
      <c r="AN92" s="3" t="str" cm="1">
        <f t="array" ref="AN92">IF(OR(AA92:AM92="SI"),"Critico","No Critico")</f>
        <v>No Critico</v>
      </c>
    </row>
    <row r="93" spans="1:40" ht="51">
      <c r="A93" s="60">
        <f>Inicial!A93</f>
        <v>91</v>
      </c>
      <c r="B93" s="61" t="str">
        <f>Inicial!B93</f>
        <v>Desposte</v>
      </c>
      <c r="C93" s="61" t="str">
        <f>Inicial!C93</f>
        <v>Operario de producción Línea Embolsado</v>
      </c>
      <c r="D93" s="62" t="str">
        <f>Inicial!D93</f>
        <v>Embolsado de lomo tecla</v>
      </c>
      <c r="E93" s="60" t="str">
        <f>IF(Inicial!M93="SI",Inicial!E93,"N/A")</f>
        <v>N/A</v>
      </c>
      <c r="F93" s="61" t="str">
        <f>IF(Inicial!M93="SI",Inicial!F93,"N/A")</f>
        <v>N/A</v>
      </c>
      <c r="G93" s="61" t="str">
        <f>IF(Inicial!M93="SI",Inicial!G93,"N/A")</f>
        <v>N/A</v>
      </c>
      <c r="H93" s="61" t="str">
        <f>IF(Inicial!M93="SI",Inicial!H93,"N/A")</f>
        <v>N/A</v>
      </c>
      <c r="I93" s="63" t="str">
        <f>IF(Inicial!M93="SI",Inicial!I93,"N/A")</f>
        <v>N/A</v>
      </c>
      <c r="J93" s="11"/>
      <c r="K93" s="11"/>
      <c r="L93" s="11"/>
      <c r="M93" s="11"/>
      <c r="N93" s="11"/>
      <c r="O93" s="11"/>
      <c r="P93" s="11"/>
      <c r="Q93" s="11"/>
      <c r="R93" s="11"/>
      <c r="S93" s="11"/>
      <c r="T93" s="11"/>
      <c r="U93" s="11"/>
      <c r="V93" s="11"/>
      <c r="W93" s="12" t="str" cm="1">
        <f t="array" ref="W93">IF(OR(M93:V93="NO"),"No aceptable","Aceptable")</f>
        <v>Aceptable</v>
      </c>
      <c r="X93" s="11"/>
      <c r="Y93" s="11"/>
      <c r="Z93" s="11"/>
      <c r="AA93" s="11"/>
      <c r="AB93" s="11"/>
      <c r="AC93" s="11"/>
      <c r="AD93" s="11"/>
      <c r="AE93" s="11"/>
      <c r="AF93" s="11"/>
      <c r="AG93" s="11"/>
      <c r="AH93" s="11"/>
      <c r="AI93" s="11"/>
      <c r="AJ93" s="11"/>
      <c r="AK93" s="11"/>
      <c r="AL93" s="11"/>
      <c r="AM93" s="11"/>
      <c r="AN93" s="3" t="str" cm="1">
        <f t="array" ref="AN93">IF(OR(AA93:AM93="SI"),"Critico","No Critico")</f>
        <v>No Critico</v>
      </c>
    </row>
    <row r="94" spans="1:40" ht="51">
      <c r="A94" s="60">
        <f>Inicial!A94</f>
        <v>92</v>
      </c>
      <c r="B94" s="61" t="str">
        <f>Inicial!B94</f>
        <v>Desposte</v>
      </c>
      <c r="C94" s="61" t="str">
        <f>Inicial!C94</f>
        <v>Operario de producción Línea Embolsado</v>
      </c>
      <c r="D94" s="62" t="str">
        <f>Inicial!D94</f>
        <v>Reproceso</v>
      </c>
      <c r="E94" s="60" t="str">
        <f>IF(Inicial!M94="SI",Inicial!E94,"N/A")</f>
        <v>N/A</v>
      </c>
      <c r="F94" s="61" t="str">
        <f>IF(Inicial!M94="SI",Inicial!F94,"N/A")</f>
        <v>N/A</v>
      </c>
      <c r="G94" s="61" t="str">
        <f>IF(Inicial!M94="SI",Inicial!G94,"N/A")</f>
        <v>N/A</v>
      </c>
      <c r="H94" s="61" t="str">
        <f>IF(Inicial!M94="SI",Inicial!H94,"N/A")</f>
        <v>N/A</v>
      </c>
      <c r="I94" s="63" t="str">
        <f>IF(Inicial!M94="SI",Inicial!I94,"N/A")</f>
        <v>N/A</v>
      </c>
      <c r="J94" s="11"/>
      <c r="K94" s="11"/>
      <c r="L94" s="11"/>
      <c r="M94" s="11"/>
      <c r="N94" s="11"/>
      <c r="O94" s="11"/>
      <c r="P94" s="11"/>
      <c r="Q94" s="11"/>
      <c r="R94" s="11"/>
      <c r="S94" s="11"/>
      <c r="T94" s="11"/>
      <c r="U94" s="11"/>
      <c r="V94" s="11"/>
      <c r="W94" s="12" t="str" cm="1">
        <f t="array" ref="W94">IF(OR(M94:V94="NO"),"No aceptable","Aceptable")</f>
        <v>Aceptable</v>
      </c>
      <c r="X94" s="11"/>
      <c r="Y94" s="11"/>
      <c r="Z94" s="11"/>
      <c r="AA94" s="11"/>
      <c r="AB94" s="11"/>
      <c r="AC94" s="11"/>
      <c r="AD94" s="11"/>
      <c r="AE94" s="11"/>
      <c r="AF94" s="11"/>
      <c r="AG94" s="11"/>
      <c r="AH94" s="11"/>
      <c r="AI94" s="11"/>
      <c r="AJ94" s="11"/>
      <c r="AK94" s="11"/>
      <c r="AL94" s="11"/>
      <c r="AM94" s="11"/>
      <c r="AN94" s="3" t="str" cm="1">
        <f t="array" ref="AN94">IF(OR(AA94:AM94="SI"),"Critico","No Critico")</f>
        <v>No Critico</v>
      </c>
    </row>
    <row r="95" spans="1:40" ht="38.25">
      <c r="A95" s="60">
        <f>Inicial!A95</f>
        <v>93</v>
      </c>
      <c r="B95" s="61" t="str">
        <f>Inicial!B95</f>
        <v>Desposte</v>
      </c>
      <c r="C95" s="61" t="str">
        <f>Inicial!C95</f>
        <v>Operario de producción Línea Pancetas</v>
      </c>
      <c r="D95" s="62" t="str">
        <f>Inicial!D95</f>
        <v>Operador de descueradora automatica (ABT)</v>
      </c>
      <c r="E95" s="60" t="str">
        <f>IF(Inicial!M95="SI",Inicial!E95,"N/A")</f>
        <v>N/A</v>
      </c>
      <c r="F95" s="61" t="str">
        <f>IF(Inicial!M95="SI",Inicial!F95,"N/A")</f>
        <v>N/A</v>
      </c>
      <c r="G95" s="61" t="str">
        <f>IF(Inicial!M95="SI",Inicial!G95,"N/A")</f>
        <v>N/A</v>
      </c>
      <c r="H95" s="61" t="str">
        <f>IF(Inicial!M95="SI",Inicial!H95,"N/A")</f>
        <v>N/A</v>
      </c>
      <c r="I95" s="63" t="str">
        <f>IF(Inicial!M95="SI",Inicial!I95,"N/A")</f>
        <v>N/A</v>
      </c>
      <c r="J95" s="11"/>
      <c r="K95" s="11"/>
      <c r="L95" s="11"/>
      <c r="M95" s="11"/>
      <c r="N95" s="11"/>
      <c r="O95" s="11"/>
      <c r="P95" s="11"/>
      <c r="Q95" s="11"/>
      <c r="R95" s="11"/>
      <c r="S95" s="11"/>
      <c r="T95" s="11"/>
      <c r="U95" s="11"/>
      <c r="V95" s="11"/>
      <c r="W95" s="12" t="str" cm="1">
        <f t="array" ref="W95">IF(OR(M95:V95="NO"),"No aceptable","Aceptable")</f>
        <v>Aceptable</v>
      </c>
      <c r="X95" s="11"/>
      <c r="Y95" s="11"/>
      <c r="Z95" s="11"/>
      <c r="AA95" s="11"/>
      <c r="AB95" s="11"/>
      <c r="AC95" s="11"/>
      <c r="AD95" s="11"/>
      <c r="AE95" s="11"/>
      <c r="AF95" s="11"/>
      <c r="AG95" s="11"/>
      <c r="AH95" s="11"/>
      <c r="AI95" s="11"/>
      <c r="AJ95" s="11"/>
      <c r="AK95" s="11"/>
      <c r="AL95" s="11"/>
      <c r="AM95" s="11"/>
      <c r="AN95" s="3" t="str" cm="1">
        <f t="array" ref="AN95">IF(OR(AA95:AM95="SI"),"Critico","No Critico")</f>
        <v>No Critico</v>
      </c>
    </row>
    <row r="96" spans="1:40" ht="38.25">
      <c r="A96" s="60">
        <f>Inicial!A96</f>
        <v>94</v>
      </c>
      <c r="B96" s="61" t="str">
        <f>Inicial!B96</f>
        <v>Desposte</v>
      </c>
      <c r="C96" s="61" t="str">
        <f>Inicial!C96</f>
        <v>Operario de producción Línea Pancetas</v>
      </c>
      <c r="D96" s="62" t="str">
        <f>Inicial!D96</f>
        <v>Acomodador de pancetas</v>
      </c>
      <c r="E96" s="60" t="str">
        <f>IF(Inicial!M96="SI",Inicial!E96,"N/A")</f>
        <v>N/A</v>
      </c>
      <c r="F96" s="61" t="str">
        <f>IF(Inicial!M96="SI",Inicial!F96,"N/A")</f>
        <v>N/A</v>
      </c>
      <c r="G96" s="61" t="str">
        <f>IF(Inicial!M96="SI",Inicial!G96,"N/A")</f>
        <v>N/A</v>
      </c>
      <c r="H96" s="61" t="str">
        <f>IF(Inicial!M96="SI",Inicial!H96,"N/A")</f>
        <v>N/A</v>
      </c>
      <c r="I96" s="63" t="str">
        <f>IF(Inicial!M96="SI",Inicial!I96,"N/A")</f>
        <v>N/A</v>
      </c>
      <c r="J96" s="11"/>
      <c r="K96" s="11"/>
      <c r="L96" s="11"/>
      <c r="M96" s="11"/>
      <c r="N96" s="11"/>
      <c r="O96" s="11"/>
      <c r="P96" s="11"/>
      <c r="Q96" s="11"/>
      <c r="R96" s="11"/>
      <c r="S96" s="11"/>
      <c r="T96" s="11"/>
      <c r="U96" s="11"/>
      <c r="V96" s="11"/>
      <c r="W96" s="12" t="str" cm="1">
        <f t="array" ref="W96">IF(OR(M96:V96="NO"),"No aceptable","Aceptable")</f>
        <v>Aceptable</v>
      </c>
      <c r="X96" s="11"/>
      <c r="Y96" s="11"/>
      <c r="Z96" s="11"/>
      <c r="AA96" s="11"/>
      <c r="AB96" s="11"/>
      <c r="AC96" s="11"/>
      <c r="AD96" s="11"/>
      <c r="AE96" s="11"/>
      <c r="AF96" s="11"/>
      <c r="AG96" s="11"/>
      <c r="AH96" s="11"/>
      <c r="AI96" s="11"/>
      <c r="AJ96" s="11"/>
      <c r="AK96" s="11"/>
      <c r="AL96" s="11"/>
      <c r="AM96" s="11"/>
      <c r="AN96" s="3" t="str" cm="1">
        <f t="array" ref="AN96">IF(OR(AA96:AM96="SI"),"Critico","No Critico")</f>
        <v>No Critico</v>
      </c>
    </row>
    <row r="97" spans="1:40" ht="38.25">
      <c r="A97" s="60">
        <f>Inicial!A97</f>
        <v>95</v>
      </c>
      <c r="B97" s="61" t="str">
        <f>Inicial!B97</f>
        <v>Desposte</v>
      </c>
      <c r="C97" s="61" t="str">
        <f>Inicial!C97</f>
        <v>Operario de producción Línea Pancetas</v>
      </c>
      <c r="D97" s="62" t="str">
        <f>Inicial!D97</f>
        <v xml:space="preserve">Separación de recortes falda y laterales </v>
      </c>
      <c r="E97" s="60" t="str">
        <f>IF(Inicial!M97="SI",Inicial!E97,"N/A")</f>
        <v>N/A</v>
      </c>
      <c r="F97" s="61" t="str">
        <f>IF(Inicial!M97="SI",Inicial!F97,"N/A")</f>
        <v>N/A</v>
      </c>
      <c r="G97" s="61" t="str">
        <f>IF(Inicial!M97="SI",Inicial!G97,"N/A")</f>
        <v>N/A</v>
      </c>
      <c r="H97" s="61" t="str">
        <f>IF(Inicial!M97="SI",Inicial!H97,"N/A")</f>
        <v>N/A</v>
      </c>
      <c r="I97" s="63" t="str">
        <f>IF(Inicial!M97="SI",Inicial!I97,"N/A")</f>
        <v>N/A</v>
      </c>
      <c r="J97" s="11"/>
      <c r="K97" s="11"/>
      <c r="L97" s="11"/>
      <c r="M97" s="11"/>
      <c r="N97" s="11"/>
      <c r="O97" s="11"/>
      <c r="P97" s="11"/>
      <c r="Q97" s="11"/>
      <c r="R97" s="11"/>
      <c r="S97" s="11"/>
      <c r="T97" s="11"/>
      <c r="U97" s="11"/>
      <c r="V97" s="11"/>
      <c r="W97" s="12" t="str" cm="1">
        <f t="array" ref="W97">IF(OR(M97:V97="NO"),"No aceptable","Aceptable")</f>
        <v>Aceptable</v>
      </c>
      <c r="X97" s="11"/>
      <c r="Y97" s="11"/>
      <c r="Z97" s="11"/>
      <c r="AA97" s="11"/>
      <c r="AB97" s="11"/>
      <c r="AC97" s="11"/>
      <c r="AD97" s="11"/>
      <c r="AE97" s="11"/>
      <c r="AF97" s="11"/>
      <c r="AG97" s="11"/>
      <c r="AH97" s="11"/>
      <c r="AI97" s="11"/>
      <c r="AJ97" s="11"/>
      <c r="AK97" s="11"/>
      <c r="AL97" s="11"/>
      <c r="AM97" s="11"/>
      <c r="AN97" s="3" t="str" cm="1">
        <f t="array" ref="AN97">IF(OR(AA97:AM97="SI"),"Critico","No Critico")</f>
        <v>No Critico</v>
      </c>
    </row>
    <row r="98" spans="1:40" ht="38.25">
      <c r="A98" s="60">
        <f>Inicial!A98</f>
        <v>96</v>
      </c>
      <c r="B98" s="61" t="str">
        <f>Inicial!B98</f>
        <v>Desposte</v>
      </c>
      <c r="C98" s="61" t="str">
        <f>Inicial!C98</f>
        <v>Operario de producción Línea Pancetas</v>
      </c>
      <c r="D98" s="62" t="str">
        <f>Inicial!D98</f>
        <v>Prolijado de Cueros</v>
      </c>
      <c r="E98" s="60" t="str">
        <f>IF(Inicial!M98="SI",Inicial!E98,"N/A")</f>
        <v>N/A</v>
      </c>
      <c r="F98" s="61" t="str">
        <f>IF(Inicial!M98="SI",Inicial!F98,"N/A")</f>
        <v>N/A</v>
      </c>
      <c r="G98" s="61" t="str">
        <f>IF(Inicial!M98="SI",Inicial!G98,"N/A")</f>
        <v>N/A</v>
      </c>
      <c r="H98" s="61" t="str">
        <f>IF(Inicial!M98="SI",Inicial!H98,"N/A")</f>
        <v>N/A</v>
      </c>
      <c r="I98" s="63" t="str">
        <f>IF(Inicial!M98="SI",Inicial!I98,"N/A")</f>
        <v>N/A</v>
      </c>
      <c r="J98" s="11"/>
      <c r="K98" s="11"/>
      <c r="L98" s="11"/>
      <c r="M98" s="11"/>
      <c r="N98" s="11"/>
      <c r="O98" s="11"/>
      <c r="P98" s="11"/>
      <c r="Q98" s="11"/>
      <c r="R98" s="11"/>
      <c r="S98" s="11"/>
      <c r="T98" s="11"/>
      <c r="U98" s="11"/>
      <c r="V98" s="11"/>
      <c r="W98" s="12" t="str" cm="1">
        <f t="array" ref="W98">IF(OR(M98:V98="NO"),"No aceptable","Aceptable")</f>
        <v>Aceptable</v>
      </c>
      <c r="X98" s="11"/>
      <c r="Y98" s="11"/>
      <c r="Z98" s="11"/>
      <c r="AA98" s="11"/>
      <c r="AB98" s="11"/>
      <c r="AC98" s="11"/>
      <c r="AD98" s="11"/>
      <c r="AE98" s="11"/>
      <c r="AF98" s="11"/>
      <c r="AG98" s="11"/>
      <c r="AH98" s="11"/>
      <c r="AI98" s="11"/>
      <c r="AJ98" s="11"/>
      <c r="AK98" s="11"/>
      <c r="AL98" s="11"/>
      <c r="AM98" s="11"/>
      <c r="AN98" s="3" t="str" cm="1">
        <f t="array" ref="AN98">IF(OR(AA98:AM98="SI"),"Critico","No Critico")</f>
        <v>No Critico</v>
      </c>
    </row>
    <row r="99" spans="1:40" ht="38.25">
      <c r="A99" s="60">
        <f>Inicial!A99</f>
        <v>97</v>
      </c>
      <c r="B99" s="61" t="str">
        <f>Inicial!B99</f>
        <v>Desposte</v>
      </c>
      <c r="C99" s="61" t="str">
        <f>Inicial!C99</f>
        <v>Operario de producción Línea Pancetas</v>
      </c>
      <c r="D99" s="62" t="str">
        <f>Inicial!D99</f>
        <v>Prolijado de tiras de panceta</v>
      </c>
      <c r="E99" s="60" t="str">
        <f>IF(Inicial!M99="SI",Inicial!E99,"N/A")</f>
        <v>N/A</v>
      </c>
      <c r="F99" s="61" t="str">
        <f>IF(Inicial!M99="SI",Inicial!F99,"N/A")</f>
        <v>N/A</v>
      </c>
      <c r="G99" s="61" t="str">
        <f>IF(Inicial!M99="SI",Inicial!G99,"N/A")</f>
        <v>N/A</v>
      </c>
      <c r="H99" s="61" t="str">
        <f>IF(Inicial!M99="SI",Inicial!H99,"N/A")</f>
        <v>N/A</v>
      </c>
      <c r="I99" s="63" t="str">
        <f>IF(Inicial!M99="SI",Inicial!I99,"N/A")</f>
        <v>N/A</v>
      </c>
      <c r="J99" s="11"/>
      <c r="K99" s="11"/>
      <c r="L99" s="11"/>
      <c r="M99" s="11"/>
      <c r="N99" s="11"/>
      <c r="O99" s="11"/>
      <c r="P99" s="11"/>
      <c r="Q99" s="11"/>
      <c r="R99" s="11"/>
      <c r="S99" s="11"/>
      <c r="T99" s="11"/>
      <c r="U99" s="11"/>
      <c r="V99" s="11"/>
      <c r="W99" s="12" t="str" cm="1">
        <f t="array" ref="W99">IF(OR(M99:V99="NO"),"No aceptable","Aceptable")</f>
        <v>Aceptable</v>
      </c>
      <c r="X99" s="11"/>
      <c r="Y99" s="11"/>
      <c r="Z99" s="11"/>
      <c r="AA99" s="11"/>
      <c r="AB99" s="11"/>
      <c r="AC99" s="11"/>
      <c r="AD99" s="11"/>
      <c r="AE99" s="11"/>
      <c r="AF99" s="11"/>
      <c r="AG99" s="11"/>
      <c r="AH99" s="11"/>
      <c r="AI99" s="11"/>
      <c r="AJ99" s="11"/>
      <c r="AK99" s="11"/>
      <c r="AL99" s="11"/>
      <c r="AM99" s="11"/>
      <c r="AN99" s="3" t="str" cm="1">
        <f t="array" ref="AN99">IF(OR(AA99:AM99="SI"),"Critico","No Critico")</f>
        <v>No Critico</v>
      </c>
    </row>
    <row r="100" spans="1:40" ht="38.25">
      <c r="A100" s="60">
        <f>Inicial!A100</f>
        <v>98</v>
      </c>
      <c r="B100" s="61" t="str">
        <f>Inicial!B100</f>
        <v>Desposte</v>
      </c>
      <c r="C100" s="61" t="str">
        <f>Inicial!C100</f>
        <v>Operario de producción Línea Pancetas</v>
      </c>
      <c r="D100" s="62" t="str">
        <f>Inicial!D100</f>
        <v>Prolijado de falda</v>
      </c>
      <c r="E100" s="60" t="str">
        <f>IF(Inicial!M100="SI",Inicial!E100,"N/A")</f>
        <v>N/A</v>
      </c>
      <c r="F100" s="61" t="str">
        <f>IF(Inicial!M100="SI",Inicial!F100,"N/A")</f>
        <v>N/A</v>
      </c>
      <c r="G100" s="61" t="str">
        <f>IF(Inicial!M100="SI",Inicial!G100,"N/A")</f>
        <v>N/A</v>
      </c>
      <c r="H100" s="61" t="str">
        <f>IF(Inicial!M100="SI",Inicial!H100,"N/A")</f>
        <v>N/A</v>
      </c>
      <c r="I100" s="63" t="str">
        <f>IF(Inicial!M100="SI",Inicial!I100,"N/A")</f>
        <v>N/A</v>
      </c>
      <c r="J100" s="11"/>
      <c r="K100" s="11"/>
      <c r="L100" s="11"/>
      <c r="M100" s="11"/>
      <c r="N100" s="11"/>
      <c r="O100" s="11"/>
      <c r="P100" s="11"/>
      <c r="Q100" s="11"/>
      <c r="R100" s="11"/>
      <c r="S100" s="11"/>
      <c r="T100" s="11"/>
      <c r="U100" s="11"/>
      <c r="V100" s="11"/>
      <c r="W100" s="12" t="str" cm="1">
        <f t="array" ref="W100">IF(OR(M100:V100="NO"),"No aceptable","Aceptable")</f>
        <v>Aceptable</v>
      </c>
      <c r="X100" s="11"/>
      <c r="Y100" s="11"/>
      <c r="Z100" s="11"/>
      <c r="AA100" s="11"/>
      <c r="AB100" s="11"/>
      <c r="AC100" s="11"/>
      <c r="AD100" s="11"/>
      <c r="AE100" s="11"/>
      <c r="AF100" s="11"/>
      <c r="AG100" s="11"/>
      <c r="AH100" s="11"/>
      <c r="AI100" s="11"/>
      <c r="AJ100" s="11"/>
      <c r="AK100" s="11"/>
      <c r="AL100" s="11"/>
      <c r="AM100" s="11"/>
      <c r="AN100" s="3" t="str" cm="1">
        <f t="array" ref="AN100">IF(OR(AA100:AM100="SI"),"Critico","No Critico")</f>
        <v>No Critico</v>
      </c>
    </row>
    <row r="101" spans="1:40" ht="38.25">
      <c r="A101" s="60">
        <f>Inicial!A101</f>
        <v>99</v>
      </c>
      <c r="B101" s="61" t="str">
        <f>Inicial!B101</f>
        <v>Desposte</v>
      </c>
      <c r="C101" s="61" t="str">
        <f>Inicial!C101</f>
        <v>Operario de producción Línea Pancetas</v>
      </c>
      <c r="D101" s="62" t="str">
        <f>Inicial!D101</f>
        <v>Acomodador de pancetas salida de ABT</v>
      </c>
      <c r="E101" s="60" t="str">
        <f>IF(Inicial!M101="SI",Inicial!E101,"N/A")</f>
        <v>N/A</v>
      </c>
      <c r="F101" s="61" t="str">
        <f>IF(Inicial!M101="SI",Inicial!F101,"N/A")</f>
        <v>N/A</v>
      </c>
      <c r="G101" s="61" t="str">
        <f>IF(Inicial!M101="SI",Inicial!G101,"N/A")</f>
        <v>N/A</v>
      </c>
      <c r="H101" s="61" t="str">
        <f>IF(Inicial!M101="SI",Inicial!H101,"N/A")</f>
        <v>N/A</v>
      </c>
      <c r="I101" s="63" t="str">
        <f>IF(Inicial!M101="SI",Inicial!I101,"N/A")</f>
        <v>N/A</v>
      </c>
      <c r="J101" s="11"/>
      <c r="K101" s="11"/>
      <c r="L101" s="11"/>
      <c r="M101" s="11"/>
      <c r="N101" s="11"/>
      <c r="O101" s="11"/>
      <c r="P101" s="11"/>
      <c r="Q101" s="11"/>
      <c r="R101" s="11"/>
      <c r="S101" s="11"/>
      <c r="T101" s="11"/>
      <c r="U101" s="11"/>
      <c r="V101" s="11"/>
      <c r="W101" s="12" t="str" cm="1">
        <f t="array" ref="W101">IF(OR(M101:V101="NO"),"No aceptable","Aceptable")</f>
        <v>Aceptable</v>
      </c>
      <c r="X101" s="11"/>
      <c r="Y101" s="11"/>
      <c r="Z101" s="11"/>
      <c r="AA101" s="11"/>
      <c r="AB101" s="11"/>
      <c r="AC101" s="11"/>
      <c r="AD101" s="11"/>
      <c r="AE101" s="11"/>
      <c r="AF101" s="11"/>
      <c r="AG101" s="11"/>
      <c r="AH101" s="11"/>
      <c r="AI101" s="11"/>
      <c r="AJ101" s="11"/>
      <c r="AK101" s="11"/>
      <c r="AL101" s="11"/>
      <c r="AM101" s="11"/>
      <c r="AN101" s="3" t="str" cm="1">
        <f t="array" ref="AN101">IF(OR(AA101:AM101="SI"),"Critico","No Critico")</f>
        <v>No Critico</v>
      </c>
    </row>
    <row r="102" spans="1:40" ht="38.25">
      <c r="A102" s="60">
        <f>Inicial!A102</f>
        <v>100</v>
      </c>
      <c r="B102" s="61" t="str">
        <f>Inicial!B102</f>
        <v>Desposte</v>
      </c>
      <c r="C102" s="61" t="str">
        <f>Inicial!C102</f>
        <v>Operario de producción Línea Pancetas</v>
      </c>
      <c r="D102" s="62" t="str">
        <f>Inicial!D102</f>
        <v>Biselado</v>
      </c>
      <c r="E102" s="60" t="str">
        <f>IF(Inicial!M102="SI",Inicial!E102,"N/A")</f>
        <v>N/A</v>
      </c>
      <c r="F102" s="61" t="str">
        <f>IF(Inicial!M102="SI",Inicial!F102,"N/A")</f>
        <v>N/A</v>
      </c>
      <c r="G102" s="61" t="str">
        <f>IF(Inicial!M102="SI",Inicial!G102,"N/A")</f>
        <v>N/A</v>
      </c>
      <c r="H102" s="61" t="str">
        <f>IF(Inicial!M102="SI",Inicial!H102,"N/A")</f>
        <v>N/A</v>
      </c>
      <c r="I102" s="63" t="str">
        <f>IF(Inicial!M102="SI",Inicial!I102,"N/A")</f>
        <v>N/A</v>
      </c>
      <c r="J102" s="11"/>
      <c r="K102" s="11"/>
      <c r="L102" s="11"/>
      <c r="M102" s="11"/>
      <c r="N102" s="11"/>
      <c r="O102" s="11"/>
      <c r="P102" s="11"/>
      <c r="Q102" s="11"/>
      <c r="R102" s="11"/>
      <c r="S102" s="11"/>
      <c r="T102" s="11"/>
      <c r="U102" s="11"/>
      <c r="V102" s="11"/>
      <c r="W102" s="12" t="str" cm="1">
        <f t="array" ref="W102">IF(OR(M102:V102="NO"),"No aceptable","Aceptable")</f>
        <v>Aceptable</v>
      </c>
      <c r="X102" s="11"/>
      <c r="Y102" s="11"/>
      <c r="Z102" s="11"/>
      <c r="AA102" s="11"/>
      <c r="AB102" s="11"/>
      <c r="AC102" s="11"/>
      <c r="AD102" s="11"/>
      <c r="AE102" s="11"/>
      <c r="AF102" s="11"/>
      <c r="AG102" s="11"/>
      <c r="AH102" s="11"/>
      <c r="AI102" s="11"/>
      <c r="AJ102" s="11"/>
      <c r="AK102" s="11"/>
      <c r="AL102" s="11"/>
      <c r="AM102" s="11"/>
      <c r="AN102" s="3" t="str" cm="1">
        <f t="array" ref="AN102">IF(OR(AA102:AM102="SI"),"Critico","No Critico")</f>
        <v>No Critico</v>
      </c>
    </row>
    <row r="103" spans="1:40" ht="38.25">
      <c r="A103" s="60">
        <f>Inicial!A103</f>
        <v>101</v>
      </c>
      <c r="B103" s="61" t="str">
        <f>Inicial!B103</f>
        <v>Desposte</v>
      </c>
      <c r="C103" s="61" t="str">
        <f>Inicial!C103</f>
        <v>Operario de producción Línea Pancetas</v>
      </c>
      <c r="D103" s="62" t="str">
        <f>Inicial!D103</f>
        <v>Prolijado de panceta / pecho</v>
      </c>
      <c r="E103" s="60" t="str">
        <f>IF(Inicial!M103="SI",Inicial!E103,"N/A")</f>
        <v>N/A</v>
      </c>
      <c r="F103" s="61" t="str">
        <f>IF(Inicial!M103="SI",Inicial!F103,"N/A")</f>
        <v>N/A</v>
      </c>
      <c r="G103" s="61" t="str">
        <f>IF(Inicial!M103="SI",Inicial!G103,"N/A")</f>
        <v>N/A</v>
      </c>
      <c r="H103" s="61" t="str">
        <f>IF(Inicial!M103="SI",Inicial!H103,"N/A")</f>
        <v>N/A</v>
      </c>
      <c r="I103" s="63" t="str">
        <f>IF(Inicial!M103="SI",Inicial!I103,"N/A")</f>
        <v>N/A</v>
      </c>
      <c r="J103" s="11"/>
      <c r="K103" s="11"/>
      <c r="L103" s="11"/>
      <c r="M103" s="11"/>
      <c r="N103" s="11"/>
      <c r="O103" s="11"/>
      <c r="P103" s="11"/>
      <c r="Q103" s="11"/>
      <c r="R103" s="11"/>
      <c r="S103" s="11"/>
      <c r="T103" s="11"/>
      <c r="U103" s="11"/>
      <c r="V103" s="11"/>
      <c r="W103" s="12" t="str" cm="1">
        <f t="array" ref="W103">IF(OR(M103:V103="NO"),"No aceptable","Aceptable")</f>
        <v>Aceptable</v>
      </c>
      <c r="X103" s="11"/>
      <c r="Y103" s="11"/>
      <c r="Z103" s="11"/>
      <c r="AA103" s="11"/>
      <c r="AB103" s="11"/>
      <c r="AC103" s="11"/>
      <c r="AD103" s="11"/>
      <c r="AE103" s="11"/>
      <c r="AF103" s="11"/>
      <c r="AG103" s="11"/>
      <c r="AH103" s="11"/>
      <c r="AI103" s="11"/>
      <c r="AJ103" s="11"/>
      <c r="AK103" s="11"/>
      <c r="AL103" s="11"/>
      <c r="AM103" s="11"/>
      <c r="AN103" s="3" t="str" cm="1">
        <f t="array" ref="AN103">IF(OR(AA103:AM103="SI"),"Critico","No Critico")</f>
        <v>No Critico</v>
      </c>
    </row>
    <row r="104" spans="1:40" ht="38.25">
      <c r="A104" s="60">
        <f>Inicial!A104</f>
        <v>102</v>
      </c>
      <c r="B104" s="61" t="str">
        <f>Inicial!B104</f>
        <v>Desposte</v>
      </c>
      <c r="C104" s="61" t="str">
        <f>Inicial!C104</f>
        <v>Operario de producción Línea Pancetas</v>
      </c>
      <c r="D104" s="62" t="str">
        <f>Inicial!D104</f>
        <v>Calibrado de panceta</v>
      </c>
      <c r="E104" s="60" t="str">
        <f>IF(Inicial!M104="SI",Inicial!E104,"N/A")</f>
        <v>N/A</v>
      </c>
      <c r="F104" s="61" t="str">
        <f>IF(Inicial!M104="SI",Inicial!F104,"N/A")</f>
        <v>N/A</v>
      </c>
      <c r="G104" s="61" t="str">
        <f>IF(Inicial!M104="SI",Inicial!G104,"N/A")</f>
        <v>N/A</v>
      </c>
      <c r="H104" s="61" t="str">
        <f>IF(Inicial!M104="SI",Inicial!H104,"N/A")</f>
        <v>N/A</v>
      </c>
      <c r="I104" s="63" t="str">
        <f>IF(Inicial!M104="SI",Inicial!I104,"N/A")</f>
        <v>N/A</v>
      </c>
      <c r="J104" s="11"/>
      <c r="K104" s="11"/>
      <c r="L104" s="11"/>
      <c r="M104" s="11"/>
      <c r="N104" s="11"/>
      <c r="O104" s="11"/>
      <c r="P104" s="11"/>
      <c r="Q104" s="11"/>
      <c r="R104" s="11"/>
      <c r="S104" s="11"/>
      <c r="T104" s="11"/>
      <c r="U104" s="11"/>
      <c r="V104" s="11"/>
      <c r="W104" s="12" t="str" cm="1">
        <f t="array" ref="W104">IF(OR(M104:V104="NO"),"No aceptable","Aceptable")</f>
        <v>Aceptable</v>
      </c>
      <c r="X104" s="11"/>
      <c r="Y104" s="11"/>
      <c r="Z104" s="11"/>
      <c r="AA104" s="11"/>
      <c r="AB104" s="11"/>
      <c r="AC104" s="11"/>
      <c r="AD104" s="11"/>
      <c r="AE104" s="11"/>
      <c r="AF104" s="11"/>
      <c r="AG104" s="11"/>
      <c r="AH104" s="11"/>
      <c r="AI104" s="11"/>
      <c r="AJ104" s="11"/>
      <c r="AK104" s="11"/>
      <c r="AL104" s="11"/>
      <c r="AM104" s="11"/>
      <c r="AN104" s="3" t="str" cm="1">
        <f t="array" ref="AN104">IF(OR(AA104:AM104="SI"),"Critico","No Critico")</f>
        <v>No Critico</v>
      </c>
    </row>
    <row r="105" spans="1:40" ht="38.25">
      <c r="A105" s="60">
        <f>Inicial!A105</f>
        <v>103</v>
      </c>
      <c r="B105" s="61" t="str">
        <f>Inicial!B105</f>
        <v>Desposte</v>
      </c>
      <c r="C105" s="61" t="str">
        <f>Inicial!C105</f>
        <v>Operario de producción Línea Pancetas</v>
      </c>
      <c r="D105" s="62" t="str">
        <f>Inicial!D105</f>
        <v>Revisión final de panceta</v>
      </c>
      <c r="E105" s="60" t="str">
        <f>IF(Inicial!M105="SI",Inicial!E105,"N/A")</f>
        <v>N/A</v>
      </c>
      <c r="F105" s="61" t="str">
        <f>IF(Inicial!M105="SI",Inicial!F105,"N/A")</f>
        <v>N/A</v>
      </c>
      <c r="G105" s="61" t="str">
        <f>IF(Inicial!M105="SI",Inicial!G105,"N/A")</f>
        <v>N/A</v>
      </c>
      <c r="H105" s="61" t="str">
        <f>IF(Inicial!M105="SI",Inicial!H105,"N/A")</f>
        <v>N/A</v>
      </c>
      <c r="I105" s="63" t="str">
        <f>IF(Inicial!M105="SI",Inicial!I105,"N/A")</f>
        <v>N/A</v>
      </c>
      <c r="J105" s="11"/>
      <c r="K105" s="11"/>
      <c r="L105" s="11"/>
      <c r="M105" s="11"/>
      <c r="N105" s="11"/>
      <c r="O105" s="11"/>
      <c r="P105" s="11"/>
      <c r="Q105" s="11"/>
      <c r="R105" s="11"/>
      <c r="S105" s="11"/>
      <c r="T105" s="11"/>
      <c r="U105" s="11"/>
      <c r="V105" s="11"/>
      <c r="W105" s="12" t="str" cm="1">
        <f t="array" ref="W105">IF(OR(M105:V105="NO"),"No aceptable","Aceptable")</f>
        <v>Aceptable</v>
      </c>
      <c r="X105" s="11"/>
      <c r="Y105" s="11"/>
      <c r="Z105" s="11"/>
      <c r="AA105" s="11"/>
      <c r="AB105" s="11"/>
      <c r="AC105" s="11"/>
      <c r="AD105" s="11"/>
      <c r="AE105" s="11"/>
      <c r="AF105" s="11"/>
      <c r="AG105" s="11"/>
      <c r="AH105" s="11"/>
      <c r="AI105" s="11"/>
      <c r="AJ105" s="11"/>
      <c r="AK105" s="11"/>
      <c r="AL105" s="11"/>
      <c r="AM105" s="11"/>
      <c r="AN105" s="3" t="str" cm="1">
        <f t="array" ref="AN105">IF(OR(AA105:AM105="SI"),"Critico","No Critico")</f>
        <v>No Critico</v>
      </c>
    </row>
    <row r="106" spans="1:40" ht="38.25">
      <c r="A106" s="60">
        <f>Inicial!A106</f>
        <v>104</v>
      </c>
      <c r="B106" s="61" t="str">
        <f>Inicial!B106</f>
        <v>Desposte</v>
      </c>
      <c r="C106" s="61" t="str">
        <f>Inicial!C106</f>
        <v>Operario de producción Línea Pancetas</v>
      </c>
      <c r="D106" s="62" t="str">
        <f>Inicial!D106</f>
        <v>Extracción de tetillas ABT</v>
      </c>
      <c r="E106" s="60" t="str">
        <f>IF(Inicial!M106="SI",Inicial!E106,"N/A")</f>
        <v>N/A</v>
      </c>
      <c r="F106" s="61" t="str">
        <f>IF(Inicial!M106="SI",Inicial!F106,"N/A")</f>
        <v>N/A</v>
      </c>
      <c r="G106" s="61" t="str">
        <f>IF(Inicial!M106="SI",Inicial!G106,"N/A")</f>
        <v>N/A</v>
      </c>
      <c r="H106" s="61" t="str">
        <f>IF(Inicial!M106="SI",Inicial!H106,"N/A")</f>
        <v>N/A</v>
      </c>
      <c r="I106" s="63" t="str">
        <f>IF(Inicial!M106="SI",Inicial!I106,"N/A")</f>
        <v>N/A</v>
      </c>
      <c r="J106" s="11"/>
      <c r="K106" s="11"/>
      <c r="L106" s="11"/>
      <c r="M106" s="11"/>
      <c r="N106" s="11"/>
      <c r="O106" s="11"/>
      <c r="P106" s="11"/>
      <c r="Q106" s="11"/>
      <c r="R106" s="11"/>
      <c r="S106" s="11"/>
      <c r="T106" s="11"/>
      <c r="U106" s="11"/>
      <c r="V106" s="11"/>
      <c r="W106" s="12" t="str" cm="1">
        <f t="array" ref="W106">IF(OR(M106:V106="NO"),"No aceptable","Aceptable")</f>
        <v>Aceptable</v>
      </c>
      <c r="X106" s="11"/>
      <c r="Y106" s="11"/>
      <c r="Z106" s="11"/>
      <c r="AA106" s="11"/>
      <c r="AB106" s="11"/>
      <c r="AC106" s="11"/>
      <c r="AD106" s="11"/>
      <c r="AE106" s="11"/>
      <c r="AF106" s="11"/>
      <c r="AG106" s="11"/>
      <c r="AH106" s="11"/>
      <c r="AI106" s="11"/>
      <c r="AJ106" s="11"/>
      <c r="AK106" s="11"/>
      <c r="AL106" s="11"/>
      <c r="AM106" s="11"/>
      <c r="AN106" s="3" t="str" cm="1">
        <f t="array" ref="AN106">IF(OR(AA106:AM106="SI"),"Critico","No Critico")</f>
        <v>No Critico</v>
      </c>
    </row>
    <row r="107" spans="1:40" ht="38.25">
      <c r="A107" s="60">
        <f>Inicial!A107</f>
        <v>105</v>
      </c>
      <c r="B107" s="61" t="str">
        <f>Inicial!B107</f>
        <v>Desposte</v>
      </c>
      <c r="C107" s="61" t="str">
        <f>Inicial!C107</f>
        <v>Operario de producción Línea Pancetas</v>
      </c>
      <c r="D107" s="62" t="str">
        <f>Inicial!D107</f>
        <v>Extracción de manteca</v>
      </c>
      <c r="E107" s="60" t="str">
        <f>IF(Inicial!M107="SI",Inicial!E107,"N/A")</f>
        <v>N/A</v>
      </c>
      <c r="F107" s="61" t="str">
        <f>IF(Inicial!M107="SI",Inicial!F107,"N/A")</f>
        <v>N/A</v>
      </c>
      <c r="G107" s="61" t="str">
        <f>IF(Inicial!M107="SI",Inicial!G107,"N/A")</f>
        <v>N/A</v>
      </c>
      <c r="H107" s="61" t="str">
        <f>IF(Inicial!M107="SI",Inicial!H107,"N/A")</f>
        <v>N/A</v>
      </c>
      <c r="I107" s="63" t="str">
        <f>IF(Inicial!M107="SI",Inicial!I107,"N/A")</f>
        <v>N/A</v>
      </c>
      <c r="J107" s="11"/>
      <c r="K107" s="11"/>
      <c r="L107" s="11"/>
      <c r="M107" s="11"/>
      <c r="N107" s="11"/>
      <c r="O107" s="11"/>
      <c r="P107" s="11"/>
      <c r="Q107" s="11"/>
      <c r="R107" s="11"/>
      <c r="S107" s="11"/>
      <c r="T107" s="11"/>
      <c r="U107" s="11"/>
      <c r="V107" s="11"/>
      <c r="W107" s="12" t="str" cm="1">
        <f t="array" ref="W107">IF(OR(M107:V107="NO"),"No aceptable","Aceptable")</f>
        <v>Aceptable</v>
      </c>
      <c r="X107" s="11"/>
      <c r="Y107" s="11"/>
      <c r="Z107" s="11"/>
      <c r="AA107" s="11"/>
      <c r="AB107" s="11"/>
      <c r="AC107" s="11"/>
      <c r="AD107" s="11"/>
      <c r="AE107" s="11"/>
      <c r="AF107" s="11"/>
      <c r="AG107" s="11"/>
      <c r="AH107" s="11"/>
      <c r="AI107" s="11"/>
      <c r="AJ107" s="11"/>
      <c r="AK107" s="11"/>
      <c r="AL107" s="11"/>
      <c r="AM107" s="11"/>
      <c r="AN107" s="3" t="str" cm="1">
        <f t="array" ref="AN107">IF(OR(AA107:AM107="SI"),"Critico","No Critico")</f>
        <v>No Critico</v>
      </c>
    </row>
    <row r="108" spans="1:40" ht="15">
      <c r="A108" s="60">
        <f>Inicial!A108</f>
        <v>106</v>
      </c>
      <c r="B108" s="61">
        <f>Inicial!B108</f>
        <v>0</v>
      </c>
      <c r="C108" s="61">
        <f>Inicial!C108</f>
        <v>0</v>
      </c>
      <c r="D108" s="62">
        <f>Inicial!D108</f>
        <v>0</v>
      </c>
      <c r="E108" s="60" t="str">
        <f>IF(Inicial!M108="SI",Inicial!E108,"N/A")</f>
        <v>N/A</v>
      </c>
      <c r="F108" s="61" t="str">
        <f>IF(Inicial!M108="SI",Inicial!F108,"N/A")</f>
        <v>N/A</v>
      </c>
      <c r="G108" s="61" t="str">
        <f>IF(Inicial!M108="SI",Inicial!G108,"N/A")</f>
        <v>N/A</v>
      </c>
      <c r="H108" s="61" t="str">
        <f>IF(Inicial!M108="SI",Inicial!H108,"N/A")</f>
        <v>N/A</v>
      </c>
      <c r="I108" s="63" t="str">
        <f>IF(Inicial!M108="SI",Inicial!I108,"N/A")</f>
        <v>N/A</v>
      </c>
      <c r="J108" s="11"/>
      <c r="K108" s="11"/>
      <c r="L108" s="11"/>
      <c r="M108" s="11"/>
      <c r="N108" s="11"/>
      <c r="O108" s="11"/>
      <c r="P108" s="11"/>
      <c r="Q108" s="11"/>
      <c r="R108" s="11"/>
      <c r="S108" s="11"/>
      <c r="T108" s="11"/>
      <c r="U108" s="11"/>
      <c r="V108" s="11"/>
      <c r="W108" s="12" t="str" cm="1">
        <f t="array" ref="W108">IF(OR(M108:V108="NO"),"No aceptable","Aceptable")</f>
        <v>Aceptable</v>
      </c>
      <c r="X108" s="11"/>
      <c r="Y108" s="11"/>
      <c r="Z108" s="11"/>
      <c r="AA108" s="11"/>
      <c r="AB108" s="11"/>
      <c r="AC108" s="11"/>
      <c r="AD108" s="11"/>
      <c r="AE108" s="11"/>
      <c r="AF108" s="11"/>
      <c r="AG108" s="11"/>
      <c r="AH108" s="11"/>
      <c r="AI108" s="11"/>
      <c r="AJ108" s="11"/>
      <c r="AK108" s="11"/>
      <c r="AL108" s="11"/>
      <c r="AM108" s="11"/>
      <c r="AN108" s="3" t="str" cm="1">
        <f t="array" ref="AN108">IF(OR(AA108:AM108="SI"),"Critico","No Critico")</f>
        <v>No Critico</v>
      </c>
    </row>
    <row r="109" spans="1:40" ht="15">
      <c r="A109" s="60">
        <f>Inicial!A109</f>
        <v>107</v>
      </c>
      <c r="B109" s="61">
        <f>Inicial!B109</f>
        <v>0</v>
      </c>
      <c r="C109" s="61">
        <f>Inicial!C109</f>
        <v>0</v>
      </c>
      <c r="D109" s="62">
        <f>Inicial!D109</f>
        <v>0</v>
      </c>
      <c r="E109" s="60" t="str">
        <f>IF(Inicial!M109="SI",Inicial!E109,"N/A")</f>
        <v>N/A</v>
      </c>
      <c r="F109" s="61" t="str">
        <f>IF(Inicial!M109="SI",Inicial!F109,"N/A")</f>
        <v>N/A</v>
      </c>
      <c r="G109" s="61" t="str">
        <f>IF(Inicial!M109="SI",Inicial!G109,"N/A")</f>
        <v>N/A</v>
      </c>
      <c r="H109" s="61" t="str">
        <f>IF(Inicial!M109="SI",Inicial!H109,"N/A")</f>
        <v>N/A</v>
      </c>
      <c r="I109" s="63" t="str">
        <f>IF(Inicial!M109="SI",Inicial!I109,"N/A")</f>
        <v>N/A</v>
      </c>
      <c r="J109" s="11"/>
      <c r="K109" s="11"/>
      <c r="L109" s="11"/>
      <c r="M109" s="11"/>
      <c r="N109" s="11"/>
      <c r="O109" s="11"/>
      <c r="P109" s="11"/>
      <c r="Q109" s="11"/>
      <c r="R109" s="11"/>
      <c r="S109" s="11"/>
      <c r="T109" s="11"/>
      <c r="U109" s="11"/>
      <c r="V109" s="11"/>
      <c r="W109" s="12" t="str" cm="1">
        <f t="array" ref="W109">IF(OR(M109:V109="NO"),"No aceptable","Aceptable")</f>
        <v>Aceptable</v>
      </c>
      <c r="X109" s="11"/>
      <c r="Y109" s="11"/>
      <c r="Z109" s="11"/>
      <c r="AA109" s="11"/>
      <c r="AB109" s="11"/>
      <c r="AC109" s="11"/>
      <c r="AD109" s="11"/>
      <c r="AE109" s="11"/>
      <c r="AF109" s="11"/>
      <c r="AG109" s="11"/>
      <c r="AH109" s="11"/>
      <c r="AI109" s="11"/>
      <c r="AJ109" s="11"/>
      <c r="AK109" s="11"/>
      <c r="AL109" s="11"/>
      <c r="AM109" s="11"/>
      <c r="AN109" s="3" t="str" cm="1">
        <f t="array" ref="AN109">IF(OR(AA109:AM109="SI"),"Critico","No Critico")</f>
        <v>No Critico</v>
      </c>
    </row>
    <row r="110" spans="1:40" ht="15">
      <c r="A110" s="60">
        <f>Inicial!A110</f>
        <v>108</v>
      </c>
      <c r="B110" s="61">
        <f>Inicial!B110</f>
        <v>0</v>
      </c>
      <c r="C110" s="61">
        <f>Inicial!C110</f>
        <v>0</v>
      </c>
      <c r="D110" s="62">
        <f>Inicial!D110</f>
        <v>0</v>
      </c>
      <c r="E110" s="60" t="str">
        <f>IF(Inicial!M110="SI",Inicial!E110,"N/A")</f>
        <v>N/A</v>
      </c>
      <c r="F110" s="61" t="str">
        <f>IF(Inicial!M110="SI",Inicial!F110,"N/A")</f>
        <v>N/A</v>
      </c>
      <c r="G110" s="61" t="str">
        <f>IF(Inicial!M110="SI",Inicial!G110,"N/A")</f>
        <v>N/A</v>
      </c>
      <c r="H110" s="61" t="str">
        <f>IF(Inicial!M110="SI",Inicial!H110,"N/A")</f>
        <v>N/A</v>
      </c>
      <c r="I110" s="63" t="str">
        <f>IF(Inicial!M110="SI",Inicial!I110,"N/A")</f>
        <v>N/A</v>
      </c>
      <c r="J110" s="11"/>
      <c r="K110" s="11"/>
      <c r="L110" s="11"/>
      <c r="M110" s="11"/>
      <c r="N110" s="11"/>
      <c r="O110" s="11"/>
      <c r="P110" s="11"/>
      <c r="Q110" s="11"/>
      <c r="R110" s="11"/>
      <c r="S110" s="11"/>
      <c r="T110" s="11"/>
      <c r="U110" s="11"/>
      <c r="V110" s="11"/>
      <c r="W110" s="12" t="str" cm="1">
        <f t="array" ref="W110">IF(OR(M110:V110="NO"),"No aceptable","Aceptable")</f>
        <v>Aceptable</v>
      </c>
      <c r="X110" s="11"/>
      <c r="Y110" s="11"/>
      <c r="Z110" s="11"/>
      <c r="AA110" s="11"/>
      <c r="AB110" s="11"/>
      <c r="AC110" s="11"/>
      <c r="AD110" s="11"/>
      <c r="AE110" s="11"/>
      <c r="AF110" s="11"/>
      <c r="AG110" s="11"/>
      <c r="AH110" s="11"/>
      <c r="AI110" s="11"/>
      <c r="AJ110" s="11"/>
      <c r="AK110" s="11"/>
      <c r="AL110" s="11"/>
      <c r="AM110" s="11"/>
      <c r="AN110" s="3" t="str" cm="1">
        <f t="array" ref="AN110">IF(OR(AA110:AM110="SI"),"Critico","No Critico")</f>
        <v>No Critico</v>
      </c>
    </row>
    <row r="111" spans="1:40" ht="15">
      <c r="A111" s="60">
        <f>Inicial!A111</f>
        <v>109</v>
      </c>
      <c r="B111" s="61">
        <f>Inicial!B111</f>
        <v>0</v>
      </c>
      <c r="C111" s="61">
        <f>Inicial!C111</f>
        <v>0</v>
      </c>
      <c r="D111" s="62">
        <f>Inicial!D111</f>
        <v>0</v>
      </c>
      <c r="E111" s="60" t="str">
        <f>IF(Inicial!M111="SI",Inicial!E111,"N/A")</f>
        <v>N/A</v>
      </c>
      <c r="F111" s="61" t="str">
        <f>IF(Inicial!M111="SI",Inicial!F111,"N/A")</f>
        <v>N/A</v>
      </c>
      <c r="G111" s="61" t="str">
        <f>IF(Inicial!M111="SI",Inicial!G111,"N/A")</f>
        <v>N/A</v>
      </c>
      <c r="H111" s="61" t="str">
        <f>IF(Inicial!M111="SI",Inicial!H111,"N/A")</f>
        <v>N/A</v>
      </c>
      <c r="I111" s="63" t="str">
        <f>IF(Inicial!M111="SI",Inicial!I111,"N/A")</f>
        <v>N/A</v>
      </c>
      <c r="J111" s="11"/>
      <c r="K111" s="11"/>
      <c r="L111" s="11"/>
      <c r="M111" s="11"/>
      <c r="N111" s="11"/>
      <c r="O111" s="11"/>
      <c r="P111" s="11"/>
      <c r="Q111" s="11"/>
      <c r="R111" s="11"/>
      <c r="S111" s="11"/>
      <c r="T111" s="11"/>
      <c r="U111" s="11"/>
      <c r="V111" s="11"/>
      <c r="W111" s="12" t="str" cm="1">
        <f t="array" ref="W111">IF(OR(M111:V111="NO"),"No aceptable","Aceptable")</f>
        <v>Aceptable</v>
      </c>
      <c r="X111" s="11"/>
      <c r="Y111" s="11"/>
      <c r="Z111" s="11"/>
      <c r="AA111" s="11"/>
      <c r="AB111" s="11"/>
      <c r="AC111" s="11"/>
      <c r="AD111" s="11"/>
      <c r="AE111" s="11"/>
      <c r="AF111" s="11"/>
      <c r="AG111" s="11"/>
      <c r="AH111" s="11"/>
      <c r="AI111" s="11"/>
      <c r="AJ111" s="11"/>
      <c r="AK111" s="11"/>
      <c r="AL111" s="11"/>
      <c r="AM111" s="11"/>
      <c r="AN111" s="3" t="str" cm="1">
        <f t="array" ref="AN111">IF(OR(AA111:AM111="SI"),"Critico","No Critico")</f>
        <v>No Critico</v>
      </c>
    </row>
    <row r="112" spans="1:40" ht="15">
      <c r="A112" s="60">
        <f>Inicial!A112</f>
        <v>110</v>
      </c>
      <c r="B112" s="61">
        <f>Inicial!B112</f>
        <v>0</v>
      </c>
      <c r="C112" s="61">
        <f>Inicial!C112</f>
        <v>0</v>
      </c>
      <c r="D112" s="62">
        <f>Inicial!D112</f>
        <v>0</v>
      </c>
      <c r="E112" s="60" t="str">
        <f>IF(Inicial!M112="SI",Inicial!E112,"N/A")</f>
        <v>N/A</v>
      </c>
      <c r="F112" s="61" t="str">
        <f>IF(Inicial!M112="SI",Inicial!F112,"N/A")</f>
        <v>N/A</v>
      </c>
      <c r="G112" s="61" t="str">
        <f>IF(Inicial!M112="SI",Inicial!G112,"N/A")</f>
        <v>N/A</v>
      </c>
      <c r="H112" s="61" t="str">
        <f>IF(Inicial!M112="SI",Inicial!H112,"N/A")</f>
        <v>N/A</v>
      </c>
      <c r="I112" s="63" t="str">
        <f>IF(Inicial!M112="SI",Inicial!I112,"N/A")</f>
        <v>N/A</v>
      </c>
      <c r="J112" s="11"/>
      <c r="K112" s="11"/>
      <c r="L112" s="11"/>
      <c r="M112" s="11"/>
      <c r="N112" s="11"/>
      <c r="O112" s="11"/>
      <c r="P112" s="11"/>
      <c r="Q112" s="11"/>
      <c r="R112" s="11"/>
      <c r="S112" s="11"/>
      <c r="T112" s="11"/>
      <c r="U112" s="11"/>
      <c r="V112" s="11"/>
      <c r="W112" s="12" t="str" cm="1">
        <f t="array" ref="W112">IF(OR(M112:V112="NO"),"No aceptable","Aceptable")</f>
        <v>Aceptable</v>
      </c>
      <c r="X112" s="11"/>
      <c r="Y112" s="11"/>
      <c r="Z112" s="11"/>
      <c r="AA112" s="11"/>
      <c r="AB112" s="11"/>
      <c r="AC112" s="11"/>
      <c r="AD112" s="11"/>
      <c r="AE112" s="11"/>
      <c r="AF112" s="11"/>
      <c r="AG112" s="11"/>
      <c r="AH112" s="11"/>
      <c r="AI112" s="11"/>
      <c r="AJ112" s="11"/>
      <c r="AK112" s="11"/>
      <c r="AL112" s="11"/>
      <c r="AM112" s="11"/>
      <c r="AN112" s="3" t="str" cm="1">
        <f t="array" ref="AN112">IF(OR(AA112:AM112="SI"),"Critico","No Critico")</f>
        <v>No Critico</v>
      </c>
    </row>
    <row r="113" spans="1:40" ht="15">
      <c r="A113" s="60">
        <f>Inicial!A113</f>
        <v>111</v>
      </c>
      <c r="B113" s="61">
        <f>Inicial!B113</f>
        <v>0</v>
      </c>
      <c r="C113" s="61">
        <f>Inicial!C113</f>
        <v>0</v>
      </c>
      <c r="D113" s="62">
        <f>Inicial!D113</f>
        <v>0</v>
      </c>
      <c r="E113" s="60" t="str">
        <f>IF(Inicial!M113="SI",Inicial!E113,"N/A")</f>
        <v>N/A</v>
      </c>
      <c r="F113" s="61" t="str">
        <f>IF(Inicial!M113="SI",Inicial!F113,"N/A")</f>
        <v>N/A</v>
      </c>
      <c r="G113" s="61" t="str">
        <f>IF(Inicial!M113="SI",Inicial!G113,"N/A")</f>
        <v>N/A</v>
      </c>
      <c r="H113" s="61" t="str">
        <f>IF(Inicial!M113="SI",Inicial!H113,"N/A")</f>
        <v>N/A</v>
      </c>
      <c r="I113" s="63" t="str">
        <f>IF(Inicial!M113="SI",Inicial!I113,"N/A")</f>
        <v>N/A</v>
      </c>
      <c r="J113" s="11"/>
      <c r="K113" s="11"/>
      <c r="L113" s="11"/>
      <c r="M113" s="11"/>
      <c r="N113" s="11"/>
      <c r="O113" s="11"/>
      <c r="P113" s="11"/>
      <c r="Q113" s="11"/>
      <c r="R113" s="11"/>
      <c r="S113" s="11"/>
      <c r="T113" s="11"/>
      <c r="U113" s="11"/>
      <c r="V113" s="11"/>
      <c r="W113" s="12" t="str" cm="1">
        <f t="array" ref="W113">IF(OR(M113:V113="NO"),"No aceptable","Aceptable")</f>
        <v>Aceptable</v>
      </c>
      <c r="X113" s="11"/>
      <c r="Y113" s="11"/>
      <c r="Z113" s="11"/>
      <c r="AA113" s="11"/>
      <c r="AB113" s="11"/>
      <c r="AC113" s="11"/>
      <c r="AD113" s="11"/>
      <c r="AE113" s="11"/>
      <c r="AF113" s="11"/>
      <c r="AG113" s="11"/>
      <c r="AH113" s="11"/>
      <c r="AI113" s="11"/>
      <c r="AJ113" s="11"/>
      <c r="AK113" s="11"/>
      <c r="AL113" s="11"/>
      <c r="AM113" s="11"/>
      <c r="AN113" s="3" t="str" cm="1">
        <f t="array" ref="AN113">IF(OR(AA113:AM113="SI"),"Critico","No Critico")</f>
        <v>No Critico</v>
      </c>
    </row>
    <row r="114" spans="1:40" ht="15">
      <c r="A114" s="60">
        <f>Inicial!A114</f>
        <v>112</v>
      </c>
      <c r="B114" s="61">
        <f>Inicial!B114</f>
        <v>0</v>
      </c>
      <c r="C114" s="61">
        <f>Inicial!C114</f>
        <v>0</v>
      </c>
      <c r="D114" s="62">
        <f>Inicial!D114</f>
        <v>0</v>
      </c>
      <c r="E114" s="60" t="str">
        <f>IF(Inicial!M114="SI",Inicial!E114,"N/A")</f>
        <v>N/A</v>
      </c>
      <c r="F114" s="61" t="str">
        <f>IF(Inicial!M114="SI",Inicial!F114,"N/A")</f>
        <v>N/A</v>
      </c>
      <c r="G114" s="61" t="str">
        <f>IF(Inicial!M114="SI",Inicial!G114,"N/A")</f>
        <v>N/A</v>
      </c>
      <c r="H114" s="61" t="str">
        <f>IF(Inicial!M114="SI",Inicial!H114,"N/A")</f>
        <v>N/A</v>
      </c>
      <c r="I114" s="63" t="str">
        <f>IF(Inicial!M114="SI",Inicial!I114,"N/A")</f>
        <v>N/A</v>
      </c>
      <c r="J114" s="11"/>
      <c r="K114" s="11"/>
      <c r="L114" s="11"/>
      <c r="M114" s="11"/>
      <c r="N114" s="11"/>
      <c r="O114" s="11"/>
      <c r="P114" s="11"/>
      <c r="Q114" s="11"/>
      <c r="R114" s="11"/>
      <c r="S114" s="11"/>
      <c r="T114" s="11"/>
      <c r="U114" s="11"/>
      <c r="V114" s="11"/>
      <c r="W114" s="12" t="str" cm="1">
        <f t="array" ref="W114">IF(OR(M114:V114="NO"),"No aceptable","Aceptable")</f>
        <v>Aceptable</v>
      </c>
      <c r="X114" s="11"/>
      <c r="Y114" s="11"/>
      <c r="Z114" s="11"/>
      <c r="AA114" s="11"/>
      <c r="AB114" s="11"/>
      <c r="AC114" s="11"/>
      <c r="AD114" s="11"/>
      <c r="AE114" s="11"/>
      <c r="AF114" s="11"/>
      <c r="AG114" s="11"/>
      <c r="AH114" s="11"/>
      <c r="AI114" s="11"/>
      <c r="AJ114" s="11"/>
      <c r="AK114" s="11"/>
      <c r="AL114" s="11"/>
      <c r="AM114" s="11"/>
      <c r="AN114" s="3" t="str" cm="1">
        <f t="array" ref="AN114">IF(OR(AA114:AM114="SI"),"Critico","No Critico")</f>
        <v>No Critico</v>
      </c>
    </row>
    <row r="115" spans="1:40" ht="15">
      <c r="A115" s="60">
        <f>Inicial!A115</f>
        <v>113</v>
      </c>
      <c r="B115" s="61">
        <f>Inicial!B115</f>
        <v>0</v>
      </c>
      <c r="C115" s="61">
        <f>Inicial!C115</f>
        <v>0</v>
      </c>
      <c r="D115" s="62">
        <f>Inicial!D115</f>
        <v>0</v>
      </c>
      <c r="E115" s="60" t="str">
        <f>IF(Inicial!M115="SI",Inicial!E115,"N/A")</f>
        <v>N/A</v>
      </c>
      <c r="F115" s="61" t="str">
        <f>IF(Inicial!M115="SI",Inicial!F115,"N/A")</f>
        <v>N/A</v>
      </c>
      <c r="G115" s="61" t="str">
        <f>IF(Inicial!M115="SI",Inicial!G115,"N/A")</f>
        <v>N/A</v>
      </c>
      <c r="H115" s="61" t="str">
        <f>IF(Inicial!M115="SI",Inicial!H115,"N/A")</f>
        <v>N/A</v>
      </c>
      <c r="I115" s="63" t="str">
        <f>IF(Inicial!M115="SI",Inicial!I115,"N/A")</f>
        <v>N/A</v>
      </c>
      <c r="J115" s="11"/>
      <c r="K115" s="11"/>
      <c r="L115" s="11"/>
      <c r="M115" s="11"/>
      <c r="N115" s="11"/>
      <c r="O115" s="11"/>
      <c r="P115" s="11"/>
      <c r="Q115" s="11"/>
      <c r="R115" s="11"/>
      <c r="S115" s="11"/>
      <c r="T115" s="11"/>
      <c r="U115" s="11"/>
      <c r="V115" s="11"/>
      <c r="W115" s="12" t="str" cm="1">
        <f t="array" ref="W115">IF(OR(M115:V115="NO"),"No aceptable","Aceptable")</f>
        <v>Aceptable</v>
      </c>
      <c r="X115" s="11"/>
      <c r="Y115" s="11"/>
      <c r="Z115" s="11"/>
      <c r="AA115" s="11"/>
      <c r="AB115" s="11"/>
      <c r="AC115" s="11"/>
      <c r="AD115" s="11"/>
      <c r="AE115" s="11"/>
      <c r="AF115" s="11"/>
      <c r="AG115" s="11"/>
      <c r="AH115" s="11"/>
      <c r="AI115" s="11"/>
      <c r="AJ115" s="11"/>
      <c r="AK115" s="11"/>
      <c r="AL115" s="11"/>
      <c r="AM115" s="11"/>
      <c r="AN115" s="3" t="str" cm="1">
        <f t="array" ref="AN115">IF(OR(AA115:AM115="SI"),"Critico","No Critico")</f>
        <v>No Critico</v>
      </c>
    </row>
    <row r="116" spans="1:40" ht="15">
      <c r="A116" s="60">
        <f>Inicial!A116</f>
        <v>114</v>
      </c>
      <c r="B116" s="61">
        <f>Inicial!B116</f>
        <v>0</v>
      </c>
      <c r="C116" s="61">
        <f>Inicial!C116</f>
        <v>0</v>
      </c>
      <c r="D116" s="62">
        <f>Inicial!D116</f>
        <v>0</v>
      </c>
      <c r="E116" s="60" t="str">
        <f>IF(Inicial!M116="SI",Inicial!E116,"N/A")</f>
        <v>N/A</v>
      </c>
      <c r="F116" s="61" t="str">
        <f>IF(Inicial!M116="SI",Inicial!F116,"N/A")</f>
        <v>N/A</v>
      </c>
      <c r="G116" s="61" t="str">
        <f>IF(Inicial!M116="SI",Inicial!G116,"N/A")</f>
        <v>N/A</v>
      </c>
      <c r="H116" s="61" t="str">
        <f>IF(Inicial!M116="SI",Inicial!H116,"N/A")</f>
        <v>N/A</v>
      </c>
      <c r="I116" s="63" t="str">
        <f>IF(Inicial!M116="SI",Inicial!I116,"N/A")</f>
        <v>N/A</v>
      </c>
      <c r="J116" s="11"/>
      <c r="K116" s="11"/>
      <c r="L116" s="11"/>
      <c r="M116" s="11"/>
      <c r="N116" s="11"/>
      <c r="O116" s="11"/>
      <c r="P116" s="11"/>
      <c r="Q116" s="11"/>
      <c r="R116" s="11"/>
      <c r="S116" s="11"/>
      <c r="T116" s="11"/>
      <c r="U116" s="11"/>
      <c r="V116" s="11"/>
      <c r="W116" s="12" t="str" cm="1">
        <f t="array" ref="W116">IF(OR(M116:V116="NO"),"No aceptable","Aceptable")</f>
        <v>Aceptable</v>
      </c>
      <c r="X116" s="11"/>
      <c r="Y116" s="11"/>
      <c r="Z116" s="11"/>
      <c r="AA116" s="11"/>
      <c r="AB116" s="11"/>
      <c r="AC116" s="11"/>
      <c r="AD116" s="11"/>
      <c r="AE116" s="11"/>
      <c r="AF116" s="11"/>
      <c r="AG116" s="11"/>
      <c r="AH116" s="11"/>
      <c r="AI116" s="11"/>
      <c r="AJ116" s="11"/>
      <c r="AK116" s="11"/>
      <c r="AL116" s="11"/>
      <c r="AM116" s="11"/>
      <c r="AN116" s="3" t="str" cm="1">
        <f t="array" ref="AN116">IF(OR(AA116:AM116="SI"),"Critico","No Critico")</f>
        <v>No Critico</v>
      </c>
    </row>
    <row r="117" spans="1:40" ht="15">
      <c r="A117" s="60">
        <f>Inicial!A117</f>
        <v>115</v>
      </c>
      <c r="B117" s="61">
        <f>Inicial!B117</f>
        <v>0</v>
      </c>
      <c r="C117" s="61">
        <f>Inicial!C117</f>
        <v>0</v>
      </c>
      <c r="D117" s="62">
        <f>Inicial!D117</f>
        <v>0</v>
      </c>
      <c r="E117" s="60" t="str">
        <f>IF(Inicial!M117="SI",Inicial!E117,"N/A")</f>
        <v>N/A</v>
      </c>
      <c r="F117" s="61" t="str">
        <f>IF(Inicial!M117="SI",Inicial!F117,"N/A")</f>
        <v>N/A</v>
      </c>
      <c r="G117" s="61" t="str">
        <f>IF(Inicial!M117="SI",Inicial!G117,"N/A")</f>
        <v>N/A</v>
      </c>
      <c r="H117" s="61" t="str">
        <f>IF(Inicial!M117="SI",Inicial!H117,"N/A")</f>
        <v>N/A</v>
      </c>
      <c r="I117" s="63" t="str">
        <f>IF(Inicial!M117="SI",Inicial!I117,"N/A")</f>
        <v>N/A</v>
      </c>
      <c r="J117" s="11"/>
      <c r="K117" s="11"/>
      <c r="L117" s="11"/>
      <c r="M117" s="11"/>
      <c r="N117" s="11"/>
      <c r="O117" s="11"/>
      <c r="P117" s="11"/>
      <c r="Q117" s="11"/>
      <c r="R117" s="11"/>
      <c r="S117" s="11"/>
      <c r="T117" s="11"/>
      <c r="U117" s="11"/>
      <c r="V117" s="11"/>
      <c r="W117" s="12" t="str" cm="1">
        <f t="array" ref="W117">IF(OR(M117:V117="NO"),"No aceptable","Aceptable")</f>
        <v>Aceptable</v>
      </c>
      <c r="X117" s="11"/>
      <c r="Y117" s="11"/>
      <c r="Z117" s="11"/>
      <c r="AA117" s="11"/>
      <c r="AB117" s="11"/>
      <c r="AC117" s="11"/>
      <c r="AD117" s="11"/>
      <c r="AE117" s="11"/>
      <c r="AF117" s="11"/>
      <c r="AG117" s="11"/>
      <c r="AH117" s="11"/>
      <c r="AI117" s="11"/>
      <c r="AJ117" s="11"/>
      <c r="AK117" s="11"/>
      <c r="AL117" s="11"/>
      <c r="AM117" s="11"/>
      <c r="AN117" s="3" t="str" cm="1">
        <f t="array" ref="AN117">IF(OR(AA117:AM117="SI"),"Critico","No Critico")</f>
        <v>No Critico</v>
      </c>
    </row>
    <row r="118" spans="1:40" ht="15">
      <c r="A118" s="60">
        <f>Inicial!A118</f>
        <v>116</v>
      </c>
      <c r="B118" s="61">
        <f>Inicial!B118</f>
        <v>0</v>
      </c>
      <c r="C118" s="61">
        <f>Inicial!C118</f>
        <v>0</v>
      </c>
      <c r="D118" s="62">
        <f>Inicial!D118</f>
        <v>0</v>
      </c>
      <c r="E118" s="60" t="str">
        <f>IF(Inicial!M118="SI",Inicial!E118,"N/A")</f>
        <v>N/A</v>
      </c>
      <c r="F118" s="61" t="str">
        <f>IF(Inicial!M118="SI",Inicial!F118,"N/A")</f>
        <v>N/A</v>
      </c>
      <c r="G118" s="61" t="str">
        <f>IF(Inicial!M118="SI",Inicial!G118,"N/A")</f>
        <v>N/A</v>
      </c>
      <c r="H118" s="61" t="str">
        <f>IF(Inicial!M118="SI",Inicial!H118,"N/A")</f>
        <v>N/A</v>
      </c>
      <c r="I118" s="63" t="str">
        <f>IF(Inicial!M118="SI",Inicial!I118,"N/A")</f>
        <v>N/A</v>
      </c>
      <c r="J118" s="11"/>
      <c r="K118" s="11"/>
      <c r="L118" s="11"/>
      <c r="M118" s="11"/>
      <c r="N118" s="11"/>
      <c r="O118" s="11"/>
      <c r="P118" s="11"/>
      <c r="Q118" s="11"/>
      <c r="R118" s="11"/>
      <c r="S118" s="11"/>
      <c r="T118" s="11"/>
      <c r="U118" s="11"/>
      <c r="V118" s="11"/>
      <c r="W118" s="12" t="str" cm="1">
        <f t="array" ref="W118">IF(OR(M118:V118="NO"),"No aceptable","Aceptable")</f>
        <v>Aceptable</v>
      </c>
      <c r="X118" s="11"/>
      <c r="Y118" s="11"/>
      <c r="Z118" s="11"/>
      <c r="AA118" s="11"/>
      <c r="AB118" s="11"/>
      <c r="AC118" s="11"/>
      <c r="AD118" s="11"/>
      <c r="AE118" s="11"/>
      <c r="AF118" s="11"/>
      <c r="AG118" s="11"/>
      <c r="AH118" s="11"/>
      <c r="AI118" s="11"/>
      <c r="AJ118" s="11"/>
      <c r="AK118" s="11"/>
      <c r="AL118" s="11"/>
      <c r="AM118" s="11"/>
      <c r="AN118" s="3" t="str" cm="1">
        <f t="array" ref="AN118">IF(OR(AA118:AM118="SI"),"Critico","No Critico")</f>
        <v>No Critico</v>
      </c>
    </row>
    <row r="119" spans="1:40" ht="15">
      <c r="A119" s="60">
        <f>Inicial!A119</f>
        <v>117</v>
      </c>
      <c r="B119" s="61">
        <f>Inicial!B119</f>
        <v>0</v>
      </c>
      <c r="C119" s="61">
        <f>Inicial!C119</f>
        <v>0</v>
      </c>
      <c r="D119" s="62">
        <f>Inicial!D119</f>
        <v>0</v>
      </c>
      <c r="E119" s="60" t="str">
        <f>IF(Inicial!M119="SI",Inicial!E119,"N/A")</f>
        <v>N/A</v>
      </c>
      <c r="F119" s="61" t="str">
        <f>IF(Inicial!M119="SI",Inicial!F119,"N/A")</f>
        <v>N/A</v>
      </c>
      <c r="G119" s="61" t="str">
        <f>IF(Inicial!M119="SI",Inicial!G119,"N/A")</f>
        <v>N/A</v>
      </c>
      <c r="H119" s="61" t="str">
        <f>IF(Inicial!M119="SI",Inicial!H119,"N/A")</f>
        <v>N/A</v>
      </c>
      <c r="I119" s="63" t="str">
        <f>IF(Inicial!M119="SI",Inicial!I119,"N/A")</f>
        <v>N/A</v>
      </c>
      <c r="J119" s="11"/>
      <c r="K119" s="11"/>
      <c r="L119" s="11"/>
      <c r="M119" s="11"/>
      <c r="N119" s="11"/>
      <c r="O119" s="11"/>
      <c r="P119" s="11"/>
      <c r="Q119" s="11"/>
      <c r="R119" s="11"/>
      <c r="S119" s="11"/>
      <c r="T119" s="11"/>
      <c r="U119" s="11"/>
      <c r="V119" s="11"/>
      <c r="W119" s="12" t="str" cm="1">
        <f t="array" ref="W119">IF(OR(M119:V119="NO"),"No aceptable","Aceptable")</f>
        <v>Aceptable</v>
      </c>
      <c r="X119" s="11"/>
      <c r="Y119" s="11"/>
      <c r="Z119" s="11"/>
      <c r="AA119" s="11"/>
      <c r="AB119" s="11"/>
      <c r="AC119" s="11"/>
      <c r="AD119" s="11"/>
      <c r="AE119" s="11"/>
      <c r="AF119" s="11"/>
      <c r="AG119" s="11"/>
      <c r="AH119" s="11"/>
      <c r="AI119" s="11"/>
      <c r="AJ119" s="11"/>
      <c r="AK119" s="11"/>
      <c r="AL119" s="11"/>
      <c r="AM119" s="11"/>
      <c r="AN119" s="3" t="str" cm="1">
        <f t="array" ref="AN119">IF(OR(AA119:AM119="SI"),"Critico","No Critico")</f>
        <v>No Critico</v>
      </c>
    </row>
    <row r="120" spans="1:40" ht="15">
      <c r="A120" s="60">
        <f>Inicial!A120</f>
        <v>118</v>
      </c>
      <c r="B120" s="61">
        <f>Inicial!B120</f>
        <v>0</v>
      </c>
      <c r="C120" s="61">
        <f>Inicial!C120</f>
        <v>0</v>
      </c>
      <c r="D120" s="62">
        <f>Inicial!D120</f>
        <v>0</v>
      </c>
      <c r="E120" s="60" t="str">
        <f>IF(Inicial!M120="SI",Inicial!E120,"N/A")</f>
        <v>N/A</v>
      </c>
      <c r="F120" s="61" t="str">
        <f>IF(Inicial!M120="SI",Inicial!F120,"N/A")</f>
        <v>N/A</v>
      </c>
      <c r="G120" s="61" t="str">
        <f>IF(Inicial!M120="SI",Inicial!G120,"N/A")</f>
        <v>N/A</v>
      </c>
      <c r="H120" s="61" t="str">
        <f>IF(Inicial!M120="SI",Inicial!H120,"N/A")</f>
        <v>N/A</v>
      </c>
      <c r="I120" s="63" t="str">
        <f>IF(Inicial!M120="SI",Inicial!I120,"N/A")</f>
        <v>N/A</v>
      </c>
      <c r="J120" s="11"/>
      <c r="K120" s="11"/>
      <c r="L120" s="11"/>
      <c r="M120" s="11"/>
      <c r="N120" s="11"/>
      <c r="O120" s="11"/>
      <c r="P120" s="11"/>
      <c r="Q120" s="11"/>
      <c r="R120" s="11"/>
      <c r="S120" s="11"/>
      <c r="T120" s="11"/>
      <c r="U120" s="11"/>
      <c r="V120" s="11"/>
      <c r="W120" s="12" t="str" cm="1">
        <f t="array" ref="W120">IF(OR(M120:V120="NO"),"No aceptable","Aceptable")</f>
        <v>Aceptable</v>
      </c>
      <c r="X120" s="11"/>
      <c r="Y120" s="11"/>
      <c r="Z120" s="11"/>
      <c r="AA120" s="11"/>
      <c r="AB120" s="11"/>
      <c r="AC120" s="11"/>
      <c r="AD120" s="11"/>
      <c r="AE120" s="11"/>
      <c r="AF120" s="11"/>
      <c r="AG120" s="11"/>
      <c r="AH120" s="11"/>
      <c r="AI120" s="11"/>
      <c r="AJ120" s="11"/>
      <c r="AK120" s="11"/>
      <c r="AL120" s="11"/>
      <c r="AM120" s="11"/>
      <c r="AN120" s="3" t="str" cm="1">
        <f t="array" ref="AN120">IF(OR(AA120:AM120="SI"),"Critico","No Critico")</f>
        <v>No Critico</v>
      </c>
    </row>
    <row r="121" spans="1:40" ht="15">
      <c r="A121" s="60">
        <f>Inicial!A121</f>
        <v>119</v>
      </c>
      <c r="B121" s="61">
        <f>Inicial!B121</f>
        <v>0</v>
      </c>
      <c r="C121" s="61">
        <f>Inicial!C121</f>
        <v>0</v>
      </c>
      <c r="D121" s="62">
        <f>Inicial!D121</f>
        <v>0</v>
      </c>
      <c r="E121" s="60" t="str">
        <f>IF(Inicial!M121="SI",Inicial!E121,"N/A")</f>
        <v>N/A</v>
      </c>
      <c r="F121" s="61" t="str">
        <f>IF(Inicial!M121="SI",Inicial!F121,"N/A")</f>
        <v>N/A</v>
      </c>
      <c r="G121" s="61" t="str">
        <f>IF(Inicial!M121="SI",Inicial!G121,"N/A")</f>
        <v>N/A</v>
      </c>
      <c r="H121" s="61" t="str">
        <f>IF(Inicial!M121="SI",Inicial!H121,"N/A")</f>
        <v>N/A</v>
      </c>
      <c r="I121" s="63" t="str">
        <f>IF(Inicial!M121="SI",Inicial!I121,"N/A")</f>
        <v>N/A</v>
      </c>
      <c r="J121" s="11"/>
      <c r="K121" s="11"/>
      <c r="L121" s="11"/>
      <c r="M121" s="11"/>
      <c r="N121" s="11"/>
      <c r="O121" s="11"/>
      <c r="P121" s="11"/>
      <c r="Q121" s="11"/>
      <c r="R121" s="11"/>
      <c r="S121" s="11"/>
      <c r="T121" s="11"/>
      <c r="U121" s="11"/>
      <c r="V121" s="11"/>
      <c r="W121" s="12" t="str" cm="1">
        <f t="array" ref="W121">IF(OR(M121:V121="NO"),"No aceptable","Aceptable")</f>
        <v>Aceptable</v>
      </c>
      <c r="X121" s="11"/>
      <c r="Y121" s="11"/>
      <c r="Z121" s="11"/>
      <c r="AA121" s="11"/>
      <c r="AB121" s="11"/>
      <c r="AC121" s="11"/>
      <c r="AD121" s="11"/>
      <c r="AE121" s="11"/>
      <c r="AF121" s="11"/>
      <c r="AG121" s="11"/>
      <c r="AH121" s="11"/>
      <c r="AI121" s="11"/>
      <c r="AJ121" s="11"/>
      <c r="AK121" s="11"/>
      <c r="AL121" s="11"/>
      <c r="AM121" s="11"/>
      <c r="AN121" s="3" t="str" cm="1">
        <f t="array" ref="AN121">IF(OR(AA121:AM121="SI"),"Critico","No Critico")</f>
        <v>No Critico</v>
      </c>
    </row>
    <row r="122" spans="1:40" ht="15">
      <c r="A122" s="60">
        <f>Inicial!A122</f>
        <v>120</v>
      </c>
      <c r="B122" s="61">
        <f>Inicial!B122</f>
        <v>0</v>
      </c>
      <c r="C122" s="61">
        <f>Inicial!C122</f>
        <v>0</v>
      </c>
      <c r="D122" s="62">
        <f>Inicial!D122</f>
        <v>0</v>
      </c>
      <c r="E122" s="60" t="str">
        <f>IF(Inicial!M122="SI",Inicial!E122,"N/A")</f>
        <v>N/A</v>
      </c>
      <c r="F122" s="61" t="str">
        <f>IF(Inicial!M122="SI",Inicial!F122,"N/A")</f>
        <v>N/A</v>
      </c>
      <c r="G122" s="61" t="str">
        <f>IF(Inicial!M122="SI",Inicial!G122,"N/A")</f>
        <v>N/A</v>
      </c>
      <c r="H122" s="61" t="str">
        <f>IF(Inicial!M122="SI",Inicial!H122,"N/A")</f>
        <v>N/A</v>
      </c>
      <c r="I122" s="63" t="str">
        <f>IF(Inicial!M122="SI",Inicial!I122,"N/A")</f>
        <v>N/A</v>
      </c>
      <c r="J122" s="11"/>
      <c r="K122" s="11"/>
      <c r="L122" s="11"/>
      <c r="M122" s="11"/>
      <c r="N122" s="11"/>
      <c r="O122" s="11"/>
      <c r="P122" s="11"/>
      <c r="Q122" s="11"/>
      <c r="R122" s="11"/>
      <c r="S122" s="11"/>
      <c r="T122" s="11"/>
      <c r="U122" s="11"/>
      <c r="V122" s="11"/>
      <c r="W122" s="12" t="str" cm="1">
        <f t="array" ref="W122">IF(OR(M122:V122="NO"),"No aceptable","Aceptable")</f>
        <v>Aceptable</v>
      </c>
      <c r="X122" s="11"/>
      <c r="Y122" s="11"/>
      <c r="Z122" s="11"/>
      <c r="AA122" s="11"/>
      <c r="AB122" s="11"/>
      <c r="AC122" s="11"/>
      <c r="AD122" s="11"/>
      <c r="AE122" s="11"/>
      <c r="AF122" s="11"/>
      <c r="AG122" s="11"/>
      <c r="AH122" s="11"/>
      <c r="AI122" s="11"/>
      <c r="AJ122" s="11"/>
      <c r="AK122" s="11"/>
      <c r="AL122" s="11"/>
      <c r="AM122" s="11"/>
      <c r="AN122" s="3" t="str" cm="1">
        <f t="array" ref="AN122">IF(OR(AA122:AM122="SI"),"Critico","No Critico")</f>
        <v>No Critico</v>
      </c>
    </row>
    <row r="123" spans="1:40" ht="15">
      <c r="A123" s="60">
        <f>Inicial!A123</f>
        <v>121</v>
      </c>
      <c r="B123" s="61">
        <f>Inicial!B123</f>
        <v>0</v>
      </c>
      <c r="C123" s="61">
        <f>Inicial!C123</f>
        <v>0</v>
      </c>
      <c r="D123" s="62">
        <f>Inicial!D123</f>
        <v>0</v>
      </c>
      <c r="E123" s="60" t="str">
        <f>IF(Inicial!M123="SI",Inicial!E123,"N/A")</f>
        <v>N/A</v>
      </c>
      <c r="F123" s="61" t="str">
        <f>IF(Inicial!M123="SI",Inicial!F123,"N/A")</f>
        <v>N/A</v>
      </c>
      <c r="G123" s="61" t="str">
        <f>IF(Inicial!M123="SI",Inicial!G123,"N/A")</f>
        <v>N/A</v>
      </c>
      <c r="H123" s="61" t="str">
        <f>IF(Inicial!M123="SI",Inicial!H123,"N/A")</f>
        <v>N/A</v>
      </c>
      <c r="I123" s="63" t="str">
        <f>IF(Inicial!M123="SI",Inicial!I123,"N/A")</f>
        <v>N/A</v>
      </c>
      <c r="J123" s="11"/>
      <c r="K123" s="11"/>
      <c r="L123" s="11"/>
      <c r="M123" s="11"/>
      <c r="N123" s="11"/>
      <c r="O123" s="11"/>
      <c r="P123" s="11"/>
      <c r="Q123" s="11"/>
      <c r="R123" s="11"/>
      <c r="S123" s="11"/>
      <c r="T123" s="11"/>
      <c r="U123" s="11"/>
      <c r="V123" s="11"/>
      <c r="W123" s="12" t="str" cm="1">
        <f t="array" ref="W123">IF(OR(M123:V123="NO"),"No aceptable","Aceptable")</f>
        <v>Aceptable</v>
      </c>
      <c r="X123" s="11"/>
      <c r="Y123" s="11"/>
      <c r="Z123" s="11"/>
      <c r="AA123" s="11"/>
      <c r="AB123" s="11"/>
      <c r="AC123" s="11"/>
      <c r="AD123" s="11"/>
      <c r="AE123" s="11"/>
      <c r="AF123" s="11"/>
      <c r="AG123" s="11"/>
      <c r="AH123" s="11"/>
      <c r="AI123" s="11"/>
      <c r="AJ123" s="11"/>
      <c r="AK123" s="11"/>
      <c r="AL123" s="11"/>
      <c r="AM123" s="11"/>
      <c r="AN123" s="3" t="str" cm="1">
        <f t="array" ref="AN123">IF(OR(AA123:AM123="SI"),"Critico","No Critico")</f>
        <v>No Critico</v>
      </c>
    </row>
    <row r="124" spans="1:40" ht="15">
      <c r="A124" s="60">
        <f>Inicial!A124</f>
        <v>122</v>
      </c>
      <c r="B124" s="61">
        <f>Inicial!B124</f>
        <v>0</v>
      </c>
      <c r="C124" s="61">
        <f>Inicial!C124</f>
        <v>0</v>
      </c>
      <c r="D124" s="62">
        <f>Inicial!D124</f>
        <v>0</v>
      </c>
      <c r="E124" s="60" t="str">
        <f>IF(Inicial!M124="SI",Inicial!E124,"N/A")</f>
        <v>N/A</v>
      </c>
      <c r="F124" s="61" t="str">
        <f>IF(Inicial!M124="SI",Inicial!F124,"N/A")</f>
        <v>N/A</v>
      </c>
      <c r="G124" s="61" t="str">
        <f>IF(Inicial!M124="SI",Inicial!G124,"N/A")</f>
        <v>N/A</v>
      </c>
      <c r="H124" s="61" t="str">
        <f>IF(Inicial!M124="SI",Inicial!H124,"N/A")</f>
        <v>N/A</v>
      </c>
      <c r="I124" s="63" t="str">
        <f>IF(Inicial!M124="SI",Inicial!I124,"N/A")</f>
        <v>N/A</v>
      </c>
      <c r="J124" s="11"/>
      <c r="K124" s="11"/>
      <c r="L124" s="11"/>
      <c r="M124" s="11"/>
      <c r="N124" s="11"/>
      <c r="O124" s="11"/>
      <c r="P124" s="11"/>
      <c r="Q124" s="11"/>
      <c r="R124" s="11"/>
      <c r="S124" s="11"/>
      <c r="T124" s="11"/>
      <c r="U124" s="11"/>
      <c r="V124" s="11"/>
      <c r="W124" s="12" t="str" cm="1">
        <f t="array" ref="W124">IF(OR(M124:V124="NO"),"No aceptable","Aceptable")</f>
        <v>Aceptable</v>
      </c>
      <c r="X124" s="11"/>
      <c r="Y124" s="11"/>
      <c r="Z124" s="11"/>
      <c r="AA124" s="11"/>
      <c r="AB124" s="11"/>
      <c r="AC124" s="11"/>
      <c r="AD124" s="11"/>
      <c r="AE124" s="11"/>
      <c r="AF124" s="11"/>
      <c r="AG124" s="11"/>
      <c r="AH124" s="11"/>
      <c r="AI124" s="11"/>
      <c r="AJ124" s="11"/>
      <c r="AK124" s="11"/>
      <c r="AL124" s="11"/>
      <c r="AM124" s="11"/>
      <c r="AN124" s="3" t="str" cm="1">
        <f t="array" ref="AN124">IF(OR(AA124:AM124="SI"),"Critico","No Critico")</f>
        <v>No Critico</v>
      </c>
    </row>
    <row r="125" spans="1:40" ht="15">
      <c r="A125" s="60">
        <f>Inicial!A125</f>
        <v>123</v>
      </c>
      <c r="B125" s="61">
        <f>Inicial!B125</f>
        <v>0</v>
      </c>
      <c r="C125" s="61">
        <f>Inicial!C125</f>
        <v>0</v>
      </c>
      <c r="D125" s="62">
        <f>Inicial!D125</f>
        <v>0</v>
      </c>
      <c r="E125" s="60" t="str">
        <f>IF(Inicial!M125="SI",Inicial!E125,"N/A")</f>
        <v>N/A</v>
      </c>
      <c r="F125" s="61" t="str">
        <f>IF(Inicial!M125="SI",Inicial!F125,"N/A")</f>
        <v>N/A</v>
      </c>
      <c r="G125" s="61" t="str">
        <f>IF(Inicial!M125="SI",Inicial!G125,"N/A")</f>
        <v>N/A</v>
      </c>
      <c r="H125" s="61" t="str">
        <f>IF(Inicial!M125="SI",Inicial!H125,"N/A")</f>
        <v>N/A</v>
      </c>
      <c r="I125" s="63" t="str">
        <f>IF(Inicial!M125="SI",Inicial!I125,"N/A")</f>
        <v>N/A</v>
      </c>
      <c r="J125" s="11"/>
      <c r="K125" s="11"/>
      <c r="L125" s="11"/>
      <c r="M125" s="11"/>
      <c r="N125" s="11"/>
      <c r="O125" s="11"/>
      <c r="P125" s="11"/>
      <c r="Q125" s="11"/>
      <c r="R125" s="11"/>
      <c r="S125" s="11"/>
      <c r="T125" s="11"/>
      <c r="U125" s="11"/>
      <c r="V125" s="11"/>
      <c r="W125" s="12" t="str" cm="1">
        <f t="array" ref="W125">IF(OR(M125:V125="NO"),"No aceptable","Aceptable")</f>
        <v>Aceptable</v>
      </c>
      <c r="X125" s="11"/>
      <c r="Y125" s="11"/>
      <c r="Z125" s="11"/>
      <c r="AA125" s="11"/>
      <c r="AB125" s="11"/>
      <c r="AC125" s="11"/>
      <c r="AD125" s="11"/>
      <c r="AE125" s="11"/>
      <c r="AF125" s="11"/>
      <c r="AG125" s="11"/>
      <c r="AH125" s="11"/>
      <c r="AI125" s="11"/>
      <c r="AJ125" s="11"/>
      <c r="AK125" s="11"/>
      <c r="AL125" s="11"/>
      <c r="AM125" s="11"/>
      <c r="AN125" s="3" t="str" cm="1">
        <f t="array" ref="AN125">IF(OR(AA125:AM125="SI"),"Critico","No Critico")</f>
        <v>No Critico</v>
      </c>
    </row>
    <row r="126" spans="1:40" ht="15">
      <c r="A126" s="60">
        <f>Inicial!A126</f>
        <v>124</v>
      </c>
      <c r="B126" s="61">
        <f>Inicial!B126</f>
        <v>0</v>
      </c>
      <c r="C126" s="61">
        <f>Inicial!C126</f>
        <v>0</v>
      </c>
      <c r="D126" s="62">
        <f>Inicial!D126</f>
        <v>0</v>
      </c>
      <c r="E126" s="60" t="str">
        <f>IF(Inicial!M126="SI",Inicial!E126,"N/A")</f>
        <v>N/A</v>
      </c>
      <c r="F126" s="61" t="str">
        <f>IF(Inicial!M126="SI",Inicial!F126,"N/A")</f>
        <v>N/A</v>
      </c>
      <c r="G126" s="61" t="str">
        <f>IF(Inicial!M126="SI",Inicial!G126,"N/A")</f>
        <v>N/A</v>
      </c>
      <c r="H126" s="61" t="str">
        <f>IF(Inicial!M126="SI",Inicial!H126,"N/A")</f>
        <v>N/A</v>
      </c>
      <c r="I126" s="63" t="str">
        <f>IF(Inicial!M126="SI",Inicial!I126,"N/A")</f>
        <v>N/A</v>
      </c>
      <c r="J126" s="11"/>
      <c r="K126" s="11"/>
      <c r="L126" s="11"/>
      <c r="M126" s="11"/>
      <c r="N126" s="11"/>
      <c r="O126" s="11"/>
      <c r="P126" s="11"/>
      <c r="Q126" s="11"/>
      <c r="R126" s="11"/>
      <c r="S126" s="11"/>
      <c r="T126" s="11"/>
      <c r="U126" s="11"/>
      <c r="V126" s="11"/>
      <c r="W126" s="12" t="str" cm="1">
        <f t="array" ref="W126">IF(OR(M126:V126="NO"),"No aceptable","Aceptable")</f>
        <v>Aceptable</v>
      </c>
      <c r="X126" s="11"/>
      <c r="Y126" s="11"/>
      <c r="Z126" s="11"/>
      <c r="AA126" s="11"/>
      <c r="AB126" s="11"/>
      <c r="AC126" s="11"/>
      <c r="AD126" s="11"/>
      <c r="AE126" s="11"/>
      <c r="AF126" s="11"/>
      <c r="AG126" s="11"/>
      <c r="AH126" s="11"/>
      <c r="AI126" s="11"/>
      <c r="AJ126" s="11"/>
      <c r="AK126" s="11"/>
      <c r="AL126" s="11"/>
      <c r="AM126" s="11"/>
      <c r="AN126" s="3" t="str" cm="1">
        <f t="array" ref="AN126">IF(OR(AA126:AM126="SI"),"Critico","No Critico")</f>
        <v>No Critico</v>
      </c>
    </row>
    <row r="127" spans="1:40" ht="15">
      <c r="A127" s="60">
        <f>Inicial!A127</f>
        <v>125</v>
      </c>
      <c r="B127" s="61">
        <f>Inicial!B127</f>
        <v>0</v>
      </c>
      <c r="C127" s="61">
        <f>Inicial!C127</f>
        <v>0</v>
      </c>
      <c r="D127" s="62">
        <f>Inicial!D127</f>
        <v>0</v>
      </c>
      <c r="E127" s="60" t="str">
        <f>IF(Inicial!M127="SI",Inicial!E127,"N/A")</f>
        <v>N/A</v>
      </c>
      <c r="F127" s="61" t="str">
        <f>IF(Inicial!M127="SI",Inicial!F127,"N/A")</f>
        <v>N/A</v>
      </c>
      <c r="G127" s="61" t="str">
        <f>IF(Inicial!M127="SI",Inicial!G127,"N/A")</f>
        <v>N/A</v>
      </c>
      <c r="H127" s="61" t="str">
        <f>IF(Inicial!M127="SI",Inicial!H127,"N/A")</f>
        <v>N/A</v>
      </c>
      <c r="I127" s="63" t="str">
        <f>IF(Inicial!M127="SI",Inicial!I127,"N/A")</f>
        <v>N/A</v>
      </c>
      <c r="J127" s="11"/>
      <c r="K127" s="11"/>
      <c r="L127" s="11"/>
      <c r="M127" s="11"/>
      <c r="N127" s="11"/>
      <c r="O127" s="11"/>
      <c r="P127" s="11"/>
      <c r="Q127" s="11"/>
      <c r="R127" s="11"/>
      <c r="S127" s="11"/>
      <c r="T127" s="11"/>
      <c r="U127" s="11"/>
      <c r="V127" s="11"/>
      <c r="W127" s="12" t="str" cm="1">
        <f t="array" ref="W127">IF(OR(M127:V127="NO"),"No aceptable","Aceptable")</f>
        <v>Aceptable</v>
      </c>
      <c r="X127" s="11"/>
      <c r="Y127" s="11"/>
      <c r="Z127" s="11"/>
      <c r="AA127" s="11"/>
      <c r="AB127" s="11"/>
      <c r="AC127" s="11"/>
      <c r="AD127" s="11"/>
      <c r="AE127" s="11"/>
      <c r="AF127" s="11"/>
      <c r="AG127" s="11"/>
      <c r="AH127" s="11"/>
      <c r="AI127" s="11"/>
      <c r="AJ127" s="11"/>
      <c r="AK127" s="11"/>
      <c r="AL127" s="11"/>
      <c r="AM127" s="11"/>
      <c r="AN127" s="3" t="str" cm="1">
        <f t="array" ref="AN127">IF(OR(AA127:AM127="SI"),"Critico","No Critico")</f>
        <v>No Critico</v>
      </c>
    </row>
    <row r="128" spans="1:40" ht="15">
      <c r="A128" s="60">
        <f>Inicial!A128</f>
        <v>126</v>
      </c>
      <c r="B128" s="61">
        <f>Inicial!B128</f>
        <v>0</v>
      </c>
      <c r="C128" s="61">
        <f>Inicial!C128</f>
        <v>0</v>
      </c>
      <c r="D128" s="62">
        <f>Inicial!D128</f>
        <v>0</v>
      </c>
      <c r="E128" s="60" t="str">
        <f>IF(Inicial!M128="SI",Inicial!E128,"N/A")</f>
        <v>N/A</v>
      </c>
      <c r="F128" s="61" t="str">
        <f>IF(Inicial!M128="SI",Inicial!F128,"N/A")</f>
        <v>N/A</v>
      </c>
      <c r="G128" s="61" t="str">
        <f>IF(Inicial!M128="SI",Inicial!G128,"N/A")</f>
        <v>N/A</v>
      </c>
      <c r="H128" s="61" t="str">
        <f>IF(Inicial!M128="SI",Inicial!H128,"N/A")</f>
        <v>N/A</v>
      </c>
      <c r="I128" s="63" t="str">
        <f>IF(Inicial!M128="SI",Inicial!I128,"N/A")</f>
        <v>N/A</v>
      </c>
      <c r="J128" s="11"/>
      <c r="K128" s="11"/>
      <c r="L128" s="11"/>
      <c r="M128" s="11"/>
      <c r="N128" s="11"/>
      <c r="O128" s="11"/>
      <c r="P128" s="11"/>
      <c r="Q128" s="11"/>
      <c r="R128" s="11"/>
      <c r="S128" s="11"/>
      <c r="T128" s="11"/>
      <c r="U128" s="11"/>
      <c r="V128" s="11"/>
      <c r="W128" s="12" t="str" cm="1">
        <f t="array" ref="W128">IF(OR(M128:V128="NO"),"No aceptable","Aceptable")</f>
        <v>Aceptable</v>
      </c>
      <c r="X128" s="11"/>
      <c r="Y128" s="11"/>
      <c r="Z128" s="11"/>
      <c r="AA128" s="11"/>
      <c r="AB128" s="11"/>
      <c r="AC128" s="11"/>
      <c r="AD128" s="11"/>
      <c r="AE128" s="11"/>
      <c r="AF128" s="11"/>
      <c r="AG128" s="11"/>
      <c r="AH128" s="11"/>
      <c r="AI128" s="11"/>
      <c r="AJ128" s="11"/>
      <c r="AK128" s="11"/>
      <c r="AL128" s="11"/>
      <c r="AM128" s="11"/>
      <c r="AN128" s="3" t="str" cm="1">
        <f t="array" ref="AN128">IF(OR(AA128:AM128="SI"),"Critico","No Critico")</f>
        <v>No Critico</v>
      </c>
    </row>
    <row r="129" spans="1:40" ht="15">
      <c r="A129" s="60">
        <f>Inicial!A129</f>
        <v>127</v>
      </c>
      <c r="B129" s="61">
        <f>Inicial!B129</f>
        <v>0</v>
      </c>
      <c r="C129" s="61">
        <f>Inicial!C129</f>
        <v>0</v>
      </c>
      <c r="D129" s="62">
        <f>Inicial!D129</f>
        <v>0</v>
      </c>
      <c r="E129" s="60" t="str">
        <f>IF(Inicial!M129="SI",Inicial!E129,"N/A")</f>
        <v>N/A</v>
      </c>
      <c r="F129" s="61" t="str">
        <f>IF(Inicial!M129="SI",Inicial!F129,"N/A")</f>
        <v>N/A</v>
      </c>
      <c r="G129" s="61" t="str">
        <f>IF(Inicial!M129="SI",Inicial!G129,"N/A")</f>
        <v>N/A</v>
      </c>
      <c r="H129" s="61" t="str">
        <f>IF(Inicial!M129="SI",Inicial!H129,"N/A")</f>
        <v>N/A</v>
      </c>
      <c r="I129" s="63" t="str">
        <f>IF(Inicial!M129="SI",Inicial!I129,"N/A")</f>
        <v>N/A</v>
      </c>
      <c r="J129" s="11"/>
      <c r="K129" s="11"/>
      <c r="L129" s="11"/>
      <c r="M129" s="11"/>
      <c r="N129" s="11"/>
      <c r="O129" s="11"/>
      <c r="P129" s="11"/>
      <c r="Q129" s="11"/>
      <c r="R129" s="11"/>
      <c r="S129" s="11"/>
      <c r="T129" s="11"/>
      <c r="U129" s="11"/>
      <c r="V129" s="11"/>
      <c r="W129" s="12" t="str" cm="1">
        <f t="array" ref="W129">IF(OR(M129:V129="NO"),"No aceptable","Aceptable")</f>
        <v>Aceptable</v>
      </c>
      <c r="X129" s="11"/>
      <c r="Y129" s="11"/>
      <c r="Z129" s="11"/>
      <c r="AA129" s="11"/>
      <c r="AB129" s="11"/>
      <c r="AC129" s="11"/>
      <c r="AD129" s="11"/>
      <c r="AE129" s="11"/>
      <c r="AF129" s="11"/>
      <c r="AG129" s="11"/>
      <c r="AH129" s="11"/>
      <c r="AI129" s="11"/>
      <c r="AJ129" s="11"/>
      <c r="AK129" s="11"/>
      <c r="AL129" s="11"/>
      <c r="AM129" s="11"/>
      <c r="AN129" s="3" t="str" cm="1">
        <f t="array" ref="AN129">IF(OR(AA129:AM129="SI"),"Critico","No Critico")</f>
        <v>No Critico</v>
      </c>
    </row>
    <row r="130" spans="1:40" ht="15">
      <c r="A130" s="60">
        <f>Inicial!A130</f>
        <v>128</v>
      </c>
      <c r="B130" s="61">
        <f>Inicial!B130</f>
        <v>0</v>
      </c>
      <c r="C130" s="61">
        <f>Inicial!C130</f>
        <v>0</v>
      </c>
      <c r="D130" s="62">
        <f>Inicial!D130</f>
        <v>0</v>
      </c>
      <c r="E130" s="60" t="str">
        <f>IF(Inicial!M130="SI",Inicial!E130,"N/A")</f>
        <v>N/A</v>
      </c>
      <c r="F130" s="61" t="str">
        <f>IF(Inicial!M130="SI",Inicial!F130,"N/A")</f>
        <v>N/A</v>
      </c>
      <c r="G130" s="61" t="str">
        <f>IF(Inicial!M130="SI",Inicial!G130,"N/A")</f>
        <v>N/A</v>
      </c>
      <c r="H130" s="61" t="str">
        <f>IF(Inicial!M130="SI",Inicial!H130,"N/A")</f>
        <v>N/A</v>
      </c>
      <c r="I130" s="63" t="str">
        <f>IF(Inicial!M130="SI",Inicial!I130,"N/A")</f>
        <v>N/A</v>
      </c>
      <c r="J130" s="11"/>
      <c r="K130" s="11"/>
      <c r="L130" s="11"/>
      <c r="M130" s="11"/>
      <c r="N130" s="11"/>
      <c r="O130" s="11"/>
      <c r="P130" s="11"/>
      <c r="Q130" s="11"/>
      <c r="R130" s="11"/>
      <c r="S130" s="11"/>
      <c r="T130" s="11"/>
      <c r="U130" s="11"/>
      <c r="V130" s="11"/>
      <c r="W130" s="12" t="str" cm="1">
        <f t="array" ref="W130">IF(OR(M130:V130="NO"),"No aceptable","Aceptable")</f>
        <v>Aceptable</v>
      </c>
      <c r="X130" s="11"/>
      <c r="Y130" s="11"/>
      <c r="Z130" s="11"/>
      <c r="AA130" s="11"/>
      <c r="AB130" s="11"/>
      <c r="AC130" s="11"/>
      <c r="AD130" s="11"/>
      <c r="AE130" s="11"/>
      <c r="AF130" s="11"/>
      <c r="AG130" s="11"/>
      <c r="AH130" s="11"/>
      <c r="AI130" s="11"/>
      <c r="AJ130" s="11"/>
      <c r="AK130" s="11"/>
      <c r="AL130" s="11"/>
      <c r="AM130" s="11"/>
      <c r="AN130" s="3" t="str" cm="1">
        <f t="array" ref="AN130">IF(OR(AA130:AM130="SI"),"Critico","No Critico")</f>
        <v>No Critico</v>
      </c>
    </row>
    <row r="131" spans="1:40" ht="15">
      <c r="A131" s="60">
        <f>Inicial!A131</f>
        <v>129</v>
      </c>
      <c r="B131" s="61">
        <f>Inicial!B131</f>
        <v>0</v>
      </c>
      <c r="C131" s="61">
        <f>Inicial!C131</f>
        <v>0</v>
      </c>
      <c r="D131" s="62">
        <f>Inicial!D131</f>
        <v>0</v>
      </c>
      <c r="E131" s="60" t="str">
        <f>IF(Inicial!M131="SI",Inicial!E131,"N/A")</f>
        <v>N/A</v>
      </c>
      <c r="F131" s="61" t="str">
        <f>IF(Inicial!M131="SI",Inicial!F131,"N/A")</f>
        <v>N/A</v>
      </c>
      <c r="G131" s="61" t="str">
        <f>IF(Inicial!M131="SI",Inicial!G131,"N/A")</f>
        <v>N/A</v>
      </c>
      <c r="H131" s="61" t="str">
        <f>IF(Inicial!M131="SI",Inicial!H131,"N/A")</f>
        <v>N/A</v>
      </c>
      <c r="I131" s="63" t="str">
        <f>IF(Inicial!M131="SI",Inicial!I131,"N/A")</f>
        <v>N/A</v>
      </c>
      <c r="J131" s="11"/>
      <c r="K131" s="11"/>
      <c r="L131" s="11"/>
      <c r="M131" s="11"/>
      <c r="N131" s="11"/>
      <c r="O131" s="11"/>
      <c r="P131" s="11"/>
      <c r="Q131" s="11"/>
      <c r="R131" s="11"/>
      <c r="S131" s="11"/>
      <c r="T131" s="11"/>
      <c r="U131" s="11"/>
      <c r="V131" s="11"/>
      <c r="W131" s="12" t="str" cm="1">
        <f t="array" ref="W131">IF(OR(M131:V131="NO"),"No aceptable","Aceptable")</f>
        <v>Aceptable</v>
      </c>
      <c r="X131" s="11"/>
      <c r="Y131" s="11"/>
      <c r="Z131" s="11"/>
      <c r="AA131" s="11"/>
      <c r="AB131" s="11"/>
      <c r="AC131" s="11"/>
      <c r="AD131" s="11"/>
      <c r="AE131" s="11"/>
      <c r="AF131" s="11"/>
      <c r="AG131" s="11"/>
      <c r="AH131" s="11"/>
      <c r="AI131" s="11"/>
      <c r="AJ131" s="11"/>
      <c r="AK131" s="11"/>
      <c r="AL131" s="11"/>
      <c r="AM131" s="11"/>
      <c r="AN131" s="3" t="str" cm="1">
        <f t="array" ref="AN131">IF(OR(AA131:AM131="SI"),"Critico","No Critico")</f>
        <v>No Critico</v>
      </c>
    </row>
    <row r="132" spans="1:40" ht="15">
      <c r="A132" s="60">
        <f>Inicial!A132</f>
        <v>130</v>
      </c>
      <c r="B132" s="61">
        <f>Inicial!B132</f>
        <v>0</v>
      </c>
      <c r="C132" s="61">
        <f>Inicial!C132</f>
        <v>0</v>
      </c>
      <c r="D132" s="62">
        <f>Inicial!D132</f>
        <v>0</v>
      </c>
      <c r="E132" s="60" t="str">
        <f>IF(Inicial!M132="SI",Inicial!E132,"N/A")</f>
        <v>N/A</v>
      </c>
      <c r="F132" s="61" t="str">
        <f>IF(Inicial!M132="SI",Inicial!F132,"N/A")</f>
        <v>N/A</v>
      </c>
      <c r="G132" s="61" t="str">
        <f>IF(Inicial!M132="SI",Inicial!G132,"N/A")</f>
        <v>N/A</v>
      </c>
      <c r="H132" s="61" t="str">
        <f>IF(Inicial!M132="SI",Inicial!H132,"N/A")</f>
        <v>N/A</v>
      </c>
      <c r="I132" s="63" t="str">
        <f>IF(Inicial!M132="SI",Inicial!I132,"N/A")</f>
        <v>N/A</v>
      </c>
      <c r="J132" s="11"/>
      <c r="K132" s="11"/>
      <c r="L132" s="11"/>
      <c r="M132" s="11"/>
      <c r="N132" s="11"/>
      <c r="O132" s="11"/>
      <c r="P132" s="11"/>
      <c r="Q132" s="11"/>
      <c r="R132" s="11"/>
      <c r="S132" s="11"/>
      <c r="T132" s="11"/>
      <c r="U132" s="11"/>
      <c r="V132" s="11"/>
      <c r="W132" s="12" t="str" cm="1">
        <f t="array" ref="W132">IF(OR(M132:V132="NO"),"No aceptable","Aceptable")</f>
        <v>Aceptable</v>
      </c>
      <c r="X132" s="11"/>
      <c r="Y132" s="11"/>
      <c r="Z132" s="11"/>
      <c r="AA132" s="11"/>
      <c r="AB132" s="11"/>
      <c r="AC132" s="11"/>
      <c r="AD132" s="11"/>
      <c r="AE132" s="11"/>
      <c r="AF132" s="11"/>
      <c r="AG132" s="11"/>
      <c r="AH132" s="11"/>
      <c r="AI132" s="11"/>
      <c r="AJ132" s="11"/>
      <c r="AK132" s="11"/>
      <c r="AL132" s="11"/>
      <c r="AM132" s="11"/>
      <c r="AN132" s="3" t="str" cm="1">
        <f t="array" ref="AN132">IF(OR(AA132:AM132="SI"),"Critico","No Critico")</f>
        <v>No Critico</v>
      </c>
    </row>
    <row r="133" spans="1:40" ht="15">
      <c r="A133" s="60">
        <f>Inicial!A133</f>
        <v>131</v>
      </c>
      <c r="B133" s="61">
        <f>Inicial!B133</f>
        <v>0</v>
      </c>
      <c r="C133" s="61">
        <f>Inicial!C133</f>
        <v>0</v>
      </c>
      <c r="D133" s="62">
        <f>Inicial!D133</f>
        <v>0</v>
      </c>
      <c r="E133" s="60" t="str">
        <f>IF(Inicial!M133="SI",Inicial!E133,"N/A")</f>
        <v>N/A</v>
      </c>
      <c r="F133" s="61" t="str">
        <f>IF(Inicial!M133="SI",Inicial!F133,"N/A")</f>
        <v>N/A</v>
      </c>
      <c r="G133" s="61" t="str">
        <f>IF(Inicial!M133="SI",Inicial!G133,"N/A")</f>
        <v>N/A</v>
      </c>
      <c r="H133" s="61" t="str">
        <f>IF(Inicial!M133="SI",Inicial!H133,"N/A")</f>
        <v>N/A</v>
      </c>
      <c r="I133" s="63" t="str">
        <f>IF(Inicial!M133="SI",Inicial!I133,"N/A")</f>
        <v>N/A</v>
      </c>
      <c r="J133" s="11"/>
      <c r="K133" s="11"/>
      <c r="L133" s="11"/>
      <c r="M133" s="11"/>
      <c r="N133" s="11"/>
      <c r="O133" s="11"/>
      <c r="P133" s="11"/>
      <c r="Q133" s="11"/>
      <c r="R133" s="11"/>
      <c r="S133" s="11"/>
      <c r="T133" s="11"/>
      <c r="U133" s="11"/>
      <c r="V133" s="11"/>
      <c r="W133" s="12" t="str" cm="1">
        <f t="array" ref="W133">IF(OR(M133:V133="NO"),"No aceptable","Aceptable")</f>
        <v>Aceptable</v>
      </c>
      <c r="X133" s="11"/>
      <c r="Y133" s="11"/>
      <c r="Z133" s="11"/>
      <c r="AA133" s="11"/>
      <c r="AB133" s="11"/>
      <c r="AC133" s="11"/>
      <c r="AD133" s="11"/>
      <c r="AE133" s="11"/>
      <c r="AF133" s="11"/>
      <c r="AG133" s="11"/>
      <c r="AH133" s="11"/>
      <c r="AI133" s="11"/>
      <c r="AJ133" s="11"/>
      <c r="AK133" s="11"/>
      <c r="AL133" s="11"/>
      <c r="AM133" s="11"/>
      <c r="AN133" s="3" t="str" cm="1">
        <f t="array" ref="AN133">IF(OR(AA133:AM133="SI"),"Critico","No Critico")</f>
        <v>No Critico</v>
      </c>
    </row>
    <row r="134" spans="1:40" ht="15">
      <c r="A134" s="60">
        <f>Inicial!A134</f>
        <v>132</v>
      </c>
      <c r="B134" s="61">
        <f>Inicial!B134</f>
        <v>0</v>
      </c>
      <c r="C134" s="61">
        <f>Inicial!C134</f>
        <v>0</v>
      </c>
      <c r="D134" s="62">
        <f>Inicial!D134</f>
        <v>0</v>
      </c>
      <c r="E134" s="60" t="str">
        <f>IF(Inicial!M134="SI",Inicial!E134,"N/A")</f>
        <v>N/A</v>
      </c>
      <c r="F134" s="61" t="str">
        <f>IF(Inicial!M134="SI",Inicial!F134,"N/A")</f>
        <v>N/A</v>
      </c>
      <c r="G134" s="61" t="str">
        <f>IF(Inicial!M134="SI",Inicial!G134,"N/A")</f>
        <v>N/A</v>
      </c>
      <c r="H134" s="61" t="str">
        <f>IF(Inicial!M134="SI",Inicial!H134,"N/A")</f>
        <v>N/A</v>
      </c>
      <c r="I134" s="63" t="str">
        <f>IF(Inicial!M134="SI",Inicial!I134,"N/A")</f>
        <v>N/A</v>
      </c>
      <c r="J134" s="11"/>
      <c r="K134" s="11"/>
      <c r="L134" s="11"/>
      <c r="M134" s="11"/>
      <c r="N134" s="11"/>
      <c r="O134" s="11"/>
      <c r="P134" s="11"/>
      <c r="Q134" s="11"/>
      <c r="R134" s="11"/>
      <c r="S134" s="11"/>
      <c r="T134" s="11"/>
      <c r="U134" s="11"/>
      <c r="V134" s="11"/>
      <c r="W134" s="12" t="str" cm="1">
        <f t="array" ref="W134">IF(OR(M134:V134="NO"),"No aceptable","Aceptable")</f>
        <v>Aceptable</v>
      </c>
      <c r="X134" s="11"/>
      <c r="Y134" s="11"/>
      <c r="Z134" s="11"/>
      <c r="AA134" s="11"/>
      <c r="AB134" s="11"/>
      <c r="AC134" s="11"/>
      <c r="AD134" s="11"/>
      <c r="AE134" s="11"/>
      <c r="AF134" s="11"/>
      <c r="AG134" s="11"/>
      <c r="AH134" s="11"/>
      <c r="AI134" s="11"/>
      <c r="AJ134" s="11"/>
      <c r="AK134" s="11"/>
      <c r="AL134" s="11"/>
      <c r="AM134" s="11"/>
      <c r="AN134" s="3" t="str" cm="1">
        <f t="array" ref="AN134">IF(OR(AA134:AM134="SI"),"Critico","No Critico")</f>
        <v>No Critico</v>
      </c>
    </row>
    <row r="135" spans="1:40" ht="15">
      <c r="A135" s="60">
        <f>Inicial!A135</f>
        <v>133</v>
      </c>
      <c r="B135" s="61">
        <f>Inicial!B135</f>
        <v>0</v>
      </c>
      <c r="C135" s="61">
        <f>Inicial!C135</f>
        <v>0</v>
      </c>
      <c r="D135" s="62">
        <f>Inicial!D135</f>
        <v>0</v>
      </c>
      <c r="E135" s="60" t="str">
        <f>IF(Inicial!M135="SI",Inicial!E135,"N/A")</f>
        <v>N/A</v>
      </c>
      <c r="F135" s="61" t="str">
        <f>IF(Inicial!M135="SI",Inicial!F135,"N/A")</f>
        <v>N/A</v>
      </c>
      <c r="G135" s="61" t="str">
        <f>IF(Inicial!M135="SI",Inicial!G135,"N/A")</f>
        <v>N/A</v>
      </c>
      <c r="H135" s="61" t="str">
        <f>IF(Inicial!M135="SI",Inicial!H135,"N/A")</f>
        <v>N/A</v>
      </c>
      <c r="I135" s="63" t="str">
        <f>IF(Inicial!M135="SI",Inicial!I135,"N/A")</f>
        <v>N/A</v>
      </c>
      <c r="J135" s="11"/>
      <c r="K135" s="11"/>
      <c r="L135" s="11"/>
      <c r="M135" s="11"/>
      <c r="N135" s="11"/>
      <c r="O135" s="11"/>
      <c r="P135" s="11"/>
      <c r="Q135" s="11"/>
      <c r="R135" s="11"/>
      <c r="S135" s="11"/>
      <c r="T135" s="11"/>
      <c r="U135" s="11"/>
      <c r="V135" s="11"/>
      <c r="W135" s="12" t="str" cm="1">
        <f t="array" ref="W135">IF(OR(M135:V135="NO"),"No aceptable","Aceptable")</f>
        <v>Aceptable</v>
      </c>
      <c r="X135" s="11"/>
      <c r="Y135" s="11"/>
      <c r="Z135" s="11"/>
      <c r="AA135" s="11"/>
      <c r="AB135" s="11"/>
      <c r="AC135" s="11"/>
      <c r="AD135" s="11"/>
      <c r="AE135" s="11"/>
      <c r="AF135" s="11"/>
      <c r="AG135" s="11"/>
      <c r="AH135" s="11"/>
      <c r="AI135" s="11"/>
      <c r="AJ135" s="11"/>
      <c r="AK135" s="11"/>
      <c r="AL135" s="11"/>
      <c r="AM135" s="11"/>
      <c r="AN135" s="3" t="str" cm="1">
        <f t="array" ref="AN135">IF(OR(AA135:AM135="SI"),"Critico","No Critico")</f>
        <v>No Critico</v>
      </c>
    </row>
    <row r="136" spans="1:40" ht="15">
      <c r="A136" s="60">
        <f>Inicial!A136</f>
        <v>134</v>
      </c>
      <c r="B136" s="61">
        <f>Inicial!B136</f>
        <v>0</v>
      </c>
      <c r="C136" s="61">
        <f>Inicial!C136</f>
        <v>0</v>
      </c>
      <c r="D136" s="62">
        <f>Inicial!D136</f>
        <v>0</v>
      </c>
      <c r="E136" s="60" t="str">
        <f>IF(Inicial!M136="SI",Inicial!E136,"N/A")</f>
        <v>N/A</v>
      </c>
      <c r="F136" s="61" t="str">
        <f>IF(Inicial!M136="SI",Inicial!F136,"N/A")</f>
        <v>N/A</v>
      </c>
      <c r="G136" s="61" t="str">
        <f>IF(Inicial!M136="SI",Inicial!G136,"N/A")</f>
        <v>N/A</v>
      </c>
      <c r="H136" s="61" t="str">
        <f>IF(Inicial!M136="SI",Inicial!H136,"N/A")</f>
        <v>N/A</v>
      </c>
      <c r="I136" s="63" t="str">
        <f>IF(Inicial!M136="SI",Inicial!I136,"N/A")</f>
        <v>N/A</v>
      </c>
      <c r="J136" s="11"/>
      <c r="K136" s="11"/>
      <c r="L136" s="11"/>
      <c r="M136" s="11"/>
      <c r="N136" s="11"/>
      <c r="O136" s="11"/>
      <c r="P136" s="11"/>
      <c r="Q136" s="11"/>
      <c r="R136" s="11"/>
      <c r="S136" s="11"/>
      <c r="T136" s="11"/>
      <c r="U136" s="11"/>
      <c r="V136" s="11"/>
      <c r="W136" s="12" t="str" cm="1">
        <f t="array" ref="W136">IF(OR(M136:V136="NO"),"No aceptable","Aceptable")</f>
        <v>Aceptable</v>
      </c>
      <c r="X136" s="11"/>
      <c r="Y136" s="11"/>
      <c r="Z136" s="11"/>
      <c r="AA136" s="11"/>
      <c r="AB136" s="11"/>
      <c r="AC136" s="11"/>
      <c r="AD136" s="11"/>
      <c r="AE136" s="11"/>
      <c r="AF136" s="11"/>
      <c r="AG136" s="11"/>
      <c r="AH136" s="11"/>
      <c r="AI136" s="11"/>
      <c r="AJ136" s="11"/>
      <c r="AK136" s="11"/>
      <c r="AL136" s="11"/>
      <c r="AM136" s="11"/>
      <c r="AN136" s="3" t="str" cm="1">
        <f t="array" ref="AN136">IF(OR(AA136:AM136="SI"),"Critico","No Critico")</f>
        <v>No Critico</v>
      </c>
    </row>
    <row r="137" spans="1:40" ht="15">
      <c r="A137" s="60">
        <f>Inicial!A137</f>
        <v>135</v>
      </c>
      <c r="B137" s="61">
        <f>Inicial!B137</f>
        <v>0</v>
      </c>
      <c r="C137" s="61">
        <f>Inicial!C137</f>
        <v>0</v>
      </c>
      <c r="D137" s="62">
        <f>Inicial!D137</f>
        <v>0</v>
      </c>
      <c r="E137" s="60" t="str">
        <f>IF(Inicial!M137="SI",Inicial!E137,"N/A")</f>
        <v>N/A</v>
      </c>
      <c r="F137" s="61" t="str">
        <f>IF(Inicial!M137="SI",Inicial!F137,"N/A")</f>
        <v>N/A</v>
      </c>
      <c r="G137" s="61" t="str">
        <f>IF(Inicial!M137="SI",Inicial!G137,"N/A")</f>
        <v>N/A</v>
      </c>
      <c r="H137" s="61" t="str">
        <f>IF(Inicial!M137="SI",Inicial!H137,"N/A")</f>
        <v>N/A</v>
      </c>
      <c r="I137" s="63" t="str">
        <f>IF(Inicial!M137="SI",Inicial!I137,"N/A")</f>
        <v>N/A</v>
      </c>
      <c r="J137" s="11"/>
      <c r="K137" s="11"/>
      <c r="L137" s="11"/>
      <c r="M137" s="11"/>
      <c r="N137" s="11"/>
      <c r="O137" s="11"/>
      <c r="P137" s="11"/>
      <c r="Q137" s="11"/>
      <c r="R137" s="11"/>
      <c r="S137" s="11"/>
      <c r="T137" s="11"/>
      <c r="U137" s="11"/>
      <c r="V137" s="11"/>
      <c r="W137" s="12" t="str" cm="1">
        <f t="array" ref="W137">IF(OR(M137:V137="NO"),"No aceptable","Aceptable")</f>
        <v>Aceptable</v>
      </c>
      <c r="X137" s="11"/>
      <c r="Y137" s="11"/>
      <c r="Z137" s="11"/>
      <c r="AA137" s="11"/>
      <c r="AB137" s="11"/>
      <c r="AC137" s="11"/>
      <c r="AD137" s="11"/>
      <c r="AE137" s="11"/>
      <c r="AF137" s="11"/>
      <c r="AG137" s="11"/>
      <c r="AH137" s="11"/>
      <c r="AI137" s="11"/>
      <c r="AJ137" s="11"/>
      <c r="AK137" s="11"/>
      <c r="AL137" s="11"/>
      <c r="AM137" s="11"/>
      <c r="AN137" s="3" t="str" cm="1">
        <f t="array" ref="AN137">IF(OR(AA137:AM137="SI"),"Critico","No Critico")</f>
        <v>No Critico</v>
      </c>
    </row>
    <row r="138" spans="1:40" ht="15">
      <c r="A138" s="60">
        <f>Inicial!A138</f>
        <v>136</v>
      </c>
      <c r="B138" s="61">
        <f>Inicial!B138</f>
        <v>0</v>
      </c>
      <c r="C138" s="61">
        <f>Inicial!C138</f>
        <v>0</v>
      </c>
      <c r="D138" s="62">
        <f>Inicial!D138</f>
        <v>0</v>
      </c>
      <c r="E138" s="60" t="str">
        <f>IF(Inicial!M138="SI",Inicial!E138,"N/A")</f>
        <v>N/A</v>
      </c>
      <c r="F138" s="61" t="str">
        <f>IF(Inicial!M138="SI",Inicial!F138,"N/A")</f>
        <v>N/A</v>
      </c>
      <c r="G138" s="61" t="str">
        <f>IF(Inicial!M138="SI",Inicial!G138,"N/A")</f>
        <v>N/A</v>
      </c>
      <c r="H138" s="61" t="str">
        <f>IF(Inicial!M138="SI",Inicial!H138,"N/A")</f>
        <v>N/A</v>
      </c>
      <c r="I138" s="63" t="str">
        <f>IF(Inicial!M138="SI",Inicial!I138,"N/A")</f>
        <v>N/A</v>
      </c>
      <c r="J138" s="11"/>
      <c r="K138" s="11"/>
      <c r="L138" s="11"/>
      <c r="M138" s="11"/>
      <c r="N138" s="11"/>
      <c r="O138" s="11"/>
      <c r="P138" s="11"/>
      <c r="Q138" s="11"/>
      <c r="R138" s="11"/>
      <c r="S138" s="11"/>
      <c r="T138" s="11"/>
      <c r="U138" s="11"/>
      <c r="V138" s="11"/>
      <c r="W138" s="12" t="str" cm="1">
        <f t="array" ref="W138">IF(OR(M138:V138="NO"),"No aceptable","Aceptable")</f>
        <v>Aceptable</v>
      </c>
      <c r="X138" s="11"/>
      <c r="Y138" s="11"/>
      <c r="Z138" s="11"/>
      <c r="AA138" s="11"/>
      <c r="AB138" s="11"/>
      <c r="AC138" s="11"/>
      <c r="AD138" s="11"/>
      <c r="AE138" s="11"/>
      <c r="AF138" s="11"/>
      <c r="AG138" s="11"/>
      <c r="AH138" s="11"/>
      <c r="AI138" s="11"/>
      <c r="AJ138" s="11"/>
      <c r="AK138" s="11"/>
      <c r="AL138" s="11"/>
      <c r="AM138" s="11"/>
      <c r="AN138" s="3" t="str" cm="1">
        <f t="array" ref="AN138">IF(OR(AA138:AM138="SI"),"Critico","No Critico")</f>
        <v>No Critico</v>
      </c>
    </row>
    <row r="139" spans="1:40" ht="15">
      <c r="A139" s="60">
        <f>Inicial!A139</f>
        <v>137</v>
      </c>
      <c r="B139" s="61">
        <f>Inicial!B139</f>
        <v>0</v>
      </c>
      <c r="C139" s="61">
        <f>Inicial!C139</f>
        <v>0</v>
      </c>
      <c r="D139" s="62">
        <f>Inicial!D139</f>
        <v>0</v>
      </c>
      <c r="E139" s="60" t="str">
        <f>IF(Inicial!M139="SI",Inicial!E139,"N/A")</f>
        <v>N/A</v>
      </c>
      <c r="F139" s="61" t="str">
        <f>IF(Inicial!M139="SI",Inicial!F139,"N/A")</f>
        <v>N/A</v>
      </c>
      <c r="G139" s="61" t="str">
        <f>IF(Inicial!M139="SI",Inicial!G139,"N/A")</f>
        <v>N/A</v>
      </c>
      <c r="H139" s="61" t="str">
        <f>IF(Inicial!M139="SI",Inicial!H139,"N/A")</f>
        <v>N/A</v>
      </c>
      <c r="I139" s="63" t="str">
        <f>IF(Inicial!M139="SI",Inicial!I139,"N/A")</f>
        <v>N/A</v>
      </c>
      <c r="J139" s="11"/>
      <c r="K139" s="11"/>
      <c r="L139" s="11"/>
      <c r="M139" s="11"/>
      <c r="N139" s="11"/>
      <c r="O139" s="11"/>
      <c r="P139" s="11"/>
      <c r="Q139" s="11"/>
      <c r="R139" s="11"/>
      <c r="S139" s="11"/>
      <c r="T139" s="11"/>
      <c r="U139" s="11"/>
      <c r="V139" s="11"/>
      <c r="W139" s="12" t="str" cm="1">
        <f t="array" ref="W139">IF(OR(M139:V139="NO"),"No aceptable","Aceptable")</f>
        <v>Aceptable</v>
      </c>
      <c r="X139" s="11"/>
      <c r="Y139" s="11"/>
      <c r="Z139" s="11"/>
      <c r="AA139" s="11"/>
      <c r="AB139" s="11"/>
      <c r="AC139" s="11"/>
      <c r="AD139" s="11"/>
      <c r="AE139" s="11"/>
      <c r="AF139" s="11"/>
      <c r="AG139" s="11"/>
      <c r="AH139" s="11"/>
      <c r="AI139" s="11"/>
      <c r="AJ139" s="11"/>
      <c r="AK139" s="11"/>
      <c r="AL139" s="11"/>
      <c r="AM139" s="11"/>
      <c r="AN139" s="3" t="str" cm="1">
        <f t="array" ref="AN139">IF(OR(AA139:AM139="SI"),"Critico","No Critico")</f>
        <v>No Critico</v>
      </c>
    </row>
    <row r="140" spans="1:40" ht="15">
      <c r="A140" s="60">
        <f>Inicial!A140</f>
        <v>138</v>
      </c>
      <c r="B140" s="61">
        <f>Inicial!B140</f>
        <v>0</v>
      </c>
      <c r="C140" s="61">
        <f>Inicial!C140</f>
        <v>0</v>
      </c>
      <c r="D140" s="62">
        <f>Inicial!D140</f>
        <v>0</v>
      </c>
      <c r="E140" s="60" t="str">
        <f>IF(Inicial!M140="SI",Inicial!E140,"N/A")</f>
        <v>N/A</v>
      </c>
      <c r="F140" s="61" t="str">
        <f>IF(Inicial!M140="SI",Inicial!F140,"N/A")</f>
        <v>N/A</v>
      </c>
      <c r="G140" s="61" t="str">
        <f>IF(Inicial!M140="SI",Inicial!G140,"N/A")</f>
        <v>N/A</v>
      </c>
      <c r="H140" s="61" t="str">
        <f>IF(Inicial!M140="SI",Inicial!H140,"N/A")</f>
        <v>N/A</v>
      </c>
      <c r="I140" s="63" t="str">
        <f>IF(Inicial!M140="SI",Inicial!I140,"N/A")</f>
        <v>N/A</v>
      </c>
      <c r="J140" s="11"/>
      <c r="K140" s="11"/>
      <c r="L140" s="11"/>
      <c r="M140" s="11"/>
      <c r="N140" s="11"/>
      <c r="O140" s="11"/>
      <c r="P140" s="11"/>
      <c r="Q140" s="11"/>
      <c r="R140" s="11"/>
      <c r="S140" s="11"/>
      <c r="T140" s="11"/>
      <c r="U140" s="11"/>
      <c r="V140" s="11"/>
      <c r="W140" s="12" t="str" cm="1">
        <f t="array" ref="W140">IF(OR(M140:V140="NO"),"No aceptable","Aceptable")</f>
        <v>Aceptable</v>
      </c>
      <c r="X140" s="11"/>
      <c r="Y140" s="11"/>
      <c r="Z140" s="11"/>
      <c r="AA140" s="11"/>
      <c r="AB140" s="11"/>
      <c r="AC140" s="11"/>
      <c r="AD140" s="11"/>
      <c r="AE140" s="11"/>
      <c r="AF140" s="11"/>
      <c r="AG140" s="11"/>
      <c r="AH140" s="11"/>
      <c r="AI140" s="11"/>
      <c r="AJ140" s="11"/>
      <c r="AK140" s="11"/>
      <c r="AL140" s="11"/>
      <c r="AM140" s="11"/>
      <c r="AN140" s="3" t="str" cm="1">
        <f t="array" ref="AN140">IF(OR(AA140:AM140="SI"),"Critico","No Critico")</f>
        <v>No Critico</v>
      </c>
    </row>
    <row r="141" spans="1:40" ht="15">
      <c r="A141" s="60">
        <f>Inicial!A141</f>
        <v>139</v>
      </c>
      <c r="B141" s="61">
        <f>Inicial!B141</f>
        <v>0</v>
      </c>
      <c r="C141" s="61">
        <f>Inicial!C141</f>
        <v>0</v>
      </c>
      <c r="D141" s="62">
        <f>Inicial!D141</f>
        <v>0</v>
      </c>
      <c r="E141" s="60" t="str">
        <f>IF(Inicial!M141="SI",Inicial!E141,"N/A")</f>
        <v>N/A</v>
      </c>
      <c r="F141" s="61" t="str">
        <f>IF(Inicial!M141="SI",Inicial!F141,"N/A")</f>
        <v>N/A</v>
      </c>
      <c r="G141" s="61" t="str">
        <f>IF(Inicial!M141="SI",Inicial!G141,"N/A")</f>
        <v>N/A</v>
      </c>
      <c r="H141" s="61" t="str">
        <f>IF(Inicial!M141="SI",Inicial!H141,"N/A")</f>
        <v>N/A</v>
      </c>
      <c r="I141" s="63" t="str">
        <f>IF(Inicial!M141="SI",Inicial!I141,"N/A")</f>
        <v>N/A</v>
      </c>
      <c r="J141" s="11"/>
      <c r="K141" s="11"/>
      <c r="L141" s="11"/>
      <c r="M141" s="11"/>
      <c r="N141" s="11"/>
      <c r="O141" s="11"/>
      <c r="P141" s="11"/>
      <c r="Q141" s="11"/>
      <c r="R141" s="11"/>
      <c r="S141" s="11"/>
      <c r="T141" s="11"/>
      <c r="U141" s="11"/>
      <c r="V141" s="11"/>
      <c r="W141" s="12" t="str" cm="1">
        <f t="array" ref="W141">IF(OR(M141:V141="NO"),"No aceptable","Aceptable")</f>
        <v>Aceptable</v>
      </c>
      <c r="X141" s="11"/>
      <c r="Y141" s="11"/>
      <c r="Z141" s="11"/>
      <c r="AA141" s="11"/>
      <c r="AB141" s="11"/>
      <c r="AC141" s="11"/>
      <c r="AD141" s="11"/>
      <c r="AE141" s="11"/>
      <c r="AF141" s="11"/>
      <c r="AG141" s="11"/>
      <c r="AH141" s="11"/>
      <c r="AI141" s="11"/>
      <c r="AJ141" s="11"/>
      <c r="AK141" s="11"/>
      <c r="AL141" s="11"/>
      <c r="AM141" s="11"/>
      <c r="AN141" s="3" t="str" cm="1">
        <f t="array" ref="AN141">IF(OR(AA141:AM141="SI"),"Critico","No Critico")</f>
        <v>No Critico</v>
      </c>
    </row>
    <row r="142" spans="1:40" ht="15">
      <c r="A142" s="60">
        <f>Inicial!A142</f>
        <v>140</v>
      </c>
      <c r="B142" s="61">
        <f>Inicial!B142</f>
        <v>0</v>
      </c>
      <c r="C142" s="61">
        <f>Inicial!C142</f>
        <v>0</v>
      </c>
      <c r="D142" s="62">
        <f>Inicial!D142</f>
        <v>0</v>
      </c>
      <c r="E142" s="60" t="str">
        <f>IF(Inicial!M142="SI",Inicial!E142,"N/A")</f>
        <v>N/A</v>
      </c>
      <c r="F142" s="61" t="str">
        <f>IF(Inicial!M142="SI",Inicial!F142,"N/A")</f>
        <v>N/A</v>
      </c>
      <c r="G142" s="61" t="str">
        <f>IF(Inicial!M142="SI",Inicial!G142,"N/A")</f>
        <v>N/A</v>
      </c>
      <c r="H142" s="61" t="str">
        <f>IF(Inicial!M142="SI",Inicial!H142,"N/A")</f>
        <v>N/A</v>
      </c>
      <c r="I142" s="63" t="str">
        <f>IF(Inicial!M142="SI",Inicial!I142,"N/A")</f>
        <v>N/A</v>
      </c>
      <c r="J142" s="11"/>
      <c r="K142" s="11"/>
      <c r="L142" s="11"/>
      <c r="M142" s="11"/>
      <c r="N142" s="11"/>
      <c r="O142" s="11"/>
      <c r="P142" s="11"/>
      <c r="Q142" s="11"/>
      <c r="R142" s="11"/>
      <c r="S142" s="11"/>
      <c r="T142" s="11"/>
      <c r="U142" s="11"/>
      <c r="V142" s="11"/>
      <c r="W142" s="12" t="str" cm="1">
        <f t="array" ref="W142">IF(OR(M142:V142="NO"),"No aceptable","Aceptable")</f>
        <v>Aceptable</v>
      </c>
      <c r="X142" s="11"/>
      <c r="Y142" s="11"/>
      <c r="Z142" s="11"/>
      <c r="AA142" s="11"/>
      <c r="AB142" s="11"/>
      <c r="AC142" s="11"/>
      <c r="AD142" s="11"/>
      <c r="AE142" s="11"/>
      <c r="AF142" s="11"/>
      <c r="AG142" s="11"/>
      <c r="AH142" s="11"/>
      <c r="AI142" s="11"/>
      <c r="AJ142" s="11"/>
      <c r="AK142" s="11"/>
      <c r="AL142" s="11"/>
      <c r="AM142" s="11"/>
      <c r="AN142" s="3" t="str" cm="1">
        <f t="array" ref="AN142">IF(OR(AA142:AM142="SI"),"Critico","No Critico")</f>
        <v>No Critico</v>
      </c>
    </row>
    <row r="143" spans="1:40" ht="15">
      <c r="A143" s="60">
        <f>Inicial!A143</f>
        <v>141</v>
      </c>
      <c r="B143" s="61">
        <f>Inicial!B143</f>
        <v>0</v>
      </c>
      <c r="C143" s="61">
        <f>Inicial!C143</f>
        <v>0</v>
      </c>
      <c r="D143" s="62">
        <f>Inicial!D143</f>
        <v>0</v>
      </c>
      <c r="E143" s="60" t="str">
        <f>IF(Inicial!M143="SI",Inicial!E143,"N/A")</f>
        <v>N/A</v>
      </c>
      <c r="F143" s="61" t="str">
        <f>IF(Inicial!M143="SI",Inicial!F143,"N/A")</f>
        <v>N/A</v>
      </c>
      <c r="G143" s="61" t="str">
        <f>IF(Inicial!M143="SI",Inicial!G143,"N/A")</f>
        <v>N/A</v>
      </c>
      <c r="H143" s="61" t="str">
        <f>IF(Inicial!M143="SI",Inicial!H143,"N/A")</f>
        <v>N/A</v>
      </c>
      <c r="I143" s="63" t="str">
        <f>IF(Inicial!M143="SI",Inicial!I143,"N/A")</f>
        <v>N/A</v>
      </c>
      <c r="J143" s="11"/>
      <c r="K143" s="11"/>
      <c r="L143" s="11"/>
      <c r="M143" s="11"/>
      <c r="N143" s="11"/>
      <c r="O143" s="11"/>
      <c r="P143" s="11"/>
      <c r="Q143" s="11"/>
      <c r="R143" s="11"/>
      <c r="S143" s="11"/>
      <c r="T143" s="11"/>
      <c r="U143" s="11"/>
      <c r="V143" s="11"/>
      <c r="W143" s="12" t="str" cm="1">
        <f t="array" ref="W143">IF(OR(M143:V143="NO"),"No aceptable","Aceptable")</f>
        <v>Aceptable</v>
      </c>
      <c r="X143" s="11"/>
      <c r="Y143" s="11"/>
      <c r="Z143" s="11"/>
      <c r="AA143" s="11"/>
      <c r="AB143" s="11"/>
      <c r="AC143" s="11"/>
      <c r="AD143" s="11"/>
      <c r="AE143" s="11"/>
      <c r="AF143" s="11"/>
      <c r="AG143" s="11"/>
      <c r="AH143" s="11"/>
      <c r="AI143" s="11"/>
      <c r="AJ143" s="11"/>
      <c r="AK143" s="11"/>
      <c r="AL143" s="11"/>
      <c r="AM143" s="11"/>
      <c r="AN143" s="3" t="str" cm="1">
        <f t="array" ref="AN143">IF(OR(AA143:AM143="SI"),"Critico","No Critico")</f>
        <v>No Critico</v>
      </c>
    </row>
    <row r="144" spans="1:40" ht="15">
      <c r="A144" s="60">
        <f>Inicial!A144</f>
        <v>142</v>
      </c>
      <c r="B144" s="61">
        <f>Inicial!B144</f>
        <v>0</v>
      </c>
      <c r="C144" s="61">
        <f>Inicial!C144</f>
        <v>0</v>
      </c>
      <c r="D144" s="62">
        <f>Inicial!D144</f>
        <v>0</v>
      </c>
      <c r="E144" s="60" t="str">
        <f>IF(Inicial!M144="SI",Inicial!E144,"N/A")</f>
        <v>N/A</v>
      </c>
      <c r="F144" s="61" t="str">
        <f>IF(Inicial!M144="SI",Inicial!F144,"N/A")</f>
        <v>N/A</v>
      </c>
      <c r="G144" s="61" t="str">
        <f>IF(Inicial!M144="SI",Inicial!G144,"N/A")</f>
        <v>N/A</v>
      </c>
      <c r="H144" s="61" t="str">
        <f>IF(Inicial!M144="SI",Inicial!H144,"N/A")</f>
        <v>N/A</v>
      </c>
      <c r="I144" s="63" t="str">
        <f>IF(Inicial!M144="SI",Inicial!I144,"N/A")</f>
        <v>N/A</v>
      </c>
      <c r="J144" s="11"/>
      <c r="K144" s="11"/>
      <c r="L144" s="11"/>
      <c r="M144" s="11"/>
      <c r="N144" s="11"/>
      <c r="O144" s="11"/>
      <c r="P144" s="11"/>
      <c r="Q144" s="11"/>
      <c r="R144" s="11"/>
      <c r="S144" s="11"/>
      <c r="T144" s="11"/>
      <c r="U144" s="11"/>
      <c r="V144" s="11"/>
      <c r="W144" s="12" t="str" cm="1">
        <f t="array" ref="W144">IF(OR(M144:V144="NO"),"No aceptable","Aceptable")</f>
        <v>Aceptable</v>
      </c>
      <c r="X144" s="11"/>
      <c r="Y144" s="11"/>
      <c r="Z144" s="11"/>
      <c r="AA144" s="11"/>
      <c r="AB144" s="11"/>
      <c r="AC144" s="11"/>
      <c r="AD144" s="11"/>
      <c r="AE144" s="11"/>
      <c r="AF144" s="11"/>
      <c r="AG144" s="11"/>
      <c r="AH144" s="11"/>
      <c r="AI144" s="11"/>
      <c r="AJ144" s="11"/>
      <c r="AK144" s="11"/>
      <c r="AL144" s="11"/>
      <c r="AM144" s="11"/>
      <c r="AN144" s="3" t="str" cm="1">
        <f t="array" ref="AN144">IF(OR(AA144:AM144="SI"),"Critico","No Critico")</f>
        <v>No Critico</v>
      </c>
    </row>
    <row r="145" spans="1:40" ht="15">
      <c r="A145" s="60">
        <f>Inicial!A145</f>
        <v>143</v>
      </c>
      <c r="B145" s="61">
        <f>Inicial!B145</f>
        <v>0</v>
      </c>
      <c r="C145" s="61">
        <f>Inicial!C145</f>
        <v>0</v>
      </c>
      <c r="D145" s="62">
        <f>Inicial!D145</f>
        <v>0</v>
      </c>
      <c r="E145" s="60" t="str">
        <f>IF(Inicial!M145="SI",Inicial!E145,"N/A")</f>
        <v>N/A</v>
      </c>
      <c r="F145" s="61" t="str">
        <f>IF(Inicial!M145="SI",Inicial!F145,"N/A")</f>
        <v>N/A</v>
      </c>
      <c r="G145" s="61" t="str">
        <f>IF(Inicial!M145="SI",Inicial!G145,"N/A")</f>
        <v>N/A</v>
      </c>
      <c r="H145" s="61" t="str">
        <f>IF(Inicial!M145="SI",Inicial!H145,"N/A")</f>
        <v>N/A</v>
      </c>
      <c r="I145" s="63" t="str">
        <f>IF(Inicial!M145="SI",Inicial!I145,"N/A")</f>
        <v>N/A</v>
      </c>
      <c r="J145" s="11"/>
      <c r="K145" s="11"/>
      <c r="L145" s="11"/>
      <c r="M145" s="11"/>
      <c r="N145" s="11"/>
      <c r="O145" s="11"/>
      <c r="P145" s="11"/>
      <c r="Q145" s="11"/>
      <c r="R145" s="11"/>
      <c r="S145" s="11"/>
      <c r="T145" s="11"/>
      <c r="U145" s="11"/>
      <c r="V145" s="11"/>
      <c r="W145" s="12" t="str" cm="1">
        <f t="array" ref="W145">IF(OR(M145:V145="NO"),"No aceptable","Aceptable")</f>
        <v>Aceptable</v>
      </c>
      <c r="X145" s="11"/>
      <c r="Y145" s="11"/>
      <c r="Z145" s="11"/>
      <c r="AA145" s="11"/>
      <c r="AB145" s="11"/>
      <c r="AC145" s="11"/>
      <c r="AD145" s="11"/>
      <c r="AE145" s="11"/>
      <c r="AF145" s="11"/>
      <c r="AG145" s="11"/>
      <c r="AH145" s="11"/>
      <c r="AI145" s="11"/>
      <c r="AJ145" s="11"/>
      <c r="AK145" s="11"/>
      <c r="AL145" s="11"/>
      <c r="AM145" s="11"/>
      <c r="AN145" s="3" t="str" cm="1">
        <f t="array" ref="AN145">IF(OR(AA145:AM145="SI"),"Critico","No Critico")</f>
        <v>No Critico</v>
      </c>
    </row>
    <row r="146" spans="1:40" ht="15">
      <c r="A146" s="60">
        <f>Inicial!A146</f>
        <v>144</v>
      </c>
      <c r="B146" s="61">
        <f>Inicial!B146</f>
        <v>0</v>
      </c>
      <c r="C146" s="61">
        <f>Inicial!C146</f>
        <v>0</v>
      </c>
      <c r="D146" s="62">
        <f>Inicial!D146</f>
        <v>0</v>
      </c>
      <c r="E146" s="60" t="str">
        <f>IF(Inicial!M146="SI",Inicial!E146,"N/A")</f>
        <v>N/A</v>
      </c>
      <c r="F146" s="61" t="str">
        <f>IF(Inicial!M146="SI",Inicial!F146,"N/A")</f>
        <v>N/A</v>
      </c>
      <c r="G146" s="61" t="str">
        <f>IF(Inicial!M146="SI",Inicial!G146,"N/A")</f>
        <v>N/A</v>
      </c>
      <c r="H146" s="61" t="str">
        <f>IF(Inicial!M146="SI",Inicial!H146,"N/A")</f>
        <v>N/A</v>
      </c>
      <c r="I146" s="63" t="str">
        <f>IF(Inicial!M146="SI",Inicial!I146,"N/A")</f>
        <v>N/A</v>
      </c>
      <c r="J146" s="11"/>
      <c r="K146" s="11"/>
      <c r="L146" s="11"/>
      <c r="M146" s="11"/>
      <c r="N146" s="11"/>
      <c r="O146" s="11"/>
      <c r="P146" s="11"/>
      <c r="Q146" s="11"/>
      <c r="R146" s="11"/>
      <c r="S146" s="11"/>
      <c r="T146" s="11"/>
      <c r="U146" s="11"/>
      <c r="V146" s="11"/>
      <c r="W146" s="12" t="str" cm="1">
        <f t="array" ref="W146">IF(OR(M146:V146="NO"),"No aceptable","Aceptable")</f>
        <v>Aceptable</v>
      </c>
      <c r="X146" s="11"/>
      <c r="Y146" s="11"/>
      <c r="Z146" s="11"/>
      <c r="AA146" s="11"/>
      <c r="AB146" s="11"/>
      <c r="AC146" s="11"/>
      <c r="AD146" s="11"/>
      <c r="AE146" s="11"/>
      <c r="AF146" s="11"/>
      <c r="AG146" s="11"/>
      <c r="AH146" s="11"/>
      <c r="AI146" s="11"/>
      <c r="AJ146" s="11"/>
      <c r="AK146" s="11"/>
      <c r="AL146" s="11"/>
      <c r="AM146" s="11"/>
      <c r="AN146" s="3" t="str" cm="1">
        <f t="array" ref="AN146">IF(OR(AA146:AM146="SI"),"Critico","No Critico")</f>
        <v>No Critico</v>
      </c>
    </row>
    <row r="147" spans="1:40" ht="15">
      <c r="A147" s="60">
        <f>Inicial!A147</f>
        <v>145</v>
      </c>
      <c r="B147" s="61">
        <f>Inicial!B147</f>
        <v>0</v>
      </c>
      <c r="C147" s="61">
        <f>Inicial!C147</f>
        <v>0</v>
      </c>
      <c r="D147" s="62">
        <f>Inicial!D147</f>
        <v>0</v>
      </c>
      <c r="E147" s="60" t="str">
        <f>IF(Inicial!M147="SI",Inicial!E147,"N/A")</f>
        <v>N/A</v>
      </c>
      <c r="F147" s="61" t="str">
        <f>IF(Inicial!M147="SI",Inicial!F147,"N/A")</f>
        <v>N/A</v>
      </c>
      <c r="G147" s="61" t="str">
        <f>IF(Inicial!M147="SI",Inicial!G147,"N/A")</f>
        <v>N/A</v>
      </c>
      <c r="H147" s="61" t="str">
        <f>IF(Inicial!M147="SI",Inicial!H147,"N/A")</f>
        <v>N/A</v>
      </c>
      <c r="I147" s="63" t="str">
        <f>IF(Inicial!M147="SI",Inicial!I147,"N/A")</f>
        <v>N/A</v>
      </c>
      <c r="J147" s="11"/>
      <c r="K147" s="11"/>
      <c r="L147" s="11"/>
      <c r="M147" s="11"/>
      <c r="N147" s="11"/>
      <c r="O147" s="11"/>
      <c r="P147" s="11"/>
      <c r="Q147" s="11"/>
      <c r="R147" s="11"/>
      <c r="S147" s="11"/>
      <c r="T147" s="11"/>
      <c r="U147" s="11"/>
      <c r="V147" s="11"/>
      <c r="W147" s="12" t="str" cm="1">
        <f t="array" ref="W147">IF(OR(M147:V147="NO"),"No aceptable","Aceptable")</f>
        <v>Aceptable</v>
      </c>
      <c r="X147" s="11"/>
      <c r="Y147" s="11"/>
      <c r="Z147" s="11"/>
      <c r="AA147" s="11"/>
      <c r="AB147" s="11"/>
      <c r="AC147" s="11"/>
      <c r="AD147" s="11"/>
      <c r="AE147" s="11"/>
      <c r="AF147" s="11"/>
      <c r="AG147" s="11"/>
      <c r="AH147" s="11"/>
      <c r="AI147" s="11"/>
      <c r="AJ147" s="11"/>
      <c r="AK147" s="11"/>
      <c r="AL147" s="11"/>
      <c r="AM147" s="11"/>
      <c r="AN147" s="3" t="str" cm="1">
        <f t="array" ref="AN147">IF(OR(AA147:AM147="SI"),"Critico","No Critico")</f>
        <v>No Critico</v>
      </c>
    </row>
    <row r="148" spans="1:40" ht="15">
      <c r="A148" s="60">
        <f>Inicial!A148</f>
        <v>146</v>
      </c>
      <c r="B148" s="61">
        <f>Inicial!B148</f>
        <v>0</v>
      </c>
      <c r="C148" s="61">
        <f>Inicial!C148</f>
        <v>0</v>
      </c>
      <c r="D148" s="62">
        <f>Inicial!D148</f>
        <v>0</v>
      </c>
      <c r="E148" s="60" t="str">
        <f>IF(Inicial!M148="SI",Inicial!E148,"N/A")</f>
        <v>N/A</v>
      </c>
      <c r="F148" s="61" t="str">
        <f>IF(Inicial!M148="SI",Inicial!F148,"N/A")</f>
        <v>N/A</v>
      </c>
      <c r="G148" s="61" t="str">
        <f>IF(Inicial!M148="SI",Inicial!G148,"N/A")</f>
        <v>N/A</v>
      </c>
      <c r="H148" s="61" t="str">
        <f>IF(Inicial!M148="SI",Inicial!H148,"N/A")</f>
        <v>N/A</v>
      </c>
      <c r="I148" s="63" t="str">
        <f>IF(Inicial!M148="SI",Inicial!I148,"N/A")</f>
        <v>N/A</v>
      </c>
      <c r="J148" s="11"/>
      <c r="K148" s="11"/>
      <c r="L148" s="11"/>
      <c r="M148" s="11"/>
      <c r="N148" s="11"/>
      <c r="O148" s="11"/>
      <c r="P148" s="11"/>
      <c r="Q148" s="11"/>
      <c r="R148" s="11"/>
      <c r="S148" s="11"/>
      <c r="T148" s="11"/>
      <c r="U148" s="11"/>
      <c r="V148" s="11"/>
      <c r="W148" s="12" t="str" cm="1">
        <f t="array" ref="W148">IF(OR(M148:V148="NO"),"No aceptable","Aceptable")</f>
        <v>Aceptable</v>
      </c>
      <c r="X148" s="11"/>
      <c r="Y148" s="11"/>
      <c r="Z148" s="11"/>
      <c r="AA148" s="11"/>
      <c r="AB148" s="11"/>
      <c r="AC148" s="11"/>
      <c r="AD148" s="11"/>
      <c r="AE148" s="11"/>
      <c r="AF148" s="11"/>
      <c r="AG148" s="11"/>
      <c r="AH148" s="11"/>
      <c r="AI148" s="11"/>
      <c r="AJ148" s="11"/>
      <c r="AK148" s="11"/>
      <c r="AL148" s="11"/>
      <c r="AM148" s="11"/>
      <c r="AN148" s="3" t="str" cm="1">
        <f t="array" ref="AN148">IF(OR(AA148:AM148="SI"),"Critico","No Critico")</f>
        <v>No Critico</v>
      </c>
    </row>
    <row r="149" spans="1:40" ht="15">
      <c r="A149" s="60">
        <f>Inicial!A149</f>
        <v>147</v>
      </c>
      <c r="B149" s="61">
        <f>Inicial!B149</f>
        <v>0</v>
      </c>
      <c r="C149" s="61">
        <f>Inicial!C149</f>
        <v>0</v>
      </c>
      <c r="D149" s="62">
        <f>Inicial!D149</f>
        <v>0</v>
      </c>
      <c r="E149" s="60" t="str">
        <f>IF(Inicial!M149="SI",Inicial!E149,"N/A")</f>
        <v>N/A</v>
      </c>
      <c r="F149" s="61" t="str">
        <f>IF(Inicial!M149="SI",Inicial!F149,"N/A")</f>
        <v>N/A</v>
      </c>
      <c r="G149" s="61" t="str">
        <f>IF(Inicial!M149="SI",Inicial!G149,"N/A")</f>
        <v>N/A</v>
      </c>
      <c r="H149" s="61" t="str">
        <f>IF(Inicial!M149="SI",Inicial!H149,"N/A")</f>
        <v>N/A</v>
      </c>
      <c r="I149" s="63" t="str">
        <f>IF(Inicial!M149="SI",Inicial!I149,"N/A")</f>
        <v>N/A</v>
      </c>
      <c r="J149" s="11"/>
      <c r="K149" s="11"/>
      <c r="L149" s="11"/>
      <c r="M149" s="11"/>
      <c r="N149" s="11"/>
      <c r="O149" s="11"/>
      <c r="P149" s="11"/>
      <c r="Q149" s="11"/>
      <c r="R149" s="11"/>
      <c r="S149" s="11"/>
      <c r="T149" s="11"/>
      <c r="U149" s="11"/>
      <c r="V149" s="11"/>
      <c r="W149" s="12" t="str" cm="1">
        <f t="array" ref="W149">IF(OR(M149:V149="NO"),"No aceptable","Aceptable")</f>
        <v>Aceptable</v>
      </c>
      <c r="X149" s="11"/>
      <c r="Y149" s="11"/>
      <c r="Z149" s="11"/>
      <c r="AA149" s="11"/>
      <c r="AB149" s="11"/>
      <c r="AC149" s="11"/>
      <c r="AD149" s="11"/>
      <c r="AE149" s="11"/>
      <c r="AF149" s="11"/>
      <c r="AG149" s="11"/>
      <c r="AH149" s="11"/>
      <c r="AI149" s="11"/>
      <c r="AJ149" s="11"/>
      <c r="AK149" s="11"/>
      <c r="AL149" s="11"/>
      <c r="AM149" s="11"/>
      <c r="AN149" s="3" t="str" cm="1">
        <f t="array" ref="AN149">IF(OR(AA149:AM149="SI"),"Critico","No Critico")</f>
        <v>No Critico</v>
      </c>
    </row>
    <row r="150" spans="1:40" ht="15">
      <c r="A150" s="60">
        <f>Inicial!A150</f>
        <v>148</v>
      </c>
      <c r="B150" s="61">
        <f>Inicial!B150</f>
        <v>0</v>
      </c>
      <c r="C150" s="61">
        <f>Inicial!C150</f>
        <v>0</v>
      </c>
      <c r="D150" s="62">
        <f>Inicial!D150</f>
        <v>0</v>
      </c>
      <c r="E150" s="60" t="str">
        <f>IF(Inicial!M150="SI",Inicial!E150,"N/A")</f>
        <v>N/A</v>
      </c>
      <c r="F150" s="61" t="str">
        <f>IF(Inicial!M150="SI",Inicial!F150,"N/A")</f>
        <v>N/A</v>
      </c>
      <c r="G150" s="61" t="str">
        <f>IF(Inicial!M150="SI",Inicial!G150,"N/A")</f>
        <v>N/A</v>
      </c>
      <c r="H150" s="61" t="str">
        <f>IF(Inicial!M150="SI",Inicial!H150,"N/A")</f>
        <v>N/A</v>
      </c>
      <c r="I150" s="63" t="str">
        <f>IF(Inicial!M150="SI",Inicial!I150,"N/A")</f>
        <v>N/A</v>
      </c>
      <c r="J150" s="11"/>
      <c r="K150" s="11"/>
      <c r="L150" s="11"/>
      <c r="M150" s="11"/>
      <c r="N150" s="11"/>
      <c r="O150" s="11"/>
      <c r="P150" s="11"/>
      <c r="Q150" s="11"/>
      <c r="R150" s="11"/>
      <c r="S150" s="11"/>
      <c r="T150" s="11"/>
      <c r="U150" s="11"/>
      <c r="V150" s="11"/>
      <c r="W150" s="12" t="str" cm="1">
        <f t="array" ref="W150">IF(OR(M150:V150="NO"),"No aceptable","Aceptable")</f>
        <v>Aceptable</v>
      </c>
      <c r="X150" s="11"/>
      <c r="Y150" s="11"/>
      <c r="Z150" s="11"/>
      <c r="AA150" s="11"/>
      <c r="AB150" s="11"/>
      <c r="AC150" s="11"/>
      <c r="AD150" s="11"/>
      <c r="AE150" s="11"/>
      <c r="AF150" s="11"/>
      <c r="AG150" s="11"/>
      <c r="AH150" s="11"/>
      <c r="AI150" s="11"/>
      <c r="AJ150" s="11"/>
      <c r="AK150" s="11"/>
      <c r="AL150" s="11"/>
      <c r="AM150" s="11"/>
      <c r="AN150" s="3" t="str" cm="1">
        <f t="array" ref="AN150">IF(OR(AA150:AM150="SI"),"Critico","No Critico")</f>
        <v>No Critico</v>
      </c>
    </row>
    <row r="151" spans="1:40" ht="15">
      <c r="A151" s="60">
        <f>Inicial!A151</f>
        <v>149</v>
      </c>
      <c r="B151" s="61">
        <f>Inicial!B151</f>
        <v>0</v>
      </c>
      <c r="C151" s="61">
        <f>Inicial!C151</f>
        <v>0</v>
      </c>
      <c r="D151" s="62">
        <f>Inicial!D151</f>
        <v>0</v>
      </c>
      <c r="E151" s="60" t="str">
        <f>IF(Inicial!M151="SI",Inicial!E151,"N/A")</f>
        <v>N/A</v>
      </c>
      <c r="F151" s="61" t="str">
        <f>IF(Inicial!M151="SI",Inicial!F151,"N/A")</f>
        <v>N/A</v>
      </c>
      <c r="G151" s="61" t="str">
        <f>IF(Inicial!M151="SI",Inicial!G151,"N/A")</f>
        <v>N/A</v>
      </c>
      <c r="H151" s="61" t="str">
        <f>IF(Inicial!M151="SI",Inicial!H151,"N/A")</f>
        <v>N/A</v>
      </c>
      <c r="I151" s="63" t="str">
        <f>IF(Inicial!M151="SI",Inicial!I151,"N/A")</f>
        <v>N/A</v>
      </c>
      <c r="J151" s="11"/>
      <c r="K151" s="11"/>
      <c r="L151" s="11"/>
      <c r="M151" s="11"/>
      <c r="N151" s="11"/>
      <c r="O151" s="11"/>
      <c r="P151" s="11"/>
      <c r="Q151" s="11"/>
      <c r="R151" s="11"/>
      <c r="S151" s="11"/>
      <c r="T151" s="11"/>
      <c r="U151" s="11"/>
      <c r="V151" s="11"/>
      <c r="W151" s="12" t="str" cm="1">
        <f t="array" ref="W151">IF(OR(M151:V151="NO"),"No aceptable","Aceptable")</f>
        <v>Aceptable</v>
      </c>
      <c r="X151" s="11"/>
      <c r="Y151" s="11"/>
      <c r="Z151" s="11"/>
      <c r="AA151" s="11"/>
      <c r="AB151" s="11"/>
      <c r="AC151" s="11"/>
      <c r="AD151" s="11"/>
      <c r="AE151" s="11"/>
      <c r="AF151" s="11"/>
      <c r="AG151" s="11"/>
      <c r="AH151" s="11"/>
      <c r="AI151" s="11"/>
      <c r="AJ151" s="11"/>
      <c r="AK151" s="11"/>
      <c r="AL151" s="11"/>
      <c r="AM151" s="11"/>
      <c r="AN151" s="3" t="str" cm="1">
        <f t="array" ref="AN151">IF(OR(AA151:AM151="SI"),"Critico","No Critico")</f>
        <v>No Critico</v>
      </c>
    </row>
    <row r="152" spans="1:40" ht="15">
      <c r="A152" s="60">
        <f>Inicial!A152</f>
        <v>150</v>
      </c>
      <c r="B152" s="61">
        <f>Inicial!B152</f>
        <v>0</v>
      </c>
      <c r="C152" s="61">
        <f>Inicial!C152</f>
        <v>0</v>
      </c>
      <c r="D152" s="62">
        <f>Inicial!D152</f>
        <v>0</v>
      </c>
      <c r="E152" s="60" t="str">
        <f>IF(Inicial!M152="SI",Inicial!E152,"N/A")</f>
        <v>N/A</v>
      </c>
      <c r="F152" s="61" t="str">
        <f>IF(Inicial!M152="SI",Inicial!F152,"N/A")</f>
        <v>N/A</v>
      </c>
      <c r="G152" s="61" t="str">
        <f>IF(Inicial!M152="SI",Inicial!G152,"N/A")</f>
        <v>N/A</v>
      </c>
      <c r="H152" s="61" t="str">
        <f>IF(Inicial!M152="SI",Inicial!H152,"N/A")</f>
        <v>N/A</v>
      </c>
      <c r="I152" s="63" t="str">
        <f>IF(Inicial!M152="SI",Inicial!I152,"N/A")</f>
        <v>N/A</v>
      </c>
      <c r="J152" s="11"/>
      <c r="K152" s="11"/>
      <c r="L152" s="11"/>
      <c r="M152" s="11"/>
      <c r="N152" s="11"/>
      <c r="O152" s="11"/>
      <c r="P152" s="11"/>
      <c r="Q152" s="11"/>
      <c r="R152" s="11"/>
      <c r="S152" s="11"/>
      <c r="T152" s="11"/>
      <c r="U152" s="11"/>
      <c r="V152" s="11"/>
      <c r="W152" s="12" t="str" cm="1">
        <f t="array" ref="W152">IF(OR(M152:V152="NO"),"No aceptable","Aceptable")</f>
        <v>Aceptable</v>
      </c>
      <c r="X152" s="11"/>
      <c r="Y152" s="11"/>
      <c r="Z152" s="11"/>
      <c r="AA152" s="11"/>
      <c r="AB152" s="11"/>
      <c r="AC152" s="11"/>
      <c r="AD152" s="11"/>
      <c r="AE152" s="11"/>
      <c r="AF152" s="11"/>
      <c r="AG152" s="11"/>
      <c r="AH152" s="11"/>
      <c r="AI152" s="11"/>
      <c r="AJ152" s="11"/>
      <c r="AK152" s="11"/>
      <c r="AL152" s="11"/>
      <c r="AM152" s="11"/>
      <c r="AN152" s="3" t="str" cm="1">
        <f t="array" ref="AN152">IF(OR(AA152:AM152="SI"),"Critico","No Critico")</f>
        <v>No Critico</v>
      </c>
    </row>
    <row r="153" spans="1:40" ht="15">
      <c r="A153" s="60">
        <f>Inicial!A153</f>
        <v>151</v>
      </c>
      <c r="B153" s="61">
        <f>Inicial!B153</f>
        <v>0</v>
      </c>
      <c r="C153" s="61">
        <f>Inicial!C153</f>
        <v>0</v>
      </c>
      <c r="D153" s="62">
        <f>Inicial!D153</f>
        <v>0</v>
      </c>
      <c r="E153" s="60" t="str">
        <f>IF(Inicial!M153="SI",Inicial!E153,"N/A")</f>
        <v>N/A</v>
      </c>
      <c r="F153" s="61" t="str">
        <f>IF(Inicial!M153="SI",Inicial!F153,"N/A")</f>
        <v>N/A</v>
      </c>
      <c r="G153" s="61" t="str">
        <f>IF(Inicial!M153="SI",Inicial!G153,"N/A")</f>
        <v>N/A</v>
      </c>
      <c r="H153" s="61" t="str">
        <f>IF(Inicial!M153="SI",Inicial!H153,"N/A")</f>
        <v>N/A</v>
      </c>
      <c r="I153" s="63" t="str">
        <f>IF(Inicial!M153="SI",Inicial!I153,"N/A")</f>
        <v>N/A</v>
      </c>
      <c r="J153" s="11"/>
      <c r="K153" s="11"/>
      <c r="L153" s="11"/>
      <c r="M153" s="11"/>
      <c r="N153" s="11"/>
      <c r="O153" s="11"/>
      <c r="P153" s="11"/>
      <c r="Q153" s="11"/>
      <c r="R153" s="11"/>
      <c r="S153" s="11"/>
      <c r="T153" s="11"/>
      <c r="U153" s="11"/>
      <c r="V153" s="11"/>
      <c r="W153" s="12" t="str" cm="1">
        <f t="array" ref="W153">IF(OR(M153:V153="NO"),"No aceptable","Aceptable")</f>
        <v>Aceptable</v>
      </c>
      <c r="X153" s="11"/>
      <c r="Y153" s="11"/>
      <c r="Z153" s="11"/>
      <c r="AA153" s="11"/>
      <c r="AB153" s="11"/>
      <c r="AC153" s="11"/>
      <c r="AD153" s="11"/>
      <c r="AE153" s="11"/>
      <c r="AF153" s="11"/>
      <c r="AG153" s="11"/>
      <c r="AH153" s="11"/>
      <c r="AI153" s="11"/>
      <c r="AJ153" s="11"/>
      <c r="AK153" s="11"/>
      <c r="AL153" s="11"/>
      <c r="AM153" s="11"/>
      <c r="AN153" s="3" t="str" cm="1">
        <f t="array" ref="AN153">IF(OR(AA153:AM153="SI"),"Critico","No Critico")</f>
        <v>No Critico</v>
      </c>
    </row>
    <row r="154" spans="1:40" ht="15">
      <c r="A154" s="60">
        <f>Inicial!A154</f>
        <v>152</v>
      </c>
      <c r="B154" s="61">
        <f>Inicial!B154</f>
        <v>0</v>
      </c>
      <c r="C154" s="61">
        <f>Inicial!C154</f>
        <v>0</v>
      </c>
      <c r="D154" s="62">
        <f>Inicial!D154</f>
        <v>0</v>
      </c>
      <c r="E154" s="60" t="str">
        <f>IF(Inicial!M154="SI",Inicial!E154,"N/A")</f>
        <v>N/A</v>
      </c>
      <c r="F154" s="61" t="str">
        <f>IF(Inicial!M154="SI",Inicial!F154,"N/A")</f>
        <v>N/A</v>
      </c>
      <c r="G154" s="61" t="str">
        <f>IF(Inicial!M154="SI",Inicial!G154,"N/A")</f>
        <v>N/A</v>
      </c>
      <c r="H154" s="61" t="str">
        <f>IF(Inicial!M154="SI",Inicial!H154,"N/A")</f>
        <v>N/A</v>
      </c>
      <c r="I154" s="63" t="str">
        <f>IF(Inicial!M154="SI",Inicial!I154,"N/A")</f>
        <v>N/A</v>
      </c>
      <c r="J154" s="11"/>
      <c r="K154" s="11"/>
      <c r="L154" s="11"/>
      <c r="M154" s="11"/>
      <c r="N154" s="11"/>
      <c r="O154" s="11"/>
      <c r="P154" s="11"/>
      <c r="Q154" s="11"/>
      <c r="R154" s="11"/>
      <c r="S154" s="11"/>
      <c r="T154" s="11"/>
      <c r="U154" s="11"/>
      <c r="V154" s="11"/>
      <c r="W154" s="12" t="str" cm="1">
        <f t="array" ref="W154">IF(OR(M154:V154="NO"),"No aceptable","Aceptable")</f>
        <v>Aceptable</v>
      </c>
      <c r="X154" s="11"/>
      <c r="Y154" s="11"/>
      <c r="Z154" s="11"/>
      <c r="AA154" s="11"/>
      <c r="AB154" s="11"/>
      <c r="AC154" s="11"/>
      <c r="AD154" s="11"/>
      <c r="AE154" s="11"/>
      <c r="AF154" s="11"/>
      <c r="AG154" s="11"/>
      <c r="AH154" s="11"/>
      <c r="AI154" s="11"/>
      <c r="AJ154" s="11"/>
      <c r="AK154" s="11"/>
      <c r="AL154" s="11"/>
      <c r="AM154" s="11"/>
      <c r="AN154" s="3" t="str" cm="1">
        <f t="array" ref="AN154">IF(OR(AA154:AM154="SI"),"Critico","No Critico")</f>
        <v>No Critico</v>
      </c>
    </row>
    <row r="155" spans="1:40" ht="15">
      <c r="A155" s="60">
        <f>Inicial!A155</f>
        <v>153</v>
      </c>
      <c r="B155" s="61">
        <f>Inicial!B155</f>
        <v>0</v>
      </c>
      <c r="C155" s="61">
        <f>Inicial!C155</f>
        <v>0</v>
      </c>
      <c r="D155" s="62">
        <f>Inicial!D155</f>
        <v>0</v>
      </c>
      <c r="E155" s="60" t="str">
        <f>IF(Inicial!M155="SI",Inicial!E155,"N/A")</f>
        <v>N/A</v>
      </c>
      <c r="F155" s="61" t="str">
        <f>IF(Inicial!M155="SI",Inicial!F155,"N/A")</f>
        <v>N/A</v>
      </c>
      <c r="G155" s="61" t="str">
        <f>IF(Inicial!M155="SI",Inicial!G155,"N/A")</f>
        <v>N/A</v>
      </c>
      <c r="H155" s="61" t="str">
        <f>IF(Inicial!M155="SI",Inicial!H155,"N/A")</f>
        <v>N/A</v>
      </c>
      <c r="I155" s="63" t="str">
        <f>IF(Inicial!M155="SI",Inicial!I155,"N/A")</f>
        <v>N/A</v>
      </c>
      <c r="J155" s="11"/>
      <c r="K155" s="11"/>
      <c r="L155" s="11"/>
      <c r="M155" s="11"/>
      <c r="N155" s="11"/>
      <c r="O155" s="11"/>
      <c r="P155" s="11"/>
      <c r="Q155" s="11"/>
      <c r="R155" s="11"/>
      <c r="S155" s="11"/>
      <c r="T155" s="11"/>
      <c r="U155" s="11"/>
      <c r="V155" s="11"/>
      <c r="W155" s="12" t="str" cm="1">
        <f t="array" ref="W155">IF(OR(M155:V155="NO"),"No aceptable","Aceptable")</f>
        <v>Aceptable</v>
      </c>
      <c r="X155" s="11"/>
      <c r="Y155" s="11"/>
      <c r="Z155" s="11"/>
      <c r="AA155" s="11"/>
      <c r="AB155" s="11"/>
      <c r="AC155" s="11"/>
      <c r="AD155" s="11"/>
      <c r="AE155" s="11"/>
      <c r="AF155" s="11"/>
      <c r="AG155" s="11"/>
      <c r="AH155" s="11"/>
      <c r="AI155" s="11"/>
      <c r="AJ155" s="11"/>
      <c r="AK155" s="11"/>
      <c r="AL155" s="11"/>
      <c r="AM155" s="11"/>
      <c r="AN155" s="3" t="str" cm="1">
        <f t="array" ref="AN155">IF(OR(AA155:AM155="SI"),"Critico","No Critico")</f>
        <v>No Critico</v>
      </c>
    </row>
    <row r="156" spans="1:40" ht="15">
      <c r="A156" s="60">
        <f>Inicial!A156</f>
        <v>154</v>
      </c>
      <c r="B156" s="61">
        <f>Inicial!B156</f>
        <v>0</v>
      </c>
      <c r="C156" s="61">
        <f>Inicial!C156</f>
        <v>0</v>
      </c>
      <c r="D156" s="62">
        <f>Inicial!D156</f>
        <v>0</v>
      </c>
      <c r="E156" s="60" t="str">
        <f>IF(Inicial!M156="SI",Inicial!E156,"N/A")</f>
        <v>N/A</v>
      </c>
      <c r="F156" s="61" t="str">
        <f>IF(Inicial!M156="SI",Inicial!F156,"N/A")</f>
        <v>N/A</v>
      </c>
      <c r="G156" s="61" t="str">
        <f>IF(Inicial!M156="SI",Inicial!G156,"N/A")</f>
        <v>N/A</v>
      </c>
      <c r="H156" s="61" t="str">
        <f>IF(Inicial!M156="SI",Inicial!H156,"N/A")</f>
        <v>N/A</v>
      </c>
      <c r="I156" s="63" t="str">
        <f>IF(Inicial!M156="SI",Inicial!I156,"N/A")</f>
        <v>N/A</v>
      </c>
      <c r="J156" s="11"/>
      <c r="K156" s="11"/>
      <c r="L156" s="11"/>
      <c r="M156" s="11"/>
      <c r="N156" s="11"/>
      <c r="O156" s="11"/>
      <c r="P156" s="11"/>
      <c r="Q156" s="11"/>
      <c r="R156" s="11"/>
      <c r="S156" s="11"/>
      <c r="T156" s="11"/>
      <c r="U156" s="11"/>
      <c r="V156" s="11"/>
      <c r="W156" s="12" t="str" cm="1">
        <f t="array" ref="W156">IF(OR(M156:V156="NO"),"No aceptable","Aceptable")</f>
        <v>Aceptable</v>
      </c>
      <c r="X156" s="11"/>
      <c r="Y156" s="11"/>
      <c r="Z156" s="11"/>
      <c r="AA156" s="11"/>
      <c r="AB156" s="11"/>
      <c r="AC156" s="11"/>
      <c r="AD156" s="11"/>
      <c r="AE156" s="11"/>
      <c r="AF156" s="11"/>
      <c r="AG156" s="11"/>
      <c r="AH156" s="11"/>
      <c r="AI156" s="11"/>
      <c r="AJ156" s="11"/>
      <c r="AK156" s="11"/>
      <c r="AL156" s="11"/>
      <c r="AM156" s="11"/>
      <c r="AN156" s="3" t="str" cm="1">
        <f t="array" ref="AN156">IF(OR(AA156:AM156="SI"),"Critico","No Critico")</f>
        <v>No Critico</v>
      </c>
    </row>
    <row r="157" spans="1:40" ht="15">
      <c r="A157" s="60">
        <f>Inicial!A157</f>
        <v>155</v>
      </c>
      <c r="B157" s="61">
        <f>Inicial!B157</f>
        <v>0</v>
      </c>
      <c r="C157" s="61">
        <f>Inicial!C157</f>
        <v>0</v>
      </c>
      <c r="D157" s="62">
        <f>Inicial!D157</f>
        <v>0</v>
      </c>
      <c r="E157" s="60" t="str">
        <f>IF(Inicial!M157="SI",Inicial!E157,"N/A")</f>
        <v>N/A</v>
      </c>
      <c r="F157" s="61" t="str">
        <f>IF(Inicial!M157="SI",Inicial!F157,"N/A")</f>
        <v>N/A</v>
      </c>
      <c r="G157" s="61" t="str">
        <f>IF(Inicial!M157="SI",Inicial!G157,"N/A")</f>
        <v>N/A</v>
      </c>
      <c r="H157" s="61" t="str">
        <f>IF(Inicial!M157="SI",Inicial!H157,"N/A")</f>
        <v>N/A</v>
      </c>
      <c r="I157" s="63" t="str">
        <f>IF(Inicial!M157="SI",Inicial!I157,"N/A")</f>
        <v>N/A</v>
      </c>
      <c r="J157" s="11"/>
      <c r="K157" s="11"/>
      <c r="L157" s="11"/>
      <c r="M157" s="11"/>
      <c r="N157" s="11"/>
      <c r="O157" s="11"/>
      <c r="P157" s="11"/>
      <c r="Q157" s="11"/>
      <c r="R157" s="11"/>
      <c r="S157" s="11"/>
      <c r="T157" s="11"/>
      <c r="U157" s="11"/>
      <c r="V157" s="11"/>
      <c r="W157" s="12" t="str" cm="1">
        <f t="array" ref="W157">IF(OR(M157:V157="NO"),"No aceptable","Aceptable")</f>
        <v>Aceptable</v>
      </c>
      <c r="X157" s="11"/>
      <c r="Y157" s="11"/>
      <c r="Z157" s="11"/>
      <c r="AA157" s="11"/>
      <c r="AB157" s="11"/>
      <c r="AC157" s="11"/>
      <c r="AD157" s="11"/>
      <c r="AE157" s="11"/>
      <c r="AF157" s="11"/>
      <c r="AG157" s="11"/>
      <c r="AH157" s="11"/>
      <c r="AI157" s="11"/>
      <c r="AJ157" s="11"/>
      <c r="AK157" s="11"/>
      <c r="AL157" s="11"/>
      <c r="AM157" s="11"/>
      <c r="AN157" s="3" t="str" cm="1">
        <f t="array" ref="AN157">IF(OR(AA157:AM157="SI"),"Critico","No Critico")</f>
        <v>No Critico</v>
      </c>
    </row>
    <row r="158" spans="1:40" ht="15">
      <c r="A158" s="60">
        <f>Inicial!A158</f>
        <v>156</v>
      </c>
      <c r="B158" s="61">
        <f>Inicial!B158</f>
        <v>0</v>
      </c>
      <c r="C158" s="61">
        <f>Inicial!C158</f>
        <v>0</v>
      </c>
      <c r="D158" s="62">
        <f>Inicial!D158</f>
        <v>0</v>
      </c>
      <c r="E158" s="60" t="str">
        <f>IF(Inicial!M158="SI",Inicial!E158,"N/A")</f>
        <v>N/A</v>
      </c>
      <c r="F158" s="61" t="str">
        <f>IF(Inicial!M158="SI",Inicial!F158,"N/A")</f>
        <v>N/A</v>
      </c>
      <c r="G158" s="61" t="str">
        <f>IF(Inicial!M158="SI",Inicial!G158,"N/A")</f>
        <v>N/A</v>
      </c>
      <c r="H158" s="61" t="str">
        <f>IF(Inicial!M158="SI",Inicial!H158,"N/A")</f>
        <v>N/A</v>
      </c>
      <c r="I158" s="63" t="str">
        <f>IF(Inicial!M158="SI",Inicial!I158,"N/A")</f>
        <v>N/A</v>
      </c>
      <c r="J158" s="11"/>
      <c r="K158" s="11"/>
      <c r="L158" s="11"/>
      <c r="M158" s="11"/>
      <c r="N158" s="11"/>
      <c r="O158" s="11"/>
      <c r="P158" s="11"/>
      <c r="Q158" s="11"/>
      <c r="R158" s="11"/>
      <c r="S158" s="11"/>
      <c r="T158" s="11"/>
      <c r="U158" s="11"/>
      <c r="V158" s="11"/>
      <c r="W158" s="12" t="str" cm="1">
        <f t="array" ref="W158">IF(OR(M158:V158="NO"),"No aceptable","Aceptable")</f>
        <v>Aceptable</v>
      </c>
      <c r="X158" s="11"/>
      <c r="Y158" s="11"/>
      <c r="Z158" s="11"/>
      <c r="AA158" s="11"/>
      <c r="AB158" s="11"/>
      <c r="AC158" s="11"/>
      <c r="AD158" s="11"/>
      <c r="AE158" s="11"/>
      <c r="AF158" s="11"/>
      <c r="AG158" s="11"/>
      <c r="AH158" s="11"/>
      <c r="AI158" s="11"/>
      <c r="AJ158" s="11"/>
      <c r="AK158" s="11"/>
      <c r="AL158" s="11"/>
      <c r="AM158" s="11"/>
      <c r="AN158" s="3" t="str" cm="1">
        <f t="array" ref="AN158">IF(OR(AA158:AM158="SI"),"Critico","No Critico")</f>
        <v>No Critico</v>
      </c>
    </row>
    <row r="159" spans="1:40" ht="15">
      <c r="A159" s="60">
        <f>Inicial!A159</f>
        <v>157</v>
      </c>
      <c r="B159" s="61">
        <f>Inicial!B159</f>
        <v>0</v>
      </c>
      <c r="C159" s="61">
        <f>Inicial!C159</f>
        <v>0</v>
      </c>
      <c r="D159" s="62">
        <f>Inicial!D159</f>
        <v>0</v>
      </c>
      <c r="E159" s="60" t="str">
        <f>IF(Inicial!M159="SI",Inicial!E159,"N/A")</f>
        <v>N/A</v>
      </c>
      <c r="F159" s="61" t="str">
        <f>IF(Inicial!M159="SI",Inicial!F159,"N/A")</f>
        <v>N/A</v>
      </c>
      <c r="G159" s="61" t="str">
        <f>IF(Inicial!M159="SI",Inicial!G159,"N/A")</f>
        <v>N/A</v>
      </c>
      <c r="H159" s="61" t="str">
        <f>IF(Inicial!M159="SI",Inicial!H159,"N/A")</f>
        <v>N/A</v>
      </c>
      <c r="I159" s="63" t="str">
        <f>IF(Inicial!M159="SI",Inicial!I159,"N/A")</f>
        <v>N/A</v>
      </c>
      <c r="J159" s="11"/>
      <c r="K159" s="11"/>
      <c r="L159" s="11"/>
      <c r="M159" s="11"/>
      <c r="N159" s="11"/>
      <c r="O159" s="11"/>
      <c r="P159" s="11"/>
      <c r="Q159" s="11"/>
      <c r="R159" s="11"/>
      <c r="S159" s="11"/>
      <c r="T159" s="11"/>
      <c r="U159" s="11"/>
      <c r="V159" s="11"/>
      <c r="W159" s="12" t="str" cm="1">
        <f t="array" ref="W159">IF(OR(M159:V159="NO"),"No aceptable","Aceptable")</f>
        <v>Aceptable</v>
      </c>
      <c r="X159" s="11"/>
      <c r="Y159" s="11"/>
      <c r="Z159" s="11"/>
      <c r="AA159" s="11"/>
      <c r="AB159" s="11"/>
      <c r="AC159" s="11"/>
      <c r="AD159" s="11"/>
      <c r="AE159" s="11"/>
      <c r="AF159" s="11"/>
      <c r="AG159" s="11"/>
      <c r="AH159" s="11"/>
      <c r="AI159" s="11"/>
      <c r="AJ159" s="11"/>
      <c r="AK159" s="11"/>
      <c r="AL159" s="11"/>
      <c r="AM159" s="11"/>
      <c r="AN159" s="3" t="str" cm="1">
        <f t="array" ref="AN159">IF(OR(AA159:AM159="SI"),"Critico","No Critico")</f>
        <v>No Critico</v>
      </c>
    </row>
    <row r="160" spans="1:40" ht="15">
      <c r="A160" s="60">
        <f>Inicial!A160</f>
        <v>158</v>
      </c>
      <c r="B160" s="61">
        <f>Inicial!B160</f>
        <v>0</v>
      </c>
      <c r="C160" s="61">
        <f>Inicial!C160</f>
        <v>0</v>
      </c>
      <c r="D160" s="62">
        <f>Inicial!D160</f>
        <v>0</v>
      </c>
      <c r="E160" s="60" t="str">
        <f>IF(Inicial!M160="SI",Inicial!E160,"N/A")</f>
        <v>N/A</v>
      </c>
      <c r="F160" s="61" t="str">
        <f>IF(Inicial!M160="SI",Inicial!F160,"N/A")</f>
        <v>N/A</v>
      </c>
      <c r="G160" s="61" t="str">
        <f>IF(Inicial!M160="SI",Inicial!G160,"N/A")</f>
        <v>N/A</v>
      </c>
      <c r="H160" s="61" t="str">
        <f>IF(Inicial!M160="SI",Inicial!H160,"N/A")</f>
        <v>N/A</v>
      </c>
      <c r="I160" s="63" t="str">
        <f>IF(Inicial!M160="SI",Inicial!I160,"N/A")</f>
        <v>N/A</v>
      </c>
      <c r="J160" s="11"/>
      <c r="K160" s="11"/>
      <c r="L160" s="11"/>
      <c r="M160" s="11"/>
      <c r="N160" s="11"/>
      <c r="O160" s="11"/>
      <c r="P160" s="11"/>
      <c r="Q160" s="11"/>
      <c r="R160" s="11"/>
      <c r="S160" s="11"/>
      <c r="T160" s="11"/>
      <c r="U160" s="11"/>
      <c r="V160" s="11"/>
      <c r="W160" s="12" t="str" cm="1">
        <f t="array" ref="W160">IF(OR(M160:V160="NO"),"No aceptable","Aceptable")</f>
        <v>Aceptable</v>
      </c>
      <c r="X160" s="11"/>
      <c r="Y160" s="11"/>
      <c r="Z160" s="11"/>
      <c r="AA160" s="11"/>
      <c r="AB160" s="11"/>
      <c r="AC160" s="11"/>
      <c r="AD160" s="11"/>
      <c r="AE160" s="11"/>
      <c r="AF160" s="11"/>
      <c r="AG160" s="11"/>
      <c r="AH160" s="11"/>
      <c r="AI160" s="11"/>
      <c r="AJ160" s="11"/>
      <c r="AK160" s="11"/>
      <c r="AL160" s="11"/>
      <c r="AM160" s="11"/>
      <c r="AN160" s="3" t="str" cm="1">
        <f t="array" ref="AN160">IF(OR(AA160:AM160="SI"),"Critico","No Critico")</f>
        <v>No Critico</v>
      </c>
    </row>
    <row r="161" spans="1:40" ht="15">
      <c r="A161" s="60">
        <f>Inicial!A161</f>
        <v>159</v>
      </c>
      <c r="B161" s="61">
        <f>Inicial!B161</f>
        <v>0</v>
      </c>
      <c r="C161" s="61">
        <f>Inicial!C161</f>
        <v>0</v>
      </c>
      <c r="D161" s="62">
        <f>Inicial!D161</f>
        <v>0</v>
      </c>
      <c r="E161" s="60" t="str">
        <f>IF(Inicial!M161="SI",Inicial!E161,"N/A")</f>
        <v>N/A</v>
      </c>
      <c r="F161" s="61" t="str">
        <f>IF(Inicial!M161="SI",Inicial!F161,"N/A")</f>
        <v>N/A</v>
      </c>
      <c r="G161" s="61" t="str">
        <f>IF(Inicial!M161="SI",Inicial!G161,"N/A")</f>
        <v>N/A</v>
      </c>
      <c r="H161" s="61" t="str">
        <f>IF(Inicial!M161="SI",Inicial!H161,"N/A")</f>
        <v>N/A</v>
      </c>
      <c r="I161" s="63" t="str">
        <f>IF(Inicial!M161="SI",Inicial!I161,"N/A")</f>
        <v>N/A</v>
      </c>
      <c r="J161" s="11"/>
      <c r="K161" s="11"/>
      <c r="L161" s="11"/>
      <c r="M161" s="11"/>
      <c r="N161" s="11"/>
      <c r="O161" s="11"/>
      <c r="P161" s="11"/>
      <c r="Q161" s="11"/>
      <c r="R161" s="11"/>
      <c r="S161" s="11"/>
      <c r="T161" s="11"/>
      <c r="U161" s="11"/>
      <c r="V161" s="11"/>
      <c r="W161" s="12" t="str" cm="1">
        <f t="array" ref="W161">IF(OR(M161:V161="NO"),"No aceptable","Aceptable")</f>
        <v>Aceptable</v>
      </c>
      <c r="X161" s="11"/>
      <c r="Y161" s="11"/>
      <c r="Z161" s="11"/>
      <c r="AA161" s="11"/>
      <c r="AB161" s="11"/>
      <c r="AC161" s="11"/>
      <c r="AD161" s="11"/>
      <c r="AE161" s="11"/>
      <c r="AF161" s="11"/>
      <c r="AG161" s="11"/>
      <c r="AH161" s="11"/>
      <c r="AI161" s="11"/>
      <c r="AJ161" s="11"/>
      <c r="AK161" s="11"/>
      <c r="AL161" s="11"/>
      <c r="AM161" s="11"/>
      <c r="AN161" s="3" t="str" cm="1">
        <f t="array" ref="AN161">IF(OR(AA161:AM161="SI"),"Critico","No Critico")</f>
        <v>No Critico</v>
      </c>
    </row>
    <row r="162" spans="1:40" ht="15">
      <c r="A162" s="60">
        <f>Inicial!A162</f>
        <v>160</v>
      </c>
      <c r="B162" s="61">
        <f>Inicial!B162</f>
        <v>0</v>
      </c>
      <c r="C162" s="61">
        <f>Inicial!C162</f>
        <v>0</v>
      </c>
      <c r="D162" s="62">
        <f>Inicial!D162</f>
        <v>0</v>
      </c>
      <c r="E162" s="60" t="str">
        <f>IF(Inicial!M162="SI",Inicial!E162,"N/A")</f>
        <v>N/A</v>
      </c>
      <c r="F162" s="61" t="str">
        <f>IF(Inicial!M162="SI",Inicial!F162,"N/A")</f>
        <v>N/A</v>
      </c>
      <c r="G162" s="61" t="str">
        <f>IF(Inicial!M162="SI",Inicial!G162,"N/A")</f>
        <v>N/A</v>
      </c>
      <c r="H162" s="61" t="str">
        <f>IF(Inicial!M162="SI",Inicial!H162,"N/A")</f>
        <v>N/A</v>
      </c>
      <c r="I162" s="63" t="str">
        <f>IF(Inicial!M162="SI",Inicial!I162,"N/A")</f>
        <v>N/A</v>
      </c>
      <c r="J162" s="11"/>
      <c r="K162" s="11"/>
      <c r="L162" s="11"/>
      <c r="M162" s="11"/>
      <c r="N162" s="11"/>
      <c r="O162" s="11"/>
      <c r="P162" s="11"/>
      <c r="Q162" s="11"/>
      <c r="R162" s="11"/>
      <c r="S162" s="11"/>
      <c r="T162" s="11"/>
      <c r="U162" s="11"/>
      <c r="V162" s="11"/>
      <c r="W162" s="12" t="str" cm="1">
        <f t="array" ref="W162">IF(OR(M162:V162="NO"),"No aceptable","Aceptable")</f>
        <v>Aceptable</v>
      </c>
      <c r="X162" s="11"/>
      <c r="Y162" s="11"/>
      <c r="Z162" s="11"/>
      <c r="AA162" s="11"/>
      <c r="AB162" s="11"/>
      <c r="AC162" s="11"/>
      <c r="AD162" s="11"/>
      <c r="AE162" s="11"/>
      <c r="AF162" s="11"/>
      <c r="AG162" s="11"/>
      <c r="AH162" s="11"/>
      <c r="AI162" s="11"/>
      <c r="AJ162" s="11"/>
      <c r="AK162" s="11"/>
      <c r="AL162" s="11"/>
      <c r="AM162" s="11"/>
      <c r="AN162" s="3" t="str" cm="1">
        <f t="array" ref="AN162">IF(OR(AA162:AM162="SI"),"Critico","No Critico")</f>
        <v>No Critico</v>
      </c>
    </row>
    <row r="163" spans="1:40" ht="15">
      <c r="A163" s="60">
        <f>Inicial!A163</f>
        <v>161</v>
      </c>
      <c r="B163" s="61">
        <f>Inicial!B163</f>
        <v>0</v>
      </c>
      <c r="C163" s="61">
        <f>Inicial!C163</f>
        <v>0</v>
      </c>
      <c r="D163" s="62">
        <f>Inicial!D163</f>
        <v>0</v>
      </c>
      <c r="E163" s="60" t="str">
        <f>IF(Inicial!M163="SI",Inicial!E163,"N/A")</f>
        <v>N/A</v>
      </c>
      <c r="F163" s="61" t="str">
        <f>IF(Inicial!M163="SI",Inicial!F163,"N/A")</f>
        <v>N/A</v>
      </c>
      <c r="G163" s="61" t="str">
        <f>IF(Inicial!M163="SI",Inicial!G163,"N/A")</f>
        <v>N/A</v>
      </c>
      <c r="H163" s="61" t="str">
        <f>IF(Inicial!M163="SI",Inicial!H163,"N/A")</f>
        <v>N/A</v>
      </c>
      <c r="I163" s="63" t="str">
        <f>IF(Inicial!M163="SI",Inicial!I163,"N/A")</f>
        <v>N/A</v>
      </c>
      <c r="J163" s="11"/>
      <c r="K163" s="11"/>
      <c r="L163" s="11"/>
      <c r="M163" s="11"/>
      <c r="N163" s="11"/>
      <c r="O163" s="11"/>
      <c r="P163" s="11"/>
      <c r="Q163" s="11"/>
      <c r="R163" s="11"/>
      <c r="S163" s="11"/>
      <c r="T163" s="11"/>
      <c r="U163" s="11"/>
      <c r="V163" s="11"/>
      <c r="W163" s="12" t="str" cm="1">
        <f t="array" ref="W163">IF(OR(M163:V163="NO"),"No aceptable","Aceptable")</f>
        <v>Aceptable</v>
      </c>
      <c r="X163" s="11"/>
      <c r="Y163" s="11"/>
      <c r="Z163" s="11"/>
      <c r="AA163" s="11"/>
      <c r="AB163" s="11"/>
      <c r="AC163" s="11"/>
      <c r="AD163" s="11"/>
      <c r="AE163" s="11"/>
      <c r="AF163" s="11"/>
      <c r="AG163" s="11"/>
      <c r="AH163" s="11"/>
      <c r="AI163" s="11"/>
      <c r="AJ163" s="11"/>
      <c r="AK163" s="11"/>
      <c r="AL163" s="11"/>
      <c r="AM163" s="11"/>
      <c r="AN163" s="3" t="str" cm="1">
        <f t="array" ref="AN163">IF(OR(AA163:AM163="SI"),"Critico","No Critico")</f>
        <v>No Critico</v>
      </c>
    </row>
    <row r="164" spans="1:40" ht="15">
      <c r="A164" s="60">
        <f>Inicial!A164</f>
        <v>162</v>
      </c>
      <c r="B164" s="61">
        <f>Inicial!B164</f>
        <v>0</v>
      </c>
      <c r="C164" s="61">
        <f>Inicial!C164</f>
        <v>0</v>
      </c>
      <c r="D164" s="62">
        <f>Inicial!D164</f>
        <v>0</v>
      </c>
      <c r="E164" s="60" t="str">
        <f>IF(Inicial!M164="SI",Inicial!E164,"N/A")</f>
        <v>N/A</v>
      </c>
      <c r="F164" s="61" t="str">
        <f>IF(Inicial!M164="SI",Inicial!F164,"N/A")</f>
        <v>N/A</v>
      </c>
      <c r="G164" s="61" t="str">
        <f>IF(Inicial!M164="SI",Inicial!G164,"N/A")</f>
        <v>N/A</v>
      </c>
      <c r="H164" s="61" t="str">
        <f>IF(Inicial!M164="SI",Inicial!H164,"N/A")</f>
        <v>N/A</v>
      </c>
      <c r="I164" s="63" t="str">
        <f>IF(Inicial!M164="SI",Inicial!I164,"N/A")</f>
        <v>N/A</v>
      </c>
      <c r="J164" s="11"/>
      <c r="K164" s="11"/>
      <c r="L164" s="11"/>
      <c r="M164" s="11"/>
      <c r="N164" s="11"/>
      <c r="O164" s="11"/>
      <c r="P164" s="11"/>
      <c r="Q164" s="11"/>
      <c r="R164" s="11"/>
      <c r="S164" s="11"/>
      <c r="T164" s="11"/>
      <c r="U164" s="11"/>
      <c r="V164" s="11"/>
      <c r="W164" s="12" t="str" cm="1">
        <f t="array" ref="W164">IF(OR(M164:V164="NO"),"No aceptable","Aceptable")</f>
        <v>Aceptable</v>
      </c>
      <c r="X164" s="11"/>
      <c r="Y164" s="11"/>
      <c r="Z164" s="11"/>
      <c r="AA164" s="11"/>
      <c r="AB164" s="11"/>
      <c r="AC164" s="11"/>
      <c r="AD164" s="11"/>
      <c r="AE164" s="11"/>
      <c r="AF164" s="11"/>
      <c r="AG164" s="11"/>
      <c r="AH164" s="11"/>
      <c r="AI164" s="11"/>
      <c r="AJ164" s="11"/>
      <c r="AK164" s="11"/>
      <c r="AL164" s="11"/>
      <c r="AM164" s="11"/>
      <c r="AN164" s="3" t="str" cm="1">
        <f t="array" ref="AN164">IF(OR(AA164:AM164="SI"),"Critico","No Critico")</f>
        <v>No Critico</v>
      </c>
    </row>
    <row r="165" spans="1:40" ht="15">
      <c r="A165" s="60">
        <f>Inicial!A165</f>
        <v>163</v>
      </c>
      <c r="B165" s="61">
        <f>Inicial!B165</f>
        <v>0</v>
      </c>
      <c r="C165" s="61">
        <f>Inicial!C165</f>
        <v>0</v>
      </c>
      <c r="D165" s="62">
        <f>Inicial!D165</f>
        <v>0</v>
      </c>
      <c r="E165" s="60" t="str">
        <f>IF(Inicial!M165="SI",Inicial!E165,"N/A")</f>
        <v>N/A</v>
      </c>
      <c r="F165" s="61" t="str">
        <f>IF(Inicial!M165="SI",Inicial!F165,"N/A")</f>
        <v>N/A</v>
      </c>
      <c r="G165" s="61" t="str">
        <f>IF(Inicial!M165="SI",Inicial!G165,"N/A")</f>
        <v>N/A</v>
      </c>
      <c r="H165" s="61" t="str">
        <f>IF(Inicial!M165="SI",Inicial!H165,"N/A")</f>
        <v>N/A</v>
      </c>
      <c r="I165" s="63" t="str">
        <f>IF(Inicial!M165="SI",Inicial!I165,"N/A")</f>
        <v>N/A</v>
      </c>
      <c r="J165" s="11"/>
      <c r="K165" s="11"/>
      <c r="L165" s="11"/>
      <c r="M165" s="11"/>
      <c r="N165" s="11"/>
      <c r="O165" s="11"/>
      <c r="P165" s="11"/>
      <c r="Q165" s="11"/>
      <c r="R165" s="11"/>
      <c r="S165" s="11"/>
      <c r="T165" s="11"/>
      <c r="U165" s="11"/>
      <c r="V165" s="11"/>
      <c r="W165" s="12" t="str" cm="1">
        <f t="array" ref="W165">IF(OR(M165:V165="NO"),"No aceptable","Aceptable")</f>
        <v>Aceptable</v>
      </c>
      <c r="X165" s="11"/>
      <c r="Y165" s="11"/>
      <c r="Z165" s="11"/>
      <c r="AA165" s="11"/>
      <c r="AB165" s="11"/>
      <c r="AC165" s="11"/>
      <c r="AD165" s="11"/>
      <c r="AE165" s="11"/>
      <c r="AF165" s="11"/>
      <c r="AG165" s="11"/>
      <c r="AH165" s="11"/>
      <c r="AI165" s="11"/>
      <c r="AJ165" s="11"/>
      <c r="AK165" s="11"/>
      <c r="AL165" s="11"/>
      <c r="AM165" s="11"/>
      <c r="AN165" s="3" t="str" cm="1">
        <f t="array" ref="AN165">IF(OR(AA165:AM165="SI"),"Critico","No Critico")</f>
        <v>No Critico</v>
      </c>
    </row>
    <row r="166" spans="1:40" ht="15">
      <c r="A166" s="60">
        <f>Inicial!A166</f>
        <v>164</v>
      </c>
      <c r="B166" s="61">
        <f>Inicial!B166</f>
        <v>0</v>
      </c>
      <c r="C166" s="61">
        <f>Inicial!C166</f>
        <v>0</v>
      </c>
      <c r="D166" s="62">
        <f>Inicial!D166</f>
        <v>0</v>
      </c>
      <c r="E166" s="60" t="str">
        <f>IF(Inicial!M166="SI",Inicial!E166,"N/A")</f>
        <v>N/A</v>
      </c>
      <c r="F166" s="61" t="str">
        <f>IF(Inicial!M166="SI",Inicial!F166,"N/A")</f>
        <v>N/A</v>
      </c>
      <c r="G166" s="61" t="str">
        <f>IF(Inicial!M166="SI",Inicial!G166,"N/A")</f>
        <v>N/A</v>
      </c>
      <c r="H166" s="61" t="str">
        <f>IF(Inicial!M166="SI",Inicial!H166,"N/A")</f>
        <v>N/A</v>
      </c>
      <c r="I166" s="63" t="str">
        <f>IF(Inicial!M166="SI",Inicial!I166,"N/A")</f>
        <v>N/A</v>
      </c>
      <c r="J166" s="11"/>
      <c r="K166" s="11"/>
      <c r="L166" s="11"/>
      <c r="M166" s="11"/>
      <c r="N166" s="11"/>
      <c r="O166" s="11"/>
      <c r="P166" s="11"/>
      <c r="Q166" s="11"/>
      <c r="R166" s="11"/>
      <c r="S166" s="11"/>
      <c r="T166" s="11"/>
      <c r="U166" s="11"/>
      <c r="V166" s="11"/>
      <c r="W166" s="12" t="str" cm="1">
        <f t="array" ref="W166">IF(OR(M166:V166="NO"),"No aceptable","Aceptable")</f>
        <v>Aceptable</v>
      </c>
      <c r="X166" s="11"/>
      <c r="Y166" s="11"/>
      <c r="Z166" s="11"/>
      <c r="AA166" s="11"/>
      <c r="AB166" s="11"/>
      <c r="AC166" s="11"/>
      <c r="AD166" s="11"/>
      <c r="AE166" s="11"/>
      <c r="AF166" s="11"/>
      <c r="AG166" s="11"/>
      <c r="AH166" s="11"/>
      <c r="AI166" s="11"/>
      <c r="AJ166" s="11"/>
      <c r="AK166" s="11"/>
      <c r="AL166" s="11"/>
      <c r="AM166" s="11"/>
      <c r="AN166" s="3" t="str" cm="1">
        <f t="array" ref="AN166">IF(OR(AA166:AM166="SI"),"Critico","No Critico")</f>
        <v>No Critico</v>
      </c>
    </row>
    <row r="167" spans="1:40" ht="15">
      <c r="A167" s="60">
        <f>Inicial!A167</f>
        <v>165</v>
      </c>
      <c r="B167" s="61">
        <f>Inicial!B167</f>
        <v>0</v>
      </c>
      <c r="C167" s="61">
        <f>Inicial!C167</f>
        <v>0</v>
      </c>
      <c r="D167" s="62">
        <f>Inicial!D167</f>
        <v>0</v>
      </c>
      <c r="E167" s="60" t="str">
        <f>IF(Inicial!M167="SI",Inicial!E167,"N/A")</f>
        <v>N/A</v>
      </c>
      <c r="F167" s="61" t="str">
        <f>IF(Inicial!M167="SI",Inicial!F167,"N/A")</f>
        <v>N/A</v>
      </c>
      <c r="G167" s="61" t="str">
        <f>IF(Inicial!M167="SI",Inicial!G167,"N/A")</f>
        <v>N/A</v>
      </c>
      <c r="H167" s="61" t="str">
        <f>IF(Inicial!M167="SI",Inicial!H167,"N/A")</f>
        <v>N/A</v>
      </c>
      <c r="I167" s="63" t="str">
        <f>IF(Inicial!M167="SI",Inicial!I167,"N/A")</f>
        <v>N/A</v>
      </c>
      <c r="J167" s="11"/>
      <c r="K167" s="11"/>
      <c r="L167" s="11"/>
      <c r="M167" s="11"/>
      <c r="N167" s="11"/>
      <c r="O167" s="11"/>
      <c r="P167" s="11"/>
      <c r="Q167" s="11"/>
      <c r="R167" s="11"/>
      <c r="S167" s="11"/>
      <c r="T167" s="11"/>
      <c r="U167" s="11"/>
      <c r="V167" s="11"/>
      <c r="W167" s="12" t="str" cm="1">
        <f t="array" ref="W167">IF(OR(M167:V167="NO"),"No aceptable","Aceptable")</f>
        <v>Aceptable</v>
      </c>
      <c r="X167" s="11"/>
      <c r="Y167" s="11"/>
      <c r="Z167" s="11"/>
      <c r="AA167" s="11"/>
      <c r="AB167" s="11"/>
      <c r="AC167" s="11"/>
      <c r="AD167" s="11"/>
      <c r="AE167" s="11"/>
      <c r="AF167" s="11"/>
      <c r="AG167" s="11"/>
      <c r="AH167" s="11"/>
      <c r="AI167" s="11"/>
      <c r="AJ167" s="11"/>
      <c r="AK167" s="11"/>
      <c r="AL167" s="11"/>
      <c r="AM167" s="11"/>
      <c r="AN167" s="3" t="str" cm="1">
        <f t="array" ref="AN167">IF(OR(AA167:AM167="SI"),"Critico","No Critico")</f>
        <v>No Critico</v>
      </c>
    </row>
    <row r="168" spans="1:40" ht="15">
      <c r="A168" s="60">
        <f>Inicial!A168</f>
        <v>166</v>
      </c>
      <c r="B168" s="61">
        <f>Inicial!B168</f>
        <v>0</v>
      </c>
      <c r="C168" s="61">
        <f>Inicial!C168</f>
        <v>0</v>
      </c>
      <c r="D168" s="62">
        <f>Inicial!D168</f>
        <v>0</v>
      </c>
      <c r="E168" s="60" t="str">
        <f>IF(Inicial!M168="SI",Inicial!E168,"N/A")</f>
        <v>N/A</v>
      </c>
      <c r="F168" s="61" t="str">
        <f>IF(Inicial!M168="SI",Inicial!F168,"N/A")</f>
        <v>N/A</v>
      </c>
      <c r="G168" s="61" t="str">
        <f>IF(Inicial!M168="SI",Inicial!G168,"N/A")</f>
        <v>N/A</v>
      </c>
      <c r="H168" s="61" t="str">
        <f>IF(Inicial!M168="SI",Inicial!H168,"N/A")</f>
        <v>N/A</v>
      </c>
      <c r="I168" s="63" t="str">
        <f>IF(Inicial!M168="SI",Inicial!I168,"N/A")</f>
        <v>N/A</v>
      </c>
      <c r="J168" s="11"/>
      <c r="K168" s="11"/>
      <c r="L168" s="11"/>
      <c r="M168" s="11"/>
      <c r="N168" s="11"/>
      <c r="O168" s="11"/>
      <c r="P168" s="11"/>
      <c r="Q168" s="11"/>
      <c r="R168" s="11"/>
      <c r="S168" s="11"/>
      <c r="T168" s="11"/>
      <c r="U168" s="11"/>
      <c r="V168" s="11"/>
      <c r="W168" s="12" t="str" cm="1">
        <f t="array" ref="W168">IF(OR(M168:V168="NO"),"No aceptable","Aceptable")</f>
        <v>Aceptable</v>
      </c>
      <c r="X168" s="11"/>
      <c r="Y168" s="11"/>
      <c r="Z168" s="11"/>
      <c r="AA168" s="11"/>
      <c r="AB168" s="11"/>
      <c r="AC168" s="11"/>
      <c r="AD168" s="11"/>
      <c r="AE168" s="11"/>
      <c r="AF168" s="11"/>
      <c r="AG168" s="11"/>
      <c r="AH168" s="11"/>
      <c r="AI168" s="11"/>
      <c r="AJ168" s="11"/>
      <c r="AK168" s="11"/>
      <c r="AL168" s="11"/>
      <c r="AM168" s="11"/>
      <c r="AN168" s="3" t="str" cm="1">
        <f t="array" ref="AN168">IF(OR(AA168:AM168="SI"),"Critico","No Critico")</f>
        <v>No Critico</v>
      </c>
    </row>
    <row r="169" spans="1:40" ht="15">
      <c r="A169" s="60">
        <f>Inicial!A169</f>
        <v>167</v>
      </c>
      <c r="B169" s="61">
        <f>Inicial!B169</f>
        <v>0</v>
      </c>
      <c r="C169" s="61">
        <f>Inicial!C169</f>
        <v>0</v>
      </c>
      <c r="D169" s="62">
        <f>Inicial!D169</f>
        <v>0</v>
      </c>
      <c r="E169" s="60" t="str">
        <f>IF(Inicial!M169="SI",Inicial!E169,"N/A")</f>
        <v>N/A</v>
      </c>
      <c r="F169" s="61" t="str">
        <f>IF(Inicial!M169="SI",Inicial!F169,"N/A")</f>
        <v>N/A</v>
      </c>
      <c r="G169" s="61" t="str">
        <f>IF(Inicial!M169="SI",Inicial!G169,"N/A")</f>
        <v>N/A</v>
      </c>
      <c r="H169" s="61" t="str">
        <f>IF(Inicial!M169="SI",Inicial!H169,"N/A")</f>
        <v>N/A</v>
      </c>
      <c r="I169" s="63" t="str">
        <f>IF(Inicial!M169="SI",Inicial!I169,"N/A")</f>
        <v>N/A</v>
      </c>
      <c r="J169" s="11"/>
      <c r="K169" s="11"/>
      <c r="L169" s="11"/>
      <c r="M169" s="11"/>
      <c r="N169" s="11"/>
      <c r="O169" s="11"/>
      <c r="P169" s="11"/>
      <c r="Q169" s="11"/>
      <c r="R169" s="11"/>
      <c r="S169" s="11"/>
      <c r="T169" s="11"/>
      <c r="U169" s="11"/>
      <c r="V169" s="11"/>
      <c r="W169" s="12" t="str" cm="1">
        <f t="array" ref="W169">IF(OR(M169:V169="NO"),"No aceptable","Aceptable")</f>
        <v>Aceptable</v>
      </c>
      <c r="X169" s="11"/>
      <c r="Y169" s="11"/>
      <c r="Z169" s="11"/>
      <c r="AA169" s="11"/>
      <c r="AB169" s="11"/>
      <c r="AC169" s="11"/>
      <c r="AD169" s="11"/>
      <c r="AE169" s="11"/>
      <c r="AF169" s="11"/>
      <c r="AG169" s="11"/>
      <c r="AH169" s="11"/>
      <c r="AI169" s="11"/>
      <c r="AJ169" s="11"/>
      <c r="AK169" s="11"/>
      <c r="AL169" s="11"/>
      <c r="AM169" s="11"/>
      <c r="AN169" s="3" t="str" cm="1">
        <f t="array" ref="AN169">IF(OR(AA169:AM169="SI"),"Critico","No Critico")</f>
        <v>No Critico</v>
      </c>
    </row>
    <row r="170" spans="1:40" ht="15">
      <c r="A170" s="60">
        <f>Inicial!A170</f>
        <v>168</v>
      </c>
      <c r="B170" s="61">
        <f>Inicial!B170</f>
        <v>0</v>
      </c>
      <c r="C170" s="61">
        <f>Inicial!C170</f>
        <v>0</v>
      </c>
      <c r="D170" s="62">
        <f>Inicial!D170</f>
        <v>0</v>
      </c>
      <c r="E170" s="60" t="str">
        <f>IF(Inicial!M170="SI",Inicial!E170,"N/A")</f>
        <v>N/A</v>
      </c>
      <c r="F170" s="61" t="str">
        <f>IF(Inicial!M170="SI",Inicial!F170,"N/A")</f>
        <v>N/A</v>
      </c>
      <c r="G170" s="61" t="str">
        <f>IF(Inicial!M170="SI",Inicial!G170,"N/A")</f>
        <v>N/A</v>
      </c>
      <c r="H170" s="61" t="str">
        <f>IF(Inicial!M170="SI",Inicial!H170,"N/A")</f>
        <v>N/A</v>
      </c>
      <c r="I170" s="63" t="str">
        <f>IF(Inicial!M170="SI",Inicial!I170,"N/A")</f>
        <v>N/A</v>
      </c>
      <c r="J170" s="11"/>
      <c r="K170" s="11"/>
      <c r="L170" s="11"/>
      <c r="M170" s="11"/>
      <c r="N170" s="11"/>
      <c r="O170" s="11"/>
      <c r="P170" s="11"/>
      <c r="Q170" s="11"/>
      <c r="R170" s="11"/>
      <c r="S170" s="11"/>
      <c r="T170" s="11"/>
      <c r="U170" s="11"/>
      <c r="V170" s="11"/>
      <c r="W170" s="12" t="str" cm="1">
        <f t="array" ref="W170">IF(OR(M170:V170="NO"),"No aceptable","Aceptable")</f>
        <v>Aceptable</v>
      </c>
      <c r="X170" s="11"/>
      <c r="Y170" s="11"/>
      <c r="Z170" s="11"/>
      <c r="AA170" s="11"/>
      <c r="AB170" s="11"/>
      <c r="AC170" s="11"/>
      <c r="AD170" s="11"/>
      <c r="AE170" s="11"/>
      <c r="AF170" s="11"/>
      <c r="AG170" s="11"/>
      <c r="AH170" s="11"/>
      <c r="AI170" s="11"/>
      <c r="AJ170" s="11"/>
      <c r="AK170" s="11"/>
      <c r="AL170" s="11"/>
      <c r="AM170" s="11"/>
      <c r="AN170" s="3" t="str" cm="1">
        <f t="array" ref="AN170">IF(OR(AA170:AM170="SI"),"Critico","No Critico")</f>
        <v>No Critico</v>
      </c>
    </row>
    <row r="171" spans="1:40" ht="15">
      <c r="A171" s="60">
        <f>Inicial!A171</f>
        <v>169</v>
      </c>
      <c r="B171" s="61">
        <f>Inicial!B171</f>
        <v>0</v>
      </c>
      <c r="C171" s="61">
        <f>Inicial!C171</f>
        <v>0</v>
      </c>
      <c r="D171" s="62">
        <f>Inicial!D171</f>
        <v>0</v>
      </c>
      <c r="E171" s="60" t="str">
        <f>IF(Inicial!M171="SI",Inicial!E171,"N/A")</f>
        <v>N/A</v>
      </c>
      <c r="F171" s="61" t="str">
        <f>IF(Inicial!M171="SI",Inicial!F171,"N/A")</f>
        <v>N/A</v>
      </c>
      <c r="G171" s="61" t="str">
        <f>IF(Inicial!M171="SI",Inicial!G171,"N/A")</f>
        <v>N/A</v>
      </c>
      <c r="H171" s="61" t="str">
        <f>IF(Inicial!M171="SI",Inicial!H171,"N/A")</f>
        <v>N/A</v>
      </c>
      <c r="I171" s="63" t="str">
        <f>IF(Inicial!M171="SI",Inicial!I171,"N/A")</f>
        <v>N/A</v>
      </c>
      <c r="J171" s="11"/>
      <c r="K171" s="11"/>
      <c r="L171" s="11"/>
      <c r="M171" s="11"/>
      <c r="N171" s="11"/>
      <c r="O171" s="11"/>
      <c r="P171" s="11"/>
      <c r="Q171" s="11"/>
      <c r="R171" s="11"/>
      <c r="S171" s="11"/>
      <c r="T171" s="11"/>
      <c r="U171" s="11"/>
      <c r="V171" s="11"/>
      <c r="W171" s="12" t="str" cm="1">
        <f t="array" ref="W171">IF(OR(M171:V171="NO"),"No aceptable","Aceptable")</f>
        <v>Aceptable</v>
      </c>
      <c r="X171" s="11"/>
      <c r="Y171" s="11"/>
      <c r="Z171" s="11"/>
      <c r="AA171" s="11"/>
      <c r="AB171" s="11"/>
      <c r="AC171" s="11"/>
      <c r="AD171" s="11"/>
      <c r="AE171" s="11"/>
      <c r="AF171" s="11"/>
      <c r="AG171" s="11"/>
      <c r="AH171" s="11"/>
      <c r="AI171" s="11"/>
      <c r="AJ171" s="11"/>
      <c r="AK171" s="11"/>
      <c r="AL171" s="11"/>
      <c r="AM171" s="11"/>
      <c r="AN171" s="3" t="str" cm="1">
        <f t="array" ref="AN171">IF(OR(AA171:AM171="SI"),"Critico","No Critico")</f>
        <v>No Critico</v>
      </c>
    </row>
    <row r="172" spans="1:40" ht="15">
      <c r="A172" s="60">
        <f>Inicial!A172</f>
        <v>170</v>
      </c>
      <c r="B172" s="61">
        <f>Inicial!B172</f>
        <v>0</v>
      </c>
      <c r="C172" s="61">
        <f>Inicial!C172</f>
        <v>0</v>
      </c>
      <c r="D172" s="62">
        <f>Inicial!D172</f>
        <v>0</v>
      </c>
      <c r="E172" s="60" t="str">
        <f>IF(Inicial!M172="SI",Inicial!E172,"N/A")</f>
        <v>N/A</v>
      </c>
      <c r="F172" s="61" t="str">
        <f>IF(Inicial!M172="SI",Inicial!F172,"N/A")</f>
        <v>N/A</v>
      </c>
      <c r="G172" s="61" t="str">
        <f>IF(Inicial!M172="SI",Inicial!G172,"N/A")</f>
        <v>N/A</v>
      </c>
      <c r="H172" s="61" t="str">
        <f>IF(Inicial!M172="SI",Inicial!H172,"N/A")</f>
        <v>N/A</v>
      </c>
      <c r="I172" s="63" t="str">
        <f>IF(Inicial!M172="SI",Inicial!I172,"N/A")</f>
        <v>N/A</v>
      </c>
      <c r="J172" s="11"/>
      <c r="K172" s="11"/>
      <c r="L172" s="11"/>
      <c r="M172" s="11"/>
      <c r="N172" s="11"/>
      <c r="O172" s="11"/>
      <c r="P172" s="11"/>
      <c r="Q172" s="11"/>
      <c r="R172" s="11"/>
      <c r="S172" s="11"/>
      <c r="T172" s="11"/>
      <c r="U172" s="11"/>
      <c r="V172" s="11"/>
      <c r="W172" s="12" t="str" cm="1">
        <f t="array" ref="W172">IF(OR(M172:V172="NO"),"No aceptable","Aceptable")</f>
        <v>Aceptable</v>
      </c>
      <c r="X172" s="11"/>
      <c r="Y172" s="11"/>
      <c r="Z172" s="11"/>
      <c r="AA172" s="11"/>
      <c r="AB172" s="11"/>
      <c r="AC172" s="11"/>
      <c r="AD172" s="11"/>
      <c r="AE172" s="11"/>
      <c r="AF172" s="11"/>
      <c r="AG172" s="11"/>
      <c r="AH172" s="11"/>
      <c r="AI172" s="11"/>
      <c r="AJ172" s="11"/>
      <c r="AK172" s="11"/>
      <c r="AL172" s="11"/>
      <c r="AM172" s="11"/>
      <c r="AN172" s="3" t="str" cm="1">
        <f t="array" ref="AN172">IF(OR(AA172:AM172="SI"),"Critico","No Critico")</f>
        <v>No Critico</v>
      </c>
    </row>
    <row r="173" spans="1:40" ht="15">
      <c r="A173" s="60">
        <f>Inicial!A173</f>
        <v>171</v>
      </c>
      <c r="B173" s="61"/>
      <c r="C173" s="61"/>
      <c r="D173" s="62"/>
      <c r="E173" s="60"/>
      <c r="F173" s="61"/>
      <c r="G173" s="61"/>
      <c r="H173" s="61"/>
      <c r="I173" s="63"/>
      <c r="J173" s="11"/>
      <c r="K173" s="11"/>
      <c r="L173" s="11"/>
      <c r="M173" s="11"/>
      <c r="N173" s="11"/>
      <c r="O173" s="11"/>
      <c r="P173" s="11"/>
      <c r="Q173" s="11"/>
      <c r="R173" s="11"/>
      <c r="S173" s="11"/>
      <c r="T173" s="11"/>
      <c r="U173" s="11"/>
      <c r="V173" s="11"/>
      <c r="W173" s="12" t="str" cm="1">
        <f t="array" ref="W173">IF(OR(M173:V173="NO"),"No aceptable","Aceptable")</f>
        <v>Aceptable</v>
      </c>
      <c r="X173" s="11"/>
      <c r="Y173" s="11"/>
      <c r="Z173" s="11"/>
      <c r="AA173" s="11"/>
      <c r="AB173" s="11"/>
      <c r="AC173" s="11"/>
      <c r="AD173" s="11"/>
      <c r="AE173" s="11"/>
      <c r="AF173" s="11"/>
      <c r="AG173" s="11"/>
      <c r="AH173" s="11"/>
      <c r="AI173" s="11"/>
      <c r="AJ173" s="11"/>
      <c r="AK173" s="11"/>
      <c r="AL173" s="11"/>
      <c r="AM173" s="11"/>
      <c r="AN173" s="3" t="str" cm="1">
        <f t="array" ref="AN173">IF(OR(AA173:AM173="SI"),"Critico","No Critico")</f>
        <v>No Critico</v>
      </c>
    </row>
    <row r="174" spans="1:40" ht="15">
      <c r="A174" s="60">
        <f>Inicial!A174</f>
        <v>172</v>
      </c>
      <c r="B174" s="61"/>
      <c r="C174" s="61"/>
      <c r="D174" s="62"/>
      <c r="E174" s="60"/>
      <c r="F174" s="61"/>
      <c r="G174" s="61"/>
      <c r="H174" s="61"/>
      <c r="I174" s="63"/>
      <c r="J174" s="11"/>
      <c r="K174" s="11"/>
      <c r="L174" s="11"/>
      <c r="M174" s="11"/>
      <c r="N174" s="11"/>
      <c r="O174" s="11"/>
      <c r="P174" s="11"/>
      <c r="Q174" s="11"/>
      <c r="R174" s="11"/>
      <c r="S174" s="11"/>
      <c r="T174" s="11"/>
      <c r="U174" s="11"/>
      <c r="V174" s="11"/>
      <c r="W174" s="12" t="str" cm="1">
        <f t="array" ref="W174">IF(OR(M174:V174="NO"),"No aceptable","Aceptable")</f>
        <v>Aceptable</v>
      </c>
      <c r="X174" s="11"/>
      <c r="Y174" s="11"/>
      <c r="Z174" s="11"/>
      <c r="AA174" s="11"/>
      <c r="AB174" s="11"/>
      <c r="AC174" s="11"/>
      <c r="AD174" s="11"/>
      <c r="AE174" s="11"/>
      <c r="AF174" s="11"/>
      <c r="AG174" s="11"/>
      <c r="AH174" s="11"/>
      <c r="AI174" s="11"/>
      <c r="AJ174" s="11"/>
      <c r="AK174" s="11"/>
      <c r="AL174" s="11"/>
      <c r="AM174" s="11"/>
      <c r="AN174" s="3" t="str" cm="1">
        <f t="array" ref="AN174">IF(OR(AA174:AM174="SI"),"Critico","No Critico")</f>
        <v>No Critico</v>
      </c>
    </row>
    <row r="175" spans="1:40" ht="15">
      <c r="A175" s="60">
        <f>Inicial!A175</f>
        <v>173</v>
      </c>
      <c r="B175" s="61"/>
      <c r="C175" s="61"/>
      <c r="D175" s="62"/>
      <c r="E175" s="60"/>
      <c r="F175" s="61"/>
      <c r="G175" s="61"/>
      <c r="H175" s="61"/>
      <c r="I175" s="63"/>
      <c r="J175" s="11"/>
      <c r="K175" s="11"/>
      <c r="L175" s="11"/>
      <c r="M175" s="11"/>
      <c r="N175" s="11"/>
      <c r="O175" s="11"/>
      <c r="P175" s="11"/>
      <c r="Q175" s="11"/>
      <c r="R175" s="11"/>
      <c r="S175" s="11"/>
      <c r="T175" s="11"/>
      <c r="U175" s="11"/>
      <c r="V175" s="11"/>
      <c r="W175" s="12" t="str" cm="1">
        <f t="array" ref="W175">IF(OR(M175:V175="NO"),"No aceptable","Aceptable")</f>
        <v>Aceptable</v>
      </c>
      <c r="X175" s="11"/>
      <c r="Y175" s="11"/>
      <c r="Z175" s="11"/>
      <c r="AA175" s="11"/>
      <c r="AB175" s="11"/>
      <c r="AC175" s="11"/>
      <c r="AD175" s="11"/>
      <c r="AE175" s="11"/>
      <c r="AF175" s="11"/>
      <c r="AG175" s="11"/>
      <c r="AH175" s="11"/>
      <c r="AI175" s="11"/>
      <c r="AJ175" s="11"/>
      <c r="AK175" s="11"/>
      <c r="AL175" s="11"/>
      <c r="AM175" s="11"/>
      <c r="AN175" s="3" t="str" cm="1">
        <f t="array" ref="AN175">IF(OR(AA175:AM175="SI"),"Critico","No Critico")</f>
        <v>No Critico</v>
      </c>
    </row>
    <row r="176" spans="1:40" ht="15">
      <c r="A176" s="60">
        <f>Inicial!A176</f>
        <v>174</v>
      </c>
      <c r="B176" s="61"/>
      <c r="C176" s="61"/>
      <c r="D176" s="62"/>
      <c r="E176" s="60"/>
      <c r="F176" s="61"/>
      <c r="G176" s="61"/>
      <c r="H176" s="61"/>
      <c r="I176" s="63"/>
      <c r="J176" s="11"/>
      <c r="K176" s="11"/>
      <c r="L176" s="11"/>
      <c r="M176" s="11"/>
      <c r="N176" s="11"/>
      <c r="O176" s="11"/>
      <c r="P176" s="11"/>
      <c r="Q176" s="11"/>
      <c r="R176" s="11"/>
      <c r="S176" s="11"/>
      <c r="T176" s="11"/>
      <c r="U176" s="11"/>
      <c r="V176" s="11"/>
      <c r="W176" s="12" t="str" cm="1">
        <f t="array" ref="W176">IF(OR(M176:V176="NO"),"No aceptable","Aceptable")</f>
        <v>Aceptable</v>
      </c>
      <c r="X176" s="11"/>
      <c r="Y176" s="11"/>
      <c r="Z176" s="11"/>
      <c r="AA176" s="11"/>
      <c r="AB176" s="11"/>
      <c r="AC176" s="11"/>
      <c r="AD176" s="11"/>
      <c r="AE176" s="11"/>
      <c r="AF176" s="11"/>
      <c r="AG176" s="11"/>
      <c r="AH176" s="11"/>
      <c r="AI176" s="11"/>
      <c r="AJ176" s="11"/>
      <c r="AK176" s="11"/>
      <c r="AL176" s="11"/>
      <c r="AM176" s="11"/>
      <c r="AN176" s="3" t="str" cm="1">
        <f t="array" ref="AN176">IF(OR(AA176:AM176="SI"),"Critico","No Critico")</f>
        <v>No Critico</v>
      </c>
    </row>
    <row r="177" spans="1:40" ht="15">
      <c r="A177" s="60">
        <f>Inicial!A177</f>
        <v>175</v>
      </c>
      <c r="B177" s="61"/>
      <c r="C177" s="61"/>
      <c r="D177" s="62"/>
      <c r="E177" s="60"/>
      <c r="F177" s="61"/>
      <c r="G177" s="61"/>
      <c r="H177" s="61"/>
      <c r="I177" s="63"/>
      <c r="J177" s="11"/>
      <c r="K177" s="11"/>
      <c r="L177" s="11"/>
      <c r="M177" s="11"/>
      <c r="N177" s="11"/>
      <c r="O177" s="11"/>
      <c r="P177" s="11"/>
      <c r="Q177" s="11"/>
      <c r="R177" s="11"/>
      <c r="S177" s="11"/>
      <c r="T177" s="11"/>
      <c r="U177" s="11"/>
      <c r="V177" s="11"/>
      <c r="W177" s="12" t="str" cm="1">
        <f t="array" ref="W177">IF(OR(M177:V177="NO"),"No aceptable","Aceptable")</f>
        <v>Aceptable</v>
      </c>
      <c r="X177" s="11"/>
      <c r="Y177" s="11"/>
      <c r="Z177" s="11"/>
      <c r="AA177" s="11"/>
      <c r="AB177" s="11"/>
      <c r="AC177" s="11"/>
      <c r="AD177" s="11"/>
      <c r="AE177" s="11"/>
      <c r="AF177" s="11"/>
      <c r="AG177" s="11"/>
      <c r="AH177" s="11"/>
      <c r="AI177" s="11"/>
      <c r="AJ177" s="11"/>
      <c r="AK177" s="11"/>
      <c r="AL177" s="11"/>
      <c r="AM177" s="11"/>
      <c r="AN177" s="3" t="str" cm="1">
        <f t="array" ref="AN177">IF(OR(AA177:AM177="SI"),"Critico","No Critico")</f>
        <v>No Critico</v>
      </c>
    </row>
    <row r="178" spans="1:40" ht="15">
      <c r="A178" s="60">
        <f>Inicial!A178</f>
        <v>176</v>
      </c>
      <c r="B178" s="61"/>
      <c r="C178" s="61"/>
      <c r="D178" s="62"/>
      <c r="E178" s="60"/>
      <c r="F178" s="61"/>
      <c r="G178" s="61"/>
      <c r="H178" s="61"/>
      <c r="I178" s="63"/>
      <c r="J178" s="11"/>
      <c r="K178" s="11"/>
      <c r="L178" s="11"/>
      <c r="M178" s="11"/>
      <c r="N178" s="11"/>
      <c r="O178" s="11"/>
      <c r="P178" s="11"/>
      <c r="Q178" s="11"/>
      <c r="R178" s="11"/>
      <c r="S178" s="11"/>
      <c r="T178" s="11"/>
      <c r="U178" s="11"/>
      <c r="V178" s="11"/>
      <c r="W178" s="12" t="str" cm="1">
        <f t="array" ref="W178">IF(OR(M178:V178="NO"),"No aceptable","Aceptable")</f>
        <v>Aceptable</v>
      </c>
      <c r="X178" s="11"/>
      <c r="Y178" s="11"/>
      <c r="Z178" s="11"/>
      <c r="AA178" s="11"/>
      <c r="AB178" s="11"/>
      <c r="AC178" s="11"/>
      <c r="AD178" s="11"/>
      <c r="AE178" s="11"/>
      <c r="AF178" s="11"/>
      <c r="AG178" s="11"/>
      <c r="AH178" s="11"/>
      <c r="AI178" s="11"/>
      <c r="AJ178" s="11"/>
      <c r="AK178" s="11"/>
      <c r="AL178" s="11"/>
      <c r="AM178" s="11"/>
      <c r="AN178" s="3" t="str" cm="1">
        <f t="array" ref="AN178">IF(OR(AA178:AM178="SI"),"Critico","No Critico")</f>
        <v>No Critico</v>
      </c>
    </row>
    <row r="179" spans="1:40">
      <c r="A179" s="60"/>
      <c r="B179" s="61"/>
      <c r="C179" s="61"/>
      <c r="D179" s="62"/>
      <c r="E179" s="60"/>
      <c r="F179" s="61"/>
      <c r="G179" s="61"/>
      <c r="H179" s="61"/>
      <c r="I179" s="63"/>
      <c r="J179" s="11"/>
      <c r="K179" s="11"/>
      <c r="L179" s="11"/>
      <c r="M179" s="11"/>
      <c r="N179" s="11"/>
      <c r="O179" s="11"/>
      <c r="P179" s="11"/>
      <c r="Q179" s="11"/>
      <c r="R179" s="11"/>
      <c r="S179" s="11"/>
      <c r="T179" s="11"/>
      <c r="U179" s="11"/>
      <c r="V179" s="11"/>
      <c r="X179" s="11"/>
      <c r="Y179" s="11"/>
      <c r="Z179" s="11"/>
      <c r="AA179" s="11"/>
      <c r="AB179" s="11"/>
      <c r="AC179" s="11"/>
      <c r="AD179" s="11"/>
      <c r="AE179" s="11"/>
      <c r="AF179" s="11"/>
      <c r="AG179" s="11"/>
      <c r="AH179" s="11"/>
      <c r="AI179" s="11"/>
      <c r="AJ179" s="11"/>
      <c r="AK179" s="11"/>
      <c r="AL179" s="11"/>
      <c r="AM179" s="11"/>
    </row>
    <row r="180" spans="1:40">
      <c r="X180" s="11"/>
      <c r="Y180" s="11"/>
      <c r="Z180" s="11"/>
      <c r="AA180" s="11"/>
      <c r="AB180" s="11"/>
      <c r="AC180" s="11"/>
      <c r="AD180" s="11"/>
      <c r="AE180" s="11"/>
      <c r="AF180" s="11"/>
      <c r="AG180" s="11"/>
      <c r="AH180" s="11"/>
      <c r="AI180" s="11"/>
      <c r="AJ180" s="11"/>
      <c r="AK180" s="11"/>
      <c r="AL180" s="11"/>
      <c r="AM180" s="11"/>
    </row>
    <row r="181" spans="1:40">
      <c r="X181" s="11"/>
      <c r="Y181" s="11"/>
      <c r="Z181" s="11"/>
      <c r="AA181" s="11"/>
      <c r="AB181" s="11"/>
      <c r="AC181" s="11"/>
      <c r="AD181" s="11"/>
      <c r="AE181" s="11"/>
      <c r="AF181" s="11"/>
      <c r="AG181" s="11"/>
      <c r="AH181" s="11"/>
      <c r="AI181" s="11"/>
      <c r="AJ181" s="11"/>
      <c r="AK181" s="11"/>
      <c r="AL181" s="11"/>
      <c r="AM181" s="11"/>
    </row>
    <row r="182" spans="1:40">
      <c r="X182" s="11"/>
      <c r="Y182" s="11"/>
      <c r="Z182" s="11"/>
      <c r="AA182" s="11"/>
      <c r="AB182" s="11"/>
      <c r="AC182" s="11"/>
      <c r="AD182" s="11"/>
      <c r="AE182" s="11"/>
      <c r="AF182" s="11"/>
      <c r="AG182" s="11"/>
      <c r="AH182" s="11"/>
      <c r="AI182" s="11"/>
      <c r="AJ182" s="11"/>
      <c r="AK182" s="11"/>
      <c r="AL182" s="11"/>
      <c r="AM182" s="11"/>
    </row>
    <row r="183" spans="1:40">
      <c r="X183" s="11"/>
      <c r="Y183" s="11"/>
      <c r="Z183" s="11"/>
      <c r="AA183" s="11"/>
      <c r="AB183" s="11"/>
      <c r="AC183" s="11"/>
      <c r="AD183" s="11"/>
      <c r="AE183" s="11"/>
      <c r="AF183" s="11"/>
      <c r="AG183" s="11"/>
      <c r="AH183" s="11"/>
      <c r="AI183" s="11"/>
      <c r="AJ183" s="11"/>
      <c r="AK183" s="11"/>
      <c r="AL183" s="11"/>
      <c r="AM183" s="11"/>
    </row>
    <row r="184" spans="1:40">
      <c r="X184" s="11"/>
      <c r="Y184" s="11"/>
      <c r="Z184" s="11"/>
      <c r="AA184" s="11"/>
      <c r="AB184" s="11"/>
      <c r="AC184" s="11"/>
      <c r="AD184" s="11"/>
      <c r="AE184" s="11"/>
      <c r="AF184" s="11"/>
      <c r="AG184" s="11"/>
      <c r="AH184" s="11"/>
      <c r="AI184" s="11"/>
      <c r="AJ184" s="11"/>
      <c r="AK184" s="11"/>
      <c r="AL184" s="11"/>
      <c r="AM184" s="11"/>
    </row>
    <row r="185" spans="1:40">
      <c r="X185" s="11"/>
      <c r="Y185" s="11"/>
      <c r="Z185" s="11"/>
      <c r="AA185" s="11"/>
      <c r="AB185" s="11"/>
      <c r="AC185" s="11"/>
      <c r="AD185" s="11"/>
      <c r="AE185" s="11"/>
      <c r="AF185" s="11"/>
      <c r="AG185" s="11"/>
      <c r="AH185" s="11"/>
      <c r="AI185" s="11"/>
      <c r="AJ185" s="11"/>
      <c r="AK185" s="11"/>
      <c r="AL185" s="11"/>
      <c r="AM185" s="11"/>
    </row>
    <row r="186" spans="1:40">
      <c r="X186" s="11"/>
      <c r="Y186" s="11"/>
      <c r="Z186" s="11"/>
      <c r="AA186" s="11"/>
      <c r="AB186" s="11"/>
      <c r="AC186" s="11"/>
      <c r="AD186" s="11"/>
      <c r="AE186" s="11"/>
      <c r="AF186" s="11"/>
      <c r="AG186" s="11"/>
      <c r="AH186" s="11"/>
      <c r="AI186" s="11"/>
      <c r="AJ186" s="11"/>
      <c r="AK186" s="11"/>
      <c r="AL186" s="11"/>
      <c r="AM186" s="11"/>
    </row>
    <row r="187" spans="1:40">
      <c r="X187" s="11"/>
      <c r="Y187" s="11"/>
      <c r="Z187" s="11"/>
      <c r="AA187" s="11"/>
      <c r="AB187" s="11"/>
      <c r="AC187" s="11"/>
      <c r="AD187" s="11"/>
      <c r="AE187" s="11"/>
      <c r="AF187" s="11"/>
      <c r="AG187" s="11"/>
      <c r="AH187" s="11"/>
      <c r="AI187" s="11"/>
      <c r="AJ187" s="11"/>
      <c r="AK187" s="11"/>
      <c r="AL187" s="11"/>
      <c r="AM187" s="11"/>
    </row>
    <row r="188" spans="1:40">
      <c r="X188" s="11"/>
      <c r="Y188" s="11"/>
      <c r="Z188" s="11"/>
      <c r="AA188" s="11"/>
      <c r="AB188" s="11"/>
      <c r="AC188" s="11"/>
      <c r="AD188" s="11"/>
      <c r="AE188" s="11"/>
      <c r="AF188" s="11"/>
      <c r="AG188" s="11"/>
      <c r="AH188" s="11"/>
      <c r="AI188" s="11"/>
      <c r="AJ188" s="11"/>
      <c r="AK188" s="11"/>
      <c r="AL188" s="11"/>
      <c r="AM188" s="11"/>
    </row>
    <row r="189" spans="1:40">
      <c r="X189" s="11"/>
      <c r="Y189" s="11"/>
      <c r="Z189" s="11"/>
      <c r="AA189" s="11"/>
      <c r="AB189" s="11"/>
      <c r="AC189" s="11"/>
      <c r="AD189" s="11"/>
      <c r="AE189" s="11"/>
      <c r="AF189" s="11"/>
      <c r="AG189" s="11"/>
      <c r="AH189" s="11"/>
      <c r="AI189" s="11"/>
      <c r="AJ189" s="11"/>
      <c r="AK189" s="11"/>
      <c r="AL189" s="11"/>
      <c r="AM189" s="11"/>
    </row>
    <row r="190" spans="1:40">
      <c r="X190" s="11"/>
      <c r="Y190" s="11"/>
      <c r="Z190" s="11"/>
      <c r="AA190" s="11"/>
      <c r="AB190" s="11"/>
      <c r="AC190" s="11"/>
      <c r="AD190" s="11"/>
      <c r="AE190" s="11"/>
      <c r="AF190" s="11"/>
      <c r="AG190" s="11"/>
      <c r="AH190" s="11"/>
      <c r="AI190" s="11"/>
      <c r="AJ190" s="11"/>
      <c r="AK190" s="11"/>
      <c r="AL190" s="11"/>
      <c r="AM190" s="11"/>
    </row>
    <row r="191" spans="1:40">
      <c r="X191" s="11"/>
      <c r="Y191" s="11"/>
      <c r="Z191" s="11"/>
      <c r="AA191" s="11"/>
      <c r="AB191" s="11"/>
      <c r="AC191" s="11"/>
      <c r="AD191" s="11"/>
      <c r="AE191" s="11"/>
      <c r="AF191" s="11"/>
      <c r="AG191" s="11"/>
      <c r="AH191" s="11"/>
      <c r="AI191" s="11"/>
      <c r="AJ191" s="11"/>
      <c r="AK191" s="11"/>
      <c r="AL191" s="11"/>
      <c r="AM191" s="11"/>
    </row>
    <row r="192" spans="1:40">
      <c r="X192" s="11"/>
      <c r="Y192" s="11"/>
      <c r="Z192" s="11"/>
      <c r="AA192" s="11"/>
      <c r="AB192" s="11"/>
      <c r="AC192" s="11"/>
      <c r="AD192" s="11"/>
      <c r="AE192" s="11"/>
      <c r="AF192" s="11"/>
      <c r="AG192" s="11"/>
      <c r="AH192" s="11"/>
      <c r="AI192" s="11"/>
      <c r="AJ192" s="11"/>
      <c r="AK192" s="11"/>
      <c r="AL192" s="11"/>
      <c r="AM192" s="11"/>
    </row>
    <row r="193" spans="24:39">
      <c r="X193" s="11"/>
      <c r="Y193" s="11"/>
      <c r="Z193" s="11"/>
      <c r="AA193" s="11"/>
      <c r="AB193" s="11"/>
      <c r="AC193" s="11"/>
      <c r="AD193" s="11"/>
      <c r="AE193" s="11"/>
      <c r="AF193" s="11"/>
      <c r="AG193" s="11"/>
      <c r="AH193" s="11"/>
      <c r="AI193" s="11"/>
      <c r="AJ193" s="11"/>
      <c r="AK193" s="11"/>
      <c r="AL193" s="11"/>
      <c r="AM193" s="11"/>
    </row>
    <row r="194" spans="24:39">
      <c r="X194" s="11"/>
      <c r="Y194" s="11"/>
      <c r="Z194" s="11"/>
      <c r="AA194" s="11"/>
      <c r="AB194" s="11"/>
      <c r="AC194" s="11"/>
      <c r="AD194" s="11"/>
      <c r="AE194" s="11"/>
      <c r="AF194" s="11"/>
      <c r="AG194" s="11"/>
      <c r="AH194" s="11"/>
      <c r="AI194" s="11"/>
      <c r="AJ194" s="11"/>
      <c r="AK194" s="11"/>
      <c r="AL194" s="11"/>
      <c r="AM194" s="11"/>
    </row>
    <row r="195" spans="24:39">
      <c r="X195" s="11"/>
      <c r="Y195" s="11"/>
      <c r="Z195" s="11"/>
      <c r="AA195" s="11"/>
      <c r="AB195" s="11"/>
      <c r="AC195" s="11"/>
      <c r="AD195" s="11"/>
      <c r="AE195" s="11"/>
      <c r="AF195" s="11"/>
      <c r="AG195" s="11"/>
      <c r="AH195" s="11"/>
      <c r="AI195" s="11"/>
      <c r="AJ195" s="11"/>
      <c r="AK195" s="11"/>
      <c r="AL195" s="11"/>
      <c r="AM195" s="11"/>
    </row>
    <row r="196" spans="24:39">
      <c r="X196" s="11"/>
      <c r="Y196" s="11"/>
      <c r="Z196" s="11"/>
      <c r="AA196" s="11"/>
      <c r="AB196" s="11"/>
      <c r="AC196" s="11"/>
      <c r="AD196" s="11"/>
      <c r="AE196" s="11"/>
      <c r="AF196" s="11"/>
      <c r="AG196" s="11"/>
      <c r="AH196" s="11"/>
      <c r="AI196" s="11"/>
      <c r="AJ196" s="11"/>
      <c r="AK196" s="11"/>
      <c r="AL196" s="11"/>
      <c r="AM196" s="11"/>
    </row>
    <row r="197" spans="24:39">
      <c r="X197" s="11"/>
      <c r="Y197" s="11"/>
      <c r="Z197" s="11"/>
      <c r="AA197" s="11"/>
      <c r="AB197" s="11"/>
      <c r="AC197" s="11"/>
      <c r="AD197" s="11"/>
      <c r="AE197" s="11"/>
      <c r="AF197" s="11"/>
      <c r="AG197" s="11"/>
      <c r="AH197" s="11"/>
      <c r="AI197" s="11"/>
      <c r="AJ197" s="11"/>
      <c r="AK197" s="11"/>
      <c r="AL197" s="11"/>
      <c r="AM197" s="11"/>
    </row>
    <row r="198" spans="24:39">
      <c r="X198" s="11"/>
      <c r="Y198" s="11"/>
      <c r="Z198" s="11"/>
      <c r="AA198" s="11"/>
      <c r="AB198" s="11"/>
      <c r="AC198" s="11"/>
      <c r="AD198" s="11"/>
      <c r="AE198" s="11"/>
      <c r="AF198" s="11"/>
      <c r="AG198" s="11"/>
      <c r="AH198" s="11"/>
      <c r="AI198" s="11"/>
      <c r="AJ198" s="11"/>
      <c r="AK198" s="11"/>
      <c r="AL198" s="11"/>
      <c r="AM198" s="11"/>
    </row>
    <row r="199" spans="24:39">
      <c r="X199" s="11"/>
      <c r="Y199" s="11"/>
      <c r="Z199" s="11"/>
      <c r="AA199" s="11"/>
      <c r="AB199" s="11"/>
      <c r="AC199" s="11"/>
      <c r="AD199" s="11"/>
      <c r="AE199" s="11"/>
      <c r="AF199" s="11"/>
      <c r="AG199" s="11"/>
      <c r="AH199" s="11"/>
      <c r="AI199" s="11"/>
      <c r="AJ199" s="11"/>
      <c r="AK199" s="11"/>
      <c r="AL199" s="11"/>
      <c r="AM199" s="11"/>
    </row>
    <row r="200" spans="24:39">
      <c r="X200" s="11"/>
      <c r="Y200" s="11"/>
      <c r="Z200" s="11"/>
      <c r="AA200" s="11"/>
      <c r="AB200" s="11"/>
      <c r="AC200" s="11"/>
      <c r="AD200" s="11"/>
      <c r="AE200" s="11"/>
      <c r="AF200" s="11"/>
      <c r="AG200" s="11"/>
      <c r="AH200" s="11"/>
      <c r="AI200" s="11"/>
      <c r="AJ200" s="11"/>
      <c r="AK200" s="11"/>
      <c r="AL200" s="11"/>
      <c r="AM200" s="11"/>
    </row>
    <row r="201" spans="24:39">
      <c r="X201" s="11"/>
      <c r="Y201" s="11"/>
      <c r="Z201" s="11"/>
      <c r="AA201" s="11"/>
      <c r="AB201" s="11"/>
      <c r="AC201" s="11"/>
      <c r="AD201" s="11"/>
      <c r="AE201" s="11"/>
      <c r="AF201" s="11"/>
      <c r="AG201" s="11"/>
      <c r="AH201" s="11"/>
      <c r="AI201" s="11"/>
      <c r="AJ201" s="11"/>
      <c r="AK201" s="11"/>
      <c r="AL201" s="11"/>
      <c r="AM201" s="11"/>
    </row>
    <row r="202" spans="24:39">
      <c r="X202" s="11"/>
      <c r="Y202" s="11"/>
      <c r="Z202" s="11"/>
      <c r="AA202" s="11"/>
      <c r="AB202" s="11"/>
      <c r="AC202" s="11"/>
      <c r="AD202" s="11"/>
      <c r="AE202" s="11"/>
      <c r="AF202" s="11"/>
      <c r="AG202" s="11"/>
      <c r="AH202" s="11"/>
      <c r="AI202" s="11"/>
      <c r="AJ202" s="11"/>
      <c r="AK202" s="11"/>
      <c r="AL202" s="11"/>
      <c r="AM202" s="11"/>
    </row>
    <row r="203" spans="24:39">
      <c r="X203" s="11"/>
      <c r="Y203" s="11"/>
      <c r="Z203" s="11"/>
      <c r="AA203" s="11"/>
      <c r="AB203" s="11"/>
      <c r="AC203" s="11"/>
      <c r="AD203" s="11"/>
      <c r="AE203" s="11"/>
      <c r="AF203" s="11"/>
      <c r="AG203" s="11"/>
      <c r="AH203" s="11"/>
      <c r="AI203" s="11"/>
      <c r="AJ203" s="11"/>
      <c r="AK203" s="11"/>
      <c r="AL203" s="11"/>
      <c r="AM203" s="11"/>
    </row>
    <row r="204" spans="24:39">
      <c r="X204" s="11"/>
      <c r="Y204" s="11"/>
      <c r="Z204" s="11"/>
      <c r="AA204" s="11"/>
      <c r="AB204" s="11"/>
      <c r="AC204" s="11"/>
      <c r="AD204" s="11"/>
      <c r="AE204" s="11"/>
      <c r="AF204" s="11"/>
      <c r="AG204" s="11"/>
      <c r="AH204" s="11"/>
      <c r="AI204" s="11"/>
      <c r="AJ204" s="11"/>
      <c r="AK204" s="11"/>
      <c r="AL204" s="11"/>
      <c r="AM204" s="11"/>
    </row>
    <row r="205" spans="24:39">
      <c r="X205" s="11"/>
      <c r="Y205" s="11"/>
      <c r="Z205" s="11"/>
      <c r="AA205" s="11"/>
      <c r="AB205" s="11"/>
      <c r="AC205" s="11"/>
      <c r="AD205" s="11"/>
      <c r="AE205" s="11"/>
      <c r="AF205" s="11"/>
      <c r="AG205" s="11"/>
      <c r="AH205" s="11"/>
      <c r="AI205" s="11"/>
      <c r="AJ205" s="11"/>
      <c r="AK205" s="11"/>
      <c r="AL205" s="11"/>
      <c r="AM205" s="11"/>
    </row>
    <row r="206" spans="24:39">
      <c r="X206" s="11"/>
      <c r="Y206" s="11"/>
      <c r="Z206" s="11"/>
      <c r="AA206" s="11"/>
      <c r="AB206" s="11"/>
      <c r="AC206" s="11"/>
      <c r="AD206" s="11"/>
      <c r="AE206" s="11"/>
      <c r="AF206" s="11"/>
      <c r="AG206" s="11"/>
      <c r="AH206" s="11"/>
      <c r="AI206" s="11"/>
      <c r="AJ206" s="11"/>
      <c r="AK206" s="11"/>
      <c r="AL206" s="11"/>
      <c r="AM206" s="11"/>
    </row>
    <row r="207" spans="24:39">
      <c r="X207" s="11"/>
      <c r="Y207" s="11"/>
      <c r="Z207" s="11"/>
      <c r="AA207" s="11"/>
      <c r="AB207" s="11"/>
      <c r="AC207" s="11"/>
      <c r="AD207" s="11"/>
      <c r="AE207" s="11"/>
      <c r="AF207" s="11"/>
      <c r="AG207" s="11"/>
      <c r="AH207" s="11"/>
      <c r="AI207" s="11"/>
      <c r="AJ207" s="11"/>
      <c r="AK207" s="11"/>
      <c r="AL207" s="11"/>
      <c r="AM207" s="11"/>
    </row>
    <row r="208" spans="24:39">
      <c r="X208" s="11"/>
      <c r="Y208" s="11"/>
      <c r="Z208" s="11"/>
      <c r="AA208" s="11"/>
      <c r="AB208" s="11"/>
      <c r="AC208" s="11"/>
      <c r="AD208" s="11"/>
      <c r="AE208" s="11"/>
      <c r="AF208" s="11"/>
      <c r="AG208" s="11"/>
      <c r="AH208" s="11"/>
      <c r="AI208" s="11"/>
      <c r="AJ208" s="11"/>
      <c r="AK208" s="11"/>
      <c r="AL208" s="11"/>
      <c r="AM208" s="11"/>
    </row>
    <row r="209" spans="24:39">
      <c r="X209" s="11"/>
      <c r="Y209" s="11"/>
      <c r="Z209" s="11"/>
      <c r="AA209" s="11"/>
      <c r="AB209" s="11"/>
      <c r="AC209" s="11"/>
      <c r="AD209" s="11"/>
      <c r="AE209" s="11"/>
      <c r="AF209" s="11"/>
      <c r="AG209" s="11"/>
      <c r="AH209" s="11"/>
      <c r="AI209" s="11"/>
      <c r="AJ209" s="11"/>
      <c r="AK209" s="11"/>
      <c r="AL209" s="11"/>
      <c r="AM209" s="11"/>
    </row>
    <row r="210" spans="24:39">
      <c r="X210" s="11"/>
      <c r="Y210" s="11"/>
      <c r="Z210" s="11"/>
      <c r="AA210" s="11"/>
      <c r="AB210" s="11"/>
      <c r="AC210" s="11"/>
      <c r="AD210" s="11"/>
      <c r="AE210" s="11"/>
      <c r="AF210" s="11"/>
      <c r="AG210" s="11"/>
      <c r="AH210" s="11"/>
      <c r="AI210" s="11"/>
      <c r="AJ210" s="11"/>
      <c r="AK210" s="11"/>
      <c r="AL210" s="11"/>
      <c r="AM210" s="11"/>
    </row>
    <row r="211" spans="24:39">
      <c r="X211" s="11"/>
      <c r="Y211" s="11"/>
      <c r="Z211" s="11"/>
      <c r="AA211" s="11"/>
      <c r="AB211" s="11"/>
      <c r="AC211" s="11"/>
      <c r="AD211" s="11"/>
      <c r="AE211" s="11"/>
      <c r="AF211" s="11"/>
      <c r="AG211" s="11"/>
      <c r="AH211" s="11"/>
      <c r="AI211" s="11"/>
      <c r="AJ211" s="11"/>
      <c r="AK211" s="11"/>
      <c r="AL211" s="11"/>
      <c r="AM211" s="11"/>
    </row>
    <row r="212" spans="24:39">
      <c r="X212" s="11"/>
      <c r="Y212" s="11"/>
      <c r="Z212" s="11"/>
      <c r="AA212" s="11"/>
      <c r="AB212" s="11"/>
      <c r="AC212" s="11"/>
      <c r="AD212" s="11"/>
      <c r="AE212" s="11"/>
      <c r="AF212" s="11"/>
      <c r="AG212" s="11"/>
      <c r="AH212" s="11"/>
      <c r="AI212" s="11"/>
      <c r="AJ212" s="11"/>
      <c r="AK212" s="11"/>
      <c r="AL212" s="11"/>
      <c r="AM212" s="11"/>
    </row>
    <row r="213" spans="24:39">
      <c r="X213" s="11"/>
      <c r="Y213" s="11"/>
      <c r="Z213" s="11"/>
      <c r="AA213" s="11"/>
      <c r="AB213" s="11"/>
      <c r="AC213" s="11"/>
      <c r="AD213" s="11"/>
      <c r="AE213" s="11"/>
      <c r="AF213" s="11"/>
      <c r="AG213" s="11"/>
      <c r="AH213" s="11"/>
      <c r="AI213" s="11"/>
      <c r="AJ213" s="11"/>
      <c r="AK213" s="11"/>
      <c r="AL213" s="11"/>
      <c r="AM213" s="11"/>
    </row>
    <row r="214" spans="24:39">
      <c r="X214" s="11"/>
      <c r="Y214" s="11"/>
      <c r="Z214" s="11"/>
      <c r="AA214" s="11"/>
      <c r="AB214" s="11"/>
      <c r="AC214" s="11"/>
      <c r="AD214" s="11"/>
      <c r="AE214" s="11"/>
      <c r="AF214" s="11"/>
      <c r="AG214" s="11"/>
      <c r="AH214" s="11"/>
      <c r="AI214" s="11"/>
      <c r="AJ214" s="11"/>
      <c r="AK214" s="11"/>
      <c r="AL214" s="11"/>
      <c r="AM214" s="11"/>
    </row>
    <row r="215" spans="24:39">
      <c r="X215" s="11"/>
      <c r="Y215" s="11"/>
      <c r="Z215" s="11"/>
      <c r="AA215" s="11"/>
      <c r="AB215" s="11"/>
      <c r="AC215" s="11"/>
      <c r="AD215" s="11"/>
      <c r="AE215" s="11"/>
      <c r="AF215" s="11"/>
      <c r="AG215" s="11"/>
      <c r="AH215" s="11"/>
      <c r="AI215" s="11"/>
      <c r="AJ215" s="11"/>
      <c r="AK215" s="11"/>
      <c r="AL215" s="11"/>
      <c r="AM215" s="11"/>
    </row>
    <row r="216" spans="24:39">
      <c r="X216" s="11"/>
      <c r="Y216" s="11"/>
      <c r="Z216" s="11"/>
      <c r="AA216" s="11"/>
      <c r="AB216" s="11"/>
      <c r="AC216" s="11"/>
      <c r="AD216" s="11"/>
      <c r="AE216" s="11"/>
      <c r="AF216" s="11"/>
      <c r="AG216" s="11"/>
      <c r="AH216" s="11"/>
      <c r="AI216" s="11"/>
      <c r="AJ216" s="11"/>
      <c r="AK216" s="11"/>
      <c r="AL216" s="11"/>
      <c r="AM216" s="11"/>
    </row>
    <row r="217" spans="24:39">
      <c r="X217" s="11"/>
      <c r="Y217" s="11"/>
      <c r="Z217" s="11"/>
      <c r="AA217" s="11"/>
      <c r="AB217" s="11"/>
      <c r="AC217" s="11"/>
      <c r="AD217" s="11"/>
      <c r="AE217" s="11"/>
      <c r="AF217" s="11"/>
      <c r="AG217" s="11"/>
      <c r="AH217" s="11"/>
      <c r="AI217" s="11"/>
      <c r="AJ217" s="11"/>
      <c r="AK217" s="11"/>
      <c r="AL217" s="11"/>
      <c r="AM217" s="11"/>
    </row>
    <row r="218" spans="24:39">
      <c r="X218" s="11"/>
      <c r="Y218" s="11"/>
      <c r="Z218" s="11"/>
      <c r="AA218" s="11"/>
      <c r="AB218" s="11"/>
      <c r="AC218" s="11"/>
      <c r="AD218" s="11"/>
      <c r="AE218" s="11"/>
      <c r="AF218" s="11"/>
      <c r="AG218" s="11"/>
      <c r="AH218" s="11"/>
      <c r="AI218" s="11"/>
      <c r="AJ218" s="11"/>
      <c r="AK218" s="11"/>
      <c r="AL218" s="11"/>
      <c r="AM218" s="11"/>
    </row>
    <row r="219" spans="24:39">
      <c r="X219" s="11"/>
      <c r="Y219" s="11"/>
      <c r="Z219" s="11"/>
      <c r="AA219" s="11"/>
      <c r="AB219" s="11"/>
      <c r="AC219" s="11"/>
      <c r="AD219" s="11"/>
      <c r="AE219" s="11"/>
      <c r="AF219" s="11"/>
      <c r="AG219" s="11"/>
      <c r="AH219" s="11"/>
      <c r="AI219" s="11"/>
      <c r="AJ219" s="11"/>
      <c r="AK219" s="11"/>
      <c r="AL219" s="11"/>
      <c r="AM219" s="11"/>
    </row>
    <row r="220" spans="24:39">
      <c r="X220" s="11"/>
      <c r="Y220" s="11"/>
      <c r="Z220" s="11"/>
      <c r="AA220" s="11"/>
      <c r="AB220" s="11"/>
      <c r="AC220" s="11"/>
      <c r="AD220" s="11"/>
      <c r="AE220" s="11"/>
      <c r="AF220" s="11"/>
      <c r="AG220" s="11"/>
      <c r="AH220" s="11"/>
      <c r="AI220" s="11"/>
      <c r="AJ220" s="11"/>
      <c r="AK220" s="11"/>
      <c r="AL220" s="11"/>
      <c r="AM220" s="11"/>
    </row>
    <row r="221" spans="24:39">
      <c r="X221" s="11"/>
      <c r="Y221" s="11"/>
      <c r="Z221" s="11"/>
      <c r="AA221" s="11"/>
      <c r="AB221" s="11"/>
      <c r="AC221" s="11"/>
      <c r="AD221" s="11"/>
      <c r="AE221" s="11"/>
      <c r="AF221" s="11"/>
      <c r="AG221" s="11"/>
      <c r="AH221" s="11"/>
      <c r="AI221" s="11"/>
      <c r="AJ221" s="11"/>
      <c r="AK221" s="11"/>
      <c r="AL221" s="11"/>
      <c r="AM221" s="11"/>
    </row>
    <row r="222" spans="24:39">
      <c r="X222" s="11"/>
      <c r="Y222" s="11"/>
      <c r="Z222" s="11"/>
      <c r="AA222" s="11"/>
      <c r="AB222" s="11"/>
      <c r="AC222" s="11"/>
      <c r="AD222" s="11"/>
      <c r="AE222" s="11"/>
      <c r="AF222" s="11"/>
      <c r="AG222" s="11"/>
      <c r="AH222" s="11"/>
      <c r="AI222" s="11"/>
      <c r="AJ222" s="11"/>
      <c r="AK222" s="11"/>
      <c r="AL222" s="11"/>
      <c r="AM222" s="11"/>
    </row>
    <row r="223" spans="24:39">
      <c r="X223" s="11"/>
      <c r="Y223" s="11"/>
      <c r="Z223" s="11"/>
      <c r="AA223" s="11"/>
      <c r="AB223" s="11"/>
      <c r="AC223" s="11"/>
      <c r="AD223" s="11"/>
      <c r="AE223" s="11"/>
      <c r="AF223" s="11"/>
      <c r="AG223" s="11"/>
      <c r="AH223" s="11"/>
      <c r="AI223" s="11"/>
      <c r="AJ223" s="11"/>
      <c r="AK223" s="11"/>
      <c r="AL223" s="11"/>
      <c r="AM223" s="11"/>
    </row>
    <row r="224" spans="24:39">
      <c r="X224" s="11"/>
      <c r="Y224" s="11"/>
      <c r="Z224" s="11"/>
      <c r="AA224" s="11"/>
      <c r="AB224" s="11"/>
      <c r="AC224" s="11"/>
      <c r="AD224" s="11"/>
      <c r="AE224" s="11"/>
      <c r="AF224" s="11"/>
      <c r="AG224" s="11"/>
      <c r="AH224" s="11"/>
      <c r="AI224" s="11"/>
      <c r="AJ224" s="11"/>
      <c r="AK224" s="11"/>
      <c r="AL224" s="11"/>
      <c r="AM224" s="11"/>
    </row>
    <row r="225" spans="24:39">
      <c r="X225" s="11"/>
      <c r="Y225" s="11"/>
      <c r="Z225" s="11"/>
      <c r="AA225" s="11"/>
      <c r="AB225" s="11"/>
      <c r="AC225" s="11"/>
      <c r="AD225" s="11"/>
      <c r="AE225" s="11"/>
      <c r="AF225" s="11"/>
      <c r="AG225" s="11"/>
      <c r="AH225" s="11"/>
      <c r="AI225" s="11"/>
      <c r="AJ225" s="11"/>
      <c r="AK225" s="11"/>
      <c r="AL225" s="11"/>
      <c r="AM225" s="11"/>
    </row>
    <row r="226" spans="24:39">
      <c r="X226" s="11"/>
      <c r="Y226" s="11"/>
      <c r="Z226" s="11"/>
      <c r="AA226" s="11"/>
      <c r="AB226" s="11"/>
      <c r="AC226" s="11"/>
      <c r="AD226" s="11"/>
      <c r="AE226" s="11"/>
      <c r="AF226" s="11"/>
      <c r="AG226" s="11"/>
      <c r="AH226" s="11"/>
      <c r="AI226" s="11"/>
      <c r="AJ226" s="11"/>
      <c r="AK226" s="11"/>
      <c r="AL226" s="11"/>
      <c r="AM226" s="11"/>
    </row>
    <row r="227" spans="24:39">
      <c r="X227" s="11"/>
      <c r="Y227" s="11"/>
      <c r="Z227" s="11"/>
      <c r="AA227" s="11"/>
      <c r="AB227" s="11"/>
      <c r="AC227" s="11"/>
      <c r="AD227" s="11"/>
      <c r="AE227" s="11"/>
      <c r="AF227" s="11"/>
      <c r="AG227" s="11"/>
      <c r="AH227" s="11"/>
      <c r="AI227" s="11"/>
      <c r="AJ227" s="11"/>
      <c r="AK227" s="11"/>
      <c r="AL227" s="11"/>
      <c r="AM227" s="11"/>
    </row>
    <row r="228" spans="24:39">
      <c r="X228" s="11"/>
      <c r="Y228" s="11"/>
      <c r="Z228" s="11"/>
      <c r="AA228" s="11"/>
      <c r="AB228" s="11"/>
      <c r="AC228" s="11"/>
      <c r="AD228" s="11"/>
      <c r="AE228" s="11"/>
      <c r="AF228" s="11"/>
      <c r="AG228" s="11"/>
      <c r="AH228" s="11"/>
      <c r="AI228" s="11"/>
      <c r="AJ228" s="11"/>
      <c r="AK228" s="11"/>
      <c r="AL228" s="11"/>
      <c r="AM228" s="11"/>
    </row>
    <row r="229" spans="24:39">
      <c r="X229" s="11"/>
      <c r="Y229" s="11"/>
      <c r="Z229" s="11"/>
      <c r="AA229" s="11"/>
      <c r="AB229" s="11"/>
      <c r="AC229" s="11"/>
      <c r="AD229" s="11"/>
      <c r="AE229" s="11"/>
      <c r="AF229" s="11"/>
      <c r="AG229" s="11"/>
      <c r="AH229" s="11"/>
      <c r="AI229" s="11"/>
      <c r="AJ229" s="11"/>
      <c r="AK229" s="11"/>
      <c r="AL229" s="11"/>
      <c r="AM229" s="11"/>
    </row>
    <row r="230" spans="24:39">
      <c r="X230" s="11"/>
      <c r="Y230" s="11"/>
      <c r="Z230" s="11"/>
      <c r="AA230" s="11"/>
      <c r="AB230" s="11"/>
      <c r="AC230" s="11"/>
      <c r="AD230" s="11"/>
      <c r="AE230" s="11"/>
      <c r="AF230" s="11"/>
      <c r="AG230" s="11"/>
      <c r="AH230" s="11"/>
      <c r="AI230" s="11"/>
      <c r="AJ230" s="11"/>
      <c r="AK230" s="11"/>
      <c r="AL230" s="11"/>
      <c r="AM230" s="11"/>
    </row>
    <row r="231" spans="24:39">
      <c r="X231" s="11"/>
      <c r="Y231" s="11"/>
      <c r="Z231" s="11"/>
      <c r="AA231" s="11"/>
      <c r="AB231" s="11"/>
      <c r="AC231" s="11"/>
      <c r="AD231" s="11"/>
      <c r="AE231" s="11"/>
      <c r="AF231" s="11"/>
      <c r="AG231" s="11"/>
      <c r="AH231" s="11"/>
      <c r="AI231" s="11"/>
      <c r="AJ231" s="11"/>
      <c r="AK231" s="11"/>
      <c r="AL231" s="11"/>
      <c r="AM231" s="11"/>
    </row>
    <row r="232" spans="24:39">
      <c r="X232" s="11"/>
      <c r="Y232" s="11"/>
      <c r="Z232" s="11"/>
      <c r="AA232" s="11"/>
      <c r="AB232" s="11"/>
      <c r="AC232" s="11"/>
      <c r="AD232" s="11"/>
      <c r="AE232" s="11"/>
      <c r="AF232" s="11"/>
      <c r="AG232" s="11"/>
      <c r="AH232" s="11"/>
      <c r="AI232" s="11"/>
      <c r="AJ232" s="11"/>
      <c r="AK232" s="11"/>
      <c r="AL232" s="11"/>
      <c r="AM232" s="11"/>
    </row>
    <row r="233" spans="24:39">
      <c r="X233" s="11"/>
      <c r="Y233" s="11"/>
      <c r="Z233" s="11"/>
      <c r="AA233" s="11"/>
      <c r="AB233" s="11"/>
      <c r="AC233" s="11"/>
      <c r="AD233" s="11"/>
      <c r="AE233" s="11"/>
      <c r="AF233" s="11"/>
      <c r="AG233" s="11"/>
      <c r="AH233" s="11"/>
      <c r="AI233" s="11"/>
      <c r="AJ233" s="11"/>
      <c r="AK233" s="11"/>
      <c r="AL233" s="11"/>
      <c r="AM233" s="11"/>
    </row>
    <row r="234" spans="24:39">
      <c r="X234" s="11"/>
      <c r="Y234" s="11"/>
      <c r="Z234" s="11"/>
      <c r="AA234" s="11"/>
      <c r="AB234" s="11"/>
      <c r="AC234" s="11"/>
      <c r="AD234" s="11"/>
      <c r="AE234" s="11"/>
      <c r="AF234" s="11"/>
      <c r="AG234" s="11"/>
      <c r="AH234" s="11"/>
      <c r="AI234" s="11"/>
      <c r="AJ234" s="11"/>
      <c r="AK234" s="11"/>
      <c r="AL234" s="11"/>
      <c r="AM234" s="11"/>
    </row>
    <row r="235" spans="24:39">
      <c r="X235" s="11"/>
      <c r="Y235" s="11"/>
      <c r="Z235" s="11"/>
      <c r="AA235" s="11"/>
      <c r="AB235" s="11"/>
      <c r="AC235" s="11"/>
      <c r="AD235" s="11"/>
      <c r="AE235" s="11"/>
      <c r="AF235" s="11"/>
      <c r="AG235" s="11"/>
      <c r="AH235" s="11"/>
      <c r="AI235" s="11"/>
      <c r="AJ235" s="11"/>
      <c r="AK235" s="11"/>
      <c r="AL235" s="11"/>
      <c r="AM235" s="11"/>
    </row>
    <row r="236" spans="24:39">
      <c r="X236" s="11"/>
      <c r="Y236" s="11"/>
      <c r="Z236" s="11"/>
      <c r="AA236" s="11"/>
      <c r="AB236" s="11"/>
      <c r="AC236" s="11"/>
      <c r="AD236" s="11"/>
      <c r="AE236" s="11"/>
      <c r="AF236" s="11"/>
      <c r="AG236" s="11"/>
      <c r="AH236" s="11"/>
      <c r="AI236" s="11"/>
      <c r="AJ236" s="11"/>
      <c r="AK236" s="11"/>
      <c r="AL236" s="11"/>
      <c r="AM236" s="11"/>
    </row>
    <row r="237" spans="24:39">
      <c r="X237" s="11"/>
      <c r="Y237" s="11"/>
      <c r="Z237" s="11"/>
      <c r="AA237" s="11"/>
      <c r="AB237" s="11"/>
      <c r="AC237" s="11"/>
      <c r="AD237" s="11"/>
      <c r="AE237" s="11"/>
      <c r="AF237" s="11"/>
      <c r="AG237" s="11"/>
      <c r="AH237" s="11"/>
      <c r="AI237" s="11"/>
      <c r="AJ237" s="11"/>
      <c r="AK237" s="11"/>
      <c r="AL237" s="11"/>
      <c r="AM237" s="11"/>
    </row>
    <row r="238" spans="24:39">
      <c r="X238" s="11"/>
      <c r="Y238" s="11"/>
      <c r="Z238" s="11"/>
      <c r="AA238" s="11"/>
      <c r="AB238" s="11"/>
      <c r="AC238" s="11"/>
      <c r="AD238" s="11"/>
      <c r="AE238" s="11"/>
      <c r="AF238" s="11"/>
      <c r="AG238" s="11"/>
      <c r="AH238" s="11"/>
      <c r="AI238" s="11"/>
      <c r="AJ238" s="11"/>
      <c r="AK238" s="11"/>
      <c r="AL238" s="11"/>
      <c r="AM238" s="11"/>
    </row>
    <row r="239" spans="24:39">
      <c r="X239" s="11"/>
      <c r="Y239" s="11"/>
      <c r="Z239" s="11"/>
      <c r="AA239" s="11"/>
      <c r="AB239" s="11"/>
      <c r="AC239" s="11"/>
      <c r="AD239" s="11"/>
      <c r="AE239" s="11"/>
      <c r="AF239" s="11"/>
      <c r="AG239" s="11"/>
      <c r="AH239" s="11"/>
      <c r="AI239" s="11"/>
      <c r="AJ239" s="11"/>
      <c r="AK239" s="11"/>
      <c r="AL239" s="11"/>
      <c r="AM239" s="11"/>
    </row>
    <row r="240" spans="24:39">
      <c r="X240" s="11"/>
      <c r="Y240" s="11"/>
      <c r="Z240" s="11"/>
      <c r="AA240" s="11"/>
      <c r="AB240" s="11"/>
      <c r="AC240" s="11"/>
      <c r="AD240" s="11"/>
      <c r="AE240" s="11"/>
      <c r="AF240" s="11"/>
      <c r="AG240" s="11"/>
      <c r="AH240" s="11"/>
      <c r="AI240" s="11"/>
      <c r="AJ240" s="11"/>
      <c r="AK240" s="11"/>
      <c r="AL240" s="11"/>
      <c r="AM240" s="11"/>
    </row>
    <row r="241" spans="24:39">
      <c r="X241" s="11"/>
      <c r="Y241" s="11"/>
      <c r="Z241" s="11"/>
      <c r="AA241" s="11"/>
      <c r="AB241" s="11"/>
      <c r="AC241" s="11"/>
      <c r="AD241" s="11"/>
      <c r="AE241" s="11"/>
      <c r="AF241" s="11"/>
      <c r="AG241" s="11"/>
      <c r="AH241" s="11"/>
      <c r="AI241" s="11"/>
      <c r="AJ241" s="11"/>
      <c r="AK241" s="11"/>
      <c r="AL241" s="11"/>
      <c r="AM241" s="11"/>
    </row>
    <row r="242" spans="24:39">
      <c r="X242" s="11"/>
      <c r="Y242" s="11"/>
      <c r="Z242" s="11"/>
      <c r="AA242" s="11"/>
      <c r="AB242" s="11"/>
      <c r="AC242" s="11"/>
      <c r="AD242" s="11"/>
      <c r="AE242" s="11"/>
      <c r="AF242" s="11"/>
      <c r="AG242" s="11"/>
      <c r="AH242" s="11"/>
      <c r="AI242" s="11"/>
      <c r="AJ242" s="11"/>
      <c r="AK242" s="11"/>
      <c r="AL242" s="11"/>
      <c r="AM242" s="11"/>
    </row>
    <row r="243" spans="24:39">
      <c r="X243" s="11"/>
      <c r="Y243" s="11"/>
      <c r="Z243" s="11"/>
      <c r="AA243" s="11"/>
      <c r="AB243" s="11"/>
      <c r="AC243" s="11"/>
      <c r="AD243" s="11"/>
      <c r="AE243" s="11"/>
      <c r="AF243" s="11"/>
      <c r="AG243" s="11"/>
      <c r="AH243" s="11"/>
      <c r="AI243" s="11"/>
      <c r="AJ243" s="11"/>
      <c r="AK243" s="11"/>
      <c r="AL243" s="11"/>
      <c r="AM243" s="11"/>
    </row>
    <row r="244" spans="24:39">
      <c r="X244" s="11"/>
      <c r="Y244" s="11"/>
      <c r="Z244" s="11"/>
      <c r="AA244" s="11"/>
      <c r="AB244" s="11"/>
      <c r="AC244" s="11"/>
      <c r="AD244" s="11"/>
      <c r="AE244" s="11"/>
      <c r="AF244" s="11"/>
      <c r="AG244" s="11"/>
      <c r="AH244" s="11"/>
      <c r="AI244" s="11"/>
      <c r="AJ244" s="11"/>
      <c r="AK244" s="11"/>
      <c r="AL244" s="11"/>
      <c r="AM244" s="11"/>
    </row>
    <row r="245" spans="24:39">
      <c r="X245" s="11"/>
      <c r="Y245" s="11"/>
      <c r="Z245" s="11"/>
      <c r="AA245" s="11"/>
      <c r="AB245" s="11"/>
      <c r="AC245" s="11"/>
      <c r="AD245" s="11"/>
      <c r="AE245" s="11"/>
      <c r="AF245" s="11"/>
      <c r="AG245" s="11"/>
      <c r="AH245" s="11"/>
      <c r="AI245" s="11"/>
      <c r="AJ245" s="11"/>
      <c r="AK245" s="11"/>
      <c r="AL245" s="11"/>
      <c r="AM245" s="11"/>
    </row>
    <row r="246" spans="24:39">
      <c r="X246" s="11"/>
      <c r="Y246" s="11"/>
      <c r="Z246" s="11"/>
      <c r="AA246" s="11"/>
      <c r="AB246" s="11"/>
      <c r="AC246" s="11"/>
      <c r="AD246" s="11"/>
      <c r="AE246" s="11"/>
      <c r="AF246" s="11"/>
      <c r="AG246" s="11"/>
      <c r="AH246" s="11"/>
      <c r="AI246" s="11"/>
      <c r="AJ246" s="11"/>
      <c r="AK246" s="11"/>
      <c r="AL246" s="11"/>
      <c r="AM246" s="11"/>
    </row>
    <row r="247" spans="24:39">
      <c r="X247" s="11"/>
      <c r="Y247" s="11"/>
      <c r="Z247" s="11"/>
      <c r="AA247" s="11"/>
      <c r="AB247" s="11"/>
      <c r="AC247" s="11"/>
      <c r="AD247" s="11"/>
      <c r="AE247" s="11"/>
      <c r="AF247" s="11"/>
      <c r="AG247" s="11"/>
      <c r="AH247" s="11"/>
      <c r="AI247" s="11"/>
      <c r="AJ247" s="11"/>
      <c r="AK247" s="11"/>
      <c r="AL247" s="11"/>
      <c r="AM247" s="11"/>
    </row>
    <row r="248" spans="24:39">
      <c r="X248" s="11"/>
      <c r="Y248" s="11"/>
      <c r="Z248" s="11"/>
      <c r="AA248" s="11"/>
      <c r="AB248" s="11"/>
      <c r="AC248" s="11"/>
      <c r="AD248" s="11"/>
      <c r="AE248" s="11"/>
      <c r="AF248" s="11"/>
      <c r="AG248" s="11"/>
      <c r="AH248" s="11"/>
      <c r="AI248" s="11"/>
      <c r="AJ248" s="11"/>
      <c r="AK248" s="11"/>
      <c r="AL248" s="11"/>
      <c r="AM248" s="11"/>
    </row>
    <row r="249" spans="24:39">
      <c r="X249" s="11"/>
      <c r="Y249" s="11"/>
      <c r="Z249" s="11"/>
      <c r="AA249" s="11"/>
      <c r="AB249" s="11"/>
      <c r="AC249" s="11"/>
      <c r="AD249" s="11"/>
      <c r="AE249" s="11"/>
      <c r="AF249" s="11"/>
      <c r="AG249" s="11"/>
      <c r="AH249" s="11"/>
      <c r="AI249" s="11"/>
      <c r="AJ249" s="11"/>
      <c r="AK249" s="11"/>
      <c r="AL249" s="11"/>
      <c r="AM249" s="11"/>
    </row>
    <row r="250" spans="24:39">
      <c r="X250" s="11"/>
      <c r="Y250" s="11"/>
      <c r="Z250" s="11"/>
      <c r="AA250" s="11"/>
      <c r="AB250" s="11"/>
      <c r="AC250" s="11"/>
      <c r="AD250" s="11"/>
      <c r="AE250" s="11"/>
      <c r="AF250" s="11"/>
      <c r="AG250" s="11"/>
      <c r="AH250" s="11"/>
      <c r="AI250" s="11"/>
      <c r="AJ250" s="11"/>
      <c r="AK250" s="11"/>
      <c r="AL250" s="11"/>
      <c r="AM250" s="11"/>
    </row>
    <row r="251" spans="24:39">
      <c r="X251" s="11"/>
      <c r="Y251" s="11"/>
      <c r="Z251" s="11"/>
      <c r="AA251" s="11"/>
      <c r="AB251" s="11"/>
      <c r="AC251" s="11"/>
      <c r="AD251" s="11"/>
      <c r="AE251" s="11"/>
      <c r="AF251" s="11"/>
      <c r="AG251" s="11"/>
      <c r="AH251" s="11"/>
      <c r="AI251" s="11"/>
      <c r="AJ251" s="11"/>
      <c r="AK251" s="11"/>
      <c r="AL251" s="11"/>
      <c r="AM251" s="11"/>
    </row>
    <row r="252" spans="24:39">
      <c r="X252" s="11"/>
      <c r="Y252" s="11"/>
      <c r="Z252" s="11"/>
      <c r="AA252" s="11"/>
      <c r="AB252" s="11"/>
      <c r="AC252" s="11"/>
      <c r="AD252" s="11"/>
      <c r="AE252" s="11"/>
      <c r="AF252" s="11"/>
      <c r="AG252" s="11"/>
      <c r="AH252" s="11"/>
      <c r="AI252" s="11"/>
      <c r="AJ252" s="11"/>
      <c r="AK252" s="11"/>
      <c r="AL252" s="11"/>
      <c r="AM252" s="11"/>
    </row>
    <row r="253" spans="24:39">
      <c r="X253" s="11"/>
      <c r="Y253" s="11"/>
      <c r="Z253" s="11"/>
      <c r="AA253" s="11"/>
      <c r="AB253" s="11"/>
      <c r="AC253" s="11"/>
      <c r="AD253" s="11"/>
      <c r="AE253" s="11"/>
      <c r="AF253" s="11"/>
      <c r="AG253" s="11"/>
      <c r="AH253" s="11"/>
      <c r="AI253" s="11"/>
      <c r="AJ253" s="11"/>
      <c r="AK253" s="11"/>
      <c r="AL253" s="11"/>
      <c r="AM253" s="11"/>
    </row>
    <row r="254" spans="24:39">
      <c r="X254" s="11"/>
      <c r="Y254" s="11"/>
      <c r="Z254" s="11"/>
      <c r="AA254" s="11"/>
      <c r="AB254" s="11"/>
      <c r="AC254" s="11"/>
      <c r="AD254" s="11"/>
      <c r="AE254" s="11"/>
      <c r="AF254" s="11"/>
      <c r="AG254" s="11"/>
      <c r="AH254" s="11"/>
      <c r="AI254" s="11"/>
      <c r="AJ254" s="11"/>
      <c r="AK254" s="11"/>
      <c r="AL254" s="11"/>
      <c r="AM254" s="11"/>
    </row>
    <row r="255" spans="24:39">
      <c r="X255" s="11"/>
      <c r="Y255" s="11"/>
      <c r="Z255" s="11"/>
      <c r="AA255" s="11"/>
      <c r="AB255" s="11"/>
      <c r="AC255" s="11"/>
      <c r="AD255" s="11"/>
      <c r="AE255" s="11"/>
      <c r="AF255" s="11"/>
      <c r="AG255" s="11"/>
      <c r="AH255" s="11"/>
      <c r="AI255" s="11"/>
      <c r="AJ255" s="11"/>
      <c r="AK255" s="11"/>
      <c r="AL255" s="11"/>
      <c r="AM255" s="11"/>
    </row>
    <row r="256" spans="24:39">
      <c r="X256" s="11"/>
      <c r="Y256" s="11"/>
      <c r="Z256" s="11"/>
      <c r="AA256" s="11"/>
      <c r="AB256" s="11"/>
      <c r="AC256" s="11"/>
      <c r="AD256" s="11"/>
      <c r="AE256" s="11"/>
      <c r="AF256" s="11"/>
      <c r="AG256" s="11"/>
      <c r="AH256" s="11"/>
      <c r="AI256" s="11"/>
      <c r="AJ256" s="11"/>
      <c r="AK256" s="11"/>
      <c r="AL256" s="11"/>
      <c r="AM256" s="11"/>
    </row>
    <row r="257" spans="24:39">
      <c r="X257" s="11"/>
      <c r="Y257" s="11"/>
      <c r="Z257" s="11"/>
      <c r="AA257" s="11"/>
      <c r="AB257" s="11"/>
      <c r="AC257" s="11"/>
      <c r="AD257" s="11"/>
      <c r="AE257" s="11"/>
      <c r="AF257" s="11"/>
      <c r="AG257" s="11"/>
      <c r="AH257" s="11"/>
      <c r="AI257" s="11"/>
      <c r="AJ257" s="11"/>
      <c r="AK257" s="11"/>
      <c r="AL257" s="11"/>
      <c r="AM257" s="11"/>
    </row>
    <row r="258" spans="24:39">
      <c r="X258" s="11"/>
      <c r="Y258" s="11"/>
      <c r="Z258" s="11"/>
      <c r="AA258" s="11"/>
      <c r="AB258" s="11"/>
      <c r="AC258" s="11"/>
      <c r="AD258" s="11"/>
      <c r="AE258" s="11"/>
      <c r="AF258" s="11"/>
      <c r="AG258" s="11"/>
      <c r="AH258" s="11"/>
      <c r="AI258" s="11"/>
      <c r="AJ258" s="11"/>
      <c r="AK258" s="11"/>
      <c r="AL258" s="11"/>
      <c r="AM258" s="11"/>
    </row>
    <row r="259" spans="24:39">
      <c r="X259" s="11"/>
      <c r="Y259" s="11"/>
      <c r="Z259" s="11"/>
      <c r="AA259" s="11"/>
      <c r="AB259" s="11"/>
      <c r="AC259" s="11"/>
      <c r="AD259" s="11"/>
      <c r="AE259" s="11"/>
      <c r="AF259" s="11"/>
      <c r="AG259" s="11"/>
      <c r="AH259" s="11"/>
      <c r="AI259" s="11"/>
      <c r="AJ259" s="11"/>
      <c r="AK259" s="11"/>
      <c r="AL259" s="11"/>
      <c r="AM259" s="11"/>
    </row>
    <row r="260" spans="24:39">
      <c r="X260" s="11"/>
      <c r="Y260" s="11"/>
      <c r="Z260" s="11"/>
      <c r="AA260" s="11"/>
      <c r="AB260" s="11"/>
      <c r="AC260" s="11"/>
      <c r="AD260" s="11"/>
      <c r="AE260" s="11"/>
      <c r="AF260" s="11"/>
      <c r="AG260" s="11"/>
      <c r="AH260" s="11"/>
      <c r="AI260" s="11"/>
      <c r="AJ260" s="11"/>
      <c r="AK260" s="11"/>
      <c r="AL260" s="11"/>
      <c r="AM260" s="11"/>
    </row>
    <row r="261" spans="24:39">
      <c r="X261" s="11"/>
      <c r="Y261" s="11"/>
      <c r="Z261" s="11"/>
      <c r="AA261" s="11"/>
      <c r="AB261" s="11"/>
      <c r="AC261" s="11"/>
      <c r="AD261" s="11"/>
      <c r="AE261" s="11"/>
      <c r="AF261" s="11"/>
      <c r="AG261" s="11"/>
      <c r="AH261" s="11"/>
      <c r="AI261" s="11"/>
      <c r="AJ261" s="11"/>
      <c r="AK261" s="11"/>
      <c r="AL261" s="11"/>
      <c r="AM261" s="11"/>
    </row>
    <row r="262" spans="24:39">
      <c r="X262" s="11"/>
      <c r="Y262" s="11"/>
      <c r="Z262" s="11"/>
      <c r="AA262" s="11"/>
      <c r="AB262" s="11"/>
      <c r="AC262" s="11"/>
      <c r="AD262" s="11"/>
      <c r="AE262" s="11"/>
      <c r="AF262" s="11"/>
      <c r="AG262" s="11"/>
      <c r="AH262" s="11"/>
      <c r="AI262" s="11"/>
      <c r="AJ262" s="11"/>
      <c r="AK262" s="11"/>
      <c r="AL262" s="11"/>
      <c r="AM262" s="11"/>
    </row>
    <row r="263" spans="24:39">
      <c r="X263" s="11"/>
      <c r="Y263" s="11"/>
      <c r="Z263" s="11"/>
      <c r="AA263" s="11"/>
      <c r="AB263" s="11"/>
      <c r="AC263" s="11"/>
      <c r="AD263" s="11"/>
      <c r="AE263" s="11"/>
      <c r="AF263" s="11"/>
      <c r="AG263" s="11"/>
      <c r="AH263" s="11"/>
      <c r="AI263" s="11"/>
      <c r="AJ263" s="11"/>
      <c r="AK263" s="11"/>
      <c r="AL263" s="11"/>
      <c r="AM263" s="11"/>
    </row>
    <row r="264" spans="24:39">
      <c r="X264" s="11"/>
      <c r="Y264" s="11"/>
      <c r="Z264" s="11"/>
      <c r="AA264" s="11"/>
      <c r="AB264" s="11"/>
      <c r="AC264" s="11"/>
      <c r="AD264" s="11"/>
      <c r="AE264" s="11"/>
      <c r="AF264" s="11"/>
      <c r="AG264" s="11"/>
      <c r="AH264" s="11"/>
      <c r="AI264" s="11"/>
      <c r="AJ264" s="11"/>
      <c r="AK264" s="11"/>
      <c r="AL264" s="11"/>
      <c r="AM264" s="11"/>
    </row>
    <row r="265" spans="24:39">
      <c r="X265" s="11"/>
      <c r="Y265" s="11"/>
      <c r="Z265" s="11"/>
      <c r="AA265" s="11"/>
      <c r="AB265" s="11"/>
      <c r="AC265" s="11"/>
      <c r="AD265" s="11"/>
      <c r="AE265" s="11"/>
      <c r="AF265" s="11"/>
      <c r="AG265" s="11"/>
      <c r="AH265" s="11"/>
      <c r="AI265" s="11"/>
      <c r="AJ265" s="11"/>
      <c r="AK265" s="11"/>
      <c r="AL265" s="11"/>
      <c r="AM265" s="11"/>
    </row>
    <row r="266" spans="24:39">
      <c r="X266" s="11"/>
      <c r="Y266" s="11"/>
      <c r="Z266" s="11"/>
      <c r="AA266" s="11"/>
      <c r="AB266" s="11"/>
      <c r="AC266" s="11"/>
      <c r="AD266" s="11"/>
      <c r="AE266" s="11"/>
      <c r="AF266" s="11"/>
      <c r="AG266" s="11"/>
      <c r="AH266" s="11"/>
      <c r="AI266" s="11"/>
      <c r="AJ266" s="11"/>
      <c r="AK266" s="11"/>
      <c r="AL266" s="11"/>
      <c r="AM266" s="11"/>
    </row>
    <row r="267" spans="24:39">
      <c r="X267" s="11"/>
      <c r="Y267" s="11"/>
      <c r="Z267" s="11"/>
      <c r="AA267" s="11"/>
      <c r="AB267" s="11"/>
      <c r="AC267" s="11"/>
      <c r="AD267" s="11"/>
      <c r="AE267" s="11"/>
      <c r="AF267" s="11"/>
      <c r="AG267" s="11"/>
      <c r="AH267" s="11"/>
      <c r="AI267" s="11"/>
      <c r="AJ267" s="11"/>
      <c r="AK267" s="11"/>
      <c r="AL267" s="11"/>
      <c r="AM267" s="11"/>
    </row>
    <row r="268" spans="24:39">
      <c r="X268" s="11"/>
      <c r="Y268" s="11"/>
      <c r="Z268" s="11"/>
      <c r="AA268" s="11"/>
      <c r="AB268" s="11"/>
      <c r="AC268" s="11"/>
      <c r="AD268" s="11"/>
      <c r="AE268" s="11"/>
      <c r="AF268" s="11"/>
      <c r="AG268" s="11"/>
      <c r="AH268" s="11"/>
      <c r="AI268" s="11"/>
      <c r="AJ268" s="11"/>
      <c r="AK268" s="11"/>
      <c r="AL268" s="11"/>
      <c r="AM268" s="11"/>
    </row>
    <row r="269" spans="24:39">
      <c r="X269" s="11"/>
      <c r="Y269" s="11"/>
      <c r="Z269" s="11"/>
      <c r="AA269" s="11"/>
      <c r="AB269" s="11"/>
      <c r="AC269" s="11"/>
      <c r="AD269" s="11"/>
      <c r="AE269" s="11"/>
      <c r="AF269" s="11"/>
      <c r="AG269" s="11"/>
      <c r="AH269" s="11"/>
      <c r="AI269" s="11"/>
      <c r="AJ269" s="11"/>
      <c r="AK269" s="11"/>
      <c r="AL269" s="11"/>
      <c r="AM269" s="11"/>
    </row>
    <row r="270" spans="24:39">
      <c r="X270" s="11"/>
      <c r="Y270" s="11"/>
      <c r="Z270" s="11"/>
      <c r="AA270" s="11"/>
      <c r="AB270" s="11"/>
      <c r="AC270" s="11"/>
      <c r="AD270" s="11"/>
      <c r="AE270" s="11"/>
      <c r="AF270" s="11"/>
      <c r="AG270" s="11"/>
      <c r="AH270" s="11"/>
      <c r="AI270" s="11"/>
      <c r="AJ270" s="11"/>
      <c r="AK270" s="11"/>
      <c r="AL270" s="11"/>
      <c r="AM270" s="11"/>
    </row>
    <row r="271" spans="24:39">
      <c r="X271" s="11"/>
      <c r="Y271" s="11"/>
      <c r="Z271" s="11"/>
      <c r="AA271" s="11"/>
      <c r="AB271" s="11"/>
      <c r="AC271" s="11"/>
      <c r="AD271" s="11"/>
      <c r="AE271" s="11"/>
      <c r="AF271" s="11"/>
      <c r="AG271" s="11"/>
      <c r="AH271" s="11"/>
      <c r="AI271" s="11"/>
      <c r="AJ271" s="11"/>
      <c r="AK271" s="11"/>
      <c r="AL271" s="11"/>
      <c r="AM271" s="11"/>
    </row>
    <row r="272" spans="24:39">
      <c r="X272" s="11"/>
      <c r="Y272" s="11"/>
      <c r="Z272" s="11"/>
      <c r="AA272" s="11"/>
      <c r="AB272" s="11"/>
      <c r="AC272" s="11"/>
      <c r="AD272" s="11"/>
      <c r="AE272" s="11"/>
      <c r="AF272" s="11"/>
      <c r="AG272" s="11"/>
      <c r="AH272" s="11"/>
      <c r="AI272" s="11"/>
      <c r="AJ272" s="11"/>
      <c r="AK272" s="11"/>
      <c r="AL272" s="11"/>
      <c r="AM272" s="11"/>
    </row>
    <row r="273" spans="24:39">
      <c r="X273" s="11"/>
      <c r="Y273" s="11"/>
      <c r="Z273" s="11"/>
      <c r="AA273" s="11"/>
      <c r="AB273" s="11"/>
      <c r="AC273" s="11"/>
      <c r="AD273" s="11"/>
      <c r="AE273" s="11"/>
      <c r="AF273" s="11"/>
      <c r="AG273" s="11"/>
      <c r="AH273" s="11"/>
      <c r="AI273" s="11"/>
      <c r="AJ273" s="11"/>
      <c r="AK273" s="11"/>
      <c r="AL273" s="11"/>
      <c r="AM273" s="11"/>
    </row>
    <row r="274" spans="24:39">
      <c r="X274" s="11"/>
      <c r="Y274" s="11"/>
      <c r="Z274" s="11"/>
      <c r="AA274" s="11"/>
      <c r="AB274" s="11"/>
      <c r="AC274" s="11"/>
      <c r="AD274" s="11"/>
      <c r="AE274" s="11"/>
      <c r="AF274" s="11"/>
      <c r="AG274" s="11"/>
      <c r="AH274" s="11"/>
      <c r="AI274" s="11"/>
      <c r="AJ274" s="11"/>
      <c r="AK274" s="11"/>
      <c r="AL274" s="11"/>
      <c r="AM274" s="11"/>
    </row>
    <row r="275" spans="24:39">
      <c r="X275" s="11"/>
      <c r="Y275" s="11"/>
      <c r="Z275" s="11"/>
      <c r="AA275" s="11"/>
      <c r="AB275" s="11"/>
      <c r="AC275" s="11"/>
      <c r="AD275" s="11"/>
      <c r="AE275" s="11"/>
      <c r="AF275" s="11"/>
      <c r="AG275" s="11"/>
      <c r="AH275" s="11"/>
      <c r="AI275" s="11"/>
      <c r="AJ275" s="11"/>
      <c r="AK275" s="11"/>
      <c r="AL275" s="11"/>
      <c r="AM275" s="11"/>
    </row>
    <row r="276" spans="24:39">
      <c r="X276" s="11"/>
      <c r="Y276" s="11"/>
      <c r="Z276" s="11"/>
      <c r="AA276" s="11"/>
      <c r="AB276" s="11"/>
      <c r="AC276" s="11"/>
      <c r="AD276" s="11"/>
      <c r="AE276" s="11"/>
      <c r="AF276" s="11"/>
      <c r="AG276" s="11"/>
      <c r="AH276" s="11"/>
      <c r="AI276" s="11"/>
      <c r="AJ276" s="11"/>
      <c r="AK276" s="11"/>
      <c r="AL276" s="11"/>
      <c r="AM276" s="11"/>
    </row>
    <row r="277" spans="24:39">
      <c r="X277" s="11"/>
      <c r="Y277" s="11"/>
      <c r="Z277" s="11"/>
      <c r="AA277" s="11"/>
      <c r="AB277" s="11"/>
      <c r="AC277" s="11"/>
      <c r="AD277" s="11"/>
      <c r="AE277" s="11"/>
      <c r="AF277" s="11"/>
      <c r="AG277" s="11"/>
      <c r="AH277" s="11"/>
      <c r="AI277" s="11"/>
      <c r="AJ277" s="11"/>
      <c r="AK277" s="11"/>
      <c r="AL277" s="11"/>
      <c r="AM277" s="11"/>
    </row>
    <row r="278" spans="24:39">
      <c r="X278" s="11"/>
      <c r="Y278" s="11"/>
      <c r="Z278" s="11"/>
      <c r="AA278" s="11"/>
      <c r="AB278" s="11"/>
      <c r="AC278" s="11"/>
      <c r="AD278" s="11"/>
      <c r="AE278" s="11"/>
      <c r="AF278" s="11"/>
      <c r="AG278" s="11"/>
      <c r="AH278" s="11"/>
      <c r="AI278" s="11"/>
      <c r="AJ278" s="11"/>
      <c r="AK278" s="11"/>
      <c r="AL278" s="11"/>
      <c r="AM278" s="11"/>
    </row>
    <row r="279" spans="24:39">
      <c r="X279" s="11"/>
      <c r="Y279" s="11"/>
      <c r="Z279" s="11"/>
      <c r="AA279" s="11"/>
      <c r="AB279" s="11"/>
      <c r="AC279" s="11"/>
      <c r="AD279" s="11"/>
      <c r="AE279" s="11"/>
      <c r="AF279" s="11"/>
      <c r="AG279" s="11"/>
      <c r="AH279" s="11"/>
      <c r="AI279" s="11"/>
      <c r="AJ279" s="11"/>
      <c r="AK279" s="11"/>
      <c r="AL279" s="11"/>
      <c r="AM279" s="11"/>
    </row>
    <row r="280" spans="24:39">
      <c r="X280" s="11"/>
      <c r="Y280" s="11"/>
      <c r="Z280" s="11"/>
      <c r="AA280" s="11"/>
      <c r="AB280" s="11"/>
      <c r="AC280" s="11"/>
      <c r="AD280" s="11"/>
      <c r="AE280" s="11"/>
      <c r="AF280" s="11"/>
      <c r="AG280" s="11"/>
      <c r="AH280" s="11"/>
      <c r="AI280" s="11"/>
      <c r="AJ280" s="11"/>
      <c r="AK280" s="11"/>
      <c r="AL280" s="11"/>
      <c r="AM280" s="11"/>
    </row>
    <row r="281" spans="24:39">
      <c r="X281" s="11"/>
      <c r="Y281" s="11"/>
      <c r="Z281" s="11"/>
      <c r="AA281" s="11"/>
      <c r="AB281" s="11"/>
      <c r="AC281" s="11"/>
      <c r="AD281" s="11"/>
      <c r="AE281" s="11"/>
      <c r="AF281" s="11"/>
      <c r="AG281" s="11"/>
      <c r="AH281" s="11"/>
      <c r="AI281" s="11"/>
      <c r="AJ281" s="11"/>
      <c r="AK281" s="11"/>
      <c r="AL281" s="11"/>
      <c r="AM281" s="11"/>
    </row>
    <row r="282" spans="24:39">
      <c r="X282" s="11"/>
      <c r="Y282" s="11"/>
      <c r="Z282" s="11"/>
      <c r="AA282" s="11"/>
      <c r="AB282" s="11"/>
      <c r="AC282" s="11"/>
      <c r="AD282" s="11"/>
      <c r="AE282" s="11"/>
      <c r="AF282" s="11"/>
      <c r="AG282" s="11"/>
      <c r="AH282" s="11"/>
      <c r="AI282" s="11"/>
      <c r="AJ282" s="11"/>
      <c r="AK282" s="11"/>
      <c r="AL282" s="11"/>
      <c r="AM282" s="11"/>
    </row>
    <row r="283" spans="24:39">
      <c r="X283" s="11"/>
      <c r="Y283" s="11"/>
      <c r="Z283" s="11"/>
      <c r="AA283" s="11"/>
      <c r="AB283" s="11"/>
      <c r="AC283" s="11"/>
      <c r="AD283" s="11"/>
      <c r="AE283" s="11"/>
      <c r="AF283" s="11"/>
      <c r="AG283" s="11"/>
      <c r="AH283" s="11"/>
      <c r="AI283" s="11"/>
      <c r="AJ283" s="11"/>
      <c r="AK283" s="11"/>
      <c r="AL283" s="11"/>
      <c r="AM283" s="11"/>
    </row>
    <row r="284" spans="24:39">
      <c r="X284" s="11"/>
      <c r="Y284" s="11"/>
      <c r="Z284" s="11"/>
      <c r="AA284" s="11"/>
      <c r="AB284" s="11"/>
      <c r="AC284" s="11"/>
      <c r="AD284" s="11"/>
      <c r="AE284" s="11"/>
      <c r="AF284" s="11"/>
      <c r="AG284" s="11"/>
      <c r="AH284" s="11"/>
      <c r="AI284" s="11"/>
      <c r="AJ284" s="11"/>
      <c r="AK284" s="11"/>
      <c r="AL284" s="11"/>
      <c r="AM284" s="11"/>
    </row>
    <row r="285" spans="24:39">
      <c r="X285" s="11"/>
      <c r="Y285" s="11"/>
      <c r="Z285" s="11"/>
      <c r="AA285" s="11"/>
      <c r="AB285" s="11"/>
      <c r="AC285" s="11"/>
      <c r="AD285" s="11"/>
      <c r="AE285" s="11"/>
      <c r="AF285" s="11"/>
      <c r="AG285" s="11"/>
      <c r="AH285" s="11"/>
      <c r="AI285" s="11"/>
      <c r="AJ285" s="11"/>
      <c r="AK285" s="11"/>
      <c r="AL285" s="11"/>
      <c r="AM285" s="11"/>
    </row>
    <row r="286" spans="24:39">
      <c r="X286" s="11"/>
      <c r="Y286" s="11"/>
      <c r="Z286" s="11"/>
      <c r="AA286" s="11"/>
      <c r="AB286" s="11"/>
      <c r="AC286" s="11"/>
      <c r="AD286" s="11"/>
      <c r="AE286" s="11"/>
      <c r="AF286" s="11"/>
      <c r="AG286" s="11"/>
      <c r="AH286" s="11"/>
      <c r="AI286" s="11"/>
      <c r="AJ286" s="11"/>
      <c r="AK286" s="11"/>
      <c r="AL286" s="11"/>
      <c r="AM286" s="11"/>
    </row>
    <row r="287" spans="24:39">
      <c r="X287" s="11"/>
      <c r="Y287" s="11"/>
      <c r="Z287" s="11"/>
      <c r="AA287" s="11"/>
      <c r="AB287" s="11"/>
      <c r="AC287" s="11"/>
      <c r="AD287" s="11"/>
      <c r="AE287" s="11"/>
      <c r="AF287" s="11"/>
      <c r="AG287" s="11"/>
      <c r="AH287" s="11"/>
      <c r="AI287" s="11"/>
      <c r="AJ287" s="11"/>
      <c r="AK287" s="11"/>
      <c r="AL287" s="11"/>
      <c r="AM287" s="11"/>
    </row>
    <row r="288" spans="24:39">
      <c r="X288" s="11"/>
      <c r="Y288" s="11"/>
      <c r="Z288" s="11"/>
      <c r="AA288" s="11"/>
      <c r="AB288" s="11"/>
      <c r="AC288" s="11"/>
      <c r="AD288" s="11"/>
      <c r="AE288" s="11"/>
      <c r="AF288" s="11"/>
      <c r="AG288" s="11"/>
      <c r="AH288" s="11"/>
      <c r="AI288" s="11"/>
      <c r="AJ288" s="11"/>
      <c r="AK288" s="11"/>
      <c r="AL288" s="11"/>
      <c r="AM288" s="11"/>
    </row>
    <row r="289" spans="24:39">
      <c r="X289" s="11"/>
      <c r="Y289" s="11"/>
      <c r="Z289" s="11"/>
      <c r="AA289" s="11"/>
      <c r="AB289" s="11"/>
      <c r="AC289" s="11"/>
      <c r="AD289" s="11"/>
      <c r="AE289" s="11"/>
      <c r="AF289" s="11"/>
      <c r="AG289" s="11"/>
      <c r="AH289" s="11"/>
      <c r="AI289" s="11"/>
      <c r="AJ289" s="11"/>
      <c r="AK289" s="11"/>
      <c r="AL289" s="11"/>
      <c r="AM289" s="11"/>
    </row>
    <row r="290" spans="24:39">
      <c r="X290" s="11"/>
      <c r="Y290" s="11"/>
      <c r="Z290" s="11"/>
      <c r="AA290" s="11"/>
      <c r="AB290" s="11"/>
      <c r="AC290" s="11"/>
      <c r="AD290" s="11"/>
      <c r="AE290" s="11"/>
      <c r="AF290" s="11"/>
      <c r="AG290" s="11"/>
      <c r="AH290" s="11"/>
      <c r="AI290" s="11"/>
      <c r="AJ290" s="11"/>
      <c r="AK290" s="11"/>
      <c r="AL290" s="11"/>
      <c r="AM290" s="11"/>
    </row>
    <row r="291" spans="24:39">
      <c r="X291" s="11"/>
      <c r="Y291" s="11"/>
      <c r="Z291" s="11"/>
      <c r="AA291" s="11"/>
      <c r="AB291" s="11"/>
      <c r="AC291" s="11"/>
      <c r="AD291" s="11"/>
      <c r="AE291" s="11"/>
      <c r="AF291" s="11"/>
      <c r="AG291" s="11"/>
      <c r="AH291" s="11"/>
      <c r="AI291" s="11"/>
      <c r="AJ291" s="11"/>
      <c r="AK291" s="11"/>
      <c r="AL291" s="11"/>
      <c r="AM291" s="11"/>
    </row>
    <row r="292" spans="24:39">
      <c r="X292" s="11"/>
      <c r="Y292" s="11"/>
      <c r="Z292" s="11"/>
      <c r="AA292" s="11"/>
      <c r="AB292" s="11"/>
      <c r="AC292" s="11"/>
      <c r="AD292" s="11"/>
      <c r="AE292" s="11"/>
      <c r="AF292" s="11"/>
      <c r="AG292" s="11"/>
      <c r="AH292" s="11"/>
      <c r="AI292" s="11"/>
      <c r="AJ292" s="11"/>
      <c r="AK292" s="11"/>
      <c r="AL292" s="11"/>
      <c r="AM292" s="11"/>
    </row>
    <row r="293" spans="24:39">
      <c r="X293" s="11"/>
      <c r="Y293" s="11"/>
      <c r="Z293" s="11"/>
      <c r="AA293" s="11"/>
      <c r="AB293" s="11"/>
      <c r="AC293" s="11"/>
      <c r="AD293" s="11"/>
      <c r="AE293" s="11"/>
      <c r="AF293" s="11"/>
      <c r="AG293" s="11"/>
      <c r="AH293" s="11"/>
      <c r="AI293" s="11"/>
      <c r="AJ293" s="11"/>
      <c r="AK293" s="11"/>
      <c r="AL293" s="11"/>
      <c r="AM293" s="11"/>
    </row>
    <row r="294" spans="24:39">
      <c r="X294" s="11"/>
      <c r="Y294" s="11"/>
      <c r="Z294" s="11"/>
      <c r="AA294" s="11"/>
      <c r="AB294" s="11"/>
      <c r="AC294" s="11"/>
      <c r="AD294" s="11"/>
      <c r="AE294" s="11"/>
      <c r="AF294" s="11"/>
      <c r="AG294" s="11"/>
      <c r="AH294" s="11"/>
      <c r="AI294" s="11"/>
      <c r="AJ294" s="11"/>
      <c r="AK294" s="11"/>
      <c r="AL294" s="11"/>
      <c r="AM294" s="11"/>
    </row>
    <row r="295" spans="24:39">
      <c r="X295" s="11"/>
      <c r="Y295" s="11"/>
      <c r="Z295" s="11"/>
      <c r="AA295" s="11"/>
      <c r="AB295" s="11"/>
      <c r="AC295" s="11"/>
      <c r="AD295" s="11"/>
      <c r="AE295" s="11"/>
      <c r="AF295" s="11"/>
      <c r="AG295" s="11"/>
      <c r="AH295" s="11"/>
      <c r="AI295" s="11"/>
      <c r="AJ295" s="11"/>
      <c r="AK295" s="11"/>
      <c r="AL295" s="11"/>
      <c r="AM295" s="11"/>
    </row>
    <row r="296" spans="24:39">
      <c r="X296" s="11"/>
      <c r="Y296" s="11"/>
      <c r="Z296" s="11"/>
      <c r="AA296" s="11"/>
      <c r="AB296" s="11"/>
      <c r="AC296" s="11"/>
      <c r="AD296" s="11"/>
      <c r="AE296" s="11"/>
      <c r="AF296" s="11"/>
      <c r="AG296" s="11"/>
      <c r="AH296" s="11"/>
      <c r="AI296" s="11"/>
      <c r="AJ296" s="11"/>
      <c r="AK296" s="11"/>
      <c r="AL296" s="11"/>
      <c r="AM296" s="11"/>
    </row>
    <row r="297" spans="24:39">
      <c r="X297" s="11"/>
      <c r="Y297" s="11"/>
      <c r="Z297" s="11"/>
      <c r="AA297" s="11"/>
      <c r="AB297" s="11"/>
      <c r="AC297" s="11"/>
      <c r="AD297" s="11"/>
      <c r="AE297" s="11"/>
      <c r="AF297" s="11"/>
      <c r="AG297" s="11"/>
      <c r="AH297" s="11"/>
      <c r="AI297" s="11"/>
      <c r="AJ297" s="11"/>
      <c r="AK297" s="11"/>
      <c r="AL297" s="11"/>
      <c r="AM297" s="11"/>
    </row>
    <row r="298" spans="24:39">
      <c r="X298" s="11"/>
      <c r="Y298" s="11"/>
      <c r="Z298" s="11"/>
      <c r="AA298" s="11"/>
      <c r="AB298" s="11"/>
      <c r="AC298" s="11"/>
      <c r="AD298" s="11"/>
      <c r="AE298" s="11"/>
      <c r="AF298" s="11"/>
      <c r="AG298" s="11"/>
      <c r="AH298" s="11"/>
      <c r="AI298" s="11"/>
      <c r="AJ298" s="11"/>
      <c r="AK298" s="11"/>
      <c r="AL298" s="11"/>
      <c r="AM298" s="11"/>
    </row>
  </sheetData>
  <autoFilter ref="A2:AT178"/>
  <mergeCells count="8">
    <mergeCell ref="A1:E1"/>
    <mergeCell ref="AO1:AT1"/>
    <mergeCell ref="X1:Z1"/>
    <mergeCell ref="AA1:AE1"/>
    <mergeCell ref="F1:G1"/>
    <mergeCell ref="H1:I1"/>
    <mergeCell ref="J1:L1"/>
    <mergeCell ref="M1:Q1"/>
  </mergeCells>
  <conditionalFormatting sqref="J3:V179">
    <cfRule type="cellIs" dxfId="37" priority="2" operator="equal">
      <formula>"N/A"</formula>
    </cfRule>
    <cfRule type="cellIs" dxfId="36" priority="11" operator="equal">
      <formula>"NO"</formula>
    </cfRule>
    <cfRule type="cellIs" dxfId="35" priority="12" operator="equal">
      <formula>"SI"</formula>
    </cfRule>
  </conditionalFormatting>
  <conditionalFormatting sqref="W3:W178">
    <cfRule type="cellIs" dxfId="34" priority="5" operator="equal">
      <formula>"No Aceptable"</formula>
    </cfRule>
    <cfRule type="cellIs" dxfId="33" priority="6" operator="equal">
      <formula>"Aceptable"</formula>
    </cfRule>
  </conditionalFormatting>
  <conditionalFormatting sqref="W179 J180:W1048576">
    <cfRule type="cellIs" dxfId="32" priority="13" operator="equal">
      <formula>"NO"</formula>
    </cfRule>
    <cfRule type="cellIs" dxfId="31" priority="14" operator="equal">
      <formula>"SI"</formula>
    </cfRule>
  </conditionalFormatting>
  <conditionalFormatting sqref="X3:AM298">
    <cfRule type="cellIs" dxfId="30" priority="1" operator="equal">
      <formula>"N/A"</formula>
    </cfRule>
    <cfRule type="cellIs" dxfId="29" priority="9" operator="equal">
      <formula>"SI"</formula>
    </cfRule>
    <cfRule type="cellIs" dxfId="28" priority="10" operator="equal">
      <formula>"NO"</formula>
    </cfRule>
  </conditionalFormatting>
  <conditionalFormatting sqref="AN3:AN178">
    <cfRule type="cellIs" dxfId="27" priority="3" operator="equal">
      <formula>"No critico"</formula>
    </cfRule>
    <cfRule type="cellIs" dxfId="26" priority="4" operator="equal">
      <formula>"Critico"</formula>
    </cfRule>
  </conditionalFormatting>
  <dataValidations count="6">
    <dataValidation allowBlank="1" showInputMessage="1" showErrorMessage="1" prompt="Conjunto de acciones técnicas utilizadas para cumplir un objetivo dentro de un proceso productivo o la obtención de un producto determinado dentro del mismo." sqref="Y2:Z2"/>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N2 W1:W2"/>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B2:AE2"/>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A2"/>
    <dataValidation allowBlank="1" showInputMessage="1" showErrorMessage="1" prompt="Se debe declarar si es fija o variable, si existe pago de bonos individuales o colectivos por producción, por no ausentarse al trabajo, etc." sqref="X2"/>
    <dataValidation type="list" allowBlank="1" showInputMessage="1" showErrorMessage="1" sqref="J3:V179 X3:AM298">
      <formula1>"SI,NO,N/A"</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78"/>
  <sheetViews>
    <sheetView zoomScale="69" zoomScaleNormal="69" workbookViewId="0">
      <pane xSplit="9" ySplit="2" topLeftCell="J3" activePane="bottomRight" state="frozen"/>
      <selection pane="topRight" activeCell="J1" sqref="J1"/>
      <selection pane="bottomLeft" activeCell="A3" sqref="A3"/>
      <selection pane="bottomRight" activeCell="K6" sqref="K6"/>
    </sheetView>
  </sheetViews>
  <sheetFormatPr baseColWidth="10" defaultRowHeight="14.25"/>
  <cols>
    <col min="1" max="1" width="3.125" style="4" customWidth="1"/>
    <col min="2" max="3" width="11.5" style="1" customWidth="1"/>
    <col min="4" max="4" width="14.375" style="1" customWidth="1"/>
    <col min="5" max="5" width="13.5" style="1" customWidth="1"/>
    <col min="6" max="6" width="11.5" style="1"/>
    <col min="9" max="9" width="11.5" customWidth="1"/>
    <col min="10" max="10" width="23.75" style="1" customWidth="1"/>
    <col min="11" max="11" width="20.875" style="1" customWidth="1"/>
    <col min="12" max="12" width="18.25" customWidth="1"/>
    <col min="13" max="13" width="18.625" customWidth="1"/>
    <col min="14" max="14" width="15" customWidth="1"/>
    <col min="15" max="15" width="14.25" customWidth="1"/>
    <col min="16" max="18" width="18.25" customWidth="1"/>
    <col min="19" max="21" width="19.875" customWidth="1"/>
    <col min="22" max="22" width="29" customWidth="1"/>
    <col min="23" max="23" width="28.75" customWidth="1"/>
    <col min="24" max="24" width="28.75" style="4" customWidth="1"/>
    <col min="25" max="28" width="16.75" customWidth="1"/>
    <col min="29" max="29" width="28.75" customWidth="1"/>
    <col min="30" max="31" width="28.625" customWidth="1"/>
    <col min="32" max="39" width="28.75" customWidth="1"/>
    <col min="40" max="40" width="13.75" customWidth="1"/>
  </cols>
  <sheetData>
    <row r="1" spans="1:46" ht="60" customHeight="1">
      <c r="A1" s="142" t="s">
        <v>258</v>
      </c>
      <c r="B1" s="142"/>
      <c r="C1" s="142"/>
      <c r="D1" s="142"/>
      <c r="E1" s="142"/>
      <c r="F1" s="125" t="s">
        <v>60</v>
      </c>
      <c r="G1" s="125"/>
      <c r="H1" s="125" t="s">
        <v>57</v>
      </c>
      <c r="I1" s="125"/>
      <c r="J1" s="138" t="s">
        <v>203</v>
      </c>
      <c r="K1" s="139"/>
      <c r="L1" s="139"/>
      <c r="M1" s="140"/>
      <c r="N1" s="138" t="s">
        <v>204</v>
      </c>
      <c r="O1" s="139"/>
      <c r="P1" s="139"/>
      <c r="Q1" s="138" t="s">
        <v>210</v>
      </c>
      <c r="R1" s="139"/>
      <c r="S1" s="139"/>
      <c r="T1" s="138" t="s">
        <v>211</v>
      </c>
      <c r="U1" s="139"/>
      <c r="V1" s="139"/>
      <c r="W1" s="18" t="s">
        <v>215</v>
      </c>
      <c r="X1" s="79" t="s">
        <v>159</v>
      </c>
      <c r="Y1" s="138" t="s">
        <v>203</v>
      </c>
      <c r="Z1" s="139"/>
      <c r="AA1" s="139"/>
      <c r="AB1" s="140"/>
      <c r="AC1" s="138" t="s">
        <v>223</v>
      </c>
      <c r="AD1" s="139"/>
      <c r="AE1" s="139"/>
      <c r="AF1" s="140"/>
      <c r="AG1" s="138" t="s">
        <v>231</v>
      </c>
      <c r="AH1" s="139"/>
      <c r="AI1" s="140"/>
      <c r="AJ1" s="138" t="s">
        <v>232</v>
      </c>
      <c r="AK1" s="139"/>
      <c r="AL1" s="140"/>
      <c r="AM1" s="17" t="s">
        <v>214</v>
      </c>
      <c r="AN1" s="17" t="s">
        <v>159</v>
      </c>
      <c r="AO1" s="135" t="s">
        <v>19</v>
      </c>
      <c r="AP1" s="136"/>
      <c r="AQ1" s="136"/>
      <c r="AR1" s="136"/>
      <c r="AS1" s="136"/>
      <c r="AT1" s="137"/>
    </row>
    <row r="2" spans="1:46" ht="88.15" customHeight="1">
      <c r="A2" s="8" t="s">
        <v>0</v>
      </c>
      <c r="B2" s="9" t="s">
        <v>20</v>
      </c>
      <c r="C2" s="9" t="s">
        <v>1</v>
      </c>
      <c r="D2" s="9" t="s">
        <v>2</v>
      </c>
      <c r="E2" s="9" t="s">
        <v>21</v>
      </c>
      <c r="F2" s="9" t="s">
        <v>40</v>
      </c>
      <c r="G2" s="9" t="s">
        <v>61</v>
      </c>
      <c r="H2" s="9" t="s">
        <v>58</v>
      </c>
      <c r="I2" s="9" t="s">
        <v>59</v>
      </c>
      <c r="J2" s="13" t="s">
        <v>199</v>
      </c>
      <c r="K2" s="13" t="s">
        <v>200</v>
      </c>
      <c r="L2" s="13" t="s">
        <v>201</v>
      </c>
      <c r="M2" s="13" t="s">
        <v>202</v>
      </c>
      <c r="N2" s="13" t="s">
        <v>205</v>
      </c>
      <c r="O2" s="13" t="s">
        <v>206</v>
      </c>
      <c r="P2" s="13" t="s">
        <v>207</v>
      </c>
      <c r="Q2" s="13" t="s">
        <v>217</v>
      </c>
      <c r="R2" s="13" t="s">
        <v>208</v>
      </c>
      <c r="S2" s="13" t="s">
        <v>209</v>
      </c>
      <c r="T2" s="19" t="s">
        <v>218</v>
      </c>
      <c r="U2" s="19" t="s">
        <v>212</v>
      </c>
      <c r="V2" s="19" t="s">
        <v>213</v>
      </c>
      <c r="W2" s="13" t="s">
        <v>216</v>
      </c>
      <c r="X2" s="79" t="s">
        <v>28</v>
      </c>
      <c r="Y2" s="20" t="s">
        <v>219</v>
      </c>
      <c r="Z2" s="20" t="s">
        <v>220</v>
      </c>
      <c r="AA2" s="20" t="s">
        <v>221</v>
      </c>
      <c r="AB2" s="20" t="s">
        <v>222</v>
      </c>
      <c r="AC2" s="20" t="s">
        <v>224</v>
      </c>
      <c r="AD2" s="20" t="s">
        <v>225</v>
      </c>
      <c r="AE2" s="20" t="s">
        <v>226</v>
      </c>
      <c r="AF2" s="13" t="s">
        <v>227</v>
      </c>
      <c r="AG2" s="13" t="s">
        <v>228</v>
      </c>
      <c r="AH2" s="13" t="s">
        <v>229</v>
      </c>
      <c r="AI2" s="13" t="s">
        <v>230</v>
      </c>
      <c r="AJ2" s="13" t="s">
        <v>233</v>
      </c>
      <c r="AK2" s="13" t="s">
        <v>234</v>
      </c>
      <c r="AL2" s="13" t="s">
        <v>235</v>
      </c>
      <c r="AM2" s="13" t="s">
        <v>236</v>
      </c>
      <c r="AN2" s="13" t="s">
        <v>33</v>
      </c>
      <c r="AO2" s="13" t="s">
        <v>34</v>
      </c>
      <c r="AP2" s="13" t="s">
        <v>35</v>
      </c>
      <c r="AQ2" s="13" t="s">
        <v>36</v>
      </c>
      <c r="AR2" s="13" t="s">
        <v>37</v>
      </c>
      <c r="AS2" s="13" t="s">
        <v>38</v>
      </c>
      <c r="AT2" s="13" t="s">
        <v>39</v>
      </c>
    </row>
    <row r="3" spans="1:46" s="5" customFormat="1" ht="25.9" customHeight="1">
      <c r="A3" s="60">
        <f>Inicial!A3</f>
        <v>1</v>
      </c>
      <c r="B3" s="61" t="str">
        <f>Inicial!B3</f>
        <v>Desposte</v>
      </c>
      <c r="C3" s="61" t="str">
        <f>Inicial!C3</f>
        <v>Operario de producción línea Principal 1</v>
      </c>
      <c r="D3" s="62" t="str">
        <f>Inicial!D3</f>
        <v>Marcaje de pernil</v>
      </c>
      <c r="E3" s="60" t="str">
        <f>IF(Inicial!N3="SI",Inicial!E3,"N/A")</f>
        <v>N/A</v>
      </c>
      <c r="F3" s="61" t="str">
        <f>IF(Inicial!N3="SI",Inicial!F3,"N/A")</f>
        <v>N/A</v>
      </c>
      <c r="G3" s="61" t="str">
        <f>IF(Inicial!N3="SI",Inicial!G3,"N/A")</f>
        <v>N/A</v>
      </c>
      <c r="H3" s="61" t="str">
        <f>IF(Inicial!N3="SI",Inicial!H3,"N/A")</f>
        <v>N/A</v>
      </c>
      <c r="I3" s="63" t="str">
        <f>IF(Inicial!N3="SI",Inicial!I3,"N/A")</f>
        <v>N/A</v>
      </c>
      <c r="J3" s="11"/>
      <c r="K3" s="11"/>
      <c r="L3" s="11"/>
      <c r="M3" s="11"/>
      <c r="N3" s="11"/>
      <c r="O3" s="11"/>
      <c r="P3" s="11"/>
      <c r="Q3" s="11"/>
      <c r="R3" s="11"/>
      <c r="S3" s="11"/>
      <c r="T3" s="11"/>
      <c r="U3" s="11"/>
      <c r="V3" s="12"/>
      <c r="W3" s="11"/>
      <c r="X3" s="80" t="str" cm="1">
        <f t="array" ref="X3">IF(OR(J3:W3="NO"),"No aceptable","Aceptable")</f>
        <v>Aceptable</v>
      </c>
      <c r="Y3" s="14"/>
      <c r="Z3" s="14"/>
      <c r="AA3" s="14"/>
      <c r="AB3" s="14"/>
      <c r="AC3" s="14"/>
      <c r="AD3" s="14"/>
      <c r="AE3" s="14"/>
      <c r="AF3" s="14"/>
      <c r="AG3" s="14"/>
      <c r="AH3" s="14"/>
      <c r="AI3" s="14"/>
      <c r="AJ3" s="14"/>
      <c r="AK3" s="14"/>
      <c r="AL3" s="14"/>
      <c r="AM3" s="14"/>
      <c r="AN3" s="3" t="str" cm="1">
        <f t="array" ref="AN3">IF(OR(Y3:AM3="NO"),"Critico","No Critico")</f>
        <v>No Critico</v>
      </c>
      <c r="AO3" s="1"/>
      <c r="AP3" s="1"/>
      <c r="AQ3" s="1"/>
      <c r="AR3" s="1"/>
      <c r="AS3" s="1"/>
      <c r="AT3" s="1"/>
    </row>
    <row r="4" spans="1:46" ht="25.9" customHeight="1">
      <c r="A4" s="60">
        <f>Inicial!A4</f>
        <v>2</v>
      </c>
      <c r="B4" s="61" t="str">
        <f>Inicial!B4</f>
        <v>Desposte</v>
      </c>
      <c r="C4" s="61" t="str">
        <f>Inicial!C4</f>
        <v>Operario de producción línea Principal 1</v>
      </c>
      <c r="D4" s="62" t="str">
        <f>Inicial!D4</f>
        <v>Apertura de falda derecha</v>
      </c>
      <c r="E4" s="60" t="str">
        <f>IF(Inicial!N4="SI",Inicial!E4,"N/A")</f>
        <v>N/A</v>
      </c>
      <c r="F4" s="61" t="str">
        <f>IF(Inicial!N4="SI",Inicial!F4,"N/A")</f>
        <v>N/A</v>
      </c>
      <c r="G4" s="61" t="str">
        <f>IF(Inicial!N4="SI",Inicial!G4,"N/A")</f>
        <v>N/A</v>
      </c>
      <c r="H4" s="61" t="str">
        <f>IF(Inicial!N4="SI",Inicial!H4,"N/A")</f>
        <v>N/A</v>
      </c>
      <c r="I4" s="63" t="str">
        <f>IF(Inicial!N4="SI",Inicial!I4,"N/A")</f>
        <v>N/A</v>
      </c>
      <c r="J4" s="11"/>
      <c r="K4" s="11"/>
      <c r="L4" s="11"/>
      <c r="M4" s="11"/>
      <c r="N4" s="11"/>
      <c r="O4" s="11"/>
      <c r="P4" s="11"/>
      <c r="Q4" s="11"/>
      <c r="R4" s="11"/>
      <c r="S4" s="11"/>
      <c r="T4" s="11"/>
      <c r="U4" s="11"/>
      <c r="V4" s="11"/>
      <c r="W4" s="11"/>
      <c r="X4" s="80" t="str" cm="1">
        <f t="array" ref="X4">IF(OR(J4:W4="NO"),"No aceptable","Aceptable")</f>
        <v>Aceptable</v>
      </c>
      <c r="Y4" s="14"/>
      <c r="Z4" s="14"/>
      <c r="AA4" s="14"/>
      <c r="AB4" s="14"/>
      <c r="AC4" s="14"/>
      <c r="AD4" s="14"/>
      <c r="AE4" s="14"/>
      <c r="AF4" s="14"/>
      <c r="AG4" s="14"/>
      <c r="AH4" s="14"/>
      <c r="AI4" s="14"/>
      <c r="AJ4" s="14"/>
      <c r="AK4" s="14"/>
      <c r="AL4" s="14"/>
      <c r="AM4" s="14"/>
      <c r="AN4" s="3" t="str" cm="1">
        <f t="array" ref="AN4">IF(OR(Y4:AM4="NO"),"Critico","No Critico")</f>
        <v>No Critico</v>
      </c>
      <c r="AO4" s="1"/>
      <c r="AP4" s="1"/>
      <c r="AQ4" s="1"/>
      <c r="AR4" s="1"/>
      <c r="AS4" s="1"/>
      <c r="AT4" s="1"/>
    </row>
    <row r="5" spans="1:46" ht="25.9" customHeight="1">
      <c r="A5" s="60">
        <f>Inicial!A5</f>
        <v>3</v>
      </c>
      <c r="B5" s="61" t="str">
        <f>Inicial!B5</f>
        <v>Desposte</v>
      </c>
      <c r="C5" s="61" t="str">
        <f>Inicial!C5</f>
        <v>Operario de producción línea Principal 1</v>
      </c>
      <c r="D5" s="62" t="str">
        <f>Inicial!D5</f>
        <v>Apertura de falda izquierda</v>
      </c>
      <c r="E5" s="60" t="str">
        <f>IF(Inicial!N5="SI",Inicial!E5,"N/A")</f>
        <v>N/A</v>
      </c>
      <c r="F5" s="61" t="str">
        <f>IF(Inicial!N5="SI",Inicial!F5,"N/A")</f>
        <v>N/A</v>
      </c>
      <c r="G5" s="61" t="str">
        <f>IF(Inicial!N5="SI",Inicial!G5,"N/A")</f>
        <v>N/A</v>
      </c>
      <c r="H5" s="61" t="str">
        <f>IF(Inicial!N5="SI",Inicial!H5,"N/A")</f>
        <v>N/A</v>
      </c>
      <c r="I5" s="63" t="str">
        <f>IF(Inicial!N5="SI",Inicial!I5,"N/A")</f>
        <v>N/A</v>
      </c>
      <c r="J5" s="11"/>
      <c r="K5" s="11"/>
      <c r="L5" s="11"/>
      <c r="M5" s="11"/>
      <c r="N5" s="11"/>
      <c r="O5" s="11"/>
      <c r="P5" s="11"/>
      <c r="Q5" s="11"/>
      <c r="R5" s="11"/>
      <c r="S5" s="11"/>
      <c r="T5" s="11"/>
      <c r="U5" s="11"/>
      <c r="V5" s="11"/>
      <c r="W5" s="11"/>
      <c r="X5" s="80" t="str" cm="1">
        <f t="array" ref="X5">IF(OR(J5:W5="NO"),"No aceptable","Aceptable")</f>
        <v>Aceptable</v>
      </c>
      <c r="Y5" s="14"/>
      <c r="Z5" s="14"/>
      <c r="AA5" s="14"/>
      <c r="AB5" s="14"/>
      <c r="AC5" s="14"/>
      <c r="AD5" s="14"/>
      <c r="AE5" s="14"/>
      <c r="AF5" s="14"/>
      <c r="AG5" s="14"/>
      <c r="AH5" s="14"/>
      <c r="AI5" s="14"/>
      <c r="AJ5" s="14"/>
      <c r="AK5" s="14"/>
      <c r="AL5" s="14"/>
      <c r="AM5" s="14"/>
      <c r="AN5" s="3" t="str" cm="1">
        <f t="array" ref="AN5">IF(OR(Y5:AM5="NO"),"Critico","No Critico")</f>
        <v>No Critico</v>
      </c>
      <c r="AO5" s="1"/>
      <c r="AP5" s="1"/>
      <c r="AQ5" s="1"/>
      <c r="AR5" s="1"/>
      <c r="AS5" s="1"/>
      <c r="AT5" s="1"/>
    </row>
    <row r="6" spans="1:46" ht="25.9" customHeight="1">
      <c r="A6" s="60">
        <f>Inicial!A6</f>
        <v>4</v>
      </c>
      <c r="B6" s="61" t="str">
        <f>Inicial!B6</f>
        <v>Desposte</v>
      </c>
      <c r="C6" s="61" t="str">
        <f>Inicial!C6</f>
        <v>Operario de producción línea Principal 1</v>
      </c>
      <c r="D6" s="62" t="str">
        <f>Inicial!D6</f>
        <v>Sierra cortadora de patas</v>
      </c>
      <c r="E6" s="60" t="str">
        <f>IF(Inicial!N6="SI",Inicial!E6,"N/A")</f>
        <v>N/A</v>
      </c>
      <c r="F6" s="61" t="str">
        <f>IF(Inicial!N6="SI",Inicial!F6,"N/A")</f>
        <v>N/A</v>
      </c>
      <c r="G6" s="61" t="str">
        <f>IF(Inicial!N6="SI",Inicial!G6,"N/A")</f>
        <v>N/A</v>
      </c>
      <c r="H6" s="61" t="str">
        <f>IF(Inicial!N6="SI",Inicial!H6,"N/A")</f>
        <v>N/A</v>
      </c>
      <c r="I6" s="63" t="str">
        <f>IF(Inicial!N6="SI",Inicial!I6,"N/A")</f>
        <v>N/A</v>
      </c>
      <c r="J6" s="11"/>
      <c r="K6" s="11"/>
      <c r="L6" s="11"/>
      <c r="M6" s="11"/>
      <c r="N6" s="11"/>
      <c r="O6" s="11"/>
      <c r="P6" s="11"/>
      <c r="Q6" s="11"/>
      <c r="R6" s="11"/>
      <c r="S6" s="11"/>
      <c r="T6" s="11"/>
      <c r="U6" s="11"/>
      <c r="V6" s="11"/>
      <c r="W6" s="11"/>
      <c r="X6" s="80" t="str" cm="1">
        <f t="array" ref="X6">IF(OR(J6:W6="NO"),"No aceptable","Aceptable")</f>
        <v>Aceptable</v>
      </c>
      <c r="Y6" s="14"/>
      <c r="Z6" s="14"/>
      <c r="AA6" s="14"/>
      <c r="AB6" s="14"/>
      <c r="AC6" s="14"/>
      <c r="AD6" s="14"/>
      <c r="AE6" s="14"/>
      <c r="AF6" s="14"/>
      <c r="AG6" s="14"/>
      <c r="AH6" s="14"/>
      <c r="AI6" s="14"/>
      <c r="AJ6" s="14"/>
      <c r="AK6" s="14"/>
      <c r="AL6" s="14"/>
      <c r="AM6" s="14"/>
      <c r="AN6" s="3" t="str" cm="1">
        <f t="array" ref="AN6">IF(OR(Y6:AM6="NO"),"Critico","No Critico")</f>
        <v>No Critico</v>
      </c>
    </row>
    <row r="7" spans="1:46" ht="25.9" customHeight="1">
      <c r="A7" s="60">
        <f>Inicial!A7</f>
        <v>5</v>
      </c>
      <c r="B7" s="61" t="str">
        <f>Inicial!B7</f>
        <v>Desposte</v>
      </c>
      <c r="C7" s="61" t="str">
        <f>Inicial!C7</f>
        <v>Operario de producción línea Principal 1</v>
      </c>
      <c r="D7" s="62" t="str">
        <f>Inicial!D7</f>
        <v>Tijera cortadora de manos</v>
      </c>
      <c r="E7" s="60" t="str">
        <f>IF(Inicial!N7="SI",Inicial!E7,"N/A")</f>
        <v>N/A</v>
      </c>
      <c r="F7" s="61" t="str">
        <f>IF(Inicial!N7="SI",Inicial!F7,"N/A")</f>
        <v>N/A</v>
      </c>
      <c r="G7" s="61" t="str">
        <f>IF(Inicial!N7="SI",Inicial!G7,"N/A")</f>
        <v>N/A</v>
      </c>
      <c r="H7" s="61" t="str">
        <f>IF(Inicial!N7="SI",Inicial!H7,"N/A")</f>
        <v>N/A</v>
      </c>
      <c r="I7" s="63" t="str">
        <f>IF(Inicial!N7="SI",Inicial!I7,"N/A")</f>
        <v>N/A</v>
      </c>
      <c r="J7" s="11"/>
      <c r="K7" s="11"/>
      <c r="L7" s="11"/>
      <c r="M7" s="11"/>
      <c r="N7" s="11"/>
      <c r="O7" s="11"/>
      <c r="P7" s="11"/>
      <c r="Q7" s="11"/>
      <c r="R7" s="11"/>
      <c r="S7" s="11"/>
      <c r="T7" s="11"/>
      <c r="U7" s="11"/>
      <c r="V7" s="11"/>
      <c r="W7" s="11"/>
      <c r="X7" s="80" t="str" cm="1">
        <f t="array" ref="X7">IF(OR(J7:W7="NO"),"No aceptable","Aceptable")</f>
        <v>Aceptable</v>
      </c>
      <c r="Y7" s="14"/>
      <c r="Z7" s="14"/>
      <c r="AA7" s="14"/>
      <c r="AB7" s="14"/>
      <c r="AC7" s="14"/>
      <c r="AD7" s="14"/>
      <c r="AE7" s="14"/>
      <c r="AF7" s="14"/>
      <c r="AG7" s="14"/>
      <c r="AH7" s="14"/>
      <c r="AI7" s="14"/>
      <c r="AJ7" s="14"/>
      <c r="AK7" s="14"/>
      <c r="AL7" s="14"/>
      <c r="AM7" s="14"/>
      <c r="AN7" s="3" t="str" cm="1">
        <f t="array" ref="AN7">IF(OR(Y7:AM7="NO"),"Critico","No Critico")</f>
        <v>No Critico</v>
      </c>
    </row>
    <row r="8" spans="1:46" ht="25.9" customHeight="1">
      <c r="A8" s="60">
        <f>Inicial!A8</f>
        <v>6</v>
      </c>
      <c r="B8" s="61" t="str">
        <f>Inicial!B8</f>
        <v>Desposte</v>
      </c>
      <c r="C8" s="61" t="str">
        <f>Inicial!C8</f>
        <v>Operario de producción línea Principal 1</v>
      </c>
      <c r="D8" s="62" t="str">
        <f>Inicial!D8</f>
        <v>Sierra EFA 86 corte de pernil</v>
      </c>
      <c r="E8" s="60" t="str">
        <f>IF(Inicial!N8="SI",Inicial!E8,"N/A")</f>
        <v>N/A</v>
      </c>
      <c r="F8" s="61" t="str">
        <f>IF(Inicial!N8="SI",Inicial!F8,"N/A")</f>
        <v>N/A</v>
      </c>
      <c r="G8" s="61" t="str">
        <f>IF(Inicial!N8="SI",Inicial!G8,"N/A")</f>
        <v>N/A</v>
      </c>
      <c r="H8" s="61" t="str">
        <f>IF(Inicial!N8="SI",Inicial!H8,"N/A")</f>
        <v>N/A</v>
      </c>
      <c r="I8" s="63" t="str">
        <f>IF(Inicial!N8="SI",Inicial!I8,"N/A")</f>
        <v>N/A</v>
      </c>
      <c r="J8" s="11"/>
      <c r="K8" s="11"/>
      <c r="L8" s="11"/>
      <c r="M8" s="11"/>
      <c r="N8" s="11"/>
      <c r="O8" s="11"/>
      <c r="P8" s="11"/>
      <c r="Q8" s="11"/>
      <c r="R8" s="11"/>
      <c r="S8" s="11"/>
      <c r="T8" s="11"/>
      <c r="U8" s="11"/>
      <c r="V8" s="11"/>
      <c r="W8" s="11"/>
      <c r="X8" s="80" t="str" cm="1">
        <f t="array" ref="X8">IF(OR(J8:W8="NO"),"No aceptable","Aceptable")</f>
        <v>Aceptable</v>
      </c>
      <c r="Y8" s="14"/>
      <c r="Z8" s="14"/>
      <c r="AA8" s="14"/>
      <c r="AB8" s="14"/>
      <c r="AC8" s="14"/>
      <c r="AD8" s="14"/>
      <c r="AE8" s="14"/>
      <c r="AF8" s="14"/>
      <c r="AG8" s="14"/>
      <c r="AH8" s="14"/>
      <c r="AI8" s="14"/>
      <c r="AJ8" s="14"/>
      <c r="AK8" s="14"/>
      <c r="AL8" s="14"/>
      <c r="AM8" s="14"/>
      <c r="AN8" s="3" t="str" cm="1">
        <f t="array" ref="AN8">IF(OR(Y8:AM8="NO"),"Critico","No Critico")</f>
        <v>No Critico</v>
      </c>
    </row>
    <row r="9" spans="1:46" ht="38.25">
      <c r="A9" s="60">
        <f>Inicial!A9</f>
        <v>7</v>
      </c>
      <c r="B9" s="61" t="str">
        <f>Inicial!B9</f>
        <v>Desposte</v>
      </c>
      <c r="C9" s="61" t="str">
        <f>Inicial!C9</f>
        <v>Operario de producción línea Principal 1</v>
      </c>
      <c r="D9" s="62" t="str">
        <f>Inicial!D9</f>
        <v>RK 11 cuarto trasero</v>
      </c>
      <c r="E9" s="60" t="str">
        <f>IF(Inicial!N9="SI",Inicial!E9,"N/A")</f>
        <v>N/A</v>
      </c>
      <c r="F9" s="61" t="str">
        <f>IF(Inicial!N9="SI",Inicial!F9,"N/A")</f>
        <v>N/A</v>
      </c>
      <c r="G9" s="61" t="str">
        <f>IF(Inicial!N9="SI",Inicial!G9,"N/A")</f>
        <v>N/A</v>
      </c>
      <c r="H9" s="61" t="str">
        <f>IF(Inicial!N9="SI",Inicial!H9,"N/A")</f>
        <v>N/A</v>
      </c>
      <c r="I9" s="63" t="str">
        <f>IF(Inicial!N9="SI",Inicial!I9,"N/A")</f>
        <v>N/A</v>
      </c>
      <c r="J9" s="11"/>
      <c r="K9" s="11"/>
      <c r="L9" s="11"/>
      <c r="M9" s="11"/>
      <c r="N9" s="11"/>
      <c r="O9" s="11"/>
      <c r="P9" s="11"/>
      <c r="Q9" s="11"/>
      <c r="R9" s="11"/>
      <c r="S9" s="11"/>
      <c r="T9" s="11"/>
      <c r="U9" s="11"/>
      <c r="V9" s="11"/>
      <c r="W9" s="11"/>
      <c r="X9" s="80" t="str" cm="1">
        <f t="array" ref="X9">IF(OR(J9:W9="NO"),"No aceptable","Aceptable")</f>
        <v>Aceptable</v>
      </c>
      <c r="Y9" s="14"/>
      <c r="Z9" s="14"/>
      <c r="AA9" s="14"/>
      <c r="AB9" s="14"/>
      <c r="AC9" s="14"/>
      <c r="AD9" s="14"/>
      <c r="AE9" s="14"/>
      <c r="AF9" s="14"/>
      <c r="AG9" s="14"/>
      <c r="AH9" s="14"/>
      <c r="AI9" s="14"/>
      <c r="AJ9" s="14"/>
      <c r="AK9" s="14"/>
      <c r="AL9" s="14"/>
      <c r="AM9" s="14"/>
      <c r="AN9" s="3" t="str" cm="1">
        <f t="array" ref="AN9">IF(OR(Y9:AM9="NO"),"Critico","No Critico")</f>
        <v>No Critico</v>
      </c>
    </row>
    <row r="10" spans="1:46" ht="38.25">
      <c r="A10" s="60">
        <f>Inicial!A10</f>
        <v>8</v>
      </c>
      <c r="B10" s="61" t="str">
        <f>Inicial!B10</f>
        <v>Desposte</v>
      </c>
      <c r="C10" s="61" t="str">
        <f>Inicial!C10</f>
        <v>Operario de producción línea Principal 1</v>
      </c>
      <c r="D10" s="62" t="str">
        <f>Inicial!D10</f>
        <v>RK 11 cuarto delantero</v>
      </c>
      <c r="E10" s="60" t="str">
        <f>IF(Inicial!N10="SI",Inicial!E10,"N/A")</f>
        <v>N/A</v>
      </c>
      <c r="F10" s="61" t="str">
        <f>IF(Inicial!N10="SI",Inicial!F10,"N/A")</f>
        <v>N/A</v>
      </c>
      <c r="G10" s="61" t="str">
        <f>IF(Inicial!N10="SI",Inicial!G10,"N/A")</f>
        <v>N/A</v>
      </c>
      <c r="H10" s="61" t="str">
        <f>IF(Inicial!N10="SI",Inicial!H10,"N/A")</f>
        <v>N/A</v>
      </c>
      <c r="I10" s="63" t="str">
        <f>IF(Inicial!N10="SI",Inicial!I10,"N/A")</f>
        <v>N/A</v>
      </c>
      <c r="J10" s="11"/>
      <c r="K10" s="11"/>
      <c r="L10" s="11"/>
      <c r="M10" s="11"/>
      <c r="N10" s="11"/>
      <c r="O10" s="11"/>
      <c r="P10" s="11"/>
      <c r="Q10" s="11"/>
      <c r="R10" s="11"/>
      <c r="S10" s="11"/>
      <c r="T10" s="11"/>
      <c r="U10" s="11"/>
      <c r="V10" s="11"/>
      <c r="W10" s="11"/>
      <c r="X10" s="80" t="str" cm="1">
        <f t="array" ref="X10">IF(OR(J10:W10="NO"),"No aceptable","Aceptable")</f>
        <v>Aceptable</v>
      </c>
      <c r="Y10" s="14"/>
      <c r="Z10" s="14"/>
      <c r="AA10" s="14"/>
      <c r="AB10" s="14"/>
      <c r="AC10" s="14"/>
      <c r="AD10" s="14"/>
      <c r="AE10" s="14"/>
      <c r="AF10" s="14"/>
      <c r="AG10" s="14"/>
      <c r="AH10" s="14"/>
      <c r="AI10" s="14"/>
      <c r="AJ10" s="14"/>
      <c r="AK10" s="14"/>
      <c r="AL10" s="14"/>
      <c r="AM10" s="14"/>
      <c r="AN10" s="3" t="str" cm="1">
        <f t="array" ref="AN10">IF(OR(Y10:AM10="NO"),"Critico","No Critico")</f>
        <v>No Critico</v>
      </c>
    </row>
    <row r="11" spans="1:46" ht="38.25">
      <c r="A11" s="60">
        <f>Inicial!A11</f>
        <v>9</v>
      </c>
      <c r="B11" s="61" t="str">
        <f>Inicial!B11</f>
        <v>Desposte</v>
      </c>
      <c r="C11" s="61" t="str">
        <f>Inicial!C11</f>
        <v>Operario de producción línea Principal 1</v>
      </c>
      <c r="D11" s="62" t="str">
        <f>Inicial!D11</f>
        <v>Sierra EFA 86 Punta costilla</v>
      </c>
      <c r="E11" s="60" t="str">
        <f>IF(Inicial!N11="SI",Inicial!E11,"N/A")</f>
        <v>N/A</v>
      </c>
      <c r="F11" s="61" t="str">
        <f>IF(Inicial!N11="SI",Inicial!F11,"N/A")</f>
        <v>N/A</v>
      </c>
      <c r="G11" s="61" t="str">
        <f>IF(Inicial!N11="SI",Inicial!G11,"N/A")</f>
        <v>N/A</v>
      </c>
      <c r="H11" s="61" t="str">
        <f>IF(Inicial!N11="SI",Inicial!H11,"N/A")</f>
        <v>N/A</v>
      </c>
      <c r="I11" s="63" t="str">
        <f>IF(Inicial!N11="SI",Inicial!I11,"N/A")</f>
        <v>N/A</v>
      </c>
      <c r="J11" s="11"/>
      <c r="K11" s="11"/>
      <c r="L11" s="11"/>
      <c r="M11" s="11"/>
      <c r="N11" s="11"/>
      <c r="O11" s="11"/>
      <c r="P11" s="11"/>
      <c r="Q11" s="11"/>
      <c r="R11" s="11"/>
      <c r="S11" s="11"/>
      <c r="T11" s="11"/>
      <c r="U11" s="11"/>
      <c r="V11" s="11"/>
      <c r="W11" s="11"/>
      <c r="X11" s="80" t="str" cm="1">
        <f t="array" ref="X11">IF(OR(J11:W11="NO"),"No aceptable","Aceptable")</f>
        <v>Aceptable</v>
      </c>
      <c r="Y11" s="14"/>
      <c r="Z11" s="14"/>
      <c r="AA11" s="14"/>
      <c r="AB11" s="14"/>
      <c r="AC11" s="14"/>
      <c r="AD11" s="14"/>
      <c r="AE11" s="14"/>
      <c r="AF11" s="14"/>
      <c r="AG11" s="14"/>
      <c r="AH11" s="14"/>
      <c r="AI11" s="14"/>
      <c r="AJ11" s="14"/>
      <c r="AK11" s="14"/>
      <c r="AL11" s="14"/>
      <c r="AM11" s="14"/>
      <c r="AN11" s="3" t="str" cm="1">
        <f t="array" ref="AN11">IF(OR(Y11:AM11="NO"),"Critico","No Critico")</f>
        <v>No Critico</v>
      </c>
    </row>
    <row r="12" spans="1:46" ht="38.25">
      <c r="A12" s="60">
        <f>Inicial!A12</f>
        <v>10</v>
      </c>
      <c r="B12" s="61" t="str">
        <f>Inicial!B12</f>
        <v>Desposte</v>
      </c>
      <c r="C12" s="61" t="str">
        <f>Inicial!C12</f>
        <v>Operario de producción línea Principal 1</v>
      </c>
      <c r="D12" s="62" t="str">
        <f>Inicial!D12</f>
        <v>Extracción de diafragma</v>
      </c>
      <c r="E12" s="60" t="str">
        <f>IF(Inicial!N12="SI",Inicial!E12,"N/A")</f>
        <v>N/A</v>
      </c>
      <c r="F12" s="61" t="str">
        <f>IF(Inicial!N12="SI",Inicial!F12,"N/A")</f>
        <v>N/A</v>
      </c>
      <c r="G12" s="61" t="str">
        <f>IF(Inicial!N12="SI",Inicial!G12,"N/A")</f>
        <v>N/A</v>
      </c>
      <c r="H12" s="61" t="str">
        <f>IF(Inicial!N12="SI",Inicial!H12,"N/A")</f>
        <v>N/A</v>
      </c>
      <c r="I12" s="63" t="str">
        <f>IF(Inicial!N12="SI",Inicial!I12,"N/A")</f>
        <v>N/A</v>
      </c>
      <c r="J12" s="11"/>
      <c r="K12" s="11"/>
      <c r="L12" s="11"/>
      <c r="M12" s="11"/>
      <c r="N12" s="11"/>
      <c r="O12" s="11"/>
      <c r="P12" s="11"/>
      <c r="Q12" s="11"/>
      <c r="R12" s="11"/>
      <c r="S12" s="11"/>
      <c r="T12" s="11"/>
      <c r="U12" s="11"/>
      <c r="V12" s="11"/>
      <c r="W12" s="11"/>
      <c r="X12" s="80" t="str" cm="1">
        <f t="array" ref="X12">IF(OR(J12:W12="NO"),"No aceptable","Aceptable")</f>
        <v>Aceptable</v>
      </c>
      <c r="Y12" s="14"/>
      <c r="Z12" s="14"/>
      <c r="AA12" s="14"/>
      <c r="AB12" s="14"/>
      <c r="AC12" s="14"/>
      <c r="AD12" s="14"/>
      <c r="AE12" s="14"/>
      <c r="AF12" s="14"/>
      <c r="AG12" s="14"/>
      <c r="AH12" s="14"/>
      <c r="AI12" s="14"/>
      <c r="AJ12" s="14"/>
      <c r="AK12" s="14"/>
      <c r="AL12" s="14"/>
      <c r="AM12" s="14"/>
      <c r="AN12" s="3" t="str" cm="1">
        <f t="array" ref="AN12">IF(OR(Y12:AM12="NO"),"Critico","No Critico")</f>
        <v>No Critico</v>
      </c>
    </row>
    <row r="13" spans="1:46" ht="38.25">
      <c r="A13" s="60">
        <f>Inicial!A13</f>
        <v>11</v>
      </c>
      <c r="B13" s="61" t="str">
        <f>Inicial!B13</f>
        <v>Desposte</v>
      </c>
      <c r="C13" s="61" t="str">
        <f>Inicial!C13</f>
        <v>Operario de producción línea Principal 1</v>
      </c>
      <c r="D13" s="62" t="str">
        <f>Inicial!D13</f>
        <v>Corte de pernil</v>
      </c>
      <c r="E13" s="60" t="str">
        <f>IF(Inicial!N13="SI",Inicial!E13,"N/A")</f>
        <v>N/A</v>
      </c>
      <c r="F13" s="61" t="str">
        <f>IF(Inicial!N13="SI",Inicial!F13,"N/A")</f>
        <v>N/A</v>
      </c>
      <c r="G13" s="61" t="str">
        <f>IF(Inicial!N13="SI",Inicial!G13,"N/A")</f>
        <v>N/A</v>
      </c>
      <c r="H13" s="61" t="str">
        <f>IF(Inicial!N13="SI",Inicial!H13,"N/A")</f>
        <v>N/A</v>
      </c>
      <c r="I13" s="63" t="str">
        <f>IF(Inicial!N13="SI",Inicial!I13,"N/A")</f>
        <v>N/A</v>
      </c>
      <c r="J13" s="11"/>
      <c r="K13" s="11"/>
      <c r="L13" s="11"/>
      <c r="M13" s="11"/>
      <c r="N13" s="11"/>
      <c r="O13" s="11"/>
      <c r="P13" s="11"/>
      <c r="Q13" s="11"/>
      <c r="R13" s="11"/>
      <c r="S13" s="11"/>
      <c r="T13" s="11"/>
      <c r="U13" s="11"/>
      <c r="V13" s="11"/>
      <c r="W13" s="11"/>
      <c r="X13" s="80" t="str" cm="1">
        <f t="array" ref="X13">IF(OR(J13:W13="NO"),"No aceptable","Aceptable")</f>
        <v>Aceptable</v>
      </c>
      <c r="Y13" s="14"/>
      <c r="Z13" s="14"/>
      <c r="AA13" s="14"/>
      <c r="AB13" s="14"/>
      <c r="AC13" s="14"/>
      <c r="AD13" s="14"/>
      <c r="AE13" s="14"/>
      <c r="AF13" s="14"/>
      <c r="AG13" s="14"/>
      <c r="AH13" s="14"/>
      <c r="AI13" s="14"/>
      <c r="AJ13" s="14"/>
      <c r="AK13" s="14"/>
      <c r="AL13" s="14"/>
      <c r="AM13" s="14"/>
      <c r="AN13" s="3" t="str" cm="1">
        <f t="array" ref="AN13">IF(OR(Y13:AM13="NO"),"Critico","No Critico")</f>
        <v>No Critico</v>
      </c>
    </row>
    <row r="14" spans="1:46" ht="38.25">
      <c r="A14" s="60">
        <f>Inicial!A14</f>
        <v>12</v>
      </c>
      <c r="B14" s="61" t="str">
        <f>Inicial!B14</f>
        <v>Desposte</v>
      </c>
      <c r="C14" s="61" t="str">
        <f>Inicial!C14</f>
        <v>Operario de producción línea Principal 1</v>
      </c>
      <c r="D14" s="62" t="str">
        <f>Inicial!D14</f>
        <v>Extracción de papada</v>
      </c>
      <c r="E14" s="60" t="str">
        <f>IF(Inicial!N14="SI",Inicial!E14,"N/A")</f>
        <v>N/A</v>
      </c>
      <c r="F14" s="61" t="str">
        <f>IF(Inicial!N14="SI",Inicial!F14,"N/A")</f>
        <v>N/A</v>
      </c>
      <c r="G14" s="61" t="str">
        <f>IF(Inicial!N14="SI",Inicial!G14,"N/A")</f>
        <v>N/A</v>
      </c>
      <c r="H14" s="61" t="str">
        <f>IF(Inicial!N14="SI",Inicial!H14,"N/A")</f>
        <v>N/A</v>
      </c>
      <c r="I14" s="63" t="str">
        <f>IF(Inicial!N14="SI",Inicial!I14,"N/A")</f>
        <v>N/A</v>
      </c>
      <c r="J14" s="11"/>
      <c r="K14" s="11"/>
      <c r="L14" s="11"/>
      <c r="M14" s="11"/>
      <c r="N14" s="11"/>
      <c r="O14" s="11"/>
      <c r="P14" s="11"/>
      <c r="Q14" s="11"/>
      <c r="R14" s="11"/>
      <c r="S14" s="11"/>
      <c r="T14" s="11"/>
      <c r="U14" s="11"/>
      <c r="V14" s="11"/>
      <c r="W14" s="11"/>
      <c r="X14" s="80" t="str" cm="1">
        <f t="array" ref="X14">IF(OR(J14:W14="NO"),"No aceptable","Aceptable")</f>
        <v>Aceptable</v>
      </c>
      <c r="Y14" s="14"/>
      <c r="Z14" s="14"/>
      <c r="AA14" s="14"/>
      <c r="AB14" s="14"/>
      <c r="AC14" s="14"/>
      <c r="AD14" s="14"/>
      <c r="AE14" s="14"/>
      <c r="AF14" s="14"/>
      <c r="AG14" s="14"/>
      <c r="AH14" s="14"/>
      <c r="AI14" s="14"/>
      <c r="AJ14" s="14"/>
      <c r="AK14" s="14"/>
      <c r="AL14" s="14"/>
      <c r="AM14" s="14"/>
      <c r="AN14" s="3" t="str" cm="1">
        <f t="array" ref="AN14">IF(OR(Y14:AM14="NO"),"Critico","No Critico")</f>
        <v>No Critico</v>
      </c>
    </row>
    <row r="15" spans="1:46" ht="38.25">
      <c r="A15" s="60">
        <f>Inicial!A15</f>
        <v>13</v>
      </c>
      <c r="B15" s="61" t="str">
        <f>Inicial!B15</f>
        <v>Desposte</v>
      </c>
      <c r="C15" s="61" t="str">
        <f>Inicial!C15</f>
        <v>Operario de producción línea Principal 1</v>
      </c>
      <c r="D15" s="62" t="str">
        <f>Inicial!D15</f>
        <v>Extracción de punta costilla izquierda</v>
      </c>
      <c r="E15" s="60" t="str">
        <f>IF(Inicial!N15="SI",Inicial!E15,"N/A")</f>
        <v>N/A</v>
      </c>
      <c r="F15" s="61" t="str">
        <f>IF(Inicial!N15="SI",Inicial!F15,"N/A")</f>
        <v>N/A</v>
      </c>
      <c r="G15" s="61" t="str">
        <f>IF(Inicial!N15="SI",Inicial!G15,"N/A")</f>
        <v>N/A</v>
      </c>
      <c r="H15" s="61" t="str">
        <f>IF(Inicial!N15="SI",Inicial!H15,"N/A")</f>
        <v>N/A</v>
      </c>
      <c r="I15" s="63" t="str">
        <f>IF(Inicial!N15="SI",Inicial!I15,"N/A")</f>
        <v>N/A</v>
      </c>
      <c r="J15" s="11"/>
      <c r="K15" s="11"/>
      <c r="L15" s="11"/>
      <c r="M15" s="11"/>
      <c r="N15" s="11"/>
      <c r="O15" s="11"/>
      <c r="P15" s="11"/>
      <c r="Q15" s="11"/>
      <c r="R15" s="11"/>
      <c r="S15" s="11"/>
      <c r="T15" s="11"/>
      <c r="U15" s="11"/>
      <c r="V15" s="11"/>
      <c r="W15" s="11"/>
      <c r="X15" s="80" t="str" cm="1">
        <f t="array" ref="X15">IF(OR(J15:W15="NO"),"No aceptable","Aceptable")</f>
        <v>Aceptable</v>
      </c>
      <c r="Y15" s="14"/>
      <c r="Z15" s="14"/>
      <c r="AA15" s="14"/>
      <c r="AB15" s="14"/>
      <c r="AC15" s="14"/>
      <c r="AD15" s="14"/>
      <c r="AE15" s="14"/>
      <c r="AF15" s="14"/>
      <c r="AG15" s="14"/>
      <c r="AH15" s="14"/>
      <c r="AI15" s="14"/>
      <c r="AJ15" s="14"/>
      <c r="AK15" s="14"/>
      <c r="AL15" s="14"/>
      <c r="AM15" s="14"/>
      <c r="AN15" s="3" t="str" cm="1">
        <f t="array" ref="AN15">IF(OR(Y15:AM15="NO"),"Critico","No Critico")</f>
        <v>No Critico</v>
      </c>
    </row>
    <row r="16" spans="1:46" ht="38.25">
      <c r="A16" s="60">
        <f>Inicial!A16</f>
        <v>14</v>
      </c>
      <c r="B16" s="61" t="str">
        <f>Inicial!B16</f>
        <v>Desposte</v>
      </c>
      <c r="C16" s="61" t="str">
        <f>Inicial!C16</f>
        <v>Operario de producción línea Principal 1</v>
      </c>
      <c r="D16" s="62" t="str">
        <f>Inicial!D16</f>
        <v>Extracción de punta costilla derecha</v>
      </c>
      <c r="E16" s="60" t="str">
        <f>IF(Inicial!N16="SI",Inicial!E16,"N/A")</f>
        <v>N/A</v>
      </c>
      <c r="F16" s="61" t="str">
        <f>IF(Inicial!N16="SI",Inicial!F16,"N/A")</f>
        <v>N/A</v>
      </c>
      <c r="G16" s="61" t="str">
        <f>IF(Inicial!N16="SI",Inicial!G16,"N/A")</f>
        <v>N/A</v>
      </c>
      <c r="H16" s="61" t="str">
        <f>IF(Inicial!N16="SI",Inicial!H16,"N/A")</f>
        <v>N/A</v>
      </c>
      <c r="I16" s="63" t="str">
        <f>IF(Inicial!N16="SI",Inicial!I16,"N/A")</f>
        <v>N/A</v>
      </c>
      <c r="J16" s="11"/>
      <c r="K16" s="11"/>
      <c r="L16" s="11"/>
      <c r="M16" s="11"/>
      <c r="N16" s="11"/>
      <c r="O16" s="11"/>
      <c r="P16" s="11"/>
      <c r="Q16" s="11"/>
      <c r="R16" s="11"/>
      <c r="S16" s="11"/>
      <c r="T16" s="11"/>
      <c r="U16" s="11"/>
      <c r="V16" s="11"/>
      <c r="W16" s="11"/>
      <c r="X16" s="80" t="str" cm="1">
        <f t="array" ref="X16">IF(OR(J16:W16="NO"),"No aceptable","Aceptable")</f>
        <v>Aceptable</v>
      </c>
      <c r="Y16" s="14"/>
      <c r="Z16" s="14"/>
      <c r="AA16" s="14"/>
      <c r="AB16" s="14"/>
      <c r="AC16" s="14"/>
      <c r="AD16" s="14"/>
      <c r="AE16" s="14"/>
      <c r="AF16" s="14"/>
      <c r="AG16" s="14"/>
      <c r="AH16" s="14"/>
      <c r="AI16" s="14"/>
      <c r="AJ16" s="14"/>
      <c r="AK16" s="14"/>
      <c r="AL16" s="14"/>
      <c r="AM16" s="14"/>
      <c r="AN16" s="3" t="str" cm="1">
        <f t="array" ref="AN16">IF(OR(Y16:AM16="NO"),"Critico","No Critico")</f>
        <v>No Critico</v>
      </c>
    </row>
    <row r="17" spans="1:40" ht="38.25">
      <c r="A17" s="60">
        <f>Inicial!A17</f>
        <v>15</v>
      </c>
      <c r="B17" s="61" t="str">
        <f>Inicial!B17</f>
        <v>Desposte</v>
      </c>
      <c r="C17" s="61" t="str">
        <f>Inicial!C17</f>
        <v>Operario de producción línea Principal 1</v>
      </c>
      <c r="D17" s="62" t="str">
        <f>Inicial!D17</f>
        <v>Operación de MSS</v>
      </c>
      <c r="E17" s="60" t="str">
        <f>IF(Inicial!N17="SI",Inicial!E17,"N/A")</f>
        <v>N/A</v>
      </c>
      <c r="F17" s="61" t="str">
        <f>IF(Inicial!N17="SI",Inicial!F17,"N/A")</f>
        <v>N/A</v>
      </c>
      <c r="G17" s="61" t="str">
        <f>IF(Inicial!N17="SI",Inicial!G17,"N/A")</f>
        <v>N/A</v>
      </c>
      <c r="H17" s="61" t="str">
        <f>IF(Inicial!N17="SI",Inicial!H17,"N/A")</f>
        <v>N/A</v>
      </c>
      <c r="I17" s="63" t="str">
        <f>IF(Inicial!N17="SI",Inicial!I17,"N/A")</f>
        <v>N/A</v>
      </c>
      <c r="J17" s="11"/>
      <c r="K17" s="11"/>
      <c r="L17" s="11"/>
      <c r="M17" s="11"/>
      <c r="N17" s="11"/>
      <c r="O17" s="11"/>
      <c r="P17" s="11"/>
      <c r="Q17" s="11"/>
      <c r="R17" s="11"/>
      <c r="S17" s="11"/>
      <c r="T17" s="11"/>
      <c r="U17" s="11"/>
      <c r="V17" s="11"/>
      <c r="W17" s="11"/>
      <c r="X17" s="80" t="str" cm="1">
        <f t="array" ref="X17">IF(OR(J17:W17="NO"),"No aceptable","Aceptable")</f>
        <v>Aceptable</v>
      </c>
      <c r="Y17" s="14"/>
      <c r="Z17" s="14"/>
      <c r="AA17" s="14"/>
      <c r="AB17" s="14"/>
      <c r="AC17" s="14"/>
      <c r="AD17" s="14"/>
      <c r="AE17" s="14"/>
      <c r="AF17" s="14"/>
      <c r="AG17" s="14"/>
      <c r="AH17" s="14"/>
      <c r="AI17" s="14"/>
      <c r="AJ17" s="14"/>
      <c r="AK17" s="14"/>
      <c r="AL17" s="14"/>
      <c r="AM17" s="14"/>
      <c r="AN17" s="3" t="str" cm="1">
        <f t="array" ref="AN17">IF(OR(Y17:AM17="NO"),"Critico","No Critico")</f>
        <v>No Critico</v>
      </c>
    </row>
    <row r="18" spans="1:40" ht="38.25">
      <c r="A18" s="60">
        <f>Inicial!A18</f>
        <v>16</v>
      </c>
      <c r="B18" s="61" t="str">
        <f>Inicial!B18</f>
        <v>Desposte</v>
      </c>
      <c r="C18" s="61" t="str">
        <f>Inicial!C18</f>
        <v>Operario de producción línea Principal 1</v>
      </c>
      <c r="D18" s="62" t="str">
        <f>Inicial!D18</f>
        <v>Extracción de hueso pecho</v>
      </c>
      <c r="E18" s="60" t="str">
        <f>IF(Inicial!N18="SI",Inicial!E18,"N/A")</f>
        <v>N/A</v>
      </c>
      <c r="F18" s="61" t="str">
        <f>IF(Inicial!N18="SI",Inicial!F18,"N/A")</f>
        <v>N/A</v>
      </c>
      <c r="G18" s="61" t="str">
        <f>IF(Inicial!N18="SI",Inicial!G18,"N/A")</f>
        <v>N/A</v>
      </c>
      <c r="H18" s="61" t="str">
        <f>IF(Inicial!N18="SI",Inicial!H18,"N/A")</f>
        <v>N/A</v>
      </c>
      <c r="I18" s="63" t="str">
        <f>IF(Inicial!N18="SI",Inicial!I18,"N/A")</f>
        <v>N/A</v>
      </c>
      <c r="J18" s="11"/>
      <c r="K18" s="11"/>
      <c r="L18" s="11"/>
      <c r="M18" s="11"/>
      <c r="N18" s="11"/>
      <c r="O18" s="11"/>
      <c r="P18" s="11"/>
      <c r="Q18" s="11"/>
      <c r="R18" s="11"/>
      <c r="S18" s="11"/>
      <c r="T18" s="11"/>
      <c r="U18" s="11"/>
      <c r="V18" s="11"/>
      <c r="W18" s="11"/>
      <c r="X18" s="80" t="str" cm="1">
        <f t="array" ref="X18">IF(OR(J18:W18="NO"),"No aceptable","Aceptable")</f>
        <v>Aceptable</v>
      </c>
      <c r="Y18" s="14"/>
      <c r="Z18" s="14"/>
      <c r="AA18" s="14"/>
      <c r="AB18" s="14"/>
      <c r="AC18" s="14"/>
      <c r="AD18" s="14"/>
      <c r="AE18" s="14"/>
      <c r="AF18" s="14"/>
      <c r="AG18" s="14"/>
      <c r="AH18" s="14"/>
      <c r="AI18" s="14"/>
      <c r="AJ18" s="14"/>
      <c r="AK18" s="14"/>
      <c r="AL18" s="14"/>
      <c r="AM18" s="14"/>
      <c r="AN18" s="3" t="str" cm="1">
        <f t="array" ref="AN18">IF(OR(Y18:AM18="NO"),"Critico","No Critico")</f>
        <v>No Critico</v>
      </c>
    </row>
    <row r="19" spans="1:40" ht="38.25">
      <c r="A19" s="60">
        <f>Inicial!A19</f>
        <v>17</v>
      </c>
      <c r="B19" s="61" t="str">
        <f>Inicial!B19</f>
        <v>Desposte</v>
      </c>
      <c r="C19" s="61" t="str">
        <f>Inicial!C19</f>
        <v>Operario de producción línea Principal 1</v>
      </c>
      <c r="D19" s="62" t="str">
        <f>Inicial!D19</f>
        <v>Deshuesado de panceta</v>
      </c>
      <c r="E19" s="60" t="str">
        <f>IF(Inicial!N19="SI",Inicial!E19,"N/A")</f>
        <v>N/A</v>
      </c>
      <c r="F19" s="61" t="str">
        <f>IF(Inicial!N19="SI",Inicial!F19,"N/A")</f>
        <v>N/A</v>
      </c>
      <c r="G19" s="61" t="str">
        <f>IF(Inicial!N19="SI",Inicial!G19,"N/A")</f>
        <v>N/A</v>
      </c>
      <c r="H19" s="61" t="str">
        <f>IF(Inicial!N19="SI",Inicial!H19,"N/A")</f>
        <v>N/A</v>
      </c>
      <c r="I19" s="63" t="str">
        <f>IF(Inicial!N19="SI",Inicial!I19,"N/A")</f>
        <v>N/A</v>
      </c>
      <c r="J19" s="11"/>
      <c r="K19" s="11"/>
      <c r="L19" s="11"/>
      <c r="M19" s="11"/>
      <c r="N19" s="11"/>
      <c r="O19" s="11"/>
      <c r="P19" s="11"/>
      <c r="Q19" s="11"/>
      <c r="R19" s="11"/>
      <c r="S19" s="11"/>
      <c r="T19" s="11"/>
      <c r="U19" s="11"/>
      <c r="V19" s="11"/>
      <c r="W19" s="11"/>
      <c r="X19" s="80" t="str" cm="1">
        <f t="array" ref="X19">IF(OR(J19:W19="NO"),"No aceptable","Aceptable")</f>
        <v>Aceptable</v>
      </c>
      <c r="Y19" s="14"/>
      <c r="Z19" s="14"/>
      <c r="AA19" s="14"/>
      <c r="AB19" s="14"/>
      <c r="AC19" s="14"/>
      <c r="AD19" s="14"/>
      <c r="AE19" s="14"/>
      <c r="AF19" s="14"/>
      <c r="AG19" s="14"/>
      <c r="AH19" s="14"/>
      <c r="AI19" s="14"/>
      <c r="AJ19" s="14"/>
      <c r="AK19" s="14"/>
      <c r="AL19" s="14"/>
      <c r="AM19" s="14"/>
      <c r="AN19" s="3" t="str" cm="1">
        <f t="array" ref="AN19">IF(OR(Y19:AM19="NO"),"Critico","No Critico")</f>
        <v>No Critico</v>
      </c>
    </row>
    <row r="20" spans="1:40" ht="38.25">
      <c r="A20" s="60">
        <f>Inicial!A20</f>
        <v>18</v>
      </c>
      <c r="B20" s="61" t="str">
        <f>Inicial!B20</f>
        <v>Desposte</v>
      </c>
      <c r="C20" s="61" t="str">
        <f>Inicial!C20</f>
        <v>Operario de producción Línea Lomos</v>
      </c>
      <c r="D20" s="62" t="str">
        <f>Inicial!D20</f>
        <v xml:space="preserve">Operador Descueradora Manual </v>
      </c>
      <c r="E20" s="60" t="str">
        <f>IF(Inicial!N20="SI",Inicial!E20,"N/A")</f>
        <v>N/A</v>
      </c>
      <c r="F20" s="61" t="str">
        <f>IF(Inicial!N20="SI",Inicial!F20,"N/A")</f>
        <v>N/A</v>
      </c>
      <c r="G20" s="61" t="str">
        <f>IF(Inicial!N20="SI",Inicial!G20,"N/A")</f>
        <v>N/A</v>
      </c>
      <c r="H20" s="61" t="str">
        <f>IF(Inicial!N20="SI",Inicial!H20,"N/A")</f>
        <v>N/A</v>
      </c>
      <c r="I20" s="63" t="str">
        <f>IF(Inicial!N20="SI",Inicial!I20,"N/A")</f>
        <v>N/A</v>
      </c>
      <c r="J20" s="11"/>
      <c r="K20" s="11"/>
      <c r="L20" s="11"/>
      <c r="M20" s="11"/>
      <c r="N20" s="11"/>
      <c r="O20" s="11"/>
      <c r="P20" s="11"/>
      <c r="Q20" s="11"/>
      <c r="R20" s="11"/>
      <c r="S20" s="11"/>
      <c r="T20" s="11"/>
      <c r="U20" s="11"/>
      <c r="V20" s="11"/>
      <c r="W20" s="11"/>
      <c r="X20" s="80" t="str" cm="1">
        <f t="array" ref="X20">IF(OR(J20:W20="NO"),"No aceptable","Aceptable")</f>
        <v>Aceptable</v>
      </c>
      <c r="Y20" s="14"/>
      <c r="Z20" s="14"/>
      <c r="AA20" s="14"/>
      <c r="AB20" s="14"/>
      <c r="AC20" s="14"/>
      <c r="AD20" s="14"/>
      <c r="AE20" s="14"/>
      <c r="AF20" s="14"/>
      <c r="AG20" s="14"/>
      <c r="AH20" s="14"/>
      <c r="AI20" s="14"/>
      <c r="AJ20" s="14"/>
      <c r="AK20" s="14"/>
      <c r="AL20" s="14"/>
      <c r="AM20" s="14"/>
      <c r="AN20" s="3" t="str" cm="1">
        <f t="array" ref="AN20">IF(OR(Y20:AM20="NO"),"Critico","No Critico")</f>
        <v>No Critico</v>
      </c>
    </row>
    <row r="21" spans="1:40" ht="38.25">
      <c r="A21" s="60">
        <f>Inicial!A21</f>
        <v>19</v>
      </c>
      <c r="B21" s="61" t="str">
        <f>Inicial!B21</f>
        <v>Desposte</v>
      </c>
      <c r="C21" s="61" t="str">
        <f>Inicial!C21</f>
        <v>Operario de producción Línea Lomos</v>
      </c>
      <c r="D21" s="62" t="str">
        <f>Inicial!D21</f>
        <v>Posicionamiento de lomo tecla</v>
      </c>
      <c r="E21" s="60" t="str">
        <f>IF(Inicial!N21="SI",Inicial!E21,"N/A")</f>
        <v>N/A</v>
      </c>
      <c r="F21" s="61" t="str">
        <f>IF(Inicial!N21="SI",Inicial!F21,"N/A")</f>
        <v>N/A</v>
      </c>
      <c r="G21" s="61" t="str">
        <f>IF(Inicial!N21="SI",Inicial!G21,"N/A")</f>
        <v>N/A</v>
      </c>
      <c r="H21" s="61" t="str">
        <f>IF(Inicial!N21="SI",Inicial!H21,"N/A")</f>
        <v>N/A</v>
      </c>
      <c r="I21" s="63" t="str">
        <f>IF(Inicial!N21="SI",Inicial!I21,"N/A")</f>
        <v>N/A</v>
      </c>
      <c r="J21" s="11"/>
      <c r="K21" s="11"/>
      <c r="L21" s="11"/>
      <c r="M21" s="11"/>
      <c r="N21" s="11"/>
      <c r="O21" s="11"/>
      <c r="P21" s="11"/>
      <c r="Q21" s="11"/>
      <c r="R21" s="11"/>
      <c r="S21" s="11"/>
      <c r="T21" s="11"/>
      <c r="U21" s="11"/>
      <c r="V21" s="11"/>
      <c r="W21" s="11"/>
      <c r="X21" s="80" t="str" cm="1">
        <f t="array" ref="X21">IF(OR(J21:W21="NO"),"No aceptable","Aceptable")</f>
        <v>Aceptable</v>
      </c>
      <c r="Y21" s="14"/>
      <c r="Z21" s="14"/>
      <c r="AA21" s="14"/>
      <c r="AB21" s="14"/>
      <c r="AC21" s="14"/>
      <c r="AD21" s="14"/>
      <c r="AE21" s="14"/>
      <c r="AF21" s="14"/>
      <c r="AG21" s="14"/>
      <c r="AH21" s="14"/>
      <c r="AI21" s="14"/>
      <c r="AJ21" s="14"/>
      <c r="AK21" s="14"/>
      <c r="AL21" s="14"/>
      <c r="AM21" s="14"/>
      <c r="AN21" s="3" t="str" cm="1">
        <f t="array" ref="AN21">IF(OR(Y21:AM21="NO"),"Critico","No Critico")</f>
        <v>No Critico</v>
      </c>
    </row>
    <row r="22" spans="1:40" ht="38.25">
      <c r="A22" s="60">
        <f>Inicial!A22</f>
        <v>20</v>
      </c>
      <c r="B22" s="61" t="str">
        <f>Inicial!B22</f>
        <v>Desposte</v>
      </c>
      <c r="C22" s="61" t="str">
        <f>Inicial!C22</f>
        <v>Operario de producción Línea Lomos</v>
      </c>
      <c r="D22" s="62" t="str">
        <f>Inicial!D22</f>
        <v>Prolijado de lomo tecla extracción de cordon</v>
      </c>
      <c r="E22" s="60" t="str">
        <f>IF(Inicial!N22="SI",Inicial!E22,"N/A")</f>
        <v>N/A</v>
      </c>
      <c r="F22" s="61" t="str">
        <f>IF(Inicial!N22="SI",Inicial!F22,"N/A")</f>
        <v>N/A</v>
      </c>
      <c r="G22" s="61" t="str">
        <f>IF(Inicial!N22="SI",Inicial!G22,"N/A")</f>
        <v>N/A</v>
      </c>
      <c r="H22" s="61" t="str">
        <f>IF(Inicial!N22="SI",Inicial!H22,"N/A")</f>
        <v>N/A</v>
      </c>
      <c r="I22" s="63" t="str">
        <f>IF(Inicial!N22="SI",Inicial!I22,"N/A")</f>
        <v>N/A</v>
      </c>
      <c r="J22" s="11"/>
      <c r="K22" s="11"/>
      <c r="L22" s="11"/>
      <c r="M22" s="11"/>
      <c r="N22" s="11"/>
      <c r="O22" s="11"/>
      <c r="P22" s="11"/>
      <c r="Q22" s="11"/>
      <c r="R22" s="11"/>
      <c r="S22" s="11"/>
      <c r="T22" s="11"/>
      <c r="U22" s="11"/>
      <c r="V22" s="11"/>
      <c r="W22" s="11"/>
      <c r="X22" s="80" t="str" cm="1">
        <f t="array" ref="X22">IF(OR(J22:W22="NO"),"No aceptable","Aceptable")</f>
        <v>Aceptable</v>
      </c>
      <c r="Y22" s="14"/>
      <c r="Z22" s="14"/>
      <c r="AA22" s="14"/>
      <c r="AB22" s="14"/>
      <c r="AC22" s="14"/>
      <c r="AD22" s="14"/>
      <c r="AE22" s="14"/>
      <c r="AF22" s="14"/>
      <c r="AG22" s="14"/>
      <c r="AH22" s="14"/>
      <c r="AI22" s="14"/>
      <c r="AJ22" s="14"/>
      <c r="AK22" s="14"/>
      <c r="AL22" s="14"/>
      <c r="AM22" s="14"/>
      <c r="AN22" s="3" t="str" cm="1">
        <f t="array" ref="AN22">IF(OR(Y22:AM22="NO"),"Critico","No Critico")</f>
        <v>No Critico</v>
      </c>
    </row>
    <row r="23" spans="1:40" ht="38.25">
      <c r="A23" s="60">
        <f>Inicial!A23</f>
        <v>21</v>
      </c>
      <c r="B23" s="61" t="str">
        <f>Inicial!B23</f>
        <v>Desposte</v>
      </c>
      <c r="C23" s="61" t="str">
        <f>Inicial!C23</f>
        <v>Operario de producción Línea Lomos</v>
      </c>
      <c r="D23" s="62" t="str">
        <f>Inicial!D23</f>
        <v>Extracción de cuero a tocino</v>
      </c>
      <c r="E23" s="60" t="str">
        <f>IF(Inicial!N23="SI",Inicial!E23,"N/A")</f>
        <v>N/A</v>
      </c>
      <c r="F23" s="61" t="str">
        <f>IF(Inicial!N23="SI",Inicial!F23,"N/A")</f>
        <v>N/A</v>
      </c>
      <c r="G23" s="61" t="str">
        <f>IF(Inicial!N23="SI",Inicial!G23,"N/A")</f>
        <v>N/A</v>
      </c>
      <c r="H23" s="61" t="str">
        <f>IF(Inicial!N23="SI",Inicial!H23,"N/A")</f>
        <v>N/A</v>
      </c>
      <c r="I23" s="63" t="str">
        <f>IF(Inicial!N23="SI",Inicial!I23,"N/A")</f>
        <v>N/A</v>
      </c>
      <c r="J23" s="11"/>
      <c r="K23" s="11"/>
      <c r="L23" s="11"/>
      <c r="M23" s="11"/>
      <c r="N23" s="11"/>
      <c r="O23" s="11"/>
      <c r="P23" s="11"/>
      <c r="Q23" s="11"/>
      <c r="R23" s="11"/>
      <c r="S23" s="11"/>
      <c r="T23" s="11"/>
      <c r="U23" s="11"/>
      <c r="V23" s="11"/>
      <c r="W23" s="11"/>
      <c r="X23" s="80" t="str" cm="1">
        <f t="array" ref="X23">IF(OR(J23:W23="NO"),"No aceptable","Aceptable")</f>
        <v>Aceptable</v>
      </c>
      <c r="Y23" s="14"/>
      <c r="Z23" s="14"/>
      <c r="AA23" s="14"/>
      <c r="AB23" s="14"/>
      <c r="AC23" s="14"/>
      <c r="AD23" s="14"/>
      <c r="AE23" s="14"/>
      <c r="AF23" s="14"/>
      <c r="AG23" s="14"/>
      <c r="AH23" s="14"/>
      <c r="AI23" s="14"/>
      <c r="AJ23" s="14"/>
      <c r="AK23" s="14"/>
      <c r="AL23" s="14"/>
      <c r="AM23" s="14"/>
      <c r="AN23" s="3" t="str" cm="1">
        <f t="array" ref="AN23">IF(OR(Y23:AM23="NO"),"Critico","No Critico")</f>
        <v>No Critico</v>
      </c>
    </row>
    <row r="24" spans="1:40" ht="38.25">
      <c r="A24" s="60">
        <f>Inicial!A24</f>
        <v>22</v>
      </c>
      <c r="B24" s="61" t="str">
        <f>Inicial!B24</f>
        <v>Desposte</v>
      </c>
      <c r="C24" s="61" t="str">
        <f>Inicial!C24</f>
        <v>Operario de producción Línea Lomos</v>
      </c>
      <c r="D24" s="62" t="str">
        <f>Inicial!D24</f>
        <v xml:space="preserve">Rayado de lomo tecla </v>
      </c>
      <c r="E24" s="60" t="str">
        <f>IF(Inicial!N24="SI",Inicial!E24,"N/A")</f>
        <v>N/A</v>
      </c>
      <c r="F24" s="61" t="str">
        <f>IF(Inicial!N24="SI",Inicial!F24,"N/A")</f>
        <v>N/A</v>
      </c>
      <c r="G24" s="61" t="str">
        <f>IF(Inicial!N24="SI",Inicial!G24,"N/A")</f>
        <v>N/A</v>
      </c>
      <c r="H24" s="61" t="str">
        <f>IF(Inicial!N24="SI",Inicial!H24,"N/A")</f>
        <v>N/A</v>
      </c>
      <c r="I24" s="63" t="str">
        <f>IF(Inicial!N24="SI",Inicial!I24,"N/A")</f>
        <v>N/A</v>
      </c>
      <c r="J24" s="11"/>
      <c r="K24" s="11"/>
      <c r="L24" s="11"/>
      <c r="M24" s="11"/>
      <c r="N24" s="11"/>
      <c r="O24" s="11"/>
      <c r="P24" s="11"/>
      <c r="Q24" s="11"/>
      <c r="R24" s="11"/>
      <c r="S24" s="11"/>
      <c r="T24" s="11"/>
      <c r="U24" s="11"/>
      <c r="V24" s="11"/>
      <c r="W24" s="11"/>
      <c r="X24" s="80" t="str" cm="1">
        <f t="array" ref="X24">IF(OR(J24:W24="NO"),"No aceptable","Aceptable")</f>
        <v>Aceptable</v>
      </c>
      <c r="Y24" s="14"/>
      <c r="Z24" s="14"/>
      <c r="AA24" s="14"/>
      <c r="AB24" s="14"/>
      <c r="AC24" s="14"/>
      <c r="AD24" s="14"/>
      <c r="AE24" s="14"/>
      <c r="AF24" s="14"/>
      <c r="AG24" s="14"/>
      <c r="AH24" s="14"/>
      <c r="AI24" s="14"/>
      <c r="AJ24" s="14"/>
      <c r="AK24" s="14"/>
      <c r="AL24" s="14"/>
      <c r="AM24" s="14"/>
      <c r="AN24" s="3" t="str" cm="1">
        <f t="array" ref="AN24">IF(OR(Y24:AM24="NO"),"Critico","No Critico")</f>
        <v>No Critico</v>
      </c>
    </row>
    <row r="25" spans="1:40" ht="38.25">
      <c r="A25" s="60">
        <f>Inicial!A25</f>
        <v>23</v>
      </c>
      <c r="B25" s="61" t="str">
        <f>Inicial!B25</f>
        <v>Desposte</v>
      </c>
      <c r="C25" s="61" t="str">
        <f>Inicial!C25</f>
        <v>Operario de producción Línea Lomos</v>
      </c>
      <c r="D25" s="62" t="str">
        <f>Inicial!D25</f>
        <v>Rayado de lomo</v>
      </c>
      <c r="E25" s="60" t="str">
        <f>IF(Inicial!N25="SI",Inicial!E25,"N/A")</f>
        <v>N/A</v>
      </c>
      <c r="F25" s="61" t="str">
        <f>IF(Inicial!N25="SI",Inicial!F25,"N/A")</f>
        <v>N/A</v>
      </c>
      <c r="G25" s="61" t="str">
        <f>IF(Inicial!N25="SI",Inicial!G25,"N/A")</f>
        <v>N/A</v>
      </c>
      <c r="H25" s="61" t="str">
        <f>IF(Inicial!N25="SI",Inicial!H25,"N/A")</f>
        <v>N/A</v>
      </c>
      <c r="I25" s="63" t="str">
        <f>IF(Inicial!N25="SI",Inicial!I25,"N/A")</f>
        <v>N/A</v>
      </c>
      <c r="J25" s="11"/>
      <c r="K25" s="11"/>
      <c r="L25" s="11"/>
      <c r="M25" s="11"/>
      <c r="N25" s="11"/>
      <c r="O25" s="11"/>
      <c r="P25" s="11"/>
      <c r="Q25" s="11"/>
      <c r="R25" s="11"/>
      <c r="S25" s="11"/>
      <c r="T25" s="11"/>
      <c r="U25" s="11"/>
      <c r="V25" s="11"/>
      <c r="W25" s="11"/>
      <c r="X25" s="80" t="str" cm="1">
        <f t="array" ref="X25">IF(OR(J25:W25="NO"),"No aceptable","Aceptable")</f>
        <v>Aceptable</v>
      </c>
      <c r="Y25" s="14"/>
      <c r="Z25" s="14"/>
      <c r="AA25" s="14"/>
      <c r="AB25" s="14"/>
      <c r="AC25" s="14"/>
      <c r="AD25" s="14"/>
      <c r="AE25" s="14"/>
      <c r="AF25" s="14"/>
      <c r="AG25" s="14"/>
      <c r="AH25" s="14"/>
      <c r="AI25" s="14"/>
      <c r="AJ25" s="14"/>
      <c r="AK25" s="14"/>
      <c r="AL25" s="14"/>
      <c r="AM25" s="14"/>
      <c r="AN25" s="3" t="str" cm="1">
        <f t="array" ref="AN25">IF(OR(Y25:AM25="NO"),"Critico","No Critico")</f>
        <v>No Critico</v>
      </c>
    </row>
    <row r="26" spans="1:40" ht="38.25">
      <c r="A26" s="60">
        <f>Inicial!A26</f>
        <v>24</v>
      </c>
      <c r="B26" s="61" t="str">
        <f>Inicial!B26</f>
        <v>Desposte</v>
      </c>
      <c r="C26" s="61" t="str">
        <f>Inicial!C26</f>
        <v>Operario de producción Línea Lomos</v>
      </c>
      <c r="D26" s="62" t="str">
        <f>Inicial!D26</f>
        <v>Operador de Desprendedora de Lomo</v>
      </c>
      <c r="E26" s="60" t="str">
        <f>IF(Inicial!N26="SI",Inicial!E26,"N/A")</f>
        <v>N/A</v>
      </c>
      <c r="F26" s="61" t="str">
        <f>IF(Inicial!N26="SI",Inicial!F26,"N/A")</f>
        <v>N/A</v>
      </c>
      <c r="G26" s="61" t="str">
        <f>IF(Inicial!N26="SI",Inicial!G26,"N/A")</f>
        <v>N/A</v>
      </c>
      <c r="H26" s="61" t="str">
        <f>IF(Inicial!N26="SI",Inicial!H26,"N/A")</f>
        <v>N/A</v>
      </c>
      <c r="I26" s="63" t="str">
        <f>IF(Inicial!N26="SI",Inicial!I26,"N/A")</f>
        <v>N/A</v>
      </c>
      <c r="J26" s="11"/>
      <c r="K26" s="11"/>
      <c r="L26" s="11"/>
      <c r="M26" s="11"/>
      <c r="N26" s="11"/>
      <c r="O26" s="11"/>
      <c r="P26" s="11"/>
      <c r="Q26" s="11"/>
      <c r="R26" s="11"/>
      <c r="S26" s="11"/>
      <c r="T26" s="11"/>
      <c r="U26" s="11"/>
      <c r="V26" s="11"/>
      <c r="W26" s="11"/>
      <c r="X26" s="80" t="str" cm="1">
        <f t="array" ref="X26">IF(OR(J26:W26="NO"),"No aceptable","Aceptable")</f>
        <v>Aceptable</v>
      </c>
      <c r="Y26" s="14"/>
      <c r="Z26" s="14"/>
      <c r="AA26" s="14"/>
      <c r="AB26" s="14"/>
      <c r="AC26" s="14"/>
      <c r="AD26" s="14"/>
      <c r="AE26" s="14"/>
      <c r="AF26" s="14"/>
      <c r="AG26" s="14"/>
      <c r="AH26" s="14"/>
      <c r="AI26" s="14"/>
      <c r="AJ26" s="14"/>
      <c r="AK26" s="14"/>
      <c r="AL26" s="14"/>
      <c r="AM26" s="14"/>
      <c r="AN26" s="3" t="str" cm="1">
        <f t="array" ref="AN26">IF(OR(Y26:AM26="NO"),"Critico","No Critico")</f>
        <v>No Critico</v>
      </c>
    </row>
    <row r="27" spans="1:40" ht="38.25">
      <c r="A27" s="60">
        <f>Inicial!A27</f>
        <v>25</v>
      </c>
      <c r="B27" s="61" t="str">
        <f>Inicial!B27</f>
        <v>Desposte</v>
      </c>
      <c r="C27" s="61" t="str">
        <f>Inicial!C27</f>
        <v>Operario de producción Línea Lomos</v>
      </c>
      <c r="D27" s="62" t="str">
        <f>Inicial!D27</f>
        <v>Prolijado de lomo tocino</v>
      </c>
      <c r="E27" s="60" t="str">
        <f>IF(Inicial!N27="SI",Inicial!E27,"N/A")</f>
        <v>N/A</v>
      </c>
      <c r="F27" s="61" t="str">
        <f>IF(Inicial!N27="SI",Inicial!F27,"N/A")</f>
        <v>N/A</v>
      </c>
      <c r="G27" s="61" t="str">
        <f>IF(Inicial!N27="SI",Inicial!G27,"N/A")</f>
        <v>N/A</v>
      </c>
      <c r="H27" s="61" t="str">
        <f>IF(Inicial!N27="SI",Inicial!H27,"N/A")</f>
        <v>N/A</v>
      </c>
      <c r="I27" s="63" t="str">
        <f>IF(Inicial!N27="SI",Inicial!I27,"N/A")</f>
        <v>N/A</v>
      </c>
      <c r="J27" s="11"/>
      <c r="K27" s="11"/>
      <c r="L27" s="11"/>
      <c r="M27" s="11"/>
      <c r="N27" s="11"/>
      <c r="O27" s="11"/>
      <c r="P27" s="11"/>
      <c r="Q27" s="11"/>
      <c r="R27" s="11"/>
      <c r="S27" s="11"/>
      <c r="T27" s="11"/>
      <c r="U27" s="11"/>
      <c r="V27" s="11"/>
      <c r="W27" s="11"/>
      <c r="X27" s="80" t="str" cm="1">
        <f t="array" ref="X27">IF(OR(J27:W27="NO"),"No aceptable","Aceptable")</f>
        <v>Aceptable</v>
      </c>
      <c r="Y27" s="14"/>
      <c r="Z27" s="14"/>
      <c r="AA27" s="14"/>
      <c r="AB27" s="14"/>
      <c r="AC27" s="14"/>
      <c r="AD27" s="14"/>
      <c r="AE27" s="14"/>
      <c r="AF27" s="14"/>
      <c r="AG27" s="14"/>
      <c r="AH27" s="14"/>
      <c r="AI27" s="14"/>
      <c r="AJ27" s="14"/>
      <c r="AK27" s="14"/>
      <c r="AL27" s="14"/>
      <c r="AM27" s="14"/>
      <c r="AN27" s="3" t="str" cm="1">
        <f t="array" ref="AN27">IF(OR(Y27:AM27="NO"),"Critico","No Critico")</f>
        <v>No Critico</v>
      </c>
    </row>
    <row r="28" spans="1:40" ht="38.25">
      <c r="A28" s="60">
        <f>Inicial!A28</f>
        <v>26</v>
      </c>
      <c r="B28" s="61" t="str">
        <f>Inicial!B28</f>
        <v>Desposte</v>
      </c>
      <c r="C28" s="61" t="str">
        <f>Inicial!C28</f>
        <v>Operario de producción Línea Lomos</v>
      </c>
      <c r="D28" s="62" t="str">
        <f>Inicial!D28</f>
        <v>Cuadrado de lomo tecla</v>
      </c>
      <c r="E28" s="60" t="str">
        <f>IF(Inicial!N28="SI",Inicial!E28,"N/A")</f>
        <v>N/A</v>
      </c>
      <c r="F28" s="61" t="str">
        <f>IF(Inicial!N28="SI",Inicial!F28,"N/A")</f>
        <v>N/A</v>
      </c>
      <c r="G28" s="61" t="str">
        <f>IF(Inicial!N28="SI",Inicial!G28,"N/A")</f>
        <v>N/A</v>
      </c>
      <c r="H28" s="61" t="str">
        <f>IF(Inicial!N28="SI",Inicial!H28,"N/A")</f>
        <v>N/A</v>
      </c>
      <c r="I28" s="63" t="str">
        <f>IF(Inicial!N28="SI",Inicial!I28,"N/A")</f>
        <v>N/A</v>
      </c>
      <c r="J28" s="11"/>
      <c r="K28" s="11"/>
      <c r="L28" s="11"/>
      <c r="M28" s="11"/>
      <c r="N28" s="11"/>
      <c r="O28" s="11"/>
      <c r="P28" s="11"/>
      <c r="Q28" s="11"/>
      <c r="R28" s="11"/>
      <c r="S28" s="11"/>
      <c r="T28" s="11"/>
      <c r="U28" s="11"/>
      <c r="V28" s="11"/>
      <c r="W28" s="11"/>
      <c r="X28" s="80" t="str" cm="1">
        <f t="array" ref="X28">IF(OR(J28:W28="NO"),"No aceptable","Aceptable")</f>
        <v>Aceptable</v>
      </c>
      <c r="Y28" s="14"/>
      <c r="Z28" s="14"/>
      <c r="AA28" s="14"/>
      <c r="AB28" s="14"/>
      <c r="AC28" s="14"/>
      <c r="AD28" s="14"/>
      <c r="AE28" s="14"/>
      <c r="AF28" s="14"/>
      <c r="AG28" s="14"/>
      <c r="AH28" s="14"/>
      <c r="AI28" s="14"/>
      <c r="AJ28" s="14"/>
      <c r="AK28" s="14"/>
      <c r="AL28" s="14"/>
      <c r="AM28" s="14"/>
      <c r="AN28" s="3" t="str" cm="1">
        <f t="array" ref="AN28">IF(OR(Y28:AM28="NO"),"Critico","No Critico")</f>
        <v>No Critico</v>
      </c>
    </row>
    <row r="29" spans="1:40" ht="38.25">
      <c r="A29" s="60">
        <f>Inicial!A29</f>
        <v>27</v>
      </c>
      <c r="B29" s="61" t="str">
        <f>Inicial!B29</f>
        <v>Desposte</v>
      </c>
      <c r="C29" s="61" t="str">
        <f>Inicial!C29</f>
        <v>Operario de producción Línea Lomos</v>
      </c>
      <c r="D29" s="62" t="str">
        <f>Inicial!D29</f>
        <v>Distribuidor de lomos</v>
      </c>
      <c r="E29" s="60" t="str">
        <f>IF(Inicial!N29="SI",Inicial!E29,"N/A")</f>
        <v>N/A</v>
      </c>
      <c r="F29" s="61" t="str">
        <f>IF(Inicial!N29="SI",Inicial!F29,"N/A")</f>
        <v>N/A</v>
      </c>
      <c r="G29" s="61" t="str">
        <f>IF(Inicial!N29="SI",Inicial!G29,"N/A")</f>
        <v>N/A</v>
      </c>
      <c r="H29" s="61" t="str">
        <f>IF(Inicial!N29="SI",Inicial!H29,"N/A")</f>
        <v>N/A</v>
      </c>
      <c r="I29" s="63" t="str">
        <f>IF(Inicial!N29="SI",Inicial!I29,"N/A")</f>
        <v>N/A</v>
      </c>
      <c r="J29" s="11"/>
      <c r="K29" s="11"/>
      <c r="L29" s="11"/>
      <c r="M29" s="11"/>
      <c r="N29" s="11"/>
      <c r="O29" s="11"/>
      <c r="P29" s="11"/>
      <c r="Q29" s="11"/>
      <c r="R29" s="11"/>
      <c r="S29" s="11"/>
      <c r="T29" s="11"/>
      <c r="U29" s="11"/>
      <c r="V29" s="11"/>
      <c r="W29" s="11"/>
      <c r="X29" s="80" t="str" cm="1">
        <f t="array" ref="X29">IF(OR(J29:W29="NO"),"No aceptable","Aceptable")</f>
        <v>Aceptable</v>
      </c>
      <c r="Y29" s="14"/>
      <c r="Z29" s="14"/>
      <c r="AA29" s="14"/>
      <c r="AB29" s="14"/>
      <c r="AC29" s="14"/>
      <c r="AD29" s="14"/>
      <c r="AE29" s="14"/>
      <c r="AF29" s="14"/>
      <c r="AG29" s="14"/>
      <c r="AH29" s="14"/>
      <c r="AI29" s="14"/>
      <c r="AJ29" s="14"/>
      <c r="AK29" s="14"/>
      <c r="AL29" s="14"/>
      <c r="AM29" s="14"/>
      <c r="AN29" s="3" t="str" cm="1">
        <f t="array" ref="AN29">IF(OR(Y29:AM29="NO"),"Critico","No Critico")</f>
        <v>No Critico</v>
      </c>
    </row>
    <row r="30" spans="1:40" ht="38.25">
      <c r="A30" s="60">
        <f>Inicial!A30</f>
        <v>28</v>
      </c>
      <c r="B30" s="61" t="str">
        <f>Inicial!B30</f>
        <v>Desposte</v>
      </c>
      <c r="C30" s="61" t="str">
        <f>Inicial!C30</f>
        <v>Operario de producción Línea Lomos</v>
      </c>
      <c r="D30" s="62" t="str">
        <f>Inicial!D30</f>
        <v>Extraccion de cordon de lomo</v>
      </c>
      <c r="E30" s="60" t="str">
        <f>IF(Inicial!N30="SI",Inicial!E30,"N/A")</f>
        <v>N/A</v>
      </c>
      <c r="F30" s="61" t="str">
        <f>IF(Inicial!N30="SI",Inicial!F30,"N/A")</f>
        <v>N/A</v>
      </c>
      <c r="G30" s="61" t="str">
        <f>IF(Inicial!N30="SI",Inicial!G30,"N/A")</f>
        <v>N/A</v>
      </c>
      <c r="H30" s="61" t="str">
        <f>IF(Inicial!N30="SI",Inicial!H30,"N/A")</f>
        <v>N/A</v>
      </c>
      <c r="I30" s="63" t="str">
        <f>IF(Inicial!N30="SI",Inicial!I30,"N/A")</f>
        <v>N/A</v>
      </c>
      <c r="J30" s="11"/>
      <c r="K30" s="11"/>
      <c r="L30" s="11"/>
      <c r="M30" s="11"/>
      <c r="N30" s="11"/>
      <c r="O30" s="11"/>
      <c r="P30" s="11"/>
      <c r="Q30" s="11"/>
      <c r="R30" s="11"/>
      <c r="S30" s="11"/>
      <c r="T30" s="11"/>
      <c r="U30" s="11"/>
      <c r="V30" s="11"/>
      <c r="W30" s="11"/>
      <c r="X30" s="80" t="str" cm="1">
        <f t="array" ref="X30">IF(OR(J30:W30="NO"),"No aceptable","Aceptable")</f>
        <v>Aceptable</v>
      </c>
      <c r="Y30" s="14"/>
      <c r="Z30" s="14"/>
      <c r="AA30" s="14"/>
      <c r="AB30" s="14"/>
      <c r="AC30" s="14"/>
      <c r="AD30" s="14"/>
      <c r="AE30" s="14"/>
      <c r="AF30" s="14"/>
      <c r="AG30" s="14"/>
      <c r="AH30" s="14"/>
      <c r="AI30" s="14"/>
      <c r="AJ30" s="14"/>
      <c r="AK30" s="14"/>
      <c r="AL30" s="14"/>
      <c r="AM30" s="14"/>
      <c r="AN30" s="3" t="str" cm="1">
        <f t="array" ref="AN30">IF(OR(Y30:AM30="NO"),"Critico","No Critico")</f>
        <v>No Critico</v>
      </c>
    </row>
    <row r="31" spans="1:40" ht="38.25">
      <c r="A31" s="60">
        <f>Inicial!A31</f>
        <v>29</v>
      </c>
      <c r="B31" s="61" t="str">
        <f>Inicial!B31</f>
        <v>Desposte</v>
      </c>
      <c r="C31" s="61" t="str">
        <f>Inicial!C31</f>
        <v>Operario de producción Línea Lomos</v>
      </c>
      <c r="D31" s="62" t="str">
        <f>Inicial!D31</f>
        <v>Prolijado de lomo con cuchillo circular</v>
      </c>
      <c r="E31" s="60" t="str">
        <f>IF(Inicial!N31="SI",Inicial!E31,"N/A")</f>
        <v>N/A</v>
      </c>
      <c r="F31" s="61" t="str">
        <f>IF(Inicial!N31="SI",Inicial!F31,"N/A")</f>
        <v>N/A</v>
      </c>
      <c r="G31" s="61" t="str">
        <f>IF(Inicial!N31="SI",Inicial!G31,"N/A")</f>
        <v>N/A</v>
      </c>
      <c r="H31" s="61" t="str">
        <f>IF(Inicial!N31="SI",Inicial!H31,"N/A")</f>
        <v>N/A</v>
      </c>
      <c r="I31" s="63" t="str">
        <f>IF(Inicial!N31="SI",Inicial!I31,"N/A")</f>
        <v>N/A</v>
      </c>
      <c r="J31" s="11"/>
      <c r="K31" s="11"/>
      <c r="L31" s="11"/>
      <c r="M31" s="11"/>
      <c r="N31" s="11"/>
      <c r="O31" s="11"/>
      <c r="P31" s="11"/>
      <c r="Q31" s="11"/>
      <c r="R31" s="11"/>
      <c r="S31" s="11"/>
      <c r="T31" s="11"/>
      <c r="U31" s="11"/>
      <c r="V31" s="11"/>
      <c r="W31" s="11"/>
      <c r="X31" s="80" t="str" cm="1">
        <f t="array" ref="X31">IF(OR(J31:W31="NO"),"No aceptable","Aceptable")</f>
        <v>Aceptable</v>
      </c>
      <c r="Y31" s="14"/>
      <c r="Z31" s="14"/>
      <c r="AA31" s="14"/>
      <c r="AB31" s="14"/>
      <c r="AC31" s="14"/>
      <c r="AD31" s="14"/>
      <c r="AE31" s="14"/>
      <c r="AF31" s="14"/>
      <c r="AG31" s="14"/>
      <c r="AH31" s="14"/>
      <c r="AI31" s="14"/>
      <c r="AJ31" s="14"/>
      <c r="AK31" s="14"/>
      <c r="AL31" s="14"/>
      <c r="AM31" s="14"/>
      <c r="AN31" s="3" t="str" cm="1">
        <f t="array" ref="AN31">IF(OR(Y31:AM31="NO"),"Critico","No Critico")</f>
        <v>No Critico</v>
      </c>
    </row>
    <row r="32" spans="1:40" ht="38.25">
      <c r="A32" s="60">
        <f>Inicial!A32</f>
        <v>30</v>
      </c>
      <c r="B32" s="61" t="str">
        <f>Inicial!B32</f>
        <v>Desposte</v>
      </c>
      <c r="C32" s="61" t="str">
        <f>Inicial!C32</f>
        <v>Operario de producción Línea Lomos</v>
      </c>
      <c r="D32" s="62" t="str">
        <f>Inicial!D32</f>
        <v>Cuadrado de lomo</v>
      </c>
      <c r="E32" s="60" t="str">
        <f>IF(Inicial!N32="SI",Inicial!E32,"N/A")</f>
        <v>N/A</v>
      </c>
      <c r="F32" s="61" t="str">
        <f>IF(Inicial!N32="SI",Inicial!F32,"N/A")</f>
        <v>N/A</v>
      </c>
      <c r="G32" s="61" t="str">
        <f>IF(Inicial!N32="SI",Inicial!G32,"N/A")</f>
        <v>N/A</v>
      </c>
      <c r="H32" s="61" t="str">
        <f>IF(Inicial!N32="SI",Inicial!H32,"N/A")</f>
        <v>N/A</v>
      </c>
      <c r="I32" s="63" t="str">
        <f>IF(Inicial!N32="SI",Inicial!I32,"N/A")</f>
        <v>N/A</v>
      </c>
      <c r="J32" s="11"/>
      <c r="K32" s="11"/>
      <c r="L32" s="11"/>
      <c r="M32" s="11"/>
      <c r="N32" s="11"/>
      <c r="O32" s="11"/>
      <c r="P32" s="11"/>
      <c r="Q32" s="11"/>
      <c r="R32" s="11"/>
      <c r="S32" s="11"/>
      <c r="T32" s="11"/>
      <c r="U32" s="11"/>
      <c r="V32" s="11"/>
      <c r="W32" s="11"/>
      <c r="X32" s="80" t="str" cm="1">
        <f t="array" ref="X32">IF(OR(J32:W32="NO"),"No aceptable","Aceptable")</f>
        <v>Aceptable</v>
      </c>
      <c r="Y32" s="14"/>
      <c r="Z32" s="14"/>
      <c r="AA32" s="14"/>
      <c r="AB32" s="14"/>
      <c r="AC32" s="14"/>
      <c r="AD32" s="14"/>
      <c r="AE32" s="14"/>
      <c r="AF32" s="14"/>
      <c r="AG32" s="14"/>
      <c r="AH32" s="14"/>
      <c r="AI32" s="14"/>
      <c r="AJ32" s="14"/>
      <c r="AK32" s="14"/>
      <c r="AL32" s="14"/>
      <c r="AM32" s="14"/>
      <c r="AN32" s="3" t="str" cm="1">
        <f t="array" ref="AN32">IF(OR(Y32:AM32="NO"),"Critico","No Critico")</f>
        <v>No Critico</v>
      </c>
    </row>
    <row r="33" spans="1:40" ht="38.25">
      <c r="A33" s="60">
        <f>Inicial!A33</f>
        <v>31</v>
      </c>
      <c r="B33" s="61" t="str">
        <f>Inicial!B33</f>
        <v>Desposte</v>
      </c>
      <c r="C33" s="61" t="str">
        <f>Inicial!C33</f>
        <v>Operario de producción Línea Lomos</v>
      </c>
      <c r="D33" s="62" t="str">
        <f>Inicial!D33</f>
        <v>Operador de equipo Freund</v>
      </c>
      <c r="E33" s="60" t="str">
        <f>IF(Inicial!N33="SI",Inicial!E33,"N/A")</f>
        <v>N/A</v>
      </c>
      <c r="F33" s="61" t="str">
        <f>IF(Inicial!N33="SI",Inicial!F33,"N/A")</f>
        <v>N/A</v>
      </c>
      <c r="G33" s="61" t="str">
        <f>IF(Inicial!N33="SI",Inicial!G33,"N/A")</f>
        <v>N/A</v>
      </c>
      <c r="H33" s="61" t="str">
        <f>IF(Inicial!N33="SI",Inicial!H33,"N/A")</f>
        <v>N/A</v>
      </c>
      <c r="I33" s="63" t="str">
        <f>IF(Inicial!N33="SI",Inicial!I33,"N/A")</f>
        <v>N/A</v>
      </c>
      <c r="J33" s="11"/>
      <c r="K33" s="11"/>
      <c r="L33" s="11"/>
      <c r="M33" s="11"/>
      <c r="N33" s="11"/>
      <c r="O33" s="11"/>
      <c r="P33" s="11"/>
      <c r="Q33" s="11"/>
      <c r="R33" s="11"/>
      <c r="S33" s="11"/>
      <c r="T33" s="11"/>
      <c r="U33" s="11"/>
      <c r="V33" s="11"/>
      <c r="W33" s="11"/>
      <c r="X33" s="80" t="str" cm="1">
        <f t="array" ref="X33">IF(OR(J33:W33="NO"),"No aceptable","Aceptable")</f>
        <v>Aceptable</v>
      </c>
      <c r="Y33" s="14"/>
      <c r="Z33" s="14"/>
      <c r="AA33" s="14"/>
      <c r="AB33" s="14"/>
      <c r="AC33" s="14"/>
      <c r="AD33" s="14"/>
      <c r="AE33" s="14"/>
      <c r="AF33" s="14"/>
      <c r="AG33" s="14"/>
      <c r="AH33" s="14"/>
      <c r="AI33" s="14"/>
      <c r="AJ33" s="14"/>
      <c r="AK33" s="14"/>
      <c r="AL33" s="14"/>
      <c r="AM33" s="14"/>
      <c r="AN33" s="3" t="str" cm="1">
        <f t="array" ref="AN33">IF(OR(Y33:AM33="NO"),"Critico","No Critico")</f>
        <v>No Critico</v>
      </c>
    </row>
    <row r="34" spans="1:40" ht="38.25">
      <c r="A34" s="60">
        <f>Inicial!A34</f>
        <v>32</v>
      </c>
      <c r="B34" s="61" t="str">
        <f>Inicial!B34</f>
        <v>Desposte</v>
      </c>
      <c r="C34" s="61" t="str">
        <f>Inicial!C34</f>
        <v>Operario de producción Línea Lomos</v>
      </c>
      <c r="D34" s="62" t="str">
        <f>Inicial!D34</f>
        <v>Operador de Tira Hueso</v>
      </c>
      <c r="E34" s="60" t="str">
        <f>IF(Inicial!N34="SI",Inicial!E34,"N/A")</f>
        <v>N/A</v>
      </c>
      <c r="F34" s="61" t="str">
        <f>IF(Inicial!N34="SI",Inicial!F34,"N/A")</f>
        <v>N/A</v>
      </c>
      <c r="G34" s="61" t="str">
        <f>IF(Inicial!N34="SI",Inicial!G34,"N/A")</f>
        <v>N/A</v>
      </c>
      <c r="H34" s="61" t="str">
        <f>IF(Inicial!N34="SI",Inicial!H34,"N/A")</f>
        <v>N/A</v>
      </c>
      <c r="I34" s="63" t="str">
        <f>IF(Inicial!N34="SI",Inicial!I34,"N/A")</f>
        <v>N/A</v>
      </c>
      <c r="J34" s="11"/>
      <c r="K34" s="11"/>
      <c r="L34" s="11"/>
      <c r="M34" s="11"/>
      <c r="N34" s="11"/>
      <c r="O34" s="11"/>
      <c r="P34" s="11"/>
      <c r="Q34" s="11"/>
      <c r="R34" s="11"/>
      <c r="S34" s="11"/>
      <c r="T34" s="11"/>
      <c r="U34" s="11"/>
      <c r="V34" s="11"/>
      <c r="W34" s="11"/>
      <c r="X34" s="80" t="str" cm="1">
        <f t="array" ref="X34">IF(OR(J34:W34="NO"),"No aceptable","Aceptable")</f>
        <v>Aceptable</v>
      </c>
      <c r="Y34" s="14"/>
      <c r="Z34" s="14"/>
      <c r="AA34" s="14"/>
      <c r="AB34" s="14"/>
      <c r="AC34" s="14"/>
      <c r="AD34" s="14"/>
      <c r="AE34" s="14"/>
      <c r="AF34" s="14"/>
      <c r="AG34" s="14"/>
      <c r="AH34" s="14"/>
      <c r="AI34" s="14"/>
      <c r="AJ34" s="14"/>
      <c r="AK34" s="14"/>
      <c r="AL34" s="14"/>
      <c r="AM34" s="14"/>
      <c r="AN34" s="3" t="str" cm="1">
        <f t="array" ref="AN34">IF(OR(Y34:AM34="NO"),"Critico","No Critico")</f>
        <v>No Critico</v>
      </c>
    </row>
    <row r="35" spans="1:40" ht="38.25">
      <c r="A35" s="60">
        <f>Inicial!A35</f>
        <v>33</v>
      </c>
      <c r="B35" s="61" t="str">
        <f>Inicial!B35</f>
        <v>Desposte</v>
      </c>
      <c r="C35" s="61" t="str">
        <f>Inicial!C35</f>
        <v>Operario de producción Línea Lomos</v>
      </c>
      <c r="D35" s="62" t="str">
        <f>Inicial!D35</f>
        <v>Operador de MA 100</v>
      </c>
      <c r="E35" s="60" t="str">
        <f>IF(Inicial!N35="SI",Inicial!E35,"N/A")</f>
        <v>N/A</v>
      </c>
      <c r="F35" s="61" t="str">
        <f>IF(Inicial!N35="SI",Inicial!F35,"N/A")</f>
        <v>N/A</v>
      </c>
      <c r="G35" s="61" t="str">
        <f>IF(Inicial!N35="SI",Inicial!G35,"N/A")</f>
        <v>N/A</v>
      </c>
      <c r="H35" s="61" t="str">
        <f>IF(Inicial!N35="SI",Inicial!H35,"N/A")</f>
        <v>N/A</v>
      </c>
      <c r="I35" s="63" t="str">
        <f>IF(Inicial!N35="SI",Inicial!I35,"N/A")</f>
        <v>N/A</v>
      </c>
      <c r="J35" s="11"/>
      <c r="K35" s="11"/>
      <c r="L35" s="11"/>
      <c r="M35" s="11"/>
      <c r="N35" s="11"/>
      <c r="O35" s="11"/>
      <c r="P35" s="11"/>
      <c r="Q35" s="11"/>
      <c r="R35" s="11"/>
      <c r="S35" s="11"/>
      <c r="T35" s="11"/>
      <c r="U35" s="11"/>
      <c r="V35" s="11"/>
      <c r="W35" s="11"/>
      <c r="X35" s="80" t="str" cm="1">
        <f t="array" ref="X35">IF(OR(J35:W35="NO"),"No aceptable","Aceptable")</f>
        <v>Aceptable</v>
      </c>
      <c r="Y35" s="14"/>
      <c r="Z35" s="14"/>
      <c r="AA35" s="14"/>
      <c r="AB35" s="14"/>
      <c r="AC35" s="14"/>
      <c r="AD35" s="14"/>
      <c r="AE35" s="14"/>
      <c r="AF35" s="14"/>
      <c r="AG35" s="14"/>
      <c r="AH35" s="14"/>
      <c r="AI35" s="14"/>
      <c r="AJ35" s="14"/>
      <c r="AK35" s="14"/>
      <c r="AL35" s="14"/>
      <c r="AM35" s="14"/>
      <c r="AN35" s="3" t="str" cm="1">
        <f t="array" ref="AN35">IF(OR(Y35:AM35="NO"),"Critico","No Critico")</f>
        <v>No Critico</v>
      </c>
    </row>
    <row r="36" spans="1:40" ht="38.25">
      <c r="A36" s="60">
        <f>Inicial!A36</f>
        <v>34</v>
      </c>
      <c r="B36" s="61" t="str">
        <f>Inicial!B36</f>
        <v>Desposte</v>
      </c>
      <c r="C36" s="61" t="str">
        <f>Inicial!C36</f>
        <v>Operario de producción Línea Lomos</v>
      </c>
      <c r="D36" s="62" t="str">
        <f>Inicial!D36</f>
        <v>Separación de resto tira hueso</v>
      </c>
      <c r="E36" s="60" t="str">
        <f>IF(Inicial!N36="SI",Inicial!E36,"N/A")</f>
        <v>N/A</v>
      </c>
      <c r="F36" s="61" t="str">
        <f>IF(Inicial!N36="SI",Inicial!F36,"N/A")</f>
        <v>N/A</v>
      </c>
      <c r="G36" s="61" t="str">
        <f>IF(Inicial!N36="SI",Inicial!G36,"N/A")</f>
        <v>N/A</v>
      </c>
      <c r="H36" s="61" t="str">
        <f>IF(Inicial!N36="SI",Inicial!H36,"N/A")</f>
        <v>N/A</v>
      </c>
      <c r="I36" s="63" t="str">
        <f>IF(Inicial!N36="SI",Inicial!I36,"N/A")</f>
        <v>N/A</v>
      </c>
      <c r="J36" s="11"/>
      <c r="K36" s="11"/>
      <c r="L36" s="11"/>
      <c r="M36" s="11"/>
      <c r="N36" s="11"/>
      <c r="O36" s="11"/>
      <c r="P36" s="11"/>
      <c r="Q36" s="11"/>
      <c r="R36" s="11"/>
      <c r="S36" s="11"/>
      <c r="T36" s="11"/>
      <c r="U36" s="11"/>
      <c r="V36" s="11"/>
      <c r="W36" s="11"/>
      <c r="X36" s="80" t="str" cm="1">
        <f t="array" ref="X36">IF(OR(J36:W36="NO"),"No aceptable","Aceptable")</f>
        <v>Aceptable</v>
      </c>
      <c r="Y36" s="14"/>
      <c r="Z36" s="14"/>
      <c r="AA36" s="14"/>
      <c r="AB36" s="14"/>
      <c r="AC36" s="14"/>
      <c r="AD36" s="14"/>
      <c r="AE36" s="14"/>
      <c r="AF36" s="14"/>
      <c r="AG36" s="14"/>
      <c r="AH36" s="14"/>
      <c r="AI36" s="14"/>
      <c r="AJ36" s="14"/>
      <c r="AK36" s="14"/>
      <c r="AL36" s="14"/>
      <c r="AM36" s="14"/>
      <c r="AN36" s="3" t="str" cm="1">
        <f t="array" ref="AN36">IF(OR(Y36:AM36="NO"),"Critico","No Critico")</f>
        <v>No Critico</v>
      </c>
    </row>
    <row r="37" spans="1:40" ht="38.25">
      <c r="A37" s="60">
        <f>Inicial!A37</f>
        <v>35</v>
      </c>
      <c r="B37" s="61" t="str">
        <f>Inicial!B37</f>
        <v>Desposte</v>
      </c>
      <c r="C37" s="61" t="str">
        <f>Inicial!C37</f>
        <v>Operario de producción Línea Lomos</v>
      </c>
      <c r="D37" s="62" t="str">
        <f>Inicial!D37</f>
        <v>Prolijado de tailen</v>
      </c>
      <c r="E37" s="60" t="str">
        <f>IF(Inicial!N37="SI",Inicial!E37,"N/A")</f>
        <v>N/A</v>
      </c>
      <c r="F37" s="61" t="str">
        <f>IF(Inicial!N37="SI",Inicial!F37,"N/A")</f>
        <v>N/A</v>
      </c>
      <c r="G37" s="61" t="str">
        <f>IF(Inicial!N37="SI",Inicial!G37,"N/A")</f>
        <v>N/A</v>
      </c>
      <c r="H37" s="61" t="str">
        <f>IF(Inicial!N37="SI",Inicial!H37,"N/A")</f>
        <v>N/A</v>
      </c>
      <c r="I37" s="63" t="str">
        <f>IF(Inicial!N37="SI",Inicial!I37,"N/A")</f>
        <v>N/A</v>
      </c>
      <c r="J37" s="11"/>
      <c r="K37" s="11"/>
      <c r="L37" s="11"/>
      <c r="M37" s="11"/>
      <c r="N37" s="11"/>
      <c r="O37" s="11"/>
      <c r="P37" s="11"/>
      <c r="Q37" s="11"/>
      <c r="R37" s="11"/>
      <c r="S37" s="11"/>
      <c r="T37" s="11"/>
      <c r="U37" s="11"/>
      <c r="V37" s="11"/>
      <c r="W37" s="11"/>
      <c r="X37" s="80" t="str" cm="1">
        <f t="array" ref="X37">IF(OR(J37:W37="NO"),"No aceptable","Aceptable")</f>
        <v>Aceptable</v>
      </c>
      <c r="Y37" s="14"/>
      <c r="Z37" s="14"/>
      <c r="AA37" s="14"/>
      <c r="AB37" s="14"/>
      <c r="AC37" s="14"/>
      <c r="AD37" s="14"/>
      <c r="AE37" s="14"/>
      <c r="AF37" s="14"/>
      <c r="AG37" s="14"/>
      <c r="AH37" s="14"/>
      <c r="AI37" s="14"/>
      <c r="AJ37" s="14"/>
      <c r="AK37" s="14"/>
      <c r="AL37" s="14"/>
      <c r="AM37" s="14"/>
      <c r="AN37" s="3" t="str" cm="1">
        <f t="array" ref="AN37">IF(OR(Y37:AM37="NO"),"Critico","No Critico")</f>
        <v>No Critico</v>
      </c>
    </row>
    <row r="38" spans="1:40" ht="38.25">
      <c r="A38" s="60">
        <f>Inicial!A38</f>
        <v>36</v>
      </c>
      <c r="B38" s="61" t="str">
        <f>Inicial!B38</f>
        <v>Desposte</v>
      </c>
      <c r="C38" s="61" t="str">
        <f>Inicial!C38</f>
        <v>Operario de producción Línea Lomos</v>
      </c>
      <c r="D38" s="62" t="str">
        <f>Inicial!D38</f>
        <v>Calibrado de tailen</v>
      </c>
      <c r="E38" s="60" t="str">
        <f>IF(Inicial!N38="SI",Inicial!E38,"N/A")</f>
        <v>N/A</v>
      </c>
      <c r="F38" s="61" t="str">
        <f>IF(Inicial!N38="SI",Inicial!F38,"N/A")</f>
        <v>N/A</v>
      </c>
      <c r="G38" s="61" t="str">
        <f>IF(Inicial!N38="SI",Inicial!G38,"N/A")</f>
        <v>N/A</v>
      </c>
      <c r="H38" s="61" t="str">
        <f>IF(Inicial!N38="SI",Inicial!H38,"N/A")</f>
        <v>N/A</v>
      </c>
      <c r="I38" s="63" t="str">
        <f>IF(Inicial!N38="SI",Inicial!I38,"N/A")</f>
        <v>N/A</v>
      </c>
      <c r="J38" s="11"/>
      <c r="K38" s="11"/>
      <c r="L38" s="11"/>
      <c r="M38" s="11"/>
      <c r="N38" s="11"/>
      <c r="O38" s="11"/>
      <c r="P38" s="11"/>
      <c r="Q38" s="11"/>
      <c r="R38" s="11"/>
      <c r="S38" s="11"/>
      <c r="T38" s="11"/>
      <c r="U38" s="11"/>
      <c r="V38" s="11"/>
      <c r="W38" s="11"/>
      <c r="X38" s="80" t="str" cm="1">
        <f t="array" ref="X38">IF(OR(J38:W38="NO"),"No aceptable","Aceptable")</f>
        <v>Aceptable</v>
      </c>
      <c r="Y38" s="14"/>
      <c r="Z38" s="14"/>
      <c r="AA38" s="14"/>
      <c r="AB38" s="14"/>
      <c r="AC38" s="14"/>
      <c r="AD38" s="14"/>
      <c r="AE38" s="14"/>
      <c r="AF38" s="14"/>
      <c r="AG38" s="14"/>
      <c r="AH38" s="14"/>
      <c r="AI38" s="14"/>
      <c r="AJ38" s="14"/>
      <c r="AK38" s="14"/>
      <c r="AL38" s="14"/>
      <c r="AM38" s="14"/>
      <c r="AN38" s="3" t="str" cm="1">
        <f t="array" ref="AN38">IF(OR(Y38:AM38="NO"),"Critico","No Critico")</f>
        <v>No Critico</v>
      </c>
    </row>
    <row r="39" spans="1:40" ht="38.25">
      <c r="A39" s="60">
        <f>Inicial!A39</f>
        <v>37</v>
      </c>
      <c r="B39" s="61" t="str">
        <f>Inicial!B39</f>
        <v>Desposte</v>
      </c>
      <c r="C39" s="61" t="str">
        <f>Inicial!C39</f>
        <v>Operario de producción Línea Lomos</v>
      </c>
      <c r="D39" s="62" t="str">
        <f>Inicial!D39</f>
        <v>Calibrado de baby back ribs</v>
      </c>
      <c r="E39" s="60" t="str">
        <f>IF(Inicial!N39="SI",Inicial!E39,"N/A")</f>
        <v>N/A</v>
      </c>
      <c r="F39" s="61" t="str">
        <f>IF(Inicial!N39="SI",Inicial!F39,"N/A")</f>
        <v>N/A</v>
      </c>
      <c r="G39" s="61" t="str">
        <f>IF(Inicial!N39="SI",Inicial!G39,"N/A")</f>
        <v>N/A</v>
      </c>
      <c r="H39" s="61" t="str">
        <f>IF(Inicial!N39="SI",Inicial!H39,"N/A")</f>
        <v>N/A</v>
      </c>
      <c r="I39" s="63" t="str">
        <f>IF(Inicial!N39="SI",Inicial!I39,"N/A")</f>
        <v>N/A</v>
      </c>
      <c r="J39" s="11"/>
      <c r="K39" s="11"/>
      <c r="L39" s="11"/>
      <c r="M39" s="11"/>
      <c r="N39" s="11"/>
      <c r="O39" s="11"/>
      <c r="P39" s="11"/>
      <c r="Q39" s="11"/>
      <c r="R39" s="11"/>
      <c r="S39" s="11"/>
      <c r="T39" s="11"/>
      <c r="U39" s="11"/>
      <c r="V39" s="11"/>
      <c r="W39" s="11"/>
      <c r="X39" s="80" t="str" cm="1">
        <f t="array" ref="X39">IF(OR(J39:W39="NO"),"No aceptable","Aceptable")</f>
        <v>Aceptable</v>
      </c>
      <c r="Y39" s="14"/>
      <c r="Z39" s="14"/>
      <c r="AA39" s="14"/>
      <c r="AB39" s="14"/>
      <c r="AC39" s="14"/>
      <c r="AD39" s="14"/>
      <c r="AE39" s="14"/>
      <c r="AF39" s="14"/>
      <c r="AG39" s="14"/>
      <c r="AH39" s="14"/>
      <c r="AI39" s="14"/>
      <c r="AJ39" s="14"/>
      <c r="AK39" s="14"/>
      <c r="AL39" s="14"/>
      <c r="AM39" s="14"/>
      <c r="AN39" s="3" t="str" cm="1">
        <f t="array" ref="AN39">IF(OR(Y39:AM39="NO"),"Critico","No Critico")</f>
        <v>No Critico</v>
      </c>
    </row>
    <row r="40" spans="1:40" ht="38.25">
      <c r="A40" s="60">
        <f>Inicial!A40</f>
        <v>38</v>
      </c>
      <c r="B40" s="61" t="str">
        <f>Inicial!B40</f>
        <v>Desposte</v>
      </c>
      <c r="C40" s="61" t="str">
        <f>Inicial!C40</f>
        <v>Operario de producción Línea Lomos</v>
      </c>
      <c r="D40" s="62" t="str">
        <f>Inicial!D40</f>
        <v>Embalaje de baby back ribs</v>
      </c>
      <c r="E40" s="60" t="str">
        <f>IF(Inicial!N40="SI",Inicial!E40,"N/A")</f>
        <v>N/A</v>
      </c>
      <c r="F40" s="61" t="str">
        <f>IF(Inicial!N40="SI",Inicial!F40,"N/A")</f>
        <v>N/A</v>
      </c>
      <c r="G40" s="61" t="str">
        <f>IF(Inicial!N40="SI",Inicial!G40,"N/A")</f>
        <v>N/A</v>
      </c>
      <c r="H40" s="61" t="str">
        <f>IF(Inicial!N40="SI",Inicial!H40,"N/A")</f>
        <v>N/A</v>
      </c>
      <c r="I40" s="63" t="str">
        <f>IF(Inicial!N40="SI",Inicial!I40,"N/A")</f>
        <v>N/A</v>
      </c>
      <c r="J40" s="11"/>
      <c r="K40" s="11"/>
      <c r="L40" s="11"/>
      <c r="M40" s="11"/>
      <c r="N40" s="11"/>
      <c r="O40" s="11"/>
      <c r="P40" s="11"/>
      <c r="Q40" s="11"/>
      <c r="R40" s="11"/>
      <c r="S40" s="11"/>
      <c r="T40" s="11"/>
      <c r="U40" s="11"/>
      <c r="V40" s="11"/>
      <c r="W40" s="11"/>
      <c r="X40" s="80" t="str" cm="1">
        <f t="array" ref="X40">IF(OR(J40:W40="NO"),"No aceptable","Aceptable")</f>
        <v>Aceptable</v>
      </c>
      <c r="Y40" s="14"/>
      <c r="Z40" s="14"/>
      <c r="AA40" s="14"/>
      <c r="AB40" s="14"/>
      <c r="AC40" s="14"/>
      <c r="AD40" s="14"/>
      <c r="AE40" s="14"/>
      <c r="AF40" s="14"/>
      <c r="AG40" s="14"/>
      <c r="AH40" s="14"/>
      <c r="AI40" s="14"/>
      <c r="AJ40" s="14"/>
      <c r="AK40" s="14"/>
      <c r="AL40" s="14"/>
      <c r="AM40" s="14"/>
      <c r="AN40" s="3" t="str" cm="1">
        <f t="array" ref="AN40">IF(OR(Y40:AM40="NO"),"Critico","No Critico")</f>
        <v>No Critico</v>
      </c>
    </row>
    <row r="41" spans="1:40" ht="38.25">
      <c r="A41" s="60">
        <f>Inicial!A41</f>
        <v>39</v>
      </c>
      <c r="B41" s="61" t="str">
        <f>Inicial!B41</f>
        <v>Desposte</v>
      </c>
      <c r="C41" s="61" t="str">
        <f>Inicial!C41</f>
        <v>Operario de producción Línea Lomos</v>
      </c>
      <c r="D41" s="62" t="str">
        <f>Inicial!D41</f>
        <v>Estuche</v>
      </c>
      <c r="E41" s="60" t="str">
        <f>IF(Inicial!N41="SI",Inicial!E41,"N/A")</f>
        <v>N/A</v>
      </c>
      <c r="F41" s="61" t="str">
        <f>IF(Inicial!N41="SI",Inicial!F41,"N/A")</f>
        <v>N/A</v>
      </c>
      <c r="G41" s="61" t="str">
        <f>IF(Inicial!N41="SI",Inicial!G41,"N/A")</f>
        <v>N/A</v>
      </c>
      <c r="H41" s="61" t="str">
        <f>IF(Inicial!N41="SI",Inicial!H41,"N/A")</f>
        <v>N/A</v>
      </c>
      <c r="I41" s="63" t="str">
        <f>IF(Inicial!N41="SI",Inicial!I41,"N/A")</f>
        <v>N/A</v>
      </c>
      <c r="J41" s="11"/>
      <c r="K41" s="11"/>
      <c r="L41" s="11"/>
      <c r="M41" s="11"/>
      <c r="N41" s="11"/>
      <c r="O41" s="11"/>
      <c r="P41" s="11"/>
      <c r="Q41" s="11"/>
      <c r="R41" s="11"/>
      <c r="S41" s="11"/>
      <c r="T41" s="11"/>
      <c r="U41" s="11"/>
      <c r="V41" s="11"/>
      <c r="W41" s="11"/>
      <c r="X41" s="80" t="str" cm="1">
        <f t="array" ref="X41">IF(OR(J41:W41="NO"),"No aceptable","Aceptable")</f>
        <v>Aceptable</v>
      </c>
      <c r="Y41" s="14"/>
      <c r="Z41" s="14"/>
      <c r="AA41" s="14"/>
      <c r="AB41" s="14"/>
      <c r="AC41" s="14"/>
      <c r="AD41" s="14"/>
      <c r="AE41" s="14"/>
      <c r="AF41" s="14"/>
      <c r="AG41" s="14"/>
      <c r="AH41" s="14"/>
      <c r="AI41" s="14"/>
      <c r="AJ41" s="14"/>
      <c r="AK41" s="14"/>
      <c r="AL41" s="14"/>
      <c r="AM41" s="14"/>
      <c r="AN41" s="3" t="str" cm="1">
        <f t="array" ref="AN41">IF(OR(Y41:AM41="NO"),"Critico","No Critico")</f>
        <v>No Critico</v>
      </c>
    </row>
    <row r="42" spans="1:40" ht="38.25">
      <c r="A42" s="60">
        <f>Inicial!A42</f>
        <v>40</v>
      </c>
      <c r="B42" s="61" t="str">
        <f>Inicial!B42</f>
        <v>Desposte</v>
      </c>
      <c r="C42" s="61" t="str">
        <f>Inicial!C42</f>
        <v>Operario de producción Línea Lomos</v>
      </c>
      <c r="D42" s="62" t="str">
        <f>Inicial!D42</f>
        <v>Pegar fechas</v>
      </c>
      <c r="E42" s="60" t="str">
        <f>IF(Inicial!N42="SI",Inicial!E42,"N/A")</f>
        <v>N/A</v>
      </c>
      <c r="F42" s="61" t="str">
        <f>IF(Inicial!N42="SI",Inicial!F42,"N/A")</f>
        <v>N/A</v>
      </c>
      <c r="G42" s="61" t="str">
        <f>IF(Inicial!N42="SI",Inicial!G42,"N/A")</f>
        <v>N/A</v>
      </c>
      <c r="H42" s="61" t="str">
        <f>IF(Inicial!N42="SI",Inicial!H42,"N/A")</f>
        <v>N/A</v>
      </c>
      <c r="I42" s="63" t="str">
        <f>IF(Inicial!N42="SI",Inicial!I42,"N/A")</f>
        <v>N/A</v>
      </c>
      <c r="L42" s="1"/>
      <c r="M42" s="1"/>
      <c r="N42" s="1"/>
      <c r="O42" s="1"/>
      <c r="P42" s="1"/>
      <c r="Q42" s="1"/>
      <c r="R42" s="1"/>
      <c r="S42" s="1"/>
      <c r="T42" s="1"/>
      <c r="U42" s="1"/>
      <c r="X42" s="80" t="str" cm="1">
        <f t="array" ref="X42">IF(OR(J42:W42="NO"),"No aceptable","Aceptable")</f>
        <v>Aceptable</v>
      </c>
      <c r="AN42" s="3" t="str" cm="1">
        <f t="array" ref="AN42">IF(OR(Y42:AM42="NO"),"Critico","No Critico")</f>
        <v>No Critico</v>
      </c>
    </row>
    <row r="43" spans="1:40" ht="38.25">
      <c r="A43" s="60">
        <f>Inicial!A43</f>
        <v>41</v>
      </c>
      <c r="B43" s="61" t="str">
        <f>Inicial!B43</f>
        <v>Desposte</v>
      </c>
      <c r="C43" s="61" t="str">
        <f>Inicial!C43</f>
        <v>Operario de producción Línea Lomos</v>
      </c>
      <c r="D43" s="62" t="str">
        <f>Inicial!D43</f>
        <v>Operador de equipo Selladora C-500</v>
      </c>
      <c r="E43" s="60" t="str">
        <f>IF(Inicial!N43="SI",Inicial!E43,"N/A")</f>
        <v>N/A</v>
      </c>
      <c r="F43" s="61" t="str">
        <f>IF(Inicial!N43="SI",Inicial!F43,"N/A")</f>
        <v>N/A</v>
      </c>
      <c r="G43" s="61" t="str">
        <f>IF(Inicial!N43="SI",Inicial!G43,"N/A")</f>
        <v>N/A</v>
      </c>
      <c r="H43" s="61" t="str">
        <f>IF(Inicial!N43="SI",Inicial!H43,"N/A")</f>
        <v>N/A</v>
      </c>
      <c r="I43" s="63" t="str">
        <f>IF(Inicial!N43="SI",Inicial!I43,"N/A")</f>
        <v>N/A</v>
      </c>
      <c r="L43" s="1"/>
      <c r="M43" s="1"/>
      <c r="N43" s="1"/>
      <c r="O43" s="1"/>
      <c r="P43" s="1"/>
      <c r="Q43" s="1"/>
      <c r="R43" s="1"/>
      <c r="S43" s="1"/>
      <c r="T43" s="1"/>
      <c r="U43" s="1"/>
      <c r="X43" s="80" t="str" cm="1">
        <f t="array" ref="X43">IF(OR(J43:W43="NO"),"No aceptable","Aceptable")</f>
        <v>Aceptable</v>
      </c>
      <c r="AN43" s="3" t="str" cm="1">
        <f t="array" ref="AN43">IF(OR(Y43:AM43="NO"),"Critico","No Critico")</f>
        <v>No Critico</v>
      </c>
    </row>
    <row r="44" spans="1:40" ht="38.25">
      <c r="A44" s="60">
        <f>Inicial!A44</f>
        <v>42</v>
      </c>
      <c r="B44" s="61" t="str">
        <f>Inicial!B44</f>
        <v>Desposte</v>
      </c>
      <c r="C44" s="61" t="str">
        <f>Inicial!C44</f>
        <v>Operario de producción Línea Paletas</v>
      </c>
      <c r="D44" s="62" t="str">
        <f>Inicial!D44</f>
        <v>Despunte Axilar</v>
      </c>
      <c r="E44" s="60" t="str">
        <f>IF(Inicial!N44="SI",Inicial!E44,"N/A")</f>
        <v>N/A</v>
      </c>
      <c r="F44" s="61" t="str">
        <f>IF(Inicial!N44="SI",Inicial!F44,"N/A")</f>
        <v>N/A</v>
      </c>
      <c r="G44" s="61" t="str">
        <f>IF(Inicial!N44="SI",Inicial!G44,"N/A")</f>
        <v>N/A</v>
      </c>
      <c r="H44" s="61" t="str">
        <f>IF(Inicial!N44="SI",Inicial!H44,"N/A")</f>
        <v>N/A</v>
      </c>
      <c r="I44" s="63" t="str">
        <f>IF(Inicial!N44="SI",Inicial!I44,"N/A")</f>
        <v>N/A</v>
      </c>
      <c r="L44" s="1"/>
      <c r="M44" s="1"/>
      <c r="N44" s="1"/>
      <c r="O44" s="1"/>
      <c r="P44" s="1"/>
      <c r="Q44" s="1"/>
      <c r="R44" s="1"/>
      <c r="S44" s="1"/>
      <c r="T44" s="1"/>
      <c r="U44" s="1"/>
      <c r="X44" s="80" t="str" cm="1">
        <f t="array" ref="X44">IF(OR(J44:W44="NO"),"No aceptable","Aceptable")</f>
        <v>Aceptable</v>
      </c>
      <c r="AN44" s="3" t="str" cm="1">
        <f t="array" ref="AN44">IF(OR(Y44:AM44="NO"),"Critico","No Critico")</f>
        <v>No Critico</v>
      </c>
    </row>
    <row r="45" spans="1:40" ht="38.25">
      <c r="A45" s="60">
        <f>Inicial!A45</f>
        <v>43</v>
      </c>
      <c r="B45" s="61" t="str">
        <f>Inicial!B45</f>
        <v>Desposte</v>
      </c>
      <c r="C45" s="61" t="str">
        <f>Inicial!C45</f>
        <v>Operario de producción Línea Paletas</v>
      </c>
      <c r="D45" s="62" t="str">
        <f>Inicial!D45</f>
        <v>Desforrado de Paleta</v>
      </c>
      <c r="E45" s="60" t="str">
        <f>IF(Inicial!N45="SI",Inicial!E45,"N/A")</f>
        <v>N/A</v>
      </c>
      <c r="F45" s="61" t="str">
        <f>IF(Inicial!N45="SI",Inicial!F45,"N/A")</f>
        <v>N/A</v>
      </c>
      <c r="G45" s="61" t="str">
        <f>IF(Inicial!N45="SI",Inicial!G45,"N/A")</f>
        <v>N/A</v>
      </c>
      <c r="H45" s="61" t="str">
        <f>IF(Inicial!N45="SI",Inicial!H45,"N/A")</f>
        <v>N/A</v>
      </c>
      <c r="I45" s="63" t="str">
        <f>IF(Inicial!N45="SI",Inicial!I45,"N/A")</f>
        <v>N/A</v>
      </c>
      <c r="L45" s="1"/>
      <c r="M45" s="1"/>
      <c r="N45" s="1"/>
      <c r="O45" s="1"/>
      <c r="P45" s="1"/>
      <c r="Q45" s="1"/>
      <c r="R45" s="1"/>
      <c r="S45" s="1"/>
      <c r="T45" s="1"/>
      <c r="U45" s="1"/>
      <c r="X45" s="80" t="str" cm="1">
        <f t="array" ref="X45">IF(OR(J45:W45="NO"),"No aceptable","Aceptable")</f>
        <v>Aceptable</v>
      </c>
      <c r="AN45" s="3" t="str" cm="1">
        <f t="array" ref="AN45">IF(OR(Y45:AM45="NO"),"Critico","No Critico")</f>
        <v>No Critico</v>
      </c>
    </row>
    <row r="46" spans="1:40" ht="38.25">
      <c r="A46" s="60">
        <f>Inicial!A46</f>
        <v>44</v>
      </c>
      <c r="B46" s="61" t="str">
        <f>Inicial!B46</f>
        <v>Desposte</v>
      </c>
      <c r="C46" s="61" t="str">
        <f>Inicial!C46</f>
        <v>Operario de producción Línea Paletas</v>
      </c>
      <c r="D46" s="62" t="str">
        <f>Inicial!D46</f>
        <v>Extracción de ganglios paleta</v>
      </c>
      <c r="E46" s="60" t="str">
        <f>IF(Inicial!N46="SI",Inicial!E46,"N/A")</f>
        <v>N/A</v>
      </c>
      <c r="F46" s="61" t="str">
        <f>IF(Inicial!N46="SI",Inicial!F46,"N/A")</f>
        <v>N/A</v>
      </c>
      <c r="G46" s="61" t="str">
        <f>IF(Inicial!N46="SI",Inicial!G46,"N/A")</f>
        <v>N/A</v>
      </c>
      <c r="H46" s="61" t="str">
        <f>IF(Inicial!N46="SI",Inicial!H46,"N/A")</f>
        <v>N/A</v>
      </c>
      <c r="I46" s="63" t="str">
        <f>IF(Inicial!N46="SI",Inicial!I46,"N/A")</f>
        <v>N/A</v>
      </c>
      <c r="L46" s="1"/>
      <c r="M46" s="1"/>
      <c r="N46" s="1"/>
      <c r="O46" s="1"/>
      <c r="P46" s="1"/>
      <c r="Q46" s="1"/>
      <c r="R46" s="1"/>
      <c r="S46" s="1"/>
      <c r="T46" s="1"/>
      <c r="U46" s="1"/>
      <c r="X46" s="80" t="str" cm="1">
        <f t="array" ref="X46">IF(OR(J46:W46="NO"),"No aceptable","Aceptable")</f>
        <v>Aceptable</v>
      </c>
      <c r="AN46" s="3" t="str" cm="1">
        <f t="array" ref="AN46">IF(OR(Y46:AM46="NO"),"Critico","No Critico")</f>
        <v>No Critico</v>
      </c>
    </row>
    <row r="47" spans="1:40" ht="38.25">
      <c r="A47" s="60">
        <f>Inicial!A47</f>
        <v>45</v>
      </c>
      <c r="B47" s="61" t="str">
        <f>Inicial!B47</f>
        <v>Desposte</v>
      </c>
      <c r="C47" s="61" t="str">
        <f>Inicial!C47</f>
        <v>Operario de producción Línea Paletas</v>
      </c>
      <c r="D47" s="62" t="str">
        <f>Inicial!D47</f>
        <v>Extracción de plateada de paleta</v>
      </c>
      <c r="E47" s="60" t="str">
        <f>IF(Inicial!N47="SI",Inicial!E47,"N/A")</f>
        <v>N/A</v>
      </c>
      <c r="F47" s="61" t="str">
        <f>IF(Inicial!N47="SI",Inicial!F47,"N/A")</f>
        <v>N/A</v>
      </c>
      <c r="G47" s="61" t="str">
        <f>IF(Inicial!N47="SI",Inicial!G47,"N/A")</f>
        <v>N/A</v>
      </c>
      <c r="H47" s="61" t="str">
        <f>IF(Inicial!N47="SI",Inicial!H47,"N/A")</f>
        <v>N/A</v>
      </c>
      <c r="I47" s="63" t="str">
        <f>IF(Inicial!N47="SI",Inicial!I47,"N/A")</f>
        <v>N/A</v>
      </c>
      <c r="L47" s="1"/>
      <c r="M47" s="1"/>
      <c r="N47" s="1"/>
      <c r="O47" s="1"/>
      <c r="P47" s="1"/>
      <c r="Q47" s="1"/>
      <c r="R47" s="1"/>
      <c r="S47" s="1"/>
      <c r="T47" s="1"/>
      <c r="U47" s="1"/>
      <c r="X47" s="80" t="str" cm="1">
        <f t="array" ref="X47">IF(OR(J47:W47="NO"),"No aceptable","Aceptable")</f>
        <v>Aceptable</v>
      </c>
      <c r="AN47" s="3" t="str" cm="1">
        <f t="array" ref="AN47">IF(OR(Y47:AM47="NO"),"Critico","No Critico")</f>
        <v>No Critico</v>
      </c>
    </row>
    <row r="48" spans="1:40" ht="38.25">
      <c r="A48" s="60">
        <f>Inicial!A48</f>
        <v>46</v>
      </c>
      <c r="B48" s="61" t="str">
        <f>Inicial!B48</f>
        <v>Desposte</v>
      </c>
      <c r="C48" s="61" t="str">
        <f>Inicial!C48</f>
        <v>Operario de producción Línea Paletas</v>
      </c>
      <c r="D48" s="62" t="str">
        <f>Inicial!D48</f>
        <v>Prolijado de plateada</v>
      </c>
      <c r="E48" s="60" t="str">
        <f>IF(Inicial!N48="SI",Inicial!E48,"N/A")</f>
        <v>N/A</v>
      </c>
      <c r="F48" s="61" t="str">
        <f>IF(Inicial!N48="SI",Inicial!F48,"N/A")</f>
        <v>N/A</v>
      </c>
      <c r="G48" s="61" t="str">
        <f>IF(Inicial!N48="SI",Inicial!G48,"N/A")</f>
        <v>N/A</v>
      </c>
      <c r="H48" s="61" t="str">
        <f>IF(Inicial!N48="SI",Inicial!H48,"N/A")</f>
        <v>N/A</v>
      </c>
      <c r="I48" s="63" t="str">
        <f>IF(Inicial!N48="SI",Inicial!I48,"N/A")</f>
        <v>N/A</v>
      </c>
      <c r="L48" s="1"/>
      <c r="M48" s="1"/>
      <c r="N48" s="1"/>
      <c r="O48" s="1"/>
      <c r="P48" s="1"/>
      <c r="Q48" s="1"/>
      <c r="R48" s="1"/>
      <c r="S48" s="1"/>
      <c r="T48" s="1"/>
      <c r="U48" s="1"/>
      <c r="X48" s="80" t="str" cm="1">
        <f t="array" ref="X48">IF(OR(J48:W48="NO"),"No aceptable","Aceptable")</f>
        <v>Aceptable</v>
      </c>
      <c r="AN48" s="3" t="str" cm="1">
        <f t="array" ref="AN48">IF(OR(Y48:AM48="NO"),"Critico","No Critico")</f>
        <v>No Critico</v>
      </c>
    </row>
    <row r="49" spans="1:40" ht="38.25">
      <c r="A49" s="60">
        <f>Inicial!A49</f>
        <v>47</v>
      </c>
      <c r="B49" s="61" t="str">
        <f>Inicial!B49</f>
        <v>Desposte</v>
      </c>
      <c r="C49" s="61" t="str">
        <f>Inicial!C49</f>
        <v>Operario de producción Línea Paletas</v>
      </c>
      <c r="D49" s="62" t="str">
        <f>Inicial!D49</f>
        <v>Revisión de paleta con cuchillo</v>
      </c>
      <c r="E49" s="60" t="str">
        <f>IF(Inicial!N49="SI",Inicial!E49,"N/A")</f>
        <v>N/A</v>
      </c>
      <c r="F49" s="61" t="str">
        <f>IF(Inicial!N49="SI",Inicial!F49,"N/A")</f>
        <v>N/A</v>
      </c>
      <c r="G49" s="61" t="str">
        <f>IF(Inicial!N49="SI",Inicial!G49,"N/A")</f>
        <v>N/A</v>
      </c>
      <c r="H49" s="61" t="str">
        <f>IF(Inicial!N49="SI",Inicial!H49,"N/A")</f>
        <v>N/A</v>
      </c>
      <c r="I49" s="63" t="str">
        <f>IF(Inicial!N49="SI",Inicial!I49,"N/A")</f>
        <v>N/A</v>
      </c>
      <c r="L49" s="1"/>
      <c r="M49" s="1"/>
      <c r="N49" s="1"/>
      <c r="O49" s="1"/>
      <c r="P49" s="1"/>
      <c r="Q49" s="1"/>
      <c r="R49" s="1"/>
      <c r="S49" s="1"/>
      <c r="T49" s="1"/>
      <c r="U49" s="1"/>
      <c r="X49" s="80" t="str" cm="1">
        <f t="array" ref="X49">IF(OR(J49:W49="NO"),"No aceptable","Aceptable")</f>
        <v>Aceptable</v>
      </c>
      <c r="AN49" s="3" t="str" cm="1">
        <f t="array" ref="AN49">IF(OR(Y49:AM49="NO"),"Critico","No Critico")</f>
        <v>No Critico</v>
      </c>
    </row>
    <row r="50" spans="1:40" ht="38.25">
      <c r="A50" s="60">
        <f>Inicial!A50</f>
        <v>48</v>
      </c>
      <c r="B50" s="61" t="str">
        <f>Inicial!B50</f>
        <v>Desposte</v>
      </c>
      <c r="C50" s="61" t="str">
        <f>Inicial!C50</f>
        <v>Operario de producción Línea Paletas</v>
      </c>
      <c r="D50" s="62" t="str">
        <f>Inicial!D50</f>
        <v>Prolijado de paleta</v>
      </c>
      <c r="E50" s="60" t="str">
        <f>IF(Inicial!N50="SI",Inicial!E50,"N/A")</f>
        <v>N/A</v>
      </c>
      <c r="F50" s="61" t="str">
        <f>IF(Inicial!N50="SI",Inicial!F50,"N/A")</f>
        <v>N/A</v>
      </c>
      <c r="G50" s="61" t="str">
        <f>IF(Inicial!N50="SI",Inicial!G50,"N/A")</f>
        <v>N/A</v>
      </c>
      <c r="H50" s="61" t="str">
        <f>IF(Inicial!N50="SI",Inicial!H50,"N/A")</f>
        <v>N/A</v>
      </c>
      <c r="I50" s="63" t="str">
        <f>IF(Inicial!N50="SI",Inicial!I50,"N/A")</f>
        <v>N/A</v>
      </c>
      <c r="L50" s="1"/>
      <c r="M50" s="1"/>
      <c r="N50" s="1"/>
      <c r="O50" s="1"/>
      <c r="P50" s="1"/>
      <c r="Q50" s="1"/>
      <c r="R50" s="1"/>
      <c r="S50" s="1"/>
      <c r="T50" s="1"/>
      <c r="U50" s="1"/>
      <c r="X50" s="80" t="str" cm="1">
        <f t="array" ref="X50">IF(OR(J50:W50="NO"),"No aceptable","Aceptable")</f>
        <v>Aceptable</v>
      </c>
      <c r="AN50" s="3" t="str" cm="1">
        <f t="array" ref="AN50">IF(OR(Y50:AM50="NO"),"Critico","No Critico")</f>
        <v>No Critico</v>
      </c>
    </row>
    <row r="51" spans="1:40" ht="38.25">
      <c r="A51" s="60">
        <f>Inicial!A51</f>
        <v>49</v>
      </c>
      <c r="B51" s="61" t="str">
        <f>Inicial!B51</f>
        <v>Desposte</v>
      </c>
      <c r="C51" s="61" t="str">
        <f>Inicial!C51</f>
        <v>Operario de producción Línea Paletas</v>
      </c>
      <c r="D51" s="62" t="str">
        <f>Inicial!D51</f>
        <v>Operador de equipo cortador de pernil</v>
      </c>
      <c r="E51" s="60" t="str">
        <f>IF(Inicial!N51="SI",Inicial!E51,"N/A")</f>
        <v>N/A</v>
      </c>
      <c r="F51" s="61" t="str">
        <f>IF(Inicial!N51="SI",Inicial!F51,"N/A")</f>
        <v>N/A</v>
      </c>
      <c r="G51" s="61" t="str">
        <f>IF(Inicial!N51="SI",Inicial!G51,"N/A")</f>
        <v>N/A</v>
      </c>
      <c r="H51" s="61" t="str">
        <f>IF(Inicial!N51="SI",Inicial!H51,"N/A")</f>
        <v>N/A</v>
      </c>
      <c r="I51" s="63" t="str">
        <f>IF(Inicial!N51="SI",Inicial!I51,"N/A")</f>
        <v>N/A</v>
      </c>
      <c r="L51" s="1"/>
      <c r="M51" s="1"/>
      <c r="N51" s="1"/>
      <c r="O51" s="1"/>
      <c r="P51" s="1"/>
      <c r="Q51" s="1"/>
      <c r="R51" s="1"/>
      <c r="S51" s="1"/>
      <c r="T51" s="1"/>
      <c r="U51" s="1"/>
      <c r="X51" s="80" t="str" cm="1">
        <f t="array" ref="X51">IF(OR(J51:W51="NO"),"No aceptable","Aceptable")</f>
        <v>Aceptable</v>
      </c>
      <c r="AN51" s="3" t="str" cm="1">
        <f t="array" ref="AN51">IF(OR(Y51:AM51="NO"),"Critico","No Critico")</f>
        <v>No Critico</v>
      </c>
    </row>
    <row r="52" spans="1:40" ht="38.25">
      <c r="A52" s="60">
        <f>Inicial!A52</f>
        <v>50</v>
      </c>
      <c r="B52" s="61" t="str">
        <f>Inicial!B52</f>
        <v>Desposte</v>
      </c>
      <c r="C52" s="61" t="str">
        <f>Inicial!C52</f>
        <v>Operario de producción Línea Paletas</v>
      </c>
      <c r="D52" s="62" t="str">
        <f>Inicial!D52</f>
        <v>Acomodado de pernil y cambio de bandeja</v>
      </c>
      <c r="E52" s="60" t="str">
        <f>IF(Inicial!N52="SI",Inicial!E52,"N/A")</f>
        <v>N/A</v>
      </c>
      <c r="F52" s="61" t="str">
        <f>IF(Inicial!N52="SI",Inicial!F52,"N/A")</f>
        <v>N/A</v>
      </c>
      <c r="G52" s="61" t="str">
        <f>IF(Inicial!N52="SI",Inicial!G52,"N/A")</f>
        <v>N/A</v>
      </c>
      <c r="H52" s="61" t="str">
        <f>IF(Inicial!N52="SI",Inicial!H52,"N/A")</f>
        <v>N/A</v>
      </c>
      <c r="I52" s="63" t="str">
        <f>IF(Inicial!N52="SI",Inicial!I52,"N/A")</f>
        <v>N/A</v>
      </c>
      <c r="L52" s="1"/>
      <c r="M52" s="1"/>
      <c r="N52" s="1"/>
      <c r="O52" s="1"/>
      <c r="P52" s="1"/>
      <c r="Q52" s="1"/>
      <c r="R52" s="1"/>
      <c r="S52" s="1"/>
      <c r="T52" s="1"/>
      <c r="U52" s="1"/>
      <c r="X52" s="80" t="str" cm="1">
        <f t="array" ref="X52">IF(OR(J52:W52="NO"),"No aceptable","Aceptable")</f>
        <v>Aceptable</v>
      </c>
      <c r="AN52" s="3" t="str" cm="1">
        <f t="array" ref="AN52">IF(OR(Y52:AM52="NO"),"Critico","No Critico")</f>
        <v>No Critico</v>
      </c>
    </row>
    <row r="53" spans="1:40" ht="38.25">
      <c r="A53" s="60">
        <f>Inicial!A53</f>
        <v>51</v>
      </c>
      <c r="B53" s="61" t="str">
        <f>Inicial!B53</f>
        <v>Desposte</v>
      </c>
      <c r="C53" s="61" t="str">
        <f>Inicial!C53</f>
        <v>Operario de producción Línea Paletas</v>
      </c>
      <c r="D53" s="62" t="str">
        <f>Inicial!D53</f>
        <v>Extracción de ganglios paleta</v>
      </c>
      <c r="E53" s="60" t="str">
        <f>IF(Inicial!N53="SI",Inicial!E53,"N/A")</f>
        <v>N/A</v>
      </c>
      <c r="F53" s="61" t="str">
        <f>IF(Inicial!N53="SI",Inicial!F53,"N/A")</f>
        <v>N/A</v>
      </c>
      <c r="G53" s="61" t="str">
        <f>IF(Inicial!N53="SI",Inicial!G53,"N/A")</f>
        <v>N/A</v>
      </c>
      <c r="H53" s="61" t="str">
        <f>IF(Inicial!N53="SI",Inicial!H53,"N/A")</f>
        <v>N/A</v>
      </c>
      <c r="I53" s="63" t="str">
        <f>IF(Inicial!N53="SI",Inicial!I53,"N/A")</f>
        <v>N/A</v>
      </c>
      <c r="L53" s="1"/>
      <c r="M53" s="1"/>
      <c r="N53" s="1"/>
      <c r="O53" s="1"/>
      <c r="P53" s="1"/>
      <c r="Q53" s="1"/>
      <c r="R53" s="1"/>
      <c r="S53" s="1"/>
      <c r="T53" s="1"/>
      <c r="U53" s="1"/>
      <c r="X53" s="80" t="str" cm="1">
        <f t="array" ref="X53">IF(OR(J53:W53="NO"),"No aceptable","Aceptable")</f>
        <v>Aceptable</v>
      </c>
      <c r="AN53" s="3" t="str" cm="1">
        <f t="array" ref="AN53">IF(OR(Y53:AM53="NO"),"Critico","No Critico")</f>
        <v>No Critico</v>
      </c>
    </row>
    <row r="54" spans="1:40" ht="38.25">
      <c r="A54" s="60">
        <f>Inicial!A54</f>
        <v>52</v>
      </c>
      <c r="B54" s="61" t="str">
        <f>Inicial!B54</f>
        <v>Desposte</v>
      </c>
      <c r="C54" s="61" t="str">
        <f>Inicial!C54</f>
        <v>Operario de producción Línea Paletas</v>
      </c>
      <c r="D54" s="62" t="str">
        <f>Inicial!D54</f>
        <v>Abertura de pulpa paleta</v>
      </c>
      <c r="E54" s="60" t="str">
        <f>IF(Inicial!N54="SI",Inicial!E54,"N/A")</f>
        <v>N/A</v>
      </c>
      <c r="F54" s="61" t="str">
        <f>IF(Inicial!N54="SI",Inicial!F54,"N/A")</f>
        <v>N/A</v>
      </c>
      <c r="G54" s="61" t="str">
        <f>IF(Inicial!N54="SI",Inicial!G54,"N/A")</f>
        <v>N/A</v>
      </c>
      <c r="H54" s="61" t="str">
        <f>IF(Inicial!N54="SI",Inicial!H54,"N/A")</f>
        <v>N/A</v>
      </c>
      <c r="I54" s="63" t="str">
        <f>IF(Inicial!N54="SI",Inicial!I54,"N/A")</f>
        <v>N/A</v>
      </c>
      <c r="L54" s="1"/>
      <c r="M54" s="1"/>
      <c r="N54" s="1"/>
      <c r="O54" s="1"/>
      <c r="P54" s="1"/>
      <c r="Q54" s="1"/>
      <c r="R54" s="1"/>
      <c r="S54" s="1"/>
      <c r="T54" s="1"/>
      <c r="U54" s="1"/>
      <c r="X54" s="80" t="str" cm="1">
        <f t="array" ref="X54">IF(OR(J54:W54="NO"),"No aceptable","Aceptable")</f>
        <v>Aceptable</v>
      </c>
      <c r="AN54" s="3" t="str" cm="1">
        <f t="array" ref="AN54">IF(OR(Y54:AM54="NO"),"Critico","No Critico")</f>
        <v>No Critico</v>
      </c>
    </row>
    <row r="55" spans="1:40" ht="38.25">
      <c r="A55" s="60">
        <f>Inicial!A55</f>
        <v>53</v>
      </c>
      <c r="B55" s="61" t="str">
        <f>Inicial!B55</f>
        <v>Desposte</v>
      </c>
      <c r="C55" s="61" t="str">
        <f>Inicial!C55</f>
        <v>Operario de producción Línea Paletas</v>
      </c>
      <c r="D55" s="62" t="str">
        <f>Inicial!D55</f>
        <v>Rayado de escapula</v>
      </c>
      <c r="E55" s="60" t="str">
        <f>IF(Inicial!N55="SI",Inicial!E55,"N/A")</f>
        <v>N/A</v>
      </c>
      <c r="F55" s="61" t="str">
        <f>IF(Inicial!N55="SI",Inicial!F55,"N/A")</f>
        <v>N/A</v>
      </c>
      <c r="G55" s="61" t="str">
        <f>IF(Inicial!N55="SI",Inicial!G55,"N/A")</f>
        <v>N/A</v>
      </c>
      <c r="H55" s="61" t="str">
        <f>IF(Inicial!N55="SI",Inicial!H55,"N/A")</f>
        <v>N/A</v>
      </c>
      <c r="I55" s="63" t="str">
        <f>IF(Inicial!N55="SI",Inicial!I55,"N/A")</f>
        <v>N/A</v>
      </c>
      <c r="L55" s="1"/>
      <c r="M55" s="1"/>
      <c r="N55" s="1"/>
      <c r="O55" s="1"/>
      <c r="P55" s="1"/>
      <c r="Q55" s="1"/>
      <c r="R55" s="1"/>
      <c r="S55" s="1"/>
      <c r="T55" s="1"/>
      <c r="U55" s="1"/>
      <c r="X55" s="80" t="str" cm="1">
        <f t="array" ref="X55">IF(OR(J55:W55="NO"),"No aceptable","Aceptable")</f>
        <v>Aceptable</v>
      </c>
      <c r="AN55" s="3" t="str" cm="1">
        <f t="array" ref="AN55">IF(OR(Y55:AM55="NO"),"Critico","No Critico")</f>
        <v>No Critico</v>
      </c>
    </row>
    <row r="56" spans="1:40" ht="38.25">
      <c r="A56" s="60">
        <f>Inicial!A56</f>
        <v>54</v>
      </c>
      <c r="B56" s="61" t="str">
        <f>Inicial!B56</f>
        <v>Desposte</v>
      </c>
      <c r="C56" s="61" t="str">
        <f>Inicial!C56</f>
        <v>Operario de producción Línea Paletas</v>
      </c>
      <c r="D56" s="62" t="str">
        <f>Inicial!D56</f>
        <v>Extracción de escapula con pistola neumatica</v>
      </c>
      <c r="E56" s="60" t="str">
        <f>IF(Inicial!N56="SI",Inicial!E56,"N/A")</f>
        <v>N/A</v>
      </c>
      <c r="F56" s="61" t="str">
        <f>IF(Inicial!N56="SI",Inicial!F56,"N/A")</f>
        <v>N/A</v>
      </c>
      <c r="G56" s="61" t="str">
        <f>IF(Inicial!N56="SI",Inicial!G56,"N/A")</f>
        <v>N/A</v>
      </c>
      <c r="H56" s="61" t="str">
        <f>IF(Inicial!N56="SI",Inicial!H56,"N/A")</f>
        <v>N/A</v>
      </c>
      <c r="I56" s="63" t="str">
        <f>IF(Inicial!N56="SI",Inicial!I56,"N/A")</f>
        <v>N/A</v>
      </c>
      <c r="L56" s="1"/>
      <c r="M56" s="1"/>
      <c r="N56" s="1"/>
      <c r="O56" s="1"/>
      <c r="P56" s="1"/>
      <c r="Q56" s="1"/>
      <c r="R56" s="1"/>
      <c r="S56" s="1"/>
      <c r="T56" s="1"/>
      <c r="U56" s="1"/>
      <c r="X56" s="80" t="str" cm="1">
        <f t="array" ref="X56">IF(OR(J56:W56="NO"),"No aceptable","Aceptable")</f>
        <v>Aceptable</v>
      </c>
      <c r="AN56" s="3" t="str" cm="1">
        <f t="array" ref="AN56">IF(OR(Y56:AM56="NO"),"Critico","No Critico")</f>
        <v>No Critico</v>
      </c>
    </row>
    <row r="57" spans="1:40" ht="38.25">
      <c r="A57" s="60">
        <f>Inicial!A57</f>
        <v>55</v>
      </c>
      <c r="B57" s="61" t="str">
        <f>Inicial!B57</f>
        <v>Desposte</v>
      </c>
      <c r="C57" s="61" t="str">
        <f>Inicial!C57</f>
        <v>Operario de producción Línea Paletas</v>
      </c>
      <c r="D57" s="62" t="str">
        <f>Inicial!D57</f>
        <v>Extracción de escapula</v>
      </c>
      <c r="E57" s="60" t="str">
        <f>IF(Inicial!N57="SI",Inicial!E57,"N/A")</f>
        <v>N/A</v>
      </c>
      <c r="F57" s="61" t="str">
        <f>IF(Inicial!N57="SI",Inicial!F57,"N/A")</f>
        <v>N/A</v>
      </c>
      <c r="G57" s="61" t="str">
        <f>IF(Inicial!N57="SI",Inicial!G57,"N/A")</f>
        <v>N/A</v>
      </c>
      <c r="H57" s="61" t="str">
        <f>IF(Inicial!N57="SI",Inicial!H57,"N/A")</f>
        <v>N/A</v>
      </c>
      <c r="I57" s="63" t="str">
        <f>IF(Inicial!N57="SI",Inicial!I57,"N/A")</f>
        <v>N/A</v>
      </c>
      <c r="L57" s="1"/>
      <c r="M57" s="1"/>
      <c r="N57" s="1"/>
      <c r="O57" s="1"/>
      <c r="P57" s="1"/>
      <c r="Q57" s="1"/>
      <c r="R57" s="1"/>
      <c r="S57" s="1"/>
      <c r="T57" s="1"/>
      <c r="U57" s="1"/>
      <c r="X57" s="80" t="str" cm="1">
        <f t="array" ref="X57">IF(OR(J57:W57="NO"),"No aceptable","Aceptable")</f>
        <v>Aceptable</v>
      </c>
      <c r="AN57" s="3" t="str" cm="1">
        <f t="array" ref="AN57">IF(OR(Y57:AM57="NO"),"Critico","No Critico")</f>
        <v>No Critico</v>
      </c>
    </row>
    <row r="58" spans="1:40" ht="38.25">
      <c r="A58" s="60">
        <f>Inicial!A58</f>
        <v>56</v>
      </c>
      <c r="B58" s="61" t="str">
        <f>Inicial!B58</f>
        <v>Desposte</v>
      </c>
      <c r="C58" s="61" t="str">
        <f>Inicial!C58</f>
        <v>Operario de producción Línea Paletas</v>
      </c>
      <c r="D58" s="62" t="str">
        <f>Inicial!D58</f>
        <v>Deshuesado de hueso humero</v>
      </c>
      <c r="E58" s="60" t="str">
        <f>IF(Inicial!N58="SI",Inicial!E58,"N/A")</f>
        <v>N/A</v>
      </c>
      <c r="F58" s="61" t="str">
        <f>IF(Inicial!N58="SI",Inicial!F58,"N/A")</f>
        <v>N/A</v>
      </c>
      <c r="G58" s="61" t="str">
        <f>IF(Inicial!N58="SI",Inicial!G58,"N/A")</f>
        <v>N/A</v>
      </c>
      <c r="H58" s="61" t="str">
        <f>IF(Inicial!N58="SI",Inicial!H58,"N/A")</f>
        <v>N/A</v>
      </c>
      <c r="I58" s="63" t="str">
        <f>IF(Inicial!N58="SI",Inicial!I58,"N/A")</f>
        <v>N/A</v>
      </c>
      <c r="L58" s="1"/>
      <c r="M58" s="1"/>
      <c r="N58" s="1"/>
      <c r="O58" s="1"/>
      <c r="P58" s="1"/>
      <c r="Q58" s="1"/>
      <c r="R58" s="1"/>
      <c r="S58" s="1"/>
      <c r="T58" s="1"/>
      <c r="U58" s="1"/>
      <c r="X58" s="80" t="str" cm="1">
        <f t="array" ref="X58">IF(OR(J58:W58="NO"),"No aceptable","Aceptable")</f>
        <v>Aceptable</v>
      </c>
      <c r="AN58" s="3" t="str" cm="1">
        <f t="array" ref="AN58">IF(OR(Y58:AM58="NO"),"Critico","No Critico")</f>
        <v>No Critico</v>
      </c>
    </row>
    <row r="59" spans="1:40" ht="38.25">
      <c r="A59" s="60">
        <f>Inicial!A59</f>
        <v>57</v>
      </c>
      <c r="B59" s="61" t="str">
        <f>Inicial!B59</f>
        <v>Desposte</v>
      </c>
      <c r="C59" s="61" t="str">
        <f>Inicial!C59</f>
        <v>Operario de producción Línea Paletas</v>
      </c>
      <c r="D59" s="62" t="str">
        <f>Inicial!D59</f>
        <v>Extracción de cartilago de paleta</v>
      </c>
      <c r="E59" s="60" t="str">
        <f>IF(Inicial!N59="SI",Inicial!E59,"N/A")</f>
        <v>N/A</v>
      </c>
      <c r="F59" s="61" t="str">
        <f>IF(Inicial!N59="SI",Inicial!F59,"N/A")</f>
        <v>N/A</v>
      </c>
      <c r="G59" s="61" t="str">
        <f>IF(Inicial!N59="SI",Inicial!G59,"N/A")</f>
        <v>N/A</v>
      </c>
      <c r="H59" s="61" t="str">
        <f>IF(Inicial!N59="SI",Inicial!H59,"N/A")</f>
        <v>N/A</v>
      </c>
      <c r="I59" s="63" t="str">
        <f>IF(Inicial!N59="SI",Inicial!I59,"N/A")</f>
        <v>N/A</v>
      </c>
      <c r="L59" s="1"/>
      <c r="M59" s="1"/>
      <c r="N59" s="1"/>
      <c r="O59" s="1"/>
      <c r="P59" s="1"/>
      <c r="Q59" s="1"/>
      <c r="R59" s="1"/>
      <c r="S59" s="1"/>
      <c r="T59" s="1"/>
      <c r="U59" s="1"/>
      <c r="X59" s="80" t="str" cm="1">
        <f t="array" ref="X59">IF(OR(J59:W59="NO"),"No aceptable","Aceptable")</f>
        <v>Aceptable</v>
      </c>
      <c r="AN59" s="3" t="str" cm="1">
        <f t="array" ref="AN59">IF(OR(Y59:AM59="NO"),"Critico","No Critico")</f>
        <v>No Critico</v>
      </c>
    </row>
    <row r="60" spans="1:40" ht="51">
      <c r="A60" s="60">
        <f>Inicial!A60</f>
        <v>58</v>
      </c>
      <c r="B60" s="61" t="str">
        <f>Inicial!B60</f>
        <v>Desposte</v>
      </c>
      <c r="C60" s="61" t="str">
        <f>Inicial!C60</f>
        <v>Operario de producción Línea Paletas</v>
      </c>
      <c r="D60" s="62" t="str">
        <f>Inicial!D60</f>
        <v>Acomodado de pulpa y direccionamiento de pernil</v>
      </c>
      <c r="E60" s="60" t="str">
        <f>IF(Inicial!N60="SI",Inicial!E60,"N/A")</f>
        <v>N/A</v>
      </c>
      <c r="F60" s="61" t="str">
        <f>IF(Inicial!N60="SI",Inicial!F60,"N/A")</f>
        <v>N/A</v>
      </c>
      <c r="G60" s="61" t="str">
        <f>IF(Inicial!N60="SI",Inicial!G60,"N/A")</f>
        <v>N/A</v>
      </c>
      <c r="H60" s="61" t="str">
        <f>IF(Inicial!N60="SI",Inicial!H60,"N/A")</f>
        <v>N/A</v>
      </c>
      <c r="I60" s="63" t="str">
        <f>IF(Inicial!N60="SI",Inicial!I60,"N/A")</f>
        <v>N/A</v>
      </c>
      <c r="L60" s="1"/>
      <c r="M60" s="1"/>
      <c r="N60" s="1"/>
      <c r="O60" s="1"/>
      <c r="P60" s="1"/>
      <c r="Q60" s="1"/>
      <c r="R60" s="1"/>
      <c r="S60" s="1"/>
      <c r="T60" s="1"/>
      <c r="U60" s="1"/>
      <c r="X60" s="80" t="str" cm="1">
        <f t="array" ref="X60">IF(OR(J60:W60="NO"),"No aceptable","Aceptable")</f>
        <v>Aceptable</v>
      </c>
      <c r="AN60" s="3" t="str" cm="1">
        <f t="array" ref="AN60">IF(OR(Y60:AM60="NO"),"Critico","No Critico")</f>
        <v>No Critico</v>
      </c>
    </row>
    <row r="61" spans="1:40" ht="38.25">
      <c r="A61" s="60">
        <f>Inicial!A61</f>
        <v>59</v>
      </c>
      <c r="B61" s="61" t="str">
        <f>Inicial!B61</f>
        <v>Desposte</v>
      </c>
      <c r="C61" s="61" t="str">
        <f>Inicial!C61</f>
        <v>Operario de producción Línea Paletas</v>
      </c>
      <c r="D61" s="62" t="str">
        <f>Inicial!D61</f>
        <v>Extracción de membrana y cartilago</v>
      </c>
      <c r="E61" s="60" t="str">
        <f>IF(Inicial!N61="SI",Inicial!E61,"N/A")</f>
        <v>N/A</v>
      </c>
      <c r="F61" s="61" t="str">
        <f>IF(Inicial!N61="SI",Inicial!F61,"N/A")</f>
        <v>N/A</v>
      </c>
      <c r="G61" s="61" t="str">
        <f>IF(Inicial!N61="SI",Inicial!G61,"N/A")</f>
        <v>N/A</v>
      </c>
      <c r="H61" s="61" t="str">
        <f>IF(Inicial!N61="SI",Inicial!H61,"N/A")</f>
        <v>N/A</v>
      </c>
      <c r="I61" s="63" t="str">
        <f>IF(Inicial!N61="SI",Inicial!I61,"N/A")</f>
        <v>N/A</v>
      </c>
      <c r="L61" s="1"/>
      <c r="M61" s="1"/>
      <c r="N61" s="1"/>
      <c r="O61" s="1"/>
      <c r="P61" s="1"/>
      <c r="Q61" s="1"/>
      <c r="R61" s="1"/>
      <c r="S61" s="1"/>
      <c r="T61" s="1"/>
      <c r="U61" s="1"/>
      <c r="X61" s="80" t="str" cm="1">
        <f t="array" ref="X61">IF(OR(J61:W61="NO"),"No aceptable","Aceptable")</f>
        <v>Aceptable</v>
      </c>
      <c r="AN61" s="3" t="str" cm="1">
        <f t="array" ref="AN61">IF(OR(Y61:AM61="NO"),"Critico","No Critico")</f>
        <v>No Critico</v>
      </c>
    </row>
    <row r="62" spans="1:40" ht="38.25">
      <c r="A62" s="60">
        <f>Inicial!A62</f>
        <v>60</v>
      </c>
      <c r="B62" s="61" t="str">
        <f>Inicial!B62</f>
        <v>Desposte</v>
      </c>
      <c r="C62" s="61" t="str">
        <f>Inicial!C62</f>
        <v>Operario de producción Línea Paletas</v>
      </c>
      <c r="D62" s="62" t="str">
        <f>Inicial!D62</f>
        <v>Ordenar cuero</v>
      </c>
      <c r="E62" s="60" t="str">
        <f>IF(Inicial!N62="SI",Inicial!E62,"N/A")</f>
        <v>N/A</v>
      </c>
      <c r="F62" s="61" t="str">
        <f>IF(Inicial!N62="SI",Inicial!F62,"N/A")</f>
        <v>N/A</v>
      </c>
      <c r="G62" s="61" t="str">
        <f>IF(Inicial!N62="SI",Inicial!G62,"N/A")</f>
        <v>N/A</v>
      </c>
      <c r="H62" s="61" t="str">
        <f>IF(Inicial!N62="SI",Inicial!H62,"N/A")</f>
        <v>N/A</v>
      </c>
      <c r="I62" s="63" t="str">
        <f>IF(Inicial!N62="SI",Inicial!I62,"N/A")</f>
        <v>N/A</v>
      </c>
      <c r="L62" s="1"/>
      <c r="M62" s="1"/>
      <c r="N62" s="1"/>
      <c r="O62" s="1"/>
      <c r="P62" s="1"/>
      <c r="Q62" s="1"/>
      <c r="R62" s="1"/>
      <c r="S62" s="1"/>
      <c r="T62" s="1"/>
      <c r="U62" s="1"/>
      <c r="X62" s="80" t="str" cm="1">
        <f t="array" ref="X62">IF(OR(J62:W62="NO"),"No aceptable","Aceptable")</f>
        <v>Aceptable</v>
      </c>
      <c r="AN62" s="3" t="str" cm="1">
        <f t="array" ref="AN62">IF(OR(Y62:AM62="NO"),"Critico","No Critico")</f>
        <v>No Critico</v>
      </c>
    </row>
    <row r="63" spans="1:40" ht="38.25">
      <c r="A63" s="60">
        <f>Inicial!A63</f>
        <v>61</v>
      </c>
      <c r="B63" s="61" t="str">
        <f>Inicial!B63</f>
        <v>Desposte</v>
      </c>
      <c r="C63" s="61" t="str">
        <f>Inicial!C63</f>
        <v>Operario de producción Línea Paletas</v>
      </c>
      <c r="D63" s="62" t="str">
        <f>Inicial!D63</f>
        <v>Prolijado de paleta y extracción de cuero</v>
      </c>
      <c r="E63" s="60" t="str">
        <f>IF(Inicial!N63="SI",Inicial!E63,"N/A")</f>
        <v>N/A</v>
      </c>
      <c r="F63" s="61" t="str">
        <f>IF(Inicial!N63="SI",Inicial!F63,"N/A")</f>
        <v>N/A</v>
      </c>
      <c r="G63" s="61" t="str">
        <f>IF(Inicial!N63="SI",Inicial!G63,"N/A")</f>
        <v>N/A</v>
      </c>
      <c r="H63" s="61" t="str">
        <f>IF(Inicial!N63="SI",Inicial!H63,"N/A")</f>
        <v>N/A</v>
      </c>
      <c r="I63" s="63" t="str">
        <f>IF(Inicial!N63="SI",Inicial!I63,"N/A")</f>
        <v>N/A</v>
      </c>
      <c r="L63" s="1"/>
      <c r="M63" s="1"/>
      <c r="N63" s="1"/>
      <c r="O63" s="1"/>
      <c r="P63" s="1"/>
      <c r="Q63" s="1"/>
      <c r="R63" s="1"/>
      <c r="S63" s="1"/>
      <c r="T63" s="1"/>
      <c r="U63" s="1"/>
      <c r="X63" s="80" t="str" cm="1">
        <f t="array" ref="X63">IF(OR(J63:W63="NO"),"No aceptable","Aceptable")</f>
        <v>Aceptable</v>
      </c>
      <c r="AN63" s="3" t="str" cm="1">
        <f t="array" ref="AN63">IF(OR(Y63:AM63="NO"),"Critico","No Critico")</f>
        <v>No Critico</v>
      </c>
    </row>
    <row r="64" spans="1:40" ht="38.25">
      <c r="A64" s="60">
        <f>Inicial!A64</f>
        <v>62</v>
      </c>
      <c r="B64" s="61" t="str">
        <f>Inicial!B64</f>
        <v>Desposte</v>
      </c>
      <c r="C64" s="61" t="str">
        <f>Inicial!C64</f>
        <v>Operario de producción Línea Paletas</v>
      </c>
      <c r="D64" s="62" t="str">
        <f>Inicial!D64</f>
        <v>Prolijado de pulpa paleta</v>
      </c>
      <c r="E64" s="60" t="str">
        <f>IF(Inicial!N64="SI",Inicial!E64,"N/A")</f>
        <v>N/A</v>
      </c>
      <c r="F64" s="61" t="str">
        <f>IF(Inicial!N64="SI",Inicial!F64,"N/A")</f>
        <v>N/A</v>
      </c>
      <c r="G64" s="61" t="str">
        <f>IF(Inicial!N64="SI",Inicial!G64,"N/A")</f>
        <v>N/A</v>
      </c>
      <c r="H64" s="61" t="str">
        <f>IF(Inicial!N64="SI",Inicial!H64,"N/A")</f>
        <v>N/A</v>
      </c>
      <c r="I64" s="63" t="str">
        <f>IF(Inicial!N64="SI",Inicial!I64,"N/A")</f>
        <v>N/A</v>
      </c>
      <c r="L64" s="1"/>
      <c r="M64" s="1"/>
      <c r="N64" s="1"/>
      <c r="O64" s="1"/>
      <c r="P64" s="1"/>
      <c r="Q64" s="1"/>
      <c r="R64" s="1"/>
      <c r="S64" s="1"/>
      <c r="T64" s="1"/>
      <c r="U64" s="1"/>
      <c r="X64" s="80" t="str" cm="1">
        <f t="array" ref="X64">IF(OR(J64:W64="NO"),"No aceptable","Aceptable")</f>
        <v>Aceptable</v>
      </c>
      <c r="AN64" s="3" t="str" cm="1">
        <f t="array" ref="AN64">IF(OR(Y64:AM64="NO"),"Critico","No Critico")</f>
        <v>No Critico</v>
      </c>
    </row>
    <row r="65" spans="1:40" ht="38.25">
      <c r="A65" s="60">
        <f>Inicial!A65</f>
        <v>63</v>
      </c>
      <c r="B65" s="61" t="str">
        <f>Inicial!B65</f>
        <v>Desposte</v>
      </c>
      <c r="C65" s="61" t="str">
        <f>Inicial!C65</f>
        <v>Operario de producción Línea Paletas</v>
      </c>
      <c r="D65" s="62" t="str">
        <f>Inicial!D65</f>
        <v>Aspiradora de pulpa paleta</v>
      </c>
      <c r="E65" s="60" t="str">
        <f>IF(Inicial!N65="SI",Inicial!E65,"N/A")</f>
        <v>N/A</v>
      </c>
      <c r="F65" s="61" t="str">
        <f>IF(Inicial!N65="SI",Inicial!F65,"N/A")</f>
        <v>N/A</v>
      </c>
      <c r="G65" s="61" t="str">
        <f>IF(Inicial!N65="SI",Inicial!G65,"N/A")</f>
        <v>N/A</v>
      </c>
      <c r="H65" s="61" t="str">
        <f>IF(Inicial!N65="SI",Inicial!H65,"N/A")</f>
        <v>N/A</v>
      </c>
      <c r="I65" s="63" t="str">
        <f>IF(Inicial!N65="SI",Inicial!I65,"N/A")</f>
        <v>N/A</v>
      </c>
      <c r="L65" s="1"/>
      <c r="M65" s="1"/>
      <c r="N65" s="1"/>
      <c r="O65" s="1"/>
      <c r="P65" s="1"/>
      <c r="Q65" s="1"/>
      <c r="R65" s="1"/>
      <c r="S65" s="1"/>
      <c r="T65" s="1"/>
      <c r="U65" s="1"/>
      <c r="X65" s="80" t="str" cm="1">
        <f t="array" ref="X65">IF(OR(J65:W65="NO"),"No aceptable","Aceptable")</f>
        <v>Aceptable</v>
      </c>
      <c r="AN65" s="3" t="str" cm="1">
        <f t="array" ref="AN65">IF(OR(Y65:AM65="NO"),"Critico","No Critico")</f>
        <v>No Critico</v>
      </c>
    </row>
    <row r="66" spans="1:40" ht="51">
      <c r="A66" s="60">
        <f>Inicial!A66</f>
        <v>64</v>
      </c>
      <c r="B66" s="61" t="str">
        <f>Inicial!B66</f>
        <v>Desposte</v>
      </c>
      <c r="C66" s="61" t="str">
        <f>Inicial!C66</f>
        <v>Operario de producción Línea Pulpa Piernas</v>
      </c>
      <c r="D66" s="62" t="str">
        <f>Inicial!D66</f>
        <v>Direccionador de piernas</v>
      </c>
      <c r="E66" s="60" t="str">
        <f>IF(Inicial!N66="SI",Inicial!E66,"N/A")</f>
        <v>N/A</v>
      </c>
      <c r="F66" s="61" t="str">
        <f>IF(Inicial!N66="SI",Inicial!F66,"N/A")</f>
        <v>N/A</v>
      </c>
      <c r="G66" s="61" t="str">
        <f>IF(Inicial!N66="SI",Inicial!G66,"N/A")</f>
        <v>N/A</v>
      </c>
      <c r="H66" s="61" t="str">
        <f>IF(Inicial!N66="SI",Inicial!H66,"N/A")</f>
        <v>N/A</v>
      </c>
      <c r="I66" s="63" t="str">
        <f>IF(Inicial!N66="SI",Inicial!I66,"N/A")</f>
        <v>N/A</v>
      </c>
      <c r="L66" s="1"/>
      <c r="M66" s="1"/>
      <c r="N66" s="1"/>
      <c r="O66" s="1"/>
      <c r="P66" s="1"/>
      <c r="Q66" s="1"/>
      <c r="R66" s="1"/>
      <c r="S66" s="1"/>
      <c r="T66" s="1"/>
      <c r="U66" s="1"/>
      <c r="X66" s="80" t="str" cm="1">
        <f t="array" ref="X66">IF(OR(J66:W66="NO"),"No aceptable","Aceptable")</f>
        <v>Aceptable</v>
      </c>
      <c r="AN66" s="3" t="str" cm="1">
        <f t="array" ref="AN66">IF(OR(Y66:AM66="NO"),"Critico","No Critico")</f>
        <v>No Critico</v>
      </c>
    </row>
    <row r="67" spans="1:40" ht="51">
      <c r="A67" s="60">
        <f>Inicial!A67</f>
        <v>65</v>
      </c>
      <c r="B67" s="61" t="str">
        <f>Inicial!B67</f>
        <v>Desposte</v>
      </c>
      <c r="C67" s="61" t="str">
        <f>Inicial!C67</f>
        <v>Operario de producción Línea Pulpa Piernas</v>
      </c>
      <c r="D67" s="62" t="str">
        <f>Inicial!D67</f>
        <v>Extracción de pernil</v>
      </c>
      <c r="E67" s="60" t="str">
        <f>IF(Inicial!N67="SI",Inicial!E67,"N/A")</f>
        <v>N/A</v>
      </c>
      <c r="F67" s="61" t="str">
        <f>IF(Inicial!N67="SI",Inicial!F67,"N/A")</f>
        <v>N/A</v>
      </c>
      <c r="G67" s="61" t="str">
        <f>IF(Inicial!N67="SI",Inicial!G67,"N/A")</f>
        <v>N/A</v>
      </c>
      <c r="H67" s="61" t="str">
        <f>IF(Inicial!N67="SI",Inicial!H67,"N/A")</f>
        <v>N/A</v>
      </c>
      <c r="I67" s="63" t="str">
        <f>IF(Inicial!N67="SI",Inicial!I67,"N/A")</f>
        <v>N/A</v>
      </c>
      <c r="L67" s="1"/>
      <c r="M67" s="1"/>
      <c r="N67" s="1"/>
      <c r="O67" s="1"/>
      <c r="P67" s="1"/>
      <c r="Q67" s="1"/>
      <c r="R67" s="1"/>
      <c r="S67" s="1"/>
      <c r="T67" s="1"/>
      <c r="U67" s="1"/>
      <c r="X67" s="80" t="str" cm="1">
        <f t="array" ref="X67">IF(OR(J67:W67="NO"),"No aceptable","Aceptable")</f>
        <v>Aceptable</v>
      </c>
      <c r="AN67" s="3" t="str" cm="1">
        <f t="array" ref="AN67">IF(OR(Y67:AM67="NO"),"Critico","No Critico")</f>
        <v>No Critico</v>
      </c>
    </row>
    <row r="68" spans="1:40" ht="51">
      <c r="A68" s="60">
        <f>Inicial!A68</f>
        <v>66</v>
      </c>
      <c r="B68" s="61" t="str">
        <f>Inicial!B68</f>
        <v>Desposte</v>
      </c>
      <c r="C68" s="61" t="str">
        <f>Inicial!C68</f>
        <v>Operario de producción Línea Pulpa Piernas</v>
      </c>
      <c r="D68" s="62" t="str">
        <f>Inicial!D68</f>
        <v xml:space="preserve">Extracción Cazuela y cola </v>
      </c>
      <c r="E68" s="60" t="str">
        <f>IF(Inicial!N68="SI",Inicial!E68,"N/A")</f>
        <v>N/A</v>
      </c>
      <c r="F68" s="61" t="str">
        <f>IF(Inicial!N68="SI",Inicial!F68,"N/A")</f>
        <v>N/A</v>
      </c>
      <c r="G68" s="61" t="str">
        <f>IF(Inicial!N68="SI",Inicial!G68,"N/A")</f>
        <v>N/A</v>
      </c>
      <c r="H68" s="61" t="str">
        <f>IF(Inicial!N68="SI",Inicial!H68,"N/A")</f>
        <v>N/A</v>
      </c>
      <c r="I68" s="63" t="str">
        <f>IF(Inicial!N68="SI",Inicial!I68,"N/A")</f>
        <v>N/A</v>
      </c>
      <c r="L68" s="1"/>
      <c r="M68" s="1"/>
      <c r="N68" s="1"/>
      <c r="O68" s="1"/>
      <c r="P68" s="1"/>
      <c r="Q68" s="1"/>
      <c r="R68" s="1"/>
      <c r="S68" s="1"/>
      <c r="T68" s="1"/>
      <c r="U68" s="1"/>
      <c r="X68" s="80" t="str" cm="1">
        <f t="array" ref="X68">IF(OR(J68:W68="NO"),"No aceptable","Aceptable")</f>
        <v>Aceptable</v>
      </c>
      <c r="AN68" s="3" t="str" cm="1">
        <f t="array" ref="AN68">IF(OR(Y68:AM68="NO"),"Critico","No Critico")</f>
        <v>No Critico</v>
      </c>
    </row>
    <row r="69" spans="1:40" ht="51">
      <c r="A69" s="60">
        <f>Inicial!A69</f>
        <v>67</v>
      </c>
      <c r="B69" s="61" t="str">
        <f>Inicial!B69</f>
        <v>Desposte</v>
      </c>
      <c r="C69" s="61" t="str">
        <f>Inicial!C69</f>
        <v>Operario de producción Línea Pulpa Piernas</v>
      </c>
      <c r="D69" s="62" t="str">
        <f>Inicial!D69</f>
        <v>Prolijado de pierna</v>
      </c>
      <c r="E69" s="60" t="str">
        <f>IF(Inicial!N69="SI",Inicial!E69,"N/A")</f>
        <v>N/A</v>
      </c>
      <c r="F69" s="61" t="str">
        <f>IF(Inicial!N69="SI",Inicial!F69,"N/A")</f>
        <v>N/A</v>
      </c>
      <c r="G69" s="61" t="str">
        <f>IF(Inicial!N69="SI",Inicial!G69,"N/A")</f>
        <v>N/A</v>
      </c>
      <c r="H69" s="61" t="str">
        <f>IF(Inicial!N69="SI",Inicial!H69,"N/A")</f>
        <v>N/A</v>
      </c>
      <c r="I69" s="63" t="str">
        <f>IF(Inicial!N69="SI",Inicial!I69,"N/A")</f>
        <v>N/A</v>
      </c>
      <c r="L69" s="1"/>
      <c r="M69" s="1"/>
      <c r="N69" s="1"/>
      <c r="O69" s="1"/>
      <c r="P69" s="1"/>
      <c r="Q69" s="1"/>
      <c r="R69" s="1"/>
      <c r="S69" s="1"/>
      <c r="T69" s="1"/>
      <c r="U69" s="1"/>
      <c r="X69" s="80" t="str" cm="1">
        <f t="array" ref="X69">IF(OR(J69:W69="NO"),"No aceptable","Aceptable")</f>
        <v>Aceptable</v>
      </c>
      <c r="AN69" s="3" t="str" cm="1">
        <f t="array" ref="AN69">IF(OR(Y69:AM69="NO"),"Critico","No Critico")</f>
        <v>No Critico</v>
      </c>
    </row>
    <row r="70" spans="1:40" ht="51">
      <c r="A70" s="60">
        <f>Inicial!A70</f>
        <v>68</v>
      </c>
      <c r="B70" s="61" t="str">
        <f>Inicial!B70</f>
        <v>Desposte</v>
      </c>
      <c r="C70" s="61" t="str">
        <f>Inicial!C70</f>
        <v>Operario de producción Línea Pulpa Piernas</v>
      </c>
      <c r="D70" s="62" t="str">
        <f>Inicial!D70</f>
        <v>Deshuesado coxal</v>
      </c>
      <c r="E70" s="60" t="str">
        <f>IF(Inicial!N70="SI",Inicial!E70,"N/A")</f>
        <v>N/A</v>
      </c>
      <c r="F70" s="61" t="str">
        <f>IF(Inicial!N70="SI",Inicial!F70,"N/A")</f>
        <v>N/A</v>
      </c>
      <c r="G70" s="61" t="str">
        <f>IF(Inicial!N70="SI",Inicial!G70,"N/A")</f>
        <v>N/A</v>
      </c>
      <c r="H70" s="61" t="str">
        <f>IF(Inicial!N70="SI",Inicial!H70,"N/A")</f>
        <v>N/A</v>
      </c>
      <c r="I70" s="63" t="str">
        <f>IF(Inicial!N70="SI",Inicial!I70,"N/A")</f>
        <v>N/A</v>
      </c>
      <c r="L70" s="1"/>
      <c r="M70" s="1"/>
      <c r="N70" s="1"/>
      <c r="O70" s="1"/>
      <c r="P70" s="1"/>
      <c r="Q70" s="1"/>
      <c r="R70" s="1"/>
      <c r="S70" s="1"/>
      <c r="T70" s="1"/>
      <c r="U70" s="1"/>
      <c r="X70" s="80" t="str" cm="1">
        <f t="array" ref="X70">IF(OR(J70:W70="NO"),"No aceptable","Aceptable")</f>
        <v>Aceptable</v>
      </c>
      <c r="AN70" s="3" t="str" cm="1">
        <f t="array" ref="AN70">IF(OR(Y70:AM70="NO"),"Critico","No Critico")</f>
        <v>No Critico</v>
      </c>
    </row>
    <row r="71" spans="1:40" ht="51">
      <c r="A71" s="60">
        <f>Inicial!A71</f>
        <v>69</v>
      </c>
      <c r="B71" s="61" t="str">
        <f>Inicial!B71</f>
        <v>Desposte</v>
      </c>
      <c r="C71" s="61" t="str">
        <f>Inicial!C71</f>
        <v>Operario de producción Línea Pulpa Piernas</v>
      </c>
      <c r="D71" s="62" t="str">
        <f>Inicial!D71</f>
        <v>Deshuesado fémur</v>
      </c>
      <c r="E71" s="60" t="str">
        <f>IF(Inicial!N71="SI",Inicial!E71,"N/A")</f>
        <v>N/A</v>
      </c>
      <c r="F71" s="61" t="str">
        <f>IF(Inicial!N71="SI",Inicial!F71,"N/A")</f>
        <v>N/A</v>
      </c>
      <c r="G71" s="61" t="str">
        <f>IF(Inicial!N71="SI",Inicial!G71,"N/A")</f>
        <v>N/A</v>
      </c>
      <c r="H71" s="61" t="str">
        <f>IF(Inicial!N71="SI",Inicial!H71,"N/A")</f>
        <v>N/A</v>
      </c>
      <c r="I71" s="63" t="str">
        <f>IF(Inicial!N71="SI",Inicial!I71,"N/A")</f>
        <v>N/A</v>
      </c>
      <c r="L71" s="1"/>
      <c r="M71" s="1"/>
      <c r="N71" s="1"/>
      <c r="O71" s="1"/>
      <c r="P71" s="1"/>
      <c r="Q71" s="1"/>
      <c r="R71" s="1"/>
      <c r="S71" s="1"/>
      <c r="T71" s="1"/>
      <c r="U71" s="1"/>
      <c r="X71" s="80" t="str" cm="1">
        <f t="array" ref="X71">IF(OR(J71:W71="NO"),"No aceptable","Aceptable")</f>
        <v>Aceptable</v>
      </c>
      <c r="AN71" s="3" t="str" cm="1">
        <f t="array" ref="AN71">IF(OR(Y71:AM71="NO"),"Critico","No Critico")</f>
        <v>No Critico</v>
      </c>
    </row>
    <row r="72" spans="1:40" ht="51">
      <c r="A72" s="60">
        <f>Inicial!A72</f>
        <v>70</v>
      </c>
      <c r="B72" s="61" t="str">
        <f>Inicial!B72</f>
        <v>Desposte</v>
      </c>
      <c r="C72" s="61" t="str">
        <f>Inicial!C72</f>
        <v>Operario de producción Línea Pulpa Piernas</v>
      </c>
      <c r="D72" s="62" t="str">
        <f>Inicial!D72</f>
        <v>Prolijado de cartilago</v>
      </c>
      <c r="E72" s="60" t="str">
        <f>IF(Inicial!N72="SI",Inicial!E72,"N/A")</f>
        <v>N/A</v>
      </c>
      <c r="F72" s="61" t="str">
        <f>IF(Inicial!N72="SI",Inicial!F72,"N/A")</f>
        <v>N/A</v>
      </c>
      <c r="G72" s="61" t="str">
        <f>IF(Inicial!N72="SI",Inicial!G72,"N/A")</f>
        <v>N/A</v>
      </c>
      <c r="H72" s="61" t="str">
        <f>IF(Inicial!N72="SI",Inicial!H72,"N/A")</f>
        <v>N/A</v>
      </c>
      <c r="I72" s="63" t="str">
        <f>IF(Inicial!N72="SI",Inicial!I72,"N/A")</f>
        <v>N/A</v>
      </c>
      <c r="L72" s="1"/>
      <c r="M72" s="1"/>
      <c r="N72" s="1"/>
      <c r="O72" s="1"/>
      <c r="P72" s="1"/>
      <c r="Q72" s="1"/>
      <c r="R72" s="1"/>
      <c r="S72" s="1"/>
      <c r="T72" s="1"/>
      <c r="U72" s="1"/>
      <c r="X72" s="80" t="str" cm="1">
        <f t="array" ref="X72">IF(OR(J72:W72="NO"),"No aceptable","Aceptable")</f>
        <v>Aceptable</v>
      </c>
      <c r="AN72" s="3" t="str" cm="1">
        <f t="array" ref="AN72">IF(OR(Y72:AM72="NO"),"Critico","No Critico")</f>
        <v>No Critico</v>
      </c>
    </row>
    <row r="73" spans="1:40" ht="51">
      <c r="A73" s="60">
        <f>Inicial!A73</f>
        <v>71</v>
      </c>
      <c r="B73" s="61" t="str">
        <f>Inicial!B73</f>
        <v>Desposte</v>
      </c>
      <c r="C73" s="61" t="str">
        <f>Inicial!C73</f>
        <v>Operario de producción Línea Pulpa Piernas</v>
      </c>
      <c r="D73" s="62" t="str">
        <f>Inicial!D73</f>
        <v>Prolijado de pulpa</v>
      </c>
      <c r="E73" s="60" t="str">
        <f>IF(Inicial!N73="SI",Inicial!E73,"N/A")</f>
        <v>N/A</v>
      </c>
      <c r="F73" s="61" t="str">
        <f>IF(Inicial!N73="SI",Inicial!F73,"N/A")</f>
        <v>N/A</v>
      </c>
      <c r="G73" s="61" t="str">
        <f>IF(Inicial!N73="SI",Inicial!G73,"N/A")</f>
        <v>N/A</v>
      </c>
      <c r="H73" s="61" t="str">
        <f>IF(Inicial!N73="SI",Inicial!H73,"N/A")</f>
        <v>N/A</v>
      </c>
      <c r="I73" s="63" t="str">
        <f>IF(Inicial!N73="SI",Inicial!I73,"N/A")</f>
        <v>N/A</v>
      </c>
      <c r="L73" s="1"/>
      <c r="M73" s="1"/>
      <c r="N73" s="1"/>
      <c r="O73" s="1"/>
      <c r="P73" s="1"/>
      <c r="Q73" s="1"/>
      <c r="R73" s="1"/>
      <c r="S73" s="1"/>
      <c r="T73" s="1"/>
      <c r="U73" s="1"/>
      <c r="X73" s="80" t="str" cm="1">
        <f t="array" ref="X73">IF(OR(J73:W73="NO"),"No aceptable","Aceptable")</f>
        <v>Aceptable</v>
      </c>
      <c r="AN73" s="3" t="str" cm="1">
        <f t="array" ref="AN73">IF(OR(Y73:AM73="NO"),"Critico","No Critico")</f>
        <v>No Critico</v>
      </c>
    </row>
    <row r="74" spans="1:40" ht="51">
      <c r="A74" s="60">
        <f>Inicial!A74</f>
        <v>72</v>
      </c>
      <c r="B74" s="61" t="str">
        <f>Inicial!B74</f>
        <v>Desposte</v>
      </c>
      <c r="C74" s="61" t="str">
        <f>Inicial!C74</f>
        <v>Operario de producción Línea Pulpa Piernas</v>
      </c>
      <c r="D74" s="62" t="str">
        <f>Inicial!D74</f>
        <v>Extracción de posta rosada</v>
      </c>
      <c r="E74" s="60" t="str">
        <f>IF(Inicial!N74="SI",Inicial!E74,"N/A")</f>
        <v>N/A</v>
      </c>
      <c r="F74" s="61" t="str">
        <f>IF(Inicial!N74="SI",Inicial!F74,"N/A")</f>
        <v>N/A</v>
      </c>
      <c r="G74" s="61" t="str">
        <f>IF(Inicial!N74="SI",Inicial!G74,"N/A")</f>
        <v>N/A</v>
      </c>
      <c r="H74" s="61" t="str">
        <f>IF(Inicial!N74="SI",Inicial!H74,"N/A")</f>
        <v>N/A</v>
      </c>
      <c r="I74" s="63" t="str">
        <f>IF(Inicial!N74="SI",Inicial!I74,"N/A")</f>
        <v>N/A</v>
      </c>
      <c r="L74" s="1"/>
      <c r="M74" s="1"/>
      <c r="N74" s="1"/>
      <c r="O74" s="1"/>
      <c r="P74" s="1"/>
      <c r="Q74" s="1"/>
      <c r="R74" s="1"/>
      <c r="S74" s="1"/>
      <c r="T74" s="1"/>
      <c r="U74" s="1"/>
      <c r="X74" s="80" t="str" cm="1">
        <f t="array" ref="X74">IF(OR(J74:W74="NO"),"No aceptable","Aceptable")</f>
        <v>Aceptable</v>
      </c>
      <c r="AN74" s="3" t="str" cm="1">
        <f t="array" ref="AN74">IF(OR(Y74:AM74="NO"),"Critico","No Critico")</f>
        <v>No Critico</v>
      </c>
    </row>
    <row r="75" spans="1:40" ht="51">
      <c r="A75" s="60">
        <f>Inicial!A75</f>
        <v>73</v>
      </c>
      <c r="B75" s="61" t="str">
        <f>Inicial!B75</f>
        <v>Desposte</v>
      </c>
      <c r="C75" s="61" t="str">
        <f>Inicial!C75</f>
        <v>Operario de producción Línea Pulpa Piernas</v>
      </c>
      <c r="D75" s="62" t="str">
        <f>Inicial!D75</f>
        <v>Extracción de posta negra</v>
      </c>
      <c r="E75" s="60" t="str">
        <f>IF(Inicial!N75="SI",Inicial!E75,"N/A")</f>
        <v>N/A</v>
      </c>
      <c r="F75" s="61" t="str">
        <f>IF(Inicial!N75="SI",Inicial!F75,"N/A")</f>
        <v>N/A</v>
      </c>
      <c r="G75" s="61" t="str">
        <f>IF(Inicial!N75="SI",Inicial!G75,"N/A")</f>
        <v>N/A</v>
      </c>
      <c r="H75" s="61" t="str">
        <f>IF(Inicial!N75="SI",Inicial!H75,"N/A")</f>
        <v>N/A</v>
      </c>
      <c r="I75" s="63" t="str">
        <f>IF(Inicial!N75="SI",Inicial!I75,"N/A")</f>
        <v>N/A</v>
      </c>
      <c r="L75" s="1"/>
      <c r="M75" s="1"/>
      <c r="N75" s="1"/>
      <c r="O75" s="1"/>
      <c r="P75" s="1"/>
      <c r="Q75" s="1"/>
      <c r="R75" s="1"/>
      <c r="S75" s="1"/>
      <c r="T75" s="1"/>
      <c r="U75" s="1"/>
      <c r="X75" s="80" t="str" cm="1">
        <f t="array" ref="X75">IF(OR(J75:W75="NO"),"No aceptable","Aceptable")</f>
        <v>Aceptable</v>
      </c>
      <c r="AN75" s="3" t="str" cm="1">
        <f t="array" ref="AN75">IF(OR(Y75:AM75="NO"),"Critico","No Critico")</f>
        <v>No Critico</v>
      </c>
    </row>
    <row r="76" spans="1:40" ht="51">
      <c r="A76" s="60">
        <f>Inicial!A76</f>
        <v>74</v>
      </c>
      <c r="B76" s="61" t="str">
        <f>Inicial!B76</f>
        <v>Desposte</v>
      </c>
      <c r="C76" s="61" t="str">
        <f>Inicial!C76</f>
        <v>Operario de producción Línea Pulpa Piernas</v>
      </c>
      <c r="D76" s="62" t="str">
        <f>Inicial!D76</f>
        <v>Extracción de asiento</v>
      </c>
      <c r="E76" s="60" t="str">
        <f>IF(Inicial!N76="SI",Inicial!E76,"N/A")</f>
        <v>N/A</v>
      </c>
      <c r="F76" s="61" t="str">
        <f>IF(Inicial!N76="SI",Inicial!F76,"N/A")</f>
        <v>N/A</v>
      </c>
      <c r="G76" s="61" t="str">
        <f>IF(Inicial!N76="SI",Inicial!G76,"N/A")</f>
        <v>N/A</v>
      </c>
      <c r="H76" s="61" t="str">
        <f>IF(Inicial!N76="SI",Inicial!H76,"N/A")</f>
        <v>N/A</v>
      </c>
      <c r="I76" s="63" t="str">
        <f>IF(Inicial!N76="SI",Inicial!I76,"N/A")</f>
        <v>N/A</v>
      </c>
      <c r="L76" s="1"/>
      <c r="M76" s="1"/>
      <c r="N76" s="1"/>
      <c r="O76" s="1"/>
      <c r="P76" s="1"/>
      <c r="Q76" s="1"/>
      <c r="R76" s="1"/>
      <c r="S76" s="1"/>
      <c r="T76" s="1"/>
      <c r="U76" s="1"/>
      <c r="X76" s="80" t="str" cm="1">
        <f t="array" ref="X76">IF(OR(J76:W76="NO"),"No aceptable","Aceptable")</f>
        <v>Aceptable</v>
      </c>
      <c r="AN76" s="3" t="str" cm="1">
        <f t="array" ref="AN76">IF(OR(Y76:AM76="NO"),"Critico","No Critico")</f>
        <v>No Critico</v>
      </c>
    </row>
    <row r="77" spans="1:40" ht="51">
      <c r="A77" s="60">
        <f>Inicial!A77</f>
        <v>75</v>
      </c>
      <c r="B77" s="61" t="str">
        <f>Inicial!B77</f>
        <v>Desposte</v>
      </c>
      <c r="C77" s="61" t="str">
        <f>Inicial!C77</f>
        <v>Operario de producción Línea Pulpa Piernas</v>
      </c>
      <c r="D77" s="62" t="str">
        <f>Inicial!D77</f>
        <v xml:space="preserve">Extracción de abastero </v>
      </c>
      <c r="E77" s="60" t="str">
        <f>IF(Inicial!N77="SI",Inicial!E77,"N/A")</f>
        <v>N/A</v>
      </c>
      <c r="F77" s="61" t="str">
        <f>IF(Inicial!N77="SI",Inicial!F77,"N/A")</f>
        <v>N/A</v>
      </c>
      <c r="G77" s="61" t="str">
        <f>IF(Inicial!N77="SI",Inicial!G77,"N/A")</f>
        <v>N/A</v>
      </c>
      <c r="H77" s="61" t="str">
        <f>IF(Inicial!N77="SI",Inicial!H77,"N/A")</f>
        <v>N/A</v>
      </c>
      <c r="I77" s="63" t="str">
        <f>IF(Inicial!N77="SI",Inicial!I77,"N/A")</f>
        <v>N/A</v>
      </c>
      <c r="L77" s="1"/>
      <c r="M77" s="1"/>
      <c r="N77" s="1"/>
      <c r="O77" s="1"/>
      <c r="P77" s="1"/>
      <c r="Q77" s="1"/>
      <c r="R77" s="1"/>
      <c r="S77" s="1"/>
      <c r="T77" s="1"/>
      <c r="U77" s="1"/>
      <c r="X77" s="80" t="str" cm="1">
        <f t="array" ref="X77">IF(OR(J77:W77="NO"),"No aceptable","Aceptable")</f>
        <v>Aceptable</v>
      </c>
      <c r="AN77" s="3" t="str" cm="1">
        <f t="array" ref="AN77">IF(OR(Y77:AM77="NO"),"Critico","No Critico")</f>
        <v>No Critico</v>
      </c>
    </row>
    <row r="78" spans="1:40" ht="51">
      <c r="A78" s="60">
        <f>Inicial!A78</f>
        <v>76</v>
      </c>
      <c r="B78" s="61" t="str">
        <f>Inicial!B78</f>
        <v>Desposte</v>
      </c>
      <c r="C78" s="61" t="str">
        <f>Inicial!C78</f>
        <v>Operario de producción Línea Pulpa Piernas</v>
      </c>
      <c r="D78" s="62" t="str">
        <f>Inicial!D78</f>
        <v>Extracción de ganso</v>
      </c>
      <c r="E78" s="60" t="str">
        <f>IF(Inicial!N78="SI",Inicial!E78,"N/A")</f>
        <v>N/A</v>
      </c>
      <c r="F78" s="61" t="str">
        <f>IF(Inicial!N78="SI",Inicial!F78,"N/A")</f>
        <v>N/A</v>
      </c>
      <c r="G78" s="61" t="str">
        <f>IF(Inicial!N78="SI",Inicial!G78,"N/A")</f>
        <v>N/A</v>
      </c>
      <c r="H78" s="61" t="str">
        <f>IF(Inicial!N78="SI",Inicial!H78,"N/A")</f>
        <v>N/A</v>
      </c>
      <c r="I78" s="63" t="str">
        <f>IF(Inicial!N78="SI",Inicial!I78,"N/A")</f>
        <v>N/A</v>
      </c>
      <c r="L78" s="1"/>
      <c r="M78" s="1"/>
      <c r="N78" s="1"/>
      <c r="O78" s="1"/>
      <c r="P78" s="1"/>
      <c r="Q78" s="1"/>
      <c r="R78" s="1"/>
      <c r="S78" s="1"/>
      <c r="T78" s="1"/>
      <c r="U78" s="1"/>
      <c r="X78" s="80" t="str" cm="1">
        <f t="array" ref="X78">IF(OR(J78:W78="NO"),"No aceptable","Aceptable")</f>
        <v>Aceptable</v>
      </c>
      <c r="AN78" s="3" t="str" cm="1">
        <f t="array" ref="AN78">IF(OR(Y78:AM78="NO"),"Critico","No Critico")</f>
        <v>No Critico</v>
      </c>
    </row>
    <row r="79" spans="1:40" ht="51">
      <c r="A79" s="60">
        <f>Inicial!A79</f>
        <v>77</v>
      </c>
      <c r="B79" s="61" t="str">
        <f>Inicial!B79</f>
        <v>Desposte</v>
      </c>
      <c r="C79" s="61" t="str">
        <f>Inicial!C79</f>
        <v>Operario de producción Línea Pulpa Piernas</v>
      </c>
      <c r="D79" s="62" t="str">
        <f>Inicial!D79</f>
        <v>Operador desmenbranadora</v>
      </c>
      <c r="E79" s="60" t="str">
        <f>IF(Inicial!N79="SI",Inicial!E79,"N/A")</f>
        <v>N/A</v>
      </c>
      <c r="F79" s="61" t="str">
        <f>IF(Inicial!N79="SI",Inicial!F79,"N/A")</f>
        <v>N/A</v>
      </c>
      <c r="G79" s="61" t="str">
        <f>IF(Inicial!N79="SI",Inicial!G79,"N/A")</f>
        <v>N/A</v>
      </c>
      <c r="H79" s="61" t="str">
        <f>IF(Inicial!N79="SI",Inicial!H79,"N/A")</f>
        <v>N/A</v>
      </c>
      <c r="I79" s="63" t="str">
        <f>IF(Inicial!N79="SI",Inicial!I79,"N/A")</f>
        <v>N/A</v>
      </c>
      <c r="L79" s="1"/>
      <c r="M79" s="1"/>
      <c r="N79" s="1"/>
      <c r="O79" s="1"/>
      <c r="P79" s="1"/>
      <c r="Q79" s="1"/>
      <c r="R79" s="1"/>
      <c r="S79" s="1"/>
      <c r="T79" s="1"/>
      <c r="U79" s="1"/>
      <c r="X79" s="80" t="str" cm="1">
        <f t="array" ref="X79">IF(OR(J79:W79="NO"),"No aceptable","Aceptable")</f>
        <v>Aceptable</v>
      </c>
      <c r="AN79" s="3" t="str" cm="1">
        <f t="array" ref="AN79">IF(OR(Y79:AM79="NO"),"Critico","No Critico")</f>
        <v>No Critico</v>
      </c>
    </row>
    <row r="80" spans="1:40" ht="51">
      <c r="A80" s="60">
        <f>Inicial!A80</f>
        <v>78</v>
      </c>
      <c r="B80" s="61" t="str">
        <f>Inicial!B80</f>
        <v>Desposte</v>
      </c>
      <c r="C80" s="61" t="str">
        <f>Inicial!C80</f>
        <v>Operario de producción Línea Pulpa Piernas</v>
      </c>
      <c r="D80" s="62" t="str">
        <f>Inicial!D80</f>
        <v xml:space="preserve">Embalaje </v>
      </c>
      <c r="E80" s="60" t="str">
        <f>IF(Inicial!N80="SI",Inicial!E80,"N/A")</f>
        <v>N/A</v>
      </c>
      <c r="F80" s="61" t="str">
        <f>IF(Inicial!N80="SI",Inicial!F80,"N/A")</f>
        <v>N/A</v>
      </c>
      <c r="G80" s="61" t="str">
        <f>IF(Inicial!N80="SI",Inicial!G80,"N/A")</f>
        <v>N/A</v>
      </c>
      <c r="H80" s="61" t="str">
        <f>IF(Inicial!N80="SI",Inicial!H80,"N/A")</f>
        <v>N/A</v>
      </c>
      <c r="I80" s="63" t="str">
        <f>IF(Inicial!N80="SI",Inicial!I80,"N/A")</f>
        <v>N/A</v>
      </c>
      <c r="L80" s="1"/>
      <c r="M80" s="1"/>
      <c r="N80" s="1"/>
      <c r="O80" s="1"/>
      <c r="P80" s="1"/>
      <c r="Q80" s="1"/>
      <c r="R80" s="1"/>
      <c r="S80" s="1"/>
      <c r="T80" s="1"/>
      <c r="U80" s="1"/>
      <c r="X80" s="80" t="str" cm="1">
        <f t="array" ref="X80">IF(OR(J80:W80="NO"),"No aceptable","Aceptable")</f>
        <v>Aceptable</v>
      </c>
      <c r="AN80" s="3" t="str" cm="1">
        <f t="array" ref="AN80">IF(OR(Y80:AM80="NO"),"Critico","No Critico")</f>
        <v>No Critico</v>
      </c>
    </row>
    <row r="81" spans="1:40" ht="51">
      <c r="A81" s="60">
        <f>Inicial!A81</f>
        <v>79</v>
      </c>
      <c r="B81" s="61" t="str">
        <f>Inicial!B81</f>
        <v>Desposte</v>
      </c>
      <c r="C81" s="61" t="str">
        <f>Inicial!C81</f>
        <v>Operario de producción Línea Pulpa Piernas</v>
      </c>
      <c r="D81" s="62" t="str">
        <f>Inicial!D81</f>
        <v>Prolijado de Cueros</v>
      </c>
      <c r="E81" s="60" t="str">
        <f>IF(Inicial!N81="SI",Inicial!E81,"N/A")</f>
        <v>N/A</v>
      </c>
      <c r="F81" s="61" t="str">
        <f>IF(Inicial!N81="SI",Inicial!F81,"N/A")</f>
        <v>N/A</v>
      </c>
      <c r="G81" s="61" t="str">
        <f>IF(Inicial!N81="SI",Inicial!G81,"N/A")</f>
        <v>N/A</v>
      </c>
      <c r="H81" s="61" t="str">
        <f>IF(Inicial!N81="SI",Inicial!H81,"N/A")</f>
        <v>N/A</v>
      </c>
      <c r="I81" s="63" t="str">
        <f>IF(Inicial!N81="SI",Inicial!I81,"N/A")</f>
        <v>N/A</v>
      </c>
      <c r="L81" s="1"/>
      <c r="M81" s="1"/>
      <c r="N81" s="1"/>
      <c r="O81" s="1"/>
      <c r="P81" s="1"/>
      <c r="Q81" s="1"/>
      <c r="R81" s="1"/>
      <c r="S81" s="1"/>
      <c r="T81" s="1"/>
      <c r="U81" s="1"/>
      <c r="X81" s="80" t="str" cm="1">
        <f t="array" ref="X81">IF(OR(J81:W81="NO"),"No aceptable","Aceptable")</f>
        <v>Aceptable</v>
      </c>
      <c r="AN81" s="3" t="str" cm="1">
        <f t="array" ref="AN81">IF(OR(Y81:AM81="NO"),"Critico","No Critico")</f>
        <v>No Critico</v>
      </c>
    </row>
    <row r="82" spans="1:40" ht="51">
      <c r="A82" s="60">
        <f>Inicial!A82</f>
        <v>80</v>
      </c>
      <c r="B82" s="61" t="str">
        <f>Inicial!B82</f>
        <v>Desposte</v>
      </c>
      <c r="C82" s="61" t="str">
        <f>Inicial!C82</f>
        <v>Operario de producción Línea Pulpa Piernas</v>
      </c>
      <c r="D82" s="62" t="str">
        <f>Inicial!D82</f>
        <v>Operador descueradora</v>
      </c>
      <c r="E82" s="60" t="str">
        <f>IF(Inicial!N82="SI",Inicial!E82,"N/A")</f>
        <v>N/A</v>
      </c>
      <c r="F82" s="61" t="str">
        <f>IF(Inicial!N82="SI",Inicial!F82,"N/A")</f>
        <v>N/A</v>
      </c>
      <c r="G82" s="61" t="str">
        <f>IF(Inicial!N82="SI",Inicial!G82,"N/A")</f>
        <v>N/A</v>
      </c>
      <c r="H82" s="61" t="str">
        <f>IF(Inicial!N82="SI",Inicial!H82,"N/A")</f>
        <v>N/A</v>
      </c>
      <c r="I82" s="63" t="str">
        <f>IF(Inicial!N82="SI",Inicial!I82,"N/A")</f>
        <v>N/A</v>
      </c>
      <c r="L82" s="1"/>
      <c r="M82" s="1"/>
      <c r="N82" s="1"/>
      <c r="O82" s="1"/>
      <c r="P82" s="1"/>
      <c r="Q82" s="1"/>
      <c r="R82" s="1"/>
      <c r="S82" s="1"/>
      <c r="T82" s="1"/>
      <c r="U82" s="1"/>
      <c r="X82" s="80" t="str" cm="1">
        <f t="array" ref="X82">IF(OR(J82:W82="NO"),"No aceptable","Aceptable")</f>
        <v>Aceptable</v>
      </c>
      <c r="AN82" s="3" t="str" cm="1">
        <f t="array" ref="AN82">IF(OR(Y82:AM82="NO"),"Critico","No Critico")</f>
        <v>No Critico</v>
      </c>
    </row>
    <row r="83" spans="1:40" ht="51">
      <c r="A83" s="60">
        <f>Inicial!A83</f>
        <v>81</v>
      </c>
      <c r="B83" s="61" t="str">
        <f>Inicial!B83</f>
        <v>Desposte</v>
      </c>
      <c r="C83" s="61" t="str">
        <f>Inicial!C83</f>
        <v>Operario de producción Línea Embolsado</v>
      </c>
      <c r="D83" s="62" t="str">
        <f>Inicial!D83</f>
        <v>Revision de pancetas robot</v>
      </c>
      <c r="E83" s="60" t="str">
        <f>IF(Inicial!N83="SI",Inicial!E83,"N/A")</f>
        <v>N/A</v>
      </c>
      <c r="F83" s="61" t="str">
        <f>IF(Inicial!N83="SI",Inicial!F83,"N/A")</f>
        <v>N/A</v>
      </c>
      <c r="G83" s="61" t="str">
        <f>IF(Inicial!N83="SI",Inicial!G83,"N/A")</f>
        <v>N/A</v>
      </c>
      <c r="H83" s="61" t="str">
        <f>IF(Inicial!N83="SI",Inicial!H83,"N/A")</f>
        <v>N/A</v>
      </c>
      <c r="I83" s="63" t="str">
        <f>IF(Inicial!N83="SI",Inicial!I83,"N/A")</f>
        <v>N/A</v>
      </c>
      <c r="L83" s="1"/>
      <c r="M83" s="1"/>
      <c r="N83" s="1"/>
      <c r="O83" s="1"/>
      <c r="P83" s="1"/>
      <c r="Q83" s="1"/>
      <c r="R83" s="1"/>
      <c r="S83" s="1"/>
      <c r="T83" s="1"/>
      <c r="U83" s="1"/>
      <c r="X83" s="80" t="str" cm="1">
        <f t="array" ref="X83">IF(OR(J83:W83="NO"),"No aceptable","Aceptable")</f>
        <v>Aceptable</v>
      </c>
      <c r="AN83" s="3" t="str" cm="1">
        <f t="array" ref="AN83">IF(OR(Y83:AM83="NO"),"Critico","No Critico")</f>
        <v>No Critico</v>
      </c>
    </row>
    <row r="84" spans="1:40" ht="51">
      <c r="A84" s="60">
        <f>Inicial!A84</f>
        <v>82</v>
      </c>
      <c r="B84" s="61" t="str">
        <f>Inicial!B84</f>
        <v>Desposte</v>
      </c>
      <c r="C84" s="61" t="str">
        <f>Inicial!C84</f>
        <v>Operario de producción Línea Embolsado</v>
      </c>
      <c r="D84" s="62" t="str">
        <f>Inicial!D84</f>
        <v>Operador de robot</v>
      </c>
      <c r="E84" s="60" t="str">
        <f>IF(Inicial!N84="SI",Inicial!E84,"N/A")</f>
        <v>N/A</v>
      </c>
      <c r="F84" s="61" t="str">
        <f>IF(Inicial!N84="SI",Inicial!F84,"N/A")</f>
        <v>N/A</v>
      </c>
      <c r="G84" s="61" t="str">
        <f>IF(Inicial!N84="SI",Inicial!G84,"N/A")</f>
        <v>N/A</v>
      </c>
      <c r="H84" s="61" t="str">
        <f>IF(Inicial!N84="SI",Inicial!H84,"N/A")</f>
        <v>N/A</v>
      </c>
      <c r="I84" s="63" t="str">
        <f>IF(Inicial!N84="SI",Inicial!I84,"N/A")</f>
        <v>N/A</v>
      </c>
      <c r="L84" s="1"/>
      <c r="M84" s="1"/>
      <c r="N84" s="1"/>
      <c r="O84" s="1"/>
      <c r="P84" s="1"/>
      <c r="Q84" s="1"/>
      <c r="R84" s="1"/>
      <c r="S84" s="1"/>
      <c r="T84" s="1"/>
      <c r="U84" s="1"/>
      <c r="X84" s="80" t="str" cm="1">
        <f t="array" ref="X84">IF(OR(J84:W84="NO"),"No aceptable","Aceptable")</f>
        <v>Aceptable</v>
      </c>
      <c r="AN84" s="3" t="str" cm="1">
        <f t="array" ref="AN84">IF(OR(Y84:AM84="NO"),"Critico","No Critico")</f>
        <v>No Critico</v>
      </c>
    </row>
    <row r="85" spans="1:40" ht="51">
      <c r="A85" s="60">
        <f>Inicial!A85</f>
        <v>83</v>
      </c>
      <c r="B85" s="61" t="str">
        <f>Inicial!B85</f>
        <v>Desposte</v>
      </c>
      <c r="C85" s="61" t="str">
        <f>Inicial!C85</f>
        <v>Operario de producción Línea Embolsado</v>
      </c>
      <c r="D85" s="62" t="str">
        <f>Inicial!D85</f>
        <v>Operador de rotativa</v>
      </c>
      <c r="E85" s="60" t="str">
        <f>IF(Inicial!N85="SI",Inicial!E85,"N/A")</f>
        <v>N/A</v>
      </c>
      <c r="F85" s="61" t="str">
        <f>IF(Inicial!N85="SI",Inicial!F85,"N/A")</f>
        <v>N/A</v>
      </c>
      <c r="G85" s="61" t="str">
        <f>IF(Inicial!N85="SI",Inicial!G85,"N/A")</f>
        <v>N/A</v>
      </c>
      <c r="H85" s="61" t="str">
        <f>IF(Inicial!N85="SI",Inicial!H85,"N/A")</f>
        <v>N/A</v>
      </c>
      <c r="I85" s="63" t="str">
        <f>IF(Inicial!N85="SI",Inicial!I85,"N/A")</f>
        <v>N/A</v>
      </c>
      <c r="L85" s="1"/>
      <c r="M85" s="1"/>
      <c r="N85" s="1"/>
      <c r="O85" s="1"/>
      <c r="P85" s="1"/>
      <c r="Q85" s="1"/>
      <c r="R85" s="1"/>
      <c r="S85" s="1"/>
      <c r="T85" s="1"/>
      <c r="U85" s="1"/>
      <c r="X85" s="80" t="str" cm="1">
        <f t="array" ref="X85">IF(OR(J85:W85="NO"),"No aceptable","Aceptable")</f>
        <v>Aceptable</v>
      </c>
      <c r="AN85" s="3" t="str" cm="1">
        <f t="array" ref="AN85">IF(OR(Y85:AM85="NO"),"Critico","No Critico")</f>
        <v>No Critico</v>
      </c>
    </row>
    <row r="86" spans="1:40" ht="51">
      <c r="A86" s="60">
        <f>Inicial!A86</f>
        <v>84</v>
      </c>
      <c r="B86" s="61" t="str">
        <f>Inicial!B86</f>
        <v>Desposte</v>
      </c>
      <c r="C86" s="61" t="str">
        <f>Inicial!C86</f>
        <v>Operario de producción Línea Embolsado</v>
      </c>
      <c r="D86" s="62" t="str">
        <f>Inicial!D86</f>
        <v>Traspaso de productos</v>
      </c>
      <c r="E86" s="60" t="str">
        <f>IF(Inicial!N86="SI",Inicial!E86,"N/A")</f>
        <v>N/A</v>
      </c>
      <c r="F86" s="61" t="str">
        <f>IF(Inicial!N86="SI",Inicial!F86,"N/A")</f>
        <v>N/A</v>
      </c>
      <c r="G86" s="61" t="str">
        <f>IF(Inicial!N86="SI",Inicial!G86,"N/A")</f>
        <v>N/A</v>
      </c>
      <c r="H86" s="61" t="str">
        <f>IF(Inicial!N86="SI",Inicial!H86,"N/A")</f>
        <v>N/A</v>
      </c>
      <c r="I86" s="63" t="str">
        <f>IF(Inicial!N86="SI",Inicial!I86,"N/A")</f>
        <v>N/A</v>
      </c>
      <c r="L86" s="1"/>
      <c r="M86" s="1"/>
      <c r="N86" s="1"/>
      <c r="O86" s="1"/>
      <c r="P86" s="1"/>
      <c r="Q86" s="1"/>
      <c r="R86" s="1"/>
      <c r="S86" s="1"/>
      <c r="T86" s="1"/>
      <c r="U86" s="1"/>
      <c r="X86" s="80" t="str" cm="1">
        <f t="array" ref="X86">IF(OR(J86:W86="NO"),"No aceptable","Aceptable")</f>
        <v>Aceptable</v>
      </c>
      <c r="AN86" s="3" t="str" cm="1">
        <f t="array" ref="AN86">IF(OR(Y86:AM86="NO"),"Critico","No Critico")</f>
        <v>No Critico</v>
      </c>
    </row>
    <row r="87" spans="1:40" ht="51">
      <c r="A87" s="60">
        <f>Inicial!A87</f>
        <v>85</v>
      </c>
      <c r="B87" s="61" t="str">
        <f>Inicial!B87</f>
        <v>Desposte</v>
      </c>
      <c r="C87" s="61" t="str">
        <f>Inicial!C87</f>
        <v>Operario de producción Línea Embolsado</v>
      </c>
      <c r="D87" s="62" t="str">
        <f>Inicial!D87</f>
        <v>Operador Rayos X</v>
      </c>
      <c r="E87" s="60" t="str">
        <f>IF(Inicial!N87="SI",Inicial!E87,"N/A")</f>
        <v>N/A</v>
      </c>
      <c r="F87" s="61" t="str">
        <f>IF(Inicial!N87="SI",Inicial!F87,"N/A")</f>
        <v>N/A</v>
      </c>
      <c r="G87" s="61" t="str">
        <f>IF(Inicial!N87="SI",Inicial!G87,"N/A")</f>
        <v>N/A</v>
      </c>
      <c r="H87" s="61" t="str">
        <f>IF(Inicial!N87="SI",Inicial!H87,"N/A")</f>
        <v>N/A</v>
      </c>
      <c r="I87" s="63" t="str">
        <f>IF(Inicial!N87="SI",Inicial!I87,"N/A")</f>
        <v>N/A</v>
      </c>
      <c r="L87" s="1"/>
      <c r="M87" s="1"/>
      <c r="N87" s="1"/>
      <c r="O87" s="1"/>
      <c r="P87" s="1"/>
      <c r="Q87" s="1"/>
      <c r="R87" s="1"/>
      <c r="S87" s="1"/>
      <c r="T87" s="1"/>
      <c r="U87" s="1"/>
      <c r="X87" s="80" t="str" cm="1">
        <f t="array" ref="X87">IF(OR(J87:W87="NO"),"No aceptable","Aceptable")</f>
        <v>Aceptable</v>
      </c>
      <c r="AN87" s="3" t="str" cm="1">
        <f t="array" ref="AN87">IF(OR(Y87:AM87="NO"),"Critico","No Critico")</f>
        <v>No Critico</v>
      </c>
    </row>
    <row r="88" spans="1:40" ht="51">
      <c r="A88" s="60">
        <f>Inicial!A88</f>
        <v>86</v>
      </c>
      <c r="B88" s="61" t="str">
        <f>Inicial!B88</f>
        <v>Desposte</v>
      </c>
      <c r="C88" s="61" t="str">
        <f>Inicial!C88</f>
        <v>Operario de producción Línea Embolsado</v>
      </c>
      <c r="D88" s="62" t="str">
        <f>Inicial!D88</f>
        <v>Termoformadora</v>
      </c>
      <c r="E88" s="60" t="str">
        <f>IF(Inicial!N88="SI",Inicial!E88,"N/A")</f>
        <v>N/A</v>
      </c>
      <c r="F88" s="61" t="str">
        <f>IF(Inicial!N88="SI",Inicial!F88,"N/A")</f>
        <v>N/A</v>
      </c>
      <c r="G88" s="61" t="str">
        <f>IF(Inicial!N88="SI",Inicial!G88,"N/A")</f>
        <v>N/A</v>
      </c>
      <c r="H88" s="61" t="str">
        <f>IF(Inicial!N88="SI",Inicial!H88,"N/A")</f>
        <v>N/A</v>
      </c>
      <c r="I88" s="63" t="str">
        <f>IF(Inicial!N88="SI",Inicial!I88,"N/A")</f>
        <v>N/A</v>
      </c>
      <c r="L88" s="1"/>
      <c r="M88" s="1"/>
      <c r="N88" s="1"/>
      <c r="O88" s="1"/>
      <c r="P88" s="1"/>
      <c r="Q88" s="1"/>
      <c r="R88" s="1"/>
      <c r="S88" s="1"/>
      <c r="T88" s="1"/>
      <c r="U88" s="1"/>
      <c r="X88" s="80" t="str" cm="1">
        <f t="array" ref="X88">IF(OR(J88:W88="NO"),"No aceptable","Aceptable")</f>
        <v>Aceptable</v>
      </c>
      <c r="AN88" s="3" t="str" cm="1">
        <f t="array" ref="AN88">IF(OR(Y88:AM88="NO"),"Critico","No Critico")</f>
        <v>No Critico</v>
      </c>
    </row>
    <row r="89" spans="1:40" ht="51">
      <c r="A89" s="60">
        <f>Inicial!A89</f>
        <v>87</v>
      </c>
      <c r="B89" s="61" t="str">
        <f>Inicial!B89</f>
        <v>Desposte</v>
      </c>
      <c r="C89" s="61" t="str">
        <f>Inicial!C89</f>
        <v>Operario de producción Línea Embolsado</v>
      </c>
      <c r="D89" s="62" t="str">
        <f>Inicial!D89</f>
        <v>Revision de pancetas termoformadora</v>
      </c>
      <c r="E89" s="60" t="str">
        <f>IF(Inicial!N89="SI",Inicial!E89,"N/A")</f>
        <v>N/A</v>
      </c>
      <c r="F89" s="61" t="str">
        <f>IF(Inicial!N89="SI",Inicial!F89,"N/A")</f>
        <v>N/A</v>
      </c>
      <c r="G89" s="61" t="str">
        <f>IF(Inicial!N89="SI",Inicial!G89,"N/A")</f>
        <v>N/A</v>
      </c>
      <c r="H89" s="61" t="str">
        <f>IF(Inicial!N89="SI",Inicial!H89,"N/A")</f>
        <v>N/A</v>
      </c>
      <c r="I89" s="63" t="str">
        <f>IF(Inicial!N89="SI",Inicial!I89,"N/A")</f>
        <v>N/A</v>
      </c>
      <c r="L89" s="1"/>
      <c r="M89" s="1"/>
      <c r="N89" s="1"/>
      <c r="O89" s="1"/>
      <c r="P89" s="1"/>
      <c r="Q89" s="1"/>
      <c r="R89" s="1"/>
      <c r="S89" s="1"/>
      <c r="T89" s="1"/>
      <c r="U89" s="1"/>
      <c r="X89" s="80" t="str" cm="1">
        <f t="array" ref="X89">IF(OR(J89:W89="NO"),"No aceptable","Aceptable")</f>
        <v>Aceptable</v>
      </c>
      <c r="AN89" s="3" t="str" cm="1">
        <f t="array" ref="AN89">IF(OR(Y89:AM89="NO"),"Critico","No Critico")</f>
        <v>No Critico</v>
      </c>
    </row>
    <row r="90" spans="1:40" ht="51">
      <c r="A90" s="60">
        <f>Inicial!A90</f>
        <v>88</v>
      </c>
      <c r="B90" s="61" t="str">
        <f>Inicial!B90</f>
        <v>Desposte</v>
      </c>
      <c r="C90" s="61" t="str">
        <f>Inicial!C90</f>
        <v>Operario de producción Línea Embolsado</v>
      </c>
      <c r="D90" s="62" t="str">
        <f>Inicial!D90</f>
        <v>Embolsado lomo mm loin</v>
      </c>
      <c r="E90" s="60" t="str">
        <f>IF(Inicial!N90="SI",Inicial!E90,"N/A")</f>
        <v>N/A</v>
      </c>
      <c r="F90" s="61" t="str">
        <f>IF(Inicial!N90="SI",Inicial!F90,"N/A")</f>
        <v>N/A</v>
      </c>
      <c r="G90" s="61" t="str">
        <f>IF(Inicial!N90="SI",Inicial!G90,"N/A")</f>
        <v>N/A</v>
      </c>
      <c r="H90" s="61" t="str">
        <f>IF(Inicial!N90="SI",Inicial!H90,"N/A")</f>
        <v>N/A</v>
      </c>
      <c r="I90" s="63" t="str">
        <f>IF(Inicial!N90="SI",Inicial!I90,"N/A")</f>
        <v>N/A</v>
      </c>
      <c r="L90" s="1"/>
      <c r="M90" s="1"/>
      <c r="N90" s="1"/>
      <c r="O90" s="1"/>
      <c r="P90" s="1"/>
      <c r="Q90" s="1"/>
      <c r="R90" s="1"/>
      <c r="S90" s="1"/>
      <c r="T90" s="1"/>
      <c r="U90" s="1"/>
      <c r="X90" s="80" t="str" cm="1">
        <f t="array" ref="X90">IF(OR(J90:W90="NO"),"No aceptable","Aceptable")</f>
        <v>Aceptable</v>
      </c>
      <c r="AN90" s="3" t="str" cm="1">
        <f t="array" ref="AN90">IF(OR(Y90:AM90="NO"),"Critico","No Critico")</f>
        <v>No Critico</v>
      </c>
    </row>
    <row r="91" spans="1:40" ht="51">
      <c r="A91" s="60">
        <f>Inicial!A91</f>
        <v>89</v>
      </c>
      <c r="B91" s="61" t="str">
        <f>Inicial!B91</f>
        <v>Desposte</v>
      </c>
      <c r="C91" s="61" t="str">
        <f>Inicial!C91</f>
        <v>Operario de producción Línea Embolsado</v>
      </c>
      <c r="D91" s="62" t="str">
        <f>Inicial!D91</f>
        <v>Embolsado  lomo  vetado</v>
      </c>
      <c r="E91" s="60" t="str">
        <f>IF(Inicial!N91="SI",Inicial!E91,"N/A")</f>
        <v>N/A</v>
      </c>
      <c r="F91" s="61" t="str">
        <f>IF(Inicial!N91="SI",Inicial!F91,"N/A")</f>
        <v>N/A</v>
      </c>
      <c r="G91" s="61" t="str">
        <f>IF(Inicial!N91="SI",Inicial!G91,"N/A")</f>
        <v>N/A</v>
      </c>
      <c r="H91" s="61" t="str">
        <f>IF(Inicial!N91="SI",Inicial!H91,"N/A")</f>
        <v>N/A</v>
      </c>
      <c r="I91" s="63" t="str">
        <f>IF(Inicial!N91="SI",Inicial!I91,"N/A")</f>
        <v>N/A</v>
      </c>
      <c r="L91" s="1"/>
      <c r="M91" s="1"/>
      <c r="N91" s="1"/>
      <c r="O91" s="1"/>
      <c r="P91" s="1"/>
      <c r="Q91" s="1"/>
      <c r="R91" s="1"/>
      <c r="S91" s="1"/>
      <c r="T91" s="1"/>
      <c r="U91" s="1"/>
      <c r="X91" s="80" t="str" cm="1">
        <f t="array" ref="X91">IF(OR(J91:W91="NO"),"No aceptable","Aceptable")</f>
        <v>Aceptable</v>
      </c>
      <c r="AN91" s="3" t="str" cm="1">
        <f t="array" ref="AN91">IF(OR(Y91:AM91="NO"),"Critico","No Critico")</f>
        <v>No Critico</v>
      </c>
    </row>
    <row r="92" spans="1:40" ht="51">
      <c r="A92" s="60">
        <f>Inicial!A92</f>
        <v>90</v>
      </c>
      <c r="B92" s="61" t="str">
        <f>Inicial!B92</f>
        <v>Desposte</v>
      </c>
      <c r="C92" s="61" t="str">
        <f>Inicial!C92</f>
        <v>Operario de producción Línea Embolsado</v>
      </c>
      <c r="D92" s="62" t="str">
        <f>Inicial!D92</f>
        <v>Embolsado de pancetas</v>
      </c>
      <c r="E92" s="60" t="str">
        <f>IF(Inicial!N92="SI",Inicial!E92,"N/A")</f>
        <v>N/A</v>
      </c>
      <c r="F92" s="61" t="str">
        <f>IF(Inicial!N92="SI",Inicial!F92,"N/A")</f>
        <v>N/A</v>
      </c>
      <c r="G92" s="61" t="str">
        <f>IF(Inicial!N92="SI",Inicial!G92,"N/A")</f>
        <v>N/A</v>
      </c>
      <c r="H92" s="61" t="str">
        <f>IF(Inicial!N92="SI",Inicial!H92,"N/A")</f>
        <v>N/A</v>
      </c>
      <c r="I92" s="63" t="str">
        <f>IF(Inicial!N92="SI",Inicial!I92,"N/A")</f>
        <v>N/A</v>
      </c>
      <c r="X92" s="80" t="str" cm="1">
        <f t="array" ref="X92">IF(OR(J92:W92="NO"),"No aceptable","Aceptable")</f>
        <v>Aceptable</v>
      </c>
      <c r="AN92" s="3" t="str" cm="1">
        <f t="array" ref="AN92">IF(OR(Y92:AM92="NO"),"Critico","No Critico")</f>
        <v>No Critico</v>
      </c>
    </row>
    <row r="93" spans="1:40" ht="51">
      <c r="A93" s="60">
        <f>Inicial!A93</f>
        <v>91</v>
      </c>
      <c r="B93" s="61" t="str">
        <f>Inicial!B93</f>
        <v>Desposte</v>
      </c>
      <c r="C93" s="61" t="str">
        <f>Inicial!C93</f>
        <v>Operario de producción Línea Embolsado</v>
      </c>
      <c r="D93" s="62" t="str">
        <f>Inicial!D93</f>
        <v>Embolsado de lomo tecla</v>
      </c>
      <c r="E93" s="60" t="str">
        <f>IF(Inicial!N93="SI",Inicial!E93,"N/A")</f>
        <v>N/A</v>
      </c>
      <c r="F93" s="61" t="str">
        <f>IF(Inicial!N93="SI",Inicial!F93,"N/A")</f>
        <v>N/A</v>
      </c>
      <c r="G93" s="61" t="str">
        <f>IF(Inicial!N93="SI",Inicial!G93,"N/A")</f>
        <v>N/A</v>
      </c>
      <c r="H93" s="61" t="str">
        <f>IF(Inicial!N93="SI",Inicial!H93,"N/A")</f>
        <v>N/A</v>
      </c>
      <c r="I93" s="63" t="str">
        <f>IF(Inicial!N93="SI",Inicial!I93,"N/A")</f>
        <v>N/A</v>
      </c>
      <c r="X93" s="80" t="str" cm="1">
        <f t="array" ref="X93">IF(OR(J93:W93="NO"),"No aceptable","Aceptable")</f>
        <v>Aceptable</v>
      </c>
      <c r="AN93" s="3" t="str" cm="1">
        <f t="array" ref="AN93">IF(OR(Y93:AM93="NO"),"Critico","No Critico")</f>
        <v>No Critico</v>
      </c>
    </row>
    <row r="94" spans="1:40" ht="51">
      <c r="A94" s="60">
        <f>Inicial!A94</f>
        <v>92</v>
      </c>
      <c r="B94" s="61" t="str">
        <f>Inicial!B94</f>
        <v>Desposte</v>
      </c>
      <c r="C94" s="61" t="str">
        <f>Inicial!C94</f>
        <v>Operario de producción Línea Embolsado</v>
      </c>
      <c r="D94" s="62" t="str">
        <f>Inicial!D94</f>
        <v>Reproceso</v>
      </c>
      <c r="E94" s="60" t="str">
        <f>IF(Inicial!N94="SI",Inicial!E94,"N/A")</f>
        <v>N/A</v>
      </c>
      <c r="F94" s="61" t="str">
        <f>IF(Inicial!N94="SI",Inicial!F94,"N/A")</f>
        <v>N/A</v>
      </c>
      <c r="G94" s="61" t="str">
        <f>IF(Inicial!N94="SI",Inicial!G94,"N/A")</f>
        <v>N/A</v>
      </c>
      <c r="H94" s="61" t="str">
        <f>IF(Inicial!N94="SI",Inicial!H94,"N/A")</f>
        <v>N/A</v>
      </c>
      <c r="I94" s="63" t="str">
        <f>IF(Inicial!N94="SI",Inicial!I94,"N/A")</f>
        <v>N/A</v>
      </c>
      <c r="X94" s="80" t="str" cm="1">
        <f t="array" ref="X94">IF(OR(J94:W94="NO"),"No aceptable","Aceptable")</f>
        <v>Aceptable</v>
      </c>
      <c r="AN94" s="3" t="str" cm="1">
        <f t="array" ref="AN94">IF(OR(Y94:AM94="NO"),"Critico","No Critico")</f>
        <v>No Critico</v>
      </c>
    </row>
    <row r="95" spans="1:40" ht="38.25">
      <c r="A95" s="60">
        <f>Inicial!A95</f>
        <v>93</v>
      </c>
      <c r="B95" s="61" t="str">
        <f>Inicial!B95</f>
        <v>Desposte</v>
      </c>
      <c r="C95" s="61" t="str">
        <f>Inicial!C95</f>
        <v>Operario de producción Línea Pancetas</v>
      </c>
      <c r="D95" s="62" t="str">
        <f>Inicial!D95</f>
        <v>Operador de descueradora automatica (ABT)</v>
      </c>
      <c r="E95" s="60" t="str">
        <f>IF(Inicial!N95="SI",Inicial!E95,"N/A")</f>
        <v>N/A</v>
      </c>
      <c r="F95" s="61" t="str">
        <f>IF(Inicial!N95="SI",Inicial!F95,"N/A")</f>
        <v>N/A</v>
      </c>
      <c r="G95" s="61" t="str">
        <f>IF(Inicial!N95="SI",Inicial!G95,"N/A")</f>
        <v>N/A</v>
      </c>
      <c r="H95" s="61" t="str">
        <f>IF(Inicial!N95="SI",Inicial!H95,"N/A")</f>
        <v>N/A</v>
      </c>
      <c r="I95" s="63" t="str">
        <f>IF(Inicial!N95="SI",Inicial!I95,"N/A")</f>
        <v>N/A</v>
      </c>
      <c r="X95" s="80" t="str" cm="1">
        <f t="array" ref="X95">IF(OR(J95:W95="NO"),"No aceptable","Aceptable")</f>
        <v>Aceptable</v>
      </c>
      <c r="AN95" s="3" t="str" cm="1">
        <f t="array" ref="AN95">IF(OR(Y95:AM95="NO"),"Critico","No Critico")</f>
        <v>No Critico</v>
      </c>
    </row>
    <row r="96" spans="1:40" ht="38.25">
      <c r="A96" s="60">
        <f>Inicial!A96</f>
        <v>94</v>
      </c>
      <c r="B96" s="61" t="str">
        <f>Inicial!B96</f>
        <v>Desposte</v>
      </c>
      <c r="C96" s="61" t="str">
        <f>Inicial!C96</f>
        <v>Operario de producción Línea Pancetas</v>
      </c>
      <c r="D96" s="62" t="str">
        <f>Inicial!D96</f>
        <v>Acomodador de pancetas</v>
      </c>
      <c r="E96" s="60" t="str">
        <f>IF(Inicial!N96="SI",Inicial!E96,"N/A")</f>
        <v>N/A</v>
      </c>
      <c r="F96" s="61" t="str">
        <f>IF(Inicial!N96="SI",Inicial!F96,"N/A")</f>
        <v>N/A</v>
      </c>
      <c r="G96" s="61" t="str">
        <f>IF(Inicial!N96="SI",Inicial!G96,"N/A")</f>
        <v>N/A</v>
      </c>
      <c r="H96" s="61" t="str">
        <f>IF(Inicial!N96="SI",Inicial!H96,"N/A")</f>
        <v>N/A</v>
      </c>
      <c r="I96" s="63" t="str">
        <f>IF(Inicial!N96="SI",Inicial!I96,"N/A")</f>
        <v>N/A</v>
      </c>
      <c r="X96" s="80" t="str" cm="1">
        <f t="array" ref="X96">IF(OR(J96:W96="NO"),"No aceptable","Aceptable")</f>
        <v>Aceptable</v>
      </c>
      <c r="AN96" s="3" t="str" cm="1">
        <f t="array" ref="AN96">IF(OR(Y96:AM96="NO"),"Critico","No Critico")</f>
        <v>No Critico</v>
      </c>
    </row>
    <row r="97" spans="1:40" ht="38.25">
      <c r="A97" s="60">
        <f>Inicial!A97</f>
        <v>95</v>
      </c>
      <c r="B97" s="61" t="str">
        <f>Inicial!B97</f>
        <v>Desposte</v>
      </c>
      <c r="C97" s="61" t="str">
        <f>Inicial!C97</f>
        <v>Operario de producción Línea Pancetas</v>
      </c>
      <c r="D97" s="62" t="str">
        <f>Inicial!D97</f>
        <v xml:space="preserve">Separación de recortes falda y laterales </v>
      </c>
      <c r="E97" s="60" t="str">
        <f>IF(Inicial!N97="SI",Inicial!E97,"N/A")</f>
        <v>N/A</v>
      </c>
      <c r="F97" s="61" t="str">
        <f>IF(Inicial!N97="SI",Inicial!F97,"N/A")</f>
        <v>N/A</v>
      </c>
      <c r="G97" s="61" t="str">
        <f>IF(Inicial!N97="SI",Inicial!G97,"N/A")</f>
        <v>N/A</v>
      </c>
      <c r="H97" s="61" t="str">
        <f>IF(Inicial!N97="SI",Inicial!H97,"N/A")</f>
        <v>N/A</v>
      </c>
      <c r="I97" s="63" t="str">
        <f>IF(Inicial!N97="SI",Inicial!I97,"N/A")</f>
        <v>N/A</v>
      </c>
      <c r="X97" s="80" t="str" cm="1">
        <f t="array" ref="X97">IF(OR(J97:W97="NO"),"No aceptable","Aceptable")</f>
        <v>Aceptable</v>
      </c>
      <c r="AN97" s="3" t="str" cm="1">
        <f t="array" ref="AN97">IF(OR(Y97:AM97="NO"),"Critico","No Critico")</f>
        <v>No Critico</v>
      </c>
    </row>
    <row r="98" spans="1:40" ht="38.25">
      <c r="A98" s="60">
        <f>Inicial!A98</f>
        <v>96</v>
      </c>
      <c r="B98" s="61" t="str">
        <f>Inicial!B98</f>
        <v>Desposte</v>
      </c>
      <c r="C98" s="61" t="str">
        <f>Inicial!C98</f>
        <v>Operario de producción Línea Pancetas</v>
      </c>
      <c r="D98" s="62" t="str">
        <f>Inicial!D98</f>
        <v>Prolijado de Cueros</v>
      </c>
      <c r="E98" s="60" t="str">
        <f>IF(Inicial!N98="SI",Inicial!E98,"N/A")</f>
        <v>N/A</v>
      </c>
      <c r="F98" s="61" t="str">
        <f>IF(Inicial!N98="SI",Inicial!F98,"N/A")</f>
        <v>N/A</v>
      </c>
      <c r="G98" s="61" t="str">
        <f>IF(Inicial!N98="SI",Inicial!G98,"N/A")</f>
        <v>N/A</v>
      </c>
      <c r="H98" s="61" t="str">
        <f>IF(Inicial!N98="SI",Inicial!H98,"N/A")</f>
        <v>N/A</v>
      </c>
      <c r="I98" s="63" t="str">
        <f>IF(Inicial!N98="SI",Inicial!I98,"N/A")</f>
        <v>N/A</v>
      </c>
      <c r="X98" s="80" t="str" cm="1">
        <f t="array" ref="X98">IF(OR(J98:W98="NO"),"No aceptable","Aceptable")</f>
        <v>Aceptable</v>
      </c>
      <c r="AN98" s="3" t="str" cm="1">
        <f t="array" ref="AN98">IF(OR(Y98:AM98="NO"),"Critico","No Critico")</f>
        <v>No Critico</v>
      </c>
    </row>
    <row r="99" spans="1:40" ht="38.25">
      <c r="A99" s="60">
        <f>Inicial!A99</f>
        <v>97</v>
      </c>
      <c r="B99" s="61" t="str">
        <f>Inicial!B99</f>
        <v>Desposte</v>
      </c>
      <c r="C99" s="61" t="str">
        <f>Inicial!C99</f>
        <v>Operario de producción Línea Pancetas</v>
      </c>
      <c r="D99" s="62" t="str">
        <f>Inicial!D99</f>
        <v>Prolijado de tiras de panceta</v>
      </c>
      <c r="E99" s="60" t="str">
        <f>IF(Inicial!N99="SI",Inicial!E99,"N/A")</f>
        <v>N/A</v>
      </c>
      <c r="F99" s="61" t="str">
        <f>IF(Inicial!N99="SI",Inicial!F99,"N/A")</f>
        <v>N/A</v>
      </c>
      <c r="G99" s="61" t="str">
        <f>IF(Inicial!N99="SI",Inicial!G99,"N/A")</f>
        <v>N/A</v>
      </c>
      <c r="H99" s="61" t="str">
        <f>IF(Inicial!N99="SI",Inicial!H99,"N/A")</f>
        <v>N/A</v>
      </c>
      <c r="I99" s="63" t="str">
        <f>IF(Inicial!N99="SI",Inicial!I99,"N/A")</f>
        <v>N/A</v>
      </c>
      <c r="X99" s="80" t="str" cm="1">
        <f t="array" ref="X99">IF(OR(J99:W99="NO"),"No aceptable","Aceptable")</f>
        <v>Aceptable</v>
      </c>
      <c r="AN99" s="3" t="str" cm="1">
        <f t="array" ref="AN99">IF(OR(Y99:AM99="NO"),"Critico","No Critico")</f>
        <v>No Critico</v>
      </c>
    </row>
    <row r="100" spans="1:40" ht="38.25">
      <c r="A100" s="60">
        <f>Inicial!A100</f>
        <v>98</v>
      </c>
      <c r="B100" s="61" t="str">
        <f>Inicial!B100</f>
        <v>Desposte</v>
      </c>
      <c r="C100" s="61" t="str">
        <f>Inicial!C100</f>
        <v>Operario de producción Línea Pancetas</v>
      </c>
      <c r="D100" s="62" t="str">
        <f>Inicial!D100</f>
        <v>Prolijado de falda</v>
      </c>
      <c r="E100" s="60" t="str">
        <f>IF(Inicial!N100="SI",Inicial!E100,"N/A")</f>
        <v>N/A</v>
      </c>
      <c r="F100" s="61" t="str">
        <f>IF(Inicial!N100="SI",Inicial!F100,"N/A")</f>
        <v>N/A</v>
      </c>
      <c r="G100" s="61" t="str">
        <f>IF(Inicial!N100="SI",Inicial!G100,"N/A")</f>
        <v>N/A</v>
      </c>
      <c r="H100" s="61" t="str">
        <f>IF(Inicial!N100="SI",Inicial!H100,"N/A")</f>
        <v>N/A</v>
      </c>
      <c r="I100" s="63" t="str">
        <f>IF(Inicial!N100="SI",Inicial!I100,"N/A")</f>
        <v>N/A</v>
      </c>
      <c r="X100" s="80" t="str" cm="1">
        <f t="array" ref="X100">IF(OR(J100:W100="NO"),"No aceptable","Aceptable")</f>
        <v>Aceptable</v>
      </c>
      <c r="AN100" s="3" t="str" cm="1">
        <f t="array" ref="AN100">IF(OR(Y100:AM100="NO"),"Critico","No Critico")</f>
        <v>No Critico</v>
      </c>
    </row>
    <row r="101" spans="1:40" ht="38.25">
      <c r="A101" s="60">
        <f>Inicial!A101</f>
        <v>99</v>
      </c>
      <c r="B101" s="61" t="str">
        <f>Inicial!B101</f>
        <v>Desposte</v>
      </c>
      <c r="C101" s="61" t="str">
        <f>Inicial!C101</f>
        <v>Operario de producción Línea Pancetas</v>
      </c>
      <c r="D101" s="62" t="str">
        <f>Inicial!D101</f>
        <v>Acomodador de pancetas salida de ABT</v>
      </c>
      <c r="E101" s="60" t="str">
        <f>IF(Inicial!N101="SI",Inicial!E101,"N/A")</f>
        <v>N/A</v>
      </c>
      <c r="F101" s="61" t="str">
        <f>IF(Inicial!N101="SI",Inicial!F101,"N/A")</f>
        <v>N/A</v>
      </c>
      <c r="G101" s="61" t="str">
        <f>IF(Inicial!N101="SI",Inicial!G101,"N/A")</f>
        <v>N/A</v>
      </c>
      <c r="H101" s="61" t="str">
        <f>IF(Inicial!N101="SI",Inicial!H101,"N/A")</f>
        <v>N/A</v>
      </c>
      <c r="I101" s="63" t="str">
        <f>IF(Inicial!N101="SI",Inicial!I101,"N/A")</f>
        <v>N/A</v>
      </c>
      <c r="X101" s="80" t="str" cm="1">
        <f t="array" ref="X101">IF(OR(J101:W101="NO"),"No aceptable","Aceptable")</f>
        <v>Aceptable</v>
      </c>
      <c r="AN101" s="3" t="str" cm="1">
        <f t="array" ref="AN101">IF(OR(Y101:AM101="NO"),"Critico","No Critico")</f>
        <v>No Critico</v>
      </c>
    </row>
    <row r="102" spans="1:40" ht="38.25">
      <c r="A102" s="60">
        <f>Inicial!A102</f>
        <v>100</v>
      </c>
      <c r="B102" s="61" t="str">
        <f>Inicial!B102</f>
        <v>Desposte</v>
      </c>
      <c r="C102" s="61" t="str">
        <f>Inicial!C102</f>
        <v>Operario de producción Línea Pancetas</v>
      </c>
      <c r="D102" s="62" t="str">
        <f>Inicial!D102</f>
        <v>Biselado</v>
      </c>
      <c r="E102" s="60" t="str">
        <f>IF(Inicial!N102="SI",Inicial!E102,"N/A")</f>
        <v>N/A</v>
      </c>
      <c r="F102" s="61" t="str">
        <f>IF(Inicial!N102="SI",Inicial!F102,"N/A")</f>
        <v>N/A</v>
      </c>
      <c r="G102" s="61" t="str">
        <f>IF(Inicial!N102="SI",Inicial!G102,"N/A")</f>
        <v>N/A</v>
      </c>
      <c r="H102" s="61" t="str">
        <f>IF(Inicial!N102="SI",Inicial!H102,"N/A")</f>
        <v>N/A</v>
      </c>
      <c r="I102" s="63" t="str">
        <f>IF(Inicial!N102="SI",Inicial!I102,"N/A")</f>
        <v>N/A</v>
      </c>
      <c r="X102" s="80" t="str" cm="1">
        <f t="array" ref="X102">IF(OR(J102:W102="NO"),"No aceptable","Aceptable")</f>
        <v>Aceptable</v>
      </c>
      <c r="AN102" s="3" t="str" cm="1">
        <f t="array" ref="AN102">IF(OR(Y102:AM102="NO"),"Critico","No Critico")</f>
        <v>No Critico</v>
      </c>
    </row>
    <row r="103" spans="1:40" ht="38.25">
      <c r="A103" s="60">
        <f>Inicial!A103</f>
        <v>101</v>
      </c>
      <c r="B103" s="61" t="str">
        <f>Inicial!B103</f>
        <v>Desposte</v>
      </c>
      <c r="C103" s="61" t="str">
        <f>Inicial!C103</f>
        <v>Operario de producción Línea Pancetas</v>
      </c>
      <c r="D103" s="62" t="str">
        <f>Inicial!D103</f>
        <v>Prolijado de panceta / pecho</v>
      </c>
      <c r="E103" s="60" t="str">
        <f>IF(Inicial!N103="SI",Inicial!E103,"N/A")</f>
        <v>N/A</v>
      </c>
      <c r="F103" s="61" t="str">
        <f>IF(Inicial!N103="SI",Inicial!F103,"N/A")</f>
        <v>N/A</v>
      </c>
      <c r="G103" s="61" t="str">
        <f>IF(Inicial!N103="SI",Inicial!G103,"N/A")</f>
        <v>N/A</v>
      </c>
      <c r="H103" s="61" t="str">
        <f>IF(Inicial!N103="SI",Inicial!H103,"N/A")</f>
        <v>N/A</v>
      </c>
      <c r="I103" s="63" t="str">
        <f>IF(Inicial!N103="SI",Inicial!I103,"N/A")</f>
        <v>N/A</v>
      </c>
      <c r="X103" s="80" t="str" cm="1">
        <f t="array" ref="X103">IF(OR(J103:W103="NO"),"No aceptable","Aceptable")</f>
        <v>Aceptable</v>
      </c>
      <c r="AN103" s="3" t="str" cm="1">
        <f t="array" ref="AN103">IF(OR(Y103:AM103="NO"),"Critico","No Critico")</f>
        <v>No Critico</v>
      </c>
    </row>
    <row r="104" spans="1:40" ht="38.25">
      <c r="A104" s="60">
        <f>Inicial!A104</f>
        <v>102</v>
      </c>
      <c r="B104" s="61" t="str">
        <f>Inicial!B104</f>
        <v>Desposte</v>
      </c>
      <c r="C104" s="61" t="str">
        <f>Inicial!C104</f>
        <v>Operario de producción Línea Pancetas</v>
      </c>
      <c r="D104" s="62" t="str">
        <f>Inicial!D104</f>
        <v>Calibrado de panceta</v>
      </c>
      <c r="E104" s="60" t="str">
        <f>IF(Inicial!N104="SI",Inicial!E104,"N/A")</f>
        <v>N/A</v>
      </c>
      <c r="F104" s="61" t="str">
        <f>IF(Inicial!N104="SI",Inicial!F104,"N/A")</f>
        <v>N/A</v>
      </c>
      <c r="G104" s="61" t="str">
        <f>IF(Inicial!N104="SI",Inicial!G104,"N/A")</f>
        <v>N/A</v>
      </c>
      <c r="H104" s="61" t="str">
        <f>IF(Inicial!N104="SI",Inicial!H104,"N/A")</f>
        <v>N/A</v>
      </c>
      <c r="I104" s="63" t="str">
        <f>IF(Inicial!N104="SI",Inicial!I104,"N/A")</f>
        <v>N/A</v>
      </c>
      <c r="X104" s="80" t="str" cm="1">
        <f t="array" ref="X104">IF(OR(J104:W104="NO"),"No aceptable","Aceptable")</f>
        <v>Aceptable</v>
      </c>
      <c r="AN104" s="3" t="str" cm="1">
        <f t="array" ref="AN104">IF(OR(Y104:AM104="NO"),"Critico","No Critico")</f>
        <v>No Critico</v>
      </c>
    </row>
    <row r="105" spans="1:40" ht="38.25">
      <c r="A105" s="60">
        <f>Inicial!A105</f>
        <v>103</v>
      </c>
      <c r="B105" s="61" t="str">
        <f>Inicial!B105</f>
        <v>Desposte</v>
      </c>
      <c r="C105" s="61" t="str">
        <f>Inicial!C105</f>
        <v>Operario de producción Línea Pancetas</v>
      </c>
      <c r="D105" s="62" t="str">
        <f>Inicial!D105</f>
        <v>Revisión final de panceta</v>
      </c>
      <c r="E105" s="60" t="str">
        <f>IF(Inicial!N105="SI",Inicial!E105,"N/A")</f>
        <v>N/A</v>
      </c>
      <c r="F105" s="61" t="str">
        <f>IF(Inicial!N105="SI",Inicial!F105,"N/A")</f>
        <v>N/A</v>
      </c>
      <c r="G105" s="61" t="str">
        <f>IF(Inicial!N105="SI",Inicial!G105,"N/A")</f>
        <v>N/A</v>
      </c>
      <c r="H105" s="61" t="str">
        <f>IF(Inicial!N105="SI",Inicial!H105,"N/A")</f>
        <v>N/A</v>
      </c>
      <c r="I105" s="63" t="str">
        <f>IF(Inicial!N105="SI",Inicial!I105,"N/A")</f>
        <v>N/A</v>
      </c>
      <c r="X105" s="80" t="str" cm="1">
        <f t="array" ref="X105">IF(OR(J105:W105="NO"),"No aceptable","Aceptable")</f>
        <v>Aceptable</v>
      </c>
      <c r="AN105" s="3" t="str" cm="1">
        <f t="array" ref="AN105">IF(OR(Y105:AM105="NO"),"Critico","No Critico")</f>
        <v>No Critico</v>
      </c>
    </row>
    <row r="106" spans="1:40" ht="38.25">
      <c r="A106" s="60">
        <f>Inicial!A106</f>
        <v>104</v>
      </c>
      <c r="B106" s="61" t="str">
        <f>Inicial!B106</f>
        <v>Desposte</v>
      </c>
      <c r="C106" s="61" t="str">
        <f>Inicial!C106</f>
        <v>Operario de producción Línea Pancetas</v>
      </c>
      <c r="D106" s="62" t="str">
        <f>Inicial!D106</f>
        <v>Extracción de tetillas ABT</v>
      </c>
      <c r="E106" s="60" t="str">
        <f>IF(Inicial!N106="SI",Inicial!E106,"N/A")</f>
        <v>N/A</v>
      </c>
      <c r="F106" s="61" t="str">
        <f>IF(Inicial!N106="SI",Inicial!F106,"N/A")</f>
        <v>N/A</v>
      </c>
      <c r="G106" s="61" t="str">
        <f>IF(Inicial!N106="SI",Inicial!G106,"N/A")</f>
        <v>N/A</v>
      </c>
      <c r="H106" s="61" t="str">
        <f>IF(Inicial!N106="SI",Inicial!H106,"N/A")</f>
        <v>N/A</v>
      </c>
      <c r="I106" s="63" t="str">
        <f>IF(Inicial!N106="SI",Inicial!I106,"N/A")</f>
        <v>N/A</v>
      </c>
      <c r="X106" s="80" t="str" cm="1">
        <f t="array" ref="X106">IF(OR(J106:W106="NO"),"No aceptable","Aceptable")</f>
        <v>Aceptable</v>
      </c>
      <c r="AN106" s="3" t="str" cm="1">
        <f t="array" ref="AN106">IF(OR(Y106:AM106="NO"),"Critico","No Critico")</f>
        <v>No Critico</v>
      </c>
    </row>
    <row r="107" spans="1:40" ht="38.25">
      <c r="A107" s="60">
        <f>Inicial!A107</f>
        <v>105</v>
      </c>
      <c r="B107" s="61" t="str">
        <f>Inicial!B107</f>
        <v>Desposte</v>
      </c>
      <c r="C107" s="61" t="str">
        <f>Inicial!C107</f>
        <v>Operario de producción Línea Pancetas</v>
      </c>
      <c r="D107" s="62" t="str">
        <f>Inicial!D107</f>
        <v>Extracción de manteca</v>
      </c>
      <c r="E107" s="60" t="str">
        <f>IF(Inicial!N107="SI",Inicial!E107,"N/A")</f>
        <v>N/A</v>
      </c>
      <c r="F107" s="61" t="str">
        <f>IF(Inicial!N107="SI",Inicial!F107,"N/A")</f>
        <v>N/A</v>
      </c>
      <c r="G107" s="61" t="str">
        <f>IF(Inicial!N107="SI",Inicial!G107,"N/A")</f>
        <v>N/A</v>
      </c>
      <c r="H107" s="61" t="str">
        <f>IF(Inicial!N107="SI",Inicial!H107,"N/A")</f>
        <v>N/A</v>
      </c>
      <c r="I107" s="63" t="str">
        <f>IF(Inicial!N107="SI",Inicial!I107,"N/A")</f>
        <v>N/A</v>
      </c>
      <c r="X107" s="80" t="str" cm="1">
        <f t="array" ref="X107">IF(OR(J107:W107="NO"),"No aceptable","Aceptable")</f>
        <v>Aceptable</v>
      </c>
      <c r="AN107" s="3" t="str" cm="1">
        <f t="array" ref="AN107">IF(OR(Y107:AM107="NO"),"Critico","No Critico")</f>
        <v>No Critico</v>
      </c>
    </row>
    <row r="108" spans="1:40" ht="15">
      <c r="A108" s="60">
        <f>Inicial!A108</f>
        <v>106</v>
      </c>
      <c r="B108" s="61">
        <f>Inicial!B108</f>
        <v>0</v>
      </c>
      <c r="C108" s="61">
        <f>Inicial!C108</f>
        <v>0</v>
      </c>
      <c r="D108" s="62">
        <f>Inicial!D108</f>
        <v>0</v>
      </c>
      <c r="E108" s="60" t="str">
        <f>IF(Inicial!N108="SI",Inicial!E108,"N/A")</f>
        <v>N/A</v>
      </c>
      <c r="F108" s="61" t="str">
        <f>IF(Inicial!N108="SI",Inicial!F108,"N/A")</f>
        <v>N/A</v>
      </c>
      <c r="G108" s="61" t="str">
        <f>IF(Inicial!N108="SI",Inicial!G108,"N/A")</f>
        <v>N/A</v>
      </c>
      <c r="H108" s="61" t="str">
        <f>IF(Inicial!N108="SI",Inicial!H108,"N/A")</f>
        <v>N/A</v>
      </c>
      <c r="I108" s="63" t="str">
        <f>IF(Inicial!N108="SI",Inicial!I108,"N/A")</f>
        <v>N/A</v>
      </c>
      <c r="X108" s="80" t="str" cm="1">
        <f t="array" ref="X108">IF(OR(J108:W108="NO"),"No aceptable","Aceptable")</f>
        <v>Aceptable</v>
      </c>
      <c r="AN108" s="3" t="str" cm="1">
        <f t="array" ref="AN108">IF(OR(Y108:AM108="NO"),"Critico","No Critico")</f>
        <v>No Critico</v>
      </c>
    </row>
    <row r="109" spans="1:40" ht="15">
      <c r="A109" s="60">
        <f>Inicial!A109</f>
        <v>107</v>
      </c>
      <c r="B109" s="61">
        <f>Inicial!B109</f>
        <v>0</v>
      </c>
      <c r="C109" s="61">
        <f>Inicial!C109</f>
        <v>0</v>
      </c>
      <c r="D109" s="62">
        <f>Inicial!D109</f>
        <v>0</v>
      </c>
      <c r="E109" s="60" t="str">
        <f>IF(Inicial!N109="SI",Inicial!E109,"N/A")</f>
        <v>N/A</v>
      </c>
      <c r="F109" s="61" t="str">
        <f>IF(Inicial!N109="SI",Inicial!F109,"N/A")</f>
        <v>N/A</v>
      </c>
      <c r="G109" s="61" t="str">
        <f>IF(Inicial!N109="SI",Inicial!G109,"N/A")</f>
        <v>N/A</v>
      </c>
      <c r="H109" s="61" t="str">
        <f>IF(Inicial!N109="SI",Inicial!H109,"N/A")</f>
        <v>N/A</v>
      </c>
      <c r="I109" s="63" t="str">
        <f>IF(Inicial!N109="SI",Inicial!I109,"N/A")</f>
        <v>N/A</v>
      </c>
      <c r="X109" s="80" t="str" cm="1">
        <f t="array" ref="X109">IF(OR(J109:W109="NO"),"No aceptable","Aceptable")</f>
        <v>Aceptable</v>
      </c>
      <c r="AN109" s="3" t="str" cm="1">
        <f t="array" ref="AN109">IF(OR(Y109:AM109="NO"),"Critico","No Critico")</f>
        <v>No Critico</v>
      </c>
    </row>
    <row r="110" spans="1:40" ht="15">
      <c r="A110" s="60">
        <f>Inicial!A110</f>
        <v>108</v>
      </c>
      <c r="B110" s="61">
        <f>Inicial!B110</f>
        <v>0</v>
      </c>
      <c r="C110" s="61">
        <f>Inicial!C110</f>
        <v>0</v>
      </c>
      <c r="D110" s="62">
        <f>Inicial!D110</f>
        <v>0</v>
      </c>
      <c r="E110" s="60" t="str">
        <f>IF(Inicial!N110="SI",Inicial!E110,"N/A")</f>
        <v>N/A</v>
      </c>
      <c r="F110" s="61" t="str">
        <f>IF(Inicial!N110="SI",Inicial!F110,"N/A")</f>
        <v>N/A</v>
      </c>
      <c r="G110" s="61" t="str">
        <f>IF(Inicial!N110="SI",Inicial!G110,"N/A")</f>
        <v>N/A</v>
      </c>
      <c r="H110" s="61" t="str">
        <f>IF(Inicial!N110="SI",Inicial!H110,"N/A")</f>
        <v>N/A</v>
      </c>
      <c r="I110" s="63" t="str">
        <f>IF(Inicial!N110="SI",Inicial!I110,"N/A")</f>
        <v>N/A</v>
      </c>
      <c r="X110" s="80" t="str" cm="1">
        <f t="array" ref="X110">IF(OR(J110:W110="NO"),"No aceptable","Aceptable")</f>
        <v>Aceptable</v>
      </c>
      <c r="AN110" s="3" t="str" cm="1">
        <f t="array" ref="AN110">IF(OR(Y110:AM110="NO"),"Critico","No Critico")</f>
        <v>No Critico</v>
      </c>
    </row>
    <row r="111" spans="1:40" ht="15">
      <c r="A111" s="60">
        <f>Inicial!A111</f>
        <v>109</v>
      </c>
      <c r="B111" s="61">
        <f>Inicial!B111</f>
        <v>0</v>
      </c>
      <c r="C111" s="61">
        <f>Inicial!C111</f>
        <v>0</v>
      </c>
      <c r="D111" s="62">
        <f>Inicial!D111</f>
        <v>0</v>
      </c>
      <c r="E111" s="60" t="str">
        <f>IF(Inicial!N111="SI",Inicial!E111,"N/A")</f>
        <v>N/A</v>
      </c>
      <c r="F111" s="61" t="str">
        <f>IF(Inicial!N111="SI",Inicial!F111,"N/A")</f>
        <v>N/A</v>
      </c>
      <c r="G111" s="61" t="str">
        <f>IF(Inicial!N111="SI",Inicial!G111,"N/A")</f>
        <v>N/A</v>
      </c>
      <c r="H111" s="61" t="str">
        <f>IF(Inicial!N111="SI",Inicial!H111,"N/A")</f>
        <v>N/A</v>
      </c>
      <c r="I111" s="63" t="str">
        <f>IF(Inicial!N111="SI",Inicial!I111,"N/A")</f>
        <v>N/A</v>
      </c>
      <c r="X111" s="80" t="str" cm="1">
        <f t="array" ref="X111">IF(OR(J111:W111="NO"),"No aceptable","Aceptable")</f>
        <v>Aceptable</v>
      </c>
      <c r="AN111" s="3" t="str" cm="1">
        <f t="array" ref="AN111">IF(OR(Y111:AM111="NO"),"Critico","No Critico")</f>
        <v>No Critico</v>
      </c>
    </row>
    <row r="112" spans="1:40" ht="15">
      <c r="A112" s="60">
        <f>Inicial!A112</f>
        <v>110</v>
      </c>
      <c r="B112" s="61">
        <f>Inicial!B112</f>
        <v>0</v>
      </c>
      <c r="C112" s="61">
        <f>Inicial!C112</f>
        <v>0</v>
      </c>
      <c r="D112" s="62">
        <f>Inicial!D112</f>
        <v>0</v>
      </c>
      <c r="E112" s="60" t="str">
        <f>IF(Inicial!N112="SI",Inicial!E112,"N/A")</f>
        <v>N/A</v>
      </c>
      <c r="F112" s="61" t="str">
        <f>IF(Inicial!N112="SI",Inicial!F112,"N/A")</f>
        <v>N/A</v>
      </c>
      <c r="G112" s="61" t="str">
        <f>IF(Inicial!N112="SI",Inicial!G112,"N/A")</f>
        <v>N/A</v>
      </c>
      <c r="H112" s="61" t="str">
        <f>IF(Inicial!N112="SI",Inicial!H112,"N/A")</f>
        <v>N/A</v>
      </c>
      <c r="I112" s="63" t="str">
        <f>IF(Inicial!N112="SI",Inicial!I112,"N/A")</f>
        <v>N/A</v>
      </c>
      <c r="X112" s="80" t="str" cm="1">
        <f t="array" ref="X112">IF(OR(J112:W112="NO"),"No aceptable","Aceptable")</f>
        <v>Aceptable</v>
      </c>
      <c r="AN112" s="3" t="str" cm="1">
        <f t="array" ref="AN112">IF(OR(Y112:AM112="NO"),"Critico","No Critico")</f>
        <v>No Critico</v>
      </c>
    </row>
    <row r="113" spans="1:40" ht="15">
      <c r="A113" s="60">
        <f>Inicial!A113</f>
        <v>111</v>
      </c>
      <c r="B113" s="61">
        <f>Inicial!B113</f>
        <v>0</v>
      </c>
      <c r="C113" s="61">
        <f>Inicial!C113</f>
        <v>0</v>
      </c>
      <c r="D113" s="62">
        <f>Inicial!D113</f>
        <v>0</v>
      </c>
      <c r="E113" s="60" t="str">
        <f>IF(Inicial!N113="SI",Inicial!E113,"N/A")</f>
        <v>N/A</v>
      </c>
      <c r="F113" s="61" t="str">
        <f>IF(Inicial!N113="SI",Inicial!F113,"N/A")</f>
        <v>N/A</v>
      </c>
      <c r="G113" s="61" t="str">
        <f>IF(Inicial!N113="SI",Inicial!G113,"N/A")</f>
        <v>N/A</v>
      </c>
      <c r="H113" s="61" t="str">
        <f>IF(Inicial!N113="SI",Inicial!H113,"N/A")</f>
        <v>N/A</v>
      </c>
      <c r="I113" s="63" t="str">
        <f>IF(Inicial!N113="SI",Inicial!I113,"N/A")</f>
        <v>N/A</v>
      </c>
      <c r="X113" s="80" t="str" cm="1">
        <f t="array" ref="X113">IF(OR(J113:W113="NO"),"No aceptable","Aceptable")</f>
        <v>Aceptable</v>
      </c>
      <c r="AN113" s="3" t="str" cm="1">
        <f t="array" ref="AN113">IF(OR(Y113:AM113="NO"),"Critico","No Critico")</f>
        <v>No Critico</v>
      </c>
    </row>
    <row r="114" spans="1:40" ht="15">
      <c r="A114" s="60">
        <f>Inicial!A114</f>
        <v>112</v>
      </c>
      <c r="B114" s="61">
        <f>Inicial!B114</f>
        <v>0</v>
      </c>
      <c r="C114" s="61">
        <f>Inicial!C114</f>
        <v>0</v>
      </c>
      <c r="D114" s="62">
        <f>Inicial!D114</f>
        <v>0</v>
      </c>
      <c r="E114" s="60" t="str">
        <f>IF(Inicial!N114="SI",Inicial!E114,"N/A")</f>
        <v>N/A</v>
      </c>
      <c r="F114" s="61" t="str">
        <f>IF(Inicial!N114="SI",Inicial!F114,"N/A")</f>
        <v>N/A</v>
      </c>
      <c r="G114" s="61" t="str">
        <f>IF(Inicial!N114="SI",Inicial!G114,"N/A")</f>
        <v>N/A</v>
      </c>
      <c r="H114" s="61" t="str">
        <f>IF(Inicial!N114="SI",Inicial!H114,"N/A")</f>
        <v>N/A</v>
      </c>
      <c r="I114" s="63" t="str">
        <f>IF(Inicial!N114="SI",Inicial!I114,"N/A")</f>
        <v>N/A</v>
      </c>
      <c r="X114" s="80" t="str" cm="1">
        <f t="array" ref="X114">IF(OR(J114:W114="NO"),"No aceptable","Aceptable")</f>
        <v>Aceptable</v>
      </c>
      <c r="AN114" s="3" t="str" cm="1">
        <f t="array" ref="AN114">IF(OR(Y114:AM114="NO"),"Critico","No Critico")</f>
        <v>No Critico</v>
      </c>
    </row>
    <row r="115" spans="1:40" ht="15">
      <c r="A115" s="60">
        <f>Inicial!A115</f>
        <v>113</v>
      </c>
      <c r="B115" s="61">
        <f>Inicial!B115</f>
        <v>0</v>
      </c>
      <c r="C115" s="61">
        <f>Inicial!C115</f>
        <v>0</v>
      </c>
      <c r="D115" s="62">
        <f>Inicial!D115</f>
        <v>0</v>
      </c>
      <c r="E115" s="60" t="str">
        <f>IF(Inicial!N115="SI",Inicial!E115,"N/A")</f>
        <v>N/A</v>
      </c>
      <c r="F115" s="61" t="str">
        <f>IF(Inicial!N115="SI",Inicial!F115,"N/A")</f>
        <v>N/A</v>
      </c>
      <c r="G115" s="61" t="str">
        <f>IF(Inicial!N115="SI",Inicial!G115,"N/A")</f>
        <v>N/A</v>
      </c>
      <c r="H115" s="61" t="str">
        <f>IF(Inicial!N115="SI",Inicial!H115,"N/A")</f>
        <v>N/A</v>
      </c>
      <c r="I115" s="63" t="str">
        <f>IF(Inicial!N115="SI",Inicial!I115,"N/A")</f>
        <v>N/A</v>
      </c>
      <c r="X115" s="80" t="str" cm="1">
        <f t="array" ref="X115">IF(OR(J115:W115="NO"),"No aceptable","Aceptable")</f>
        <v>Aceptable</v>
      </c>
      <c r="AN115" s="3" t="str" cm="1">
        <f t="array" ref="AN115">IF(OR(Y115:AM115="NO"),"Critico","No Critico")</f>
        <v>No Critico</v>
      </c>
    </row>
    <row r="116" spans="1:40" ht="15">
      <c r="A116" s="60">
        <f>Inicial!A116</f>
        <v>114</v>
      </c>
      <c r="B116" s="61">
        <f>Inicial!B116</f>
        <v>0</v>
      </c>
      <c r="C116" s="61">
        <f>Inicial!C116</f>
        <v>0</v>
      </c>
      <c r="D116" s="62">
        <f>Inicial!D116</f>
        <v>0</v>
      </c>
      <c r="E116" s="60" t="str">
        <f>IF(Inicial!N116="SI",Inicial!E116,"N/A")</f>
        <v>N/A</v>
      </c>
      <c r="F116" s="61" t="str">
        <f>IF(Inicial!N116="SI",Inicial!F116,"N/A")</f>
        <v>N/A</v>
      </c>
      <c r="G116" s="61" t="str">
        <f>IF(Inicial!N116="SI",Inicial!G116,"N/A")</f>
        <v>N/A</v>
      </c>
      <c r="H116" s="61" t="str">
        <f>IF(Inicial!N116="SI",Inicial!H116,"N/A")</f>
        <v>N/A</v>
      </c>
      <c r="I116" s="63" t="str">
        <f>IF(Inicial!N116="SI",Inicial!I116,"N/A")</f>
        <v>N/A</v>
      </c>
      <c r="X116" s="80" t="str" cm="1">
        <f t="array" ref="X116">IF(OR(J116:W116="NO"),"No aceptable","Aceptable")</f>
        <v>Aceptable</v>
      </c>
      <c r="AN116" s="3" t="str" cm="1">
        <f t="array" ref="AN116">IF(OR(Y116:AM116="NO"),"Critico","No Critico")</f>
        <v>No Critico</v>
      </c>
    </row>
    <row r="117" spans="1:40" ht="15">
      <c r="A117" s="60">
        <f>Inicial!A117</f>
        <v>115</v>
      </c>
      <c r="B117" s="61">
        <f>Inicial!B117</f>
        <v>0</v>
      </c>
      <c r="C117" s="61">
        <f>Inicial!C117</f>
        <v>0</v>
      </c>
      <c r="D117" s="62">
        <f>Inicial!D117</f>
        <v>0</v>
      </c>
      <c r="E117" s="60" t="str">
        <f>IF(Inicial!N117="SI",Inicial!E117,"N/A")</f>
        <v>N/A</v>
      </c>
      <c r="F117" s="61" t="str">
        <f>IF(Inicial!N117="SI",Inicial!F117,"N/A")</f>
        <v>N/A</v>
      </c>
      <c r="G117" s="61" t="str">
        <f>IF(Inicial!N117="SI",Inicial!G117,"N/A")</f>
        <v>N/A</v>
      </c>
      <c r="H117" s="61" t="str">
        <f>IF(Inicial!N117="SI",Inicial!H117,"N/A")</f>
        <v>N/A</v>
      </c>
      <c r="I117" s="63" t="str">
        <f>IF(Inicial!N117="SI",Inicial!I117,"N/A")</f>
        <v>N/A</v>
      </c>
      <c r="X117" s="80" t="str" cm="1">
        <f t="array" ref="X117">IF(OR(J117:W117="NO"),"No aceptable","Aceptable")</f>
        <v>Aceptable</v>
      </c>
      <c r="AN117" s="3" t="str" cm="1">
        <f t="array" ref="AN117">IF(OR(Y117:AM117="NO"),"Critico","No Critico")</f>
        <v>No Critico</v>
      </c>
    </row>
    <row r="118" spans="1:40" ht="15">
      <c r="A118" s="60">
        <f>Inicial!A118</f>
        <v>116</v>
      </c>
      <c r="B118" s="61">
        <f>Inicial!B118</f>
        <v>0</v>
      </c>
      <c r="C118" s="61">
        <f>Inicial!C118</f>
        <v>0</v>
      </c>
      <c r="D118" s="62">
        <f>Inicial!D118</f>
        <v>0</v>
      </c>
      <c r="E118" s="60" t="str">
        <f>IF(Inicial!N118="SI",Inicial!E118,"N/A")</f>
        <v>N/A</v>
      </c>
      <c r="F118" s="61" t="str">
        <f>IF(Inicial!N118="SI",Inicial!F118,"N/A")</f>
        <v>N/A</v>
      </c>
      <c r="G118" s="61" t="str">
        <f>IF(Inicial!N118="SI",Inicial!G118,"N/A")</f>
        <v>N/A</v>
      </c>
      <c r="H118" s="61" t="str">
        <f>IF(Inicial!N118="SI",Inicial!H118,"N/A")</f>
        <v>N/A</v>
      </c>
      <c r="I118" s="63" t="str">
        <f>IF(Inicial!N118="SI",Inicial!I118,"N/A")</f>
        <v>N/A</v>
      </c>
      <c r="X118" s="80" t="str" cm="1">
        <f t="array" ref="X118">IF(OR(J118:W118="NO"),"No aceptable","Aceptable")</f>
        <v>Aceptable</v>
      </c>
      <c r="AN118" s="3" t="str" cm="1">
        <f t="array" ref="AN118">IF(OR(Y118:AM118="NO"),"Critico","No Critico")</f>
        <v>No Critico</v>
      </c>
    </row>
    <row r="119" spans="1:40" ht="15">
      <c r="A119" s="60">
        <f>Inicial!A119</f>
        <v>117</v>
      </c>
      <c r="B119" s="61">
        <f>Inicial!B119</f>
        <v>0</v>
      </c>
      <c r="C119" s="61">
        <f>Inicial!C119</f>
        <v>0</v>
      </c>
      <c r="D119" s="62">
        <f>Inicial!D119</f>
        <v>0</v>
      </c>
      <c r="E119" s="60" t="str">
        <f>IF(Inicial!N119="SI",Inicial!E119,"N/A")</f>
        <v>N/A</v>
      </c>
      <c r="F119" s="61" t="str">
        <f>IF(Inicial!N119="SI",Inicial!F119,"N/A")</f>
        <v>N/A</v>
      </c>
      <c r="G119" s="61" t="str">
        <f>IF(Inicial!N119="SI",Inicial!G119,"N/A")</f>
        <v>N/A</v>
      </c>
      <c r="H119" s="61" t="str">
        <f>IF(Inicial!N119="SI",Inicial!H119,"N/A")</f>
        <v>N/A</v>
      </c>
      <c r="I119" s="63" t="str">
        <f>IF(Inicial!N119="SI",Inicial!I119,"N/A")</f>
        <v>N/A</v>
      </c>
      <c r="X119" s="80" t="str" cm="1">
        <f t="array" ref="X119">IF(OR(J119:W119="NO"),"No aceptable","Aceptable")</f>
        <v>Aceptable</v>
      </c>
      <c r="AN119" s="3" t="str" cm="1">
        <f t="array" ref="AN119">IF(OR(Y119:AM119="NO"),"Critico","No Critico")</f>
        <v>No Critico</v>
      </c>
    </row>
    <row r="120" spans="1:40" ht="15">
      <c r="A120" s="60">
        <f>Inicial!A120</f>
        <v>118</v>
      </c>
      <c r="B120" s="61">
        <f>Inicial!B120</f>
        <v>0</v>
      </c>
      <c r="C120" s="61">
        <f>Inicial!C120</f>
        <v>0</v>
      </c>
      <c r="D120" s="62">
        <f>Inicial!D120</f>
        <v>0</v>
      </c>
      <c r="E120" s="60" t="str">
        <f>IF(Inicial!N120="SI",Inicial!E120,"N/A")</f>
        <v>N/A</v>
      </c>
      <c r="F120" s="61" t="str">
        <f>IF(Inicial!N120="SI",Inicial!F120,"N/A")</f>
        <v>N/A</v>
      </c>
      <c r="G120" s="61" t="str">
        <f>IF(Inicial!N120="SI",Inicial!G120,"N/A")</f>
        <v>N/A</v>
      </c>
      <c r="H120" s="61" t="str">
        <f>IF(Inicial!N120="SI",Inicial!H120,"N/A")</f>
        <v>N/A</v>
      </c>
      <c r="I120" s="63" t="str">
        <f>IF(Inicial!N120="SI",Inicial!I120,"N/A")</f>
        <v>N/A</v>
      </c>
      <c r="X120" s="80" t="str" cm="1">
        <f t="array" ref="X120">IF(OR(J120:W120="NO"),"No aceptable","Aceptable")</f>
        <v>Aceptable</v>
      </c>
      <c r="AN120" s="3" t="str" cm="1">
        <f t="array" ref="AN120">IF(OR(Y120:AM120="NO"),"Critico","No Critico")</f>
        <v>No Critico</v>
      </c>
    </row>
    <row r="121" spans="1:40" ht="15">
      <c r="A121" s="60">
        <f>Inicial!A121</f>
        <v>119</v>
      </c>
      <c r="B121" s="61">
        <f>Inicial!B121</f>
        <v>0</v>
      </c>
      <c r="C121" s="61">
        <f>Inicial!C121</f>
        <v>0</v>
      </c>
      <c r="D121" s="62">
        <f>Inicial!D121</f>
        <v>0</v>
      </c>
      <c r="E121" s="60" t="str">
        <f>IF(Inicial!N121="SI",Inicial!E121,"N/A")</f>
        <v>N/A</v>
      </c>
      <c r="F121" s="61" t="str">
        <f>IF(Inicial!N121="SI",Inicial!F121,"N/A")</f>
        <v>N/A</v>
      </c>
      <c r="G121" s="61" t="str">
        <f>IF(Inicial!N121="SI",Inicial!G121,"N/A")</f>
        <v>N/A</v>
      </c>
      <c r="H121" s="61" t="str">
        <f>IF(Inicial!N121="SI",Inicial!H121,"N/A")</f>
        <v>N/A</v>
      </c>
      <c r="I121" s="63" t="str">
        <f>IF(Inicial!N121="SI",Inicial!I121,"N/A")</f>
        <v>N/A</v>
      </c>
      <c r="X121" s="80" t="str" cm="1">
        <f t="array" ref="X121">IF(OR(J121:W121="NO"),"No aceptable","Aceptable")</f>
        <v>Aceptable</v>
      </c>
      <c r="AN121" s="3" t="str" cm="1">
        <f t="array" ref="AN121">IF(OR(Y121:AM121="NO"),"Critico","No Critico")</f>
        <v>No Critico</v>
      </c>
    </row>
    <row r="122" spans="1:40" ht="15">
      <c r="A122" s="60">
        <f>Inicial!A122</f>
        <v>120</v>
      </c>
      <c r="B122" s="61">
        <f>Inicial!B122</f>
        <v>0</v>
      </c>
      <c r="C122" s="61">
        <f>Inicial!C122</f>
        <v>0</v>
      </c>
      <c r="D122" s="62">
        <f>Inicial!D122</f>
        <v>0</v>
      </c>
      <c r="E122" s="60" t="str">
        <f>IF(Inicial!N122="SI",Inicial!E122,"N/A")</f>
        <v>N/A</v>
      </c>
      <c r="F122" s="61" t="str">
        <f>IF(Inicial!N122="SI",Inicial!F122,"N/A")</f>
        <v>N/A</v>
      </c>
      <c r="G122" s="61" t="str">
        <f>IF(Inicial!N122="SI",Inicial!G122,"N/A")</f>
        <v>N/A</v>
      </c>
      <c r="H122" s="61" t="str">
        <f>IF(Inicial!N122="SI",Inicial!H122,"N/A")</f>
        <v>N/A</v>
      </c>
      <c r="I122" s="63" t="str">
        <f>IF(Inicial!N122="SI",Inicial!I122,"N/A")</f>
        <v>N/A</v>
      </c>
      <c r="X122" s="80" t="str" cm="1">
        <f t="array" ref="X122">IF(OR(J122:W122="NO"),"No aceptable","Aceptable")</f>
        <v>Aceptable</v>
      </c>
      <c r="AN122" s="3" t="str" cm="1">
        <f t="array" ref="AN122">IF(OR(Y122:AM122="NO"),"Critico","No Critico")</f>
        <v>No Critico</v>
      </c>
    </row>
    <row r="123" spans="1:40" ht="15">
      <c r="A123" s="60">
        <f>Inicial!A123</f>
        <v>121</v>
      </c>
      <c r="B123" s="61">
        <f>Inicial!B123</f>
        <v>0</v>
      </c>
      <c r="C123" s="61">
        <f>Inicial!C123</f>
        <v>0</v>
      </c>
      <c r="D123" s="62">
        <f>Inicial!D123</f>
        <v>0</v>
      </c>
      <c r="E123" s="60" t="str">
        <f>IF(Inicial!N123="SI",Inicial!E123,"N/A")</f>
        <v>N/A</v>
      </c>
      <c r="F123" s="61" t="str">
        <f>IF(Inicial!N123="SI",Inicial!F123,"N/A")</f>
        <v>N/A</v>
      </c>
      <c r="G123" s="61" t="str">
        <f>IF(Inicial!N123="SI",Inicial!G123,"N/A")</f>
        <v>N/A</v>
      </c>
      <c r="H123" s="61" t="str">
        <f>IF(Inicial!N123="SI",Inicial!H123,"N/A")</f>
        <v>N/A</v>
      </c>
      <c r="I123" s="63" t="str">
        <f>IF(Inicial!N123="SI",Inicial!I123,"N/A")</f>
        <v>N/A</v>
      </c>
      <c r="X123" s="80" t="str" cm="1">
        <f t="array" ref="X123">IF(OR(J123:W123="NO"),"No aceptable","Aceptable")</f>
        <v>Aceptable</v>
      </c>
      <c r="AN123" s="3" t="str" cm="1">
        <f t="array" ref="AN123">IF(OR(Y123:AM123="NO"),"Critico","No Critico")</f>
        <v>No Critico</v>
      </c>
    </row>
    <row r="124" spans="1:40" ht="15">
      <c r="A124" s="60">
        <f>Inicial!A124</f>
        <v>122</v>
      </c>
      <c r="B124" s="61">
        <f>Inicial!B124</f>
        <v>0</v>
      </c>
      <c r="C124" s="61">
        <f>Inicial!C124</f>
        <v>0</v>
      </c>
      <c r="D124" s="62">
        <f>Inicial!D124</f>
        <v>0</v>
      </c>
      <c r="E124" s="60" t="str">
        <f>IF(Inicial!N124="SI",Inicial!E124,"N/A")</f>
        <v>N/A</v>
      </c>
      <c r="F124" s="61" t="str">
        <f>IF(Inicial!N124="SI",Inicial!F124,"N/A")</f>
        <v>N/A</v>
      </c>
      <c r="G124" s="61" t="str">
        <f>IF(Inicial!N124="SI",Inicial!G124,"N/A")</f>
        <v>N/A</v>
      </c>
      <c r="H124" s="61" t="str">
        <f>IF(Inicial!N124="SI",Inicial!H124,"N/A")</f>
        <v>N/A</v>
      </c>
      <c r="I124" s="63" t="str">
        <f>IF(Inicial!N124="SI",Inicial!I124,"N/A")</f>
        <v>N/A</v>
      </c>
      <c r="X124" s="80" t="str" cm="1">
        <f t="array" ref="X124">IF(OR(J124:W124="NO"),"No aceptable","Aceptable")</f>
        <v>Aceptable</v>
      </c>
      <c r="AN124" s="3" t="str" cm="1">
        <f t="array" ref="AN124">IF(OR(Y124:AM124="NO"),"Critico","No Critico")</f>
        <v>No Critico</v>
      </c>
    </row>
    <row r="125" spans="1:40" ht="15">
      <c r="A125" s="60">
        <f>Inicial!A125</f>
        <v>123</v>
      </c>
      <c r="B125" s="61">
        <f>Inicial!B125</f>
        <v>0</v>
      </c>
      <c r="C125" s="61">
        <f>Inicial!C125</f>
        <v>0</v>
      </c>
      <c r="D125" s="62">
        <f>Inicial!D125</f>
        <v>0</v>
      </c>
      <c r="E125" s="60" t="str">
        <f>IF(Inicial!N125="SI",Inicial!E125,"N/A")</f>
        <v>N/A</v>
      </c>
      <c r="F125" s="61" t="str">
        <f>IF(Inicial!N125="SI",Inicial!F125,"N/A")</f>
        <v>N/A</v>
      </c>
      <c r="G125" s="61" t="str">
        <f>IF(Inicial!N125="SI",Inicial!G125,"N/A")</f>
        <v>N/A</v>
      </c>
      <c r="H125" s="61" t="str">
        <f>IF(Inicial!N125="SI",Inicial!H125,"N/A")</f>
        <v>N/A</v>
      </c>
      <c r="I125" s="63" t="str">
        <f>IF(Inicial!N125="SI",Inicial!I125,"N/A")</f>
        <v>N/A</v>
      </c>
      <c r="X125" s="80" t="str" cm="1">
        <f t="array" ref="X125">IF(OR(J125:W125="NO"),"No aceptable","Aceptable")</f>
        <v>Aceptable</v>
      </c>
      <c r="AN125" s="3" t="str" cm="1">
        <f t="array" ref="AN125">IF(OR(Y125:AM125="NO"),"Critico","No Critico")</f>
        <v>No Critico</v>
      </c>
    </row>
    <row r="126" spans="1:40" ht="15">
      <c r="A126" s="60">
        <f>Inicial!A126</f>
        <v>124</v>
      </c>
      <c r="B126" s="61">
        <f>Inicial!B126</f>
        <v>0</v>
      </c>
      <c r="C126" s="61">
        <f>Inicial!C126</f>
        <v>0</v>
      </c>
      <c r="D126" s="62">
        <f>Inicial!D126</f>
        <v>0</v>
      </c>
      <c r="E126" s="60" t="str">
        <f>IF(Inicial!N126="SI",Inicial!E126,"N/A")</f>
        <v>N/A</v>
      </c>
      <c r="F126" s="61" t="str">
        <f>IF(Inicial!N126="SI",Inicial!F126,"N/A")</f>
        <v>N/A</v>
      </c>
      <c r="G126" s="61" t="str">
        <f>IF(Inicial!N126="SI",Inicial!G126,"N/A")</f>
        <v>N/A</v>
      </c>
      <c r="H126" s="61" t="str">
        <f>IF(Inicial!N126="SI",Inicial!H126,"N/A")</f>
        <v>N/A</v>
      </c>
      <c r="I126" s="63" t="str">
        <f>IF(Inicial!N126="SI",Inicial!I126,"N/A")</f>
        <v>N/A</v>
      </c>
      <c r="X126" s="80" t="str" cm="1">
        <f t="array" ref="X126">IF(OR(J126:W126="NO"),"No aceptable","Aceptable")</f>
        <v>Aceptable</v>
      </c>
      <c r="AN126" s="3" t="str" cm="1">
        <f t="array" ref="AN126">IF(OR(Y126:AM126="NO"),"Critico","No Critico")</f>
        <v>No Critico</v>
      </c>
    </row>
    <row r="127" spans="1:40" ht="15">
      <c r="A127" s="60">
        <f>Inicial!A127</f>
        <v>125</v>
      </c>
      <c r="B127" s="61">
        <f>Inicial!B127</f>
        <v>0</v>
      </c>
      <c r="C127" s="61">
        <f>Inicial!C127</f>
        <v>0</v>
      </c>
      <c r="D127" s="62">
        <f>Inicial!D127</f>
        <v>0</v>
      </c>
      <c r="E127" s="60" t="str">
        <f>IF(Inicial!N127="SI",Inicial!E127,"N/A")</f>
        <v>N/A</v>
      </c>
      <c r="F127" s="61" t="str">
        <f>IF(Inicial!N127="SI",Inicial!F127,"N/A")</f>
        <v>N/A</v>
      </c>
      <c r="G127" s="61" t="str">
        <f>IF(Inicial!N127="SI",Inicial!G127,"N/A")</f>
        <v>N/A</v>
      </c>
      <c r="H127" s="61" t="str">
        <f>IF(Inicial!N127="SI",Inicial!H127,"N/A")</f>
        <v>N/A</v>
      </c>
      <c r="I127" s="63" t="str">
        <f>IF(Inicial!N127="SI",Inicial!I127,"N/A")</f>
        <v>N/A</v>
      </c>
      <c r="X127" s="80" t="str" cm="1">
        <f t="array" ref="X127">IF(OR(J127:W127="NO"),"No aceptable","Aceptable")</f>
        <v>Aceptable</v>
      </c>
      <c r="AN127" s="3" t="str" cm="1">
        <f t="array" ref="AN127">IF(OR(Y127:AM127="NO"),"Critico","No Critico")</f>
        <v>No Critico</v>
      </c>
    </row>
    <row r="128" spans="1:40" ht="15">
      <c r="A128" s="60">
        <f>Inicial!A128</f>
        <v>126</v>
      </c>
      <c r="B128" s="61">
        <f>Inicial!B128</f>
        <v>0</v>
      </c>
      <c r="C128" s="61">
        <f>Inicial!C128</f>
        <v>0</v>
      </c>
      <c r="D128" s="62">
        <f>Inicial!D128</f>
        <v>0</v>
      </c>
      <c r="E128" s="60" t="str">
        <f>IF(Inicial!N128="SI",Inicial!E128,"N/A")</f>
        <v>N/A</v>
      </c>
      <c r="F128" s="61" t="str">
        <f>IF(Inicial!N128="SI",Inicial!F128,"N/A")</f>
        <v>N/A</v>
      </c>
      <c r="G128" s="61" t="str">
        <f>IF(Inicial!N128="SI",Inicial!G128,"N/A")</f>
        <v>N/A</v>
      </c>
      <c r="H128" s="61" t="str">
        <f>IF(Inicial!N128="SI",Inicial!H128,"N/A")</f>
        <v>N/A</v>
      </c>
      <c r="I128" s="63" t="str">
        <f>IF(Inicial!N128="SI",Inicial!I128,"N/A")</f>
        <v>N/A</v>
      </c>
      <c r="X128" s="80" t="str" cm="1">
        <f t="array" ref="X128">IF(OR(J128:W128="NO"),"No aceptable","Aceptable")</f>
        <v>Aceptable</v>
      </c>
      <c r="AN128" s="3" t="str" cm="1">
        <f t="array" ref="AN128">IF(OR(Y128:AM128="NO"),"Critico","No Critico")</f>
        <v>No Critico</v>
      </c>
    </row>
    <row r="129" spans="1:40" ht="15">
      <c r="A129" s="60">
        <f>Inicial!A129</f>
        <v>127</v>
      </c>
      <c r="B129" s="61">
        <f>Inicial!B129</f>
        <v>0</v>
      </c>
      <c r="C129" s="61">
        <f>Inicial!C129</f>
        <v>0</v>
      </c>
      <c r="D129" s="62">
        <f>Inicial!D129</f>
        <v>0</v>
      </c>
      <c r="E129" s="60" t="str">
        <f>IF(Inicial!N129="SI",Inicial!E129,"N/A")</f>
        <v>N/A</v>
      </c>
      <c r="F129" s="61" t="str">
        <f>IF(Inicial!N129="SI",Inicial!F129,"N/A")</f>
        <v>N/A</v>
      </c>
      <c r="G129" s="61" t="str">
        <f>IF(Inicial!N129="SI",Inicial!G129,"N/A")</f>
        <v>N/A</v>
      </c>
      <c r="H129" s="61" t="str">
        <f>IF(Inicial!N129="SI",Inicial!H129,"N/A")</f>
        <v>N/A</v>
      </c>
      <c r="I129" s="63" t="str">
        <f>IF(Inicial!N129="SI",Inicial!I129,"N/A")</f>
        <v>N/A</v>
      </c>
      <c r="X129" s="80" t="str" cm="1">
        <f t="array" ref="X129">IF(OR(J129:W129="NO"),"No aceptable","Aceptable")</f>
        <v>Aceptable</v>
      </c>
      <c r="AN129" s="3" t="str" cm="1">
        <f t="array" ref="AN129">IF(OR(Y129:AM129="NO"),"Critico","No Critico")</f>
        <v>No Critico</v>
      </c>
    </row>
    <row r="130" spans="1:40" ht="15">
      <c r="A130" s="60">
        <f>Inicial!A130</f>
        <v>128</v>
      </c>
      <c r="B130" s="61">
        <f>Inicial!B130</f>
        <v>0</v>
      </c>
      <c r="C130" s="61">
        <f>Inicial!C130</f>
        <v>0</v>
      </c>
      <c r="D130" s="62">
        <f>Inicial!D130</f>
        <v>0</v>
      </c>
      <c r="E130" s="60" t="str">
        <f>IF(Inicial!N130="SI",Inicial!E130,"N/A")</f>
        <v>N/A</v>
      </c>
      <c r="F130" s="61" t="str">
        <f>IF(Inicial!N130="SI",Inicial!F130,"N/A")</f>
        <v>N/A</v>
      </c>
      <c r="G130" s="61" t="str">
        <f>IF(Inicial!N130="SI",Inicial!G130,"N/A")</f>
        <v>N/A</v>
      </c>
      <c r="H130" s="61" t="str">
        <f>IF(Inicial!N130="SI",Inicial!H130,"N/A")</f>
        <v>N/A</v>
      </c>
      <c r="I130" s="63" t="str">
        <f>IF(Inicial!N130="SI",Inicial!I130,"N/A")</f>
        <v>N/A</v>
      </c>
      <c r="X130" s="80" t="str" cm="1">
        <f t="array" ref="X130">IF(OR(J130:W130="NO"),"No aceptable","Aceptable")</f>
        <v>Aceptable</v>
      </c>
      <c r="AN130" s="3" t="str" cm="1">
        <f t="array" ref="AN130">IF(OR(Y130:AM130="NO"),"Critico","No Critico")</f>
        <v>No Critico</v>
      </c>
    </row>
    <row r="131" spans="1:40" ht="15">
      <c r="A131" s="60">
        <f>Inicial!A131</f>
        <v>129</v>
      </c>
      <c r="B131" s="61">
        <f>Inicial!B131</f>
        <v>0</v>
      </c>
      <c r="C131" s="61">
        <f>Inicial!C131</f>
        <v>0</v>
      </c>
      <c r="D131" s="62">
        <f>Inicial!D131</f>
        <v>0</v>
      </c>
      <c r="E131" s="60" t="str">
        <f>IF(Inicial!N131="SI",Inicial!E131,"N/A")</f>
        <v>N/A</v>
      </c>
      <c r="F131" s="61" t="str">
        <f>IF(Inicial!N131="SI",Inicial!F131,"N/A")</f>
        <v>N/A</v>
      </c>
      <c r="G131" s="61" t="str">
        <f>IF(Inicial!N131="SI",Inicial!G131,"N/A")</f>
        <v>N/A</v>
      </c>
      <c r="H131" s="61" t="str">
        <f>IF(Inicial!N131="SI",Inicial!H131,"N/A")</f>
        <v>N/A</v>
      </c>
      <c r="I131" s="63" t="str">
        <f>IF(Inicial!N131="SI",Inicial!I131,"N/A")</f>
        <v>N/A</v>
      </c>
      <c r="X131" s="80" t="str" cm="1">
        <f t="array" ref="X131">IF(OR(J131:W131="NO"),"No aceptable","Aceptable")</f>
        <v>Aceptable</v>
      </c>
      <c r="AN131" s="3" t="str" cm="1">
        <f t="array" ref="AN131">IF(OR(Y131:AM131="NO"),"Critico","No Critico")</f>
        <v>No Critico</v>
      </c>
    </row>
    <row r="132" spans="1:40" ht="15">
      <c r="A132" s="60">
        <f>Inicial!A132</f>
        <v>130</v>
      </c>
      <c r="B132" s="61">
        <f>Inicial!B132</f>
        <v>0</v>
      </c>
      <c r="C132" s="61">
        <f>Inicial!C132</f>
        <v>0</v>
      </c>
      <c r="D132" s="62">
        <f>Inicial!D132</f>
        <v>0</v>
      </c>
      <c r="E132" s="60" t="str">
        <f>IF(Inicial!N132="SI",Inicial!E132,"N/A")</f>
        <v>N/A</v>
      </c>
      <c r="F132" s="61" t="str">
        <f>IF(Inicial!N132="SI",Inicial!F132,"N/A")</f>
        <v>N/A</v>
      </c>
      <c r="G132" s="61" t="str">
        <f>IF(Inicial!N132="SI",Inicial!G132,"N/A")</f>
        <v>N/A</v>
      </c>
      <c r="H132" s="61" t="str">
        <f>IF(Inicial!N132="SI",Inicial!H132,"N/A")</f>
        <v>N/A</v>
      </c>
      <c r="I132" s="63" t="str">
        <f>IF(Inicial!N132="SI",Inicial!I132,"N/A")</f>
        <v>N/A</v>
      </c>
      <c r="X132" s="80" t="str" cm="1">
        <f t="array" ref="X132">IF(OR(J132:W132="NO"),"No aceptable","Aceptable")</f>
        <v>Aceptable</v>
      </c>
      <c r="AN132" s="3" t="str" cm="1">
        <f t="array" ref="AN132">IF(OR(Y132:AM132="NO"),"Critico","No Critico")</f>
        <v>No Critico</v>
      </c>
    </row>
    <row r="133" spans="1:40" ht="15">
      <c r="A133" s="60">
        <f>Inicial!A133</f>
        <v>131</v>
      </c>
      <c r="B133" s="61">
        <f>Inicial!B133</f>
        <v>0</v>
      </c>
      <c r="C133" s="61">
        <f>Inicial!C133</f>
        <v>0</v>
      </c>
      <c r="D133" s="62">
        <f>Inicial!D133</f>
        <v>0</v>
      </c>
      <c r="E133" s="60" t="str">
        <f>IF(Inicial!N133="SI",Inicial!E133,"N/A")</f>
        <v>N/A</v>
      </c>
      <c r="F133" s="61" t="str">
        <f>IF(Inicial!N133="SI",Inicial!F133,"N/A")</f>
        <v>N/A</v>
      </c>
      <c r="G133" s="61" t="str">
        <f>IF(Inicial!N133="SI",Inicial!G133,"N/A")</f>
        <v>N/A</v>
      </c>
      <c r="H133" s="61" t="str">
        <f>IF(Inicial!N133="SI",Inicial!H133,"N/A")</f>
        <v>N/A</v>
      </c>
      <c r="I133" s="63" t="str">
        <f>IF(Inicial!N133="SI",Inicial!I133,"N/A")</f>
        <v>N/A</v>
      </c>
      <c r="X133" s="80" t="str" cm="1">
        <f t="array" ref="X133">IF(OR(J133:W133="NO"),"No aceptable","Aceptable")</f>
        <v>Aceptable</v>
      </c>
      <c r="AN133" s="3" t="str" cm="1">
        <f t="array" ref="AN133">IF(OR(Y133:AM133="NO"),"Critico","No Critico")</f>
        <v>No Critico</v>
      </c>
    </row>
    <row r="134" spans="1:40" ht="15">
      <c r="A134" s="60">
        <f>Inicial!A134</f>
        <v>132</v>
      </c>
      <c r="B134" s="61">
        <f>Inicial!B134</f>
        <v>0</v>
      </c>
      <c r="C134" s="61">
        <f>Inicial!C134</f>
        <v>0</v>
      </c>
      <c r="D134" s="62">
        <f>Inicial!D134</f>
        <v>0</v>
      </c>
      <c r="E134" s="60" t="str">
        <f>IF(Inicial!N134="SI",Inicial!E134,"N/A")</f>
        <v>N/A</v>
      </c>
      <c r="F134" s="61" t="str">
        <f>IF(Inicial!N134="SI",Inicial!F134,"N/A")</f>
        <v>N/A</v>
      </c>
      <c r="G134" s="61" t="str">
        <f>IF(Inicial!N134="SI",Inicial!G134,"N/A")</f>
        <v>N/A</v>
      </c>
      <c r="H134" s="61" t="str">
        <f>IF(Inicial!N134="SI",Inicial!H134,"N/A")</f>
        <v>N/A</v>
      </c>
      <c r="I134" s="63" t="str">
        <f>IF(Inicial!N134="SI",Inicial!I134,"N/A")</f>
        <v>N/A</v>
      </c>
      <c r="X134" s="80" t="str" cm="1">
        <f t="array" ref="X134">IF(OR(J134:W134="NO"),"No aceptable","Aceptable")</f>
        <v>Aceptable</v>
      </c>
      <c r="AN134" s="3" t="str" cm="1">
        <f t="array" ref="AN134">IF(OR(Y134:AM134="NO"),"Critico","No Critico")</f>
        <v>No Critico</v>
      </c>
    </row>
    <row r="135" spans="1:40" ht="15">
      <c r="A135" s="60">
        <f>Inicial!A135</f>
        <v>133</v>
      </c>
      <c r="B135" s="61">
        <f>Inicial!B135</f>
        <v>0</v>
      </c>
      <c r="C135" s="61">
        <f>Inicial!C135</f>
        <v>0</v>
      </c>
      <c r="D135" s="62">
        <f>Inicial!D135</f>
        <v>0</v>
      </c>
      <c r="E135" s="60" t="str">
        <f>IF(Inicial!N135="SI",Inicial!E135,"N/A")</f>
        <v>N/A</v>
      </c>
      <c r="F135" s="61" t="str">
        <f>IF(Inicial!N135="SI",Inicial!F135,"N/A")</f>
        <v>N/A</v>
      </c>
      <c r="G135" s="61" t="str">
        <f>IF(Inicial!N135="SI",Inicial!G135,"N/A")</f>
        <v>N/A</v>
      </c>
      <c r="H135" s="61" t="str">
        <f>IF(Inicial!N135="SI",Inicial!H135,"N/A")</f>
        <v>N/A</v>
      </c>
      <c r="I135" s="63" t="str">
        <f>IF(Inicial!N135="SI",Inicial!I135,"N/A")</f>
        <v>N/A</v>
      </c>
      <c r="X135" s="80" t="str" cm="1">
        <f t="array" ref="X135">IF(OR(J135:W135="NO"),"No aceptable","Aceptable")</f>
        <v>Aceptable</v>
      </c>
      <c r="AN135" s="3" t="str" cm="1">
        <f t="array" ref="AN135">IF(OR(Y135:AM135="NO"),"Critico","No Critico")</f>
        <v>No Critico</v>
      </c>
    </row>
    <row r="136" spans="1:40" ht="15">
      <c r="A136" s="60">
        <f>Inicial!A136</f>
        <v>134</v>
      </c>
      <c r="B136" s="61">
        <f>Inicial!B136</f>
        <v>0</v>
      </c>
      <c r="C136" s="61">
        <f>Inicial!C136</f>
        <v>0</v>
      </c>
      <c r="D136" s="62">
        <f>Inicial!D136</f>
        <v>0</v>
      </c>
      <c r="E136" s="60" t="str">
        <f>IF(Inicial!N136="SI",Inicial!E136,"N/A")</f>
        <v>N/A</v>
      </c>
      <c r="F136" s="61" t="str">
        <f>IF(Inicial!N136="SI",Inicial!F136,"N/A")</f>
        <v>N/A</v>
      </c>
      <c r="G136" s="61" t="str">
        <f>IF(Inicial!N136="SI",Inicial!G136,"N/A")</f>
        <v>N/A</v>
      </c>
      <c r="H136" s="61" t="str">
        <f>IF(Inicial!N136="SI",Inicial!H136,"N/A")</f>
        <v>N/A</v>
      </c>
      <c r="I136" s="63" t="str">
        <f>IF(Inicial!N136="SI",Inicial!I136,"N/A")</f>
        <v>N/A</v>
      </c>
      <c r="X136" s="80" t="str" cm="1">
        <f t="array" ref="X136">IF(OR(J136:W136="NO"),"No aceptable","Aceptable")</f>
        <v>Aceptable</v>
      </c>
      <c r="AN136" s="3" t="str" cm="1">
        <f t="array" ref="AN136">IF(OR(Y136:AM136="NO"),"Critico","No Critico")</f>
        <v>No Critico</v>
      </c>
    </row>
    <row r="137" spans="1:40" ht="15">
      <c r="A137" s="60">
        <f>Inicial!A137</f>
        <v>135</v>
      </c>
      <c r="B137" s="61">
        <f>Inicial!B137</f>
        <v>0</v>
      </c>
      <c r="C137" s="61">
        <f>Inicial!C137</f>
        <v>0</v>
      </c>
      <c r="D137" s="62">
        <f>Inicial!D137</f>
        <v>0</v>
      </c>
      <c r="E137" s="60" t="str">
        <f>IF(Inicial!N137="SI",Inicial!E137,"N/A")</f>
        <v>N/A</v>
      </c>
      <c r="F137" s="61" t="str">
        <f>IF(Inicial!N137="SI",Inicial!F137,"N/A")</f>
        <v>N/A</v>
      </c>
      <c r="G137" s="61" t="str">
        <f>IF(Inicial!N137="SI",Inicial!G137,"N/A")</f>
        <v>N/A</v>
      </c>
      <c r="H137" s="61" t="str">
        <f>IF(Inicial!N137="SI",Inicial!H137,"N/A")</f>
        <v>N/A</v>
      </c>
      <c r="I137" s="63" t="str">
        <f>IF(Inicial!N137="SI",Inicial!I137,"N/A")</f>
        <v>N/A</v>
      </c>
      <c r="X137" s="80" t="str" cm="1">
        <f t="array" ref="X137">IF(OR(J137:W137="NO"),"No aceptable","Aceptable")</f>
        <v>Aceptable</v>
      </c>
      <c r="AN137" s="3" t="str" cm="1">
        <f t="array" ref="AN137">IF(OR(Y137:AM137="NO"),"Critico","No Critico")</f>
        <v>No Critico</v>
      </c>
    </row>
    <row r="138" spans="1:40" ht="15">
      <c r="A138" s="60">
        <f>Inicial!A138</f>
        <v>136</v>
      </c>
      <c r="B138" s="61">
        <f>Inicial!B138</f>
        <v>0</v>
      </c>
      <c r="C138" s="61">
        <f>Inicial!C138</f>
        <v>0</v>
      </c>
      <c r="D138" s="62">
        <f>Inicial!D138</f>
        <v>0</v>
      </c>
      <c r="E138" s="60" t="str">
        <f>IF(Inicial!N138="SI",Inicial!E138,"N/A")</f>
        <v>N/A</v>
      </c>
      <c r="F138" s="61" t="str">
        <f>IF(Inicial!N138="SI",Inicial!F138,"N/A")</f>
        <v>N/A</v>
      </c>
      <c r="G138" s="61" t="str">
        <f>IF(Inicial!N138="SI",Inicial!G138,"N/A")</f>
        <v>N/A</v>
      </c>
      <c r="H138" s="61" t="str">
        <f>IF(Inicial!N138="SI",Inicial!H138,"N/A")</f>
        <v>N/A</v>
      </c>
      <c r="I138" s="63" t="str">
        <f>IF(Inicial!N138="SI",Inicial!I138,"N/A")</f>
        <v>N/A</v>
      </c>
      <c r="X138" s="80" t="str" cm="1">
        <f t="array" ref="X138">IF(OR(J138:W138="NO"),"No aceptable","Aceptable")</f>
        <v>Aceptable</v>
      </c>
      <c r="AN138" s="3" t="str" cm="1">
        <f t="array" ref="AN138">IF(OR(Y138:AM138="NO"),"Critico","No Critico")</f>
        <v>No Critico</v>
      </c>
    </row>
    <row r="139" spans="1:40" ht="15">
      <c r="A139" s="60">
        <f>Inicial!A139</f>
        <v>137</v>
      </c>
      <c r="B139" s="61">
        <f>Inicial!B139</f>
        <v>0</v>
      </c>
      <c r="C139" s="61">
        <f>Inicial!C139</f>
        <v>0</v>
      </c>
      <c r="D139" s="62">
        <f>Inicial!D139</f>
        <v>0</v>
      </c>
      <c r="E139" s="60" t="str">
        <f>IF(Inicial!N139="SI",Inicial!E139,"N/A")</f>
        <v>N/A</v>
      </c>
      <c r="F139" s="61" t="str">
        <f>IF(Inicial!N139="SI",Inicial!F139,"N/A")</f>
        <v>N/A</v>
      </c>
      <c r="G139" s="61" t="str">
        <f>IF(Inicial!N139="SI",Inicial!G139,"N/A")</f>
        <v>N/A</v>
      </c>
      <c r="H139" s="61" t="str">
        <f>IF(Inicial!N139="SI",Inicial!H139,"N/A")</f>
        <v>N/A</v>
      </c>
      <c r="I139" s="63" t="str">
        <f>IF(Inicial!N139="SI",Inicial!I139,"N/A")</f>
        <v>N/A</v>
      </c>
      <c r="X139" s="80" t="str" cm="1">
        <f t="array" ref="X139">IF(OR(J139:W139="NO"),"No aceptable","Aceptable")</f>
        <v>Aceptable</v>
      </c>
      <c r="AN139" s="3" t="str" cm="1">
        <f t="array" ref="AN139">IF(OR(Y139:AM139="NO"),"Critico","No Critico")</f>
        <v>No Critico</v>
      </c>
    </row>
    <row r="140" spans="1:40" ht="15">
      <c r="A140" s="60">
        <f>Inicial!A140</f>
        <v>138</v>
      </c>
      <c r="B140" s="61">
        <f>Inicial!B140</f>
        <v>0</v>
      </c>
      <c r="C140" s="61">
        <f>Inicial!C140</f>
        <v>0</v>
      </c>
      <c r="D140" s="62">
        <f>Inicial!D140</f>
        <v>0</v>
      </c>
      <c r="E140" s="60" t="str">
        <f>IF(Inicial!N140="SI",Inicial!E140,"N/A")</f>
        <v>N/A</v>
      </c>
      <c r="F140" s="61" t="str">
        <f>IF(Inicial!N140="SI",Inicial!F140,"N/A")</f>
        <v>N/A</v>
      </c>
      <c r="G140" s="61" t="str">
        <f>IF(Inicial!N140="SI",Inicial!G140,"N/A")</f>
        <v>N/A</v>
      </c>
      <c r="H140" s="61" t="str">
        <f>IF(Inicial!N140="SI",Inicial!H140,"N/A")</f>
        <v>N/A</v>
      </c>
      <c r="I140" s="63" t="str">
        <f>IF(Inicial!N140="SI",Inicial!I140,"N/A")</f>
        <v>N/A</v>
      </c>
      <c r="X140" s="80" t="str" cm="1">
        <f t="array" ref="X140">IF(OR(J140:W140="NO"),"No aceptable","Aceptable")</f>
        <v>Aceptable</v>
      </c>
      <c r="AN140" s="3" t="str" cm="1">
        <f t="array" ref="AN140">IF(OR(Y140:AM140="NO"),"Critico","No Critico")</f>
        <v>No Critico</v>
      </c>
    </row>
    <row r="141" spans="1:40" ht="15">
      <c r="A141" s="60">
        <f>Inicial!A141</f>
        <v>139</v>
      </c>
      <c r="B141" s="61">
        <f>Inicial!B141</f>
        <v>0</v>
      </c>
      <c r="C141" s="61">
        <f>Inicial!C141</f>
        <v>0</v>
      </c>
      <c r="D141" s="62">
        <f>Inicial!D141</f>
        <v>0</v>
      </c>
      <c r="E141" s="60" t="str">
        <f>IF(Inicial!N141="SI",Inicial!E141,"N/A")</f>
        <v>N/A</v>
      </c>
      <c r="F141" s="61" t="str">
        <f>IF(Inicial!N141="SI",Inicial!F141,"N/A")</f>
        <v>N/A</v>
      </c>
      <c r="G141" s="61" t="str">
        <f>IF(Inicial!N141="SI",Inicial!G141,"N/A")</f>
        <v>N/A</v>
      </c>
      <c r="H141" s="61" t="str">
        <f>IF(Inicial!N141="SI",Inicial!H141,"N/A")</f>
        <v>N/A</v>
      </c>
      <c r="I141" s="63" t="str">
        <f>IF(Inicial!N141="SI",Inicial!I141,"N/A")</f>
        <v>N/A</v>
      </c>
      <c r="X141" s="80" t="str" cm="1">
        <f t="array" ref="X141">IF(OR(J141:W141="NO"),"No aceptable","Aceptable")</f>
        <v>Aceptable</v>
      </c>
      <c r="AN141" s="3" t="str" cm="1">
        <f t="array" ref="AN141">IF(OR(Y141:AM141="NO"),"Critico","No Critico")</f>
        <v>No Critico</v>
      </c>
    </row>
    <row r="142" spans="1:40" ht="15">
      <c r="A142" s="60">
        <f>Inicial!A142</f>
        <v>140</v>
      </c>
      <c r="B142" s="61">
        <f>Inicial!B142</f>
        <v>0</v>
      </c>
      <c r="C142" s="61">
        <f>Inicial!C142</f>
        <v>0</v>
      </c>
      <c r="D142" s="62">
        <f>Inicial!D142</f>
        <v>0</v>
      </c>
      <c r="E142" s="60" t="str">
        <f>IF(Inicial!N142="SI",Inicial!E142,"N/A")</f>
        <v>N/A</v>
      </c>
      <c r="F142" s="61" t="str">
        <f>IF(Inicial!N142="SI",Inicial!F142,"N/A")</f>
        <v>N/A</v>
      </c>
      <c r="G142" s="61" t="str">
        <f>IF(Inicial!N142="SI",Inicial!G142,"N/A")</f>
        <v>N/A</v>
      </c>
      <c r="H142" s="61" t="str">
        <f>IF(Inicial!N142="SI",Inicial!H142,"N/A")</f>
        <v>N/A</v>
      </c>
      <c r="I142" s="63" t="str">
        <f>IF(Inicial!N142="SI",Inicial!I142,"N/A")</f>
        <v>N/A</v>
      </c>
      <c r="X142" s="80" t="str" cm="1">
        <f t="array" ref="X142">IF(OR(J142:W142="NO"),"No aceptable","Aceptable")</f>
        <v>Aceptable</v>
      </c>
      <c r="AN142" s="3" t="str" cm="1">
        <f t="array" ref="AN142">IF(OR(Y142:AM142="NO"),"Critico","No Critico")</f>
        <v>No Critico</v>
      </c>
    </row>
    <row r="143" spans="1:40" ht="15">
      <c r="A143" s="60">
        <f>Inicial!A143</f>
        <v>141</v>
      </c>
      <c r="B143" s="61">
        <f>Inicial!B143</f>
        <v>0</v>
      </c>
      <c r="C143" s="61">
        <f>Inicial!C143</f>
        <v>0</v>
      </c>
      <c r="D143" s="62">
        <f>Inicial!D143</f>
        <v>0</v>
      </c>
      <c r="E143" s="60" t="str">
        <f>IF(Inicial!N143="SI",Inicial!E143,"N/A")</f>
        <v>N/A</v>
      </c>
      <c r="F143" s="61" t="str">
        <f>IF(Inicial!N143="SI",Inicial!F143,"N/A")</f>
        <v>N/A</v>
      </c>
      <c r="G143" s="61" t="str">
        <f>IF(Inicial!N143="SI",Inicial!G143,"N/A")</f>
        <v>N/A</v>
      </c>
      <c r="H143" s="61" t="str">
        <f>IF(Inicial!N143="SI",Inicial!H143,"N/A")</f>
        <v>N/A</v>
      </c>
      <c r="I143" s="63" t="str">
        <f>IF(Inicial!N143="SI",Inicial!I143,"N/A")</f>
        <v>N/A</v>
      </c>
      <c r="X143" s="80" t="str" cm="1">
        <f t="array" ref="X143">IF(OR(J143:W143="NO"),"No aceptable","Aceptable")</f>
        <v>Aceptable</v>
      </c>
      <c r="AN143" s="3" t="str" cm="1">
        <f t="array" ref="AN143">IF(OR(Y143:AM143="NO"),"Critico","No Critico")</f>
        <v>No Critico</v>
      </c>
    </row>
    <row r="144" spans="1:40" ht="15">
      <c r="A144" s="60">
        <f>Inicial!A144</f>
        <v>142</v>
      </c>
      <c r="B144" s="61">
        <f>Inicial!B144</f>
        <v>0</v>
      </c>
      <c r="C144" s="61">
        <f>Inicial!C144</f>
        <v>0</v>
      </c>
      <c r="D144" s="62">
        <f>Inicial!D144</f>
        <v>0</v>
      </c>
      <c r="E144" s="60" t="str">
        <f>IF(Inicial!N144="SI",Inicial!E144,"N/A")</f>
        <v>N/A</v>
      </c>
      <c r="F144" s="61" t="str">
        <f>IF(Inicial!N144="SI",Inicial!F144,"N/A")</f>
        <v>N/A</v>
      </c>
      <c r="G144" s="61" t="str">
        <f>IF(Inicial!N144="SI",Inicial!G144,"N/A")</f>
        <v>N/A</v>
      </c>
      <c r="H144" s="61" t="str">
        <f>IF(Inicial!N144="SI",Inicial!H144,"N/A")</f>
        <v>N/A</v>
      </c>
      <c r="I144" s="63" t="str">
        <f>IF(Inicial!N144="SI",Inicial!I144,"N/A")</f>
        <v>N/A</v>
      </c>
      <c r="X144" s="80" t="str" cm="1">
        <f t="array" ref="X144">IF(OR(J144:W144="NO"),"No aceptable","Aceptable")</f>
        <v>Aceptable</v>
      </c>
      <c r="AN144" s="3" t="str" cm="1">
        <f t="array" ref="AN144">IF(OR(Y144:AM144="NO"),"Critico","No Critico")</f>
        <v>No Critico</v>
      </c>
    </row>
    <row r="145" spans="1:40" ht="15">
      <c r="A145" s="60">
        <f>Inicial!A145</f>
        <v>143</v>
      </c>
      <c r="B145" s="61">
        <f>Inicial!B145</f>
        <v>0</v>
      </c>
      <c r="C145" s="61">
        <f>Inicial!C145</f>
        <v>0</v>
      </c>
      <c r="D145" s="62">
        <f>Inicial!D145</f>
        <v>0</v>
      </c>
      <c r="E145" s="60" t="str">
        <f>IF(Inicial!N145="SI",Inicial!E145,"N/A")</f>
        <v>N/A</v>
      </c>
      <c r="F145" s="61" t="str">
        <f>IF(Inicial!N145="SI",Inicial!F145,"N/A")</f>
        <v>N/A</v>
      </c>
      <c r="G145" s="61" t="str">
        <f>IF(Inicial!N145="SI",Inicial!G145,"N/A")</f>
        <v>N/A</v>
      </c>
      <c r="H145" s="61" t="str">
        <f>IF(Inicial!N145="SI",Inicial!H145,"N/A")</f>
        <v>N/A</v>
      </c>
      <c r="I145" s="63" t="str">
        <f>IF(Inicial!N145="SI",Inicial!I145,"N/A")</f>
        <v>N/A</v>
      </c>
      <c r="X145" s="80" t="str" cm="1">
        <f t="array" ref="X145">IF(OR(J145:W145="NO"),"No aceptable","Aceptable")</f>
        <v>Aceptable</v>
      </c>
      <c r="AN145" s="3" t="str" cm="1">
        <f t="array" ref="AN145">IF(OR(Y145:AM145="NO"),"Critico","No Critico")</f>
        <v>No Critico</v>
      </c>
    </row>
    <row r="146" spans="1:40" ht="15">
      <c r="A146" s="60">
        <f>Inicial!A146</f>
        <v>144</v>
      </c>
      <c r="B146" s="61">
        <f>Inicial!B146</f>
        <v>0</v>
      </c>
      <c r="C146" s="61">
        <f>Inicial!C146</f>
        <v>0</v>
      </c>
      <c r="D146" s="62">
        <f>Inicial!D146</f>
        <v>0</v>
      </c>
      <c r="E146" s="60" t="str">
        <f>IF(Inicial!N146="SI",Inicial!E146,"N/A")</f>
        <v>N/A</v>
      </c>
      <c r="F146" s="61" t="str">
        <f>IF(Inicial!N146="SI",Inicial!F146,"N/A")</f>
        <v>N/A</v>
      </c>
      <c r="G146" s="61" t="str">
        <f>IF(Inicial!N146="SI",Inicial!G146,"N/A")</f>
        <v>N/A</v>
      </c>
      <c r="H146" s="61" t="str">
        <f>IF(Inicial!N146="SI",Inicial!H146,"N/A")</f>
        <v>N/A</v>
      </c>
      <c r="I146" s="63" t="str">
        <f>IF(Inicial!N146="SI",Inicial!I146,"N/A")</f>
        <v>N/A</v>
      </c>
      <c r="X146" s="80" t="str" cm="1">
        <f t="array" ref="X146">IF(OR(J146:W146="NO"),"No aceptable","Aceptable")</f>
        <v>Aceptable</v>
      </c>
      <c r="AN146" s="3" t="str" cm="1">
        <f t="array" ref="AN146">IF(OR(Y146:AM146="NO"),"Critico","No Critico")</f>
        <v>No Critico</v>
      </c>
    </row>
    <row r="147" spans="1:40" ht="15">
      <c r="A147" s="60">
        <f>Inicial!A147</f>
        <v>145</v>
      </c>
      <c r="B147" s="61">
        <f>Inicial!B147</f>
        <v>0</v>
      </c>
      <c r="C147" s="61">
        <f>Inicial!C147</f>
        <v>0</v>
      </c>
      <c r="D147" s="62">
        <f>Inicial!D147</f>
        <v>0</v>
      </c>
      <c r="E147" s="60" t="str">
        <f>IF(Inicial!N147="SI",Inicial!E147,"N/A")</f>
        <v>N/A</v>
      </c>
      <c r="F147" s="61" t="str">
        <f>IF(Inicial!N147="SI",Inicial!F147,"N/A")</f>
        <v>N/A</v>
      </c>
      <c r="G147" s="61" t="str">
        <f>IF(Inicial!N147="SI",Inicial!G147,"N/A")</f>
        <v>N/A</v>
      </c>
      <c r="H147" s="61" t="str">
        <f>IF(Inicial!N147="SI",Inicial!H147,"N/A")</f>
        <v>N/A</v>
      </c>
      <c r="I147" s="63" t="str">
        <f>IF(Inicial!N147="SI",Inicial!I147,"N/A")</f>
        <v>N/A</v>
      </c>
      <c r="X147" s="80" t="str" cm="1">
        <f t="array" ref="X147">IF(OR(J147:W147="NO"),"No aceptable","Aceptable")</f>
        <v>Aceptable</v>
      </c>
      <c r="AN147" s="3" t="str" cm="1">
        <f t="array" ref="AN147">IF(OR(Y147:AM147="NO"),"Critico","No Critico")</f>
        <v>No Critico</v>
      </c>
    </row>
    <row r="148" spans="1:40" ht="15">
      <c r="A148" s="60">
        <f>Inicial!A148</f>
        <v>146</v>
      </c>
      <c r="B148" s="61">
        <f>Inicial!B148</f>
        <v>0</v>
      </c>
      <c r="C148" s="61">
        <f>Inicial!C148</f>
        <v>0</v>
      </c>
      <c r="D148" s="62">
        <f>Inicial!D148</f>
        <v>0</v>
      </c>
      <c r="E148" s="60" t="str">
        <f>IF(Inicial!N148="SI",Inicial!E148,"N/A")</f>
        <v>N/A</v>
      </c>
      <c r="F148" s="61" t="str">
        <f>IF(Inicial!N148="SI",Inicial!F148,"N/A")</f>
        <v>N/A</v>
      </c>
      <c r="G148" s="61" t="str">
        <f>IF(Inicial!N148="SI",Inicial!G148,"N/A")</f>
        <v>N/A</v>
      </c>
      <c r="H148" s="61" t="str">
        <f>IF(Inicial!N148="SI",Inicial!H148,"N/A")</f>
        <v>N/A</v>
      </c>
      <c r="I148" s="63" t="str">
        <f>IF(Inicial!N148="SI",Inicial!I148,"N/A")</f>
        <v>N/A</v>
      </c>
      <c r="X148" s="80" t="str" cm="1">
        <f t="array" ref="X148">IF(OR(J148:W148="NO"),"No aceptable","Aceptable")</f>
        <v>Aceptable</v>
      </c>
      <c r="AN148" s="3" t="str" cm="1">
        <f t="array" ref="AN148">IF(OR(Y148:AM148="NO"),"Critico","No Critico")</f>
        <v>No Critico</v>
      </c>
    </row>
    <row r="149" spans="1:40" ht="15">
      <c r="A149" s="60">
        <f>Inicial!A149</f>
        <v>147</v>
      </c>
      <c r="B149" s="61">
        <f>Inicial!B149</f>
        <v>0</v>
      </c>
      <c r="C149" s="61">
        <f>Inicial!C149</f>
        <v>0</v>
      </c>
      <c r="D149" s="62">
        <f>Inicial!D149</f>
        <v>0</v>
      </c>
      <c r="E149" s="60" t="str">
        <f>IF(Inicial!N149="SI",Inicial!E149,"N/A")</f>
        <v>N/A</v>
      </c>
      <c r="F149" s="61" t="str">
        <f>IF(Inicial!N149="SI",Inicial!F149,"N/A")</f>
        <v>N/A</v>
      </c>
      <c r="G149" s="61" t="str">
        <f>IF(Inicial!N149="SI",Inicial!G149,"N/A")</f>
        <v>N/A</v>
      </c>
      <c r="H149" s="61" t="str">
        <f>IF(Inicial!N149="SI",Inicial!H149,"N/A")</f>
        <v>N/A</v>
      </c>
      <c r="I149" s="63" t="str">
        <f>IF(Inicial!N149="SI",Inicial!I149,"N/A")</f>
        <v>N/A</v>
      </c>
      <c r="X149" s="80" t="str" cm="1">
        <f t="array" ref="X149">IF(OR(J149:W149="NO"),"No aceptable","Aceptable")</f>
        <v>Aceptable</v>
      </c>
      <c r="AN149" s="3" t="str" cm="1">
        <f t="array" ref="AN149">IF(OR(Y149:AM149="NO"),"Critico","No Critico")</f>
        <v>No Critico</v>
      </c>
    </row>
    <row r="150" spans="1:40" ht="15">
      <c r="A150" s="60">
        <f>Inicial!A150</f>
        <v>148</v>
      </c>
      <c r="B150" s="61">
        <f>Inicial!B150</f>
        <v>0</v>
      </c>
      <c r="C150" s="61">
        <f>Inicial!C150</f>
        <v>0</v>
      </c>
      <c r="D150" s="62">
        <f>Inicial!D150</f>
        <v>0</v>
      </c>
      <c r="E150" s="60" t="str">
        <f>IF(Inicial!N150="SI",Inicial!E150,"N/A")</f>
        <v>N/A</v>
      </c>
      <c r="F150" s="61" t="str">
        <f>IF(Inicial!N150="SI",Inicial!F150,"N/A")</f>
        <v>N/A</v>
      </c>
      <c r="G150" s="61" t="str">
        <f>IF(Inicial!N150="SI",Inicial!G150,"N/A")</f>
        <v>N/A</v>
      </c>
      <c r="H150" s="61" t="str">
        <f>IF(Inicial!N150="SI",Inicial!H150,"N/A")</f>
        <v>N/A</v>
      </c>
      <c r="I150" s="63" t="str">
        <f>IF(Inicial!N150="SI",Inicial!I150,"N/A")</f>
        <v>N/A</v>
      </c>
      <c r="X150" s="80" t="str" cm="1">
        <f t="array" ref="X150">IF(OR(J150:W150="NO"),"No aceptable","Aceptable")</f>
        <v>Aceptable</v>
      </c>
      <c r="AN150" s="3" t="str" cm="1">
        <f t="array" ref="AN150">IF(OR(Y150:AM150="NO"),"Critico","No Critico")</f>
        <v>No Critico</v>
      </c>
    </row>
    <row r="151" spans="1:40" ht="15">
      <c r="A151" s="60">
        <f>Inicial!A151</f>
        <v>149</v>
      </c>
      <c r="B151" s="61">
        <f>Inicial!B151</f>
        <v>0</v>
      </c>
      <c r="C151" s="61">
        <f>Inicial!C151</f>
        <v>0</v>
      </c>
      <c r="D151" s="62">
        <f>Inicial!D151</f>
        <v>0</v>
      </c>
      <c r="E151" s="60" t="str">
        <f>IF(Inicial!N151="SI",Inicial!E151,"N/A")</f>
        <v>N/A</v>
      </c>
      <c r="F151" s="61" t="str">
        <f>IF(Inicial!N151="SI",Inicial!F151,"N/A")</f>
        <v>N/A</v>
      </c>
      <c r="G151" s="61" t="str">
        <f>IF(Inicial!N151="SI",Inicial!G151,"N/A")</f>
        <v>N/A</v>
      </c>
      <c r="H151" s="61" t="str">
        <f>IF(Inicial!N151="SI",Inicial!H151,"N/A")</f>
        <v>N/A</v>
      </c>
      <c r="I151" s="63" t="str">
        <f>IF(Inicial!N151="SI",Inicial!I151,"N/A")</f>
        <v>N/A</v>
      </c>
      <c r="X151" s="80" t="str" cm="1">
        <f t="array" ref="X151">IF(OR(J151:W151="NO"),"No aceptable","Aceptable")</f>
        <v>Aceptable</v>
      </c>
      <c r="AN151" s="3" t="str" cm="1">
        <f t="array" ref="AN151">IF(OR(Y151:AM151="NO"),"Critico","No Critico")</f>
        <v>No Critico</v>
      </c>
    </row>
    <row r="152" spans="1:40" ht="15">
      <c r="A152" s="60">
        <f>Inicial!A152</f>
        <v>150</v>
      </c>
      <c r="B152" s="61">
        <f>Inicial!B152</f>
        <v>0</v>
      </c>
      <c r="C152" s="61">
        <f>Inicial!C152</f>
        <v>0</v>
      </c>
      <c r="D152" s="62">
        <f>Inicial!D152</f>
        <v>0</v>
      </c>
      <c r="E152" s="60" t="str">
        <f>IF(Inicial!N152="SI",Inicial!E152,"N/A")</f>
        <v>N/A</v>
      </c>
      <c r="F152" s="61" t="str">
        <f>IF(Inicial!N152="SI",Inicial!F152,"N/A")</f>
        <v>N/A</v>
      </c>
      <c r="G152" s="61" t="str">
        <f>IF(Inicial!N152="SI",Inicial!G152,"N/A")</f>
        <v>N/A</v>
      </c>
      <c r="H152" s="61" t="str">
        <f>IF(Inicial!N152="SI",Inicial!H152,"N/A")</f>
        <v>N/A</v>
      </c>
      <c r="I152" s="63" t="str">
        <f>IF(Inicial!N152="SI",Inicial!I152,"N/A")</f>
        <v>N/A</v>
      </c>
      <c r="X152" s="80" t="str" cm="1">
        <f t="array" ref="X152">IF(OR(J152:W152="NO"),"No aceptable","Aceptable")</f>
        <v>Aceptable</v>
      </c>
      <c r="AN152" s="3" t="str" cm="1">
        <f t="array" ref="AN152">IF(OR(Y152:AM152="NO"),"Critico","No Critico")</f>
        <v>No Critico</v>
      </c>
    </row>
    <row r="153" spans="1:40" ht="15">
      <c r="A153" s="60">
        <f>Inicial!A153</f>
        <v>151</v>
      </c>
      <c r="B153" s="61">
        <f>Inicial!B153</f>
        <v>0</v>
      </c>
      <c r="C153" s="61">
        <f>Inicial!C153</f>
        <v>0</v>
      </c>
      <c r="D153" s="62">
        <f>Inicial!D153</f>
        <v>0</v>
      </c>
      <c r="E153" s="60" t="str">
        <f>IF(Inicial!N153="SI",Inicial!E153,"N/A")</f>
        <v>N/A</v>
      </c>
      <c r="F153" s="61" t="str">
        <f>IF(Inicial!N153="SI",Inicial!F153,"N/A")</f>
        <v>N/A</v>
      </c>
      <c r="G153" s="61" t="str">
        <f>IF(Inicial!N153="SI",Inicial!G153,"N/A")</f>
        <v>N/A</v>
      </c>
      <c r="H153" s="61" t="str">
        <f>IF(Inicial!N153="SI",Inicial!H153,"N/A")</f>
        <v>N/A</v>
      </c>
      <c r="I153" s="63" t="str">
        <f>IF(Inicial!N153="SI",Inicial!I153,"N/A")</f>
        <v>N/A</v>
      </c>
      <c r="X153" s="80" t="str" cm="1">
        <f t="array" ref="X153">IF(OR(J153:W153="NO"),"No aceptable","Aceptable")</f>
        <v>Aceptable</v>
      </c>
      <c r="AN153" s="3" t="str" cm="1">
        <f t="array" ref="AN153">IF(OR(Y153:AM153="NO"),"Critico","No Critico")</f>
        <v>No Critico</v>
      </c>
    </row>
    <row r="154" spans="1:40" ht="15">
      <c r="A154" s="60">
        <f>Inicial!A154</f>
        <v>152</v>
      </c>
      <c r="B154" s="61">
        <f>Inicial!B154</f>
        <v>0</v>
      </c>
      <c r="C154" s="61">
        <f>Inicial!C154</f>
        <v>0</v>
      </c>
      <c r="D154" s="62">
        <f>Inicial!D154</f>
        <v>0</v>
      </c>
      <c r="E154" s="60" t="str">
        <f>IF(Inicial!N154="SI",Inicial!E154,"N/A")</f>
        <v>N/A</v>
      </c>
      <c r="F154" s="61" t="str">
        <f>IF(Inicial!N154="SI",Inicial!F154,"N/A")</f>
        <v>N/A</v>
      </c>
      <c r="G154" s="61" t="str">
        <f>IF(Inicial!N154="SI",Inicial!G154,"N/A")</f>
        <v>N/A</v>
      </c>
      <c r="H154" s="61" t="str">
        <f>IF(Inicial!N154="SI",Inicial!H154,"N/A")</f>
        <v>N/A</v>
      </c>
      <c r="I154" s="63" t="str">
        <f>IF(Inicial!N154="SI",Inicial!I154,"N/A")</f>
        <v>N/A</v>
      </c>
      <c r="X154" s="80" t="str" cm="1">
        <f t="array" ref="X154">IF(OR(J154:W154="NO"),"No aceptable","Aceptable")</f>
        <v>Aceptable</v>
      </c>
      <c r="AN154" s="3" t="str" cm="1">
        <f t="array" ref="AN154">IF(OR(Y154:AM154="NO"),"Critico","No Critico")</f>
        <v>No Critico</v>
      </c>
    </row>
    <row r="155" spans="1:40" ht="15">
      <c r="A155" s="60">
        <f>Inicial!A155</f>
        <v>153</v>
      </c>
      <c r="B155" s="61">
        <f>Inicial!B155</f>
        <v>0</v>
      </c>
      <c r="C155" s="61">
        <f>Inicial!C155</f>
        <v>0</v>
      </c>
      <c r="D155" s="62">
        <f>Inicial!D155</f>
        <v>0</v>
      </c>
      <c r="E155" s="60" t="str">
        <f>IF(Inicial!N155="SI",Inicial!E155,"N/A")</f>
        <v>N/A</v>
      </c>
      <c r="F155" s="61" t="str">
        <f>IF(Inicial!N155="SI",Inicial!F155,"N/A")</f>
        <v>N/A</v>
      </c>
      <c r="G155" s="61" t="str">
        <f>IF(Inicial!N155="SI",Inicial!G155,"N/A")</f>
        <v>N/A</v>
      </c>
      <c r="H155" s="61" t="str">
        <f>IF(Inicial!N155="SI",Inicial!H155,"N/A")</f>
        <v>N/A</v>
      </c>
      <c r="I155" s="63" t="str">
        <f>IF(Inicial!N155="SI",Inicial!I155,"N/A")</f>
        <v>N/A</v>
      </c>
      <c r="X155" s="80" t="str" cm="1">
        <f t="array" ref="X155">IF(OR(J155:W155="NO"),"No aceptable","Aceptable")</f>
        <v>Aceptable</v>
      </c>
      <c r="AN155" s="3" t="str" cm="1">
        <f t="array" ref="AN155">IF(OR(Y155:AM155="NO"),"Critico","No Critico")</f>
        <v>No Critico</v>
      </c>
    </row>
    <row r="156" spans="1:40" ht="15">
      <c r="A156" s="60">
        <f>Inicial!A156</f>
        <v>154</v>
      </c>
      <c r="B156" s="61">
        <f>Inicial!B156</f>
        <v>0</v>
      </c>
      <c r="C156" s="61">
        <f>Inicial!C156</f>
        <v>0</v>
      </c>
      <c r="D156" s="62">
        <f>Inicial!D156</f>
        <v>0</v>
      </c>
      <c r="E156" s="60" t="str">
        <f>IF(Inicial!N156="SI",Inicial!E156,"N/A")</f>
        <v>N/A</v>
      </c>
      <c r="F156" s="61" t="str">
        <f>IF(Inicial!N156="SI",Inicial!F156,"N/A")</f>
        <v>N/A</v>
      </c>
      <c r="G156" s="61" t="str">
        <f>IF(Inicial!N156="SI",Inicial!G156,"N/A")</f>
        <v>N/A</v>
      </c>
      <c r="H156" s="61" t="str">
        <f>IF(Inicial!N156="SI",Inicial!H156,"N/A")</f>
        <v>N/A</v>
      </c>
      <c r="I156" s="63" t="str">
        <f>IF(Inicial!N156="SI",Inicial!I156,"N/A")</f>
        <v>N/A</v>
      </c>
      <c r="X156" s="80" t="str" cm="1">
        <f t="array" ref="X156">IF(OR(J156:W156="NO"),"No aceptable","Aceptable")</f>
        <v>Aceptable</v>
      </c>
      <c r="AN156" s="3" t="str" cm="1">
        <f t="array" ref="AN156">IF(OR(Y156:AM156="NO"),"Critico","No Critico")</f>
        <v>No Critico</v>
      </c>
    </row>
    <row r="157" spans="1:40" ht="15">
      <c r="A157" s="60">
        <f>Inicial!A157</f>
        <v>155</v>
      </c>
      <c r="B157" s="61">
        <f>Inicial!B157</f>
        <v>0</v>
      </c>
      <c r="C157" s="61">
        <f>Inicial!C157</f>
        <v>0</v>
      </c>
      <c r="D157" s="62">
        <f>Inicial!D157</f>
        <v>0</v>
      </c>
      <c r="E157" s="60" t="str">
        <f>IF(Inicial!N157="SI",Inicial!E157,"N/A")</f>
        <v>N/A</v>
      </c>
      <c r="F157" s="61" t="str">
        <f>IF(Inicial!N157="SI",Inicial!F157,"N/A")</f>
        <v>N/A</v>
      </c>
      <c r="G157" s="61" t="str">
        <f>IF(Inicial!N157="SI",Inicial!G157,"N/A")</f>
        <v>N/A</v>
      </c>
      <c r="H157" s="61" t="str">
        <f>IF(Inicial!N157="SI",Inicial!H157,"N/A")</f>
        <v>N/A</v>
      </c>
      <c r="I157" s="63" t="str">
        <f>IF(Inicial!N157="SI",Inicial!I157,"N/A")</f>
        <v>N/A</v>
      </c>
      <c r="X157" s="80" t="str" cm="1">
        <f t="array" ref="X157">IF(OR(J157:W157="NO"),"No aceptable","Aceptable")</f>
        <v>Aceptable</v>
      </c>
      <c r="AN157" s="3" t="str" cm="1">
        <f t="array" ref="AN157">IF(OR(Y157:AM157="NO"),"Critico","No Critico")</f>
        <v>No Critico</v>
      </c>
    </row>
    <row r="158" spans="1:40" ht="15">
      <c r="A158" s="60">
        <f>Inicial!A158</f>
        <v>156</v>
      </c>
      <c r="B158" s="61">
        <f>Inicial!B158</f>
        <v>0</v>
      </c>
      <c r="C158" s="61">
        <f>Inicial!C158</f>
        <v>0</v>
      </c>
      <c r="D158" s="62">
        <f>Inicial!D158</f>
        <v>0</v>
      </c>
      <c r="E158" s="60" t="str">
        <f>IF(Inicial!N158="SI",Inicial!E158,"N/A")</f>
        <v>N/A</v>
      </c>
      <c r="F158" s="61" t="str">
        <f>IF(Inicial!N158="SI",Inicial!F158,"N/A")</f>
        <v>N/A</v>
      </c>
      <c r="G158" s="61" t="str">
        <f>IF(Inicial!N158="SI",Inicial!G158,"N/A")</f>
        <v>N/A</v>
      </c>
      <c r="H158" s="61" t="str">
        <f>IF(Inicial!N158="SI",Inicial!H158,"N/A")</f>
        <v>N/A</v>
      </c>
      <c r="I158" s="63" t="str">
        <f>IF(Inicial!N158="SI",Inicial!I158,"N/A")</f>
        <v>N/A</v>
      </c>
      <c r="X158" s="80" t="str" cm="1">
        <f t="array" ref="X158">IF(OR(J158:W158="NO"),"No aceptable","Aceptable")</f>
        <v>Aceptable</v>
      </c>
      <c r="AN158" s="3" t="str" cm="1">
        <f t="array" ref="AN158">IF(OR(Y158:AM158="NO"),"Critico","No Critico")</f>
        <v>No Critico</v>
      </c>
    </row>
    <row r="159" spans="1:40" ht="15">
      <c r="A159" s="60">
        <f>Inicial!A159</f>
        <v>157</v>
      </c>
      <c r="B159" s="61">
        <f>Inicial!B159</f>
        <v>0</v>
      </c>
      <c r="C159" s="61">
        <f>Inicial!C159</f>
        <v>0</v>
      </c>
      <c r="D159" s="62">
        <f>Inicial!D159</f>
        <v>0</v>
      </c>
      <c r="E159" s="60" t="str">
        <f>IF(Inicial!N159="SI",Inicial!E159,"N/A")</f>
        <v>N/A</v>
      </c>
      <c r="F159" s="61" t="str">
        <f>IF(Inicial!N159="SI",Inicial!F159,"N/A")</f>
        <v>N/A</v>
      </c>
      <c r="G159" s="61" t="str">
        <f>IF(Inicial!N159="SI",Inicial!G159,"N/A")</f>
        <v>N/A</v>
      </c>
      <c r="H159" s="61" t="str">
        <f>IF(Inicial!N159="SI",Inicial!H159,"N/A")</f>
        <v>N/A</v>
      </c>
      <c r="I159" s="63" t="str">
        <f>IF(Inicial!N159="SI",Inicial!I159,"N/A")</f>
        <v>N/A</v>
      </c>
      <c r="X159" s="80" t="str" cm="1">
        <f t="array" ref="X159">IF(OR(J159:W159="NO"),"No aceptable","Aceptable")</f>
        <v>Aceptable</v>
      </c>
      <c r="AN159" s="3" t="str" cm="1">
        <f t="array" ref="AN159">IF(OR(Y159:AM159="NO"),"Critico","No Critico")</f>
        <v>No Critico</v>
      </c>
    </row>
    <row r="160" spans="1:40" ht="15">
      <c r="A160" s="60">
        <f>Inicial!A160</f>
        <v>158</v>
      </c>
      <c r="B160" s="61">
        <f>Inicial!B160</f>
        <v>0</v>
      </c>
      <c r="C160" s="61">
        <f>Inicial!C160</f>
        <v>0</v>
      </c>
      <c r="D160" s="62">
        <f>Inicial!D160</f>
        <v>0</v>
      </c>
      <c r="E160" s="60" t="str">
        <f>IF(Inicial!N160="SI",Inicial!E160,"N/A")</f>
        <v>N/A</v>
      </c>
      <c r="F160" s="61" t="str">
        <f>IF(Inicial!N160="SI",Inicial!F160,"N/A")</f>
        <v>N/A</v>
      </c>
      <c r="G160" s="61" t="str">
        <f>IF(Inicial!N160="SI",Inicial!G160,"N/A")</f>
        <v>N/A</v>
      </c>
      <c r="H160" s="61" t="str">
        <f>IF(Inicial!N160="SI",Inicial!H160,"N/A")</f>
        <v>N/A</v>
      </c>
      <c r="I160" s="63" t="str">
        <f>IF(Inicial!N160="SI",Inicial!I160,"N/A")</f>
        <v>N/A</v>
      </c>
      <c r="X160" s="80" t="str" cm="1">
        <f t="array" ref="X160">IF(OR(J160:W160="NO"),"No aceptable","Aceptable")</f>
        <v>Aceptable</v>
      </c>
      <c r="AN160" s="3" t="str" cm="1">
        <f t="array" ref="AN160">IF(OR(Y160:AM160="NO"),"Critico","No Critico")</f>
        <v>No Critico</v>
      </c>
    </row>
    <row r="161" spans="1:40" ht="15">
      <c r="A161" s="60">
        <f>Inicial!A161</f>
        <v>159</v>
      </c>
      <c r="B161" s="61">
        <f>Inicial!B161</f>
        <v>0</v>
      </c>
      <c r="C161" s="61">
        <f>Inicial!C161</f>
        <v>0</v>
      </c>
      <c r="D161" s="62">
        <f>Inicial!D161</f>
        <v>0</v>
      </c>
      <c r="E161" s="60" t="str">
        <f>IF(Inicial!N161="SI",Inicial!E161,"N/A")</f>
        <v>N/A</v>
      </c>
      <c r="F161" s="61" t="str">
        <f>IF(Inicial!N161="SI",Inicial!F161,"N/A")</f>
        <v>N/A</v>
      </c>
      <c r="G161" s="61" t="str">
        <f>IF(Inicial!N161="SI",Inicial!G161,"N/A")</f>
        <v>N/A</v>
      </c>
      <c r="H161" s="61" t="str">
        <f>IF(Inicial!N161="SI",Inicial!H161,"N/A")</f>
        <v>N/A</v>
      </c>
      <c r="I161" s="63" t="str">
        <f>IF(Inicial!N161="SI",Inicial!I161,"N/A")</f>
        <v>N/A</v>
      </c>
      <c r="X161" s="80" t="str" cm="1">
        <f t="array" ref="X161">IF(OR(J161:W161="NO"),"No aceptable","Aceptable")</f>
        <v>Aceptable</v>
      </c>
      <c r="AN161" s="3" t="str" cm="1">
        <f t="array" ref="AN161">IF(OR(Y161:AM161="NO"),"Critico","No Critico")</f>
        <v>No Critico</v>
      </c>
    </row>
    <row r="162" spans="1:40" ht="15">
      <c r="A162" s="60">
        <f>Inicial!A162</f>
        <v>160</v>
      </c>
      <c r="B162" s="61">
        <f>Inicial!B162</f>
        <v>0</v>
      </c>
      <c r="C162" s="61">
        <f>Inicial!C162</f>
        <v>0</v>
      </c>
      <c r="D162" s="62">
        <f>Inicial!D162</f>
        <v>0</v>
      </c>
      <c r="E162" s="60" t="str">
        <f>IF(Inicial!N162="SI",Inicial!E162,"N/A")</f>
        <v>N/A</v>
      </c>
      <c r="F162" s="61" t="str">
        <f>IF(Inicial!N162="SI",Inicial!F162,"N/A")</f>
        <v>N/A</v>
      </c>
      <c r="G162" s="61" t="str">
        <f>IF(Inicial!N162="SI",Inicial!G162,"N/A")</f>
        <v>N/A</v>
      </c>
      <c r="H162" s="61" t="str">
        <f>IF(Inicial!N162="SI",Inicial!H162,"N/A")</f>
        <v>N/A</v>
      </c>
      <c r="I162" s="63" t="str">
        <f>IF(Inicial!N162="SI",Inicial!I162,"N/A")</f>
        <v>N/A</v>
      </c>
      <c r="X162" s="80" t="str" cm="1">
        <f t="array" ref="X162">IF(OR(J162:W162="NO"),"No aceptable","Aceptable")</f>
        <v>Aceptable</v>
      </c>
      <c r="AN162" s="3" t="str" cm="1">
        <f t="array" ref="AN162">IF(OR(Y162:AM162="NO"),"Critico","No Critico")</f>
        <v>No Critico</v>
      </c>
    </row>
    <row r="163" spans="1:40" ht="15">
      <c r="A163" s="60">
        <f>Inicial!A163</f>
        <v>161</v>
      </c>
      <c r="B163" s="61">
        <f>Inicial!B163</f>
        <v>0</v>
      </c>
      <c r="C163" s="61">
        <f>Inicial!C163</f>
        <v>0</v>
      </c>
      <c r="D163" s="62">
        <f>Inicial!D163</f>
        <v>0</v>
      </c>
      <c r="E163" s="60" t="str">
        <f>IF(Inicial!N163="SI",Inicial!E163,"N/A")</f>
        <v>N/A</v>
      </c>
      <c r="F163" s="61" t="str">
        <f>IF(Inicial!N163="SI",Inicial!F163,"N/A")</f>
        <v>N/A</v>
      </c>
      <c r="G163" s="61" t="str">
        <f>IF(Inicial!N163="SI",Inicial!G163,"N/A")</f>
        <v>N/A</v>
      </c>
      <c r="H163" s="61" t="str">
        <f>IF(Inicial!N163="SI",Inicial!H163,"N/A")</f>
        <v>N/A</v>
      </c>
      <c r="I163" s="63" t="str">
        <f>IF(Inicial!N163="SI",Inicial!I163,"N/A")</f>
        <v>N/A</v>
      </c>
      <c r="X163" s="80" t="str" cm="1">
        <f t="array" ref="X163">IF(OR(J163:W163="NO"),"No aceptable","Aceptable")</f>
        <v>Aceptable</v>
      </c>
      <c r="AN163" s="3" t="str" cm="1">
        <f t="array" ref="AN163">IF(OR(Y163:AM163="NO"),"Critico","No Critico")</f>
        <v>No Critico</v>
      </c>
    </row>
    <row r="164" spans="1:40" ht="15">
      <c r="A164" s="60">
        <f>Inicial!A164</f>
        <v>162</v>
      </c>
      <c r="B164" s="61">
        <f>Inicial!B164</f>
        <v>0</v>
      </c>
      <c r="C164" s="61">
        <f>Inicial!C164</f>
        <v>0</v>
      </c>
      <c r="D164" s="62">
        <f>Inicial!D164</f>
        <v>0</v>
      </c>
      <c r="E164" s="60" t="str">
        <f>IF(Inicial!N164="SI",Inicial!E164,"N/A")</f>
        <v>N/A</v>
      </c>
      <c r="F164" s="61" t="str">
        <f>IF(Inicial!N164="SI",Inicial!F164,"N/A")</f>
        <v>N/A</v>
      </c>
      <c r="G164" s="61" t="str">
        <f>IF(Inicial!N164="SI",Inicial!G164,"N/A")</f>
        <v>N/A</v>
      </c>
      <c r="H164" s="61" t="str">
        <f>IF(Inicial!N164="SI",Inicial!H164,"N/A")</f>
        <v>N/A</v>
      </c>
      <c r="I164" s="63" t="str">
        <f>IF(Inicial!N164="SI",Inicial!I164,"N/A")</f>
        <v>N/A</v>
      </c>
      <c r="X164" s="80" t="str" cm="1">
        <f t="array" ref="X164">IF(OR(J164:W164="NO"),"No aceptable","Aceptable")</f>
        <v>Aceptable</v>
      </c>
      <c r="AN164" s="3" t="str" cm="1">
        <f t="array" ref="AN164">IF(OR(Y164:AM164="NO"),"Critico","No Critico")</f>
        <v>No Critico</v>
      </c>
    </row>
    <row r="165" spans="1:40" ht="15">
      <c r="A165" s="60">
        <f>Inicial!A165</f>
        <v>163</v>
      </c>
      <c r="B165" s="61">
        <f>Inicial!B165</f>
        <v>0</v>
      </c>
      <c r="C165" s="61">
        <f>Inicial!C165</f>
        <v>0</v>
      </c>
      <c r="D165" s="62">
        <f>Inicial!D165</f>
        <v>0</v>
      </c>
      <c r="E165" s="60" t="str">
        <f>IF(Inicial!N165="SI",Inicial!E165,"N/A")</f>
        <v>N/A</v>
      </c>
      <c r="F165" s="61" t="str">
        <f>IF(Inicial!N165="SI",Inicial!F165,"N/A")</f>
        <v>N/A</v>
      </c>
      <c r="G165" s="61" t="str">
        <f>IF(Inicial!N165="SI",Inicial!G165,"N/A")</f>
        <v>N/A</v>
      </c>
      <c r="H165" s="61" t="str">
        <f>IF(Inicial!N165="SI",Inicial!H165,"N/A")</f>
        <v>N/A</v>
      </c>
      <c r="I165" s="63" t="str">
        <f>IF(Inicial!N165="SI",Inicial!I165,"N/A")</f>
        <v>N/A</v>
      </c>
      <c r="X165" s="80" t="str" cm="1">
        <f t="array" ref="X165">IF(OR(J165:W165="NO"),"No aceptable","Aceptable")</f>
        <v>Aceptable</v>
      </c>
      <c r="AN165" s="3" t="str" cm="1">
        <f t="array" ref="AN165">IF(OR(Y165:AM165="NO"),"Critico","No Critico")</f>
        <v>No Critico</v>
      </c>
    </row>
    <row r="166" spans="1:40" ht="15">
      <c r="A166" s="60">
        <f>Inicial!A166</f>
        <v>164</v>
      </c>
      <c r="B166" s="61">
        <f>Inicial!B166</f>
        <v>0</v>
      </c>
      <c r="C166" s="61">
        <f>Inicial!C166</f>
        <v>0</v>
      </c>
      <c r="D166" s="62">
        <f>Inicial!D166</f>
        <v>0</v>
      </c>
      <c r="E166" s="60" t="str">
        <f>IF(Inicial!N166="SI",Inicial!E166,"N/A")</f>
        <v>N/A</v>
      </c>
      <c r="F166" s="61" t="str">
        <f>IF(Inicial!N166="SI",Inicial!F166,"N/A")</f>
        <v>N/A</v>
      </c>
      <c r="G166" s="61" t="str">
        <f>IF(Inicial!N166="SI",Inicial!G166,"N/A")</f>
        <v>N/A</v>
      </c>
      <c r="H166" s="61" t="str">
        <f>IF(Inicial!N166="SI",Inicial!H166,"N/A")</f>
        <v>N/A</v>
      </c>
      <c r="I166" s="63" t="str">
        <f>IF(Inicial!N166="SI",Inicial!I166,"N/A")</f>
        <v>N/A</v>
      </c>
      <c r="X166" s="80" t="str" cm="1">
        <f t="array" ref="X166">IF(OR(J166:W166="NO"),"No aceptable","Aceptable")</f>
        <v>Aceptable</v>
      </c>
      <c r="AN166" s="3" t="str" cm="1">
        <f t="array" ref="AN166">IF(OR(Y166:AM166="NO"),"Critico","No Critico")</f>
        <v>No Critico</v>
      </c>
    </row>
    <row r="167" spans="1:40" ht="15">
      <c r="A167" s="60">
        <f>Inicial!A167</f>
        <v>165</v>
      </c>
      <c r="B167" s="61">
        <f>Inicial!B167</f>
        <v>0</v>
      </c>
      <c r="C167" s="61">
        <f>Inicial!C167</f>
        <v>0</v>
      </c>
      <c r="D167" s="62">
        <f>Inicial!D167</f>
        <v>0</v>
      </c>
      <c r="E167" s="60" t="str">
        <f>IF(Inicial!N167="SI",Inicial!E167,"N/A")</f>
        <v>N/A</v>
      </c>
      <c r="F167" s="61" t="str">
        <f>IF(Inicial!N167="SI",Inicial!F167,"N/A")</f>
        <v>N/A</v>
      </c>
      <c r="G167" s="61" t="str">
        <f>IF(Inicial!N167="SI",Inicial!G167,"N/A")</f>
        <v>N/A</v>
      </c>
      <c r="H167" s="61" t="str">
        <f>IF(Inicial!N167="SI",Inicial!H167,"N/A")</f>
        <v>N/A</v>
      </c>
      <c r="I167" s="63" t="str">
        <f>IF(Inicial!N167="SI",Inicial!I167,"N/A")</f>
        <v>N/A</v>
      </c>
      <c r="X167" s="80" t="str" cm="1">
        <f t="array" ref="X167">IF(OR(J167:W167="NO"),"No aceptable","Aceptable")</f>
        <v>Aceptable</v>
      </c>
      <c r="AN167" s="3" t="str" cm="1">
        <f t="array" ref="AN167">IF(OR(Y167:AM167="NO"),"Critico","No Critico")</f>
        <v>No Critico</v>
      </c>
    </row>
    <row r="168" spans="1:40" ht="15">
      <c r="A168" s="60">
        <f>Inicial!A168</f>
        <v>166</v>
      </c>
      <c r="B168" s="61">
        <f>Inicial!B168</f>
        <v>0</v>
      </c>
      <c r="C168" s="61">
        <f>Inicial!C168</f>
        <v>0</v>
      </c>
      <c r="D168" s="62">
        <f>Inicial!D168</f>
        <v>0</v>
      </c>
      <c r="E168" s="60" t="str">
        <f>IF(Inicial!N168="SI",Inicial!E168,"N/A")</f>
        <v>N/A</v>
      </c>
      <c r="F168" s="61" t="str">
        <f>IF(Inicial!N168="SI",Inicial!F168,"N/A")</f>
        <v>N/A</v>
      </c>
      <c r="G168" s="61" t="str">
        <f>IF(Inicial!N168="SI",Inicial!G168,"N/A")</f>
        <v>N/A</v>
      </c>
      <c r="H168" s="61" t="str">
        <f>IF(Inicial!N168="SI",Inicial!H168,"N/A")</f>
        <v>N/A</v>
      </c>
      <c r="I168" s="63" t="str">
        <f>IF(Inicial!N168="SI",Inicial!I168,"N/A")</f>
        <v>N/A</v>
      </c>
      <c r="X168" s="80" t="str" cm="1">
        <f t="array" ref="X168">IF(OR(J168:W168="NO"),"No aceptable","Aceptable")</f>
        <v>Aceptable</v>
      </c>
      <c r="AN168" s="3" t="str" cm="1">
        <f t="array" ref="AN168">IF(OR(Y168:AM168="NO"),"Critico","No Critico")</f>
        <v>No Critico</v>
      </c>
    </row>
    <row r="169" spans="1:40" ht="15">
      <c r="A169" s="60">
        <f>Inicial!A169</f>
        <v>167</v>
      </c>
      <c r="B169" s="61">
        <f>Inicial!B169</f>
        <v>0</v>
      </c>
      <c r="C169" s="61">
        <f>Inicial!C169</f>
        <v>0</v>
      </c>
      <c r="D169" s="62">
        <f>Inicial!D169</f>
        <v>0</v>
      </c>
      <c r="E169" s="60" t="str">
        <f>IF(Inicial!N169="SI",Inicial!E169,"N/A")</f>
        <v>N/A</v>
      </c>
      <c r="F169" s="61" t="str">
        <f>IF(Inicial!N169="SI",Inicial!F169,"N/A")</f>
        <v>N/A</v>
      </c>
      <c r="G169" s="61" t="str">
        <f>IF(Inicial!N169="SI",Inicial!G169,"N/A")</f>
        <v>N/A</v>
      </c>
      <c r="H169" s="61" t="str">
        <f>IF(Inicial!N169="SI",Inicial!H169,"N/A")</f>
        <v>N/A</v>
      </c>
      <c r="I169" s="63" t="str">
        <f>IF(Inicial!N169="SI",Inicial!I169,"N/A")</f>
        <v>N/A</v>
      </c>
      <c r="X169" s="80" t="str" cm="1">
        <f t="array" ref="X169">IF(OR(J169:W169="NO"),"No aceptable","Aceptable")</f>
        <v>Aceptable</v>
      </c>
      <c r="AN169" s="3" t="str" cm="1">
        <f t="array" ref="AN169">IF(OR(Y169:AM169="NO"),"Critico","No Critico")</f>
        <v>No Critico</v>
      </c>
    </row>
    <row r="170" spans="1:40" ht="15">
      <c r="A170" s="60">
        <f>Inicial!A170</f>
        <v>168</v>
      </c>
      <c r="B170" s="61">
        <f>Inicial!B170</f>
        <v>0</v>
      </c>
      <c r="C170" s="61">
        <f>Inicial!C170</f>
        <v>0</v>
      </c>
      <c r="D170" s="62">
        <f>Inicial!D170</f>
        <v>0</v>
      </c>
      <c r="E170" s="60" t="str">
        <f>IF(Inicial!N170="SI",Inicial!E170,"N/A")</f>
        <v>N/A</v>
      </c>
      <c r="F170" s="61" t="str">
        <f>IF(Inicial!N170="SI",Inicial!F170,"N/A")</f>
        <v>N/A</v>
      </c>
      <c r="G170" s="61" t="str">
        <f>IF(Inicial!N170="SI",Inicial!G170,"N/A")</f>
        <v>N/A</v>
      </c>
      <c r="H170" s="61" t="str">
        <f>IF(Inicial!N170="SI",Inicial!H170,"N/A")</f>
        <v>N/A</v>
      </c>
      <c r="I170" s="63" t="str">
        <f>IF(Inicial!N170="SI",Inicial!I170,"N/A")</f>
        <v>N/A</v>
      </c>
      <c r="X170" s="80" t="str" cm="1">
        <f t="array" ref="X170">IF(OR(J170:W170="NO"),"No aceptable","Aceptable")</f>
        <v>Aceptable</v>
      </c>
      <c r="AN170" s="3" t="str" cm="1">
        <f t="array" ref="AN170">IF(OR(Y170:AM170="NO"),"Critico","No Critico")</f>
        <v>No Critico</v>
      </c>
    </row>
    <row r="171" spans="1:40" ht="15">
      <c r="A171" s="60">
        <f>Inicial!A171</f>
        <v>169</v>
      </c>
      <c r="B171" s="61">
        <f>Inicial!B171</f>
        <v>0</v>
      </c>
      <c r="C171" s="61">
        <f>Inicial!C171</f>
        <v>0</v>
      </c>
      <c r="D171" s="62">
        <f>Inicial!D171</f>
        <v>0</v>
      </c>
      <c r="E171" s="60" t="str">
        <f>IF(Inicial!N171="SI",Inicial!E171,"N/A")</f>
        <v>N/A</v>
      </c>
      <c r="F171" s="61" t="str">
        <f>IF(Inicial!N171="SI",Inicial!F171,"N/A")</f>
        <v>N/A</v>
      </c>
      <c r="G171" s="61" t="str">
        <f>IF(Inicial!N171="SI",Inicial!G171,"N/A")</f>
        <v>N/A</v>
      </c>
      <c r="H171" s="61" t="str">
        <f>IF(Inicial!N171="SI",Inicial!H171,"N/A")</f>
        <v>N/A</v>
      </c>
      <c r="I171" s="63" t="str">
        <f>IF(Inicial!N171="SI",Inicial!I171,"N/A")</f>
        <v>N/A</v>
      </c>
      <c r="X171" s="80" t="str" cm="1">
        <f t="array" ref="X171">IF(OR(J171:W171="NO"),"No aceptable","Aceptable")</f>
        <v>Aceptable</v>
      </c>
      <c r="AN171" s="3" t="str" cm="1">
        <f t="array" ref="AN171">IF(OR(Y171:AM171="NO"),"Critico","No Critico")</f>
        <v>No Critico</v>
      </c>
    </row>
    <row r="172" spans="1:40" ht="15">
      <c r="A172" s="60">
        <f>Inicial!A172</f>
        <v>170</v>
      </c>
      <c r="B172" s="61">
        <f>Inicial!B172</f>
        <v>0</v>
      </c>
      <c r="C172" s="61">
        <f>Inicial!C172</f>
        <v>0</v>
      </c>
      <c r="D172" s="62">
        <f>Inicial!D172</f>
        <v>0</v>
      </c>
      <c r="E172" s="60" t="str">
        <f>IF(Inicial!N172="SI",Inicial!E172,"N/A")</f>
        <v>N/A</v>
      </c>
      <c r="F172" s="61" t="str">
        <f>IF(Inicial!N172="SI",Inicial!F172,"N/A")</f>
        <v>N/A</v>
      </c>
      <c r="G172" s="61" t="str">
        <f>IF(Inicial!N172="SI",Inicial!G172,"N/A")</f>
        <v>N/A</v>
      </c>
      <c r="H172" s="61" t="str">
        <f>IF(Inicial!N172="SI",Inicial!H172,"N/A")</f>
        <v>N/A</v>
      </c>
      <c r="I172" s="63" t="str">
        <f>IF(Inicial!N172="SI",Inicial!I172,"N/A")</f>
        <v>N/A</v>
      </c>
      <c r="X172" s="80" t="str" cm="1">
        <f t="array" ref="X172">IF(OR(J172:W172="NO"),"No aceptable","Aceptable")</f>
        <v>Aceptable</v>
      </c>
      <c r="AN172" s="3" t="str" cm="1">
        <f t="array" ref="AN172">IF(OR(Y172:AM172="NO"),"Critico","No Critico")</f>
        <v>No Critico</v>
      </c>
    </row>
    <row r="173" spans="1:40" ht="15">
      <c r="A173" s="60">
        <f>Inicial!A173</f>
        <v>171</v>
      </c>
      <c r="B173" s="61">
        <f>Inicial!B173</f>
        <v>0</v>
      </c>
      <c r="C173" s="61">
        <f>Inicial!C173</f>
        <v>0</v>
      </c>
      <c r="D173" s="62">
        <f>Inicial!D173</f>
        <v>0</v>
      </c>
      <c r="E173" s="60" t="str">
        <f>IF(Inicial!N173="SI",Inicial!E173,"N/A")</f>
        <v>N/A</v>
      </c>
      <c r="F173" s="61" t="str">
        <f>IF(Inicial!N173="SI",Inicial!F173,"N/A")</f>
        <v>N/A</v>
      </c>
      <c r="G173" s="61" t="str">
        <f>IF(Inicial!N173="SI",Inicial!G173,"N/A")</f>
        <v>N/A</v>
      </c>
      <c r="H173" s="61" t="str">
        <f>IF(Inicial!N173="SI",Inicial!H173,"N/A")</f>
        <v>N/A</v>
      </c>
      <c r="I173" s="63" t="str">
        <f>IF(Inicial!N173="SI",Inicial!I173,"N/A")</f>
        <v>N/A</v>
      </c>
      <c r="X173" s="80" t="str" cm="1">
        <f t="array" ref="X173">IF(OR(J173:W173="NO"),"No aceptable","Aceptable")</f>
        <v>Aceptable</v>
      </c>
      <c r="AN173" s="3" t="str" cm="1">
        <f t="array" ref="AN173">IF(OR(Y173:AM173="NO"),"Critico","No Critico")</f>
        <v>No Critico</v>
      </c>
    </row>
    <row r="174" spans="1:40" ht="15">
      <c r="A174" s="60">
        <f>Inicial!A174</f>
        <v>172</v>
      </c>
      <c r="B174" s="61">
        <f>Inicial!B174</f>
        <v>0</v>
      </c>
      <c r="C174" s="61">
        <f>Inicial!C174</f>
        <v>0</v>
      </c>
      <c r="D174" s="62">
        <f>Inicial!D174</f>
        <v>0</v>
      </c>
      <c r="E174" s="60" t="str">
        <f>IF(Inicial!N174="SI",Inicial!E174,"N/A")</f>
        <v>N/A</v>
      </c>
      <c r="F174" s="61" t="str">
        <f>IF(Inicial!N174="SI",Inicial!F174,"N/A")</f>
        <v>N/A</v>
      </c>
      <c r="G174" s="61" t="str">
        <f>IF(Inicial!N174="SI",Inicial!G174,"N/A")</f>
        <v>N/A</v>
      </c>
      <c r="H174" s="61" t="str">
        <f>IF(Inicial!N174="SI",Inicial!H174,"N/A")</f>
        <v>N/A</v>
      </c>
      <c r="I174" s="63" t="str">
        <f>IF(Inicial!N174="SI",Inicial!I174,"N/A")</f>
        <v>N/A</v>
      </c>
      <c r="X174" s="80" t="str" cm="1">
        <f t="array" ref="X174">IF(OR(J174:W174="NO"),"No aceptable","Aceptable")</f>
        <v>Aceptable</v>
      </c>
      <c r="AN174" s="3" t="str" cm="1">
        <f t="array" ref="AN174">IF(OR(Y174:AM174="NO"),"Critico","No Critico")</f>
        <v>No Critico</v>
      </c>
    </row>
    <row r="175" spans="1:40" ht="15">
      <c r="A175" s="60">
        <f>Inicial!A175</f>
        <v>173</v>
      </c>
      <c r="B175" s="61">
        <f>Inicial!B175</f>
        <v>0</v>
      </c>
      <c r="C175" s="61">
        <f>Inicial!C175</f>
        <v>0</v>
      </c>
      <c r="D175" s="62">
        <f>Inicial!D175</f>
        <v>0</v>
      </c>
      <c r="E175" s="60" t="str">
        <f>IF(Inicial!N175="SI",Inicial!E175,"N/A")</f>
        <v>N/A</v>
      </c>
      <c r="F175" s="61" t="str">
        <f>IF(Inicial!N175="SI",Inicial!F175,"N/A")</f>
        <v>N/A</v>
      </c>
      <c r="G175" s="61" t="str">
        <f>IF(Inicial!N175="SI",Inicial!G175,"N/A")</f>
        <v>N/A</v>
      </c>
      <c r="H175" s="61" t="str">
        <f>IF(Inicial!N175="SI",Inicial!H175,"N/A")</f>
        <v>N/A</v>
      </c>
      <c r="I175" s="63" t="str">
        <f>IF(Inicial!N175="SI",Inicial!I175,"N/A")</f>
        <v>N/A</v>
      </c>
      <c r="X175" s="80" t="str" cm="1">
        <f t="array" ref="X175">IF(OR(J175:W175="NO"),"No aceptable","Aceptable")</f>
        <v>Aceptable</v>
      </c>
      <c r="AN175" s="3" t="str" cm="1">
        <f t="array" ref="AN175">IF(OR(Y175:AM175="NO"),"Critico","No Critico")</f>
        <v>No Critico</v>
      </c>
    </row>
    <row r="176" spans="1:40" ht="15">
      <c r="A176" s="60">
        <f>Inicial!A176</f>
        <v>174</v>
      </c>
      <c r="B176" s="61">
        <f>Inicial!B176</f>
        <v>0</v>
      </c>
      <c r="C176" s="61">
        <f>Inicial!C176</f>
        <v>0</v>
      </c>
      <c r="D176" s="62">
        <f>Inicial!D176</f>
        <v>0</v>
      </c>
      <c r="E176" s="60" t="str">
        <f>IF(Inicial!N176="SI",Inicial!E176,"N/A")</f>
        <v>N/A</v>
      </c>
      <c r="F176" s="61" t="str">
        <f>IF(Inicial!N176="SI",Inicial!F176,"N/A")</f>
        <v>N/A</v>
      </c>
      <c r="G176" s="61" t="str">
        <f>IF(Inicial!N176="SI",Inicial!G176,"N/A")</f>
        <v>N/A</v>
      </c>
      <c r="H176" s="61" t="str">
        <f>IF(Inicial!N176="SI",Inicial!H176,"N/A")</f>
        <v>N/A</v>
      </c>
      <c r="I176" s="63" t="str">
        <f>IF(Inicial!N176="SI",Inicial!I176,"N/A")</f>
        <v>N/A</v>
      </c>
      <c r="X176" s="80" t="str" cm="1">
        <f t="array" ref="X176">IF(OR(J176:W176="NO"),"No aceptable","Aceptable")</f>
        <v>Aceptable</v>
      </c>
      <c r="AN176" s="3" t="str" cm="1">
        <f t="array" ref="AN176">IF(OR(Y176:AM176="NO"),"Critico","No Critico")</f>
        <v>No Critico</v>
      </c>
    </row>
    <row r="177" spans="1:40" ht="15">
      <c r="A177" s="60">
        <f>Inicial!A177</f>
        <v>175</v>
      </c>
      <c r="B177" s="61"/>
      <c r="C177" s="61"/>
      <c r="D177" s="62"/>
      <c r="E177" s="60"/>
      <c r="F177" s="61"/>
      <c r="G177" s="61"/>
      <c r="H177" s="61"/>
      <c r="I177" s="63"/>
      <c r="X177" s="80" t="str" cm="1">
        <f t="array" ref="X177">IF(OR(J177:W177="NO"),"No aceptable","Aceptable")</f>
        <v>Aceptable</v>
      </c>
      <c r="AN177" s="3" t="str" cm="1">
        <f t="array" ref="AN177">IF(OR(Y177:AM177="NO"),"Critico","No Critico")</f>
        <v>No Critico</v>
      </c>
    </row>
    <row r="178" spans="1:40" ht="15">
      <c r="A178" s="60">
        <f>Inicial!A178</f>
        <v>176</v>
      </c>
      <c r="X178" s="80" t="str" cm="1">
        <f t="array" ref="X178">IF(OR(J178:W178="NO"),"No aceptable","Aceptable")</f>
        <v>Aceptable</v>
      </c>
      <c r="AN178" s="3" t="str" cm="1">
        <f t="array" ref="AN178">IF(OR(Y178:AM178="NO"),"Critico","No Critico")</f>
        <v>No Critico</v>
      </c>
    </row>
  </sheetData>
  <mergeCells count="12">
    <mergeCell ref="F1:G1"/>
    <mergeCell ref="H1:I1"/>
    <mergeCell ref="J1:M1"/>
    <mergeCell ref="A1:E1"/>
    <mergeCell ref="AG1:AI1"/>
    <mergeCell ref="AJ1:AL1"/>
    <mergeCell ref="AO1:AT1"/>
    <mergeCell ref="N1:P1"/>
    <mergeCell ref="Q1:S1"/>
    <mergeCell ref="T1:V1"/>
    <mergeCell ref="Y1:AB1"/>
    <mergeCell ref="AC1:AF1"/>
  </mergeCells>
  <conditionalFormatting sqref="J3:K8">
    <cfRule type="cellIs" dxfId="25" priority="11" operator="equal">
      <formula>"NO"</formula>
    </cfRule>
    <cfRule type="cellIs" dxfId="24" priority="12" operator="equal">
      <formula>"SI"</formula>
    </cfRule>
  </conditionalFormatting>
  <conditionalFormatting sqref="J42:W178">
    <cfRule type="cellIs" dxfId="23" priority="15" operator="equal">
      <formula>"NO"</formula>
    </cfRule>
    <cfRule type="cellIs" dxfId="22" priority="16" operator="equal">
      <formula>"SI"</formula>
    </cfRule>
  </conditionalFormatting>
  <conditionalFormatting sqref="L3:U3 W3 L4:W178 Y22:AM178 J179:AM1048576">
    <cfRule type="cellIs" dxfId="21" priority="13" operator="equal">
      <formula>"NO"</formula>
    </cfRule>
    <cfRule type="cellIs" dxfId="20" priority="14" operator="equal">
      <formula>"SI"</formula>
    </cfRule>
  </conditionalFormatting>
  <conditionalFormatting sqref="X3:AM21 X22:X178">
    <cfRule type="cellIs" dxfId="19" priority="3" operator="equal">
      <formula>"No Aceptable"</formula>
    </cfRule>
    <cfRule type="cellIs" dxfId="18" priority="4" operator="equal">
      <formula>"Aceptable"</formula>
    </cfRule>
  </conditionalFormatting>
  <conditionalFormatting sqref="AN3:AN178">
    <cfRule type="cellIs" dxfId="17" priority="1" operator="equal">
      <formula>"No Critico"</formula>
    </cfRule>
    <cfRule type="cellIs" dxfId="16" priority="2" operator="equal">
      <formula>"Critico"</formula>
    </cfRule>
  </conditionalFormatting>
  <dataValidations count="3">
    <dataValidation type="list" allowBlank="1" showInputMessage="1" showErrorMessage="1" sqref="J3:U41 V4:V41 W3:W41 Y22:AM41">
      <formula1>"SI,NO,N/A"</formula1>
    </dataValidation>
    <dataValidation type="list" allowBlank="1" showInputMessage="1" showErrorMessage="1" sqref="J42:U91">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N2 X1:Y2 Z2:AB2 AC1:AC2 AD2:AF2 AG1:AG2 AH2:AI2 AJ1:AJ2 AM1:AM2 AK2:AL2"/>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1"/>
  <sheetViews>
    <sheetView workbookViewId="0">
      <pane xSplit="9" ySplit="2" topLeftCell="S3" activePane="bottomRight" state="frozen"/>
      <selection pane="topRight" activeCell="J1" sqref="J1"/>
      <selection pane="bottomLeft" activeCell="A3" sqref="A3"/>
      <selection pane="bottomRight" activeCell="W5" sqref="W5"/>
    </sheetView>
  </sheetViews>
  <sheetFormatPr baseColWidth="10" defaultRowHeight="14.25"/>
  <cols>
    <col min="1" max="1" width="3.125" style="4" customWidth="1"/>
    <col min="2" max="3" width="11.5" style="1" customWidth="1"/>
    <col min="4" max="4" width="14.375" style="1" customWidth="1"/>
    <col min="5" max="5" width="13.5" style="1" customWidth="1"/>
    <col min="6" max="6" width="11.5" style="1"/>
    <col min="9" max="9" width="11.5" customWidth="1"/>
    <col min="10" max="10" width="29.125" customWidth="1"/>
    <col min="11" max="13" width="15.25" customWidth="1"/>
    <col min="14" max="14" width="22.375" style="1" customWidth="1"/>
    <col min="15" max="15" width="23.875" style="1" customWidth="1"/>
    <col min="16" max="16" width="26.5" style="1" customWidth="1"/>
    <col min="17" max="17" width="22.375" style="1" customWidth="1"/>
    <col min="18" max="18" width="20.375" style="1" customWidth="1"/>
    <col min="19" max="27" width="15.25" customWidth="1"/>
  </cols>
  <sheetData>
    <row r="1" spans="1:27" ht="60" customHeight="1">
      <c r="A1" s="145" t="s">
        <v>290</v>
      </c>
      <c r="B1" s="145"/>
      <c r="C1" s="145"/>
      <c r="D1" s="145"/>
      <c r="E1" s="145"/>
      <c r="F1" s="125" t="s">
        <v>60</v>
      </c>
      <c r="G1" s="125"/>
      <c r="H1" s="125" t="s">
        <v>57</v>
      </c>
      <c r="I1" s="125"/>
      <c r="J1" s="143" t="s">
        <v>246</v>
      </c>
      <c r="K1" s="143"/>
      <c r="L1" s="143"/>
      <c r="M1" s="143"/>
      <c r="N1" s="143"/>
      <c r="O1" s="143"/>
      <c r="P1" s="143"/>
      <c r="Q1" s="143"/>
      <c r="R1" s="143"/>
      <c r="S1" s="143"/>
      <c r="T1" s="144"/>
      <c r="U1" s="82" t="s">
        <v>159</v>
      </c>
      <c r="V1" s="135" t="s">
        <v>19</v>
      </c>
      <c r="W1" s="136"/>
      <c r="X1" s="136"/>
      <c r="Y1" s="136"/>
      <c r="Z1" s="136"/>
      <c r="AA1" s="137"/>
    </row>
    <row r="2" spans="1:27" ht="88.15" customHeight="1">
      <c r="A2" s="8" t="s">
        <v>0</v>
      </c>
      <c r="B2" s="9" t="s">
        <v>20</v>
      </c>
      <c r="C2" s="9" t="s">
        <v>1</v>
      </c>
      <c r="D2" s="9" t="s">
        <v>2</v>
      </c>
      <c r="E2" s="9" t="s">
        <v>21</v>
      </c>
      <c r="F2" s="9" t="s">
        <v>40</v>
      </c>
      <c r="G2" s="9" t="s">
        <v>61</v>
      </c>
      <c r="H2" s="9" t="s">
        <v>58</v>
      </c>
      <c r="I2" s="9" t="s">
        <v>59</v>
      </c>
      <c r="J2" s="88" t="s">
        <v>247</v>
      </c>
      <c r="K2" s="88" t="s">
        <v>248</v>
      </c>
      <c r="L2" s="88" t="s">
        <v>249</v>
      </c>
      <c r="M2" s="88" t="s">
        <v>250</v>
      </c>
      <c r="N2" s="88" t="s">
        <v>251</v>
      </c>
      <c r="O2" s="88" t="s">
        <v>252</v>
      </c>
      <c r="P2" s="88" t="s">
        <v>253</v>
      </c>
      <c r="Q2" s="88" t="s">
        <v>254</v>
      </c>
      <c r="R2" s="88" t="s">
        <v>255</v>
      </c>
      <c r="S2" s="88" t="s">
        <v>256</v>
      </c>
      <c r="T2" s="88" t="s">
        <v>257</v>
      </c>
      <c r="U2" s="89" t="s">
        <v>28</v>
      </c>
      <c r="V2" s="13" t="s">
        <v>34</v>
      </c>
      <c r="W2" s="13" t="s">
        <v>35</v>
      </c>
      <c r="X2" s="13" t="s">
        <v>36</v>
      </c>
      <c r="Y2" s="13" t="s">
        <v>37</v>
      </c>
      <c r="Z2" s="13" t="s">
        <v>38</v>
      </c>
      <c r="AA2" s="13" t="s">
        <v>39</v>
      </c>
    </row>
    <row r="3" spans="1:27" s="5" customFormat="1" ht="25.9" customHeight="1">
      <c r="A3" s="60">
        <f>Inicial!A3</f>
        <v>1</v>
      </c>
      <c r="B3" s="61" t="str">
        <f>Inicial!B3</f>
        <v>Desposte</v>
      </c>
      <c r="C3" s="61" t="str">
        <f>Inicial!C3</f>
        <v>Operario de producción línea Principal 1</v>
      </c>
      <c r="D3" s="62" t="str">
        <f>Inicial!D3</f>
        <v>Marcaje de pernil</v>
      </c>
      <c r="E3" s="60" t="str">
        <f>IF(Inicial!O3="SI",Inicial!E3,"N/A")</f>
        <v>N/A</v>
      </c>
      <c r="F3" s="61" t="str">
        <f>IF(Inicial!O3="SI",Inicial!F3,"N/A")</f>
        <v>N/A</v>
      </c>
      <c r="G3" s="61" t="str">
        <f>IF(Inicial!O3="SI",Inicial!G3,"N/A")</f>
        <v>N/A</v>
      </c>
      <c r="H3" s="61" t="str">
        <f>IF(Inicial!O3="SI",Inicial!H3,"N/A")</f>
        <v>N/A</v>
      </c>
      <c r="I3" s="72" t="str">
        <f>IF(Inicial!O3="SI",Inicial!I3,"N/A")</f>
        <v>N/A</v>
      </c>
      <c r="J3" s="11"/>
      <c r="K3" s="11"/>
      <c r="L3" s="11"/>
      <c r="M3" s="11"/>
      <c r="N3" s="11"/>
      <c r="O3" s="11"/>
      <c r="P3" s="11"/>
      <c r="Q3" s="11"/>
      <c r="R3" s="11"/>
      <c r="S3" s="11"/>
      <c r="T3" s="11"/>
      <c r="U3" s="12" t="str" cm="1">
        <f t="array" ref="U3">IF(OR(J3:T3="SI"),"No aceptable","Aceptable")</f>
        <v>Aceptable</v>
      </c>
      <c r="V3" s="1"/>
      <c r="W3" s="1"/>
      <c r="X3" s="1"/>
      <c r="Y3" s="1"/>
      <c r="Z3" s="1"/>
      <c r="AA3" s="1"/>
    </row>
    <row r="4" spans="1:27" ht="25.9" customHeight="1">
      <c r="A4" s="60">
        <f>Inicial!A4</f>
        <v>2</v>
      </c>
      <c r="B4" s="61" t="str">
        <f>Inicial!B4</f>
        <v>Desposte</v>
      </c>
      <c r="C4" s="61" t="str">
        <f>Inicial!C4</f>
        <v>Operario de producción línea Principal 1</v>
      </c>
      <c r="D4" s="62" t="str">
        <f>Inicial!D4</f>
        <v>Apertura de falda derecha</v>
      </c>
      <c r="E4" s="60" t="str">
        <f>IF(Inicial!O4="SI",Inicial!E4,"N/A")</f>
        <v>N/A</v>
      </c>
      <c r="F4" s="61" t="str">
        <f>IF(Inicial!O4="SI",Inicial!F4,"N/A")</f>
        <v>N/A</v>
      </c>
      <c r="G4" s="61" t="str">
        <f>IF(Inicial!O4="SI",Inicial!G4,"N/A")</f>
        <v>N/A</v>
      </c>
      <c r="H4" s="61" t="str">
        <f>IF(Inicial!O4="SI",Inicial!H4,"N/A")</f>
        <v>N/A</v>
      </c>
      <c r="I4" s="72" t="str">
        <f>IF(Inicial!O4="SI",Inicial!I4,"N/A")</f>
        <v>N/A</v>
      </c>
      <c r="J4" s="11"/>
      <c r="K4" s="11"/>
      <c r="L4" s="11"/>
      <c r="M4" s="11"/>
      <c r="N4" s="11"/>
      <c r="O4" s="11"/>
      <c r="P4" s="11"/>
      <c r="Q4" s="11"/>
      <c r="R4" s="11"/>
      <c r="S4" s="11"/>
      <c r="T4" s="11"/>
      <c r="U4" s="12" t="str" cm="1">
        <f t="array" ref="U4">IF(OR(N4:T4="NO"),"No aceptable","Aceptable")</f>
        <v>Aceptable</v>
      </c>
      <c r="V4" s="1"/>
      <c r="W4" s="1"/>
      <c r="X4" s="1"/>
      <c r="Y4" s="1"/>
      <c r="Z4" s="1"/>
      <c r="AA4" s="1"/>
    </row>
    <row r="5" spans="1:27" ht="25.9" customHeight="1">
      <c r="A5" s="60">
        <f>Inicial!A5</f>
        <v>3</v>
      </c>
      <c r="B5" s="61" t="str">
        <f>Inicial!B5</f>
        <v>Desposte</v>
      </c>
      <c r="C5" s="61" t="str">
        <f>Inicial!C5</f>
        <v>Operario de producción línea Principal 1</v>
      </c>
      <c r="D5" s="62" t="str">
        <f>Inicial!D5</f>
        <v>Apertura de falda izquierda</v>
      </c>
      <c r="E5" s="60" t="str">
        <f>IF(Inicial!O5="SI",Inicial!E5,"N/A")</f>
        <v>N/A</v>
      </c>
      <c r="F5" s="61" t="str">
        <f>IF(Inicial!O5="SI",Inicial!F5,"N/A")</f>
        <v>N/A</v>
      </c>
      <c r="G5" s="61" t="str">
        <f>IF(Inicial!O5="SI",Inicial!G5,"N/A")</f>
        <v>N/A</v>
      </c>
      <c r="H5" s="61" t="str">
        <f>IF(Inicial!O5="SI",Inicial!H5,"N/A")</f>
        <v>N/A</v>
      </c>
      <c r="I5" s="72" t="str">
        <f>IF(Inicial!O5="SI",Inicial!I5,"N/A")</f>
        <v>N/A</v>
      </c>
      <c r="J5" s="11"/>
      <c r="K5" s="11"/>
      <c r="L5" s="11"/>
      <c r="M5" s="11"/>
      <c r="N5" s="11"/>
      <c r="O5" s="11"/>
      <c r="P5" s="11"/>
      <c r="Q5" s="11"/>
      <c r="R5" s="11"/>
      <c r="S5" s="11"/>
      <c r="T5" s="11"/>
      <c r="U5" s="12" t="str" cm="1">
        <f t="array" ref="U5">IF(OR(N5:T5="NO"),"No aceptable","Aceptable")</f>
        <v>Aceptable</v>
      </c>
      <c r="V5" s="1"/>
      <c r="W5" s="1"/>
      <c r="X5" s="1"/>
      <c r="Y5" s="1"/>
      <c r="Z5" s="1"/>
      <c r="AA5" s="1"/>
    </row>
    <row r="6" spans="1:27" ht="25.9" customHeight="1">
      <c r="A6" s="60">
        <f>Inicial!A6</f>
        <v>4</v>
      </c>
      <c r="B6" s="61" t="str">
        <f>Inicial!B6</f>
        <v>Desposte</v>
      </c>
      <c r="C6" s="61" t="str">
        <f>Inicial!C6</f>
        <v>Operario de producción línea Principal 1</v>
      </c>
      <c r="D6" s="62" t="str">
        <f>Inicial!D6</f>
        <v>Sierra cortadora de patas</v>
      </c>
      <c r="E6" s="60" t="str">
        <f>IF(Inicial!O6="SI",Inicial!E6,"N/A")</f>
        <v>N/A</v>
      </c>
      <c r="F6" s="61" t="str">
        <f>IF(Inicial!O6="SI",Inicial!F6,"N/A")</f>
        <v>N/A</v>
      </c>
      <c r="G6" s="61" t="str">
        <f>IF(Inicial!O6="SI",Inicial!G6,"N/A")</f>
        <v>N/A</v>
      </c>
      <c r="H6" s="61" t="str">
        <f>IF(Inicial!O6="SI",Inicial!H6,"N/A")</f>
        <v>N/A</v>
      </c>
      <c r="I6" s="72" t="str">
        <f>IF(Inicial!O6="SI",Inicial!I6,"N/A")</f>
        <v>N/A</v>
      </c>
      <c r="J6" s="11"/>
      <c r="K6" s="11"/>
      <c r="L6" s="11"/>
      <c r="M6" s="11"/>
      <c r="N6" s="11"/>
      <c r="O6" s="11"/>
      <c r="P6" s="11"/>
      <c r="Q6" s="11"/>
      <c r="R6" s="11"/>
      <c r="S6" s="11"/>
      <c r="T6" s="11"/>
      <c r="U6" s="12" t="str" cm="1">
        <f t="array" ref="U6">IF(OR(N6:T6="NO"),"No aceptable","Aceptable")</f>
        <v>Aceptable</v>
      </c>
    </row>
    <row r="7" spans="1:27" ht="25.9" customHeight="1">
      <c r="A7" s="60">
        <f>Inicial!A7</f>
        <v>5</v>
      </c>
      <c r="B7" s="61" t="str">
        <f>Inicial!B7</f>
        <v>Desposte</v>
      </c>
      <c r="C7" s="61" t="str">
        <f>Inicial!C7</f>
        <v>Operario de producción línea Principal 1</v>
      </c>
      <c r="D7" s="62" t="str">
        <f>Inicial!D7</f>
        <v>Tijera cortadora de manos</v>
      </c>
      <c r="E7" s="60" t="str">
        <f>IF(Inicial!O7="SI",Inicial!E7,"N/A")</f>
        <v>N/A</v>
      </c>
      <c r="F7" s="61" t="str">
        <f>IF(Inicial!O7="SI",Inicial!F7,"N/A")</f>
        <v>N/A</v>
      </c>
      <c r="G7" s="61" t="str">
        <f>IF(Inicial!O7="SI",Inicial!G7,"N/A")</f>
        <v>N/A</v>
      </c>
      <c r="H7" s="61" t="str">
        <f>IF(Inicial!O7="SI",Inicial!H7,"N/A")</f>
        <v>N/A</v>
      </c>
      <c r="I7" s="72" t="str">
        <f>IF(Inicial!O7="SI",Inicial!I7,"N/A")</f>
        <v>N/A</v>
      </c>
      <c r="J7" s="11"/>
      <c r="K7" s="11"/>
      <c r="L7" s="11"/>
      <c r="M7" s="11"/>
      <c r="N7" s="11"/>
      <c r="O7" s="11"/>
      <c r="P7" s="11"/>
      <c r="Q7" s="11"/>
      <c r="R7" s="11"/>
      <c r="S7" s="11"/>
      <c r="T7" s="11"/>
      <c r="U7" s="12" t="str" cm="1">
        <f t="array" ref="U7">IF(OR(N7:T7="NO"),"No aceptable","Aceptable")</f>
        <v>Aceptable</v>
      </c>
    </row>
    <row r="8" spans="1:27" ht="25.9" customHeight="1">
      <c r="A8" s="60">
        <f>Inicial!A8</f>
        <v>6</v>
      </c>
      <c r="B8" s="61" t="str">
        <f>Inicial!B8</f>
        <v>Desposte</v>
      </c>
      <c r="C8" s="61" t="str">
        <f>Inicial!C8</f>
        <v>Operario de producción línea Principal 1</v>
      </c>
      <c r="D8" s="62" t="str">
        <f>Inicial!D8</f>
        <v>Sierra EFA 86 corte de pernil</v>
      </c>
      <c r="E8" s="60" t="str">
        <f>IF(Inicial!O8="SI",Inicial!E8,"N/A")</f>
        <v>N/A</v>
      </c>
      <c r="F8" s="61" t="str">
        <f>IF(Inicial!O8="SI",Inicial!F8,"N/A")</f>
        <v>N/A</v>
      </c>
      <c r="G8" s="61" t="str">
        <f>IF(Inicial!O8="SI",Inicial!G8,"N/A")</f>
        <v>N/A</v>
      </c>
      <c r="H8" s="61" t="str">
        <f>IF(Inicial!O8="SI",Inicial!H8,"N/A")</f>
        <v>N/A</v>
      </c>
      <c r="I8" s="72" t="str">
        <f>IF(Inicial!O8="SI",Inicial!I8,"N/A")</f>
        <v>N/A</v>
      </c>
      <c r="J8" s="11"/>
      <c r="K8" s="11"/>
      <c r="L8" s="11"/>
      <c r="M8" s="11"/>
      <c r="N8" s="11"/>
      <c r="O8" s="11"/>
      <c r="P8" s="11"/>
      <c r="Q8" s="11"/>
      <c r="R8" s="11"/>
      <c r="S8" s="11"/>
      <c r="T8" s="11"/>
      <c r="U8" s="12" t="str" cm="1">
        <f t="array" ref="U8">IF(OR(N8:T8="NO"),"No aceptable","Aceptable")</f>
        <v>Aceptable</v>
      </c>
    </row>
    <row r="9" spans="1:27" ht="38.25">
      <c r="A9" s="60">
        <f>Inicial!A9</f>
        <v>7</v>
      </c>
      <c r="B9" s="61" t="str">
        <f>Inicial!B9</f>
        <v>Desposte</v>
      </c>
      <c r="C9" s="61" t="str">
        <f>Inicial!C9</f>
        <v>Operario de producción línea Principal 1</v>
      </c>
      <c r="D9" s="62" t="str">
        <f>Inicial!D9</f>
        <v>RK 11 cuarto trasero</v>
      </c>
      <c r="E9" s="60" t="str">
        <f>IF(Inicial!O9="SI",Inicial!E9,"N/A")</f>
        <v>N/A</v>
      </c>
      <c r="F9" s="61" t="str">
        <f>IF(Inicial!O9="SI",Inicial!F9,"N/A")</f>
        <v>N/A</v>
      </c>
      <c r="G9" s="61" t="str">
        <f>IF(Inicial!O9="SI",Inicial!G9,"N/A")</f>
        <v>N/A</v>
      </c>
      <c r="H9" s="61" t="str">
        <f>IF(Inicial!O9="SI",Inicial!H9,"N/A")</f>
        <v>N/A</v>
      </c>
      <c r="I9" s="72" t="str">
        <f>IF(Inicial!O9="SI",Inicial!I9,"N/A")</f>
        <v>N/A</v>
      </c>
      <c r="J9" s="11"/>
      <c r="K9" s="11"/>
      <c r="L9" s="11"/>
      <c r="M9" s="11"/>
      <c r="N9" s="11"/>
      <c r="O9" s="11"/>
      <c r="P9" s="11"/>
      <c r="Q9" s="11"/>
      <c r="R9" s="11"/>
      <c r="S9" s="11"/>
      <c r="T9" s="11"/>
      <c r="U9" s="12" t="str" cm="1">
        <f t="array" ref="U9">IF(OR(N9:T9="NO"),"No aceptable","Aceptable")</f>
        <v>Aceptable</v>
      </c>
    </row>
    <row r="10" spans="1:27" ht="38.25">
      <c r="A10" s="60">
        <f>Inicial!A10</f>
        <v>8</v>
      </c>
      <c r="B10" s="61" t="str">
        <f>Inicial!B10</f>
        <v>Desposte</v>
      </c>
      <c r="C10" s="61" t="str">
        <f>Inicial!C10</f>
        <v>Operario de producción línea Principal 1</v>
      </c>
      <c r="D10" s="62" t="str">
        <f>Inicial!D10</f>
        <v>RK 11 cuarto delantero</v>
      </c>
      <c r="E10" s="60" t="str">
        <f>IF(Inicial!O10="SI",Inicial!E10,"N/A")</f>
        <v>N/A</v>
      </c>
      <c r="F10" s="61" t="str">
        <f>IF(Inicial!O10="SI",Inicial!F10,"N/A")</f>
        <v>N/A</v>
      </c>
      <c r="G10" s="61" t="str">
        <f>IF(Inicial!O10="SI",Inicial!G10,"N/A")</f>
        <v>N/A</v>
      </c>
      <c r="H10" s="61" t="str">
        <f>IF(Inicial!O10="SI",Inicial!H10,"N/A")</f>
        <v>N/A</v>
      </c>
      <c r="I10" s="72" t="str">
        <f>IF(Inicial!O10="SI",Inicial!I10,"N/A")</f>
        <v>N/A</v>
      </c>
      <c r="J10" s="11"/>
      <c r="K10" s="11"/>
      <c r="L10" s="11"/>
      <c r="M10" s="11"/>
      <c r="N10" s="11"/>
      <c r="O10" s="11"/>
      <c r="P10" s="11"/>
      <c r="Q10" s="11"/>
      <c r="R10" s="11"/>
      <c r="S10" s="11"/>
      <c r="T10" s="11"/>
      <c r="U10" s="12" t="str" cm="1">
        <f t="array" ref="U10">IF(OR(N10:T10="NO"),"No aceptable","Aceptable")</f>
        <v>Aceptable</v>
      </c>
    </row>
    <row r="11" spans="1:27" ht="38.25">
      <c r="A11" s="60">
        <f>Inicial!A11</f>
        <v>9</v>
      </c>
      <c r="B11" s="61" t="str">
        <f>Inicial!B11</f>
        <v>Desposte</v>
      </c>
      <c r="C11" s="61" t="str">
        <f>Inicial!C11</f>
        <v>Operario de producción línea Principal 1</v>
      </c>
      <c r="D11" s="62" t="str">
        <f>Inicial!D11</f>
        <v>Sierra EFA 86 Punta costilla</v>
      </c>
      <c r="E11" s="60" t="str">
        <f>IF(Inicial!O11="SI",Inicial!E11,"N/A")</f>
        <v>N/A</v>
      </c>
      <c r="F11" s="61" t="str">
        <f>IF(Inicial!O11="SI",Inicial!F11,"N/A")</f>
        <v>N/A</v>
      </c>
      <c r="G11" s="61" t="str">
        <f>IF(Inicial!O11="SI",Inicial!G11,"N/A")</f>
        <v>N/A</v>
      </c>
      <c r="H11" s="61" t="str">
        <f>IF(Inicial!O11="SI",Inicial!H11,"N/A")</f>
        <v>N/A</v>
      </c>
      <c r="I11" s="72" t="str">
        <f>IF(Inicial!O11="SI",Inicial!I11,"N/A")</f>
        <v>N/A</v>
      </c>
      <c r="J11" s="11"/>
      <c r="K11" s="11"/>
      <c r="L11" s="11"/>
      <c r="M11" s="11"/>
      <c r="N11" s="11"/>
      <c r="O11" s="11"/>
      <c r="P11" s="11"/>
      <c r="Q11" s="11"/>
      <c r="R11" s="11"/>
      <c r="S11" s="11"/>
      <c r="T11" s="11"/>
      <c r="U11" s="12" t="str" cm="1">
        <f t="array" ref="U11">IF(OR(N11:T11="NO"),"No aceptable","Aceptable")</f>
        <v>Aceptable</v>
      </c>
    </row>
    <row r="12" spans="1:27" ht="38.25">
      <c r="A12" s="60">
        <f>Inicial!A12</f>
        <v>10</v>
      </c>
      <c r="B12" s="61" t="str">
        <f>Inicial!B12</f>
        <v>Desposte</v>
      </c>
      <c r="C12" s="61" t="str">
        <f>Inicial!C12</f>
        <v>Operario de producción línea Principal 1</v>
      </c>
      <c r="D12" s="62" t="str">
        <f>Inicial!D12</f>
        <v>Extracción de diafragma</v>
      </c>
      <c r="E12" s="60" t="str">
        <f>IF(Inicial!O12="SI",Inicial!E12,"N/A")</f>
        <v>N/A</v>
      </c>
      <c r="F12" s="61" t="str">
        <f>IF(Inicial!O12="SI",Inicial!F12,"N/A")</f>
        <v>N/A</v>
      </c>
      <c r="G12" s="61" t="str">
        <f>IF(Inicial!O12="SI",Inicial!G12,"N/A")</f>
        <v>N/A</v>
      </c>
      <c r="H12" s="61" t="str">
        <f>IF(Inicial!O12="SI",Inicial!H12,"N/A")</f>
        <v>N/A</v>
      </c>
      <c r="I12" s="72" t="str">
        <f>IF(Inicial!O12="SI",Inicial!I12,"N/A")</f>
        <v>N/A</v>
      </c>
      <c r="J12" s="11"/>
      <c r="K12" s="11"/>
      <c r="L12" s="11"/>
      <c r="M12" s="11"/>
      <c r="N12" s="11"/>
      <c r="O12" s="11"/>
      <c r="P12" s="11"/>
      <c r="Q12" s="11"/>
      <c r="R12" s="11"/>
      <c r="S12" s="11"/>
      <c r="T12" s="11"/>
      <c r="U12" s="12" t="str" cm="1">
        <f t="array" ref="U12">IF(OR(N12:T12="NO"),"No aceptable","Aceptable")</f>
        <v>Aceptable</v>
      </c>
    </row>
    <row r="13" spans="1:27" ht="38.25">
      <c r="A13" s="60">
        <f>Inicial!A13</f>
        <v>11</v>
      </c>
      <c r="B13" s="61" t="str">
        <f>Inicial!B13</f>
        <v>Desposte</v>
      </c>
      <c r="C13" s="61" t="str">
        <f>Inicial!C13</f>
        <v>Operario de producción línea Principal 1</v>
      </c>
      <c r="D13" s="62" t="str">
        <f>Inicial!D13</f>
        <v>Corte de pernil</v>
      </c>
      <c r="E13" s="60" t="str">
        <f>IF(Inicial!O13="SI",Inicial!E13,"N/A")</f>
        <v>N/A</v>
      </c>
      <c r="F13" s="61" t="str">
        <f>IF(Inicial!O13="SI",Inicial!F13,"N/A")</f>
        <v>N/A</v>
      </c>
      <c r="G13" s="61" t="str">
        <f>IF(Inicial!O13="SI",Inicial!G13,"N/A")</f>
        <v>N/A</v>
      </c>
      <c r="H13" s="61" t="str">
        <f>IF(Inicial!O13="SI",Inicial!H13,"N/A")</f>
        <v>N/A</v>
      </c>
      <c r="I13" s="72" t="str">
        <f>IF(Inicial!O13="SI",Inicial!I13,"N/A")</f>
        <v>N/A</v>
      </c>
      <c r="J13" s="11"/>
      <c r="K13" s="11"/>
      <c r="L13" s="11"/>
      <c r="M13" s="11"/>
      <c r="N13" s="11"/>
      <c r="O13" s="11"/>
      <c r="P13" s="11"/>
      <c r="Q13" s="11"/>
      <c r="R13" s="11"/>
      <c r="S13" s="11"/>
      <c r="T13" s="11"/>
      <c r="U13" s="12" t="str" cm="1">
        <f t="array" ref="U13">IF(OR(N13:T13="NO"),"No aceptable","Aceptable")</f>
        <v>Aceptable</v>
      </c>
    </row>
    <row r="14" spans="1:27" ht="38.25">
      <c r="A14" s="60">
        <f>Inicial!A14</f>
        <v>12</v>
      </c>
      <c r="B14" s="61" t="str">
        <f>Inicial!B14</f>
        <v>Desposte</v>
      </c>
      <c r="C14" s="61" t="str">
        <f>Inicial!C14</f>
        <v>Operario de producción línea Principal 1</v>
      </c>
      <c r="D14" s="62" t="str">
        <f>Inicial!D14</f>
        <v>Extracción de papada</v>
      </c>
      <c r="E14" s="60" t="str">
        <f>IF(Inicial!O14="SI",Inicial!E14,"N/A")</f>
        <v>N/A</v>
      </c>
      <c r="F14" s="61" t="str">
        <f>IF(Inicial!O14="SI",Inicial!F14,"N/A")</f>
        <v>N/A</v>
      </c>
      <c r="G14" s="61" t="str">
        <f>IF(Inicial!O14="SI",Inicial!G14,"N/A")</f>
        <v>N/A</v>
      </c>
      <c r="H14" s="61" t="str">
        <f>IF(Inicial!O14="SI",Inicial!H14,"N/A")</f>
        <v>N/A</v>
      </c>
      <c r="I14" s="72" t="str">
        <f>IF(Inicial!O14="SI",Inicial!I14,"N/A")</f>
        <v>N/A</v>
      </c>
      <c r="J14" s="11"/>
      <c r="K14" s="11"/>
      <c r="L14" s="11"/>
      <c r="M14" s="11"/>
      <c r="N14" s="11"/>
      <c r="O14" s="11"/>
      <c r="P14" s="11"/>
      <c r="Q14" s="11"/>
      <c r="R14" s="11"/>
      <c r="S14" s="11"/>
      <c r="T14" s="11"/>
      <c r="U14" s="12" t="str" cm="1">
        <f t="array" ref="U14">IF(OR(N14:T14="NO"),"No aceptable","Aceptable")</f>
        <v>Aceptable</v>
      </c>
    </row>
    <row r="15" spans="1:27" ht="38.25">
      <c r="A15" s="60">
        <f>Inicial!A15</f>
        <v>13</v>
      </c>
      <c r="B15" s="61" t="str">
        <f>Inicial!B15</f>
        <v>Desposte</v>
      </c>
      <c r="C15" s="61" t="str">
        <f>Inicial!C15</f>
        <v>Operario de producción línea Principal 1</v>
      </c>
      <c r="D15" s="62" t="str">
        <f>Inicial!D15</f>
        <v>Extracción de punta costilla izquierda</v>
      </c>
      <c r="E15" s="60" t="str">
        <f>IF(Inicial!O15="SI",Inicial!E15,"N/A")</f>
        <v>N/A</v>
      </c>
      <c r="F15" s="61" t="str">
        <f>IF(Inicial!O15="SI",Inicial!F15,"N/A")</f>
        <v>N/A</v>
      </c>
      <c r="G15" s="61" t="str">
        <f>IF(Inicial!O15="SI",Inicial!G15,"N/A")</f>
        <v>N/A</v>
      </c>
      <c r="H15" s="61" t="str">
        <f>IF(Inicial!O15="SI",Inicial!H15,"N/A")</f>
        <v>N/A</v>
      </c>
      <c r="I15" s="72" t="str">
        <f>IF(Inicial!O15="SI",Inicial!I15,"N/A")</f>
        <v>N/A</v>
      </c>
      <c r="J15" s="11"/>
      <c r="K15" s="11"/>
      <c r="L15" s="11"/>
      <c r="M15" s="11"/>
      <c r="N15" s="11"/>
      <c r="O15" s="11"/>
      <c r="P15" s="11"/>
      <c r="Q15" s="11"/>
      <c r="R15" s="11"/>
      <c r="S15" s="11"/>
      <c r="T15" s="11"/>
      <c r="U15" s="12" t="str" cm="1">
        <f t="array" ref="U15">IF(OR(N15:T15="NO"),"No aceptable","Aceptable")</f>
        <v>Aceptable</v>
      </c>
    </row>
    <row r="16" spans="1:27" ht="38.25">
      <c r="A16" s="60">
        <f>Inicial!A16</f>
        <v>14</v>
      </c>
      <c r="B16" s="61" t="str">
        <f>Inicial!B16</f>
        <v>Desposte</v>
      </c>
      <c r="C16" s="61" t="str">
        <f>Inicial!C16</f>
        <v>Operario de producción línea Principal 1</v>
      </c>
      <c r="D16" s="62" t="str">
        <f>Inicial!D16</f>
        <v>Extracción de punta costilla derecha</v>
      </c>
      <c r="E16" s="60" t="str">
        <f>IF(Inicial!O16="SI",Inicial!E16,"N/A")</f>
        <v>N/A</v>
      </c>
      <c r="F16" s="61" t="str">
        <f>IF(Inicial!O16="SI",Inicial!F16,"N/A")</f>
        <v>N/A</v>
      </c>
      <c r="G16" s="61" t="str">
        <f>IF(Inicial!O16="SI",Inicial!G16,"N/A")</f>
        <v>N/A</v>
      </c>
      <c r="H16" s="61" t="str">
        <f>IF(Inicial!O16="SI",Inicial!H16,"N/A")</f>
        <v>N/A</v>
      </c>
      <c r="I16" s="72" t="str">
        <f>IF(Inicial!O16="SI",Inicial!I16,"N/A")</f>
        <v>N/A</v>
      </c>
      <c r="J16" s="11"/>
      <c r="K16" s="11"/>
      <c r="L16" s="11"/>
      <c r="M16" s="11"/>
      <c r="N16" s="11"/>
      <c r="O16" s="11"/>
      <c r="P16" s="11"/>
      <c r="Q16" s="11"/>
      <c r="R16" s="11"/>
      <c r="S16" s="11"/>
      <c r="T16" s="11"/>
      <c r="U16" s="12" t="str" cm="1">
        <f t="array" ref="U16">IF(OR(N16:T16="NO"),"No aceptable","Aceptable")</f>
        <v>Aceptable</v>
      </c>
    </row>
    <row r="17" spans="1:21" ht="38.25">
      <c r="A17" s="60">
        <f>Inicial!A17</f>
        <v>15</v>
      </c>
      <c r="B17" s="61" t="str">
        <f>Inicial!B17</f>
        <v>Desposte</v>
      </c>
      <c r="C17" s="61" t="str">
        <f>Inicial!C17</f>
        <v>Operario de producción línea Principal 1</v>
      </c>
      <c r="D17" s="62" t="str">
        <f>Inicial!D17</f>
        <v>Operación de MSS</v>
      </c>
      <c r="E17" s="60" t="str">
        <f>IF(Inicial!O17="SI",Inicial!E17,"N/A")</f>
        <v>N/A</v>
      </c>
      <c r="F17" s="61" t="str">
        <f>IF(Inicial!O17="SI",Inicial!F17,"N/A")</f>
        <v>N/A</v>
      </c>
      <c r="G17" s="61" t="str">
        <f>IF(Inicial!O17="SI",Inicial!G17,"N/A")</f>
        <v>N/A</v>
      </c>
      <c r="H17" s="61" t="str">
        <f>IF(Inicial!O17="SI",Inicial!H17,"N/A")</f>
        <v>N/A</v>
      </c>
      <c r="I17" s="72" t="str">
        <f>IF(Inicial!O17="SI",Inicial!I17,"N/A")</f>
        <v>N/A</v>
      </c>
      <c r="J17" s="11"/>
      <c r="K17" s="11"/>
      <c r="L17" s="11"/>
      <c r="M17" s="11"/>
      <c r="N17" s="11"/>
      <c r="O17" s="11"/>
      <c r="P17" s="11"/>
      <c r="Q17" s="11"/>
      <c r="R17" s="11"/>
      <c r="S17" s="11"/>
      <c r="T17" s="11"/>
      <c r="U17" s="12" t="str" cm="1">
        <f t="array" ref="U17">IF(OR(N17:T17="NO"),"No aceptable","Aceptable")</f>
        <v>Aceptable</v>
      </c>
    </row>
    <row r="18" spans="1:21" ht="38.25">
      <c r="A18" s="60">
        <f>Inicial!A18</f>
        <v>16</v>
      </c>
      <c r="B18" s="61" t="str">
        <f>Inicial!B18</f>
        <v>Desposte</v>
      </c>
      <c r="C18" s="61" t="str">
        <f>Inicial!C18</f>
        <v>Operario de producción línea Principal 1</v>
      </c>
      <c r="D18" s="62" t="str">
        <f>Inicial!D18</f>
        <v>Extracción de hueso pecho</v>
      </c>
      <c r="E18" s="60" t="str">
        <f>IF(Inicial!O18="SI",Inicial!E18,"N/A")</f>
        <v>N/A</v>
      </c>
      <c r="F18" s="61" t="str">
        <f>IF(Inicial!O18="SI",Inicial!F18,"N/A")</f>
        <v>N/A</v>
      </c>
      <c r="G18" s="61" t="str">
        <f>IF(Inicial!O18="SI",Inicial!G18,"N/A")</f>
        <v>N/A</v>
      </c>
      <c r="H18" s="61" t="str">
        <f>IF(Inicial!O18="SI",Inicial!H18,"N/A")</f>
        <v>N/A</v>
      </c>
      <c r="I18" s="72" t="str">
        <f>IF(Inicial!O18="SI",Inicial!I18,"N/A")</f>
        <v>N/A</v>
      </c>
      <c r="J18" s="11"/>
      <c r="K18" s="11"/>
      <c r="L18" s="11"/>
      <c r="M18" s="11"/>
      <c r="N18" s="11"/>
      <c r="O18" s="11"/>
      <c r="P18" s="11"/>
      <c r="Q18" s="11"/>
      <c r="R18" s="11"/>
      <c r="S18" s="11"/>
      <c r="T18" s="11"/>
      <c r="U18" s="12" t="str" cm="1">
        <f t="array" ref="U18">IF(OR(N18:T18="NO"),"No aceptable","Aceptable")</f>
        <v>Aceptable</v>
      </c>
    </row>
    <row r="19" spans="1:21" ht="38.25">
      <c r="A19" s="60">
        <f>Inicial!A19</f>
        <v>17</v>
      </c>
      <c r="B19" s="61" t="str">
        <f>Inicial!B19</f>
        <v>Desposte</v>
      </c>
      <c r="C19" s="61" t="str">
        <f>Inicial!C19</f>
        <v>Operario de producción línea Principal 1</v>
      </c>
      <c r="D19" s="62" t="str">
        <f>Inicial!D19</f>
        <v>Deshuesado de panceta</v>
      </c>
      <c r="E19" s="60" t="str">
        <f>IF(Inicial!O19="SI",Inicial!E19,"N/A")</f>
        <v>N/A</v>
      </c>
      <c r="F19" s="61" t="str">
        <f>IF(Inicial!O19="SI",Inicial!F19,"N/A")</f>
        <v>N/A</v>
      </c>
      <c r="G19" s="61" t="str">
        <f>IF(Inicial!O19="SI",Inicial!G19,"N/A")</f>
        <v>N/A</v>
      </c>
      <c r="H19" s="61" t="str">
        <f>IF(Inicial!O19="SI",Inicial!H19,"N/A")</f>
        <v>N/A</v>
      </c>
      <c r="I19" s="72" t="str">
        <f>IF(Inicial!O19="SI",Inicial!I19,"N/A")</f>
        <v>N/A</v>
      </c>
      <c r="J19" s="11"/>
      <c r="K19" s="11"/>
      <c r="L19" s="11"/>
      <c r="M19" s="11"/>
      <c r="N19" s="11"/>
      <c r="O19" s="11"/>
      <c r="P19" s="11"/>
      <c r="Q19" s="11"/>
      <c r="R19" s="11"/>
      <c r="S19" s="11"/>
      <c r="T19" s="11"/>
      <c r="U19" s="12" t="str" cm="1">
        <f t="array" ref="U19">IF(OR(N19:T19="NO"),"No aceptable","Aceptable")</f>
        <v>Aceptable</v>
      </c>
    </row>
    <row r="20" spans="1:21" ht="38.25">
      <c r="A20" s="60">
        <f>Inicial!A20</f>
        <v>18</v>
      </c>
      <c r="B20" s="61" t="str">
        <f>Inicial!B20</f>
        <v>Desposte</v>
      </c>
      <c r="C20" s="61" t="str">
        <f>Inicial!C20</f>
        <v>Operario de producción Línea Lomos</v>
      </c>
      <c r="D20" s="62" t="str">
        <f>Inicial!D20</f>
        <v xml:space="preserve">Operador Descueradora Manual </v>
      </c>
      <c r="E20" s="60" t="str">
        <f>IF(Inicial!O20="SI",Inicial!E20,"N/A")</f>
        <v>N/A</v>
      </c>
      <c r="F20" s="61" t="str">
        <f>IF(Inicial!O20="SI",Inicial!F20,"N/A")</f>
        <v>N/A</v>
      </c>
      <c r="G20" s="61" t="str">
        <f>IF(Inicial!O20="SI",Inicial!G20,"N/A")</f>
        <v>N/A</v>
      </c>
      <c r="H20" s="61" t="str">
        <f>IF(Inicial!O20="SI",Inicial!H20,"N/A")</f>
        <v>N/A</v>
      </c>
      <c r="I20" s="72" t="str">
        <f>IF(Inicial!O20="SI",Inicial!I20,"N/A")</f>
        <v>N/A</v>
      </c>
      <c r="J20" s="11"/>
      <c r="K20" s="11"/>
      <c r="L20" s="11"/>
      <c r="M20" s="11"/>
      <c r="N20" s="11"/>
      <c r="O20" s="11"/>
      <c r="P20" s="11"/>
      <c r="Q20" s="11"/>
      <c r="R20" s="11"/>
      <c r="S20" s="11"/>
      <c r="T20" s="11"/>
      <c r="U20" s="12" t="str" cm="1">
        <f t="array" ref="U20">IF(OR(N20:T20="NO"),"No aceptable","Aceptable")</f>
        <v>Aceptable</v>
      </c>
    </row>
    <row r="21" spans="1:21" ht="38.25">
      <c r="A21" s="60">
        <f>Inicial!A21</f>
        <v>19</v>
      </c>
      <c r="B21" s="61" t="str">
        <f>Inicial!B21</f>
        <v>Desposte</v>
      </c>
      <c r="C21" s="61" t="str">
        <f>Inicial!C21</f>
        <v>Operario de producción Línea Lomos</v>
      </c>
      <c r="D21" s="62" t="str">
        <f>Inicial!D21</f>
        <v>Posicionamiento de lomo tecla</v>
      </c>
      <c r="E21" s="60" t="str">
        <f>IF(Inicial!O21="SI",Inicial!E21,"N/A")</f>
        <v>N/A</v>
      </c>
      <c r="F21" s="61" t="str">
        <f>IF(Inicial!O21="SI",Inicial!F21,"N/A")</f>
        <v>N/A</v>
      </c>
      <c r="G21" s="61" t="str">
        <f>IF(Inicial!O21="SI",Inicial!G21,"N/A")</f>
        <v>N/A</v>
      </c>
      <c r="H21" s="61" t="str">
        <f>IF(Inicial!O21="SI",Inicial!H21,"N/A")</f>
        <v>N/A</v>
      </c>
      <c r="I21" s="72" t="str">
        <f>IF(Inicial!O21="SI",Inicial!I21,"N/A")</f>
        <v>N/A</v>
      </c>
      <c r="J21" s="11"/>
      <c r="K21" s="11"/>
      <c r="L21" s="11"/>
      <c r="M21" s="11"/>
      <c r="N21" s="11"/>
      <c r="O21" s="11"/>
      <c r="P21" s="11"/>
      <c r="Q21" s="11"/>
      <c r="R21" s="11"/>
      <c r="S21" s="11"/>
      <c r="T21" s="11"/>
      <c r="U21" s="12" t="str" cm="1">
        <f t="array" ref="U21">IF(OR(N21:T21="NO"),"No aceptable","Aceptable")</f>
        <v>Aceptable</v>
      </c>
    </row>
    <row r="22" spans="1:21" ht="38.25">
      <c r="A22" s="60">
        <f>Inicial!A22</f>
        <v>20</v>
      </c>
      <c r="B22" s="61" t="str">
        <f>Inicial!B22</f>
        <v>Desposte</v>
      </c>
      <c r="C22" s="61" t="str">
        <f>Inicial!C22</f>
        <v>Operario de producción Línea Lomos</v>
      </c>
      <c r="D22" s="62" t="str">
        <f>Inicial!D22</f>
        <v>Prolijado de lomo tecla extracción de cordon</v>
      </c>
      <c r="E22" s="60" t="str">
        <f>IF(Inicial!O22="SI",Inicial!E22,"N/A")</f>
        <v>N/A</v>
      </c>
      <c r="F22" s="61" t="str">
        <f>IF(Inicial!O22="SI",Inicial!F22,"N/A")</f>
        <v>N/A</v>
      </c>
      <c r="G22" s="61" t="str">
        <f>IF(Inicial!O22="SI",Inicial!G22,"N/A")</f>
        <v>N/A</v>
      </c>
      <c r="H22" s="61" t="str">
        <f>IF(Inicial!O22="SI",Inicial!H22,"N/A")</f>
        <v>N/A</v>
      </c>
      <c r="I22" s="72" t="str">
        <f>IF(Inicial!O22="SI",Inicial!I22,"N/A")</f>
        <v>N/A</v>
      </c>
      <c r="J22" s="11"/>
      <c r="K22" s="11"/>
      <c r="L22" s="11"/>
      <c r="M22" s="11"/>
      <c r="N22" s="11"/>
      <c r="O22" s="11"/>
      <c r="P22" s="11"/>
      <c r="Q22" s="11"/>
      <c r="R22" s="11"/>
      <c r="S22" s="11"/>
      <c r="T22" s="11"/>
      <c r="U22" s="12" t="str" cm="1">
        <f t="array" ref="U22">IF(OR(N22:T22="NO"),"No aceptable","Aceptable")</f>
        <v>Aceptable</v>
      </c>
    </row>
    <row r="23" spans="1:21" ht="38.25">
      <c r="A23" s="60">
        <f>Inicial!A23</f>
        <v>21</v>
      </c>
      <c r="B23" s="61" t="str">
        <f>Inicial!B23</f>
        <v>Desposte</v>
      </c>
      <c r="C23" s="61" t="str">
        <f>Inicial!C23</f>
        <v>Operario de producción Línea Lomos</v>
      </c>
      <c r="D23" s="62" t="str">
        <f>Inicial!D23</f>
        <v>Extracción de cuero a tocino</v>
      </c>
      <c r="E23" s="60" t="str">
        <f>IF(Inicial!O23="SI",Inicial!E23,"N/A")</f>
        <v>N/A</v>
      </c>
      <c r="F23" s="61" t="str">
        <f>IF(Inicial!O23="SI",Inicial!F23,"N/A")</f>
        <v>N/A</v>
      </c>
      <c r="G23" s="61" t="str">
        <f>IF(Inicial!O23="SI",Inicial!G23,"N/A")</f>
        <v>N/A</v>
      </c>
      <c r="H23" s="61" t="str">
        <f>IF(Inicial!O23="SI",Inicial!H23,"N/A")</f>
        <v>N/A</v>
      </c>
      <c r="I23" s="72" t="str">
        <f>IF(Inicial!O23="SI",Inicial!I23,"N/A")</f>
        <v>N/A</v>
      </c>
      <c r="J23" s="11"/>
      <c r="K23" s="11"/>
      <c r="L23" s="11"/>
      <c r="M23" s="11"/>
      <c r="N23" s="11"/>
      <c r="O23" s="11"/>
      <c r="P23" s="11"/>
      <c r="Q23" s="11"/>
      <c r="R23" s="11"/>
      <c r="S23" s="11"/>
      <c r="T23" s="11"/>
      <c r="U23" s="12" t="str" cm="1">
        <f t="array" ref="U23">IF(OR(N23:T23="NO"),"No aceptable","Aceptable")</f>
        <v>Aceptable</v>
      </c>
    </row>
    <row r="24" spans="1:21" ht="38.25">
      <c r="A24" s="60">
        <f>Inicial!A24</f>
        <v>22</v>
      </c>
      <c r="B24" s="61" t="str">
        <f>Inicial!B24</f>
        <v>Desposte</v>
      </c>
      <c r="C24" s="61" t="str">
        <f>Inicial!C24</f>
        <v>Operario de producción Línea Lomos</v>
      </c>
      <c r="D24" s="62" t="str">
        <f>Inicial!D24</f>
        <v xml:space="preserve">Rayado de lomo tecla </v>
      </c>
      <c r="E24" s="60" t="str">
        <f>IF(Inicial!O24="SI",Inicial!E24,"N/A")</f>
        <v>N/A</v>
      </c>
      <c r="F24" s="61" t="str">
        <f>IF(Inicial!O24="SI",Inicial!F24,"N/A")</f>
        <v>N/A</v>
      </c>
      <c r="G24" s="61" t="str">
        <f>IF(Inicial!O24="SI",Inicial!G24,"N/A")</f>
        <v>N/A</v>
      </c>
      <c r="H24" s="61" t="str">
        <f>IF(Inicial!O24="SI",Inicial!H24,"N/A")</f>
        <v>N/A</v>
      </c>
      <c r="I24" s="72" t="str">
        <f>IF(Inicial!O24="SI",Inicial!I24,"N/A")</f>
        <v>N/A</v>
      </c>
      <c r="J24" s="11"/>
      <c r="K24" s="11"/>
      <c r="L24" s="11"/>
      <c r="M24" s="11"/>
      <c r="N24" s="11"/>
      <c r="O24" s="11"/>
      <c r="P24" s="11"/>
      <c r="Q24" s="11"/>
      <c r="R24" s="11"/>
      <c r="S24" s="11"/>
      <c r="T24" s="11"/>
      <c r="U24" s="12" t="str" cm="1">
        <f t="array" ref="U24">IF(OR(N24:T24="NO"),"No aceptable","Aceptable")</f>
        <v>Aceptable</v>
      </c>
    </row>
    <row r="25" spans="1:21" ht="38.25">
      <c r="A25" s="60">
        <f>Inicial!A25</f>
        <v>23</v>
      </c>
      <c r="B25" s="61" t="str">
        <f>Inicial!B25</f>
        <v>Desposte</v>
      </c>
      <c r="C25" s="61" t="str">
        <f>Inicial!C25</f>
        <v>Operario de producción Línea Lomos</v>
      </c>
      <c r="D25" s="62" t="str">
        <f>Inicial!D25</f>
        <v>Rayado de lomo</v>
      </c>
      <c r="E25" s="60" t="str">
        <f>IF(Inicial!O25="SI",Inicial!E25,"N/A")</f>
        <v>N/A</v>
      </c>
      <c r="F25" s="61" t="str">
        <f>IF(Inicial!O25="SI",Inicial!F25,"N/A")</f>
        <v>N/A</v>
      </c>
      <c r="G25" s="61" t="str">
        <f>IF(Inicial!O25="SI",Inicial!G25,"N/A")</f>
        <v>N/A</v>
      </c>
      <c r="H25" s="61" t="str">
        <f>IF(Inicial!O25="SI",Inicial!H25,"N/A")</f>
        <v>N/A</v>
      </c>
      <c r="I25" s="72" t="str">
        <f>IF(Inicial!O25="SI",Inicial!I25,"N/A")</f>
        <v>N/A</v>
      </c>
      <c r="J25" s="11"/>
      <c r="K25" s="11"/>
      <c r="L25" s="11"/>
      <c r="M25" s="11"/>
      <c r="N25" s="11"/>
      <c r="O25" s="11"/>
      <c r="P25" s="11"/>
      <c r="Q25" s="11"/>
      <c r="R25" s="11"/>
      <c r="S25" s="11"/>
      <c r="T25" s="11"/>
      <c r="U25" s="12" t="str" cm="1">
        <f t="array" ref="U25">IF(OR(N25:T25="NO"),"No aceptable","Aceptable")</f>
        <v>Aceptable</v>
      </c>
    </row>
    <row r="26" spans="1:21" ht="38.25">
      <c r="A26" s="60">
        <f>Inicial!A26</f>
        <v>24</v>
      </c>
      <c r="B26" s="61" t="str">
        <f>Inicial!B26</f>
        <v>Desposte</v>
      </c>
      <c r="C26" s="61" t="str">
        <f>Inicial!C26</f>
        <v>Operario de producción Línea Lomos</v>
      </c>
      <c r="D26" s="62" t="str">
        <f>Inicial!D26</f>
        <v>Operador de Desprendedora de Lomo</v>
      </c>
      <c r="E26" s="60" t="str">
        <f>IF(Inicial!O26="SI",Inicial!E26,"N/A")</f>
        <v>N/A</v>
      </c>
      <c r="F26" s="61" t="str">
        <f>IF(Inicial!O26="SI",Inicial!F26,"N/A")</f>
        <v>N/A</v>
      </c>
      <c r="G26" s="61" t="str">
        <f>IF(Inicial!O26="SI",Inicial!G26,"N/A")</f>
        <v>N/A</v>
      </c>
      <c r="H26" s="61" t="str">
        <f>IF(Inicial!O26="SI",Inicial!H26,"N/A")</f>
        <v>N/A</v>
      </c>
      <c r="I26" s="72" t="str">
        <f>IF(Inicial!O26="SI",Inicial!I26,"N/A")</f>
        <v>N/A</v>
      </c>
      <c r="J26" s="11"/>
      <c r="K26" s="11"/>
      <c r="L26" s="11"/>
      <c r="M26" s="11"/>
      <c r="N26" s="11"/>
      <c r="O26" s="11"/>
      <c r="P26" s="11"/>
      <c r="Q26" s="11"/>
      <c r="R26" s="11"/>
      <c r="S26" s="11"/>
      <c r="T26" s="11"/>
      <c r="U26" s="12" t="str" cm="1">
        <f t="array" ref="U26">IF(OR(N26:T26="NO"),"No aceptable","Aceptable")</f>
        <v>Aceptable</v>
      </c>
    </row>
    <row r="27" spans="1:21" ht="38.25">
      <c r="A27" s="60">
        <f>Inicial!A27</f>
        <v>25</v>
      </c>
      <c r="B27" s="61" t="str">
        <f>Inicial!B27</f>
        <v>Desposte</v>
      </c>
      <c r="C27" s="61" t="str">
        <f>Inicial!C27</f>
        <v>Operario de producción Línea Lomos</v>
      </c>
      <c r="D27" s="62" t="str">
        <f>Inicial!D27</f>
        <v>Prolijado de lomo tocino</v>
      </c>
      <c r="E27" s="60" t="str">
        <f>IF(Inicial!O27="SI",Inicial!E27,"N/A")</f>
        <v>N/A</v>
      </c>
      <c r="F27" s="61" t="str">
        <f>IF(Inicial!O27="SI",Inicial!F27,"N/A")</f>
        <v>N/A</v>
      </c>
      <c r="G27" s="61" t="str">
        <f>IF(Inicial!O27="SI",Inicial!G27,"N/A")</f>
        <v>N/A</v>
      </c>
      <c r="H27" s="61" t="str">
        <f>IF(Inicial!O27="SI",Inicial!H27,"N/A")</f>
        <v>N/A</v>
      </c>
      <c r="I27" s="72" t="str">
        <f>IF(Inicial!O27="SI",Inicial!I27,"N/A")</f>
        <v>N/A</v>
      </c>
      <c r="J27" s="11"/>
      <c r="K27" s="11"/>
      <c r="L27" s="11"/>
      <c r="M27" s="11"/>
      <c r="N27" s="11"/>
      <c r="O27" s="11"/>
      <c r="P27" s="11"/>
      <c r="Q27" s="11"/>
      <c r="R27" s="11"/>
      <c r="S27" s="11"/>
      <c r="T27" s="11"/>
      <c r="U27" s="12" t="str" cm="1">
        <f t="array" ref="U27">IF(OR(N27:T27="NO"),"No aceptable","Aceptable")</f>
        <v>Aceptable</v>
      </c>
    </row>
    <row r="28" spans="1:21" ht="38.25">
      <c r="A28" s="60">
        <f>Inicial!A28</f>
        <v>26</v>
      </c>
      <c r="B28" s="61" t="str">
        <f>Inicial!B28</f>
        <v>Desposte</v>
      </c>
      <c r="C28" s="61" t="str">
        <f>Inicial!C28</f>
        <v>Operario de producción Línea Lomos</v>
      </c>
      <c r="D28" s="62" t="str">
        <f>Inicial!D28</f>
        <v>Cuadrado de lomo tecla</v>
      </c>
      <c r="E28" s="60" t="str">
        <f>IF(Inicial!O28="SI",Inicial!E28,"N/A")</f>
        <v>N/A</v>
      </c>
      <c r="F28" s="61" t="str">
        <f>IF(Inicial!O28="SI",Inicial!F28,"N/A")</f>
        <v>N/A</v>
      </c>
      <c r="G28" s="61" t="str">
        <f>IF(Inicial!O28="SI",Inicial!G28,"N/A")</f>
        <v>N/A</v>
      </c>
      <c r="H28" s="61" t="str">
        <f>IF(Inicial!O28="SI",Inicial!H28,"N/A")</f>
        <v>N/A</v>
      </c>
      <c r="I28" s="72" t="str">
        <f>IF(Inicial!O28="SI",Inicial!I28,"N/A")</f>
        <v>N/A</v>
      </c>
      <c r="J28" s="11"/>
      <c r="K28" s="11"/>
      <c r="L28" s="11"/>
      <c r="M28" s="11"/>
      <c r="N28" s="11"/>
      <c r="O28" s="11"/>
      <c r="P28" s="11"/>
      <c r="Q28" s="11"/>
      <c r="R28" s="11"/>
      <c r="S28" s="11"/>
      <c r="T28" s="11"/>
      <c r="U28" s="12" t="str" cm="1">
        <f t="array" ref="U28">IF(OR(N28:T28="NO"),"No aceptable","Aceptable")</f>
        <v>Aceptable</v>
      </c>
    </row>
    <row r="29" spans="1:21" ht="38.25">
      <c r="A29" s="60">
        <f>Inicial!A29</f>
        <v>27</v>
      </c>
      <c r="B29" s="61" t="str">
        <f>Inicial!B29</f>
        <v>Desposte</v>
      </c>
      <c r="C29" s="61" t="str">
        <f>Inicial!C29</f>
        <v>Operario de producción Línea Lomos</v>
      </c>
      <c r="D29" s="62" t="str">
        <f>Inicial!D29</f>
        <v>Distribuidor de lomos</v>
      </c>
      <c r="E29" s="60" t="str">
        <f>IF(Inicial!O29="SI",Inicial!E29,"N/A")</f>
        <v>N/A</v>
      </c>
      <c r="F29" s="61" t="str">
        <f>IF(Inicial!O29="SI",Inicial!F29,"N/A")</f>
        <v>N/A</v>
      </c>
      <c r="G29" s="61" t="str">
        <f>IF(Inicial!O29="SI",Inicial!G29,"N/A")</f>
        <v>N/A</v>
      </c>
      <c r="H29" s="61" t="str">
        <f>IF(Inicial!O29="SI",Inicial!H29,"N/A")</f>
        <v>N/A</v>
      </c>
      <c r="I29" s="72" t="str">
        <f>IF(Inicial!O29="SI",Inicial!I29,"N/A")</f>
        <v>N/A</v>
      </c>
      <c r="J29" s="11"/>
      <c r="K29" s="11"/>
      <c r="L29" s="11"/>
      <c r="M29" s="11"/>
      <c r="N29" s="11"/>
      <c r="O29" s="11"/>
      <c r="P29" s="11"/>
      <c r="Q29" s="11"/>
      <c r="R29" s="11"/>
      <c r="S29" s="11"/>
      <c r="T29" s="11"/>
      <c r="U29" s="12" t="str" cm="1">
        <f t="array" ref="U29">IF(OR(N29:T29="NO"),"No aceptable","Aceptable")</f>
        <v>Aceptable</v>
      </c>
    </row>
    <row r="30" spans="1:21" ht="38.25">
      <c r="A30" s="60">
        <f>Inicial!A30</f>
        <v>28</v>
      </c>
      <c r="B30" s="61" t="str">
        <f>Inicial!B30</f>
        <v>Desposte</v>
      </c>
      <c r="C30" s="61" t="str">
        <f>Inicial!C30</f>
        <v>Operario de producción Línea Lomos</v>
      </c>
      <c r="D30" s="62" t="str">
        <f>Inicial!D30</f>
        <v>Extraccion de cordon de lomo</v>
      </c>
      <c r="E30" s="60" t="str">
        <f>IF(Inicial!O30="SI",Inicial!E30,"N/A")</f>
        <v>N/A</v>
      </c>
      <c r="F30" s="61" t="str">
        <f>IF(Inicial!O30="SI",Inicial!F30,"N/A")</f>
        <v>N/A</v>
      </c>
      <c r="G30" s="61" t="str">
        <f>IF(Inicial!O30="SI",Inicial!G30,"N/A")</f>
        <v>N/A</v>
      </c>
      <c r="H30" s="61" t="str">
        <f>IF(Inicial!O30="SI",Inicial!H30,"N/A")</f>
        <v>N/A</v>
      </c>
      <c r="I30" s="72" t="str">
        <f>IF(Inicial!O30="SI",Inicial!I30,"N/A")</f>
        <v>N/A</v>
      </c>
      <c r="J30" s="11"/>
      <c r="K30" s="11"/>
      <c r="L30" s="11"/>
      <c r="M30" s="11"/>
      <c r="N30" s="11"/>
      <c r="O30" s="11"/>
      <c r="P30" s="11"/>
      <c r="Q30" s="11"/>
      <c r="R30" s="11"/>
      <c r="S30" s="11"/>
      <c r="T30" s="11"/>
      <c r="U30" s="12" t="str" cm="1">
        <f t="array" ref="U30">IF(OR(N30:T30="NO"),"No aceptable","Aceptable")</f>
        <v>Aceptable</v>
      </c>
    </row>
    <row r="31" spans="1:21" ht="38.25">
      <c r="A31" s="60">
        <f>Inicial!A31</f>
        <v>29</v>
      </c>
      <c r="B31" s="61" t="str">
        <f>Inicial!B31</f>
        <v>Desposte</v>
      </c>
      <c r="C31" s="61" t="str">
        <f>Inicial!C31</f>
        <v>Operario de producción Línea Lomos</v>
      </c>
      <c r="D31" s="62" t="str">
        <f>Inicial!D31</f>
        <v>Prolijado de lomo con cuchillo circular</v>
      </c>
      <c r="E31" s="60" t="str">
        <f>IF(Inicial!O31="SI",Inicial!E31,"N/A")</f>
        <v>N/A</v>
      </c>
      <c r="F31" s="61" t="str">
        <f>IF(Inicial!O31="SI",Inicial!F31,"N/A")</f>
        <v>N/A</v>
      </c>
      <c r="G31" s="61" t="str">
        <f>IF(Inicial!O31="SI",Inicial!G31,"N/A")</f>
        <v>N/A</v>
      </c>
      <c r="H31" s="61" t="str">
        <f>IF(Inicial!O31="SI",Inicial!H31,"N/A")</f>
        <v>N/A</v>
      </c>
      <c r="I31" s="72" t="str">
        <f>IF(Inicial!O31="SI",Inicial!I31,"N/A")</f>
        <v>N/A</v>
      </c>
      <c r="J31" s="11"/>
      <c r="K31" s="11"/>
      <c r="L31" s="11"/>
      <c r="M31" s="11"/>
      <c r="N31" s="11"/>
      <c r="O31" s="11"/>
      <c r="P31" s="11"/>
      <c r="Q31" s="11"/>
      <c r="R31" s="11"/>
      <c r="S31" s="11"/>
      <c r="T31" s="11"/>
      <c r="U31" s="12" t="str" cm="1">
        <f t="array" ref="U31">IF(OR(N31:T31="NO"),"No aceptable","Aceptable")</f>
        <v>Aceptable</v>
      </c>
    </row>
    <row r="32" spans="1:21" ht="38.25">
      <c r="A32" s="60">
        <f>Inicial!A32</f>
        <v>30</v>
      </c>
      <c r="B32" s="61" t="str">
        <f>Inicial!B32</f>
        <v>Desposte</v>
      </c>
      <c r="C32" s="61" t="str">
        <f>Inicial!C32</f>
        <v>Operario de producción Línea Lomos</v>
      </c>
      <c r="D32" s="62" t="str">
        <f>Inicial!D32</f>
        <v>Cuadrado de lomo</v>
      </c>
      <c r="E32" s="60" t="str">
        <f>IF(Inicial!O32="SI",Inicial!E32,"N/A")</f>
        <v>N/A</v>
      </c>
      <c r="F32" s="61" t="str">
        <f>IF(Inicial!O32="SI",Inicial!F32,"N/A")</f>
        <v>N/A</v>
      </c>
      <c r="G32" s="61" t="str">
        <f>IF(Inicial!O32="SI",Inicial!G32,"N/A")</f>
        <v>N/A</v>
      </c>
      <c r="H32" s="61" t="str">
        <f>IF(Inicial!O32="SI",Inicial!H32,"N/A")</f>
        <v>N/A</v>
      </c>
      <c r="I32" s="72" t="str">
        <f>IF(Inicial!O32="SI",Inicial!I32,"N/A")</f>
        <v>N/A</v>
      </c>
      <c r="J32" s="11"/>
      <c r="K32" s="11"/>
      <c r="L32" s="11"/>
      <c r="M32" s="11"/>
      <c r="N32" s="11"/>
      <c r="O32" s="11"/>
      <c r="P32" s="11"/>
      <c r="Q32" s="11"/>
      <c r="R32" s="11"/>
      <c r="S32" s="11"/>
      <c r="T32" s="11"/>
      <c r="U32" s="12" t="str" cm="1">
        <f t="array" ref="U32">IF(OR(N32:T32="NO"),"No aceptable","Aceptable")</f>
        <v>Aceptable</v>
      </c>
    </row>
    <row r="33" spans="1:21" ht="38.25">
      <c r="A33" s="60">
        <f>Inicial!A33</f>
        <v>31</v>
      </c>
      <c r="B33" s="61" t="str">
        <f>Inicial!B33</f>
        <v>Desposte</v>
      </c>
      <c r="C33" s="61" t="str">
        <f>Inicial!C33</f>
        <v>Operario de producción Línea Lomos</v>
      </c>
      <c r="D33" s="62" t="str">
        <f>Inicial!D33</f>
        <v>Operador de equipo Freund</v>
      </c>
      <c r="E33" s="60" t="str">
        <f>IF(Inicial!O33="SI",Inicial!E33,"N/A")</f>
        <v>N/A</v>
      </c>
      <c r="F33" s="61" t="str">
        <f>IF(Inicial!O33="SI",Inicial!F33,"N/A")</f>
        <v>N/A</v>
      </c>
      <c r="G33" s="61" t="str">
        <f>IF(Inicial!O33="SI",Inicial!G33,"N/A")</f>
        <v>N/A</v>
      </c>
      <c r="H33" s="61" t="str">
        <f>IF(Inicial!O33="SI",Inicial!H33,"N/A")</f>
        <v>N/A</v>
      </c>
      <c r="I33" s="72" t="str">
        <f>IF(Inicial!O33="SI",Inicial!I33,"N/A")</f>
        <v>N/A</v>
      </c>
      <c r="J33" s="11"/>
      <c r="K33" s="11"/>
      <c r="L33" s="11"/>
      <c r="M33" s="11"/>
      <c r="N33" s="11"/>
      <c r="O33" s="11"/>
      <c r="P33" s="11"/>
      <c r="Q33" s="11"/>
      <c r="R33" s="11"/>
      <c r="S33" s="11"/>
      <c r="T33" s="11"/>
      <c r="U33" s="12" t="str" cm="1">
        <f t="array" ref="U33">IF(OR(N33:T33="NO"),"No aceptable","Aceptable")</f>
        <v>Aceptable</v>
      </c>
    </row>
    <row r="34" spans="1:21" ht="38.25">
      <c r="A34" s="60">
        <f>Inicial!A34</f>
        <v>32</v>
      </c>
      <c r="B34" s="61" t="str">
        <f>Inicial!B34</f>
        <v>Desposte</v>
      </c>
      <c r="C34" s="61" t="str">
        <f>Inicial!C34</f>
        <v>Operario de producción Línea Lomos</v>
      </c>
      <c r="D34" s="62" t="str">
        <f>Inicial!D34</f>
        <v>Operador de Tira Hueso</v>
      </c>
      <c r="E34" s="60" t="str">
        <f>IF(Inicial!O34="SI",Inicial!E34,"N/A")</f>
        <v>N/A</v>
      </c>
      <c r="F34" s="61" t="str">
        <f>IF(Inicial!O34="SI",Inicial!F34,"N/A")</f>
        <v>N/A</v>
      </c>
      <c r="G34" s="61" t="str">
        <f>IF(Inicial!O34="SI",Inicial!G34,"N/A")</f>
        <v>N/A</v>
      </c>
      <c r="H34" s="61" t="str">
        <f>IF(Inicial!O34="SI",Inicial!H34,"N/A")</f>
        <v>N/A</v>
      </c>
      <c r="I34" s="72" t="str">
        <f>IF(Inicial!O34="SI",Inicial!I34,"N/A")</f>
        <v>N/A</v>
      </c>
      <c r="J34" s="11"/>
      <c r="K34" s="11"/>
      <c r="L34" s="11"/>
      <c r="M34" s="11"/>
      <c r="N34" s="11"/>
      <c r="O34" s="11"/>
      <c r="P34" s="11"/>
      <c r="Q34" s="11"/>
      <c r="R34" s="11"/>
      <c r="S34" s="11"/>
      <c r="T34" s="11"/>
      <c r="U34" s="12" t="str" cm="1">
        <f t="array" ref="U34">IF(OR(N34:T34="NO"),"No aceptable","Aceptable")</f>
        <v>Aceptable</v>
      </c>
    </row>
    <row r="35" spans="1:21" ht="38.25">
      <c r="A35" s="60">
        <f>Inicial!A35</f>
        <v>33</v>
      </c>
      <c r="B35" s="61" t="str">
        <f>Inicial!B35</f>
        <v>Desposte</v>
      </c>
      <c r="C35" s="61" t="str">
        <f>Inicial!C35</f>
        <v>Operario de producción Línea Lomos</v>
      </c>
      <c r="D35" s="62" t="str">
        <f>Inicial!D35</f>
        <v>Operador de MA 100</v>
      </c>
      <c r="E35" s="60" t="str">
        <f>IF(Inicial!O35="SI",Inicial!E35,"N/A")</f>
        <v>N/A</v>
      </c>
      <c r="F35" s="61" t="str">
        <f>IF(Inicial!O35="SI",Inicial!F35,"N/A")</f>
        <v>N/A</v>
      </c>
      <c r="G35" s="61" t="str">
        <f>IF(Inicial!O35="SI",Inicial!G35,"N/A")</f>
        <v>N/A</v>
      </c>
      <c r="H35" s="61" t="str">
        <f>IF(Inicial!O35="SI",Inicial!H35,"N/A")</f>
        <v>N/A</v>
      </c>
      <c r="I35" s="72" t="str">
        <f>IF(Inicial!O35="SI",Inicial!I35,"N/A")</f>
        <v>N/A</v>
      </c>
      <c r="J35" s="11"/>
      <c r="K35" s="11"/>
      <c r="L35" s="11"/>
      <c r="M35" s="11"/>
      <c r="N35" s="11"/>
      <c r="O35" s="11"/>
      <c r="P35" s="11"/>
      <c r="Q35" s="11"/>
      <c r="R35" s="11"/>
      <c r="S35" s="11"/>
      <c r="T35" s="11"/>
      <c r="U35" s="12" t="str" cm="1">
        <f t="array" ref="U35">IF(OR(N35:T35="NO"),"No aceptable","Aceptable")</f>
        <v>Aceptable</v>
      </c>
    </row>
    <row r="36" spans="1:21" ht="38.25">
      <c r="A36" s="60">
        <f>Inicial!A36</f>
        <v>34</v>
      </c>
      <c r="B36" s="61" t="str">
        <f>Inicial!B36</f>
        <v>Desposte</v>
      </c>
      <c r="C36" s="61" t="str">
        <f>Inicial!C36</f>
        <v>Operario de producción Línea Lomos</v>
      </c>
      <c r="D36" s="62" t="str">
        <f>Inicial!D36</f>
        <v>Separación de resto tira hueso</v>
      </c>
      <c r="E36" s="60" t="str">
        <f>IF(Inicial!O36="SI",Inicial!E36,"N/A")</f>
        <v>N/A</v>
      </c>
      <c r="F36" s="61" t="str">
        <f>IF(Inicial!O36="SI",Inicial!F36,"N/A")</f>
        <v>N/A</v>
      </c>
      <c r="G36" s="61" t="str">
        <f>IF(Inicial!O36="SI",Inicial!G36,"N/A")</f>
        <v>N/A</v>
      </c>
      <c r="H36" s="61" t="str">
        <f>IF(Inicial!O36="SI",Inicial!H36,"N/A")</f>
        <v>N/A</v>
      </c>
      <c r="I36" s="72" t="str">
        <f>IF(Inicial!O36="SI",Inicial!I36,"N/A")</f>
        <v>N/A</v>
      </c>
      <c r="J36" s="11"/>
      <c r="K36" s="11"/>
      <c r="L36" s="11"/>
      <c r="M36" s="11"/>
      <c r="N36" s="11"/>
      <c r="O36" s="11"/>
      <c r="P36" s="11"/>
      <c r="Q36" s="11"/>
      <c r="R36" s="11"/>
      <c r="S36" s="11"/>
      <c r="T36" s="11"/>
      <c r="U36" s="12" t="str" cm="1">
        <f t="array" ref="U36">IF(OR(N36:T36="NO"),"No aceptable","Aceptable")</f>
        <v>Aceptable</v>
      </c>
    </row>
    <row r="37" spans="1:21" ht="38.25">
      <c r="A37" s="60">
        <f>Inicial!A37</f>
        <v>35</v>
      </c>
      <c r="B37" s="61" t="str">
        <f>Inicial!B37</f>
        <v>Desposte</v>
      </c>
      <c r="C37" s="61" t="str">
        <f>Inicial!C37</f>
        <v>Operario de producción Línea Lomos</v>
      </c>
      <c r="D37" s="62" t="str">
        <f>Inicial!D37</f>
        <v>Prolijado de tailen</v>
      </c>
      <c r="E37" s="60" t="str">
        <f>IF(Inicial!O37="SI",Inicial!E37,"N/A")</f>
        <v>N/A</v>
      </c>
      <c r="F37" s="61" t="str">
        <f>IF(Inicial!O37="SI",Inicial!F37,"N/A")</f>
        <v>N/A</v>
      </c>
      <c r="G37" s="61" t="str">
        <f>IF(Inicial!O37="SI",Inicial!G37,"N/A")</f>
        <v>N/A</v>
      </c>
      <c r="H37" s="61" t="str">
        <f>IF(Inicial!O37="SI",Inicial!H37,"N/A")</f>
        <v>N/A</v>
      </c>
      <c r="I37" s="72" t="str">
        <f>IF(Inicial!O37="SI",Inicial!I37,"N/A")</f>
        <v>N/A</v>
      </c>
      <c r="J37" s="11"/>
      <c r="K37" s="11"/>
      <c r="L37" s="11"/>
      <c r="M37" s="11"/>
      <c r="N37" s="11"/>
      <c r="O37" s="11"/>
      <c r="P37" s="11"/>
      <c r="Q37" s="11"/>
      <c r="R37" s="11"/>
      <c r="S37" s="11"/>
      <c r="T37" s="11"/>
      <c r="U37" s="12" t="str" cm="1">
        <f t="array" ref="U37">IF(OR(N37:T37="NO"),"No aceptable","Aceptable")</f>
        <v>Aceptable</v>
      </c>
    </row>
    <row r="38" spans="1:21" ht="38.25">
      <c r="A38" s="60">
        <f>Inicial!A38</f>
        <v>36</v>
      </c>
      <c r="B38" s="61" t="str">
        <f>Inicial!B38</f>
        <v>Desposte</v>
      </c>
      <c r="C38" s="61" t="str">
        <f>Inicial!C38</f>
        <v>Operario de producción Línea Lomos</v>
      </c>
      <c r="D38" s="62" t="str">
        <f>Inicial!D38</f>
        <v>Calibrado de tailen</v>
      </c>
      <c r="E38" s="60" t="str">
        <f>IF(Inicial!O38="SI",Inicial!E38,"N/A")</f>
        <v>N/A</v>
      </c>
      <c r="F38" s="61" t="str">
        <f>IF(Inicial!O38="SI",Inicial!F38,"N/A")</f>
        <v>N/A</v>
      </c>
      <c r="G38" s="61" t="str">
        <f>IF(Inicial!O38="SI",Inicial!G38,"N/A")</f>
        <v>N/A</v>
      </c>
      <c r="H38" s="61" t="str">
        <f>IF(Inicial!O38="SI",Inicial!H38,"N/A")</f>
        <v>N/A</v>
      </c>
      <c r="I38" s="72" t="str">
        <f>IF(Inicial!O38="SI",Inicial!I38,"N/A")</f>
        <v>N/A</v>
      </c>
      <c r="J38" s="11"/>
      <c r="K38" s="11"/>
      <c r="L38" s="11"/>
      <c r="M38" s="11"/>
      <c r="N38" s="11"/>
      <c r="O38" s="11"/>
      <c r="P38" s="11"/>
      <c r="Q38" s="11"/>
      <c r="R38" s="11"/>
      <c r="S38" s="11"/>
      <c r="T38" s="11"/>
      <c r="U38" s="12" t="str" cm="1">
        <f t="array" ref="U38">IF(OR(N38:T38="NO"),"No aceptable","Aceptable")</f>
        <v>Aceptable</v>
      </c>
    </row>
    <row r="39" spans="1:21" ht="38.25">
      <c r="A39" s="60">
        <f>Inicial!A39</f>
        <v>37</v>
      </c>
      <c r="B39" s="61" t="str">
        <f>Inicial!B39</f>
        <v>Desposte</v>
      </c>
      <c r="C39" s="61" t="str">
        <f>Inicial!C39</f>
        <v>Operario de producción Línea Lomos</v>
      </c>
      <c r="D39" s="62" t="str">
        <f>Inicial!D39</f>
        <v>Calibrado de baby back ribs</v>
      </c>
      <c r="E39" s="60" t="str">
        <f>IF(Inicial!O39="SI",Inicial!E39,"N/A")</f>
        <v>N/A</v>
      </c>
      <c r="F39" s="61" t="str">
        <f>IF(Inicial!O39="SI",Inicial!F39,"N/A")</f>
        <v>N/A</v>
      </c>
      <c r="G39" s="61" t="str">
        <f>IF(Inicial!O39="SI",Inicial!G39,"N/A")</f>
        <v>N/A</v>
      </c>
      <c r="H39" s="61" t="str">
        <f>IF(Inicial!O39="SI",Inicial!H39,"N/A")</f>
        <v>N/A</v>
      </c>
      <c r="I39" s="72" t="str">
        <f>IF(Inicial!O39="SI",Inicial!I39,"N/A")</f>
        <v>N/A</v>
      </c>
      <c r="J39" s="11"/>
      <c r="K39" s="11"/>
      <c r="L39" s="11"/>
      <c r="M39" s="11"/>
      <c r="N39" s="11"/>
      <c r="O39" s="11"/>
      <c r="P39" s="11"/>
      <c r="Q39" s="11"/>
      <c r="R39" s="11"/>
      <c r="S39" s="11"/>
      <c r="T39" s="11"/>
      <c r="U39" s="12" t="str" cm="1">
        <f t="array" ref="U39">IF(OR(N39:T39="NO"),"No aceptable","Aceptable")</f>
        <v>Aceptable</v>
      </c>
    </row>
    <row r="40" spans="1:21">
      <c r="A40" s="60"/>
      <c r="B40" s="61"/>
      <c r="C40" s="61"/>
      <c r="D40" s="62"/>
      <c r="E40" s="60"/>
      <c r="F40" s="61"/>
      <c r="G40" s="61"/>
      <c r="H40" s="61"/>
      <c r="I40" s="72"/>
      <c r="N40" s="11"/>
      <c r="O40" s="11"/>
      <c r="P40" s="11"/>
      <c r="Q40" s="11"/>
      <c r="R40" s="11"/>
      <c r="S40" s="11"/>
      <c r="T40" s="11"/>
      <c r="U40" s="11"/>
    </row>
    <row r="41" spans="1:21">
      <c r="A41" s="60"/>
      <c r="B41" s="61"/>
      <c r="C41" s="61"/>
      <c r="D41" s="62"/>
      <c r="E41" s="60"/>
      <c r="F41" s="61"/>
      <c r="G41" s="61"/>
      <c r="H41" s="61"/>
      <c r="I41" s="72"/>
      <c r="N41" s="11"/>
      <c r="O41" s="11"/>
      <c r="P41" s="11"/>
      <c r="Q41" s="11"/>
      <c r="R41" s="11"/>
      <c r="S41" s="11"/>
      <c r="T41" s="11"/>
      <c r="U41" s="11"/>
    </row>
    <row r="42" spans="1:21">
      <c r="A42" s="60"/>
      <c r="B42" s="61"/>
      <c r="C42" s="61"/>
      <c r="D42" s="62"/>
      <c r="E42" s="60"/>
      <c r="F42" s="61"/>
      <c r="G42" s="61"/>
      <c r="H42" s="61"/>
      <c r="I42" s="72"/>
      <c r="S42" s="1"/>
      <c r="T42" s="1"/>
    </row>
    <row r="43" spans="1:21">
      <c r="A43" s="60"/>
      <c r="B43" s="61"/>
      <c r="C43" s="61"/>
      <c r="D43" s="62"/>
      <c r="E43" s="60"/>
      <c r="F43" s="61"/>
      <c r="G43" s="61"/>
      <c r="H43" s="61"/>
      <c r="I43" s="72"/>
      <c r="S43" s="1"/>
      <c r="T43" s="1"/>
    </row>
    <row r="44" spans="1:21">
      <c r="A44" s="60"/>
      <c r="B44" s="61"/>
      <c r="C44" s="61"/>
      <c r="D44" s="62"/>
      <c r="E44" s="60"/>
      <c r="F44" s="61"/>
      <c r="G44" s="61"/>
      <c r="H44" s="61"/>
      <c r="I44" s="72"/>
      <c r="S44" s="1"/>
      <c r="T44" s="1"/>
    </row>
    <row r="45" spans="1:21">
      <c r="A45" s="60"/>
      <c r="B45" s="61"/>
      <c r="C45" s="61"/>
      <c r="D45" s="62"/>
      <c r="E45" s="60"/>
      <c r="F45" s="61"/>
      <c r="G45" s="61"/>
      <c r="H45" s="61"/>
      <c r="I45" s="72"/>
      <c r="S45" s="1"/>
      <c r="T45" s="1"/>
    </row>
    <row r="46" spans="1:21">
      <c r="A46" s="60"/>
      <c r="B46" s="61"/>
      <c r="C46" s="61"/>
      <c r="D46" s="62"/>
      <c r="E46" s="60"/>
      <c r="F46" s="61"/>
      <c r="G46" s="61"/>
      <c r="H46" s="61"/>
      <c r="I46" s="72"/>
      <c r="S46" s="1"/>
      <c r="T46" s="1"/>
    </row>
    <row r="47" spans="1:21">
      <c r="A47" s="60"/>
      <c r="B47" s="61"/>
      <c r="C47" s="61"/>
      <c r="D47" s="62"/>
      <c r="E47" s="60"/>
      <c r="F47" s="61"/>
      <c r="G47" s="61"/>
      <c r="H47" s="61"/>
      <c r="I47" s="72"/>
      <c r="S47" s="1"/>
      <c r="T47" s="1"/>
    </row>
    <row r="48" spans="1:21">
      <c r="A48" s="60"/>
      <c r="B48" s="61"/>
      <c r="C48" s="61"/>
      <c r="D48" s="62"/>
      <c r="E48" s="60"/>
      <c r="F48" s="61"/>
      <c r="G48" s="61"/>
      <c r="H48" s="61"/>
      <c r="I48" s="72"/>
      <c r="S48" s="1"/>
      <c r="T48" s="1"/>
    </row>
    <row r="49" spans="1:20">
      <c r="A49" s="60"/>
      <c r="B49" s="61"/>
      <c r="C49" s="61"/>
      <c r="D49" s="62"/>
      <c r="E49" s="60"/>
      <c r="F49" s="61"/>
      <c r="G49" s="61"/>
      <c r="H49" s="61"/>
      <c r="I49" s="72"/>
      <c r="S49" s="1"/>
      <c r="T49" s="1"/>
    </row>
    <row r="50" spans="1:20">
      <c r="A50" s="60"/>
      <c r="B50" s="61"/>
      <c r="C50" s="61"/>
      <c r="D50" s="62"/>
      <c r="E50" s="60"/>
      <c r="F50" s="61"/>
      <c r="G50" s="61"/>
      <c r="H50" s="61"/>
      <c r="I50" s="72"/>
      <c r="S50" s="1"/>
      <c r="T50" s="1"/>
    </row>
    <row r="51" spans="1:20">
      <c r="A51" s="60"/>
      <c r="B51" s="61"/>
      <c r="C51" s="61"/>
      <c r="D51" s="62"/>
      <c r="E51" s="60"/>
      <c r="F51" s="61"/>
      <c r="G51" s="61"/>
      <c r="H51" s="61"/>
      <c r="I51" s="72"/>
      <c r="S51" s="1"/>
      <c r="T51" s="1"/>
    </row>
    <row r="52" spans="1:20">
      <c r="A52" s="60"/>
      <c r="B52" s="61"/>
      <c r="C52" s="61"/>
      <c r="D52" s="62"/>
      <c r="E52" s="60"/>
      <c r="F52" s="61"/>
      <c r="G52" s="61"/>
      <c r="H52" s="61"/>
      <c r="I52" s="72"/>
      <c r="S52" s="1"/>
      <c r="T52" s="1"/>
    </row>
    <row r="53" spans="1:20">
      <c r="A53" s="60"/>
      <c r="B53" s="61"/>
      <c r="C53" s="61"/>
      <c r="D53" s="62"/>
      <c r="E53" s="60"/>
      <c r="F53" s="61"/>
      <c r="G53" s="61"/>
      <c r="H53" s="61"/>
      <c r="I53" s="72"/>
      <c r="S53" s="1"/>
      <c r="T53" s="1"/>
    </row>
    <row r="54" spans="1:20">
      <c r="A54" s="60"/>
      <c r="B54" s="61"/>
      <c r="C54" s="61"/>
      <c r="D54" s="62"/>
      <c r="E54" s="60"/>
      <c r="F54" s="61"/>
      <c r="G54" s="61"/>
      <c r="H54" s="61"/>
      <c r="I54" s="72"/>
      <c r="S54" s="1"/>
      <c r="T54" s="1"/>
    </row>
    <row r="55" spans="1:20">
      <c r="A55" s="60"/>
      <c r="B55" s="61"/>
      <c r="C55" s="61"/>
      <c r="D55" s="62"/>
      <c r="E55" s="60"/>
      <c r="F55" s="61"/>
      <c r="G55" s="61"/>
      <c r="H55" s="61"/>
      <c r="I55" s="72"/>
      <c r="S55" s="1"/>
      <c r="T55" s="1"/>
    </row>
    <row r="56" spans="1:20">
      <c r="A56" s="60"/>
      <c r="B56" s="61"/>
      <c r="C56" s="61"/>
      <c r="D56" s="62"/>
      <c r="E56" s="60"/>
      <c r="F56" s="61"/>
      <c r="G56" s="61"/>
      <c r="H56" s="61"/>
      <c r="I56" s="72"/>
      <c r="S56" s="1"/>
      <c r="T56" s="1"/>
    </row>
    <row r="57" spans="1:20">
      <c r="A57" s="60"/>
      <c r="B57" s="61"/>
      <c r="C57" s="61"/>
      <c r="D57" s="62"/>
      <c r="E57" s="60"/>
      <c r="F57" s="61"/>
      <c r="G57" s="61"/>
      <c r="H57" s="61"/>
      <c r="I57" s="72"/>
      <c r="S57" s="1"/>
      <c r="T57" s="1"/>
    </row>
    <row r="58" spans="1:20">
      <c r="A58" s="60"/>
      <c r="B58" s="61"/>
      <c r="C58" s="61"/>
      <c r="D58" s="62"/>
      <c r="E58" s="60"/>
      <c r="F58" s="61"/>
      <c r="G58" s="61"/>
      <c r="H58" s="61"/>
      <c r="I58" s="72"/>
      <c r="S58" s="1"/>
      <c r="T58" s="1"/>
    </row>
    <row r="59" spans="1:20">
      <c r="A59" s="60"/>
      <c r="B59" s="61"/>
      <c r="C59" s="61"/>
      <c r="D59" s="62"/>
      <c r="E59" s="60"/>
      <c r="F59" s="61"/>
      <c r="G59" s="61"/>
      <c r="H59" s="61"/>
      <c r="I59" s="72"/>
      <c r="S59" s="1"/>
      <c r="T59" s="1"/>
    </row>
    <row r="60" spans="1:20">
      <c r="A60" s="60"/>
      <c r="B60" s="61"/>
      <c r="C60" s="61"/>
      <c r="D60" s="62"/>
      <c r="E60" s="60"/>
      <c r="F60" s="61"/>
      <c r="G60" s="61"/>
      <c r="H60" s="61"/>
      <c r="I60" s="72"/>
      <c r="S60" s="1"/>
      <c r="T60" s="1"/>
    </row>
    <row r="61" spans="1:20">
      <c r="A61" s="60"/>
      <c r="B61" s="61"/>
      <c r="C61" s="61"/>
      <c r="D61" s="62"/>
      <c r="E61" s="60"/>
      <c r="F61" s="61"/>
      <c r="G61" s="61"/>
      <c r="H61" s="61"/>
      <c r="I61" s="72"/>
      <c r="S61" s="1"/>
      <c r="T61" s="1"/>
    </row>
    <row r="62" spans="1:20">
      <c r="A62" s="60"/>
      <c r="B62" s="61"/>
      <c r="C62" s="61"/>
      <c r="D62" s="62"/>
      <c r="E62" s="60"/>
      <c r="F62" s="61"/>
      <c r="G62" s="61"/>
      <c r="H62" s="61"/>
      <c r="I62" s="72"/>
      <c r="S62" s="1"/>
      <c r="T62" s="1"/>
    </row>
    <row r="63" spans="1:20">
      <c r="A63" s="60"/>
      <c r="B63" s="61"/>
      <c r="C63" s="61"/>
      <c r="D63" s="62"/>
      <c r="E63" s="60"/>
      <c r="F63" s="61"/>
      <c r="G63" s="61"/>
      <c r="H63" s="61"/>
      <c r="I63" s="72"/>
      <c r="S63" s="1"/>
      <c r="T63" s="1"/>
    </row>
    <row r="64" spans="1:20">
      <c r="A64" s="60"/>
      <c r="B64" s="61"/>
      <c r="C64" s="61"/>
      <c r="D64" s="62"/>
      <c r="E64" s="60"/>
      <c r="F64" s="61"/>
      <c r="G64" s="61"/>
      <c r="H64" s="61"/>
      <c r="I64" s="72"/>
      <c r="S64" s="1"/>
      <c r="T64" s="1"/>
    </row>
    <row r="65" spans="1:20">
      <c r="A65" s="60"/>
      <c r="B65" s="61"/>
      <c r="C65" s="61"/>
      <c r="D65" s="62"/>
      <c r="E65" s="60"/>
      <c r="F65" s="61"/>
      <c r="G65" s="61"/>
      <c r="H65" s="61"/>
      <c r="I65" s="72"/>
      <c r="S65" s="1"/>
      <c r="T65" s="1"/>
    </row>
    <row r="66" spans="1:20">
      <c r="A66" s="60"/>
      <c r="B66" s="61"/>
      <c r="C66" s="61"/>
      <c r="D66" s="62"/>
      <c r="E66" s="60"/>
      <c r="F66" s="61"/>
      <c r="G66" s="61"/>
      <c r="H66" s="61"/>
      <c r="I66" s="72"/>
      <c r="S66" s="1"/>
      <c r="T66" s="1"/>
    </row>
    <row r="67" spans="1:20">
      <c r="A67" s="60"/>
      <c r="B67" s="61"/>
      <c r="C67" s="61"/>
      <c r="D67" s="62"/>
      <c r="E67" s="60"/>
      <c r="F67" s="61"/>
      <c r="G67" s="61"/>
      <c r="H67" s="61"/>
      <c r="I67" s="72"/>
      <c r="S67" s="1"/>
      <c r="T67" s="1"/>
    </row>
    <row r="68" spans="1:20">
      <c r="A68" s="60"/>
      <c r="B68" s="61"/>
      <c r="C68" s="61"/>
      <c r="D68" s="62"/>
      <c r="E68" s="60"/>
      <c r="F68" s="61"/>
      <c r="G68" s="61"/>
      <c r="H68" s="61"/>
      <c r="I68" s="72"/>
      <c r="S68" s="1"/>
      <c r="T68" s="1"/>
    </row>
    <row r="69" spans="1:20">
      <c r="A69" s="60"/>
      <c r="B69" s="61"/>
      <c r="C69" s="61"/>
      <c r="D69" s="62"/>
      <c r="E69" s="60"/>
      <c r="F69" s="61"/>
      <c r="G69" s="61"/>
      <c r="H69" s="61"/>
      <c r="I69" s="72"/>
      <c r="S69" s="1"/>
      <c r="T69" s="1"/>
    </row>
    <row r="70" spans="1:20">
      <c r="A70" s="60"/>
      <c r="B70" s="61"/>
      <c r="C70" s="61"/>
      <c r="D70" s="62"/>
      <c r="E70" s="60"/>
      <c r="F70" s="61"/>
      <c r="G70" s="61"/>
      <c r="H70" s="61"/>
      <c r="I70" s="72"/>
      <c r="S70" s="1"/>
      <c r="T70" s="1"/>
    </row>
    <row r="71" spans="1:20">
      <c r="A71" s="60"/>
      <c r="B71" s="61"/>
      <c r="C71" s="61"/>
      <c r="D71" s="62"/>
      <c r="E71" s="60"/>
      <c r="F71" s="61"/>
      <c r="G71" s="61"/>
      <c r="H71" s="61"/>
      <c r="I71" s="72"/>
      <c r="S71" s="1"/>
      <c r="T71" s="1"/>
    </row>
    <row r="72" spans="1:20">
      <c r="A72" s="60"/>
      <c r="B72" s="61"/>
      <c r="C72" s="61"/>
      <c r="D72" s="62"/>
      <c r="E72" s="60"/>
      <c r="F72" s="61"/>
      <c r="G72" s="61"/>
      <c r="H72" s="61"/>
      <c r="I72" s="72"/>
      <c r="S72" s="1"/>
      <c r="T72" s="1"/>
    </row>
    <row r="73" spans="1:20">
      <c r="A73" s="60"/>
      <c r="B73" s="61"/>
      <c r="C73" s="61"/>
      <c r="D73" s="62"/>
      <c r="E73" s="60"/>
      <c r="F73" s="61"/>
      <c r="G73" s="61"/>
      <c r="H73" s="61"/>
      <c r="I73" s="72"/>
      <c r="S73" s="1"/>
      <c r="T73" s="1"/>
    </row>
    <row r="74" spans="1:20">
      <c r="A74" s="60"/>
      <c r="B74" s="61"/>
      <c r="C74" s="61"/>
      <c r="D74" s="62"/>
      <c r="E74" s="60"/>
      <c r="F74" s="61"/>
      <c r="G74" s="61"/>
      <c r="H74" s="61"/>
      <c r="I74" s="72"/>
      <c r="S74" s="1"/>
      <c r="T74" s="1"/>
    </row>
    <row r="75" spans="1:20">
      <c r="A75" s="60"/>
      <c r="B75" s="61"/>
      <c r="C75" s="61"/>
      <c r="D75" s="62"/>
      <c r="E75" s="60"/>
      <c r="F75" s="61"/>
      <c r="G75" s="61"/>
      <c r="H75" s="61"/>
      <c r="I75" s="72"/>
      <c r="S75" s="1"/>
      <c r="T75" s="1"/>
    </row>
    <row r="76" spans="1:20">
      <c r="A76" s="60"/>
      <c r="B76" s="61"/>
      <c r="C76" s="61"/>
      <c r="D76" s="62"/>
      <c r="E76" s="60"/>
      <c r="F76" s="61"/>
      <c r="G76" s="61"/>
      <c r="H76" s="61"/>
      <c r="I76" s="72"/>
      <c r="S76" s="1"/>
      <c r="T76" s="1"/>
    </row>
    <row r="77" spans="1:20">
      <c r="A77" s="60"/>
      <c r="B77" s="61"/>
      <c r="C77" s="61"/>
      <c r="D77" s="62"/>
      <c r="E77" s="60"/>
      <c r="F77" s="61"/>
      <c r="G77" s="61"/>
      <c r="H77" s="61"/>
      <c r="I77" s="72"/>
      <c r="S77" s="1"/>
      <c r="T77" s="1"/>
    </row>
    <row r="78" spans="1:20">
      <c r="A78" s="60"/>
      <c r="B78" s="61"/>
      <c r="C78" s="61"/>
      <c r="D78" s="62"/>
      <c r="E78" s="60"/>
      <c r="F78" s="61"/>
      <c r="G78" s="61"/>
      <c r="H78" s="61"/>
      <c r="I78" s="72"/>
      <c r="S78" s="1"/>
      <c r="T78" s="1"/>
    </row>
    <row r="79" spans="1:20">
      <c r="A79" s="60"/>
      <c r="B79" s="61"/>
      <c r="C79" s="61"/>
      <c r="D79" s="62"/>
      <c r="E79" s="60"/>
      <c r="F79" s="61"/>
      <c r="G79" s="61"/>
      <c r="H79" s="61"/>
      <c r="I79" s="72"/>
      <c r="S79" s="1"/>
      <c r="T79" s="1"/>
    </row>
    <row r="80" spans="1:20">
      <c r="A80" s="60"/>
      <c r="B80" s="61"/>
      <c r="C80" s="61"/>
      <c r="D80" s="62"/>
      <c r="E80" s="60"/>
      <c r="F80" s="61"/>
      <c r="G80" s="61"/>
      <c r="H80" s="61"/>
      <c r="I80" s="72"/>
      <c r="S80" s="1"/>
      <c r="T80" s="1"/>
    </row>
    <row r="81" spans="1:20">
      <c r="A81" s="60"/>
      <c r="B81" s="61"/>
      <c r="C81" s="61"/>
      <c r="D81" s="62"/>
      <c r="E81" s="60"/>
      <c r="F81" s="61"/>
      <c r="G81" s="61"/>
      <c r="H81" s="61"/>
      <c r="I81" s="72"/>
      <c r="S81" s="1"/>
      <c r="T81" s="1"/>
    </row>
    <row r="82" spans="1:20">
      <c r="A82" s="60"/>
      <c r="B82" s="61"/>
      <c r="C82" s="61"/>
      <c r="D82" s="62"/>
      <c r="E82" s="60"/>
      <c r="F82" s="61"/>
      <c r="G82" s="61"/>
      <c r="H82" s="61"/>
      <c r="I82" s="72"/>
      <c r="S82" s="1"/>
      <c r="T82" s="1"/>
    </row>
    <row r="83" spans="1:20">
      <c r="A83" s="60"/>
      <c r="B83" s="61"/>
      <c r="C83" s="61"/>
      <c r="D83" s="62"/>
      <c r="E83" s="60"/>
      <c r="F83" s="61"/>
      <c r="G83" s="61"/>
      <c r="H83" s="61"/>
      <c r="I83" s="72"/>
      <c r="S83" s="1"/>
      <c r="T83" s="1"/>
    </row>
    <row r="84" spans="1:20">
      <c r="A84" s="60"/>
      <c r="B84" s="61"/>
      <c r="C84" s="61"/>
      <c r="D84" s="62"/>
      <c r="E84" s="60"/>
      <c r="F84" s="61"/>
      <c r="G84" s="61"/>
      <c r="H84" s="61"/>
      <c r="I84" s="72"/>
      <c r="S84" s="1"/>
      <c r="T84" s="1"/>
    </row>
    <row r="85" spans="1:20">
      <c r="A85" s="60"/>
      <c r="B85" s="61"/>
      <c r="C85" s="61"/>
      <c r="D85" s="62"/>
      <c r="E85" s="60"/>
      <c r="F85" s="61"/>
      <c r="G85" s="61"/>
      <c r="H85" s="61"/>
      <c r="I85" s="72"/>
      <c r="S85" s="1"/>
      <c r="T85" s="1"/>
    </row>
    <row r="86" spans="1:20">
      <c r="A86" s="60"/>
      <c r="B86" s="61"/>
      <c r="C86" s="61"/>
      <c r="D86" s="62"/>
      <c r="E86" s="60"/>
      <c r="F86" s="61"/>
      <c r="G86" s="61"/>
      <c r="H86" s="61"/>
      <c r="I86" s="72"/>
      <c r="S86" s="1"/>
      <c r="T86" s="1"/>
    </row>
    <row r="87" spans="1:20">
      <c r="A87" s="60"/>
      <c r="B87" s="61"/>
      <c r="C87" s="61"/>
      <c r="D87" s="62"/>
      <c r="E87" s="60"/>
      <c r="F87" s="61"/>
      <c r="G87" s="61"/>
      <c r="H87" s="61"/>
      <c r="I87" s="72"/>
      <c r="S87" s="1"/>
      <c r="T87" s="1"/>
    </row>
    <row r="88" spans="1:20">
      <c r="A88" s="60"/>
      <c r="B88" s="61"/>
      <c r="C88" s="61"/>
      <c r="D88" s="62"/>
      <c r="E88" s="60"/>
      <c r="F88" s="61"/>
      <c r="G88" s="61"/>
      <c r="H88" s="61"/>
      <c r="I88" s="72"/>
      <c r="S88" s="1"/>
      <c r="T88" s="1"/>
    </row>
    <row r="89" spans="1:20">
      <c r="A89" s="60"/>
      <c r="B89" s="61"/>
      <c r="C89" s="61"/>
      <c r="D89" s="62"/>
      <c r="E89" s="60"/>
      <c r="F89" s="61"/>
      <c r="G89" s="61"/>
      <c r="H89" s="61"/>
      <c r="I89" s="72"/>
      <c r="S89" s="1"/>
      <c r="T89" s="1"/>
    </row>
    <row r="90" spans="1:20">
      <c r="S90" s="1"/>
      <c r="T90" s="1"/>
    </row>
    <row r="91" spans="1:20">
      <c r="S91" s="1"/>
      <c r="T91" s="1"/>
    </row>
  </sheetData>
  <mergeCells count="5">
    <mergeCell ref="F1:G1"/>
    <mergeCell ref="H1:I1"/>
    <mergeCell ref="J1:T1"/>
    <mergeCell ref="V1:AA1"/>
    <mergeCell ref="A1:E1"/>
  </mergeCells>
  <conditionalFormatting sqref="J3:T39 S40:T41">
    <cfRule type="cellIs" dxfId="15" priority="7" operator="equal">
      <formula>"NO"</formula>
    </cfRule>
  </conditionalFormatting>
  <conditionalFormatting sqref="J3:T39">
    <cfRule type="cellIs" dxfId="14" priority="1" operator="equal">
      <formula>"SI"</formula>
    </cfRule>
  </conditionalFormatting>
  <conditionalFormatting sqref="U3:U39">
    <cfRule type="cellIs" dxfId="13" priority="2" operator="equal">
      <formula>"No Aceptable"</formula>
    </cfRule>
    <cfRule type="cellIs" dxfId="12" priority="3" operator="equal">
      <formula>"Aceptable"</formula>
    </cfRule>
  </conditionalFormatting>
  <conditionalFormatting sqref="U40:U1048576 N42:T1048576">
    <cfRule type="cellIs" dxfId="11" priority="8" operator="equal">
      <formula>"NO"</formula>
    </cfRule>
    <cfRule type="cellIs" dxfId="10" priority="9" operator="equal">
      <formula>"SI"</formula>
    </cfRule>
  </conditionalFormatting>
  <dataValidations count="3">
    <dataValidation type="list" allowBlank="1" showInputMessage="1" showErrorMessage="1" sqref="T3:T41 N40:S41 J3:S39 U40:U41">
      <formula1>"SI,NO,N/A"</formula1>
    </dataValidation>
    <dataValidation type="list" allowBlank="1" showInputMessage="1" showErrorMessage="1" sqref="N42:T91">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U1:U2"/>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T116"/>
  <sheetViews>
    <sheetView workbookViewId="0">
      <pane xSplit="9" ySplit="2" topLeftCell="K8" activePane="bottomRight" state="frozen"/>
      <selection pane="topRight" activeCell="J1" sqref="J1"/>
      <selection pane="bottomLeft" activeCell="A3" sqref="A3"/>
      <selection pane="bottomRight" activeCell="M19" sqref="M19"/>
    </sheetView>
  </sheetViews>
  <sheetFormatPr baseColWidth="10" defaultRowHeight="14.25"/>
  <cols>
    <col min="1" max="1" width="4.25" style="4" customWidth="1"/>
    <col min="2" max="3" width="11.5" style="1" customWidth="1"/>
    <col min="4" max="4" width="14.375" style="1" customWidth="1"/>
    <col min="5" max="6" width="9.625" style="1" customWidth="1"/>
    <col min="7" max="9" width="9.625" customWidth="1"/>
    <col min="10" max="13" width="11.5" style="87" customWidth="1"/>
    <col min="14" max="15" width="15.875" style="86" customWidth="1"/>
    <col min="16" max="16" width="18.25" style="87" customWidth="1"/>
    <col min="17" max="17" width="17.875" style="87" customWidth="1"/>
    <col min="18" max="18" width="28.75" style="87" customWidth="1"/>
    <col min="19" max="24" width="11.5" style="87"/>
  </cols>
  <sheetData>
    <row r="1" spans="1:46" ht="60" customHeight="1">
      <c r="A1" s="145" t="s">
        <v>289</v>
      </c>
      <c r="B1" s="145"/>
      <c r="C1" s="145"/>
      <c r="D1" s="145"/>
      <c r="E1" s="145"/>
      <c r="F1" s="125" t="s">
        <v>60</v>
      </c>
      <c r="G1" s="125"/>
      <c r="H1" s="125" t="s">
        <v>57</v>
      </c>
      <c r="I1" s="125"/>
      <c r="J1" s="143" t="s">
        <v>237</v>
      </c>
      <c r="K1" s="143"/>
      <c r="L1" s="143"/>
      <c r="M1" s="143"/>
      <c r="N1" s="143"/>
      <c r="O1" s="143"/>
      <c r="P1" s="143"/>
      <c r="Q1" s="144"/>
      <c r="R1" s="83" t="s">
        <v>159</v>
      </c>
      <c r="S1" s="135" t="s">
        <v>19</v>
      </c>
      <c r="T1" s="136"/>
      <c r="U1" s="136"/>
      <c r="V1" s="136"/>
      <c r="W1" s="136"/>
      <c r="X1" s="137"/>
    </row>
    <row r="2" spans="1:46" ht="88.15" customHeight="1">
      <c r="A2" s="8" t="s">
        <v>0</v>
      </c>
      <c r="B2" s="9" t="s">
        <v>20</v>
      </c>
      <c r="C2" s="9" t="s">
        <v>1</v>
      </c>
      <c r="D2" s="9" t="s">
        <v>2</v>
      </c>
      <c r="E2" s="9" t="s">
        <v>21</v>
      </c>
      <c r="F2" s="9" t="s">
        <v>40</v>
      </c>
      <c r="G2" s="9" t="s">
        <v>61</v>
      </c>
      <c r="H2" s="9" t="s">
        <v>58</v>
      </c>
      <c r="I2" s="9" t="s">
        <v>59</v>
      </c>
      <c r="J2" s="9" t="s">
        <v>238</v>
      </c>
      <c r="K2" s="9" t="s">
        <v>239</v>
      </c>
      <c r="L2" s="9" t="s">
        <v>240</v>
      </c>
      <c r="M2" s="9" t="s">
        <v>241</v>
      </c>
      <c r="N2" s="13" t="s">
        <v>242</v>
      </c>
      <c r="O2" s="13" t="s">
        <v>243</v>
      </c>
      <c r="P2" s="13" t="s">
        <v>244</v>
      </c>
      <c r="Q2" s="13" t="s">
        <v>245</v>
      </c>
      <c r="R2" s="81" t="s">
        <v>28</v>
      </c>
      <c r="S2" s="13" t="s">
        <v>34</v>
      </c>
      <c r="T2" s="13" t="s">
        <v>35</v>
      </c>
      <c r="U2" s="13" t="s">
        <v>36</v>
      </c>
      <c r="V2" s="13" t="s">
        <v>37</v>
      </c>
      <c r="W2" s="13" t="s">
        <v>38</v>
      </c>
      <c r="X2" s="13" t="s">
        <v>39</v>
      </c>
    </row>
    <row r="3" spans="1:46" s="5" customFormat="1" ht="25.9" hidden="1" customHeight="1">
      <c r="A3" s="60">
        <f>Inicial!A3</f>
        <v>1</v>
      </c>
      <c r="B3" s="61" t="str">
        <f>Inicial!B3</f>
        <v>Desposte</v>
      </c>
      <c r="C3" s="61" t="str">
        <f>Inicial!C3</f>
        <v>Operario de producción línea Principal 1</v>
      </c>
      <c r="D3" s="62" t="str">
        <f>Inicial!D3</f>
        <v>Marcaje de pernil</v>
      </c>
      <c r="E3" s="60" t="str">
        <f>IF(Inicial!P3="SI",Inicial!E3,"N/A")</f>
        <v>N/A</v>
      </c>
      <c r="F3" s="61" t="str">
        <f>IF(Inicial!P3="SI",Inicial!F3,"N/A")</f>
        <v>N/A</v>
      </c>
      <c r="G3" s="61" t="str">
        <f>IF(Inicial!P3="SI",Inicial!G3,"N/A")</f>
        <v>N/A</v>
      </c>
      <c r="H3" s="61" t="str">
        <f>IF(Inicial!P3="SI",Inicial!H3,"N/A")</f>
        <v>N/A</v>
      </c>
      <c r="I3" s="72" t="str">
        <f>IF(Inicial!P3="SI",Inicial!I3,"N/A")</f>
        <v>N/A</v>
      </c>
      <c r="J3" s="84"/>
      <c r="K3" s="84"/>
      <c r="L3" s="84"/>
      <c r="M3" s="84"/>
      <c r="N3" s="84"/>
      <c r="O3" s="84"/>
      <c r="P3" s="84"/>
      <c r="Q3" s="84"/>
      <c r="R3" s="84" t="str" cm="1">
        <f t="array" ref="R3">IF(OR(J3:Q3="SI"),"No aceptable","Aceptable")</f>
        <v>Aceptable</v>
      </c>
      <c r="S3" s="84"/>
      <c r="T3" s="84"/>
      <c r="U3" s="84"/>
      <c r="V3" s="84"/>
      <c r="W3" s="84"/>
      <c r="X3" s="85"/>
      <c r="Y3" s="14"/>
      <c r="Z3" s="14"/>
      <c r="AA3" s="14"/>
      <c r="AB3" s="14"/>
      <c r="AC3" s="14"/>
      <c r="AD3" s="14"/>
      <c r="AE3" s="14"/>
      <c r="AF3" s="14"/>
      <c r="AG3" s="14"/>
      <c r="AH3" s="14"/>
      <c r="AI3" s="14"/>
      <c r="AJ3" s="14"/>
      <c r="AK3" s="14"/>
      <c r="AL3" s="14"/>
      <c r="AM3" s="14"/>
      <c r="AN3" s="3"/>
      <c r="AO3" s="1"/>
      <c r="AP3" s="1"/>
      <c r="AQ3" s="1"/>
      <c r="AR3" s="1"/>
      <c r="AS3" s="1"/>
      <c r="AT3" s="1"/>
    </row>
    <row r="4" spans="1:46" ht="25.9" hidden="1" customHeight="1">
      <c r="A4" s="60">
        <f>Inicial!A4</f>
        <v>2</v>
      </c>
      <c r="B4" s="61" t="str">
        <f>Inicial!B4</f>
        <v>Desposte</v>
      </c>
      <c r="C4" s="61" t="str">
        <f>Inicial!C4</f>
        <v>Operario de producción línea Principal 1</v>
      </c>
      <c r="D4" s="62" t="str">
        <f>Inicial!D4</f>
        <v>Apertura de falda derecha</v>
      </c>
      <c r="E4" s="60" t="str">
        <f>IF(Inicial!P4="SI",Inicial!E4,"N/A")</f>
        <v>N/A</v>
      </c>
      <c r="F4" s="61" t="str">
        <f>IF(Inicial!P4="SI",Inicial!F4,"N/A")</f>
        <v>N/A</v>
      </c>
      <c r="G4" s="61" t="str">
        <f>IF(Inicial!P4="SI",Inicial!G4,"N/A")</f>
        <v>N/A</v>
      </c>
      <c r="H4" s="61" t="str">
        <f>IF(Inicial!P4="SI",Inicial!H4,"N/A")</f>
        <v>N/A</v>
      </c>
      <c r="I4" s="72" t="str">
        <f>IF(Inicial!P4="SI",Inicial!I4,"N/A")</f>
        <v>N/A</v>
      </c>
      <c r="J4" s="84"/>
      <c r="K4" s="84"/>
      <c r="L4" s="84"/>
      <c r="M4" s="84"/>
      <c r="N4" s="84"/>
      <c r="O4" s="84"/>
      <c r="P4" s="84"/>
      <c r="Q4" s="84"/>
      <c r="R4" s="84" t="str" cm="1">
        <f t="array" ref="R4">IF(OR(J4:Q4="SI"),"No aceptable","Aceptable")</f>
        <v>Aceptable</v>
      </c>
      <c r="S4" s="86"/>
      <c r="T4" s="86"/>
      <c r="U4" s="86"/>
      <c r="V4" s="86"/>
      <c r="W4" s="86"/>
      <c r="X4" s="86"/>
    </row>
    <row r="5" spans="1:46" ht="25.9" hidden="1" customHeight="1">
      <c r="A5" s="60">
        <f>Inicial!A5</f>
        <v>3</v>
      </c>
      <c r="B5" s="61" t="str">
        <f>Inicial!B5</f>
        <v>Desposte</v>
      </c>
      <c r="C5" s="61" t="str">
        <f>Inicial!C5</f>
        <v>Operario de producción línea Principal 1</v>
      </c>
      <c r="D5" s="62" t="str">
        <f>Inicial!D5</f>
        <v>Apertura de falda izquierda</v>
      </c>
      <c r="E5" s="60" t="str">
        <f>IF(Inicial!P5="SI",Inicial!E5,"N/A")</f>
        <v>N/A</v>
      </c>
      <c r="F5" s="61" t="str">
        <f>IF(Inicial!P5="SI",Inicial!F5,"N/A")</f>
        <v>N/A</v>
      </c>
      <c r="G5" s="61" t="str">
        <f>IF(Inicial!P5="SI",Inicial!G5,"N/A")</f>
        <v>N/A</v>
      </c>
      <c r="H5" s="61" t="str">
        <f>IF(Inicial!P5="SI",Inicial!H5,"N/A")</f>
        <v>N/A</v>
      </c>
      <c r="I5" s="72" t="str">
        <f>IF(Inicial!P5="SI",Inicial!I5,"N/A")</f>
        <v>N/A</v>
      </c>
      <c r="J5" s="84"/>
      <c r="K5" s="84"/>
      <c r="L5" s="84"/>
      <c r="M5" s="84"/>
      <c r="N5" s="84"/>
      <c r="O5" s="84"/>
      <c r="P5" s="84"/>
      <c r="Q5" s="84"/>
      <c r="R5" s="84" t="str" cm="1">
        <f t="array" ref="R5">IF(OR(J5:Q5="SI"),"No aceptable","Aceptable")</f>
        <v>Aceptable</v>
      </c>
      <c r="S5" s="86"/>
      <c r="T5" s="86"/>
      <c r="U5" s="86"/>
      <c r="V5" s="86"/>
      <c r="W5" s="86"/>
      <c r="X5" s="86"/>
    </row>
    <row r="6" spans="1:46" ht="25.9" hidden="1" customHeight="1">
      <c r="A6" s="60">
        <f>Inicial!A6</f>
        <v>4</v>
      </c>
      <c r="B6" s="61" t="str">
        <f>Inicial!B6</f>
        <v>Desposte</v>
      </c>
      <c r="C6" s="61" t="str">
        <f>Inicial!C6</f>
        <v>Operario de producción línea Principal 1</v>
      </c>
      <c r="D6" s="62" t="str">
        <f>Inicial!D6</f>
        <v>Sierra cortadora de patas</v>
      </c>
      <c r="E6" s="60" t="str">
        <f>IF(Inicial!P6="SI",Inicial!E6,"N/A")</f>
        <v>N/A</v>
      </c>
      <c r="F6" s="61" t="str">
        <f>IF(Inicial!P6="SI",Inicial!F6,"N/A")</f>
        <v>N/A</v>
      </c>
      <c r="G6" s="61" t="str">
        <f>IF(Inicial!P6="SI",Inicial!G6,"N/A")</f>
        <v>N/A</v>
      </c>
      <c r="H6" s="61" t="str">
        <f>IF(Inicial!P6="SI",Inicial!H6,"N/A")</f>
        <v>N/A</v>
      </c>
      <c r="I6" s="72" t="str">
        <f>IF(Inicial!P6="SI",Inicial!I6,"N/A")</f>
        <v>N/A</v>
      </c>
      <c r="J6" s="84"/>
      <c r="K6" s="84"/>
      <c r="L6" s="84"/>
      <c r="M6" s="84"/>
      <c r="N6" s="84"/>
      <c r="O6" s="84"/>
      <c r="P6" s="84"/>
      <c r="Q6" s="84"/>
      <c r="R6" s="84" t="str" cm="1">
        <f t="array" ref="R6">IF(OR(J6:Q6="SI"),"No aceptable","Aceptable")</f>
        <v>Aceptable</v>
      </c>
    </row>
    <row r="7" spans="1:46" ht="25.9" hidden="1" customHeight="1">
      <c r="A7" s="60">
        <f>Inicial!A7</f>
        <v>5</v>
      </c>
      <c r="B7" s="61" t="str">
        <f>Inicial!B7</f>
        <v>Desposte</v>
      </c>
      <c r="C7" s="61" t="str">
        <f>Inicial!C7</f>
        <v>Operario de producción línea Principal 1</v>
      </c>
      <c r="D7" s="62" t="str">
        <f>Inicial!D7</f>
        <v>Tijera cortadora de manos</v>
      </c>
      <c r="E7" s="60" t="str">
        <f>IF(Inicial!P7="SI",Inicial!E7,"N/A")</f>
        <v>N/A</v>
      </c>
      <c r="F7" s="61" t="str">
        <f>IF(Inicial!P7="SI",Inicial!F7,"N/A")</f>
        <v>N/A</v>
      </c>
      <c r="G7" s="61" t="str">
        <f>IF(Inicial!P7="SI",Inicial!G7,"N/A")</f>
        <v>N/A</v>
      </c>
      <c r="H7" s="61" t="str">
        <f>IF(Inicial!P7="SI",Inicial!H7,"N/A")</f>
        <v>N/A</v>
      </c>
      <c r="I7" s="72" t="str">
        <f>IF(Inicial!P7="SI",Inicial!I7,"N/A")</f>
        <v>N/A</v>
      </c>
      <c r="J7" s="84"/>
      <c r="K7" s="84"/>
      <c r="L7" s="84"/>
      <c r="M7" s="84"/>
      <c r="N7" s="84"/>
      <c r="O7" s="84"/>
      <c r="P7" s="84"/>
      <c r="Q7" s="84"/>
      <c r="R7" s="84" t="str" cm="1">
        <f t="array" ref="R7">IF(OR(J7:Q7="SI"),"No aceptable","Aceptable")</f>
        <v>Aceptable</v>
      </c>
    </row>
    <row r="8" spans="1:46" ht="25.9" customHeight="1">
      <c r="A8" s="60">
        <f>Inicial!A8</f>
        <v>6</v>
      </c>
      <c r="B8" s="61" t="str">
        <f>Inicial!B8</f>
        <v>Desposte</v>
      </c>
      <c r="C8" s="61" t="str">
        <f>Inicial!C8</f>
        <v>Operario de producción línea Principal 1</v>
      </c>
      <c r="D8" s="62" t="str">
        <f>Inicial!D8</f>
        <v>Sierra EFA 86 corte de pernil</v>
      </c>
      <c r="E8" s="60" t="str">
        <f>IF(Inicial!P8="SI",Inicial!E8,"N/A")</f>
        <v>Am: 07:00 a 16:00 - PM: 17:15 a 02:45</v>
      </c>
      <c r="F8" s="61" t="str">
        <f>IF(Inicial!P8="SI",Inicial!F8,"N/A")</f>
        <v>0.5</v>
      </c>
      <c r="G8" s="61">
        <f>IF(Inicial!P8="SI",Inicial!G8,"N/A")</f>
        <v>4.5</v>
      </c>
      <c r="H8" s="61">
        <f>IF(Inicial!P8="SI",Inicial!H8,"N/A")</f>
        <v>72</v>
      </c>
      <c r="I8" s="72">
        <f>IF(Inicial!P8="SI",Inicial!I8,"N/A")</f>
        <v>0</v>
      </c>
      <c r="J8" s="84" t="s">
        <v>16</v>
      </c>
      <c r="K8" s="84" t="s">
        <v>16</v>
      </c>
      <c r="L8" s="84" t="s">
        <v>16</v>
      </c>
      <c r="M8" s="84" t="s">
        <v>16</v>
      </c>
      <c r="N8" s="84" t="s">
        <v>16</v>
      </c>
      <c r="O8" s="84" t="s">
        <v>16</v>
      </c>
      <c r="P8" s="84" t="s">
        <v>16</v>
      </c>
      <c r="Q8" s="84" t="s">
        <v>16</v>
      </c>
      <c r="R8" s="84" t="str" cm="1">
        <f t="array" ref="R8">IF(OR(J8:Q8="SI"),"No aceptable","Aceptable")</f>
        <v>Aceptable</v>
      </c>
    </row>
    <row r="9" spans="1:46" ht="38.25" hidden="1">
      <c r="A9" s="60">
        <f>Inicial!A9</f>
        <v>7</v>
      </c>
      <c r="B9" s="61" t="str">
        <f>Inicial!B9</f>
        <v>Desposte</v>
      </c>
      <c r="C9" s="61" t="str">
        <f>Inicial!C9</f>
        <v>Operario de producción línea Principal 1</v>
      </c>
      <c r="D9" s="62" t="str">
        <f>Inicial!D9</f>
        <v>RK 11 cuarto trasero</v>
      </c>
      <c r="E9" s="60" t="str">
        <f>IF(Inicial!P9="SI",Inicial!E9,"N/A")</f>
        <v>N/A</v>
      </c>
      <c r="F9" s="61" t="str">
        <f>IF(Inicial!P9="SI",Inicial!F9,"N/A")</f>
        <v>N/A</v>
      </c>
      <c r="G9" s="61" t="str">
        <f>IF(Inicial!P9="SI",Inicial!G9,"N/A")</f>
        <v>N/A</v>
      </c>
      <c r="H9" s="61" t="str">
        <f>IF(Inicial!P9="SI",Inicial!H9,"N/A")</f>
        <v>N/A</v>
      </c>
      <c r="I9" s="72" t="str">
        <f>IF(Inicial!P9="SI",Inicial!I9,"N/A")</f>
        <v>N/A</v>
      </c>
      <c r="J9" s="84"/>
      <c r="K9" s="84"/>
      <c r="L9" s="84"/>
      <c r="M9" s="84"/>
      <c r="N9" s="84"/>
      <c r="O9" s="84"/>
      <c r="P9" s="84"/>
      <c r="Q9" s="84"/>
      <c r="R9" s="84" t="str" cm="1">
        <f t="array" ref="R9">IF(OR(J9:Q9="SI"),"No aceptable","Aceptable")</f>
        <v>Aceptable</v>
      </c>
    </row>
    <row r="10" spans="1:46" ht="38.25" hidden="1">
      <c r="A10" s="60">
        <f>Inicial!A10</f>
        <v>8</v>
      </c>
      <c r="B10" s="61" t="str">
        <f>Inicial!B10</f>
        <v>Desposte</v>
      </c>
      <c r="C10" s="61" t="str">
        <f>Inicial!C10</f>
        <v>Operario de producción línea Principal 1</v>
      </c>
      <c r="D10" s="62" t="str">
        <f>Inicial!D10</f>
        <v>RK 11 cuarto delantero</v>
      </c>
      <c r="E10" s="60" t="str">
        <f>IF(Inicial!P10="SI",Inicial!E10,"N/A")</f>
        <v>N/A</v>
      </c>
      <c r="F10" s="61" t="str">
        <f>IF(Inicial!P10="SI",Inicial!F10,"N/A")</f>
        <v>N/A</v>
      </c>
      <c r="G10" s="61" t="str">
        <f>IF(Inicial!P10="SI",Inicial!G10,"N/A")</f>
        <v>N/A</v>
      </c>
      <c r="H10" s="61" t="str">
        <f>IF(Inicial!P10="SI",Inicial!H10,"N/A")</f>
        <v>N/A</v>
      </c>
      <c r="I10" s="72" t="str">
        <f>IF(Inicial!P10="SI",Inicial!I10,"N/A")</f>
        <v>N/A</v>
      </c>
      <c r="J10" s="84"/>
      <c r="K10" s="84"/>
      <c r="L10" s="84"/>
      <c r="M10" s="84"/>
      <c r="N10" s="84"/>
      <c r="O10" s="84"/>
      <c r="P10" s="84"/>
      <c r="Q10" s="84"/>
      <c r="R10" s="84" t="str" cm="1">
        <f t="array" ref="R10">IF(OR(J10:Q10="SI"),"No aceptable","Aceptable")</f>
        <v>Aceptable</v>
      </c>
    </row>
    <row r="11" spans="1:46" ht="51">
      <c r="A11" s="60">
        <f>Inicial!A11</f>
        <v>9</v>
      </c>
      <c r="B11" s="61" t="str">
        <f>Inicial!B11</f>
        <v>Desposte</v>
      </c>
      <c r="C11" s="61" t="str">
        <f>Inicial!C11</f>
        <v>Operario de producción línea Principal 1</v>
      </c>
      <c r="D11" s="62" t="str">
        <f>Inicial!D11</f>
        <v>Sierra EFA 86 Punta costilla</v>
      </c>
      <c r="E11" s="60" t="str">
        <f>IF(Inicial!P11="SI",Inicial!E11,"N/A")</f>
        <v>Am: 07:00 a 16:00 - PM: 17:15 a 02:45</v>
      </c>
      <c r="F11" s="61" t="str">
        <f>IF(Inicial!P11="SI",Inicial!F11,"N/A")</f>
        <v>0.5</v>
      </c>
      <c r="G11" s="61">
        <f>IF(Inicial!P11="SI",Inicial!G11,"N/A")</f>
        <v>4.5</v>
      </c>
      <c r="H11" s="61">
        <f>IF(Inicial!P11="SI",Inicial!H11,"N/A")</f>
        <v>72</v>
      </c>
      <c r="I11" s="72">
        <f>IF(Inicial!P11="SI",Inicial!I11,"N/A")</f>
        <v>0</v>
      </c>
      <c r="J11" s="84" t="s">
        <v>16</v>
      </c>
      <c r="K11" s="84" t="s">
        <v>16</v>
      </c>
      <c r="L11" s="84" t="s">
        <v>16</v>
      </c>
      <c r="M11" s="84" t="s">
        <v>16</v>
      </c>
      <c r="N11" s="84" t="s">
        <v>16</v>
      </c>
      <c r="O11" s="84" t="s">
        <v>16</v>
      </c>
      <c r="P11" s="84" t="s">
        <v>16</v>
      </c>
      <c r="Q11" s="84" t="s">
        <v>16</v>
      </c>
      <c r="R11" s="84" t="str" cm="1">
        <f t="array" ref="R11">IF(OR(J11:Q11="SI"),"No aceptable","Aceptable")</f>
        <v>Aceptable</v>
      </c>
    </row>
    <row r="12" spans="1:46" ht="38.25" hidden="1">
      <c r="A12" s="60">
        <f>Inicial!A12</f>
        <v>10</v>
      </c>
      <c r="B12" s="61" t="str">
        <f>Inicial!B12</f>
        <v>Desposte</v>
      </c>
      <c r="C12" s="61" t="str">
        <f>Inicial!C12</f>
        <v>Operario de producción línea Principal 1</v>
      </c>
      <c r="D12" s="62" t="str">
        <f>Inicial!D12</f>
        <v>Extracción de diafragma</v>
      </c>
      <c r="E12" s="60" t="str">
        <f>IF(Inicial!P12="SI",Inicial!E12,"N/A")</f>
        <v>N/A</v>
      </c>
      <c r="F12" s="61" t="str">
        <f>IF(Inicial!P12="SI",Inicial!F12,"N/A")</f>
        <v>N/A</v>
      </c>
      <c r="G12" s="61" t="str">
        <f>IF(Inicial!P12="SI",Inicial!G12,"N/A")</f>
        <v>N/A</v>
      </c>
      <c r="H12" s="61" t="str">
        <f>IF(Inicial!P12="SI",Inicial!H12,"N/A")</f>
        <v>N/A</v>
      </c>
      <c r="I12" s="72" t="str">
        <f>IF(Inicial!P12="SI",Inicial!I12,"N/A")</f>
        <v>N/A</v>
      </c>
      <c r="J12" s="84"/>
      <c r="K12" s="84"/>
      <c r="L12" s="84"/>
      <c r="M12" s="84"/>
      <c r="N12" s="84"/>
      <c r="O12" s="84"/>
      <c r="P12" s="84"/>
      <c r="Q12" s="84"/>
      <c r="R12" s="84" t="str" cm="1">
        <f t="array" ref="R12">IF(OR(J12:Q12="SI"),"No aceptable","Aceptable")</f>
        <v>Aceptable</v>
      </c>
    </row>
    <row r="13" spans="1:46" ht="38.25" hidden="1">
      <c r="A13" s="60">
        <f>Inicial!A13</f>
        <v>11</v>
      </c>
      <c r="B13" s="61" t="str">
        <f>Inicial!B13</f>
        <v>Desposte</v>
      </c>
      <c r="C13" s="61" t="str">
        <f>Inicial!C13</f>
        <v>Operario de producción línea Principal 1</v>
      </c>
      <c r="D13" s="62" t="str">
        <f>Inicial!D13</f>
        <v>Corte de pernil</v>
      </c>
      <c r="E13" s="60" t="str">
        <f>IF(Inicial!P13="SI",Inicial!E13,"N/A")</f>
        <v>N/A</v>
      </c>
      <c r="F13" s="61" t="str">
        <f>IF(Inicial!P13="SI",Inicial!F13,"N/A")</f>
        <v>N/A</v>
      </c>
      <c r="G13" s="61" t="str">
        <f>IF(Inicial!P13="SI",Inicial!G13,"N/A")</f>
        <v>N/A</v>
      </c>
      <c r="H13" s="61" t="str">
        <f>IF(Inicial!P13="SI",Inicial!H13,"N/A")</f>
        <v>N/A</v>
      </c>
      <c r="I13" s="72" t="str">
        <f>IF(Inicial!P13="SI",Inicial!I13,"N/A")</f>
        <v>N/A</v>
      </c>
      <c r="J13" s="84"/>
      <c r="K13" s="84"/>
      <c r="L13" s="84"/>
      <c r="M13" s="84"/>
      <c r="N13" s="84"/>
      <c r="O13" s="84"/>
      <c r="P13" s="84"/>
      <c r="Q13" s="84"/>
      <c r="R13" s="84" t="str" cm="1">
        <f t="array" ref="R13">IF(OR(J13:Q13="SI"),"No aceptable","Aceptable")</f>
        <v>Aceptable</v>
      </c>
    </row>
    <row r="14" spans="1:46" ht="38.25" hidden="1">
      <c r="A14" s="60">
        <f>Inicial!A14</f>
        <v>12</v>
      </c>
      <c r="B14" s="61" t="str">
        <f>Inicial!B14</f>
        <v>Desposte</v>
      </c>
      <c r="C14" s="61" t="str">
        <f>Inicial!C14</f>
        <v>Operario de producción línea Principal 1</v>
      </c>
      <c r="D14" s="62" t="str">
        <f>Inicial!D14</f>
        <v>Extracción de papada</v>
      </c>
      <c r="E14" s="60" t="str">
        <f>IF(Inicial!P14="SI",Inicial!E14,"N/A")</f>
        <v>N/A</v>
      </c>
      <c r="F14" s="61" t="str">
        <f>IF(Inicial!P14="SI",Inicial!F14,"N/A")</f>
        <v>N/A</v>
      </c>
      <c r="G14" s="61" t="str">
        <f>IF(Inicial!P14="SI",Inicial!G14,"N/A")</f>
        <v>N/A</v>
      </c>
      <c r="H14" s="61" t="str">
        <f>IF(Inicial!P14="SI",Inicial!H14,"N/A")</f>
        <v>N/A</v>
      </c>
      <c r="I14" s="72" t="str">
        <f>IF(Inicial!P14="SI",Inicial!I14,"N/A")</f>
        <v>N/A</v>
      </c>
      <c r="J14" s="84"/>
      <c r="K14" s="84"/>
      <c r="L14" s="84"/>
      <c r="M14" s="84"/>
      <c r="N14" s="84"/>
      <c r="O14" s="84"/>
      <c r="P14" s="84"/>
      <c r="Q14" s="84"/>
      <c r="R14" s="84" t="str" cm="1">
        <f t="array" ref="R14">IF(OR(J14:Q14="SI"),"No aceptable","Aceptable")</f>
        <v>Aceptable</v>
      </c>
    </row>
    <row r="15" spans="1:46" ht="38.25" hidden="1">
      <c r="A15" s="60">
        <f>Inicial!A15</f>
        <v>13</v>
      </c>
      <c r="B15" s="61" t="str">
        <f>Inicial!B15</f>
        <v>Desposte</v>
      </c>
      <c r="C15" s="61" t="str">
        <f>Inicial!C15</f>
        <v>Operario de producción línea Principal 1</v>
      </c>
      <c r="D15" s="62" t="str">
        <f>Inicial!D15</f>
        <v>Extracción de punta costilla izquierda</v>
      </c>
      <c r="E15" s="60" t="str">
        <f>IF(Inicial!P15="SI",Inicial!E15,"N/A")</f>
        <v>N/A</v>
      </c>
      <c r="F15" s="61" t="str">
        <f>IF(Inicial!P15="SI",Inicial!F15,"N/A")</f>
        <v>N/A</v>
      </c>
      <c r="G15" s="61" t="str">
        <f>IF(Inicial!P15="SI",Inicial!G15,"N/A")</f>
        <v>N/A</v>
      </c>
      <c r="H15" s="61" t="str">
        <f>IF(Inicial!P15="SI",Inicial!H15,"N/A")</f>
        <v>N/A</v>
      </c>
      <c r="I15" s="72" t="str">
        <f>IF(Inicial!P15="SI",Inicial!I15,"N/A")</f>
        <v>N/A</v>
      </c>
      <c r="J15" s="84"/>
      <c r="K15" s="84"/>
      <c r="L15" s="84"/>
      <c r="M15" s="84"/>
      <c r="N15" s="84"/>
      <c r="O15" s="84"/>
      <c r="P15" s="84"/>
      <c r="Q15" s="84"/>
      <c r="R15" s="84" t="str" cm="1">
        <f t="array" ref="R15">IF(OR(J15:Q15="SI"),"No aceptable","Aceptable")</f>
        <v>Aceptable</v>
      </c>
    </row>
    <row r="16" spans="1:46" ht="38.25" hidden="1">
      <c r="A16" s="60">
        <f>Inicial!A16</f>
        <v>14</v>
      </c>
      <c r="B16" s="61" t="str">
        <f>Inicial!B16</f>
        <v>Desposte</v>
      </c>
      <c r="C16" s="61" t="str">
        <f>Inicial!C16</f>
        <v>Operario de producción línea Principal 1</v>
      </c>
      <c r="D16" s="62" t="str">
        <f>Inicial!D16</f>
        <v>Extracción de punta costilla derecha</v>
      </c>
      <c r="E16" s="60" t="str">
        <f>IF(Inicial!P16="SI",Inicial!E16,"N/A")</f>
        <v>N/A</v>
      </c>
      <c r="F16" s="61" t="str">
        <f>IF(Inicial!P16="SI",Inicial!F16,"N/A")</f>
        <v>N/A</v>
      </c>
      <c r="G16" s="61" t="str">
        <f>IF(Inicial!P16="SI",Inicial!G16,"N/A")</f>
        <v>N/A</v>
      </c>
      <c r="H16" s="61" t="str">
        <f>IF(Inicial!P16="SI",Inicial!H16,"N/A")</f>
        <v>N/A</v>
      </c>
      <c r="I16" s="72" t="str">
        <f>IF(Inicial!P16="SI",Inicial!I16,"N/A")</f>
        <v>N/A</v>
      </c>
      <c r="J16" s="84"/>
      <c r="K16" s="84"/>
      <c r="L16" s="84"/>
      <c r="M16" s="84"/>
      <c r="N16" s="84"/>
      <c r="O16" s="84"/>
      <c r="P16" s="84"/>
      <c r="Q16" s="84"/>
      <c r="R16" s="84" t="str" cm="1">
        <f t="array" ref="R16">IF(OR(J16:Q16="SI"),"No aceptable","Aceptable")</f>
        <v>Aceptable</v>
      </c>
    </row>
    <row r="17" spans="1:18" ht="38.25" hidden="1">
      <c r="A17" s="60">
        <f>Inicial!A17</f>
        <v>15</v>
      </c>
      <c r="B17" s="61" t="str">
        <f>Inicial!B17</f>
        <v>Desposte</v>
      </c>
      <c r="C17" s="61" t="str">
        <f>Inicial!C17</f>
        <v>Operario de producción línea Principal 1</v>
      </c>
      <c r="D17" s="62" t="str">
        <f>Inicial!D17</f>
        <v>Operación de MSS</v>
      </c>
      <c r="E17" s="60" t="str">
        <f>IF(Inicial!P17="SI",Inicial!E17,"N/A")</f>
        <v>N/A</v>
      </c>
      <c r="F17" s="61" t="str">
        <f>IF(Inicial!P17="SI",Inicial!F17,"N/A")</f>
        <v>N/A</v>
      </c>
      <c r="G17" s="61" t="str">
        <f>IF(Inicial!P17="SI",Inicial!G17,"N/A")</f>
        <v>N/A</v>
      </c>
      <c r="H17" s="61" t="str">
        <f>IF(Inicial!P17="SI",Inicial!H17,"N/A")</f>
        <v>N/A</v>
      </c>
      <c r="I17" s="72" t="str">
        <f>IF(Inicial!P17="SI",Inicial!I17,"N/A")</f>
        <v>N/A</v>
      </c>
      <c r="J17" s="84"/>
      <c r="K17" s="84"/>
      <c r="L17" s="84"/>
      <c r="M17" s="84"/>
      <c r="N17" s="84"/>
      <c r="O17" s="84"/>
      <c r="P17" s="84"/>
      <c r="Q17" s="84"/>
      <c r="R17" s="84" t="str" cm="1">
        <f t="array" ref="R17">IF(OR(J17:Q17="SI"),"No aceptable","Aceptable")</f>
        <v>Aceptable</v>
      </c>
    </row>
    <row r="18" spans="1:18" ht="38.25" hidden="1">
      <c r="A18" s="60">
        <f>Inicial!A18</f>
        <v>16</v>
      </c>
      <c r="B18" s="61" t="str">
        <f>Inicial!B18</f>
        <v>Desposte</v>
      </c>
      <c r="C18" s="61" t="str">
        <f>Inicial!C18</f>
        <v>Operario de producción línea Principal 1</v>
      </c>
      <c r="D18" s="62" t="str">
        <f>Inicial!D18</f>
        <v>Extracción de hueso pecho</v>
      </c>
      <c r="E18" s="60" t="str">
        <f>IF(Inicial!P18="SI",Inicial!E18,"N/A")</f>
        <v>N/A</v>
      </c>
      <c r="F18" s="61" t="str">
        <f>IF(Inicial!P18="SI",Inicial!F18,"N/A")</f>
        <v>N/A</v>
      </c>
      <c r="G18" s="61" t="str">
        <f>IF(Inicial!P18="SI",Inicial!G18,"N/A")</f>
        <v>N/A</v>
      </c>
      <c r="H18" s="61" t="str">
        <f>IF(Inicial!P18="SI",Inicial!H18,"N/A")</f>
        <v>N/A</v>
      </c>
      <c r="I18" s="72" t="str">
        <f>IF(Inicial!P18="SI",Inicial!I18,"N/A")</f>
        <v>N/A</v>
      </c>
      <c r="J18" s="84"/>
      <c r="K18" s="84"/>
      <c r="L18" s="84"/>
      <c r="M18" s="84"/>
      <c r="N18" s="84"/>
      <c r="O18" s="84"/>
      <c r="P18" s="84"/>
      <c r="Q18" s="84"/>
      <c r="R18" s="84" t="str" cm="1">
        <f t="array" ref="R18">IF(OR(J18:Q18="SI"),"No aceptable","Aceptable")</f>
        <v>Aceptable</v>
      </c>
    </row>
    <row r="19" spans="1:18" ht="51">
      <c r="A19" s="60">
        <f>Inicial!A19</f>
        <v>17</v>
      </c>
      <c r="B19" s="61" t="str">
        <f>Inicial!B19</f>
        <v>Desposte</v>
      </c>
      <c r="C19" s="61" t="str">
        <f>Inicial!C19</f>
        <v>Operario de producción línea Principal 1</v>
      </c>
      <c r="D19" s="62" t="str">
        <f>Inicial!D19</f>
        <v>Deshuesado de panceta</v>
      </c>
      <c r="E19" s="60" t="str">
        <f>IF(Inicial!P19="SI",Inicial!E19,"N/A")</f>
        <v>Am: 07:00 a 16:00 - PM: 17:15 a 02:45</v>
      </c>
      <c r="F19" s="61" t="str">
        <f>IF(Inicial!P19="SI",Inicial!F19,"N/A")</f>
        <v>0.5</v>
      </c>
      <c r="G19" s="61">
        <f>IF(Inicial!P19="SI",Inicial!G19,"N/A")</f>
        <v>4.5</v>
      </c>
      <c r="H19" s="61">
        <f>IF(Inicial!P19="SI",Inicial!H19,"N/A")</f>
        <v>72</v>
      </c>
      <c r="I19" s="72">
        <f>IF(Inicial!P19="SI",Inicial!I19,"N/A")</f>
        <v>0</v>
      </c>
      <c r="J19" s="84" t="s">
        <v>16</v>
      </c>
      <c r="K19" s="84" t="s">
        <v>16</v>
      </c>
      <c r="L19" s="84" t="s">
        <v>16</v>
      </c>
      <c r="M19" s="84" t="s">
        <v>16</v>
      </c>
      <c r="N19" s="84" t="s">
        <v>16</v>
      </c>
      <c r="O19" s="84" t="s">
        <v>16</v>
      </c>
      <c r="P19" s="84" t="s">
        <v>16</v>
      </c>
      <c r="Q19" s="84" t="s">
        <v>16</v>
      </c>
      <c r="R19" s="84" t="str" cm="1">
        <f t="array" ref="R19">IF(OR(J19:Q19="SI"),"No aceptable","Aceptable")</f>
        <v>Aceptable</v>
      </c>
    </row>
    <row r="20" spans="1:18" ht="38.25" hidden="1">
      <c r="A20" s="60">
        <f>Inicial!A20</f>
        <v>18</v>
      </c>
      <c r="B20" s="61" t="str">
        <f>Inicial!B20</f>
        <v>Desposte</v>
      </c>
      <c r="C20" s="61" t="str">
        <f>Inicial!C20</f>
        <v>Operario de producción Línea Lomos</v>
      </c>
      <c r="D20" s="62" t="str">
        <f>Inicial!D20</f>
        <v xml:space="preserve">Operador Descueradora Manual </v>
      </c>
      <c r="E20" s="60" t="str">
        <f>IF(Inicial!P20="SI",Inicial!E20,"N/A")</f>
        <v>N/A</v>
      </c>
      <c r="F20" s="61" t="str">
        <f>IF(Inicial!P20="SI",Inicial!F20,"N/A")</f>
        <v>N/A</v>
      </c>
      <c r="G20" s="61" t="str">
        <f>IF(Inicial!P20="SI",Inicial!G20,"N/A")</f>
        <v>N/A</v>
      </c>
      <c r="H20" s="61" t="str">
        <f>IF(Inicial!P20="SI",Inicial!H20,"N/A")</f>
        <v>N/A</v>
      </c>
      <c r="I20" s="72" t="str">
        <f>IF(Inicial!P20="SI",Inicial!I20,"N/A")</f>
        <v>N/A</v>
      </c>
      <c r="J20" s="84"/>
      <c r="K20" s="84"/>
      <c r="L20" s="84"/>
      <c r="M20" s="84"/>
      <c r="N20" s="84"/>
      <c r="O20" s="84"/>
      <c r="P20" s="84"/>
      <c r="Q20" s="84"/>
      <c r="R20" s="84" t="str" cm="1">
        <f t="array" ref="R20">IF(OR(J20:Q20="SI"),"No aceptable","Aceptable")</f>
        <v>Aceptable</v>
      </c>
    </row>
    <row r="21" spans="1:18" ht="38.25" hidden="1">
      <c r="A21" s="60">
        <f>Inicial!A21</f>
        <v>19</v>
      </c>
      <c r="B21" s="61" t="str">
        <f>Inicial!B21</f>
        <v>Desposte</v>
      </c>
      <c r="C21" s="61" t="str">
        <f>Inicial!C21</f>
        <v>Operario de producción Línea Lomos</v>
      </c>
      <c r="D21" s="62" t="str">
        <f>Inicial!D21</f>
        <v>Posicionamiento de lomo tecla</v>
      </c>
      <c r="E21" s="60" t="str">
        <f>IF(Inicial!P21="SI",Inicial!E21,"N/A")</f>
        <v>N/A</v>
      </c>
      <c r="F21" s="61" t="str">
        <f>IF(Inicial!P21="SI",Inicial!F21,"N/A")</f>
        <v>N/A</v>
      </c>
      <c r="G21" s="61" t="str">
        <f>IF(Inicial!P21="SI",Inicial!G21,"N/A")</f>
        <v>N/A</v>
      </c>
      <c r="H21" s="61" t="str">
        <f>IF(Inicial!P21="SI",Inicial!H21,"N/A")</f>
        <v>N/A</v>
      </c>
      <c r="I21" s="72" t="str">
        <f>IF(Inicial!P21="SI",Inicial!I21,"N/A")</f>
        <v>N/A</v>
      </c>
      <c r="J21" s="84"/>
      <c r="K21" s="84"/>
      <c r="L21" s="84"/>
      <c r="M21" s="84"/>
      <c r="N21" s="84"/>
      <c r="O21" s="84"/>
      <c r="P21" s="84"/>
      <c r="Q21" s="84"/>
      <c r="R21" s="84" t="str" cm="1">
        <f t="array" ref="R21">IF(OR(J21:Q21="SI"),"No aceptable","Aceptable")</f>
        <v>Aceptable</v>
      </c>
    </row>
    <row r="22" spans="1:18" ht="51">
      <c r="A22" s="60">
        <f>Inicial!A22</f>
        <v>20</v>
      </c>
      <c r="B22" s="61" t="str">
        <f>Inicial!B22</f>
        <v>Desposte</v>
      </c>
      <c r="C22" s="61" t="str">
        <f>Inicial!C22</f>
        <v>Operario de producción Línea Lomos</v>
      </c>
      <c r="D22" s="62" t="str">
        <f>Inicial!D22</f>
        <v>Prolijado de lomo tecla extracción de cordon</v>
      </c>
      <c r="E22" s="60" t="str">
        <f>IF(Inicial!P22="SI",Inicial!E22,"N/A")</f>
        <v>Am: 07:00 a 16:00 - PM: 17:15 a 02:45</v>
      </c>
      <c r="F22" s="61" t="str">
        <f>IF(Inicial!P22="SI",Inicial!F22,"N/A")</f>
        <v>0.5</v>
      </c>
      <c r="G22" s="61">
        <f>IF(Inicial!P22="SI",Inicial!G22,"N/A")</f>
        <v>4.5</v>
      </c>
      <c r="H22" s="61">
        <f>IF(Inicial!P22="SI",Inicial!H22,"N/A")</f>
        <v>57</v>
      </c>
      <c r="I22" s="72">
        <f>IF(Inicial!P22="SI",Inicial!I22,"N/A")</f>
        <v>0</v>
      </c>
      <c r="J22" s="84" t="s">
        <v>16</v>
      </c>
      <c r="K22" s="84" t="s">
        <v>16</v>
      </c>
      <c r="L22" s="84" t="s">
        <v>16</v>
      </c>
      <c r="M22" s="84" t="s">
        <v>16</v>
      </c>
      <c r="N22" s="84" t="s">
        <v>16</v>
      </c>
      <c r="O22" s="84" t="s">
        <v>16</v>
      </c>
      <c r="P22" s="84" t="s">
        <v>16</v>
      </c>
      <c r="Q22" s="84" t="s">
        <v>16</v>
      </c>
      <c r="R22" s="84" t="str" cm="1">
        <f t="array" ref="R22">IF(OR(J22:Q22="SI"),"No aceptable","Aceptable")</f>
        <v>Aceptable</v>
      </c>
    </row>
    <row r="23" spans="1:18" ht="38.25" hidden="1">
      <c r="A23" s="60">
        <f>Inicial!A23</f>
        <v>21</v>
      </c>
      <c r="B23" s="61" t="str">
        <f>Inicial!B23</f>
        <v>Desposte</v>
      </c>
      <c r="C23" s="61" t="str">
        <f>Inicial!C23</f>
        <v>Operario de producción Línea Lomos</v>
      </c>
      <c r="D23" s="62" t="str">
        <f>Inicial!D23</f>
        <v>Extracción de cuero a tocino</v>
      </c>
      <c r="E23" s="60" t="str">
        <f>IF(Inicial!P23="SI",Inicial!E23,"N/A")</f>
        <v>N/A</v>
      </c>
      <c r="F23" s="61" t="str">
        <f>IF(Inicial!P23="SI",Inicial!F23,"N/A")</f>
        <v>N/A</v>
      </c>
      <c r="G23" s="61" t="str">
        <f>IF(Inicial!P23="SI",Inicial!G23,"N/A")</f>
        <v>N/A</v>
      </c>
      <c r="H23" s="61" t="str">
        <f>IF(Inicial!P23="SI",Inicial!H23,"N/A")</f>
        <v>N/A</v>
      </c>
      <c r="I23" s="72" t="str">
        <f>IF(Inicial!P23="SI",Inicial!I23,"N/A")</f>
        <v>N/A</v>
      </c>
      <c r="J23" s="84"/>
      <c r="K23" s="84"/>
      <c r="L23" s="84"/>
      <c r="M23" s="84"/>
      <c r="N23" s="84"/>
      <c r="O23" s="84"/>
      <c r="P23" s="84"/>
      <c r="Q23" s="84"/>
      <c r="R23" s="84"/>
    </row>
    <row r="24" spans="1:18" ht="38.25" hidden="1">
      <c r="A24" s="60">
        <f>Inicial!A24</f>
        <v>22</v>
      </c>
      <c r="B24" s="61" t="str">
        <f>Inicial!B24</f>
        <v>Desposte</v>
      </c>
      <c r="C24" s="61" t="str">
        <f>Inicial!C24</f>
        <v>Operario de producción Línea Lomos</v>
      </c>
      <c r="D24" s="62" t="str">
        <f>Inicial!D24</f>
        <v xml:space="preserve">Rayado de lomo tecla </v>
      </c>
      <c r="E24" s="60" t="str">
        <f>IF(Inicial!P24="SI",Inicial!E24,"N/A")</f>
        <v>N/A</v>
      </c>
      <c r="F24" s="61" t="str">
        <f>IF(Inicial!P24="SI",Inicial!F24,"N/A")</f>
        <v>N/A</v>
      </c>
      <c r="G24" s="61" t="str">
        <f>IF(Inicial!P24="SI",Inicial!G24,"N/A")</f>
        <v>N/A</v>
      </c>
      <c r="H24" s="61" t="str">
        <f>IF(Inicial!P24="SI",Inicial!H24,"N/A")</f>
        <v>N/A</v>
      </c>
      <c r="I24" s="72" t="str">
        <f>IF(Inicial!P24="SI",Inicial!I24,"N/A")</f>
        <v>N/A</v>
      </c>
      <c r="J24" s="84"/>
      <c r="K24" s="84"/>
      <c r="L24" s="84"/>
      <c r="M24" s="84"/>
      <c r="N24" s="84"/>
      <c r="O24" s="84"/>
      <c r="P24" s="84"/>
      <c r="Q24" s="84"/>
      <c r="R24" s="84"/>
    </row>
    <row r="25" spans="1:18" ht="38.25" hidden="1">
      <c r="A25" s="60">
        <f>Inicial!A25</f>
        <v>23</v>
      </c>
      <c r="B25" s="61" t="str">
        <f>Inicial!B25</f>
        <v>Desposte</v>
      </c>
      <c r="C25" s="61" t="str">
        <f>Inicial!C25</f>
        <v>Operario de producción Línea Lomos</v>
      </c>
      <c r="D25" s="62" t="str">
        <f>Inicial!D25</f>
        <v>Rayado de lomo</v>
      </c>
      <c r="E25" s="60" t="str">
        <f>IF(Inicial!P25="SI",Inicial!E25,"N/A")</f>
        <v>N/A</v>
      </c>
      <c r="F25" s="61" t="str">
        <f>IF(Inicial!P25="SI",Inicial!F25,"N/A")</f>
        <v>N/A</v>
      </c>
      <c r="G25" s="61" t="str">
        <f>IF(Inicial!P25="SI",Inicial!G25,"N/A")</f>
        <v>N/A</v>
      </c>
      <c r="H25" s="61" t="str">
        <f>IF(Inicial!P25="SI",Inicial!H25,"N/A")</f>
        <v>N/A</v>
      </c>
      <c r="I25" s="72" t="str">
        <f>IF(Inicial!P25="SI",Inicial!I25,"N/A")</f>
        <v>N/A</v>
      </c>
      <c r="J25" s="84"/>
      <c r="K25" s="84"/>
      <c r="L25" s="84"/>
      <c r="M25" s="84"/>
      <c r="N25" s="84"/>
      <c r="O25" s="84"/>
      <c r="P25" s="84"/>
      <c r="Q25" s="84"/>
      <c r="R25" s="84"/>
    </row>
    <row r="26" spans="1:18" ht="38.25" hidden="1">
      <c r="A26" s="60">
        <f>Inicial!A26</f>
        <v>24</v>
      </c>
      <c r="B26" s="61" t="str">
        <f>Inicial!B26</f>
        <v>Desposte</v>
      </c>
      <c r="C26" s="61" t="str">
        <f>Inicial!C26</f>
        <v>Operario de producción Línea Lomos</v>
      </c>
      <c r="D26" s="62" t="str">
        <f>Inicial!D26</f>
        <v>Operador de Desprendedora de Lomo</v>
      </c>
      <c r="E26" s="60" t="str">
        <f>IF(Inicial!P26="SI",Inicial!E26,"N/A")</f>
        <v>N/A</v>
      </c>
      <c r="F26" s="61" t="str">
        <f>IF(Inicial!P26="SI",Inicial!F26,"N/A")</f>
        <v>N/A</v>
      </c>
      <c r="G26" s="61" t="str">
        <f>IF(Inicial!P26="SI",Inicial!G26,"N/A")</f>
        <v>N/A</v>
      </c>
      <c r="H26" s="61" t="str">
        <f>IF(Inicial!P26="SI",Inicial!H26,"N/A")</f>
        <v>N/A</v>
      </c>
      <c r="I26" s="72" t="str">
        <f>IF(Inicial!P26="SI",Inicial!I26,"N/A")</f>
        <v>N/A</v>
      </c>
      <c r="J26" s="84"/>
      <c r="K26" s="84"/>
      <c r="L26" s="84"/>
      <c r="M26" s="84"/>
      <c r="N26" s="84"/>
      <c r="O26" s="84"/>
      <c r="P26" s="84"/>
      <c r="Q26" s="84"/>
      <c r="R26" s="84"/>
    </row>
    <row r="27" spans="1:18" ht="51">
      <c r="A27" s="60">
        <f>Inicial!A27</f>
        <v>25</v>
      </c>
      <c r="B27" s="61" t="str">
        <f>Inicial!B27</f>
        <v>Desposte</v>
      </c>
      <c r="C27" s="61" t="str">
        <f>Inicial!C27</f>
        <v>Operario de producción Línea Lomos</v>
      </c>
      <c r="D27" s="62" t="str">
        <f>Inicial!D27</f>
        <v>Prolijado de lomo tocino</v>
      </c>
      <c r="E27" s="60" t="str">
        <f>IF(Inicial!P27="SI",Inicial!E27,"N/A")</f>
        <v>Am: 07:00 a 16:00 - PM: 17:15 a 02:45</v>
      </c>
      <c r="F27" s="61" t="str">
        <f>IF(Inicial!P27="SI",Inicial!F27,"N/A")</f>
        <v>0.5</v>
      </c>
      <c r="G27" s="61">
        <f>IF(Inicial!P27="SI",Inicial!G27,"N/A")</f>
        <v>4.5</v>
      </c>
      <c r="H27" s="61">
        <f>IF(Inicial!P27="SI",Inicial!H27,"N/A")</f>
        <v>57</v>
      </c>
      <c r="I27" s="72">
        <f>IF(Inicial!P27="SI",Inicial!I27,"N/A")</f>
        <v>0</v>
      </c>
      <c r="J27" s="84" t="s">
        <v>16</v>
      </c>
      <c r="K27" s="84" t="s">
        <v>16</v>
      </c>
      <c r="L27" s="84" t="s">
        <v>16</v>
      </c>
      <c r="M27" s="84" t="s">
        <v>16</v>
      </c>
      <c r="N27" s="84" t="s">
        <v>16</v>
      </c>
      <c r="O27" s="84" t="s">
        <v>16</v>
      </c>
      <c r="P27" s="84" t="s">
        <v>16</v>
      </c>
      <c r="Q27" s="84" t="s">
        <v>16</v>
      </c>
      <c r="R27" s="84" t="str" cm="1">
        <f t="array" ref="R27">IF(OR(J27:Q27="SI"),"No aceptable","Aceptable")</f>
        <v>Aceptable</v>
      </c>
    </row>
    <row r="28" spans="1:18" ht="38.25" hidden="1">
      <c r="A28" s="60">
        <f>Inicial!A28</f>
        <v>26</v>
      </c>
      <c r="B28" s="61" t="str">
        <f>Inicial!B28</f>
        <v>Desposte</v>
      </c>
      <c r="C28" s="61" t="str">
        <f>Inicial!C28</f>
        <v>Operario de producción Línea Lomos</v>
      </c>
      <c r="D28" s="62" t="str">
        <f>Inicial!D28</f>
        <v>Cuadrado de lomo tecla</v>
      </c>
      <c r="E28" s="60" t="str">
        <f>IF(Inicial!P28="SI",Inicial!E28,"N/A")</f>
        <v>N/A</v>
      </c>
      <c r="F28" s="61" t="str">
        <f>IF(Inicial!P28="SI",Inicial!F28,"N/A")</f>
        <v>N/A</v>
      </c>
      <c r="G28" s="61" t="str">
        <f>IF(Inicial!P28="SI",Inicial!G28,"N/A")</f>
        <v>N/A</v>
      </c>
      <c r="H28" s="61" t="str">
        <f>IF(Inicial!P28="SI",Inicial!H28,"N/A")</f>
        <v>N/A</v>
      </c>
      <c r="I28" s="72" t="str">
        <f>IF(Inicial!P28="SI",Inicial!I28,"N/A")</f>
        <v>N/A</v>
      </c>
      <c r="J28" s="84"/>
      <c r="K28" s="84"/>
      <c r="L28" s="84"/>
      <c r="M28" s="84"/>
      <c r="N28" s="84"/>
      <c r="O28" s="84"/>
      <c r="P28" s="84"/>
      <c r="Q28" s="84"/>
      <c r="R28" s="84"/>
    </row>
    <row r="29" spans="1:18" ht="38.25" hidden="1">
      <c r="A29" s="60">
        <f>Inicial!A29</f>
        <v>27</v>
      </c>
      <c r="B29" s="61" t="str">
        <f>Inicial!B29</f>
        <v>Desposte</v>
      </c>
      <c r="C29" s="61" t="str">
        <f>Inicial!C29</f>
        <v>Operario de producción Línea Lomos</v>
      </c>
      <c r="D29" s="62" t="str">
        <f>Inicial!D29</f>
        <v>Distribuidor de lomos</v>
      </c>
      <c r="E29" s="60" t="str">
        <f>IF(Inicial!P29="SI",Inicial!E29,"N/A")</f>
        <v>N/A</v>
      </c>
      <c r="F29" s="61" t="str">
        <f>IF(Inicial!P29="SI",Inicial!F29,"N/A")</f>
        <v>N/A</v>
      </c>
      <c r="G29" s="61" t="str">
        <f>IF(Inicial!P29="SI",Inicial!G29,"N/A")</f>
        <v>N/A</v>
      </c>
      <c r="H29" s="61" t="str">
        <f>IF(Inicial!P29="SI",Inicial!H29,"N/A")</f>
        <v>N/A</v>
      </c>
      <c r="I29" s="72" t="str">
        <f>IF(Inicial!P29="SI",Inicial!I29,"N/A")</f>
        <v>N/A</v>
      </c>
      <c r="J29" s="84"/>
      <c r="K29" s="84"/>
      <c r="L29" s="84"/>
      <c r="M29" s="84"/>
      <c r="N29" s="84"/>
      <c r="O29" s="84"/>
      <c r="P29" s="84"/>
      <c r="Q29" s="84"/>
      <c r="R29" s="84"/>
    </row>
    <row r="30" spans="1:18" ht="51">
      <c r="A30" s="60">
        <f>Inicial!A30</f>
        <v>28</v>
      </c>
      <c r="B30" s="61" t="str">
        <f>Inicial!B30</f>
        <v>Desposte</v>
      </c>
      <c r="C30" s="61" t="str">
        <f>Inicial!C30</f>
        <v>Operario de producción Línea Lomos</v>
      </c>
      <c r="D30" s="62" t="str">
        <f>Inicial!D30</f>
        <v>Extraccion de cordon de lomo</v>
      </c>
      <c r="E30" s="60" t="str">
        <f>IF(Inicial!P30="SI",Inicial!E30,"N/A")</f>
        <v>Am: 07:00 a 16:00 - PM: 17:15 a 02:45</v>
      </c>
      <c r="F30" s="61" t="str">
        <f>IF(Inicial!P30="SI",Inicial!F30,"N/A")</f>
        <v>0.5</v>
      </c>
      <c r="G30" s="61">
        <f>IF(Inicial!P30="SI",Inicial!G30,"N/A")</f>
        <v>4.5</v>
      </c>
      <c r="H30" s="61">
        <f>IF(Inicial!P30="SI",Inicial!H30,"N/A")</f>
        <v>57</v>
      </c>
      <c r="I30" s="72">
        <f>IF(Inicial!P30="SI",Inicial!I30,"N/A")</f>
        <v>0</v>
      </c>
      <c r="J30" s="84" t="s">
        <v>16</v>
      </c>
      <c r="K30" s="84" t="s">
        <v>16</v>
      </c>
      <c r="L30" s="84" t="s">
        <v>16</v>
      </c>
      <c r="M30" s="84" t="s">
        <v>16</v>
      </c>
      <c r="N30" s="84" t="s">
        <v>16</v>
      </c>
      <c r="O30" s="84" t="s">
        <v>16</v>
      </c>
      <c r="P30" s="84" t="s">
        <v>16</v>
      </c>
      <c r="Q30" s="84" t="s">
        <v>16</v>
      </c>
      <c r="R30" s="84" t="str" cm="1">
        <f t="array" ref="R30">IF(OR(J30:Q30="SI"),"No aceptable","Aceptable")</f>
        <v>Aceptable</v>
      </c>
    </row>
    <row r="31" spans="1:18" ht="51">
      <c r="A31" s="60">
        <f>Inicial!A31</f>
        <v>29</v>
      </c>
      <c r="B31" s="61" t="str">
        <f>Inicial!B31</f>
        <v>Desposte</v>
      </c>
      <c r="C31" s="61" t="str">
        <f>Inicial!C31</f>
        <v>Operario de producción Línea Lomos</v>
      </c>
      <c r="D31" s="62" t="str">
        <f>Inicial!D31</f>
        <v>Prolijado de lomo con cuchillo circular</v>
      </c>
      <c r="E31" s="60" t="str">
        <f>IF(Inicial!P31="SI",Inicial!E31,"N/A")</f>
        <v>Am: 07:00 a 16:00 - PM: 17:15 a 02:45</v>
      </c>
      <c r="F31" s="61" t="str">
        <f>IF(Inicial!P31="SI",Inicial!F31,"N/A")</f>
        <v>0.5</v>
      </c>
      <c r="G31" s="61">
        <f>IF(Inicial!P31="SI",Inicial!G31,"N/A")</f>
        <v>4.5</v>
      </c>
      <c r="H31" s="61">
        <f>IF(Inicial!P31="SI",Inicial!H31,"N/A")</f>
        <v>57</v>
      </c>
      <c r="I31" s="72">
        <f>IF(Inicial!P31="SI",Inicial!I31,"N/A")</f>
        <v>0</v>
      </c>
      <c r="J31" s="84" t="s">
        <v>16</v>
      </c>
      <c r="K31" s="84" t="s">
        <v>16</v>
      </c>
      <c r="L31" s="84" t="s">
        <v>16</v>
      </c>
      <c r="M31" s="84" t="s">
        <v>16</v>
      </c>
      <c r="N31" s="84" t="s">
        <v>16</v>
      </c>
      <c r="O31" s="84" t="s">
        <v>16</v>
      </c>
      <c r="P31" s="84" t="s">
        <v>16</v>
      </c>
      <c r="Q31" s="84" t="s">
        <v>16</v>
      </c>
      <c r="R31" s="84" t="str" cm="1">
        <f t="array" ref="R31">IF(OR(J31:Q31="SI"),"No aceptable","Aceptable")</f>
        <v>Aceptable</v>
      </c>
    </row>
    <row r="32" spans="1:18" ht="38.25" hidden="1">
      <c r="A32" s="60">
        <f>Inicial!A32</f>
        <v>30</v>
      </c>
      <c r="B32" s="61" t="str">
        <f>Inicial!B32</f>
        <v>Desposte</v>
      </c>
      <c r="C32" s="61" t="str">
        <f>Inicial!C32</f>
        <v>Operario de producción Línea Lomos</v>
      </c>
      <c r="D32" s="62" t="str">
        <f>Inicial!D32</f>
        <v>Cuadrado de lomo</v>
      </c>
      <c r="E32" s="60" t="str">
        <f>IF(Inicial!P32="SI",Inicial!E32,"N/A")</f>
        <v>N/A</v>
      </c>
      <c r="F32" s="61" t="str">
        <f>IF(Inicial!P32="SI",Inicial!F32,"N/A")</f>
        <v>N/A</v>
      </c>
      <c r="G32" s="61" t="str">
        <f>IF(Inicial!P32="SI",Inicial!G32,"N/A")</f>
        <v>N/A</v>
      </c>
      <c r="H32" s="61" t="str">
        <f>IF(Inicial!P32="SI",Inicial!H32,"N/A")</f>
        <v>N/A</v>
      </c>
      <c r="I32" s="72" t="str">
        <f>IF(Inicial!P32="SI",Inicial!I32,"N/A")</f>
        <v>N/A</v>
      </c>
      <c r="J32" s="84"/>
      <c r="K32" s="84"/>
      <c r="L32" s="84"/>
      <c r="M32" s="84"/>
      <c r="N32" s="84"/>
      <c r="O32" s="84"/>
      <c r="P32" s="84"/>
      <c r="Q32" s="84"/>
      <c r="R32" s="84"/>
    </row>
    <row r="33" spans="1:18" ht="38.25" hidden="1">
      <c r="A33" s="60">
        <f>Inicial!A33</f>
        <v>31</v>
      </c>
      <c r="B33" s="61" t="str">
        <f>Inicial!B33</f>
        <v>Desposte</v>
      </c>
      <c r="C33" s="61" t="str">
        <f>Inicial!C33</f>
        <v>Operario de producción Línea Lomos</v>
      </c>
      <c r="D33" s="62" t="str">
        <f>Inicial!D33</f>
        <v>Operador de equipo Freund</v>
      </c>
      <c r="E33" s="60" t="str">
        <f>IF(Inicial!P33="SI",Inicial!E33,"N/A")</f>
        <v>N/A</v>
      </c>
      <c r="F33" s="61" t="str">
        <f>IF(Inicial!P33="SI",Inicial!F33,"N/A")</f>
        <v>N/A</v>
      </c>
      <c r="G33" s="61" t="str">
        <f>IF(Inicial!P33="SI",Inicial!G33,"N/A")</f>
        <v>N/A</v>
      </c>
      <c r="H33" s="61" t="str">
        <f>IF(Inicial!P33="SI",Inicial!H33,"N/A")</f>
        <v>N/A</v>
      </c>
      <c r="I33" s="72" t="str">
        <f>IF(Inicial!P33="SI",Inicial!I33,"N/A")</f>
        <v>N/A</v>
      </c>
      <c r="J33" s="84"/>
      <c r="K33" s="84"/>
      <c r="L33" s="84"/>
      <c r="M33" s="84"/>
      <c r="N33" s="84"/>
      <c r="O33" s="84"/>
      <c r="P33" s="84"/>
      <c r="Q33" s="84"/>
      <c r="R33" s="84"/>
    </row>
    <row r="34" spans="1:18" ht="38.25" hidden="1">
      <c r="A34" s="60">
        <f>Inicial!A34</f>
        <v>32</v>
      </c>
      <c r="B34" s="61" t="str">
        <f>Inicial!B34</f>
        <v>Desposte</v>
      </c>
      <c r="C34" s="61" t="str">
        <f>Inicial!C34</f>
        <v>Operario de producción Línea Lomos</v>
      </c>
      <c r="D34" s="62" t="str">
        <f>Inicial!D34</f>
        <v>Operador de Tira Hueso</v>
      </c>
      <c r="E34" s="60" t="str">
        <f>IF(Inicial!P34="SI",Inicial!E34,"N/A")</f>
        <v>N/A</v>
      </c>
      <c r="F34" s="61" t="str">
        <f>IF(Inicial!P34="SI",Inicial!F34,"N/A")</f>
        <v>N/A</v>
      </c>
      <c r="G34" s="61" t="str">
        <f>IF(Inicial!P34="SI",Inicial!G34,"N/A")</f>
        <v>N/A</v>
      </c>
      <c r="H34" s="61" t="str">
        <f>IF(Inicial!P34="SI",Inicial!H34,"N/A")</f>
        <v>N/A</v>
      </c>
      <c r="I34" s="72" t="str">
        <f>IF(Inicial!P34="SI",Inicial!I34,"N/A")</f>
        <v>N/A</v>
      </c>
      <c r="J34" s="84"/>
      <c r="K34" s="84"/>
      <c r="L34" s="84"/>
      <c r="M34" s="84"/>
      <c r="N34" s="84"/>
      <c r="O34" s="84"/>
      <c r="P34" s="84"/>
      <c r="Q34" s="84"/>
      <c r="R34" s="84"/>
    </row>
    <row r="35" spans="1:18" ht="38.25" hidden="1">
      <c r="A35" s="60">
        <f>Inicial!A35</f>
        <v>33</v>
      </c>
      <c r="B35" s="61" t="str">
        <f>Inicial!B35</f>
        <v>Desposte</v>
      </c>
      <c r="C35" s="61" t="str">
        <f>Inicial!C35</f>
        <v>Operario de producción Línea Lomos</v>
      </c>
      <c r="D35" s="62" t="str">
        <f>Inicial!D35</f>
        <v>Operador de MA 100</v>
      </c>
      <c r="E35" s="60" t="str">
        <f>IF(Inicial!P35="SI",Inicial!E35,"N/A")</f>
        <v>N/A</v>
      </c>
      <c r="F35" s="61" t="str">
        <f>IF(Inicial!P35="SI",Inicial!F35,"N/A")</f>
        <v>N/A</v>
      </c>
      <c r="G35" s="61" t="str">
        <f>IF(Inicial!P35="SI",Inicial!G35,"N/A")</f>
        <v>N/A</v>
      </c>
      <c r="H35" s="61" t="str">
        <f>IF(Inicial!P35="SI",Inicial!H35,"N/A")</f>
        <v>N/A</v>
      </c>
      <c r="I35" s="72" t="str">
        <f>IF(Inicial!P35="SI",Inicial!I35,"N/A")</f>
        <v>N/A</v>
      </c>
      <c r="J35" s="84"/>
      <c r="K35" s="84"/>
      <c r="L35" s="84"/>
      <c r="M35" s="84"/>
      <c r="N35" s="84"/>
      <c r="O35" s="84"/>
      <c r="P35" s="84"/>
      <c r="Q35" s="84"/>
      <c r="R35" s="84"/>
    </row>
    <row r="36" spans="1:18" ht="38.25" hidden="1">
      <c r="A36" s="60">
        <f>Inicial!A36</f>
        <v>34</v>
      </c>
      <c r="B36" s="61" t="str">
        <f>Inicial!B36</f>
        <v>Desposte</v>
      </c>
      <c r="C36" s="61" t="str">
        <f>Inicial!C36</f>
        <v>Operario de producción Línea Lomos</v>
      </c>
      <c r="D36" s="62" t="str">
        <f>Inicial!D36</f>
        <v>Separación de resto tira hueso</v>
      </c>
      <c r="E36" s="60" t="str">
        <f>IF(Inicial!P36="SI",Inicial!E36,"N/A")</f>
        <v>N/A</v>
      </c>
      <c r="F36" s="61" t="str">
        <f>IF(Inicial!P36="SI",Inicial!F36,"N/A")</f>
        <v>N/A</v>
      </c>
      <c r="G36" s="61" t="str">
        <f>IF(Inicial!P36="SI",Inicial!G36,"N/A")</f>
        <v>N/A</v>
      </c>
      <c r="H36" s="61" t="str">
        <f>IF(Inicial!P36="SI",Inicial!H36,"N/A")</f>
        <v>N/A</v>
      </c>
      <c r="I36" s="72" t="str">
        <f>IF(Inicial!P36="SI",Inicial!I36,"N/A")</f>
        <v>N/A</v>
      </c>
      <c r="J36" s="84"/>
      <c r="K36" s="84"/>
      <c r="L36" s="84"/>
      <c r="M36" s="84"/>
      <c r="N36" s="84"/>
      <c r="O36" s="84"/>
      <c r="P36" s="84"/>
      <c r="Q36" s="84"/>
      <c r="R36" s="84"/>
    </row>
    <row r="37" spans="1:18" ht="38.25" hidden="1">
      <c r="A37" s="60">
        <f>Inicial!A37</f>
        <v>35</v>
      </c>
      <c r="B37" s="61" t="str">
        <f>Inicial!B37</f>
        <v>Desposte</v>
      </c>
      <c r="C37" s="61" t="str">
        <f>Inicial!C37</f>
        <v>Operario de producción Línea Lomos</v>
      </c>
      <c r="D37" s="62" t="str">
        <f>Inicial!D37</f>
        <v>Prolijado de tailen</v>
      </c>
      <c r="E37" s="60" t="str">
        <f>IF(Inicial!P37="SI",Inicial!E37,"N/A")</f>
        <v>N/A</v>
      </c>
      <c r="F37" s="61" t="str">
        <f>IF(Inicial!P37="SI",Inicial!F37,"N/A")</f>
        <v>N/A</v>
      </c>
      <c r="G37" s="61" t="str">
        <f>IF(Inicial!P37="SI",Inicial!G37,"N/A")</f>
        <v>N/A</v>
      </c>
      <c r="H37" s="61" t="str">
        <f>IF(Inicial!P37="SI",Inicial!H37,"N/A")</f>
        <v>N/A</v>
      </c>
      <c r="I37" s="72" t="str">
        <f>IF(Inicial!P37="SI",Inicial!I37,"N/A")</f>
        <v>N/A</v>
      </c>
      <c r="J37" s="84"/>
      <c r="K37" s="84"/>
      <c r="L37" s="84"/>
      <c r="M37" s="84"/>
      <c r="N37" s="84"/>
      <c r="O37" s="84"/>
      <c r="P37" s="84"/>
      <c r="Q37" s="84"/>
      <c r="R37" s="84"/>
    </row>
    <row r="38" spans="1:18" ht="38.25" hidden="1">
      <c r="A38" s="60">
        <f>Inicial!A38</f>
        <v>36</v>
      </c>
      <c r="B38" s="61" t="str">
        <f>Inicial!B38</f>
        <v>Desposte</v>
      </c>
      <c r="C38" s="61" t="str">
        <f>Inicial!C38</f>
        <v>Operario de producción Línea Lomos</v>
      </c>
      <c r="D38" s="62" t="str">
        <f>Inicial!D38</f>
        <v>Calibrado de tailen</v>
      </c>
      <c r="E38" s="60" t="str">
        <f>IF(Inicial!P38="SI",Inicial!E38,"N/A")</f>
        <v>N/A</v>
      </c>
      <c r="F38" s="61" t="str">
        <f>IF(Inicial!P38="SI",Inicial!F38,"N/A")</f>
        <v>N/A</v>
      </c>
      <c r="G38" s="61" t="str">
        <f>IF(Inicial!P38="SI",Inicial!G38,"N/A")</f>
        <v>N/A</v>
      </c>
      <c r="H38" s="61" t="str">
        <f>IF(Inicial!P38="SI",Inicial!H38,"N/A")</f>
        <v>N/A</v>
      </c>
      <c r="I38" s="72" t="str">
        <f>IF(Inicial!P38="SI",Inicial!I38,"N/A")</f>
        <v>N/A</v>
      </c>
      <c r="J38" s="84"/>
      <c r="K38" s="84"/>
      <c r="L38" s="84"/>
      <c r="M38" s="84"/>
      <c r="N38" s="84"/>
      <c r="O38" s="84"/>
      <c r="P38" s="84"/>
      <c r="Q38" s="84"/>
      <c r="R38" s="84"/>
    </row>
    <row r="39" spans="1:18" ht="38.25" hidden="1">
      <c r="A39" s="60">
        <f>Inicial!A39</f>
        <v>37</v>
      </c>
      <c r="B39" s="61" t="str">
        <f>Inicial!B39</f>
        <v>Desposte</v>
      </c>
      <c r="C39" s="61" t="str">
        <f>Inicial!C39</f>
        <v>Operario de producción Línea Lomos</v>
      </c>
      <c r="D39" s="62" t="str">
        <f>Inicial!D39</f>
        <v>Calibrado de baby back ribs</v>
      </c>
      <c r="E39" s="60" t="str">
        <f>IF(Inicial!P39="SI",Inicial!E39,"N/A")</f>
        <v>N/A</v>
      </c>
      <c r="F39" s="61" t="str">
        <f>IF(Inicial!P39="SI",Inicial!F39,"N/A")</f>
        <v>N/A</v>
      </c>
      <c r="G39" s="61" t="str">
        <f>IF(Inicial!P39="SI",Inicial!G39,"N/A")</f>
        <v>N/A</v>
      </c>
      <c r="H39" s="61" t="str">
        <f>IF(Inicial!P39="SI",Inicial!H39,"N/A")</f>
        <v>N/A</v>
      </c>
      <c r="I39" s="72" t="str">
        <f>IF(Inicial!P39="SI",Inicial!I39,"N/A")</f>
        <v>N/A</v>
      </c>
      <c r="J39" s="84"/>
      <c r="K39" s="84"/>
      <c r="L39" s="84"/>
      <c r="M39" s="84"/>
      <c r="N39" s="84"/>
      <c r="O39" s="84"/>
      <c r="P39" s="84"/>
      <c r="Q39" s="84"/>
      <c r="R39" s="84"/>
    </row>
    <row r="40" spans="1:18" ht="38.25" hidden="1">
      <c r="A40" s="60">
        <f>Inicial!A40</f>
        <v>38</v>
      </c>
      <c r="B40" s="61" t="str">
        <f>Inicial!B40</f>
        <v>Desposte</v>
      </c>
      <c r="C40" s="61" t="str">
        <f>Inicial!C40</f>
        <v>Operario de producción Línea Lomos</v>
      </c>
      <c r="D40" s="62" t="str">
        <f>Inicial!D40</f>
        <v>Embalaje de baby back ribs</v>
      </c>
      <c r="E40" s="60" t="str">
        <f>IF(Inicial!P40="SI",Inicial!E40,"N/A")</f>
        <v>N/A</v>
      </c>
      <c r="F40" s="61" t="str">
        <f>IF(Inicial!P40="SI",Inicial!F40,"N/A")</f>
        <v>N/A</v>
      </c>
      <c r="G40" s="61" t="str">
        <f>IF(Inicial!P40="SI",Inicial!G40,"N/A")</f>
        <v>N/A</v>
      </c>
      <c r="H40" s="61" t="str">
        <f>IF(Inicial!P40="SI",Inicial!H40,"N/A")</f>
        <v>N/A</v>
      </c>
      <c r="I40" s="72" t="str">
        <f>IF(Inicial!P40="SI",Inicial!I40,"N/A")</f>
        <v>N/A</v>
      </c>
      <c r="J40" s="84"/>
      <c r="K40" s="84"/>
      <c r="L40" s="84"/>
      <c r="M40" s="84"/>
      <c r="N40" s="84"/>
      <c r="O40" s="84"/>
      <c r="P40" s="84"/>
      <c r="Q40" s="84"/>
      <c r="R40" s="84"/>
    </row>
    <row r="41" spans="1:18" ht="38.25" hidden="1">
      <c r="A41" s="60">
        <f>Inicial!A41</f>
        <v>39</v>
      </c>
      <c r="B41" s="61" t="str">
        <f>Inicial!B41</f>
        <v>Desposte</v>
      </c>
      <c r="C41" s="61" t="str">
        <f>Inicial!C41</f>
        <v>Operario de producción Línea Lomos</v>
      </c>
      <c r="D41" s="62" t="str">
        <f>Inicial!D41</f>
        <v>Estuche</v>
      </c>
      <c r="E41" s="60" t="str">
        <f>IF(Inicial!P41="SI",Inicial!E41,"N/A")</f>
        <v>N/A</v>
      </c>
      <c r="F41" s="61" t="str">
        <f>IF(Inicial!P41="SI",Inicial!F41,"N/A")</f>
        <v>N/A</v>
      </c>
      <c r="G41" s="61" t="str">
        <f>IF(Inicial!P41="SI",Inicial!G41,"N/A")</f>
        <v>N/A</v>
      </c>
      <c r="H41" s="61" t="str">
        <f>IF(Inicial!P41="SI",Inicial!H41,"N/A")</f>
        <v>N/A</v>
      </c>
      <c r="I41" s="72" t="str">
        <f>IF(Inicial!P41="SI",Inicial!I41,"N/A")</f>
        <v>N/A</v>
      </c>
      <c r="J41" s="84"/>
      <c r="K41" s="84"/>
      <c r="L41" s="84"/>
      <c r="M41" s="84"/>
      <c r="N41" s="84"/>
      <c r="O41" s="84"/>
      <c r="P41" s="84"/>
      <c r="Q41" s="84"/>
      <c r="R41" s="84"/>
    </row>
    <row r="42" spans="1:18" ht="38.25" hidden="1">
      <c r="A42" s="60">
        <f>Inicial!A42</f>
        <v>40</v>
      </c>
      <c r="B42" s="61" t="str">
        <f>Inicial!B42</f>
        <v>Desposte</v>
      </c>
      <c r="C42" s="61" t="str">
        <f>Inicial!C42</f>
        <v>Operario de producción Línea Lomos</v>
      </c>
      <c r="D42" s="62" t="str">
        <f>Inicial!D42</f>
        <v>Pegar fechas</v>
      </c>
      <c r="E42" s="60" t="str">
        <f>IF(Inicial!P42="SI",Inicial!E42,"N/A")</f>
        <v>N/A</v>
      </c>
      <c r="F42" s="61" t="str">
        <f>IF(Inicial!P42="SI",Inicial!F42,"N/A")</f>
        <v>N/A</v>
      </c>
      <c r="G42" s="61" t="str">
        <f>IF(Inicial!P42="SI",Inicial!G42,"N/A")</f>
        <v>N/A</v>
      </c>
      <c r="H42" s="61" t="str">
        <f>IF(Inicial!P42="SI",Inicial!H42,"N/A")</f>
        <v>N/A</v>
      </c>
      <c r="I42" s="72" t="str">
        <f>IF(Inicial!P42="SI",Inicial!I42,"N/A")</f>
        <v>N/A</v>
      </c>
      <c r="J42" s="84"/>
      <c r="K42" s="84"/>
      <c r="L42" s="84"/>
      <c r="M42" s="84"/>
      <c r="N42" s="84"/>
      <c r="O42" s="84"/>
      <c r="P42" s="84"/>
      <c r="Q42" s="84"/>
    </row>
    <row r="43" spans="1:18" ht="38.25" hidden="1">
      <c r="A43" s="60">
        <f>Inicial!A43</f>
        <v>41</v>
      </c>
      <c r="B43" s="61" t="str">
        <f>Inicial!B43</f>
        <v>Desposte</v>
      </c>
      <c r="C43" s="61" t="str">
        <f>Inicial!C43</f>
        <v>Operario de producción Línea Lomos</v>
      </c>
      <c r="D43" s="62" t="str">
        <f>Inicial!D43</f>
        <v>Operador de equipo Selladora C-500</v>
      </c>
      <c r="E43" s="60" t="str">
        <f>IF(Inicial!P43="SI",Inicial!E43,"N/A")</f>
        <v>N/A</v>
      </c>
      <c r="F43" s="61" t="str">
        <f>IF(Inicial!P43="SI",Inicial!F43,"N/A")</f>
        <v>N/A</v>
      </c>
      <c r="G43" s="61" t="str">
        <f>IF(Inicial!P43="SI",Inicial!G43,"N/A")</f>
        <v>N/A</v>
      </c>
      <c r="H43" s="61" t="str">
        <f>IF(Inicial!P43="SI",Inicial!H43,"N/A")</f>
        <v>N/A</v>
      </c>
      <c r="I43" s="72" t="str">
        <f>IF(Inicial!P43="SI",Inicial!I43,"N/A")</f>
        <v>N/A</v>
      </c>
      <c r="J43" s="84"/>
      <c r="K43" s="84"/>
      <c r="L43" s="84"/>
      <c r="M43" s="84"/>
      <c r="N43" s="84"/>
      <c r="O43" s="84"/>
      <c r="P43" s="84"/>
      <c r="Q43" s="84"/>
    </row>
    <row r="44" spans="1:18" ht="51">
      <c r="A44" s="60">
        <f>Inicial!A44</f>
        <v>42</v>
      </c>
      <c r="B44" s="61" t="str">
        <f>Inicial!B44</f>
        <v>Desposte</v>
      </c>
      <c r="C44" s="61" t="str">
        <f>Inicial!C44</f>
        <v>Operario de producción Línea Paletas</v>
      </c>
      <c r="D44" s="62" t="str">
        <f>Inicial!D44</f>
        <v>Despunte Axilar</v>
      </c>
      <c r="E44" s="60" t="str">
        <f>IF(Inicial!P44="SI",Inicial!E44,"N/A")</f>
        <v>Am: 07:00 a 16:00 - PM: 17:15 a 02:45</v>
      </c>
      <c r="F44" s="61" t="str">
        <f>IF(Inicial!P44="SI",Inicial!F44,"N/A")</f>
        <v>0.5</v>
      </c>
      <c r="G44" s="61">
        <f>IF(Inicial!P44="SI",Inicial!G44,"N/A")</f>
        <v>4.5</v>
      </c>
      <c r="H44" s="61">
        <f>IF(Inicial!P44="SI",Inicial!H44,"N/A")</f>
        <v>100</v>
      </c>
      <c r="I44" s="72">
        <f>IF(Inicial!P44="SI",Inicial!I44,"N/A")</f>
        <v>0</v>
      </c>
      <c r="J44" s="84" t="s">
        <v>16</v>
      </c>
      <c r="K44" s="84" t="s">
        <v>16</v>
      </c>
      <c r="L44" s="84" t="s">
        <v>16</v>
      </c>
      <c r="M44" s="84" t="s">
        <v>16</v>
      </c>
      <c r="N44" s="84" t="s">
        <v>16</v>
      </c>
      <c r="O44" s="84" t="s">
        <v>16</v>
      </c>
      <c r="P44" s="84" t="s">
        <v>16</v>
      </c>
      <c r="Q44" s="84" t="s">
        <v>16</v>
      </c>
      <c r="R44" s="84" t="str" cm="1">
        <f t="array" ref="R44">IF(OR(J44:Q44="SI"),"No aceptable","Aceptable")</f>
        <v>Aceptable</v>
      </c>
    </row>
    <row r="45" spans="1:18" ht="38.25" hidden="1">
      <c r="A45" s="60">
        <f>Inicial!A45</f>
        <v>43</v>
      </c>
      <c r="B45" s="61" t="str">
        <f>Inicial!B45</f>
        <v>Desposte</v>
      </c>
      <c r="C45" s="61" t="str">
        <f>Inicial!C45</f>
        <v>Operario de producción Línea Paletas</v>
      </c>
      <c r="D45" s="62" t="str">
        <f>Inicial!D45</f>
        <v>Desforrado de Paleta</v>
      </c>
      <c r="E45" s="60" t="str">
        <f>IF(Inicial!P45="SI",Inicial!E45,"N/A")</f>
        <v>N/A</v>
      </c>
      <c r="F45" s="61" t="str">
        <f>IF(Inicial!P45="SI",Inicial!F45,"N/A")</f>
        <v>N/A</v>
      </c>
      <c r="G45" s="61" t="str">
        <f>IF(Inicial!P45="SI",Inicial!G45,"N/A")</f>
        <v>N/A</v>
      </c>
      <c r="H45" s="61" t="str">
        <f>IF(Inicial!P45="SI",Inicial!H45,"N/A")</f>
        <v>N/A</v>
      </c>
      <c r="I45" s="72" t="str">
        <f>IF(Inicial!P45="SI",Inicial!I45,"N/A")</f>
        <v>N/A</v>
      </c>
      <c r="J45" s="84"/>
      <c r="K45" s="84"/>
      <c r="L45" s="84"/>
      <c r="M45" s="84"/>
      <c r="N45" s="84"/>
      <c r="O45" s="84"/>
      <c r="P45" s="84"/>
      <c r="Q45" s="84"/>
    </row>
    <row r="46" spans="1:18" ht="38.25" hidden="1">
      <c r="A46" s="60">
        <f>Inicial!A46</f>
        <v>44</v>
      </c>
      <c r="B46" s="61" t="str">
        <f>Inicial!B46</f>
        <v>Desposte</v>
      </c>
      <c r="C46" s="61" t="str">
        <f>Inicial!C46</f>
        <v>Operario de producción Línea Paletas</v>
      </c>
      <c r="D46" s="62" t="str">
        <f>Inicial!D46</f>
        <v>Extracción de ganglios paleta</v>
      </c>
      <c r="E46" s="60" t="str">
        <f>IF(Inicial!P46="SI",Inicial!E46,"N/A")</f>
        <v>N/A</v>
      </c>
      <c r="F46" s="61" t="str">
        <f>IF(Inicial!P46="SI",Inicial!F46,"N/A")</f>
        <v>N/A</v>
      </c>
      <c r="G46" s="61" t="str">
        <f>IF(Inicial!P46="SI",Inicial!G46,"N/A")</f>
        <v>N/A</v>
      </c>
      <c r="H46" s="61" t="str">
        <f>IF(Inicial!P46="SI",Inicial!H46,"N/A")</f>
        <v>N/A</v>
      </c>
      <c r="I46" s="72" t="str">
        <f>IF(Inicial!P46="SI",Inicial!I46,"N/A")</f>
        <v>N/A</v>
      </c>
      <c r="J46" s="84"/>
      <c r="K46" s="84"/>
      <c r="L46" s="84"/>
      <c r="M46" s="84"/>
      <c r="N46" s="84"/>
      <c r="O46" s="84"/>
      <c r="P46" s="84"/>
      <c r="Q46" s="84"/>
    </row>
    <row r="47" spans="1:18" ht="38.25" hidden="1">
      <c r="A47" s="60">
        <f>Inicial!A47</f>
        <v>45</v>
      </c>
      <c r="B47" s="61" t="str">
        <f>Inicial!B47</f>
        <v>Desposte</v>
      </c>
      <c r="C47" s="61" t="str">
        <f>Inicial!C47</f>
        <v>Operario de producción Línea Paletas</v>
      </c>
      <c r="D47" s="62" t="str">
        <f>Inicial!D47</f>
        <v>Extracción de plateada de paleta</v>
      </c>
      <c r="E47" s="60" t="str">
        <f>IF(Inicial!P47="SI",Inicial!E47,"N/A")</f>
        <v>N/A</v>
      </c>
      <c r="F47" s="61" t="str">
        <f>IF(Inicial!P47="SI",Inicial!F47,"N/A")</f>
        <v>N/A</v>
      </c>
      <c r="G47" s="61" t="str">
        <f>IF(Inicial!P47="SI",Inicial!G47,"N/A")</f>
        <v>N/A</v>
      </c>
      <c r="H47" s="61" t="str">
        <f>IF(Inicial!P47="SI",Inicial!H47,"N/A")</f>
        <v>N/A</v>
      </c>
      <c r="I47" s="72" t="str">
        <f>IF(Inicial!P47="SI",Inicial!I47,"N/A")</f>
        <v>N/A</v>
      </c>
      <c r="J47" s="84"/>
      <c r="K47" s="84"/>
      <c r="L47" s="84"/>
      <c r="M47" s="84"/>
      <c r="N47" s="84"/>
      <c r="O47" s="84"/>
      <c r="P47" s="84"/>
      <c r="Q47" s="84"/>
    </row>
    <row r="48" spans="1:18" ht="38.25" hidden="1">
      <c r="A48" s="60">
        <f>Inicial!A48</f>
        <v>46</v>
      </c>
      <c r="B48" s="61" t="str">
        <f>Inicial!B48</f>
        <v>Desposte</v>
      </c>
      <c r="C48" s="61" t="str">
        <f>Inicial!C48</f>
        <v>Operario de producción Línea Paletas</v>
      </c>
      <c r="D48" s="62" t="str">
        <f>Inicial!D48</f>
        <v>Prolijado de plateada</v>
      </c>
      <c r="E48" s="60" t="str">
        <f>IF(Inicial!P48="SI",Inicial!E48,"N/A")</f>
        <v>N/A</v>
      </c>
      <c r="F48" s="61" t="str">
        <f>IF(Inicial!P48="SI",Inicial!F48,"N/A")</f>
        <v>N/A</v>
      </c>
      <c r="G48" s="61" t="str">
        <f>IF(Inicial!P48="SI",Inicial!G48,"N/A")</f>
        <v>N/A</v>
      </c>
      <c r="H48" s="61" t="str">
        <f>IF(Inicial!P48="SI",Inicial!H48,"N/A")</f>
        <v>N/A</v>
      </c>
      <c r="I48" s="72" t="str">
        <f>IF(Inicial!P48="SI",Inicial!I48,"N/A")</f>
        <v>N/A</v>
      </c>
      <c r="J48" s="84"/>
      <c r="K48" s="84"/>
      <c r="L48" s="84"/>
      <c r="M48" s="84"/>
      <c r="N48" s="84"/>
      <c r="O48" s="84"/>
      <c r="P48" s="84"/>
      <c r="Q48" s="84"/>
    </row>
    <row r="49" spans="1:18" ht="38.25" hidden="1">
      <c r="A49" s="60">
        <f>Inicial!A49</f>
        <v>47</v>
      </c>
      <c r="B49" s="61" t="str">
        <f>Inicial!B49</f>
        <v>Desposte</v>
      </c>
      <c r="C49" s="61" t="str">
        <f>Inicial!C49</f>
        <v>Operario de producción Línea Paletas</v>
      </c>
      <c r="D49" s="62" t="str">
        <f>Inicial!D49</f>
        <v>Revisión de paleta con cuchillo</v>
      </c>
      <c r="E49" s="60" t="str">
        <f>IF(Inicial!P49="SI",Inicial!E49,"N/A")</f>
        <v>N/A</v>
      </c>
      <c r="F49" s="61" t="str">
        <f>IF(Inicial!P49="SI",Inicial!F49,"N/A")</f>
        <v>N/A</v>
      </c>
      <c r="G49" s="61" t="str">
        <f>IF(Inicial!P49="SI",Inicial!G49,"N/A")</f>
        <v>N/A</v>
      </c>
      <c r="H49" s="61" t="str">
        <f>IF(Inicial!P49="SI",Inicial!H49,"N/A")</f>
        <v>N/A</v>
      </c>
      <c r="I49" s="72" t="str">
        <f>IF(Inicial!P49="SI",Inicial!I49,"N/A")</f>
        <v>N/A</v>
      </c>
      <c r="J49" s="84"/>
      <c r="K49" s="84"/>
      <c r="L49" s="84"/>
      <c r="M49" s="84"/>
      <c r="N49" s="84"/>
      <c r="O49" s="84"/>
      <c r="P49" s="84"/>
      <c r="Q49" s="84"/>
    </row>
    <row r="50" spans="1:18" ht="51">
      <c r="A50" s="60">
        <f>Inicial!A50</f>
        <v>48</v>
      </c>
      <c r="B50" s="61" t="str">
        <f>Inicial!B50</f>
        <v>Desposte</v>
      </c>
      <c r="C50" s="61" t="str">
        <f>Inicial!C50</f>
        <v>Operario de producción Línea Paletas</v>
      </c>
      <c r="D50" s="62" t="str">
        <f>Inicial!D50</f>
        <v>Prolijado de paleta</v>
      </c>
      <c r="E50" s="60" t="str">
        <f>IF(Inicial!P50="SI",Inicial!E50,"N/A")</f>
        <v>Am: 07:00 a 16:00 - PM: 17:15 a 02:45</v>
      </c>
      <c r="F50" s="61" t="str">
        <f>IF(Inicial!P50="SI",Inicial!F50,"N/A")</f>
        <v>0.5</v>
      </c>
      <c r="G50" s="61">
        <f>IF(Inicial!P50="SI",Inicial!G50,"N/A")</f>
        <v>4.5</v>
      </c>
      <c r="H50" s="61">
        <f>IF(Inicial!P50="SI",Inicial!H50,"N/A")</f>
        <v>100</v>
      </c>
      <c r="I50" s="72">
        <f>IF(Inicial!P50="SI",Inicial!I50,"N/A")</f>
        <v>9</v>
      </c>
      <c r="J50" s="84" t="s">
        <v>16</v>
      </c>
      <c r="K50" s="84" t="s">
        <v>16</v>
      </c>
      <c r="L50" s="84" t="s">
        <v>16</v>
      </c>
      <c r="M50" s="84" t="s">
        <v>16</v>
      </c>
      <c r="N50" s="84" t="s">
        <v>16</v>
      </c>
      <c r="O50" s="84" t="s">
        <v>16</v>
      </c>
      <c r="P50" s="84" t="s">
        <v>16</v>
      </c>
      <c r="Q50" s="84" t="s">
        <v>16</v>
      </c>
      <c r="R50" s="84" t="str" cm="1">
        <f t="array" ref="R50">IF(OR(J50:Q50="SI"),"No aceptable","Aceptable")</f>
        <v>Aceptable</v>
      </c>
    </row>
    <row r="51" spans="1:18" ht="38.25" hidden="1">
      <c r="A51" s="60">
        <f>Inicial!A51</f>
        <v>49</v>
      </c>
      <c r="B51" s="61" t="str">
        <f>Inicial!B51</f>
        <v>Desposte</v>
      </c>
      <c r="C51" s="61" t="str">
        <f>Inicial!C51</f>
        <v>Operario de producción Línea Paletas</v>
      </c>
      <c r="D51" s="62" t="str">
        <f>Inicial!D51</f>
        <v>Operador de equipo cortador de pernil</v>
      </c>
      <c r="E51" s="60" t="str">
        <f>IF(Inicial!P51="SI",Inicial!E51,"N/A")</f>
        <v>N/A</v>
      </c>
      <c r="F51" s="61" t="str">
        <f>IF(Inicial!P51="SI",Inicial!F51,"N/A")</f>
        <v>N/A</v>
      </c>
      <c r="G51" s="61" t="str">
        <f>IF(Inicial!P51="SI",Inicial!G51,"N/A")</f>
        <v>N/A</v>
      </c>
      <c r="H51" s="61" t="str">
        <f>IF(Inicial!P51="SI",Inicial!H51,"N/A")</f>
        <v>N/A</v>
      </c>
      <c r="I51" s="72" t="str">
        <f>IF(Inicial!P51="SI",Inicial!I51,"N/A")</f>
        <v>N/A</v>
      </c>
      <c r="J51" s="84"/>
      <c r="K51" s="84"/>
      <c r="L51" s="84"/>
      <c r="M51" s="84"/>
      <c r="N51" s="84"/>
      <c r="O51" s="84"/>
      <c r="P51" s="84"/>
      <c r="Q51" s="84"/>
    </row>
    <row r="52" spans="1:18" ht="38.25" hidden="1">
      <c r="A52" s="60">
        <f>Inicial!A52</f>
        <v>50</v>
      </c>
      <c r="B52" s="61" t="str">
        <f>Inicial!B52</f>
        <v>Desposte</v>
      </c>
      <c r="C52" s="61" t="str">
        <f>Inicial!C52</f>
        <v>Operario de producción Línea Paletas</v>
      </c>
      <c r="D52" s="62" t="str">
        <f>Inicial!D52</f>
        <v>Acomodado de pernil y cambio de bandeja</v>
      </c>
      <c r="E52" s="60" t="str">
        <f>IF(Inicial!P52="SI",Inicial!E52,"N/A")</f>
        <v>N/A</v>
      </c>
      <c r="F52" s="61" t="str">
        <f>IF(Inicial!P52="SI",Inicial!F52,"N/A")</f>
        <v>N/A</v>
      </c>
      <c r="G52" s="61" t="str">
        <f>IF(Inicial!P52="SI",Inicial!G52,"N/A")</f>
        <v>N/A</v>
      </c>
      <c r="H52" s="61" t="str">
        <f>IF(Inicial!P52="SI",Inicial!H52,"N/A")</f>
        <v>N/A</v>
      </c>
      <c r="I52" s="72" t="str">
        <f>IF(Inicial!P52="SI",Inicial!I52,"N/A")</f>
        <v>N/A</v>
      </c>
      <c r="J52" s="84"/>
      <c r="K52" s="84"/>
      <c r="L52" s="84"/>
      <c r="M52" s="84"/>
      <c r="N52" s="84"/>
      <c r="O52" s="84"/>
      <c r="P52" s="84"/>
      <c r="Q52" s="84"/>
    </row>
    <row r="53" spans="1:18" ht="51">
      <c r="A53" s="60">
        <f>Inicial!A53</f>
        <v>51</v>
      </c>
      <c r="B53" s="61" t="str">
        <f>Inicial!B53</f>
        <v>Desposte</v>
      </c>
      <c r="C53" s="61" t="str">
        <f>Inicial!C53</f>
        <v>Operario de producción Línea Paletas</v>
      </c>
      <c r="D53" s="62" t="str">
        <f>Inicial!D53</f>
        <v>Extracción de ganglios paleta</v>
      </c>
      <c r="E53" s="60" t="str">
        <f>IF(Inicial!P53="SI",Inicial!E53,"N/A")</f>
        <v>Am: 07:00 a 16:00 - PM: 17:15 a 02:45</v>
      </c>
      <c r="F53" s="61" t="str">
        <f>IF(Inicial!P53="SI",Inicial!F53,"N/A")</f>
        <v>0.5</v>
      </c>
      <c r="G53" s="61">
        <f>IF(Inicial!P53="SI",Inicial!G53,"N/A")</f>
        <v>4.5</v>
      </c>
      <c r="H53" s="61">
        <f>IF(Inicial!P53="SI",Inicial!H53,"N/A")</f>
        <v>100</v>
      </c>
      <c r="I53" s="72">
        <f>IF(Inicial!P53="SI",Inicial!I53,"N/A")</f>
        <v>0</v>
      </c>
      <c r="J53" s="84" t="s">
        <v>16</v>
      </c>
      <c r="K53" s="84" t="s">
        <v>16</v>
      </c>
      <c r="L53" s="84" t="s">
        <v>16</v>
      </c>
      <c r="M53" s="84" t="s">
        <v>16</v>
      </c>
      <c r="N53" s="84" t="s">
        <v>16</v>
      </c>
      <c r="O53" s="84" t="s">
        <v>16</v>
      </c>
      <c r="P53" s="84" t="s">
        <v>16</v>
      </c>
      <c r="Q53" s="84" t="s">
        <v>16</v>
      </c>
      <c r="R53" s="84" t="str" cm="1">
        <f t="array" ref="R53">IF(OR(J53:Q53="SI"),"No aceptable","Aceptable")</f>
        <v>Aceptable</v>
      </c>
    </row>
    <row r="54" spans="1:18" ht="38.25" hidden="1">
      <c r="A54" s="60">
        <f>Inicial!A54</f>
        <v>52</v>
      </c>
      <c r="B54" s="61" t="str">
        <f>Inicial!B54</f>
        <v>Desposte</v>
      </c>
      <c r="C54" s="61" t="str">
        <f>Inicial!C54</f>
        <v>Operario de producción Línea Paletas</v>
      </c>
      <c r="D54" s="62" t="str">
        <f>Inicial!D54</f>
        <v>Abertura de pulpa paleta</v>
      </c>
      <c r="E54" s="60" t="str">
        <f>IF(Inicial!P54="SI",Inicial!E54,"N/A")</f>
        <v>N/A</v>
      </c>
      <c r="F54" s="61" t="str">
        <f>IF(Inicial!P54="SI",Inicial!F54,"N/A")</f>
        <v>N/A</v>
      </c>
      <c r="G54" s="61" t="str">
        <f>IF(Inicial!P54="SI",Inicial!G54,"N/A")</f>
        <v>N/A</v>
      </c>
      <c r="H54" s="61" t="str">
        <f>IF(Inicial!P54="SI",Inicial!H54,"N/A")</f>
        <v>N/A</v>
      </c>
      <c r="I54" s="72" t="str">
        <f>IF(Inicial!P54="SI",Inicial!I54,"N/A")</f>
        <v>N/A</v>
      </c>
      <c r="J54" s="84"/>
      <c r="K54" s="84"/>
      <c r="L54" s="84"/>
      <c r="M54" s="84"/>
      <c r="N54" s="84"/>
      <c r="O54" s="84"/>
      <c r="P54" s="84"/>
      <c r="Q54" s="84"/>
    </row>
    <row r="55" spans="1:18" ht="38.25" hidden="1">
      <c r="A55" s="60">
        <f>Inicial!A55</f>
        <v>53</v>
      </c>
      <c r="B55" s="61" t="str">
        <f>Inicial!B55</f>
        <v>Desposte</v>
      </c>
      <c r="C55" s="61" t="str">
        <f>Inicial!C55</f>
        <v>Operario de producción Línea Paletas</v>
      </c>
      <c r="D55" s="62" t="str">
        <f>Inicial!D55</f>
        <v>Rayado de escapula</v>
      </c>
      <c r="E55" s="60" t="str">
        <f>IF(Inicial!P55="SI",Inicial!E55,"N/A")</f>
        <v>N/A</v>
      </c>
      <c r="F55" s="61" t="str">
        <f>IF(Inicial!P55="SI",Inicial!F55,"N/A")</f>
        <v>N/A</v>
      </c>
      <c r="G55" s="61" t="str">
        <f>IF(Inicial!P55="SI",Inicial!G55,"N/A")</f>
        <v>N/A</v>
      </c>
      <c r="H55" s="61" t="str">
        <f>IF(Inicial!P55="SI",Inicial!H55,"N/A")</f>
        <v>N/A</v>
      </c>
      <c r="I55" s="72" t="str">
        <f>IF(Inicial!P55="SI",Inicial!I55,"N/A")</f>
        <v>N/A</v>
      </c>
      <c r="J55" s="84"/>
      <c r="K55" s="84"/>
      <c r="L55" s="84"/>
      <c r="M55" s="84"/>
      <c r="N55" s="84"/>
      <c r="O55" s="84"/>
      <c r="P55" s="84"/>
      <c r="Q55" s="84"/>
    </row>
    <row r="56" spans="1:18" ht="38.25" hidden="1">
      <c r="A56" s="60">
        <f>Inicial!A56</f>
        <v>54</v>
      </c>
      <c r="B56" s="61" t="str">
        <f>Inicial!B56</f>
        <v>Desposte</v>
      </c>
      <c r="C56" s="61" t="str">
        <f>Inicial!C56</f>
        <v>Operario de producción Línea Paletas</v>
      </c>
      <c r="D56" s="62" t="str">
        <f>Inicial!D56</f>
        <v>Extracción de escapula con pistola neumatica</v>
      </c>
      <c r="E56" s="60" t="str">
        <f>IF(Inicial!P56="SI",Inicial!E56,"N/A")</f>
        <v>N/A</v>
      </c>
      <c r="F56" s="61" t="str">
        <f>IF(Inicial!P56="SI",Inicial!F56,"N/A")</f>
        <v>N/A</v>
      </c>
      <c r="G56" s="61" t="str">
        <f>IF(Inicial!P56="SI",Inicial!G56,"N/A")</f>
        <v>N/A</v>
      </c>
      <c r="H56" s="61" t="str">
        <f>IF(Inicial!P56="SI",Inicial!H56,"N/A")</f>
        <v>N/A</v>
      </c>
      <c r="I56" s="72" t="str">
        <f>IF(Inicial!P56="SI",Inicial!I56,"N/A")</f>
        <v>N/A</v>
      </c>
      <c r="J56" s="84"/>
      <c r="K56" s="84"/>
      <c r="L56" s="84"/>
      <c r="M56" s="84"/>
      <c r="N56" s="84"/>
      <c r="O56" s="84"/>
      <c r="P56" s="84"/>
      <c r="Q56" s="84"/>
    </row>
    <row r="57" spans="1:18" ht="38.25" hidden="1">
      <c r="A57" s="60">
        <f>Inicial!A57</f>
        <v>55</v>
      </c>
      <c r="B57" s="61" t="str">
        <f>Inicial!B57</f>
        <v>Desposte</v>
      </c>
      <c r="C57" s="61" t="str">
        <f>Inicial!C57</f>
        <v>Operario de producción Línea Paletas</v>
      </c>
      <c r="D57" s="62" t="str">
        <f>Inicial!D57</f>
        <v>Extracción de escapula</v>
      </c>
      <c r="E57" s="60" t="str">
        <f>IF(Inicial!P57="SI",Inicial!E57,"N/A")</f>
        <v>N/A</v>
      </c>
      <c r="F57" s="61" t="str">
        <f>IF(Inicial!P57="SI",Inicial!F57,"N/A")</f>
        <v>N/A</v>
      </c>
      <c r="G57" s="61" t="str">
        <f>IF(Inicial!P57="SI",Inicial!G57,"N/A")</f>
        <v>N/A</v>
      </c>
      <c r="H57" s="61" t="str">
        <f>IF(Inicial!P57="SI",Inicial!H57,"N/A")</f>
        <v>N/A</v>
      </c>
      <c r="I57" s="72" t="str">
        <f>IF(Inicial!P57="SI",Inicial!I57,"N/A")</f>
        <v>N/A</v>
      </c>
      <c r="J57" s="84"/>
      <c r="K57" s="84"/>
      <c r="L57" s="84"/>
      <c r="M57" s="84"/>
      <c r="N57" s="84"/>
      <c r="O57" s="84"/>
      <c r="P57" s="84"/>
      <c r="Q57" s="84"/>
    </row>
    <row r="58" spans="1:18" ht="38.25" hidden="1">
      <c r="A58" s="60">
        <f>Inicial!A58</f>
        <v>56</v>
      </c>
      <c r="B58" s="61" t="str">
        <f>Inicial!B58</f>
        <v>Desposte</v>
      </c>
      <c r="C58" s="61" t="str">
        <f>Inicial!C58</f>
        <v>Operario de producción Línea Paletas</v>
      </c>
      <c r="D58" s="62" t="str">
        <f>Inicial!D58</f>
        <v>Deshuesado de hueso humero</v>
      </c>
      <c r="E58" s="60" t="str">
        <f>IF(Inicial!P58="SI",Inicial!E58,"N/A")</f>
        <v>N/A</v>
      </c>
      <c r="F58" s="61" t="str">
        <f>IF(Inicial!P58="SI",Inicial!F58,"N/A")</f>
        <v>N/A</v>
      </c>
      <c r="G58" s="61" t="str">
        <f>IF(Inicial!P58="SI",Inicial!G58,"N/A")</f>
        <v>N/A</v>
      </c>
      <c r="H58" s="61" t="str">
        <f>IF(Inicial!P58="SI",Inicial!H58,"N/A")</f>
        <v>N/A</v>
      </c>
      <c r="I58" s="72" t="str">
        <f>IF(Inicial!P58="SI",Inicial!I58,"N/A")</f>
        <v>N/A</v>
      </c>
      <c r="J58" s="84"/>
      <c r="K58" s="84"/>
      <c r="L58" s="84"/>
      <c r="M58" s="84"/>
      <c r="N58" s="84"/>
      <c r="O58" s="84"/>
      <c r="P58" s="84"/>
      <c r="Q58" s="84"/>
    </row>
    <row r="59" spans="1:18" ht="51">
      <c r="A59" s="60">
        <f>Inicial!A59</f>
        <v>57</v>
      </c>
      <c r="B59" s="61" t="str">
        <f>Inicial!B59</f>
        <v>Desposte</v>
      </c>
      <c r="C59" s="61" t="str">
        <f>Inicial!C59</f>
        <v>Operario de producción Línea Paletas</v>
      </c>
      <c r="D59" s="62" t="str">
        <f>Inicial!D59</f>
        <v>Extracción de cartilago de paleta</v>
      </c>
      <c r="E59" s="60" t="str">
        <f>IF(Inicial!P59="SI",Inicial!E59,"N/A")</f>
        <v>Am: 07:00 a 16:00 - PM: 17:15 a 02:45</v>
      </c>
      <c r="F59" s="61" t="str">
        <f>IF(Inicial!P59="SI",Inicial!F59,"N/A")</f>
        <v>0.5</v>
      </c>
      <c r="G59" s="61">
        <f>IF(Inicial!P59="SI",Inicial!G59,"N/A")</f>
        <v>4.5</v>
      </c>
      <c r="H59" s="61">
        <f>IF(Inicial!P59="SI",Inicial!H59,"N/A")</f>
        <v>100</v>
      </c>
      <c r="I59" s="72">
        <f>IF(Inicial!P59="SI",Inicial!I59,"N/A")</f>
        <v>0</v>
      </c>
      <c r="J59" s="84" t="s">
        <v>16</v>
      </c>
      <c r="K59" s="84" t="s">
        <v>16</v>
      </c>
      <c r="L59" s="84" t="s">
        <v>16</v>
      </c>
      <c r="M59" s="84" t="s">
        <v>16</v>
      </c>
      <c r="N59" s="84" t="s">
        <v>16</v>
      </c>
      <c r="O59" s="84" t="s">
        <v>16</v>
      </c>
      <c r="P59" s="84" t="s">
        <v>16</v>
      </c>
      <c r="Q59" s="84" t="s">
        <v>16</v>
      </c>
      <c r="R59" s="84" t="str" cm="1">
        <f t="array" ref="R59">IF(OR(J59:Q59="SI"),"No aceptable","Aceptable")</f>
        <v>Aceptable</v>
      </c>
    </row>
    <row r="60" spans="1:18" ht="51" hidden="1">
      <c r="A60" s="60">
        <f>Inicial!A60</f>
        <v>58</v>
      </c>
      <c r="B60" s="61" t="str">
        <f>Inicial!B60</f>
        <v>Desposte</v>
      </c>
      <c r="C60" s="61" t="str">
        <f>Inicial!C60</f>
        <v>Operario de producción Línea Paletas</v>
      </c>
      <c r="D60" s="62" t="str">
        <f>Inicial!D60</f>
        <v>Acomodado de pulpa y direccionamiento de pernil</v>
      </c>
      <c r="E60" s="60" t="str">
        <f>IF(Inicial!P60="SI",Inicial!E60,"N/A")</f>
        <v>N/A</v>
      </c>
      <c r="F60" s="61" t="str">
        <f>IF(Inicial!P60="SI",Inicial!F60,"N/A")</f>
        <v>N/A</v>
      </c>
      <c r="G60" s="61" t="str">
        <f>IF(Inicial!P60="SI",Inicial!G60,"N/A")</f>
        <v>N/A</v>
      </c>
      <c r="H60" s="61" t="str">
        <f>IF(Inicial!P60="SI",Inicial!H60,"N/A")</f>
        <v>N/A</v>
      </c>
      <c r="I60" s="72" t="str">
        <f>IF(Inicial!P60="SI",Inicial!I60,"N/A")</f>
        <v>N/A</v>
      </c>
      <c r="J60" s="84"/>
      <c r="K60" s="84"/>
      <c r="L60" s="84"/>
      <c r="M60" s="84"/>
      <c r="N60" s="84"/>
      <c r="O60" s="84"/>
      <c r="P60" s="84"/>
      <c r="Q60" s="84"/>
    </row>
    <row r="61" spans="1:18" ht="38.25" hidden="1">
      <c r="A61" s="60">
        <f>Inicial!A61</f>
        <v>59</v>
      </c>
      <c r="B61" s="61" t="str">
        <f>Inicial!B61</f>
        <v>Desposte</v>
      </c>
      <c r="C61" s="61" t="str">
        <f>Inicial!C61</f>
        <v>Operario de producción Línea Paletas</v>
      </c>
      <c r="D61" s="62" t="str">
        <f>Inicial!D61</f>
        <v>Extracción de membrana y cartilago</v>
      </c>
      <c r="E61" s="60" t="str">
        <f>IF(Inicial!P61="SI",Inicial!E61,"N/A")</f>
        <v>N/A</v>
      </c>
      <c r="F61" s="61" t="str">
        <f>IF(Inicial!P61="SI",Inicial!F61,"N/A")</f>
        <v>N/A</v>
      </c>
      <c r="G61" s="61" t="str">
        <f>IF(Inicial!P61="SI",Inicial!G61,"N/A")</f>
        <v>N/A</v>
      </c>
      <c r="H61" s="61" t="str">
        <f>IF(Inicial!P61="SI",Inicial!H61,"N/A")</f>
        <v>N/A</v>
      </c>
      <c r="I61" s="72" t="str">
        <f>IF(Inicial!P61="SI",Inicial!I61,"N/A")</f>
        <v>N/A</v>
      </c>
      <c r="J61" s="84"/>
      <c r="K61" s="84"/>
      <c r="L61" s="84"/>
      <c r="M61" s="84"/>
      <c r="N61" s="84"/>
      <c r="O61" s="84"/>
      <c r="P61" s="84"/>
      <c r="Q61" s="84"/>
    </row>
    <row r="62" spans="1:18" ht="38.25" hidden="1">
      <c r="A62" s="60">
        <f>Inicial!A62</f>
        <v>60</v>
      </c>
      <c r="B62" s="61" t="str">
        <f>Inicial!B62</f>
        <v>Desposte</v>
      </c>
      <c r="C62" s="61" t="str">
        <f>Inicial!C62</f>
        <v>Operario de producción Línea Paletas</v>
      </c>
      <c r="D62" s="62" t="str">
        <f>Inicial!D62</f>
        <v>Ordenar cuero</v>
      </c>
      <c r="E62" s="60" t="str">
        <f>IF(Inicial!P62="SI",Inicial!E62,"N/A")</f>
        <v>N/A</v>
      </c>
      <c r="F62" s="61" t="str">
        <f>IF(Inicial!P62="SI",Inicial!F62,"N/A")</f>
        <v>N/A</v>
      </c>
      <c r="G62" s="61" t="str">
        <f>IF(Inicial!P62="SI",Inicial!G62,"N/A")</f>
        <v>N/A</v>
      </c>
      <c r="H62" s="61" t="str">
        <f>IF(Inicial!P62="SI",Inicial!H62,"N/A")</f>
        <v>N/A</v>
      </c>
      <c r="I62" s="72" t="str">
        <f>IF(Inicial!P62="SI",Inicial!I62,"N/A")</f>
        <v>N/A</v>
      </c>
      <c r="J62" s="84"/>
      <c r="K62" s="84"/>
      <c r="L62" s="84"/>
      <c r="M62" s="84"/>
      <c r="N62" s="84"/>
      <c r="O62" s="84"/>
      <c r="P62" s="84"/>
      <c r="Q62" s="84"/>
    </row>
    <row r="63" spans="1:18" ht="51">
      <c r="A63" s="60">
        <f>Inicial!A63</f>
        <v>61</v>
      </c>
      <c r="B63" s="61" t="str">
        <f>Inicial!B63</f>
        <v>Desposte</v>
      </c>
      <c r="C63" s="61" t="str">
        <f>Inicial!C63</f>
        <v>Operario de producción Línea Paletas</v>
      </c>
      <c r="D63" s="62" t="str">
        <f>Inicial!D63</f>
        <v>Prolijado de paleta y extracción de cuero</v>
      </c>
      <c r="E63" s="60" t="str">
        <f>IF(Inicial!P63="SI",Inicial!E63,"N/A")</f>
        <v>Am: 07:00 a 16:00 - PM: 17:15 a 02:45</v>
      </c>
      <c r="F63" s="61" t="str">
        <f>IF(Inicial!P63="SI",Inicial!F63,"N/A")</f>
        <v>0.5</v>
      </c>
      <c r="G63" s="61">
        <f>IF(Inicial!P63="SI",Inicial!G63,"N/A")</f>
        <v>4.5</v>
      </c>
      <c r="H63" s="61">
        <f>IF(Inicial!P63="SI",Inicial!H63,"N/A")</f>
        <v>100</v>
      </c>
      <c r="I63" s="72">
        <f>IF(Inicial!P63="SI",Inicial!I63,"N/A")</f>
        <v>0</v>
      </c>
      <c r="J63" s="84" t="s">
        <v>16</v>
      </c>
      <c r="K63" s="84" t="s">
        <v>16</v>
      </c>
      <c r="L63" s="84" t="s">
        <v>16</v>
      </c>
      <c r="M63" s="84" t="s">
        <v>16</v>
      </c>
      <c r="N63" s="84" t="s">
        <v>16</v>
      </c>
      <c r="O63" s="84" t="s">
        <v>16</v>
      </c>
      <c r="P63" s="84" t="s">
        <v>16</v>
      </c>
      <c r="Q63" s="84" t="s">
        <v>16</v>
      </c>
      <c r="R63" s="84" t="str" cm="1">
        <f t="array" ref="R63">IF(OR(J63:Q63="SI"),"No aceptable","Aceptable")</f>
        <v>Aceptable</v>
      </c>
    </row>
    <row r="64" spans="1:18" ht="38.25" hidden="1">
      <c r="A64" s="60">
        <f>Inicial!A64</f>
        <v>62</v>
      </c>
      <c r="B64" s="61" t="str">
        <f>Inicial!B64</f>
        <v>Desposte</v>
      </c>
      <c r="C64" s="61" t="str">
        <f>Inicial!C64</f>
        <v>Operario de producción Línea Paletas</v>
      </c>
      <c r="D64" s="62" t="str">
        <f>Inicial!D64</f>
        <v>Prolijado de pulpa paleta</v>
      </c>
      <c r="E64" s="60" t="str">
        <f>IF(Inicial!P64="SI",Inicial!E64,"N/A")</f>
        <v>N/A</v>
      </c>
      <c r="F64" s="61" t="str">
        <f>IF(Inicial!P64="SI",Inicial!F64,"N/A")</f>
        <v>N/A</v>
      </c>
      <c r="G64" s="61" t="str">
        <f>IF(Inicial!P64="SI",Inicial!G64,"N/A")</f>
        <v>N/A</v>
      </c>
      <c r="H64" s="61" t="str">
        <f>IF(Inicial!P64="SI",Inicial!H64,"N/A")</f>
        <v>N/A</v>
      </c>
      <c r="I64" s="72" t="str">
        <f>IF(Inicial!P64="SI",Inicial!I64,"N/A")</f>
        <v>N/A</v>
      </c>
      <c r="J64" s="84"/>
      <c r="K64" s="84"/>
      <c r="L64" s="84"/>
      <c r="M64" s="84"/>
      <c r="N64" s="84"/>
      <c r="O64" s="84"/>
      <c r="P64" s="84"/>
      <c r="Q64" s="84"/>
    </row>
    <row r="65" spans="1:18" ht="38.25" hidden="1">
      <c r="A65" s="60">
        <f>Inicial!A65</f>
        <v>63</v>
      </c>
      <c r="B65" s="61" t="str">
        <f>Inicial!B65</f>
        <v>Desposte</v>
      </c>
      <c r="C65" s="61" t="str">
        <f>Inicial!C65</f>
        <v>Operario de producción Línea Paletas</v>
      </c>
      <c r="D65" s="62" t="str">
        <f>Inicial!D65</f>
        <v>Aspiradora de pulpa paleta</v>
      </c>
      <c r="E65" s="60" t="str">
        <f>IF(Inicial!P65="SI",Inicial!E65,"N/A")</f>
        <v>N/A</v>
      </c>
      <c r="F65" s="61" t="str">
        <f>IF(Inicial!P65="SI",Inicial!F65,"N/A")</f>
        <v>N/A</v>
      </c>
      <c r="G65" s="61" t="str">
        <f>IF(Inicial!P65="SI",Inicial!G65,"N/A")</f>
        <v>N/A</v>
      </c>
      <c r="H65" s="61" t="str">
        <f>IF(Inicial!P65="SI",Inicial!H65,"N/A")</f>
        <v>N/A</v>
      </c>
      <c r="I65" s="72" t="str">
        <f>IF(Inicial!P65="SI",Inicial!I65,"N/A")</f>
        <v>N/A</v>
      </c>
      <c r="J65" s="84"/>
      <c r="K65" s="84"/>
      <c r="L65" s="84"/>
      <c r="M65" s="84"/>
      <c r="N65" s="84"/>
      <c r="O65" s="84"/>
      <c r="P65" s="84"/>
      <c r="Q65" s="84"/>
    </row>
    <row r="66" spans="1:18" ht="51" hidden="1">
      <c r="A66" s="60">
        <f>Inicial!A66</f>
        <v>64</v>
      </c>
      <c r="B66" s="61" t="str">
        <f>Inicial!B66</f>
        <v>Desposte</v>
      </c>
      <c r="C66" s="61" t="str">
        <f>Inicial!C66</f>
        <v>Operario de producción Línea Pulpa Piernas</v>
      </c>
      <c r="D66" s="62" t="str">
        <f>Inicial!D66</f>
        <v>Direccionador de piernas</v>
      </c>
      <c r="E66" s="60" t="str">
        <f>IF(Inicial!P66="SI",Inicial!E66,"N/A")</f>
        <v>N/A</v>
      </c>
      <c r="F66" s="61" t="str">
        <f>IF(Inicial!P66="SI",Inicial!F66,"N/A")</f>
        <v>N/A</v>
      </c>
      <c r="G66" s="61" t="str">
        <f>IF(Inicial!P66="SI",Inicial!G66,"N/A")</f>
        <v>N/A</v>
      </c>
      <c r="H66" s="61" t="str">
        <f>IF(Inicial!P66="SI",Inicial!H66,"N/A")</f>
        <v>N/A</v>
      </c>
      <c r="I66" s="72" t="str">
        <f>IF(Inicial!P66="SI",Inicial!I66,"N/A")</f>
        <v>N/A</v>
      </c>
      <c r="J66" s="84"/>
      <c r="K66" s="84"/>
      <c r="L66" s="84"/>
      <c r="M66" s="84"/>
      <c r="N66" s="84"/>
      <c r="O66" s="84"/>
      <c r="P66" s="84"/>
      <c r="Q66" s="84"/>
    </row>
    <row r="67" spans="1:18" ht="51" hidden="1">
      <c r="A67" s="60">
        <f>Inicial!A67</f>
        <v>65</v>
      </c>
      <c r="B67" s="61" t="str">
        <f>Inicial!B67</f>
        <v>Desposte</v>
      </c>
      <c r="C67" s="61" t="str">
        <f>Inicial!C67</f>
        <v>Operario de producción Línea Pulpa Piernas</v>
      </c>
      <c r="D67" s="62" t="str">
        <f>Inicial!D67</f>
        <v>Extracción de pernil</v>
      </c>
      <c r="E67" s="60" t="str">
        <f>IF(Inicial!P67="SI",Inicial!E67,"N/A")</f>
        <v>N/A</v>
      </c>
      <c r="F67" s="61" t="str">
        <f>IF(Inicial!P67="SI",Inicial!F67,"N/A")</f>
        <v>N/A</v>
      </c>
      <c r="G67" s="61" t="str">
        <f>IF(Inicial!P67="SI",Inicial!G67,"N/A")</f>
        <v>N/A</v>
      </c>
      <c r="H67" s="61" t="str">
        <f>IF(Inicial!P67="SI",Inicial!H67,"N/A")</f>
        <v>N/A</v>
      </c>
      <c r="I67" s="72" t="str">
        <f>IF(Inicial!P67="SI",Inicial!I67,"N/A")</f>
        <v>N/A</v>
      </c>
      <c r="J67" s="84"/>
      <c r="K67" s="84"/>
      <c r="L67" s="84"/>
      <c r="M67" s="84"/>
      <c r="N67" s="84"/>
      <c r="O67" s="84"/>
      <c r="P67" s="84"/>
      <c r="Q67" s="84"/>
    </row>
    <row r="68" spans="1:18" ht="51" hidden="1">
      <c r="A68" s="60">
        <f>Inicial!A68</f>
        <v>66</v>
      </c>
      <c r="B68" s="61" t="str">
        <f>Inicial!B68</f>
        <v>Desposte</v>
      </c>
      <c r="C68" s="61" t="str">
        <f>Inicial!C68</f>
        <v>Operario de producción Línea Pulpa Piernas</v>
      </c>
      <c r="D68" s="62" t="str">
        <f>Inicial!D68</f>
        <v xml:space="preserve">Extracción Cazuela y cola </v>
      </c>
      <c r="E68" s="60" t="str">
        <f>IF(Inicial!P68="SI",Inicial!E68,"N/A")</f>
        <v>N/A</v>
      </c>
      <c r="F68" s="61" t="str">
        <f>IF(Inicial!P68="SI",Inicial!F68,"N/A")</f>
        <v>N/A</v>
      </c>
      <c r="G68" s="61" t="str">
        <f>IF(Inicial!P68="SI",Inicial!G68,"N/A")</f>
        <v>N/A</v>
      </c>
      <c r="H68" s="61" t="str">
        <f>IF(Inicial!P68="SI",Inicial!H68,"N/A")</f>
        <v>N/A</v>
      </c>
      <c r="I68" s="72" t="str">
        <f>IF(Inicial!P68="SI",Inicial!I68,"N/A")</f>
        <v>N/A</v>
      </c>
      <c r="J68" s="84"/>
      <c r="K68" s="84"/>
      <c r="L68" s="84"/>
      <c r="M68" s="84"/>
      <c r="N68" s="84"/>
      <c r="O68" s="84"/>
      <c r="P68" s="84"/>
      <c r="Q68" s="84"/>
    </row>
    <row r="69" spans="1:18" ht="51">
      <c r="A69" s="60">
        <f>Inicial!A69</f>
        <v>67</v>
      </c>
      <c r="B69" s="61" t="str">
        <f>Inicial!B69</f>
        <v>Desposte</v>
      </c>
      <c r="C69" s="61" t="str">
        <f>Inicial!C69</f>
        <v>Operario de producción Línea Pulpa Piernas</v>
      </c>
      <c r="D69" s="62" t="str">
        <f>Inicial!D69</f>
        <v>Prolijado de pierna</v>
      </c>
      <c r="E69" s="60" t="str">
        <f>IF(Inicial!P69="SI",Inicial!E69,"N/A")</f>
        <v>Am: 07:00 a 16:00 - PM: 17:15 a 02:45</v>
      </c>
      <c r="F69" s="61" t="str">
        <f>IF(Inicial!P69="SI",Inicial!F69,"N/A")</f>
        <v>0.5</v>
      </c>
      <c r="G69" s="61">
        <f>IF(Inicial!P69="SI",Inicial!G69,"N/A")</f>
        <v>4.5</v>
      </c>
      <c r="H69" s="61">
        <f>IF(Inicial!P69="SI",Inicial!H69,"N/A")</f>
        <v>92</v>
      </c>
      <c r="I69" s="72">
        <f>IF(Inicial!P69="SI",Inicial!I69,"N/A")</f>
        <v>0</v>
      </c>
      <c r="J69" s="84" t="s">
        <v>16</v>
      </c>
      <c r="K69" s="84" t="s">
        <v>16</v>
      </c>
      <c r="L69" s="84" t="s">
        <v>16</v>
      </c>
      <c r="M69" s="84" t="s">
        <v>16</v>
      </c>
      <c r="N69" s="84" t="s">
        <v>16</v>
      </c>
      <c r="O69" s="84" t="s">
        <v>16</v>
      </c>
      <c r="P69" s="84" t="s">
        <v>16</v>
      </c>
      <c r="Q69" s="84" t="s">
        <v>16</v>
      </c>
      <c r="R69" s="84" t="str" cm="1">
        <f t="array" ref="R69">IF(OR(J69:Q69="SI"),"No aceptable","Aceptable")</f>
        <v>Aceptable</v>
      </c>
    </row>
    <row r="70" spans="1:18" ht="51" hidden="1">
      <c r="A70" s="60">
        <f>Inicial!A70</f>
        <v>68</v>
      </c>
      <c r="B70" s="61" t="str">
        <f>Inicial!B70</f>
        <v>Desposte</v>
      </c>
      <c r="C70" s="61" t="str">
        <f>Inicial!C70</f>
        <v>Operario de producción Línea Pulpa Piernas</v>
      </c>
      <c r="D70" s="62" t="str">
        <f>Inicial!D70</f>
        <v>Deshuesado coxal</v>
      </c>
      <c r="E70" s="60" t="str">
        <f>IF(Inicial!P70="SI",Inicial!E70,"N/A")</f>
        <v>N/A</v>
      </c>
      <c r="F70" s="61" t="str">
        <f>IF(Inicial!P70="SI",Inicial!F70,"N/A")</f>
        <v>N/A</v>
      </c>
      <c r="G70" s="61" t="str">
        <f>IF(Inicial!P70="SI",Inicial!G70,"N/A")</f>
        <v>N/A</v>
      </c>
      <c r="H70" s="61" t="str">
        <f>IF(Inicial!P70="SI",Inicial!H70,"N/A")</f>
        <v>N/A</v>
      </c>
      <c r="I70" s="72" t="str">
        <f>IF(Inicial!P70="SI",Inicial!I70,"N/A")</f>
        <v>N/A</v>
      </c>
      <c r="J70" s="84"/>
      <c r="K70" s="84"/>
      <c r="L70" s="84"/>
      <c r="M70" s="84"/>
      <c r="N70" s="84"/>
      <c r="O70" s="84"/>
      <c r="P70" s="84"/>
      <c r="Q70" s="84"/>
    </row>
    <row r="71" spans="1:18" ht="51" hidden="1">
      <c r="A71" s="60">
        <f>Inicial!A71</f>
        <v>69</v>
      </c>
      <c r="B71" s="61" t="str">
        <f>Inicial!B71</f>
        <v>Desposte</v>
      </c>
      <c r="C71" s="61" t="str">
        <f>Inicial!C71</f>
        <v>Operario de producción Línea Pulpa Piernas</v>
      </c>
      <c r="D71" s="62" t="str">
        <f>Inicial!D71</f>
        <v>Deshuesado fémur</v>
      </c>
      <c r="E71" s="60" t="str">
        <f>IF(Inicial!P71="SI",Inicial!E71,"N/A")</f>
        <v>N/A</v>
      </c>
      <c r="F71" s="61" t="str">
        <f>IF(Inicial!P71="SI",Inicial!F71,"N/A")</f>
        <v>N/A</v>
      </c>
      <c r="G71" s="61" t="str">
        <f>IF(Inicial!P71="SI",Inicial!G71,"N/A")</f>
        <v>N/A</v>
      </c>
      <c r="H71" s="61" t="str">
        <f>IF(Inicial!P71="SI",Inicial!H71,"N/A")</f>
        <v>N/A</v>
      </c>
      <c r="I71" s="72" t="str">
        <f>IF(Inicial!P71="SI",Inicial!I71,"N/A")</f>
        <v>N/A</v>
      </c>
      <c r="J71" s="84"/>
      <c r="K71" s="84"/>
      <c r="L71" s="84"/>
      <c r="M71" s="84"/>
      <c r="N71" s="84"/>
      <c r="O71" s="84"/>
      <c r="P71" s="84"/>
      <c r="Q71" s="84"/>
    </row>
    <row r="72" spans="1:18" ht="51" hidden="1">
      <c r="A72" s="60">
        <f>Inicial!A72</f>
        <v>70</v>
      </c>
      <c r="B72" s="61" t="str">
        <f>Inicial!B72</f>
        <v>Desposte</v>
      </c>
      <c r="C72" s="61" t="str">
        <f>Inicial!C72</f>
        <v>Operario de producción Línea Pulpa Piernas</v>
      </c>
      <c r="D72" s="62" t="str">
        <f>Inicial!D72</f>
        <v>Prolijado de cartilago</v>
      </c>
      <c r="E72" s="60" t="str">
        <f>IF(Inicial!P72="SI",Inicial!E72,"N/A")</f>
        <v>N/A</v>
      </c>
      <c r="F72" s="61" t="str">
        <f>IF(Inicial!P72="SI",Inicial!F72,"N/A")</f>
        <v>N/A</v>
      </c>
      <c r="G72" s="61" t="str">
        <f>IF(Inicial!P72="SI",Inicial!G72,"N/A")</f>
        <v>N/A</v>
      </c>
      <c r="H72" s="61" t="str">
        <f>IF(Inicial!P72="SI",Inicial!H72,"N/A")</f>
        <v>N/A</v>
      </c>
      <c r="I72" s="72" t="str">
        <f>IF(Inicial!P72="SI",Inicial!I72,"N/A")</f>
        <v>N/A</v>
      </c>
      <c r="J72" s="84"/>
      <c r="K72" s="84"/>
      <c r="L72" s="84"/>
      <c r="M72" s="84"/>
      <c r="N72" s="84"/>
      <c r="O72" s="84"/>
      <c r="P72" s="84"/>
      <c r="Q72" s="84"/>
    </row>
    <row r="73" spans="1:18" ht="51" hidden="1">
      <c r="A73" s="60">
        <f>Inicial!A73</f>
        <v>71</v>
      </c>
      <c r="B73" s="61" t="str">
        <f>Inicial!B73</f>
        <v>Desposte</v>
      </c>
      <c r="C73" s="61" t="str">
        <f>Inicial!C73</f>
        <v>Operario de producción Línea Pulpa Piernas</v>
      </c>
      <c r="D73" s="62" t="str">
        <f>Inicial!D73</f>
        <v>Prolijado de pulpa</v>
      </c>
      <c r="E73" s="60" t="str">
        <f>IF(Inicial!P73="SI",Inicial!E73,"N/A")</f>
        <v>N/A</v>
      </c>
      <c r="F73" s="61" t="str">
        <f>IF(Inicial!P73="SI",Inicial!F73,"N/A")</f>
        <v>N/A</v>
      </c>
      <c r="G73" s="61" t="str">
        <f>IF(Inicial!P73="SI",Inicial!G73,"N/A")</f>
        <v>N/A</v>
      </c>
      <c r="H73" s="61" t="str">
        <f>IF(Inicial!P73="SI",Inicial!H73,"N/A")</f>
        <v>N/A</v>
      </c>
      <c r="I73" s="72" t="str">
        <f>IF(Inicial!P73="SI",Inicial!I73,"N/A")</f>
        <v>N/A</v>
      </c>
      <c r="J73" s="84"/>
      <c r="K73" s="84"/>
      <c r="L73" s="84"/>
      <c r="M73" s="84"/>
      <c r="N73" s="84"/>
      <c r="O73" s="84"/>
      <c r="P73" s="84"/>
      <c r="Q73" s="84"/>
    </row>
    <row r="74" spans="1:18" ht="51" hidden="1">
      <c r="A74" s="60">
        <f>Inicial!A74</f>
        <v>72</v>
      </c>
      <c r="B74" s="61" t="str">
        <f>Inicial!B74</f>
        <v>Desposte</v>
      </c>
      <c r="C74" s="61" t="str">
        <f>Inicial!C74</f>
        <v>Operario de producción Línea Pulpa Piernas</v>
      </c>
      <c r="D74" s="62" t="str">
        <f>Inicial!D74</f>
        <v>Extracción de posta rosada</v>
      </c>
      <c r="E74" s="60" t="str">
        <f>IF(Inicial!P74="SI",Inicial!E74,"N/A")</f>
        <v>N/A</v>
      </c>
      <c r="F74" s="61" t="str">
        <f>IF(Inicial!P74="SI",Inicial!F74,"N/A")</f>
        <v>N/A</v>
      </c>
      <c r="G74" s="61" t="str">
        <f>IF(Inicial!P74="SI",Inicial!G74,"N/A")</f>
        <v>N/A</v>
      </c>
      <c r="H74" s="61" t="str">
        <f>IF(Inicial!P74="SI",Inicial!H74,"N/A")</f>
        <v>N/A</v>
      </c>
      <c r="I74" s="72" t="str">
        <f>IF(Inicial!P74="SI",Inicial!I74,"N/A")</f>
        <v>N/A</v>
      </c>
      <c r="J74" s="84"/>
      <c r="K74" s="84"/>
      <c r="L74" s="84"/>
      <c r="M74" s="84"/>
      <c r="N74" s="84"/>
      <c r="O74" s="84"/>
      <c r="P74" s="84"/>
      <c r="Q74" s="84"/>
    </row>
    <row r="75" spans="1:18" ht="51" hidden="1">
      <c r="A75" s="60">
        <f>Inicial!A75</f>
        <v>73</v>
      </c>
      <c r="B75" s="61" t="str">
        <f>Inicial!B75</f>
        <v>Desposte</v>
      </c>
      <c r="C75" s="61" t="str">
        <f>Inicial!C75</f>
        <v>Operario de producción Línea Pulpa Piernas</v>
      </c>
      <c r="D75" s="62" t="str">
        <f>Inicial!D75</f>
        <v>Extracción de posta negra</v>
      </c>
      <c r="E75" s="60" t="str">
        <f>IF(Inicial!P75="SI",Inicial!E75,"N/A")</f>
        <v>N/A</v>
      </c>
      <c r="F75" s="61" t="str">
        <f>IF(Inicial!P75="SI",Inicial!F75,"N/A")</f>
        <v>N/A</v>
      </c>
      <c r="G75" s="61" t="str">
        <f>IF(Inicial!P75="SI",Inicial!G75,"N/A")</f>
        <v>N/A</v>
      </c>
      <c r="H75" s="61" t="str">
        <f>IF(Inicial!P75="SI",Inicial!H75,"N/A")</f>
        <v>N/A</v>
      </c>
      <c r="I75" s="72" t="str">
        <f>IF(Inicial!P75="SI",Inicial!I75,"N/A")</f>
        <v>N/A</v>
      </c>
      <c r="J75" s="84"/>
      <c r="K75" s="84"/>
      <c r="L75" s="84"/>
      <c r="M75" s="84"/>
      <c r="N75" s="84"/>
      <c r="O75" s="84"/>
      <c r="P75" s="84"/>
      <c r="Q75" s="84"/>
    </row>
    <row r="76" spans="1:18" ht="51" hidden="1">
      <c r="A76" s="60">
        <f>Inicial!A76</f>
        <v>74</v>
      </c>
      <c r="B76" s="61" t="str">
        <f>Inicial!B76</f>
        <v>Desposte</v>
      </c>
      <c r="C76" s="61" t="str">
        <f>Inicial!C76</f>
        <v>Operario de producción Línea Pulpa Piernas</v>
      </c>
      <c r="D76" s="62" t="str">
        <f>Inicial!D76</f>
        <v>Extracción de asiento</v>
      </c>
      <c r="E76" s="60" t="str">
        <f>IF(Inicial!P76="SI",Inicial!E76,"N/A")</f>
        <v>N/A</v>
      </c>
      <c r="F76" s="61" t="str">
        <f>IF(Inicial!P76="SI",Inicial!F76,"N/A")</f>
        <v>N/A</v>
      </c>
      <c r="G76" s="61" t="str">
        <f>IF(Inicial!P76="SI",Inicial!G76,"N/A")</f>
        <v>N/A</v>
      </c>
      <c r="H76" s="61" t="str">
        <f>IF(Inicial!P76="SI",Inicial!H76,"N/A")</f>
        <v>N/A</v>
      </c>
      <c r="I76" s="72" t="str">
        <f>IF(Inicial!P76="SI",Inicial!I76,"N/A")</f>
        <v>N/A</v>
      </c>
      <c r="J76" s="84"/>
      <c r="K76" s="84"/>
      <c r="L76" s="84"/>
      <c r="M76" s="84"/>
      <c r="N76" s="84"/>
      <c r="O76" s="84"/>
      <c r="P76" s="84"/>
      <c r="Q76" s="84"/>
    </row>
    <row r="77" spans="1:18" ht="51" hidden="1">
      <c r="A77" s="60">
        <f>Inicial!A77</f>
        <v>75</v>
      </c>
      <c r="B77" s="61" t="str">
        <f>Inicial!B77</f>
        <v>Desposte</v>
      </c>
      <c r="C77" s="61" t="str">
        <f>Inicial!C77</f>
        <v>Operario de producción Línea Pulpa Piernas</v>
      </c>
      <c r="D77" s="62" t="str">
        <f>Inicial!D77</f>
        <v xml:space="preserve">Extracción de abastero </v>
      </c>
      <c r="E77" s="60" t="str">
        <f>IF(Inicial!P77="SI",Inicial!E77,"N/A")</f>
        <v>N/A</v>
      </c>
      <c r="F77" s="61" t="str">
        <f>IF(Inicial!P77="SI",Inicial!F77,"N/A")</f>
        <v>N/A</v>
      </c>
      <c r="G77" s="61" t="str">
        <f>IF(Inicial!P77="SI",Inicial!G77,"N/A")</f>
        <v>N/A</v>
      </c>
      <c r="H77" s="61" t="str">
        <f>IF(Inicial!P77="SI",Inicial!H77,"N/A")</f>
        <v>N/A</v>
      </c>
      <c r="I77" s="72" t="str">
        <f>IF(Inicial!P77="SI",Inicial!I77,"N/A")</f>
        <v>N/A</v>
      </c>
      <c r="J77" s="84"/>
      <c r="K77" s="84"/>
      <c r="L77" s="84"/>
      <c r="M77" s="84"/>
      <c r="N77" s="84"/>
      <c r="O77" s="84"/>
      <c r="P77" s="84"/>
      <c r="Q77" s="84"/>
    </row>
    <row r="78" spans="1:18" ht="51" hidden="1">
      <c r="A78" s="60">
        <f>Inicial!A78</f>
        <v>76</v>
      </c>
      <c r="B78" s="61" t="str">
        <f>Inicial!B78</f>
        <v>Desposte</v>
      </c>
      <c r="C78" s="61" t="str">
        <f>Inicial!C78</f>
        <v>Operario de producción Línea Pulpa Piernas</v>
      </c>
      <c r="D78" s="62" t="str">
        <f>Inicial!D78</f>
        <v>Extracción de ganso</v>
      </c>
      <c r="E78" s="60" t="str">
        <f>IF(Inicial!P78="SI",Inicial!E78,"N/A")</f>
        <v>N/A</v>
      </c>
      <c r="F78" s="61" t="str">
        <f>IF(Inicial!P78="SI",Inicial!F78,"N/A")</f>
        <v>N/A</v>
      </c>
      <c r="G78" s="61" t="str">
        <f>IF(Inicial!P78="SI",Inicial!G78,"N/A")</f>
        <v>N/A</v>
      </c>
      <c r="H78" s="61" t="str">
        <f>IF(Inicial!P78="SI",Inicial!H78,"N/A")</f>
        <v>N/A</v>
      </c>
      <c r="I78" s="72" t="str">
        <f>IF(Inicial!P78="SI",Inicial!I78,"N/A")</f>
        <v>N/A</v>
      </c>
      <c r="J78" s="84"/>
      <c r="K78" s="84"/>
      <c r="L78" s="84"/>
      <c r="M78" s="84"/>
      <c r="N78" s="84"/>
      <c r="O78" s="84"/>
      <c r="P78" s="84"/>
      <c r="Q78" s="84"/>
    </row>
    <row r="79" spans="1:18" ht="51" hidden="1">
      <c r="A79" s="60">
        <f>Inicial!A79</f>
        <v>77</v>
      </c>
      <c r="B79" s="61" t="str">
        <f>Inicial!B79</f>
        <v>Desposte</v>
      </c>
      <c r="C79" s="61" t="str">
        <f>Inicial!C79</f>
        <v>Operario de producción Línea Pulpa Piernas</v>
      </c>
      <c r="D79" s="62" t="str">
        <f>Inicial!D79</f>
        <v>Operador desmenbranadora</v>
      </c>
      <c r="E79" s="60" t="str">
        <f>IF(Inicial!P79="SI",Inicial!E79,"N/A")</f>
        <v>N/A</v>
      </c>
      <c r="F79" s="61" t="str">
        <f>IF(Inicial!P79="SI",Inicial!F79,"N/A")</f>
        <v>N/A</v>
      </c>
      <c r="G79" s="61" t="str">
        <f>IF(Inicial!P79="SI",Inicial!G79,"N/A")</f>
        <v>N/A</v>
      </c>
      <c r="H79" s="61" t="str">
        <f>IF(Inicial!P79="SI",Inicial!H79,"N/A")</f>
        <v>N/A</v>
      </c>
      <c r="I79" s="72" t="str">
        <f>IF(Inicial!P79="SI",Inicial!I79,"N/A")</f>
        <v>N/A</v>
      </c>
      <c r="J79" s="84"/>
      <c r="K79" s="84"/>
      <c r="L79" s="84"/>
      <c r="M79" s="84"/>
      <c r="N79" s="84"/>
      <c r="O79" s="84"/>
      <c r="P79" s="84"/>
      <c r="Q79" s="84"/>
    </row>
    <row r="80" spans="1:18" ht="51" hidden="1">
      <c r="A80" s="60">
        <f>Inicial!A80</f>
        <v>78</v>
      </c>
      <c r="B80" s="61" t="str">
        <f>Inicial!B80</f>
        <v>Desposte</v>
      </c>
      <c r="C80" s="61" t="str">
        <f>Inicial!C80</f>
        <v>Operario de producción Línea Pulpa Piernas</v>
      </c>
      <c r="D80" s="62" t="str">
        <f>Inicial!D80</f>
        <v xml:space="preserve">Embalaje </v>
      </c>
      <c r="E80" s="60" t="str">
        <f>IF(Inicial!P80="SI",Inicial!E80,"N/A")</f>
        <v>N/A</v>
      </c>
      <c r="F80" s="61" t="str">
        <f>IF(Inicial!P80="SI",Inicial!F80,"N/A")</f>
        <v>N/A</v>
      </c>
      <c r="G80" s="61" t="str">
        <f>IF(Inicial!P80="SI",Inicial!G80,"N/A")</f>
        <v>N/A</v>
      </c>
      <c r="H80" s="61" t="str">
        <f>IF(Inicial!P80="SI",Inicial!H80,"N/A")</f>
        <v>N/A</v>
      </c>
      <c r="I80" s="72" t="str">
        <f>IF(Inicial!P80="SI",Inicial!I80,"N/A")</f>
        <v>N/A</v>
      </c>
      <c r="J80" s="84"/>
      <c r="K80" s="84"/>
      <c r="L80" s="84"/>
      <c r="M80" s="84"/>
      <c r="N80" s="84"/>
      <c r="O80" s="84"/>
      <c r="P80" s="84"/>
      <c r="Q80" s="84"/>
    </row>
    <row r="81" spans="1:17" ht="51" hidden="1">
      <c r="A81" s="60">
        <f>Inicial!A81</f>
        <v>79</v>
      </c>
      <c r="B81" s="61" t="str">
        <f>Inicial!B81</f>
        <v>Desposte</v>
      </c>
      <c r="C81" s="61" t="str">
        <f>Inicial!C81</f>
        <v>Operario de producción Línea Pulpa Piernas</v>
      </c>
      <c r="D81" s="62" t="str">
        <f>Inicial!D81</f>
        <v>Prolijado de Cueros</v>
      </c>
      <c r="E81" s="60" t="str">
        <f>IF(Inicial!P81="SI",Inicial!E81,"N/A")</f>
        <v>N/A</v>
      </c>
      <c r="F81" s="61" t="str">
        <f>IF(Inicial!P81="SI",Inicial!F81,"N/A")</f>
        <v>N/A</v>
      </c>
      <c r="G81" s="61" t="str">
        <f>IF(Inicial!P81="SI",Inicial!G81,"N/A")</f>
        <v>N/A</v>
      </c>
      <c r="H81" s="61" t="str">
        <f>IF(Inicial!P81="SI",Inicial!H81,"N/A")</f>
        <v>N/A</v>
      </c>
      <c r="I81" s="72" t="str">
        <f>IF(Inicial!P81="SI",Inicial!I81,"N/A")</f>
        <v>N/A</v>
      </c>
      <c r="J81" s="84"/>
      <c r="K81" s="84"/>
      <c r="L81" s="84"/>
      <c r="M81" s="84"/>
      <c r="N81" s="84"/>
      <c r="O81" s="84"/>
      <c r="P81" s="84"/>
      <c r="Q81" s="84"/>
    </row>
    <row r="82" spans="1:17" ht="51" hidden="1">
      <c r="A82" s="60">
        <f>Inicial!A82</f>
        <v>80</v>
      </c>
      <c r="B82" s="61" t="str">
        <f>Inicial!B82</f>
        <v>Desposte</v>
      </c>
      <c r="C82" s="61" t="str">
        <f>Inicial!C82</f>
        <v>Operario de producción Línea Pulpa Piernas</v>
      </c>
      <c r="D82" s="62" t="str">
        <f>Inicial!D82</f>
        <v>Operador descueradora</v>
      </c>
      <c r="E82" s="60" t="str">
        <f>IF(Inicial!P82="SI",Inicial!E82,"N/A")</f>
        <v>N/A</v>
      </c>
      <c r="F82" s="61" t="str">
        <f>IF(Inicial!P82="SI",Inicial!F82,"N/A")</f>
        <v>N/A</v>
      </c>
      <c r="G82" s="61" t="str">
        <f>IF(Inicial!P82="SI",Inicial!G82,"N/A")</f>
        <v>N/A</v>
      </c>
      <c r="H82" s="61" t="str">
        <f>IF(Inicial!P82="SI",Inicial!H82,"N/A")</f>
        <v>N/A</v>
      </c>
      <c r="I82" s="72" t="str">
        <f>IF(Inicial!P82="SI",Inicial!I82,"N/A")</f>
        <v>N/A</v>
      </c>
      <c r="J82" s="84"/>
      <c r="K82" s="84"/>
      <c r="L82" s="84"/>
      <c r="M82" s="84"/>
      <c r="N82" s="84"/>
      <c r="O82" s="84"/>
      <c r="P82" s="84"/>
      <c r="Q82" s="84"/>
    </row>
    <row r="83" spans="1:17" ht="51" hidden="1">
      <c r="A83" s="60">
        <f>Inicial!A83</f>
        <v>81</v>
      </c>
      <c r="B83" s="61" t="str">
        <f>Inicial!B83</f>
        <v>Desposte</v>
      </c>
      <c r="C83" s="61" t="str">
        <f>Inicial!C83</f>
        <v>Operario de producción Línea Embolsado</v>
      </c>
      <c r="D83" s="62" t="str">
        <f>Inicial!D83</f>
        <v>Revision de pancetas robot</v>
      </c>
      <c r="E83" s="60" t="str">
        <f>IF(Inicial!P83="SI",Inicial!E83,"N/A")</f>
        <v>N/A</v>
      </c>
      <c r="F83" s="61" t="str">
        <f>IF(Inicial!P83="SI",Inicial!F83,"N/A")</f>
        <v>N/A</v>
      </c>
      <c r="G83" s="61" t="str">
        <f>IF(Inicial!P83="SI",Inicial!G83,"N/A")</f>
        <v>N/A</v>
      </c>
      <c r="H83" s="61" t="str">
        <f>IF(Inicial!P83="SI",Inicial!H83,"N/A")</f>
        <v>N/A</v>
      </c>
      <c r="I83" s="72" t="str">
        <f>IF(Inicial!P83="SI",Inicial!I83,"N/A")</f>
        <v>N/A</v>
      </c>
      <c r="J83" s="84"/>
      <c r="K83" s="84"/>
      <c r="L83" s="84"/>
      <c r="M83" s="84"/>
      <c r="N83" s="84"/>
      <c r="O83" s="84"/>
      <c r="P83" s="84"/>
      <c r="Q83" s="84"/>
    </row>
    <row r="84" spans="1:17" ht="51" hidden="1">
      <c r="A84" s="60">
        <f>Inicial!A84</f>
        <v>82</v>
      </c>
      <c r="B84" s="61" t="str">
        <f>Inicial!B84</f>
        <v>Desposte</v>
      </c>
      <c r="C84" s="61" t="str">
        <f>Inicial!C84</f>
        <v>Operario de producción Línea Embolsado</v>
      </c>
      <c r="D84" s="62" t="str">
        <f>Inicial!D84</f>
        <v>Operador de robot</v>
      </c>
      <c r="E84" s="60" t="str">
        <f>IF(Inicial!P84="SI",Inicial!E84,"N/A")</f>
        <v>N/A</v>
      </c>
      <c r="F84" s="61" t="str">
        <f>IF(Inicial!P84="SI",Inicial!F84,"N/A")</f>
        <v>N/A</v>
      </c>
      <c r="G84" s="61" t="str">
        <f>IF(Inicial!P84="SI",Inicial!G84,"N/A")</f>
        <v>N/A</v>
      </c>
      <c r="H84" s="61" t="str">
        <f>IF(Inicial!P84="SI",Inicial!H84,"N/A")</f>
        <v>N/A</v>
      </c>
      <c r="I84" s="72" t="str">
        <f>IF(Inicial!P84="SI",Inicial!I84,"N/A")</f>
        <v>N/A</v>
      </c>
      <c r="J84" s="84"/>
      <c r="K84" s="84"/>
      <c r="L84" s="84"/>
      <c r="M84" s="84"/>
      <c r="N84" s="84"/>
      <c r="O84" s="84"/>
      <c r="P84" s="84"/>
      <c r="Q84" s="84"/>
    </row>
    <row r="85" spans="1:17" ht="51" hidden="1">
      <c r="A85" s="60">
        <f>Inicial!A85</f>
        <v>83</v>
      </c>
      <c r="B85" s="61" t="str">
        <f>Inicial!B85</f>
        <v>Desposte</v>
      </c>
      <c r="C85" s="61" t="str">
        <f>Inicial!C85</f>
        <v>Operario de producción Línea Embolsado</v>
      </c>
      <c r="D85" s="62" t="str">
        <f>Inicial!D85</f>
        <v>Operador de rotativa</v>
      </c>
      <c r="E85" s="60" t="str">
        <f>IF(Inicial!P85="SI",Inicial!E85,"N/A")</f>
        <v>N/A</v>
      </c>
      <c r="F85" s="61" t="str">
        <f>IF(Inicial!P85="SI",Inicial!F85,"N/A")</f>
        <v>N/A</v>
      </c>
      <c r="G85" s="61" t="str">
        <f>IF(Inicial!P85="SI",Inicial!G85,"N/A")</f>
        <v>N/A</v>
      </c>
      <c r="H85" s="61" t="str">
        <f>IF(Inicial!P85="SI",Inicial!H85,"N/A")</f>
        <v>N/A</v>
      </c>
      <c r="I85" s="72" t="str">
        <f>IF(Inicial!P85="SI",Inicial!I85,"N/A")</f>
        <v>N/A</v>
      </c>
      <c r="J85" s="84"/>
      <c r="K85" s="84"/>
      <c r="L85" s="84"/>
      <c r="M85" s="84"/>
      <c r="N85" s="84"/>
      <c r="O85" s="84"/>
      <c r="P85" s="84"/>
      <c r="Q85" s="84"/>
    </row>
    <row r="86" spans="1:17" ht="51" hidden="1">
      <c r="A86" s="60">
        <f>Inicial!A86</f>
        <v>84</v>
      </c>
      <c r="B86" s="61" t="str">
        <f>Inicial!B86</f>
        <v>Desposte</v>
      </c>
      <c r="C86" s="61" t="str">
        <f>Inicial!C86</f>
        <v>Operario de producción Línea Embolsado</v>
      </c>
      <c r="D86" s="62" t="str">
        <f>Inicial!D86</f>
        <v>Traspaso de productos</v>
      </c>
      <c r="E86" s="60" t="str">
        <f>IF(Inicial!P86="SI",Inicial!E86,"N/A")</f>
        <v>N/A</v>
      </c>
      <c r="F86" s="61" t="str">
        <f>IF(Inicial!P86="SI",Inicial!F86,"N/A")</f>
        <v>N/A</v>
      </c>
      <c r="G86" s="61" t="str">
        <f>IF(Inicial!P86="SI",Inicial!G86,"N/A")</f>
        <v>N/A</v>
      </c>
      <c r="H86" s="61" t="str">
        <f>IF(Inicial!P86="SI",Inicial!H86,"N/A")</f>
        <v>N/A</v>
      </c>
      <c r="I86" s="72" t="str">
        <f>IF(Inicial!P86="SI",Inicial!I86,"N/A")</f>
        <v>N/A</v>
      </c>
      <c r="J86" s="84"/>
      <c r="K86" s="84"/>
      <c r="L86" s="84"/>
      <c r="M86" s="84"/>
      <c r="N86" s="84"/>
      <c r="O86" s="84"/>
      <c r="P86" s="84"/>
      <c r="Q86" s="84"/>
    </row>
    <row r="87" spans="1:17" ht="51" hidden="1">
      <c r="A87" s="60">
        <f>Inicial!A87</f>
        <v>85</v>
      </c>
      <c r="B87" s="61" t="str">
        <f>Inicial!B87</f>
        <v>Desposte</v>
      </c>
      <c r="C87" s="61" t="str">
        <f>Inicial!C87</f>
        <v>Operario de producción Línea Embolsado</v>
      </c>
      <c r="D87" s="62" t="str">
        <f>Inicial!D87</f>
        <v>Operador Rayos X</v>
      </c>
      <c r="E87" s="60" t="str">
        <f>IF(Inicial!P87="SI",Inicial!E87,"N/A")</f>
        <v>N/A</v>
      </c>
      <c r="F87" s="61" t="str">
        <f>IF(Inicial!P87="SI",Inicial!F87,"N/A")</f>
        <v>N/A</v>
      </c>
      <c r="G87" s="61" t="str">
        <f>IF(Inicial!P87="SI",Inicial!G87,"N/A")</f>
        <v>N/A</v>
      </c>
      <c r="H87" s="61" t="str">
        <f>IF(Inicial!P87="SI",Inicial!H87,"N/A")</f>
        <v>N/A</v>
      </c>
      <c r="I87" s="72" t="str">
        <f>IF(Inicial!P87="SI",Inicial!I87,"N/A")</f>
        <v>N/A</v>
      </c>
      <c r="J87" s="84"/>
      <c r="K87" s="84"/>
      <c r="L87" s="84"/>
      <c r="M87" s="84"/>
      <c r="N87" s="84"/>
      <c r="O87" s="84"/>
      <c r="P87" s="84"/>
      <c r="Q87" s="84"/>
    </row>
    <row r="88" spans="1:17" ht="51" hidden="1">
      <c r="A88" s="60">
        <f>Inicial!A88</f>
        <v>86</v>
      </c>
      <c r="B88" s="61" t="str">
        <f>Inicial!B88</f>
        <v>Desposte</v>
      </c>
      <c r="C88" s="61" t="str">
        <f>Inicial!C88</f>
        <v>Operario de producción Línea Embolsado</v>
      </c>
      <c r="D88" s="62" t="str">
        <f>Inicial!D88</f>
        <v>Termoformadora</v>
      </c>
      <c r="E88" s="60" t="str">
        <f>IF(Inicial!P88="SI",Inicial!E88,"N/A")</f>
        <v>N/A</v>
      </c>
      <c r="F88" s="61" t="str">
        <f>IF(Inicial!P88="SI",Inicial!F88,"N/A")</f>
        <v>N/A</v>
      </c>
      <c r="G88" s="61" t="str">
        <f>IF(Inicial!P88="SI",Inicial!G88,"N/A")</f>
        <v>N/A</v>
      </c>
      <c r="H88" s="61" t="str">
        <f>IF(Inicial!P88="SI",Inicial!H88,"N/A")</f>
        <v>N/A</v>
      </c>
      <c r="I88" s="72" t="str">
        <f>IF(Inicial!P88="SI",Inicial!I88,"N/A")</f>
        <v>N/A</v>
      </c>
      <c r="J88" s="84"/>
      <c r="K88" s="84"/>
      <c r="L88" s="84"/>
      <c r="M88" s="84"/>
      <c r="N88" s="84"/>
      <c r="O88" s="84"/>
      <c r="P88" s="84"/>
      <c r="Q88" s="84"/>
    </row>
    <row r="89" spans="1:17" ht="51" hidden="1">
      <c r="A89" s="60">
        <f>Inicial!A89</f>
        <v>87</v>
      </c>
      <c r="B89" s="61" t="str">
        <f>Inicial!B89</f>
        <v>Desposte</v>
      </c>
      <c r="C89" s="61" t="str">
        <f>Inicial!C89</f>
        <v>Operario de producción Línea Embolsado</v>
      </c>
      <c r="D89" s="62" t="str">
        <f>Inicial!D89</f>
        <v>Revision de pancetas termoformadora</v>
      </c>
      <c r="E89" s="60" t="str">
        <f>IF(Inicial!P89="SI",Inicial!E89,"N/A")</f>
        <v>N/A</v>
      </c>
      <c r="F89" s="61" t="str">
        <f>IF(Inicial!P89="SI",Inicial!F89,"N/A")</f>
        <v>N/A</v>
      </c>
      <c r="G89" s="61" t="str">
        <f>IF(Inicial!P89="SI",Inicial!G89,"N/A")</f>
        <v>N/A</v>
      </c>
      <c r="H89" s="61" t="str">
        <f>IF(Inicial!P89="SI",Inicial!H89,"N/A")</f>
        <v>N/A</v>
      </c>
      <c r="I89" s="72" t="str">
        <f>IF(Inicial!P89="SI",Inicial!I89,"N/A")</f>
        <v>N/A</v>
      </c>
      <c r="J89" s="84"/>
      <c r="K89" s="84"/>
      <c r="L89" s="84"/>
      <c r="M89" s="84"/>
      <c r="N89" s="84"/>
      <c r="O89" s="84"/>
      <c r="P89" s="84"/>
      <c r="Q89" s="84"/>
    </row>
    <row r="90" spans="1:17" ht="51" hidden="1">
      <c r="A90" s="60">
        <f>Inicial!A90</f>
        <v>88</v>
      </c>
      <c r="B90" s="61" t="str">
        <f>Inicial!B90</f>
        <v>Desposte</v>
      </c>
      <c r="C90" s="61" t="str">
        <f>Inicial!C90</f>
        <v>Operario de producción Línea Embolsado</v>
      </c>
      <c r="D90" s="62" t="str">
        <f>Inicial!D90</f>
        <v>Embolsado lomo mm loin</v>
      </c>
      <c r="E90" s="60" t="str">
        <f>IF(Inicial!P90="SI",Inicial!E90,"N/A")</f>
        <v>N/A</v>
      </c>
      <c r="F90" s="61" t="str">
        <f>IF(Inicial!P90="SI",Inicial!F90,"N/A")</f>
        <v>N/A</v>
      </c>
      <c r="G90" s="61" t="str">
        <f>IF(Inicial!P90="SI",Inicial!G90,"N/A")</f>
        <v>N/A</v>
      </c>
      <c r="H90" s="61" t="str">
        <f>IF(Inicial!P90="SI",Inicial!H90,"N/A")</f>
        <v>N/A</v>
      </c>
      <c r="I90" s="72" t="str">
        <f>IF(Inicial!P90="SI",Inicial!I90,"N/A")</f>
        <v>N/A</v>
      </c>
      <c r="J90" s="84"/>
      <c r="K90" s="84"/>
      <c r="L90" s="84"/>
      <c r="M90" s="84"/>
      <c r="N90" s="84"/>
      <c r="O90" s="84"/>
      <c r="P90" s="84"/>
      <c r="Q90" s="84"/>
    </row>
    <row r="91" spans="1:17" ht="51" hidden="1">
      <c r="A91" s="60">
        <f>Inicial!A91</f>
        <v>89</v>
      </c>
      <c r="B91" s="61" t="str">
        <f>Inicial!B91</f>
        <v>Desposte</v>
      </c>
      <c r="C91" s="61" t="str">
        <f>Inicial!C91</f>
        <v>Operario de producción Línea Embolsado</v>
      </c>
      <c r="D91" s="62" t="str">
        <f>Inicial!D91</f>
        <v>Embolsado  lomo  vetado</v>
      </c>
      <c r="E91" s="60" t="str">
        <f>IF(Inicial!P91="SI",Inicial!E91,"N/A")</f>
        <v>N/A</v>
      </c>
      <c r="F91" s="61" t="str">
        <f>IF(Inicial!P91="SI",Inicial!F91,"N/A")</f>
        <v>N/A</v>
      </c>
      <c r="G91" s="61" t="str">
        <f>IF(Inicial!P91="SI",Inicial!G91,"N/A")</f>
        <v>N/A</v>
      </c>
      <c r="H91" s="61" t="str">
        <f>IF(Inicial!P91="SI",Inicial!H91,"N/A")</f>
        <v>N/A</v>
      </c>
      <c r="I91" s="72" t="str">
        <f>IF(Inicial!P91="SI",Inicial!I91,"N/A")</f>
        <v>N/A</v>
      </c>
      <c r="J91" s="84"/>
      <c r="K91" s="84"/>
      <c r="L91" s="84"/>
      <c r="M91" s="84"/>
      <c r="N91" s="84"/>
      <c r="O91" s="84"/>
      <c r="P91" s="84"/>
      <c r="Q91" s="84"/>
    </row>
    <row r="92" spans="1:17" ht="51" hidden="1">
      <c r="A92" s="60">
        <f>Inicial!A92</f>
        <v>90</v>
      </c>
      <c r="B92" s="61" t="str">
        <f>Inicial!B92</f>
        <v>Desposte</v>
      </c>
      <c r="C92" s="61" t="str">
        <f>Inicial!C92</f>
        <v>Operario de producción Línea Embolsado</v>
      </c>
      <c r="D92" s="62" t="str">
        <f>Inicial!D92</f>
        <v>Embolsado de pancetas</v>
      </c>
      <c r="E92" s="60" t="str">
        <f>IF(Inicial!P92="SI",Inicial!E92,"N/A")</f>
        <v>N/A</v>
      </c>
      <c r="F92" s="61" t="str">
        <f>IF(Inicial!P92="SI",Inicial!F92,"N/A")</f>
        <v>N/A</v>
      </c>
      <c r="G92" s="61" t="str">
        <f>IF(Inicial!P92="SI",Inicial!G92,"N/A")</f>
        <v>N/A</v>
      </c>
      <c r="H92" s="61" t="str">
        <f>IF(Inicial!P92="SI",Inicial!H92,"N/A")</f>
        <v>N/A</v>
      </c>
      <c r="I92" s="72" t="str">
        <f>IF(Inicial!P92="SI",Inicial!I92,"N/A")</f>
        <v>N/A</v>
      </c>
      <c r="J92" s="84"/>
      <c r="K92" s="84"/>
      <c r="L92" s="84"/>
      <c r="M92" s="84"/>
      <c r="N92" s="84"/>
      <c r="O92" s="84"/>
      <c r="P92" s="84"/>
      <c r="Q92" s="84"/>
    </row>
    <row r="93" spans="1:17" ht="51" hidden="1">
      <c r="A93" s="60">
        <f>Inicial!A93</f>
        <v>91</v>
      </c>
      <c r="B93" s="61" t="str">
        <f>Inicial!B93</f>
        <v>Desposte</v>
      </c>
      <c r="C93" s="61" t="str">
        <f>Inicial!C93</f>
        <v>Operario de producción Línea Embolsado</v>
      </c>
      <c r="D93" s="62" t="str">
        <f>Inicial!D93</f>
        <v>Embolsado de lomo tecla</v>
      </c>
      <c r="E93" s="60" t="str">
        <f>IF(Inicial!P93="SI",Inicial!E93,"N/A")</f>
        <v>N/A</v>
      </c>
      <c r="F93" s="61" t="str">
        <f>IF(Inicial!P93="SI",Inicial!F93,"N/A")</f>
        <v>N/A</v>
      </c>
      <c r="G93" s="61" t="str">
        <f>IF(Inicial!P93="SI",Inicial!G93,"N/A")</f>
        <v>N/A</v>
      </c>
      <c r="H93" s="61" t="str">
        <f>IF(Inicial!P93="SI",Inicial!H93,"N/A")</f>
        <v>N/A</v>
      </c>
      <c r="I93" s="72" t="str">
        <f>IF(Inicial!P93="SI",Inicial!I93,"N/A")</f>
        <v>N/A</v>
      </c>
      <c r="J93" s="84"/>
      <c r="K93" s="84"/>
      <c r="L93" s="84"/>
      <c r="M93" s="84"/>
      <c r="N93" s="84"/>
      <c r="O93" s="84"/>
      <c r="P93" s="84"/>
      <c r="Q93" s="84"/>
    </row>
    <row r="94" spans="1:17" ht="51" hidden="1">
      <c r="A94" s="60">
        <f>Inicial!A94</f>
        <v>92</v>
      </c>
      <c r="B94" s="61" t="str">
        <f>Inicial!B94</f>
        <v>Desposte</v>
      </c>
      <c r="C94" s="61" t="str">
        <f>Inicial!C94</f>
        <v>Operario de producción Línea Embolsado</v>
      </c>
      <c r="D94" s="62" t="str">
        <f>Inicial!D94</f>
        <v>Reproceso</v>
      </c>
      <c r="E94" s="60" t="str">
        <f>IF(Inicial!P94="SI",Inicial!E94,"N/A")</f>
        <v>N/A</v>
      </c>
      <c r="F94" s="61" t="str">
        <f>IF(Inicial!P94="SI",Inicial!F94,"N/A")</f>
        <v>N/A</v>
      </c>
      <c r="G94" s="61" t="str">
        <f>IF(Inicial!P94="SI",Inicial!G94,"N/A")</f>
        <v>N/A</v>
      </c>
      <c r="H94" s="61" t="str">
        <f>IF(Inicial!P94="SI",Inicial!H94,"N/A")</f>
        <v>N/A</v>
      </c>
      <c r="I94" s="72" t="str">
        <f>IF(Inicial!P94="SI",Inicial!I94,"N/A")</f>
        <v>N/A</v>
      </c>
      <c r="J94" s="84"/>
      <c r="K94" s="84"/>
      <c r="L94" s="84"/>
      <c r="M94" s="84"/>
      <c r="N94" s="84"/>
      <c r="O94" s="84"/>
      <c r="P94" s="84"/>
      <c r="Q94" s="84"/>
    </row>
    <row r="95" spans="1:17" ht="38.25" hidden="1">
      <c r="A95" s="60">
        <f>Inicial!A95</f>
        <v>93</v>
      </c>
      <c r="B95" s="61" t="str">
        <f>Inicial!B95</f>
        <v>Desposte</v>
      </c>
      <c r="C95" s="61" t="str">
        <f>Inicial!C95</f>
        <v>Operario de producción Línea Pancetas</v>
      </c>
      <c r="D95" s="62" t="str">
        <f>Inicial!D95</f>
        <v>Operador de descueradora automatica (ABT)</v>
      </c>
      <c r="E95" s="60" t="str">
        <f>IF(Inicial!P95="SI",Inicial!E95,"N/A")</f>
        <v>N/A</v>
      </c>
      <c r="F95" s="61" t="str">
        <f>IF(Inicial!P95="SI",Inicial!F95,"N/A")</f>
        <v>N/A</v>
      </c>
      <c r="G95" s="61" t="str">
        <f>IF(Inicial!P95="SI",Inicial!G95,"N/A")</f>
        <v>N/A</v>
      </c>
      <c r="H95" s="61" t="str">
        <f>IF(Inicial!P95="SI",Inicial!H95,"N/A")</f>
        <v>N/A</v>
      </c>
      <c r="I95" s="72" t="str">
        <f>IF(Inicial!P95="SI",Inicial!I95,"N/A")</f>
        <v>N/A</v>
      </c>
      <c r="J95" s="84"/>
      <c r="K95" s="84"/>
      <c r="L95" s="84"/>
      <c r="M95" s="84"/>
      <c r="N95" s="84"/>
      <c r="O95" s="84"/>
      <c r="P95" s="84"/>
      <c r="Q95" s="84"/>
    </row>
    <row r="96" spans="1:17" ht="38.25" hidden="1">
      <c r="A96" s="60">
        <f>Inicial!A96</f>
        <v>94</v>
      </c>
      <c r="B96" s="61" t="str">
        <f>Inicial!B96</f>
        <v>Desposte</v>
      </c>
      <c r="C96" s="61" t="str">
        <f>Inicial!C96</f>
        <v>Operario de producción Línea Pancetas</v>
      </c>
      <c r="D96" s="62" t="str">
        <f>Inicial!D96</f>
        <v>Acomodador de pancetas</v>
      </c>
      <c r="E96" s="60" t="str">
        <f>IF(Inicial!P96="SI",Inicial!E96,"N/A")</f>
        <v>N/A</v>
      </c>
      <c r="F96" s="61" t="str">
        <f>IF(Inicial!P96="SI",Inicial!F96,"N/A")</f>
        <v>N/A</v>
      </c>
      <c r="G96" s="61" t="str">
        <f>IF(Inicial!P96="SI",Inicial!G96,"N/A")</f>
        <v>N/A</v>
      </c>
      <c r="H96" s="61" t="str">
        <f>IF(Inicial!P96="SI",Inicial!H96,"N/A")</f>
        <v>N/A</v>
      </c>
      <c r="I96" s="72" t="str">
        <f>IF(Inicial!P96="SI",Inicial!I96,"N/A")</f>
        <v>N/A</v>
      </c>
      <c r="J96" s="84"/>
      <c r="K96" s="84"/>
      <c r="L96" s="84"/>
      <c r="M96" s="84"/>
      <c r="N96" s="84"/>
      <c r="O96" s="84"/>
      <c r="P96" s="84"/>
      <c r="Q96" s="84"/>
    </row>
    <row r="97" spans="1:18" ht="38.25" hidden="1">
      <c r="A97" s="60">
        <f>Inicial!A97</f>
        <v>95</v>
      </c>
      <c r="B97" s="61" t="str">
        <f>Inicial!B97</f>
        <v>Desposte</v>
      </c>
      <c r="C97" s="61" t="str">
        <f>Inicial!C97</f>
        <v>Operario de producción Línea Pancetas</v>
      </c>
      <c r="D97" s="62" t="str">
        <f>Inicial!D97</f>
        <v xml:space="preserve">Separación de recortes falda y laterales </v>
      </c>
      <c r="E97" s="60" t="str">
        <f>IF(Inicial!P97="SI",Inicial!E97,"N/A")</f>
        <v>N/A</v>
      </c>
      <c r="F97" s="61" t="str">
        <f>IF(Inicial!P97="SI",Inicial!F97,"N/A")</f>
        <v>N/A</v>
      </c>
      <c r="G97" s="61" t="str">
        <f>IF(Inicial!P97="SI",Inicial!G97,"N/A")</f>
        <v>N/A</v>
      </c>
      <c r="H97" s="61" t="str">
        <f>IF(Inicial!P97="SI",Inicial!H97,"N/A")</f>
        <v>N/A</v>
      </c>
      <c r="I97" s="72" t="str">
        <f>IF(Inicial!P97="SI",Inicial!I97,"N/A")</f>
        <v>N/A</v>
      </c>
      <c r="J97" s="84"/>
      <c r="K97" s="84"/>
      <c r="L97" s="84"/>
      <c r="M97" s="84"/>
      <c r="N97" s="84"/>
      <c r="O97" s="84"/>
      <c r="P97" s="84"/>
      <c r="Q97" s="84"/>
    </row>
    <row r="98" spans="1:18" ht="38.25" hidden="1">
      <c r="A98" s="60">
        <f>Inicial!A98</f>
        <v>96</v>
      </c>
      <c r="B98" s="61" t="str">
        <f>Inicial!B98</f>
        <v>Desposte</v>
      </c>
      <c r="C98" s="61" t="str">
        <f>Inicial!C98</f>
        <v>Operario de producción Línea Pancetas</v>
      </c>
      <c r="D98" s="62" t="str">
        <f>Inicial!D98</f>
        <v>Prolijado de Cueros</v>
      </c>
      <c r="E98" s="60" t="str">
        <f>IF(Inicial!P98="SI",Inicial!E98,"N/A")</f>
        <v>N/A</v>
      </c>
      <c r="F98" s="61" t="str">
        <f>IF(Inicial!P98="SI",Inicial!F98,"N/A")</f>
        <v>N/A</v>
      </c>
      <c r="G98" s="61" t="str">
        <f>IF(Inicial!P98="SI",Inicial!G98,"N/A")</f>
        <v>N/A</v>
      </c>
      <c r="H98" s="61" t="str">
        <f>IF(Inicial!P98="SI",Inicial!H98,"N/A")</f>
        <v>N/A</v>
      </c>
      <c r="I98" s="72" t="str">
        <f>IF(Inicial!P98="SI",Inicial!I98,"N/A")</f>
        <v>N/A</v>
      </c>
      <c r="J98" s="84"/>
      <c r="K98" s="84"/>
      <c r="L98" s="84"/>
      <c r="M98" s="84"/>
      <c r="N98" s="84"/>
      <c r="O98" s="84"/>
      <c r="P98" s="84"/>
      <c r="Q98" s="84"/>
    </row>
    <row r="99" spans="1:18" ht="38.25" hidden="1">
      <c r="A99" s="60">
        <f>Inicial!A99</f>
        <v>97</v>
      </c>
      <c r="B99" s="61" t="str">
        <f>Inicial!B99</f>
        <v>Desposte</v>
      </c>
      <c r="C99" s="61" t="str">
        <f>Inicial!C99</f>
        <v>Operario de producción Línea Pancetas</v>
      </c>
      <c r="D99" s="62" t="str">
        <f>Inicial!D99</f>
        <v>Prolijado de tiras de panceta</v>
      </c>
      <c r="E99" s="60" t="str">
        <f>IF(Inicial!P99="SI",Inicial!E99,"N/A")</f>
        <v>N/A</v>
      </c>
      <c r="F99" s="61" t="str">
        <f>IF(Inicial!P99="SI",Inicial!F99,"N/A")</f>
        <v>N/A</v>
      </c>
      <c r="G99" s="61" t="str">
        <f>IF(Inicial!P99="SI",Inicial!G99,"N/A")</f>
        <v>N/A</v>
      </c>
      <c r="H99" s="61" t="str">
        <f>IF(Inicial!P99="SI",Inicial!H99,"N/A")</f>
        <v>N/A</v>
      </c>
      <c r="I99" s="72" t="str">
        <f>IF(Inicial!P99="SI",Inicial!I99,"N/A")</f>
        <v>N/A</v>
      </c>
      <c r="J99" s="84"/>
      <c r="K99" s="84"/>
      <c r="L99" s="84"/>
      <c r="M99" s="84"/>
      <c r="N99" s="84"/>
      <c r="O99" s="84"/>
      <c r="P99" s="84"/>
      <c r="Q99" s="84"/>
    </row>
    <row r="100" spans="1:18" ht="38.25" hidden="1">
      <c r="A100" s="60">
        <f>Inicial!A100</f>
        <v>98</v>
      </c>
      <c r="B100" s="61" t="str">
        <f>Inicial!B100</f>
        <v>Desposte</v>
      </c>
      <c r="C100" s="61" t="str">
        <f>Inicial!C100</f>
        <v>Operario de producción Línea Pancetas</v>
      </c>
      <c r="D100" s="62" t="str">
        <f>Inicial!D100</f>
        <v>Prolijado de falda</v>
      </c>
      <c r="E100" s="60" t="str">
        <f>IF(Inicial!P100="SI",Inicial!E100,"N/A")</f>
        <v>N/A</v>
      </c>
      <c r="F100" s="61" t="str">
        <f>IF(Inicial!P100="SI",Inicial!F100,"N/A")</f>
        <v>N/A</v>
      </c>
      <c r="G100" s="61" t="str">
        <f>IF(Inicial!P100="SI",Inicial!G100,"N/A")</f>
        <v>N/A</v>
      </c>
      <c r="H100" s="61" t="str">
        <f>IF(Inicial!P100="SI",Inicial!H100,"N/A")</f>
        <v>N/A</v>
      </c>
      <c r="I100" s="72" t="str">
        <f>IF(Inicial!P100="SI",Inicial!I100,"N/A")</f>
        <v>N/A</v>
      </c>
      <c r="J100" s="84"/>
      <c r="K100" s="84"/>
      <c r="L100" s="84"/>
      <c r="M100" s="84"/>
      <c r="N100" s="84"/>
      <c r="O100" s="84"/>
      <c r="P100" s="84"/>
      <c r="Q100" s="84"/>
    </row>
    <row r="101" spans="1:18" ht="38.25" hidden="1">
      <c r="A101" s="60">
        <f>Inicial!A101</f>
        <v>99</v>
      </c>
      <c r="B101" s="61" t="str">
        <f>Inicial!B101</f>
        <v>Desposte</v>
      </c>
      <c r="C101" s="61" t="str">
        <f>Inicial!C101</f>
        <v>Operario de producción Línea Pancetas</v>
      </c>
      <c r="D101" s="62" t="str">
        <f>Inicial!D101</f>
        <v>Acomodador de pancetas salida de ABT</v>
      </c>
      <c r="E101" s="60" t="str">
        <f>IF(Inicial!P101="SI",Inicial!E101,"N/A")</f>
        <v>N/A</v>
      </c>
      <c r="F101" s="61" t="str">
        <f>IF(Inicial!P101="SI",Inicial!F101,"N/A")</f>
        <v>N/A</v>
      </c>
      <c r="G101" s="61" t="str">
        <f>IF(Inicial!P101="SI",Inicial!G101,"N/A")</f>
        <v>N/A</v>
      </c>
      <c r="H101" s="61" t="str">
        <f>IF(Inicial!P101="SI",Inicial!H101,"N/A")</f>
        <v>N/A</v>
      </c>
      <c r="I101" s="72" t="str">
        <f>IF(Inicial!P101="SI",Inicial!I101,"N/A")</f>
        <v>N/A</v>
      </c>
      <c r="J101" s="84"/>
      <c r="K101" s="84"/>
      <c r="L101" s="84"/>
      <c r="M101" s="84"/>
      <c r="N101" s="84"/>
      <c r="O101" s="84"/>
      <c r="P101" s="84"/>
      <c r="Q101" s="84"/>
    </row>
    <row r="102" spans="1:18" ht="22.15" customHeight="1">
      <c r="A102" s="60">
        <f>Inicial!A102</f>
        <v>100</v>
      </c>
      <c r="B102" s="61" t="str">
        <f>Inicial!B102</f>
        <v>Desposte</v>
      </c>
      <c r="C102" s="61" t="str">
        <f>Inicial!C102</f>
        <v>Operario de producción Línea Pancetas</v>
      </c>
      <c r="D102" s="62" t="str">
        <f>Inicial!D102</f>
        <v>Biselado</v>
      </c>
      <c r="E102" s="60" t="str">
        <f>IF(Inicial!P102="SI",Inicial!E102,"N/A")</f>
        <v>Am: 07:00 a 16:00 - PM: 17:15 a 02:45</v>
      </c>
      <c r="F102" s="61" t="str">
        <f>IF(Inicial!P102="SI",Inicial!F102,"N/A")</f>
        <v>0.5</v>
      </c>
      <c r="G102" s="61">
        <f>IF(Inicial!P102="SI",Inicial!G102,"N/A")</f>
        <v>4.5</v>
      </c>
      <c r="H102" s="61">
        <f>IF(Inicial!P102="SI",Inicial!H102,"N/A")</f>
        <v>61</v>
      </c>
      <c r="I102" s="72">
        <f>IF(Inicial!P102="SI",Inicial!I102,"N/A")</f>
        <v>0</v>
      </c>
      <c r="J102" s="84" t="s">
        <v>16</v>
      </c>
      <c r="K102" s="84" t="s">
        <v>16</v>
      </c>
      <c r="L102" s="84" t="s">
        <v>16</v>
      </c>
      <c r="M102" s="84" t="s">
        <v>16</v>
      </c>
      <c r="N102" s="84" t="s">
        <v>16</v>
      </c>
      <c r="O102" s="84" t="s">
        <v>16</v>
      </c>
      <c r="P102" s="84" t="s">
        <v>16</v>
      </c>
      <c r="Q102" s="84" t="s">
        <v>16</v>
      </c>
      <c r="R102" s="84" t="str" cm="1">
        <f t="array" ref="R102">IF(OR(J102:Q102="SI"),"No aceptable","Aceptable")</f>
        <v>Aceptable</v>
      </c>
    </row>
    <row r="103" spans="1:18" ht="25.9" customHeight="1">
      <c r="A103" s="60">
        <f>Inicial!A103</f>
        <v>101</v>
      </c>
      <c r="B103" s="61" t="str">
        <f>Inicial!B103</f>
        <v>Desposte</v>
      </c>
      <c r="C103" s="61" t="str">
        <f>Inicial!C103</f>
        <v>Operario de producción Línea Pancetas</v>
      </c>
      <c r="D103" s="62" t="str">
        <f>Inicial!D103</f>
        <v>Prolijado de panceta / pecho</v>
      </c>
      <c r="E103" s="60" t="str">
        <f>IF(Inicial!P103="SI",Inicial!E103,"N/A")</f>
        <v>Am: 07:00 a 16:00 - PM: 17:15 a 02:45</v>
      </c>
      <c r="F103" s="61" t="str">
        <f>IF(Inicial!P103="SI",Inicial!F103,"N/A")</f>
        <v>0.5</v>
      </c>
      <c r="G103" s="61">
        <f>IF(Inicial!P103="SI",Inicial!G103,"N/A")</f>
        <v>4.5</v>
      </c>
      <c r="H103" s="61">
        <f>IF(Inicial!P103="SI",Inicial!H103,"N/A")</f>
        <v>61</v>
      </c>
      <c r="I103" s="72">
        <f>IF(Inicial!P103="SI",Inicial!I103,"N/A")</f>
        <v>0</v>
      </c>
      <c r="J103" s="84" t="s">
        <v>16</v>
      </c>
      <c r="K103" s="84" t="s">
        <v>16</v>
      </c>
      <c r="L103" s="84" t="s">
        <v>16</v>
      </c>
      <c r="M103" s="84" t="s">
        <v>16</v>
      </c>
      <c r="N103" s="84" t="s">
        <v>16</v>
      </c>
      <c r="O103" s="84" t="s">
        <v>16</v>
      </c>
      <c r="P103" s="84" t="s">
        <v>16</v>
      </c>
      <c r="Q103" s="84" t="s">
        <v>16</v>
      </c>
      <c r="R103" s="84" t="str" cm="1">
        <f t="array" ref="R103">IF(OR(J103:Q103="SI"),"No aceptable","Aceptable")</f>
        <v>Aceptable</v>
      </c>
    </row>
    <row r="104" spans="1:18" ht="38.25" hidden="1">
      <c r="A104" s="60">
        <f>Inicial!A104</f>
        <v>102</v>
      </c>
      <c r="B104" s="61" t="str">
        <f>Inicial!B104</f>
        <v>Desposte</v>
      </c>
      <c r="C104" s="61" t="str">
        <f>Inicial!C104</f>
        <v>Operario de producción Línea Pancetas</v>
      </c>
      <c r="D104" s="62" t="str">
        <f>Inicial!D104</f>
        <v>Calibrado de panceta</v>
      </c>
      <c r="E104" s="60" t="str">
        <f>IF(Inicial!P104="SI",Inicial!E104,"N/A")</f>
        <v>N/A</v>
      </c>
      <c r="F104" s="61" t="str">
        <f>IF(Inicial!P104="SI",Inicial!F104,"N/A")</f>
        <v>N/A</v>
      </c>
      <c r="G104" s="61" t="str">
        <f>IF(Inicial!P104="SI",Inicial!G104,"N/A")</f>
        <v>N/A</v>
      </c>
      <c r="H104" s="61" t="str">
        <f>IF(Inicial!P104="SI",Inicial!H104,"N/A")</f>
        <v>N/A</v>
      </c>
      <c r="I104" s="72" t="str">
        <f>IF(Inicial!P104="SI",Inicial!I104,"N/A")</f>
        <v>N/A</v>
      </c>
      <c r="J104" s="84"/>
      <c r="K104" s="84"/>
      <c r="L104" s="84"/>
      <c r="M104" s="84"/>
      <c r="N104" s="84"/>
      <c r="O104" s="84"/>
      <c r="P104" s="84"/>
      <c r="Q104" s="84"/>
    </row>
    <row r="105" spans="1:18">
      <c r="A105" s="60"/>
      <c r="B105" s="61"/>
      <c r="C105" s="61"/>
      <c r="D105" s="62"/>
      <c r="E105" s="60"/>
      <c r="F105" s="61"/>
      <c r="G105" s="61"/>
      <c r="H105" s="61"/>
      <c r="I105" s="72"/>
      <c r="J105" s="84"/>
      <c r="K105" s="84"/>
      <c r="L105" s="84"/>
      <c r="M105" s="84"/>
      <c r="N105" s="84"/>
      <c r="O105" s="84"/>
      <c r="P105" s="84"/>
      <c r="Q105" s="84"/>
    </row>
    <row r="106" spans="1:18">
      <c r="A106" s="60"/>
      <c r="B106" s="61"/>
      <c r="C106" s="61"/>
      <c r="D106" s="62"/>
      <c r="E106" s="60"/>
      <c r="F106" s="61"/>
      <c r="G106" s="61"/>
      <c r="H106" s="61"/>
      <c r="I106" s="72"/>
      <c r="J106" s="84"/>
      <c r="K106" s="84"/>
      <c r="L106" s="84"/>
      <c r="M106" s="84"/>
      <c r="N106" s="84"/>
      <c r="O106" s="84"/>
      <c r="P106" s="84"/>
      <c r="Q106" s="84"/>
    </row>
    <row r="107" spans="1:18">
      <c r="A107" s="60"/>
      <c r="B107" s="61"/>
      <c r="C107" s="61"/>
      <c r="D107" s="62"/>
      <c r="E107" s="60"/>
      <c r="F107" s="61"/>
      <c r="G107" s="61"/>
      <c r="H107" s="61"/>
      <c r="I107" s="72"/>
      <c r="J107" s="84"/>
      <c r="K107" s="84"/>
      <c r="L107" s="84"/>
      <c r="M107" s="84"/>
      <c r="N107" s="84"/>
      <c r="O107" s="84"/>
      <c r="P107" s="84"/>
      <c r="Q107" s="84"/>
    </row>
    <row r="108" spans="1:18">
      <c r="A108" s="60"/>
      <c r="B108" s="61"/>
      <c r="C108" s="61"/>
      <c r="D108" s="62"/>
      <c r="E108" s="60"/>
      <c r="F108" s="61"/>
      <c r="G108" s="61"/>
      <c r="H108" s="61"/>
      <c r="I108" s="72"/>
      <c r="J108" s="84"/>
      <c r="K108" s="84"/>
      <c r="L108" s="84"/>
      <c r="M108" s="84"/>
      <c r="N108" s="84"/>
      <c r="O108" s="84"/>
      <c r="P108" s="84"/>
      <c r="Q108" s="84"/>
    </row>
    <row r="109" spans="1:18">
      <c r="A109" s="60"/>
      <c r="B109" s="61"/>
      <c r="C109" s="61"/>
      <c r="D109" s="62"/>
      <c r="E109" s="60"/>
      <c r="F109" s="61"/>
      <c r="G109" s="61"/>
      <c r="H109" s="61"/>
      <c r="I109" s="72"/>
    </row>
    <row r="110" spans="1:18">
      <c r="A110" s="60"/>
      <c r="B110" s="61"/>
      <c r="C110" s="61"/>
      <c r="D110" s="62"/>
      <c r="E110" s="60"/>
      <c r="F110" s="61"/>
      <c r="G110" s="61"/>
      <c r="H110" s="61"/>
      <c r="I110" s="72"/>
    </row>
    <row r="111" spans="1:18">
      <c r="A111" s="60"/>
      <c r="B111" s="61"/>
      <c r="C111" s="61"/>
      <c r="D111" s="62"/>
      <c r="E111" s="60"/>
      <c r="F111" s="61"/>
      <c r="G111" s="61"/>
      <c r="H111" s="61"/>
      <c r="I111" s="72"/>
    </row>
    <row r="112" spans="1:18">
      <c r="A112" s="60"/>
      <c r="B112" s="61"/>
      <c r="C112" s="61"/>
      <c r="D112" s="62"/>
      <c r="E112" s="60"/>
      <c r="F112" s="61"/>
      <c r="G112" s="61"/>
      <c r="H112" s="61"/>
      <c r="I112" s="72"/>
    </row>
    <row r="113" spans="1:9">
      <c r="A113" s="60"/>
      <c r="B113" s="61"/>
      <c r="C113" s="61"/>
      <c r="D113" s="62"/>
      <c r="E113" s="60"/>
      <c r="F113" s="61"/>
      <c r="G113" s="61"/>
      <c r="H113" s="61"/>
      <c r="I113" s="72"/>
    </row>
    <row r="114" spans="1:9">
      <c r="A114" s="60"/>
      <c r="B114" s="61"/>
      <c r="C114" s="61"/>
      <c r="D114" s="62"/>
      <c r="E114" s="60"/>
      <c r="F114" s="61"/>
      <c r="G114" s="61"/>
      <c r="H114" s="61"/>
      <c r="I114" s="72"/>
    </row>
    <row r="115" spans="1:9">
      <c r="A115" s="60"/>
      <c r="B115" s="61"/>
      <c r="C115" s="61"/>
      <c r="D115" s="62"/>
      <c r="E115" s="60"/>
      <c r="F115" s="61"/>
      <c r="G115" s="61"/>
      <c r="H115" s="61"/>
      <c r="I115" s="72"/>
    </row>
    <row r="116" spans="1:9">
      <c r="A116" s="60"/>
      <c r="B116" s="61"/>
      <c r="C116" s="61"/>
      <c r="D116" s="62"/>
      <c r="E116" s="60"/>
      <c r="F116" s="61"/>
      <c r="G116" s="61"/>
      <c r="H116" s="61"/>
      <c r="I116" s="72"/>
    </row>
  </sheetData>
  <autoFilter ref="A2:X104">
    <filterColumn colId="4">
      <filters>
        <filter val="Am: 07:00 a 16:00 - PM: 17:15 a 02:45"/>
      </filters>
    </filterColumn>
  </autoFilter>
  <mergeCells count="5">
    <mergeCell ref="S1:X1"/>
    <mergeCell ref="J1:Q1"/>
    <mergeCell ref="F1:G1"/>
    <mergeCell ref="H1:I1"/>
    <mergeCell ref="A1:E1"/>
  </mergeCells>
  <conditionalFormatting sqref="J3:Q1048576">
    <cfRule type="cellIs" dxfId="9" priority="3" operator="equal">
      <formula>"SI"</formula>
    </cfRule>
    <cfRule type="cellIs" dxfId="8" priority="4" operator="equal">
      <formula>"NO"</formula>
    </cfRule>
  </conditionalFormatting>
  <conditionalFormatting sqref="R3">
    <cfRule type="cellIs" dxfId="7" priority="1" operator="equal">
      <formula>"No Aceptable"</formula>
    </cfRule>
  </conditionalFormatting>
  <conditionalFormatting sqref="R3:R22 R27 R30:R31 R44 R50 R53 R59 R63 R69 R102:R103">
    <cfRule type="cellIs" dxfId="6" priority="2" operator="equal">
      <formula>"Aceptable"</formula>
    </cfRule>
  </conditionalFormatting>
  <conditionalFormatting sqref="R3:U3 W3 R4:R22 R27 R30:R31 R44 R50 R53 R59 R63 R69 R102:R103">
    <cfRule type="cellIs" dxfId="5" priority="11" operator="equal">
      <formula>"NO"</formula>
    </cfRule>
    <cfRule type="cellIs" dxfId="4" priority="12" operator="equal">
      <formula>"SI"</formula>
    </cfRule>
  </conditionalFormatting>
  <conditionalFormatting sqref="X3:AM3">
    <cfRule type="cellIs" dxfId="3" priority="7" operator="equal">
      <formula>"No Aceptable"</formula>
    </cfRule>
    <cfRule type="cellIs" dxfId="2" priority="8" operator="equal">
      <formula>"Aceptable"</formula>
    </cfRule>
  </conditionalFormatting>
  <conditionalFormatting sqref="AN3">
    <cfRule type="cellIs" dxfId="1" priority="5" operator="equal">
      <formula>"No Critico"</formula>
    </cfRule>
    <cfRule type="cellIs" dxfId="0" priority="6" operator="equal">
      <formula>"Critico"</formula>
    </cfRule>
  </conditionalFormatting>
  <dataValidations count="3">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R1:R2"/>
    <dataValidation type="list" allowBlank="1" showInputMessage="1" showErrorMessage="1" sqref="J3:Q108">
      <formula1>"SI,NO"</formula1>
    </dataValidation>
    <dataValidation type="list" allowBlank="1" showInputMessage="1" showErrorMessage="1" sqref="R23:R26 R28:R29 R32:R41">
      <formula1>"SI,NO,N/A"</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Portada</vt:lpstr>
      <vt:lpstr>Datos</vt:lpstr>
      <vt:lpstr>Inicial</vt:lpstr>
      <vt:lpstr>Mov. Rep.</vt:lpstr>
      <vt:lpstr>Postura estatica</vt:lpstr>
      <vt:lpstr>MMC Levantamiento-Descenso</vt:lpstr>
      <vt:lpstr>MMC Empuje-Arrastre </vt:lpstr>
      <vt:lpstr>Manejo manual PCTS</vt:lpstr>
      <vt:lpstr>Vibración Cuerpo completo</vt:lpstr>
      <vt:lpstr>Vibración Mano-Brazo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Muñoz Caro, Constanza Andrea</dc:creator>
  <cp:lastModifiedBy>Maria Sepulveda Duran</cp:lastModifiedBy>
  <dcterms:created xsi:type="dcterms:W3CDTF">2024-10-16T13:46:28Z</dcterms:created>
  <dcterms:modified xsi:type="dcterms:W3CDTF">2025-09-22T19:13:06Z</dcterms:modified>
</cp:coreProperties>
</file>