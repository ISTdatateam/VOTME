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uantum-Malloco\VOTME_app\src\source\ev_ini\"/>
    </mc:Choice>
  </mc:AlternateContent>
  <xr:revisionPtr revIDLastSave="0" documentId="13_ncr:1_{5B6AEC1E-A127-464C-AFD3-A4AB61E4369A}" xr6:coauthVersionLast="47" xr6:coauthVersionMax="47" xr10:uidLastSave="{00000000-0000-0000-0000-000000000000}"/>
  <bookViews>
    <workbookView xWindow="1875" yWindow="1875" windowWidth="15375" windowHeight="7875"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s="1"/>
  <c r="U21" i="15" l="1"/>
  <c r="U23" i="15" s="1"/>
  <c r="W21" i="15"/>
  <c r="W23" i="15" s="1"/>
</calcChain>
</file>

<file path=xl/sharedStrings.xml><?xml version="1.0" encoding="utf-8"?>
<sst xmlns="http://schemas.openxmlformats.org/spreadsheetml/2006/main" count="462" uniqueCount="269">
  <si>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</si>
  <si>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</si>
  <si>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</si>
  <si>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</si>
  <si>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</si>
  <si>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</si>
  <si>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</si>
  <si>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</si>
  <si>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</si>
  <si>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</si>
  <si>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</si>
  <si>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</si>
  <si>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</si>
  <si>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</si>
  <si>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</si>
  <si>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</si>
  <si>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</si>
  <si>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</si>
  <si>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</si>
  <si>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</si>
  <si>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</si>
  <si>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</si>
  <si>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</si>
  <si>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</si>
  <si>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</si>
  <si>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</si>
  <si>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</si>
  <si>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</si>
  <si>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</si>
  <si>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</si>
  <si>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</si>
  <si>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</si>
  <si>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</si>
  <si>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</si>
  <si>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</si>
  <si>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</si>
  <si>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</si>
  <si>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</si>
  <si>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</si>
  <si>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</si>
  <si>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</si>
  <si>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</si>
  <si>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</si>
  <si>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</si>
  <si>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</si>
  <si>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</si>
  <si>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</si>
  <si>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</si>
  <si>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</si>
  <si>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</si>
  <si>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</si>
  <si>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</si>
  <si>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</si>
  <si>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</si>
  <si>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</si>
  <si>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</si>
  <si>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</si>
  <si>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</si>
  <si>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</si>
  <si>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</si>
  <si>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</si>
  <si>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</si>
  <si>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</si>
  <si>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</si>
  <si>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</si>
  <si>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</si>
  <si>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</si>
  <si>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</si>
  <si>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</si>
  <si>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</si>
  <si>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</si>
  <si>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</si>
  <si>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</si>
  <si>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</si>
  <si>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</si>
  <si>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</si>
  <si>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</si>
  <si>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</si>
  <si>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</si>
  <si>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</si>
  <si>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</si>
  <si>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</si>
  <si>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</si>
  <si>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</si>
  <si>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</si>
  <si>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</si>
  <si>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</si>
  <si>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</si>
  <si>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</si>
  <si>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</si>
  <si>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</si>
  <si>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</si>
  <si>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</si>
  <si>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</si>
  <si>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</si>
  <si>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</si>
  <si>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</si>
  <si>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</si>
  <si>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</si>
  <si>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</si>
  <si>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</si>
  <si>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</si>
  <si>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</si>
  <si>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</si>
  <si>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</si>
  <si>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</si>
  <si>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</si>
  <si>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</si>
  <si>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</si>
  <si>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</si>
  <si>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</si>
  <si>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</si>
  <si>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</si>
  <si>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</si>
  <si>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</si>
  <si>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</si>
  <si>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</si>
  <si>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</si>
  <si>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</si>
  <si>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</si>
  <si>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</si>
  <si>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</si>
  <si>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</si>
  <si>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</si>
  <si>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</si>
  <si>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</si>
  <si>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</si>
  <si>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</si>
  <si>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</si>
  <si>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</si>
  <si>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</si>
  <si>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</si>
  <si>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</si>
  <si>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</si>
  <si>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</si>
  <si>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</si>
  <si>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</si>
  <si>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</si>
  <si>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</si>
  <si>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</si>
  <si>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</si>
  <si>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</si>
  <si>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</si>
  <si>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</si>
  <si>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</si>
  <si>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</si>
  <si>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</si>
  <si>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</si>
  <si>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</si>
  <si>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</si>
  <si>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</si>
  <si>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</si>
  <si>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</si>
  <si>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</si>
  <si>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</si>
  <si>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</si>
  <si>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</si>
  <si>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</si>
  <si>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</si>
  <si>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</si>
  <si>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</si>
  <si>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</si>
  <si>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</si>
  <si>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</si>
  <si>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</si>
  <si>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</si>
  <si>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</si>
  <si>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</si>
  <si>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</si>
  <si>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</si>
  <si>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</si>
  <si>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</si>
  <si>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</si>
  <si>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</si>
  <si>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</si>
  <si>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</si>
  <si>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</si>
  <si>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</si>
  <si>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</si>
  <si>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</si>
  <si>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</si>
  <si>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</si>
  <si>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</si>
  <si>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</si>
  <si>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</si>
  <si>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</si>
  <si>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</si>
  <si>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</si>
  <si>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</si>
  <si>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</si>
  <si>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</si>
  <si>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</si>
  <si>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</si>
  <si>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</si>
  <si>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</si>
  <si>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</si>
  <si>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</si>
  <si>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</si>
  <si>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</si>
  <si>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</si>
  <si>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</si>
  <si>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</si>
  <si>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</si>
  <si>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</si>
  <si>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</si>
  <si>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</si>
  <si>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</si>
  <si>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</si>
  <si>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</si>
  <si>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</si>
  <si>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</si>
  <si>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</si>
  <si>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</si>
  <si>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</si>
  <si>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</si>
  <si>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</si>
  <si>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</si>
  <si>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</si>
  <si>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</si>
  <si>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</si>
  <si>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</si>
  <si>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</si>
  <si>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</si>
  <si>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</si>
  <si>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</si>
  <si>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</si>
  <si>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</si>
  <si>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</si>
  <si>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</si>
  <si>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</si>
  <si>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</si>
  <si>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</si>
  <si>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</si>
  <si>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</si>
  <si>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</si>
  <si>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</si>
  <si>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</si>
  <si>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</si>
  <si>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</si>
  <si>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</si>
  <si>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</si>
  <si>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</si>
  <si>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</si>
  <si>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</si>
  <si>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</si>
  <si>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</si>
  <si>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</si>
  <si>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</si>
  <si>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</si>
  <si>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</si>
  <si>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SAN VICENTE</t>
  </si>
  <si>
    <t>X</t>
  </si>
  <si>
    <t>DIARIAMENTE</t>
  </si>
  <si>
    <t>PO</t>
  </si>
  <si>
    <t>PNO</t>
  </si>
  <si>
    <t>PC</t>
  </si>
  <si>
    <t>TPIS</t>
  </si>
  <si>
    <t>13.500 AVES POR HORA</t>
  </si>
  <si>
    <t>AVE 2,9 KILOS</t>
  </si>
  <si>
    <t>50 MIN</t>
  </si>
  <si>
    <t>Recuelga aves de forma bimanual que caen del transferidor de líneas y la que tienen solo una pata colgada. Ademas de retirar aves en mal estado para depositarlo en bandeja y luego llevar a meson de expurgo</t>
  </si>
  <si>
    <t xml:space="preserve">NO UTILIZA </t>
  </si>
  <si>
    <t>1 VEZ POR TURNO</t>
  </si>
  <si>
    <t>50 MINUTOS</t>
  </si>
  <si>
    <t>SI , POR 14 TAREAS MÁS</t>
  </si>
  <si>
    <t>Mantener las condiciones de la tarea. Sugerencia de incorporación de otro colaborador a la tarea en contingencias para evitar posturas forzadas de espalda, brazos y muñecas. Agregar pausas compensatorias.</t>
  </si>
  <si>
    <t>Transferidor</t>
  </si>
  <si>
    <t>Eviscerado</t>
  </si>
  <si>
    <t>Faenación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</si>
</sst>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7"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theme="1"/>
      <name val="Calibri"/>
      <family val="2"/>
    </font>
    <font>
      <sz val="12"/>
      <color theme="1"/>
      <name val="Calibri"/>
      <family val="2"/>
    </font>
    <font>
      <sz val="14"/>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7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4"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45" xfId="0" applyFont="1" applyFill="1" applyBorder="1" applyAlignment="1">
      <alignment horizontal="center" vertical="center"/>
    </xf>
    <xf numFmtId="0" fontId="11" fillId="2" borderId="5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center" vertic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0" fillId="0" borderId="0" xfId="0"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39" xfId="0" applyFont="1" applyFill="1" applyBorder="1" applyAlignment="1">
      <alignment horizontal="left" wrapText="1"/>
    </xf>
    <xf numFmtId="0" fontId="1" fillId="11"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25" fillId="0" borderId="8" xfId="0" applyFont="1" applyBorder="1"/>
    <xf numFmtId="0" fontId="25" fillId="0" borderId="9" xfId="0" applyFont="1" applyBorder="1"/>
    <xf numFmtId="0" fontId="25" fillId="0" borderId="10" xfId="0" applyFont="1" applyBorder="1"/>
    <xf numFmtId="0" fontId="26" fillId="0" borderId="0" xfId="0" applyFont="1"/>
    <xf numFmtId="0" fontId="25" fillId="0" borderId="11" xfId="0" applyFont="1" applyBorder="1"/>
    <xf numFmtId="0" fontId="25" fillId="0" borderId="12" xfId="0" applyFont="1" applyBorder="1"/>
    <xf numFmtId="0" fontId="25" fillId="0" borderId="13" xfId="0" applyFont="1" applyBorder="1"/>
    <xf numFmtId="0" fontId="25" fillId="0" borderId="1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23"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applyAlignment="1">
      <alignment horizontal="center"/>
    </xf>
    <xf numFmtId="0" fontId="23" fillId="2" borderId="25" xfId="0" applyFont="1" applyFill="1" applyBorder="1" applyAlignment="1">
      <alignment horizontal="center" vertical="center"/>
    </xf>
    <xf numFmtId="0" fontId="3" fillId="0" borderId="54" xfId="0" applyFont="1" applyBorder="1"/>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22" fillId="2" borderId="39" xfId="0" applyFont="1" applyFill="1" applyBorder="1" applyAlignment="1">
      <alignment horizontal="center" vertical="center" wrapText="1"/>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D8"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C12"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21" workbookViewId="0">
      <selection activeCell="R22" sqref="R22:S23"/>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0"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71"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2" t="s">
        <v>25</v>
      </c>
      <c r="E11" s="122"/>
      <c r="F11" s="122"/>
      <c r="G11" s="122"/>
      <c r="H11" s="122"/>
      <c r="I11" s="122"/>
      <c r="J11" s="122"/>
      <c r="K11" s="122"/>
      <c r="L11" s="123"/>
      <c r="M11" s="1"/>
      <c r="N11" s="172"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60" t="s">
        <v>27</v>
      </c>
      <c r="E17" s="173" t="s">
        <v>28</v>
      </c>
      <c r="F17" s="122"/>
      <c r="G17" s="122"/>
      <c r="H17" s="122"/>
      <c r="I17" s="122"/>
      <c r="J17" s="122"/>
      <c r="K17" s="122"/>
      <c r="L17" s="123"/>
      <c r="M17" s="24"/>
      <c r="N17" s="165" t="s">
        <v>29</v>
      </c>
      <c r="O17" s="151"/>
      <c r="P17" s="166" t="s">
        <v>30</v>
      </c>
      <c r="Q17" s="151"/>
      <c r="R17" s="166" t="s">
        <v>31</v>
      </c>
      <c r="S17" s="151"/>
      <c r="T17" s="166" t="s">
        <v>32</v>
      </c>
      <c r="U17" s="151"/>
      <c r="V17" s="17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7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64" t="s">
        <v>34</v>
      </c>
      <c r="O20" s="123"/>
      <c r="P20" s="167" t="s">
        <v>8</v>
      </c>
      <c r="Q20" s="123"/>
      <c r="R20" s="157" t="s">
        <v>35</v>
      </c>
      <c r="S20" s="123"/>
      <c r="T20" s="158" t="s">
        <v>14</v>
      </c>
      <c r="U20" s="123"/>
      <c r="V20" s="159" t="s">
        <v>36</v>
      </c>
      <c r="W20" s="123"/>
      <c r="X20" s="10"/>
      <c r="Y20" s="1"/>
      <c r="Z20" s="1"/>
      <c r="AA20" s="1"/>
      <c r="AB20" s="1"/>
      <c r="AC20" s="1"/>
      <c r="AD20" s="1"/>
      <c r="AE20" s="1"/>
      <c r="AF20" s="1"/>
      <c r="AG20" s="1"/>
      <c r="AH20" s="1"/>
      <c r="AI20" s="1"/>
      <c r="AJ20" s="1"/>
    </row>
    <row r="21" spans="1:36" ht="14.25" customHeight="1" x14ac:dyDescent="0.25">
      <c r="A21" s="1"/>
      <c r="B21" s="1"/>
      <c r="C21" s="19"/>
      <c r="D21" s="160" t="s">
        <v>37</v>
      </c>
      <c r="E21" s="173"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64" t="s">
        <v>39</v>
      </c>
      <c r="O22" s="123"/>
      <c r="P22" s="167" t="s">
        <v>8</v>
      </c>
      <c r="Q22" s="123"/>
      <c r="R22" s="157" t="s">
        <v>40</v>
      </c>
      <c r="S22" s="123"/>
      <c r="T22" s="158" t="s">
        <v>41</v>
      </c>
      <c r="U22" s="123"/>
      <c r="V22" s="15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60" t="s">
        <v>42</v>
      </c>
      <c r="E24" s="173" t="s">
        <v>43</v>
      </c>
      <c r="F24" s="122"/>
      <c r="G24" s="122"/>
      <c r="H24" s="122"/>
      <c r="I24" s="122"/>
      <c r="J24" s="122"/>
      <c r="K24" s="122"/>
      <c r="L24" s="123"/>
      <c r="M24" s="1"/>
      <c r="N24" s="164" t="s">
        <v>44</v>
      </c>
      <c r="O24" s="123"/>
      <c r="P24" s="167" t="s">
        <v>8</v>
      </c>
      <c r="Q24" s="123"/>
      <c r="R24" s="157" t="s">
        <v>45</v>
      </c>
      <c r="S24" s="123"/>
      <c r="T24" s="158" t="s">
        <v>46</v>
      </c>
      <c r="U24" s="123"/>
      <c r="V24" s="15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64" t="s">
        <v>47</v>
      </c>
      <c r="O26" s="123"/>
      <c r="P26" s="167" t="s">
        <v>8</v>
      </c>
      <c r="Q26" s="123"/>
      <c r="R26" s="158" t="s">
        <v>48</v>
      </c>
      <c r="S26" s="123"/>
      <c r="T26" s="159" t="s">
        <v>36</v>
      </c>
      <c r="U26" s="123"/>
      <c r="V26" s="159" t="s">
        <v>36</v>
      </c>
      <c r="W26" s="123"/>
      <c r="X26" s="10"/>
      <c r="Y26" s="1"/>
      <c r="Z26" s="1"/>
      <c r="AA26" s="1"/>
      <c r="AB26" s="1"/>
      <c r="AC26" s="1"/>
      <c r="AD26" s="1"/>
      <c r="AE26" s="1"/>
      <c r="AF26" s="1"/>
      <c r="AG26" s="1"/>
      <c r="AH26" s="1"/>
      <c r="AI26" s="1"/>
      <c r="AJ26" s="1"/>
    </row>
    <row r="27" spans="1:36" ht="14.25" customHeight="1" x14ac:dyDescent="0.25">
      <c r="A27" s="1"/>
      <c r="B27" s="1"/>
      <c r="C27" s="19"/>
      <c r="D27" s="168" t="s">
        <v>49</v>
      </c>
      <c r="E27" s="169"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0" t="s">
        <v>52</v>
      </c>
      <c r="T31" s="161" t="s">
        <v>9</v>
      </c>
      <c r="U31" s="162"/>
      <c r="V31" s="161" t="s">
        <v>10</v>
      </c>
      <c r="W31" s="16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63" t="s">
        <v>54</v>
      </c>
      <c r="U32" s="123"/>
      <c r="V32" s="163"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D12"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6"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15"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54</v>
      </c>
      <c r="S16" s="123"/>
      <c r="T16" s="145" t="s">
        <v>54</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15"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53</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15"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6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12"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16"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15</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18"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5"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4"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15</v>
      </c>
      <c r="U15" s="123"/>
      <c r="V15" s="183" t="s">
        <v>15</v>
      </c>
      <c r="W15" s="123"/>
      <c r="X15" s="10"/>
      <c r="Y15" s="1"/>
      <c r="Z15" s="1"/>
      <c r="AA15" s="1"/>
      <c r="AB15" s="1"/>
      <c r="AC15" s="1"/>
      <c r="AD15" s="1"/>
      <c r="AE15" s="1"/>
      <c r="AF15" s="1"/>
      <c r="AG15" s="1"/>
      <c r="AH15" s="1"/>
      <c r="AI15" s="1"/>
      <c r="AJ15" s="1"/>
    </row>
    <row r="16" spans="1:36" ht="15" customHeight="1" x14ac:dyDescent="0.25">
      <c r="A16" s="1"/>
      <c r="B16" s="1"/>
      <c r="C16" s="19"/>
      <c r="D16" s="194" t="s">
        <v>108</v>
      </c>
      <c r="E16" s="122"/>
      <c r="F16" s="122"/>
      <c r="G16" s="122"/>
      <c r="H16" s="122"/>
      <c r="I16" s="122"/>
      <c r="J16" s="123"/>
      <c r="K16" s="30"/>
      <c r="L16" s="196"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4"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7"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4"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4"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6"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2" t="s">
        <v>121</v>
      </c>
      <c r="J16" s="122"/>
      <c r="K16" s="122"/>
      <c r="L16" s="122"/>
      <c r="M16" s="123"/>
      <c r="N16" s="172" t="s">
        <v>122</v>
      </c>
      <c r="O16" s="122"/>
      <c r="P16" s="123"/>
      <c r="Q16" s="200">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7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2" t="s">
        <v>123</v>
      </c>
      <c r="J18" s="122"/>
      <c r="K18" s="122"/>
      <c r="L18" s="122"/>
      <c r="M18" s="123"/>
      <c r="N18" s="172" t="s">
        <v>124</v>
      </c>
      <c r="O18" s="122"/>
      <c r="P18" s="123"/>
      <c r="Q18" s="17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7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1"/>
      <c r="N20" s="172" t="s">
        <v>126</v>
      </c>
      <c r="O20" s="122"/>
      <c r="P20" s="123"/>
      <c r="Q20" s="17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2"/>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21"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138</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138</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E4" sqref="E4"/>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4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44" t="s">
        <v>139</v>
      </c>
      <c r="E6" s="122"/>
      <c r="F6" s="122"/>
      <c r="G6" s="122"/>
      <c r="H6" s="122"/>
      <c r="I6" s="122"/>
      <c r="J6" s="122"/>
      <c r="K6" s="122"/>
      <c r="L6" s="123"/>
      <c r="M6" s="40"/>
      <c r="N6" s="40"/>
      <c r="O6" s="244"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29" t="s">
        <v>141</v>
      </c>
      <c r="E8" s="162"/>
      <c r="F8" s="45" t="s">
        <v>248</v>
      </c>
      <c r="G8" s="46"/>
      <c r="H8" s="47"/>
      <c r="I8" s="231" t="s">
        <v>142</v>
      </c>
      <c r="J8" s="245"/>
      <c r="K8" s="48"/>
      <c r="L8" s="49"/>
      <c r="M8" s="43"/>
      <c r="N8" s="43"/>
      <c r="O8" s="234" t="s">
        <v>143</v>
      </c>
      <c r="P8" s="122"/>
      <c r="Q8" s="122"/>
      <c r="R8" s="122"/>
      <c r="S8" s="123"/>
      <c r="T8" s="220" t="s">
        <v>144</v>
      </c>
      <c r="U8" s="162"/>
      <c r="V8" s="220" t="s">
        <v>145</v>
      </c>
      <c r="W8" s="162"/>
      <c r="X8" s="44"/>
      <c r="Y8" s="1"/>
      <c r="Z8" s="1"/>
      <c r="AA8" s="1"/>
      <c r="AB8" s="1"/>
      <c r="AC8" s="1"/>
      <c r="AD8" s="1"/>
      <c r="AE8" s="1"/>
      <c r="AF8" s="1"/>
      <c r="AG8" s="1"/>
      <c r="AH8" s="1"/>
    </row>
    <row r="9" spans="1:34" ht="30" customHeight="1" x14ac:dyDescent="0.25">
      <c r="A9" s="1"/>
      <c r="B9" s="1"/>
      <c r="C9" s="42"/>
      <c r="D9" s="229" t="s">
        <v>146</v>
      </c>
      <c r="E9" s="162"/>
      <c r="F9" s="50" t="s">
        <v>249</v>
      </c>
      <c r="G9" s="51"/>
      <c r="H9" s="52"/>
      <c r="I9" s="233" t="s">
        <v>147</v>
      </c>
      <c r="J9" s="219"/>
      <c r="K9" s="53" t="s">
        <v>250</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30" t="s">
        <v>150</v>
      </c>
      <c r="E10" s="162"/>
      <c r="F10" s="56" t="s">
        <v>268</v>
      </c>
      <c r="G10" s="45"/>
      <c r="H10" s="49"/>
      <c r="I10" s="230" t="s">
        <v>151</v>
      </c>
      <c r="J10" s="162"/>
      <c r="K10" s="48" t="s">
        <v>267</v>
      </c>
      <c r="L10" s="57"/>
      <c r="M10" s="1"/>
      <c r="N10" s="1"/>
      <c r="O10" s="227" t="s">
        <v>152</v>
      </c>
      <c r="P10" s="178"/>
      <c r="Q10" s="178"/>
      <c r="R10" s="178"/>
      <c r="S10" s="162"/>
      <c r="T10" s="58" t="str">
        <f t="shared" ref="T10:T20" si="0">U10</f>
        <v>Verde / 0</v>
      </c>
      <c r="U10" s="58" t="str">
        <f>'A1'!T16</f>
        <v>Verde / 0</v>
      </c>
      <c r="V10" s="58" t="str">
        <f t="shared" ref="V10:V20" si="1">W10</f>
        <v>Verde / 0</v>
      </c>
      <c r="W10" s="59" t="str">
        <f>'A1'!R16</f>
        <v>Verde / 0</v>
      </c>
      <c r="X10" s="10"/>
      <c r="Y10" s="1"/>
      <c r="Z10" s="1"/>
      <c r="AA10" s="1"/>
      <c r="AB10" s="1"/>
      <c r="AC10" s="1"/>
      <c r="AD10" s="1"/>
      <c r="AE10" s="1"/>
      <c r="AF10" s="1"/>
      <c r="AG10" s="1"/>
      <c r="AH10" s="1"/>
    </row>
    <row r="11" spans="1:34" ht="30" customHeight="1" x14ac:dyDescent="0.25">
      <c r="A11" s="1"/>
      <c r="B11" s="1"/>
      <c r="C11" s="19"/>
      <c r="D11" s="230" t="s">
        <v>153</v>
      </c>
      <c r="E11" s="162"/>
      <c r="F11" s="56" t="s">
        <v>266</v>
      </c>
      <c r="G11" s="45"/>
      <c r="H11" s="49"/>
      <c r="I11" s="231" t="s">
        <v>154</v>
      </c>
      <c r="J11" s="162"/>
      <c r="K11" s="119" t="s">
        <v>259</v>
      </c>
      <c r="L11" s="57"/>
      <c r="M11" s="1"/>
      <c r="N11" s="1"/>
      <c r="O11" s="227" t="s">
        <v>155</v>
      </c>
      <c r="P11" s="178"/>
      <c r="Q11" s="178"/>
      <c r="R11" s="178"/>
      <c r="S11" s="162"/>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32" t="s">
        <v>156</v>
      </c>
      <c r="E12" s="178"/>
      <c r="F12" s="178"/>
      <c r="G12" s="178"/>
      <c r="H12" s="178"/>
      <c r="I12" s="178"/>
      <c r="J12" s="178"/>
      <c r="K12" s="178"/>
      <c r="L12" s="162"/>
      <c r="M12" s="60"/>
      <c r="N12" s="60"/>
      <c r="O12" s="227" t="s">
        <v>157</v>
      </c>
      <c r="P12" s="178"/>
      <c r="Q12" s="178"/>
      <c r="R12" s="178"/>
      <c r="S12" s="162"/>
      <c r="T12" s="61" t="str">
        <f t="shared" si="0"/>
        <v>Ambar / 2</v>
      </c>
      <c r="U12" s="61" t="str">
        <f>'B1'!V32</f>
        <v>Ambar / 2</v>
      </c>
      <c r="V12" s="61"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03" t="s">
        <v>260</v>
      </c>
      <c r="E13" s="235"/>
      <c r="F13" s="235"/>
      <c r="G13" s="235"/>
      <c r="H13" s="235"/>
      <c r="I13" s="235"/>
      <c r="J13" s="235"/>
      <c r="K13" s="235"/>
      <c r="L13" s="236"/>
      <c r="M13" s="60"/>
      <c r="N13" s="60"/>
      <c r="O13" s="227" t="s">
        <v>158</v>
      </c>
      <c r="P13" s="178"/>
      <c r="Q13" s="178"/>
      <c r="R13" s="178"/>
      <c r="S13" s="16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237"/>
      <c r="E14" s="238"/>
      <c r="F14" s="238"/>
      <c r="G14" s="238"/>
      <c r="H14" s="238"/>
      <c r="I14" s="238"/>
      <c r="J14" s="238"/>
      <c r="K14" s="238"/>
      <c r="L14" s="239"/>
      <c r="M14" s="60"/>
      <c r="N14" s="60"/>
      <c r="O14" s="227" t="s">
        <v>159</v>
      </c>
      <c r="P14" s="178"/>
      <c r="Q14" s="178"/>
      <c r="R14" s="178"/>
      <c r="S14" s="162"/>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237"/>
      <c r="E15" s="238"/>
      <c r="F15" s="238"/>
      <c r="G15" s="238"/>
      <c r="H15" s="238"/>
      <c r="I15" s="238"/>
      <c r="J15" s="238"/>
      <c r="K15" s="238"/>
      <c r="L15" s="239"/>
      <c r="M15" s="60"/>
      <c r="N15" s="60"/>
      <c r="O15" s="227" t="s">
        <v>160</v>
      </c>
      <c r="P15" s="178"/>
      <c r="Q15" s="178"/>
      <c r="R15" s="178"/>
      <c r="S15" s="162"/>
      <c r="T15" s="58" t="str">
        <f t="shared" si="0"/>
        <v>Ambar / 2</v>
      </c>
      <c r="U15" s="58" t="str">
        <f>'C3'!T16</f>
        <v>Ambar / 2</v>
      </c>
      <c r="V15" s="62" t="str">
        <f t="shared" si="1"/>
        <v>Ambar / 2</v>
      </c>
      <c r="W15" s="63" t="str">
        <f>'C3'!R16</f>
        <v>Ambar / 2</v>
      </c>
      <c r="X15" s="10"/>
      <c r="Y15" s="1"/>
      <c r="Z15" s="1"/>
      <c r="AA15" s="1"/>
      <c r="AB15" s="1"/>
      <c r="AC15" s="1"/>
      <c r="AD15" s="1"/>
      <c r="AE15" s="1"/>
      <c r="AF15" s="1"/>
      <c r="AG15" s="1"/>
      <c r="AH15" s="1"/>
    </row>
    <row r="16" spans="1:34" ht="30" customHeight="1" x14ac:dyDescent="0.25">
      <c r="A16" s="1"/>
      <c r="B16" s="1"/>
      <c r="C16" s="19"/>
      <c r="D16" s="237"/>
      <c r="E16" s="238"/>
      <c r="F16" s="238"/>
      <c r="G16" s="238"/>
      <c r="H16" s="238"/>
      <c r="I16" s="238"/>
      <c r="J16" s="238"/>
      <c r="K16" s="238"/>
      <c r="L16" s="239"/>
      <c r="M16" s="60"/>
      <c r="N16" s="60"/>
      <c r="O16" s="227" t="s">
        <v>161</v>
      </c>
      <c r="P16" s="178"/>
      <c r="Q16" s="178"/>
      <c r="R16" s="178"/>
      <c r="S16" s="162"/>
      <c r="T16" s="64" t="str">
        <f t="shared" si="0"/>
        <v>Ambar / 1</v>
      </c>
      <c r="U16" s="64" t="str">
        <f>'C4'!T16</f>
        <v>Ambar / 1</v>
      </c>
      <c r="V16" s="64"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37"/>
      <c r="E17" s="238"/>
      <c r="F17" s="238"/>
      <c r="G17" s="238"/>
      <c r="H17" s="238"/>
      <c r="I17" s="238"/>
      <c r="J17" s="238"/>
      <c r="K17" s="238"/>
      <c r="L17" s="239"/>
      <c r="M17" s="60"/>
      <c r="N17" s="60"/>
      <c r="O17" s="227" t="s">
        <v>162</v>
      </c>
      <c r="P17" s="178"/>
      <c r="Q17" s="178"/>
      <c r="R17" s="178"/>
      <c r="S17" s="162"/>
      <c r="T17" s="64" t="str">
        <f t="shared" si="0"/>
        <v>Verde / 0</v>
      </c>
      <c r="U17" s="64" t="str">
        <f>'C5'!T16</f>
        <v>Verde / 0</v>
      </c>
      <c r="V17" s="64"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237"/>
      <c r="E18" s="238"/>
      <c r="F18" s="238"/>
      <c r="G18" s="238"/>
      <c r="H18" s="238"/>
      <c r="I18" s="238"/>
      <c r="J18" s="238"/>
      <c r="K18" s="238"/>
      <c r="L18" s="239"/>
      <c r="M18" s="60"/>
      <c r="N18" s="60"/>
      <c r="O18" s="227" t="s">
        <v>163</v>
      </c>
      <c r="P18" s="178"/>
      <c r="Q18" s="178"/>
      <c r="R18" s="178"/>
      <c r="S18" s="162"/>
      <c r="T18" s="64" t="str">
        <f t="shared" si="0"/>
        <v>Verde / 0</v>
      </c>
      <c r="U18" s="64" t="str">
        <f>'D1'!R16</f>
        <v>Verde / 0</v>
      </c>
      <c r="V18" s="64"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40"/>
      <c r="E19" s="241"/>
      <c r="F19" s="241"/>
      <c r="G19" s="241"/>
      <c r="H19" s="241"/>
      <c r="I19" s="241"/>
      <c r="J19" s="241"/>
      <c r="K19" s="241"/>
      <c r="L19" s="242"/>
      <c r="M19" s="60"/>
      <c r="N19" s="60"/>
      <c r="O19" s="227" t="s">
        <v>164</v>
      </c>
      <c r="P19" s="178"/>
      <c r="Q19" s="178"/>
      <c r="R19" s="178"/>
      <c r="S19" s="162"/>
      <c r="T19" s="65" t="str">
        <f t="shared" si="0"/>
        <v>Verde / 0</v>
      </c>
      <c r="U19" s="65" t="str">
        <f>'D2'!R13</f>
        <v>Verde / 0</v>
      </c>
      <c r="V19" s="65"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3" t="s">
        <v>165</v>
      </c>
      <c r="E20" s="122"/>
      <c r="F20" s="122"/>
      <c r="G20" s="122"/>
      <c r="H20" s="122"/>
      <c r="I20" s="123"/>
      <c r="J20" s="224" t="s">
        <v>258</v>
      </c>
      <c r="K20" s="122"/>
      <c r="L20" s="123"/>
      <c r="M20" s="60"/>
      <c r="N20" s="60"/>
      <c r="O20" s="228" t="s">
        <v>166</v>
      </c>
      <c r="P20" s="122"/>
      <c r="Q20" s="122"/>
      <c r="R20" s="122"/>
      <c r="S20" s="123"/>
      <c r="T20" s="64" t="str">
        <f t="shared" si="0"/>
        <v>Verde / 0</v>
      </c>
      <c r="U20" s="64" t="str">
        <f>'D3'!V15</f>
        <v>Verde / 0</v>
      </c>
      <c r="V20" s="64" t="str">
        <f t="shared" si="1"/>
        <v>Verde / 0</v>
      </c>
      <c r="W20" s="66" t="str">
        <f>'D3'!T15</f>
        <v>Verde / 0</v>
      </c>
      <c r="X20" s="10"/>
      <c r="Y20" s="1"/>
      <c r="Z20" s="1"/>
      <c r="AA20" s="1"/>
      <c r="AB20" s="1"/>
      <c r="AC20" s="1"/>
      <c r="AD20" s="1"/>
      <c r="AE20" s="1"/>
      <c r="AF20" s="1"/>
      <c r="AG20" s="1"/>
      <c r="AH20" s="1"/>
    </row>
    <row r="21" spans="1:34" ht="30.75" customHeight="1" thickBot="1" x14ac:dyDescent="0.3">
      <c r="A21" s="1"/>
      <c r="B21" s="1"/>
      <c r="C21" s="19"/>
      <c r="D21" s="127"/>
      <c r="E21" s="128"/>
      <c r="F21" s="128"/>
      <c r="G21" s="128"/>
      <c r="H21" s="128"/>
      <c r="I21" s="129"/>
      <c r="J21" s="127"/>
      <c r="K21" s="128"/>
      <c r="L21" s="129"/>
      <c r="M21" s="60"/>
      <c r="N21" s="60"/>
      <c r="O21" s="220" t="s">
        <v>167</v>
      </c>
      <c r="P21" s="178"/>
      <c r="Q21" s="178"/>
      <c r="R21" s="178"/>
      <c r="S21" s="162"/>
      <c r="T21" s="204" t="s">
        <v>144</v>
      </c>
      <c r="U21" s="67">
        <f>IFERROR(SUM(RIGHT(U10,1),RIGHT(U11,1),RIGHT(U12,1),RIGHT(U13,1),RIGHT(U14,1),RIGHT(U15,1),RIGHT(U16,1),RIGHT(U17,1),RIGHT(U18,1),RIGHT(U19,1),RIGHT(U20,1)),"Peso de Carga Inaceptable")</f>
        <v>7</v>
      </c>
      <c r="V21" s="204" t="s">
        <v>145</v>
      </c>
      <c r="W21" s="67">
        <f>IFERROR(SUM(RIGHT(W10,1),RIGHT(W11,1),RIGHT(W12,1),RIGHT(W13,1),RIGHT(W14,1),RIGHT(W15,1),RIGHT(W16,1),RIGHT(W17,1),RIGHT(W18,1),RIGHT(W19,1),RIGHT(W20,1)),"Peso de Carga Inaceptable")</f>
        <v>7</v>
      </c>
      <c r="X21" s="10"/>
      <c r="Y21" s="1"/>
      <c r="Z21" s="1"/>
      <c r="AA21" s="1"/>
      <c r="AB21" s="1"/>
      <c r="AC21" s="1"/>
      <c r="AD21" s="1"/>
      <c r="AE21" s="1"/>
      <c r="AF21" s="1"/>
      <c r="AG21" s="1"/>
      <c r="AH21" s="1"/>
    </row>
    <row r="22" spans="1:34" ht="30" customHeight="1" thickBot="1" x14ac:dyDescent="0.3">
      <c r="A22" s="1"/>
      <c r="B22" s="1"/>
      <c r="C22" s="19"/>
      <c r="D22" s="225" t="s">
        <v>168</v>
      </c>
      <c r="E22" s="122"/>
      <c r="F22" s="123"/>
      <c r="G22" s="226" t="s">
        <v>10</v>
      </c>
      <c r="H22" s="68"/>
      <c r="I22" s="226" t="s">
        <v>9</v>
      </c>
      <c r="J22" s="68"/>
      <c r="K22" s="226" t="s">
        <v>169</v>
      </c>
      <c r="L22" s="68"/>
      <c r="M22" s="60"/>
      <c r="N22" s="60"/>
      <c r="O22" s="221" t="s">
        <v>170</v>
      </c>
      <c r="P22" s="178"/>
      <c r="Q22" s="178"/>
      <c r="R22" s="178"/>
      <c r="S22" s="162"/>
      <c r="T22" s="153"/>
      <c r="U22" s="69">
        <f>'D4'!Q16</f>
        <v>0.5</v>
      </c>
      <c r="V22" s="153"/>
      <c r="W22" s="69">
        <f>'D4'!Q16</f>
        <v>0.5</v>
      </c>
      <c r="X22" s="10"/>
      <c r="Y22" s="1"/>
      <c r="Z22" s="1"/>
      <c r="AA22" s="1"/>
      <c r="AB22" s="1"/>
      <c r="AC22" s="1"/>
      <c r="AD22" s="1"/>
      <c r="AE22" s="1"/>
      <c r="AF22" s="1"/>
      <c r="AG22" s="1"/>
      <c r="AH22" s="1"/>
    </row>
    <row r="23" spans="1:34" ht="30.75" customHeight="1" thickBot="1" x14ac:dyDescent="0.3">
      <c r="A23" s="1"/>
      <c r="B23" s="1"/>
      <c r="C23" s="19"/>
      <c r="D23" s="127"/>
      <c r="E23" s="128"/>
      <c r="F23" s="129"/>
      <c r="G23" s="154"/>
      <c r="H23" s="116"/>
      <c r="I23" s="154"/>
      <c r="J23" s="116"/>
      <c r="K23" s="154"/>
      <c r="L23" s="120" t="s">
        <v>251</v>
      </c>
      <c r="M23" s="60"/>
      <c r="N23" s="60"/>
      <c r="O23" s="207" t="s">
        <v>171</v>
      </c>
      <c r="P23" s="178"/>
      <c r="Q23" s="178"/>
      <c r="R23" s="178"/>
      <c r="S23" s="162"/>
      <c r="T23" s="154"/>
      <c r="U23" s="20">
        <f>U21*U22</f>
        <v>3.5</v>
      </c>
      <c r="V23" s="154"/>
      <c r="W23" s="20">
        <f>W21*W22</f>
        <v>3.5</v>
      </c>
      <c r="X23" s="10"/>
      <c r="Y23" s="1"/>
      <c r="Z23" s="1"/>
      <c r="AA23" s="1"/>
      <c r="AB23" s="1"/>
      <c r="AC23" s="1"/>
      <c r="AD23" s="1"/>
      <c r="AE23" s="1"/>
      <c r="AF23" s="1"/>
      <c r="AG23" s="1"/>
      <c r="AH23" s="1"/>
    </row>
    <row r="24" spans="1:34" ht="30" customHeight="1" thickBot="1" x14ac:dyDescent="0.3">
      <c r="A24" s="1"/>
      <c r="B24" s="1"/>
      <c r="C24" s="19"/>
      <c r="D24" s="229" t="s">
        <v>172</v>
      </c>
      <c r="E24" s="178"/>
      <c r="F24" s="178"/>
      <c r="G24" s="178"/>
      <c r="H24" s="178"/>
      <c r="I24" s="162"/>
      <c r="J24" s="253" t="s">
        <v>261</v>
      </c>
      <c r="K24" s="178"/>
      <c r="L24" s="162"/>
      <c r="M24" s="60"/>
      <c r="N24" s="60"/>
      <c r="O24" s="208" t="s">
        <v>265</v>
      </c>
      <c r="P24" s="209"/>
      <c r="Q24" s="209"/>
      <c r="R24" s="209"/>
      <c r="S24" s="209"/>
      <c r="T24" s="209"/>
      <c r="U24" s="209"/>
      <c r="V24" s="209"/>
      <c r="W24" s="210"/>
      <c r="X24" s="10"/>
      <c r="Y24" s="1"/>
      <c r="Z24" s="1"/>
      <c r="AA24" s="1"/>
      <c r="AB24" s="1"/>
      <c r="AC24" s="1"/>
      <c r="AD24" s="1"/>
      <c r="AE24" s="1"/>
      <c r="AF24" s="1"/>
      <c r="AG24" s="1"/>
      <c r="AH24" s="1"/>
    </row>
    <row r="25" spans="1:34" ht="30" customHeight="1" x14ac:dyDescent="0.25">
      <c r="A25" s="1"/>
      <c r="B25" s="1"/>
      <c r="C25" s="19"/>
      <c r="D25" s="229" t="s">
        <v>173</v>
      </c>
      <c r="E25" s="178"/>
      <c r="F25" s="178"/>
      <c r="G25" s="178"/>
      <c r="H25" s="178"/>
      <c r="I25" s="162"/>
      <c r="J25" s="255" t="s">
        <v>257</v>
      </c>
      <c r="K25" s="178"/>
      <c r="L25" s="162"/>
      <c r="M25" s="60"/>
      <c r="N25" s="60"/>
      <c r="O25" s="211"/>
      <c r="P25" s="212"/>
      <c r="Q25" s="212"/>
      <c r="R25" s="212"/>
      <c r="S25" s="212"/>
      <c r="T25" s="212"/>
      <c r="U25" s="212"/>
      <c r="V25" s="212"/>
      <c r="W25" s="213"/>
      <c r="X25" s="10"/>
      <c r="Y25" s="1"/>
      <c r="Z25" s="1"/>
      <c r="AA25" s="1"/>
      <c r="AB25" s="1"/>
      <c r="AC25" s="1"/>
      <c r="AD25" s="1"/>
      <c r="AE25" s="1"/>
      <c r="AF25" s="1"/>
      <c r="AG25" s="1"/>
      <c r="AH25" s="1"/>
    </row>
    <row r="26" spans="1:34" ht="30" customHeight="1" x14ac:dyDescent="0.25">
      <c r="A26" s="1"/>
      <c r="B26" s="1"/>
      <c r="C26" s="19"/>
      <c r="D26" s="229" t="s">
        <v>174</v>
      </c>
      <c r="E26" s="178"/>
      <c r="F26" s="178"/>
      <c r="G26" s="178"/>
      <c r="H26" s="178"/>
      <c r="I26" s="162"/>
      <c r="J26" s="253" t="s">
        <v>262</v>
      </c>
      <c r="K26" s="178"/>
      <c r="L26" s="162"/>
      <c r="M26" s="60"/>
      <c r="N26" s="60"/>
      <c r="O26" s="214"/>
      <c r="P26" s="215"/>
      <c r="Q26" s="215"/>
      <c r="R26" s="215"/>
      <c r="S26" s="215"/>
      <c r="T26" s="215"/>
      <c r="U26" s="215"/>
      <c r="V26" s="215"/>
      <c r="W26" s="216"/>
      <c r="X26" s="10"/>
      <c r="Y26" s="1"/>
      <c r="Z26" s="1"/>
      <c r="AA26" s="1"/>
      <c r="AB26" s="1"/>
      <c r="AC26" s="1"/>
      <c r="AD26" s="1"/>
      <c r="AE26" s="1"/>
      <c r="AF26" s="1"/>
      <c r="AG26" s="1"/>
      <c r="AH26" s="1"/>
    </row>
    <row r="27" spans="1:34" ht="30" customHeight="1" x14ac:dyDescent="0.25">
      <c r="A27" s="1"/>
      <c r="B27" s="1"/>
      <c r="C27" s="19"/>
      <c r="D27" s="229" t="s">
        <v>175</v>
      </c>
      <c r="E27" s="178"/>
      <c r="F27" s="178"/>
      <c r="G27" s="178"/>
      <c r="H27" s="178"/>
      <c r="I27" s="162"/>
      <c r="J27" s="253" t="s">
        <v>263</v>
      </c>
      <c r="K27" s="178"/>
      <c r="L27" s="162"/>
      <c r="M27" s="1"/>
      <c r="N27" s="1"/>
      <c r="O27" s="217" t="s">
        <v>176</v>
      </c>
      <c r="P27" s="218"/>
      <c r="Q27" s="218"/>
      <c r="R27" s="219"/>
      <c r="S27" s="220" t="s">
        <v>177</v>
      </c>
      <c r="T27" s="178"/>
      <c r="U27" s="178"/>
      <c r="V27" s="178"/>
      <c r="W27" s="162"/>
      <c r="X27" s="10"/>
      <c r="Y27" s="1"/>
      <c r="Z27" s="1"/>
      <c r="AA27" s="1"/>
      <c r="AB27" s="1"/>
      <c r="AC27" s="1"/>
      <c r="AD27" s="1"/>
      <c r="AE27" s="1"/>
      <c r="AF27" s="1"/>
      <c r="AG27" s="1"/>
      <c r="AH27" s="1"/>
    </row>
    <row r="28" spans="1:34" ht="30" customHeight="1" x14ac:dyDescent="0.25">
      <c r="A28" s="1"/>
      <c r="B28" s="1"/>
      <c r="C28" s="70"/>
      <c r="D28" s="229" t="s">
        <v>178</v>
      </c>
      <c r="E28" s="178"/>
      <c r="F28" s="178"/>
      <c r="G28" s="178"/>
      <c r="H28" s="178"/>
      <c r="I28" s="162"/>
      <c r="J28" s="255" t="s">
        <v>252</v>
      </c>
      <c r="K28" s="178"/>
      <c r="L28" s="162"/>
      <c r="M28" s="1"/>
      <c r="N28" s="1"/>
      <c r="O28" s="205" t="s">
        <v>179</v>
      </c>
      <c r="P28" s="178"/>
      <c r="Q28" s="178"/>
      <c r="R28" s="162"/>
      <c r="S28" s="71" t="s">
        <v>180</v>
      </c>
      <c r="T28" s="205" t="s">
        <v>181</v>
      </c>
      <c r="U28" s="178"/>
      <c r="V28" s="178"/>
      <c r="W28" s="162"/>
      <c r="X28" s="10"/>
      <c r="Y28" s="1"/>
      <c r="Z28" s="1"/>
      <c r="AA28" s="1"/>
      <c r="AB28" s="1"/>
      <c r="AC28" s="1"/>
      <c r="AD28" s="1"/>
      <c r="AE28" s="1"/>
      <c r="AF28" s="1"/>
      <c r="AG28" s="1"/>
      <c r="AH28" s="1"/>
    </row>
    <row r="29" spans="1:34" ht="30" customHeight="1" x14ac:dyDescent="0.25">
      <c r="A29" s="1"/>
      <c r="B29" s="1"/>
      <c r="C29" s="19"/>
      <c r="D29" s="229" t="s">
        <v>182</v>
      </c>
      <c r="E29" s="178"/>
      <c r="F29" s="178"/>
      <c r="G29" s="178"/>
      <c r="H29" s="178"/>
      <c r="I29" s="162"/>
      <c r="J29" s="255" t="s">
        <v>252</v>
      </c>
      <c r="K29" s="178"/>
      <c r="L29" s="162"/>
      <c r="M29" s="1"/>
      <c r="N29" s="1"/>
      <c r="O29" s="205" t="s">
        <v>183</v>
      </c>
      <c r="P29" s="178"/>
      <c r="Q29" s="178"/>
      <c r="R29" s="162"/>
      <c r="S29" s="72" t="s">
        <v>184</v>
      </c>
      <c r="T29" s="205" t="s">
        <v>185</v>
      </c>
      <c r="U29" s="178"/>
      <c r="V29" s="178"/>
      <c r="W29" s="162"/>
      <c r="X29" s="10"/>
      <c r="Y29" s="1"/>
      <c r="Z29" s="1"/>
      <c r="AA29" s="1"/>
      <c r="AB29" s="1"/>
      <c r="AC29" s="1"/>
      <c r="AD29" s="1"/>
      <c r="AE29" s="1"/>
      <c r="AF29" s="1"/>
      <c r="AG29" s="1"/>
      <c r="AH29" s="1"/>
    </row>
    <row r="30" spans="1:34" ht="30" customHeight="1" x14ac:dyDescent="0.25">
      <c r="A30" s="1"/>
      <c r="B30" s="1"/>
      <c r="C30" s="19"/>
      <c r="D30" s="222" t="s">
        <v>186</v>
      </c>
      <c r="E30" s="178"/>
      <c r="F30" s="178"/>
      <c r="G30" s="178"/>
      <c r="H30" s="178"/>
      <c r="I30" s="162"/>
      <c r="J30" s="253" t="s">
        <v>264</v>
      </c>
      <c r="K30" s="178"/>
      <c r="L30" s="162"/>
      <c r="M30" s="1"/>
      <c r="N30" s="1"/>
      <c r="O30" s="205" t="s">
        <v>187</v>
      </c>
      <c r="P30" s="178"/>
      <c r="Q30" s="178"/>
      <c r="R30" s="162"/>
      <c r="S30" s="73" t="s">
        <v>188</v>
      </c>
      <c r="T30" s="205" t="s">
        <v>189</v>
      </c>
      <c r="U30" s="178"/>
      <c r="V30" s="178"/>
      <c r="W30" s="162"/>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06" t="s">
        <v>190</v>
      </c>
      <c r="E32" s="178"/>
      <c r="F32" s="178"/>
      <c r="G32" s="178"/>
      <c r="H32" s="178"/>
      <c r="I32" s="178"/>
      <c r="J32" s="178"/>
      <c r="K32" s="178"/>
      <c r="L32" s="178"/>
      <c r="M32" s="178"/>
      <c r="N32" s="178"/>
      <c r="O32" s="178"/>
      <c r="P32" s="178"/>
      <c r="Q32" s="178"/>
      <c r="R32" s="178"/>
      <c r="S32" s="178"/>
      <c r="T32" s="178"/>
      <c r="U32" s="178"/>
      <c r="V32" s="178"/>
      <c r="W32" s="162"/>
      <c r="X32" s="10"/>
      <c r="Y32" s="1"/>
      <c r="Z32" s="1"/>
      <c r="AA32" s="1"/>
      <c r="AB32" s="1"/>
      <c r="AC32" s="1"/>
      <c r="AD32" s="1"/>
      <c r="AE32" s="1"/>
      <c r="AF32" s="1"/>
      <c r="AG32" s="1"/>
      <c r="AH32" s="1"/>
    </row>
    <row r="33" spans="1:34" ht="30" customHeight="1" x14ac:dyDescent="0.25">
      <c r="A33" s="1"/>
      <c r="B33" s="1"/>
      <c r="C33" s="19"/>
      <c r="D33" s="254" t="s">
        <v>191</v>
      </c>
      <c r="E33" s="247" t="s">
        <v>253</v>
      </c>
      <c r="F33" s="246"/>
      <c r="G33" s="247" t="s">
        <v>254</v>
      </c>
      <c r="H33" s="246" t="s">
        <v>253</v>
      </c>
      <c r="I33" s="247" t="s">
        <v>255</v>
      </c>
      <c r="J33" s="246"/>
      <c r="K33" s="247" t="s">
        <v>254</v>
      </c>
      <c r="L33" s="249" t="s">
        <v>253</v>
      </c>
      <c r="M33" s="251" t="s">
        <v>256</v>
      </c>
      <c r="N33" s="249"/>
      <c r="O33" s="249"/>
      <c r="P33" s="249"/>
      <c r="Q33" s="249"/>
      <c r="R33" s="249"/>
      <c r="S33" s="249"/>
      <c r="T33" s="249"/>
      <c r="U33" s="249"/>
      <c r="V33" s="249"/>
      <c r="W33" s="246"/>
      <c r="X33" s="10"/>
      <c r="Y33" s="1"/>
      <c r="Z33" s="1"/>
      <c r="AA33" s="1"/>
      <c r="AB33" s="1"/>
      <c r="AC33" s="1"/>
      <c r="AD33" s="1"/>
      <c r="AE33" s="1"/>
      <c r="AF33" s="1"/>
      <c r="AG33" s="1"/>
      <c r="AH33" s="1"/>
    </row>
    <row r="34" spans="1:34" ht="4.5" customHeight="1" x14ac:dyDescent="0.25">
      <c r="A34" s="1"/>
      <c r="B34" s="1"/>
      <c r="C34" s="19"/>
      <c r="D34" s="154"/>
      <c r="E34" s="248"/>
      <c r="F34" s="248"/>
      <c r="G34" s="248"/>
      <c r="H34" s="248"/>
      <c r="I34" s="248"/>
      <c r="J34" s="248"/>
      <c r="K34" s="248"/>
      <c r="L34" s="250"/>
      <c r="M34" s="250"/>
      <c r="N34" s="252"/>
      <c r="O34" s="252"/>
      <c r="P34" s="252"/>
      <c r="Q34" s="252"/>
      <c r="R34" s="252"/>
      <c r="S34" s="252"/>
      <c r="T34" s="252"/>
      <c r="U34" s="252"/>
      <c r="V34" s="252"/>
      <c r="W34" s="154"/>
      <c r="X34" s="10"/>
      <c r="Y34" s="1"/>
      <c r="Z34" s="1"/>
      <c r="AA34" s="1"/>
      <c r="AB34" s="1"/>
      <c r="AC34" s="1"/>
      <c r="AD34" s="1"/>
      <c r="AE34" s="1"/>
      <c r="AF34" s="1"/>
      <c r="AG34" s="1"/>
      <c r="AH34" s="1"/>
    </row>
    <row r="35" spans="1:34" ht="30" customHeight="1" x14ac:dyDescent="0.25">
      <c r="A35" s="1"/>
      <c r="B35" s="1"/>
      <c r="C35" s="19"/>
      <c r="D35" s="75" t="s">
        <v>192</v>
      </c>
      <c r="E35" s="117">
        <v>5</v>
      </c>
      <c r="F35" s="117"/>
      <c r="G35" s="117">
        <v>20</v>
      </c>
      <c r="H35" s="117">
        <v>3</v>
      </c>
      <c r="I35" s="117">
        <v>45</v>
      </c>
      <c r="J35" s="117"/>
      <c r="K35" s="117">
        <v>20</v>
      </c>
      <c r="L35" s="118">
        <v>3</v>
      </c>
      <c r="M35" s="69">
        <v>30</v>
      </c>
      <c r="N35" s="76"/>
      <c r="O35" s="76"/>
      <c r="P35" s="76"/>
      <c r="Q35" s="76"/>
      <c r="R35" s="76"/>
      <c r="S35" s="76"/>
      <c r="T35" s="76"/>
      <c r="U35" s="76"/>
      <c r="V35" s="76"/>
      <c r="W35" s="76"/>
      <c r="X35" s="10"/>
      <c r="Y35" s="1"/>
      <c r="Z35" s="1"/>
      <c r="AA35" s="1"/>
      <c r="AB35" s="1"/>
      <c r="AC35" s="1"/>
      <c r="AD35" s="1"/>
      <c r="AE35" s="1"/>
      <c r="AF35" s="1"/>
      <c r="AG35" s="1"/>
      <c r="AH35" s="1"/>
    </row>
    <row r="36" spans="1:34" ht="30" customHeight="1" x14ac:dyDescent="0.25">
      <c r="A36" s="1"/>
      <c r="B36" s="1"/>
      <c r="C36" s="19"/>
      <c r="D36" s="77"/>
      <c r="E36" s="77"/>
      <c r="F36" s="77"/>
      <c r="G36" s="77"/>
      <c r="H36" s="77"/>
      <c r="I36" s="77"/>
      <c r="J36" s="77"/>
      <c r="K36" s="77"/>
      <c r="L36" s="77"/>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7"/>
      <c r="E37" s="77"/>
      <c r="F37" s="77"/>
      <c r="G37" s="77"/>
      <c r="H37" s="77"/>
      <c r="I37" s="77"/>
      <c r="J37" s="77"/>
      <c r="K37" s="77"/>
      <c r="L37" s="77"/>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O16:S16"/>
    <mergeCell ref="O17:S17"/>
    <mergeCell ref="O18:S18"/>
    <mergeCell ref="O19:S19"/>
    <mergeCell ref="O20:S20"/>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56"/>
      <c r="D5" s="218"/>
      <c r="E5" s="218"/>
      <c r="F5" s="219"/>
      <c r="G5" s="257" t="s">
        <v>193</v>
      </c>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58"/>
      <c r="AN5" s="1"/>
      <c r="AO5" s="1"/>
      <c r="AP5" s="1"/>
      <c r="AQ5" s="1"/>
      <c r="AR5" s="1"/>
      <c r="AS5" s="1"/>
      <c r="AT5" s="1"/>
      <c r="AU5" s="1"/>
      <c r="AV5" s="1"/>
      <c r="AW5" s="1"/>
      <c r="AX5" s="1"/>
      <c r="AY5" s="1"/>
      <c r="AZ5" s="1"/>
      <c r="BA5" s="1"/>
      <c r="BB5" s="1"/>
      <c r="BC5" s="1"/>
      <c r="BD5" s="1"/>
      <c r="BE5" s="1"/>
      <c r="BF5" s="1"/>
      <c r="BG5" s="1"/>
    </row>
    <row r="6" spans="1:59" ht="60" customHeight="1" x14ac:dyDescent="0.25">
      <c r="A6" s="1"/>
      <c r="B6" s="78" t="s">
        <v>141</v>
      </c>
      <c r="C6" s="79" t="s">
        <v>142</v>
      </c>
      <c r="D6" s="79" t="s">
        <v>150</v>
      </c>
      <c r="E6" s="79" t="s">
        <v>194</v>
      </c>
      <c r="F6" s="79" t="s">
        <v>195</v>
      </c>
      <c r="G6" s="79" t="s">
        <v>196</v>
      </c>
      <c r="H6" s="80" t="s">
        <v>197</v>
      </c>
      <c r="I6" s="80" t="s">
        <v>198</v>
      </c>
      <c r="J6" s="80" t="s">
        <v>199</v>
      </c>
      <c r="K6" s="80" t="s">
        <v>200</v>
      </c>
      <c r="L6" s="80" t="s">
        <v>201</v>
      </c>
      <c r="M6" s="80" t="s">
        <v>202</v>
      </c>
      <c r="N6" s="80" t="s">
        <v>203</v>
      </c>
      <c r="O6" s="80" t="s">
        <v>204</v>
      </c>
      <c r="P6" s="80" t="s">
        <v>205</v>
      </c>
      <c r="Q6" s="80" t="s">
        <v>206</v>
      </c>
      <c r="R6" s="80" t="s">
        <v>207</v>
      </c>
      <c r="S6" s="80" t="s">
        <v>208</v>
      </c>
      <c r="T6" s="80" t="s">
        <v>209</v>
      </c>
      <c r="U6" s="79" t="s">
        <v>210</v>
      </c>
      <c r="V6" s="80" t="s">
        <v>211</v>
      </c>
      <c r="W6" s="80" t="s">
        <v>212</v>
      </c>
      <c r="X6" s="80" t="s">
        <v>213</v>
      </c>
      <c r="Y6" s="80" t="s">
        <v>214</v>
      </c>
      <c r="Z6" s="80" t="s">
        <v>215</v>
      </c>
      <c r="AA6" s="80" t="s">
        <v>216</v>
      </c>
      <c r="AB6" s="80" t="s">
        <v>217</v>
      </c>
      <c r="AC6" s="80" t="s">
        <v>218</v>
      </c>
      <c r="AD6" s="80" t="s">
        <v>219</v>
      </c>
      <c r="AE6" s="80" t="s">
        <v>220</v>
      </c>
      <c r="AF6" s="80" t="s">
        <v>221</v>
      </c>
      <c r="AG6" s="80" t="s">
        <v>208</v>
      </c>
      <c r="AH6" s="80" t="s">
        <v>222</v>
      </c>
      <c r="AI6" s="79" t="s">
        <v>223</v>
      </c>
      <c r="AJ6" s="81" t="s">
        <v>224</v>
      </c>
      <c r="AK6" s="82" t="s">
        <v>225</v>
      </c>
      <c r="AL6" s="82" t="s">
        <v>226</v>
      </c>
      <c r="AM6" s="82"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3"/>
      <c r="C7" s="84"/>
      <c r="D7" s="83"/>
      <c r="E7" s="84"/>
      <c r="F7" s="83"/>
      <c r="G7" s="85"/>
      <c r="H7" s="86"/>
      <c r="I7" s="86"/>
      <c r="J7" s="86"/>
      <c r="K7" s="86"/>
      <c r="L7" s="86"/>
      <c r="M7" s="86"/>
      <c r="N7" s="86"/>
      <c r="O7" s="86"/>
      <c r="P7" s="86"/>
      <c r="Q7" s="86"/>
      <c r="R7" s="87"/>
      <c r="S7" s="86"/>
      <c r="T7" s="86"/>
      <c r="U7" s="86"/>
      <c r="V7" s="86"/>
      <c r="W7" s="86"/>
      <c r="X7" s="86"/>
      <c r="Y7" s="86"/>
      <c r="Z7" s="86"/>
      <c r="AA7" s="86"/>
      <c r="AB7" s="86"/>
      <c r="AC7" s="86"/>
      <c r="AD7" s="86"/>
      <c r="AE7" s="86"/>
      <c r="AF7" s="86"/>
      <c r="AG7" s="86"/>
      <c r="AH7" s="86"/>
      <c r="AI7" s="86"/>
      <c r="AJ7" s="88"/>
      <c r="AK7" s="89"/>
      <c r="AL7" s="89"/>
      <c r="AM7" s="89"/>
      <c r="AN7" s="1"/>
      <c r="AO7" s="1"/>
      <c r="AP7" s="1"/>
      <c r="AQ7" s="1"/>
      <c r="AR7" s="1"/>
      <c r="AS7" s="1"/>
      <c r="AT7" s="1"/>
      <c r="AU7" s="1"/>
      <c r="AV7" s="1"/>
      <c r="AW7" s="1"/>
      <c r="AX7" s="1"/>
      <c r="AY7" s="1"/>
      <c r="AZ7" s="1"/>
      <c r="BA7" s="1"/>
      <c r="BB7" s="1"/>
      <c r="BC7" s="1"/>
      <c r="BD7" s="1"/>
      <c r="BE7" s="1"/>
      <c r="BF7" s="1"/>
      <c r="BG7" s="1"/>
    </row>
    <row r="8" spans="1:59" ht="15" customHeight="1" x14ac:dyDescent="0.25">
      <c r="A8" s="1"/>
      <c r="B8" s="90"/>
      <c r="C8" s="91"/>
      <c r="D8" s="90"/>
      <c r="E8" s="91"/>
      <c r="F8" s="90"/>
      <c r="G8" s="92"/>
      <c r="H8" s="93"/>
      <c r="I8" s="93"/>
      <c r="J8" s="93"/>
      <c r="K8" s="93"/>
      <c r="L8" s="93"/>
      <c r="M8" s="93"/>
      <c r="N8" s="93"/>
      <c r="O8" s="93"/>
      <c r="P8" s="93"/>
      <c r="Q8" s="93"/>
      <c r="R8" s="94"/>
      <c r="S8" s="93"/>
      <c r="T8" s="93"/>
      <c r="U8" s="93"/>
      <c r="V8" s="93"/>
      <c r="W8" s="93"/>
      <c r="X8" s="93"/>
      <c r="Y8" s="93"/>
      <c r="Z8" s="93"/>
      <c r="AA8" s="93"/>
      <c r="AB8" s="93"/>
      <c r="AC8" s="93"/>
      <c r="AD8" s="93"/>
      <c r="AE8" s="93"/>
      <c r="AF8" s="93"/>
      <c r="AG8" s="93"/>
      <c r="AH8" s="93"/>
      <c r="AI8" s="93"/>
      <c r="AJ8" s="88"/>
      <c r="AK8" s="89"/>
      <c r="AL8" s="89"/>
      <c r="AM8" s="89"/>
      <c r="AN8" s="1"/>
      <c r="AO8" s="1"/>
      <c r="AP8" s="1"/>
      <c r="AQ8" s="1"/>
      <c r="AR8" s="1"/>
      <c r="AS8" s="1"/>
      <c r="AT8" s="1"/>
      <c r="AU8" s="1"/>
      <c r="AV8" s="1"/>
      <c r="AW8" s="1"/>
      <c r="AX8" s="1"/>
      <c r="AY8" s="1"/>
      <c r="AZ8" s="1"/>
      <c r="BA8" s="1"/>
      <c r="BB8" s="1"/>
      <c r="BC8" s="1"/>
      <c r="BD8" s="1"/>
      <c r="BE8" s="1"/>
      <c r="BF8" s="1"/>
      <c r="BG8" s="1"/>
    </row>
    <row r="9" spans="1:59" ht="15" customHeight="1" x14ac:dyDescent="0.25">
      <c r="A9" s="1"/>
      <c r="B9" s="90"/>
      <c r="C9" s="91"/>
      <c r="D9" s="90"/>
      <c r="E9" s="91"/>
      <c r="F9" s="90"/>
      <c r="G9" s="92"/>
      <c r="H9" s="93"/>
      <c r="I9" s="93"/>
      <c r="J9" s="93"/>
      <c r="K9" s="93"/>
      <c r="L9" s="93"/>
      <c r="M9" s="93"/>
      <c r="N9" s="93"/>
      <c r="O9" s="93"/>
      <c r="P9" s="93"/>
      <c r="Q9" s="93"/>
      <c r="R9" s="94"/>
      <c r="S9" s="93"/>
      <c r="T9" s="93"/>
      <c r="U9" s="93"/>
      <c r="V9" s="93"/>
      <c r="W9" s="93"/>
      <c r="X9" s="93"/>
      <c r="Y9" s="93"/>
      <c r="Z9" s="93"/>
      <c r="AA9" s="93"/>
      <c r="AB9" s="93"/>
      <c r="AC9" s="93"/>
      <c r="AD9" s="93"/>
      <c r="AE9" s="93"/>
      <c r="AF9" s="93"/>
      <c r="AG9" s="93"/>
      <c r="AH9" s="93"/>
      <c r="AI9" s="93"/>
      <c r="AJ9" s="88"/>
      <c r="AK9" s="89"/>
      <c r="AL9" s="89"/>
      <c r="AM9" s="89"/>
      <c r="AN9" s="1"/>
      <c r="AO9" s="1"/>
      <c r="AP9" s="1"/>
      <c r="AQ9" s="1"/>
      <c r="AR9" s="1"/>
      <c r="AS9" s="1"/>
      <c r="AT9" s="1"/>
      <c r="AU9" s="1"/>
      <c r="AV9" s="1"/>
      <c r="AW9" s="1"/>
      <c r="AX9" s="1"/>
      <c r="AY9" s="1"/>
      <c r="AZ9" s="1"/>
      <c r="BA9" s="1"/>
      <c r="BB9" s="1"/>
      <c r="BC9" s="1"/>
      <c r="BD9" s="1"/>
      <c r="BE9" s="1"/>
      <c r="BF9" s="1"/>
      <c r="BG9" s="1"/>
    </row>
    <row r="10" spans="1:59" ht="15" customHeight="1" x14ac:dyDescent="0.25">
      <c r="A10" s="1"/>
      <c r="B10" s="90"/>
      <c r="C10" s="91"/>
      <c r="D10" s="90"/>
      <c r="E10" s="92"/>
      <c r="F10" s="90"/>
      <c r="G10" s="92"/>
      <c r="H10" s="93"/>
      <c r="I10" s="93"/>
      <c r="J10" s="93"/>
      <c r="K10" s="93"/>
      <c r="L10" s="93"/>
      <c r="M10" s="93"/>
      <c r="N10" s="93"/>
      <c r="O10" s="93"/>
      <c r="P10" s="93"/>
      <c r="Q10" s="93"/>
      <c r="R10" s="94"/>
      <c r="S10" s="93"/>
      <c r="T10" s="93"/>
      <c r="U10" s="93"/>
      <c r="V10" s="93"/>
      <c r="W10" s="93"/>
      <c r="X10" s="93"/>
      <c r="Y10" s="93"/>
      <c r="Z10" s="93"/>
      <c r="AA10" s="93"/>
      <c r="AB10" s="93"/>
      <c r="AC10" s="93"/>
      <c r="AD10" s="93"/>
      <c r="AE10" s="93"/>
      <c r="AF10" s="93"/>
      <c r="AG10" s="93"/>
      <c r="AH10" s="93"/>
      <c r="AI10" s="93"/>
      <c r="AJ10" s="88"/>
      <c r="AK10" s="89"/>
      <c r="AL10" s="89"/>
      <c r="AM10" s="89"/>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0"/>
      <c r="C11" s="91"/>
      <c r="D11" s="90"/>
      <c r="E11" s="92"/>
      <c r="F11" s="90"/>
      <c r="G11" s="92"/>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88"/>
      <c r="AK11" s="89"/>
      <c r="AL11" s="89"/>
      <c r="AM11" s="89"/>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5"/>
      <c r="C12" s="96"/>
      <c r="D12" s="95"/>
      <c r="E12" s="97"/>
      <c r="F12" s="95"/>
      <c r="G12" s="97"/>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88"/>
      <c r="AK12" s="89"/>
      <c r="AL12" s="89"/>
      <c r="AM12" s="89"/>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5"/>
      <c r="C13" s="96"/>
      <c r="D13" s="95"/>
      <c r="E13" s="97"/>
      <c r="F13" s="95"/>
      <c r="G13" s="97"/>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88"/>
      <c r="AK13" s="89"/>
      <c r="AL13" s="89"/>
      <c r="AM13" s="89"/>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5"/>
      <c r="C14" s="96"/>
      <c r="D14" s="95"/>
      <c r="E14" s="97"/>
      <c r="F14" s="95"/>
      <c r="G14" s="97"/>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8"/>
      <c r="AK14" s="89"/>
      <c r="AL14" s="89"/>
      <c r="AM14" s="89"/>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9"/>
      <c r="B15" s="100"/>
      <c r="C15" s="97"/>
      <c r="D15" s="97"/>
      <c r="E15" s="97"/>
      <c r="F15" s="97"/>
      <c r="G15" s="97"/>
      <c r="H15" s="97"/>
      <c r="I15" s="97"/>
      <c r="J15" s="97"/>
      <c r="K15" s="97"/>
      <c r="L15" s="97"/>
      <c r="M15" s="93"/>
      <c r="N15" s="93"/>
      <c r="O15" s="101"/>
      <c r="P15" s="93"/>
      <c r="Q15" s="93"/>
      <c r="R15" s="93"/>
      <c r="S15" s="93"/>
      <c r="T15" s="93"/>
      <c r="U15" s="93"/>
      <c r="V15" s="93"/>
      <c r="W15" s="93"/>
      <c r="X15" s="93"/>
      <c r="Y15" s="93"/>
      <c r="Z15" s="93"/>
      <c r="AA15" s="93"/>
      <c r="AB15" s="93"/>
      <c r="AC15" s="93"/>
      <c r="AD15" s="93"/>
      <c r="AE15" s="93"/>
      <c r="AF15" s="93"/>
      <c r="AG15" s="93"/>
      <c r="AH15" s="93"/>
      <c r="AI15" s="93"/>
      <c r="AJ15" s="102"/>
      <c r="AK15" s="86"/>
      <c r="AL15" s="86"/>
      <c r="AM15" s="86"/>
    </row>
    <row r="16" spans="1:59" x14ac:dyDescent="0.25">
      <c r="A16" s="1"/>
      <c r="B16" s="103"/>
      <c r="C16" s="104"/>
      <c r="D16" s="104"/>
      <c r="E16" s="104"/>
      <c r="F16" s="104"/>
      <c r="G16" s="104"/>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3"/>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3"/>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3"/>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3"/>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3"/>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3"/>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3"/>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3"/>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3"/>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3"/>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3"/>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3"/>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3"/>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3"/>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3"/>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3"/>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3"/>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3"/>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3"/>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3"/>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3"/>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3"/>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3"/>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3"/>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3"/>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3"/>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3"/>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3"/>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3"/>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3"/>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3"/>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3"/>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3"/>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3"/>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3"/>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3"/>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3"/>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3"/>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3"/>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3"/>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3"/>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4"/>
      <c r="AK112" s="104"/>
      <c r="AL112" s="104"/>
      <c r="AM112" s="104"/>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7"/>
      <c r="C1" s="108"/>
      <c r="D1" s="108"/>
      <c r="E1" s="108"/>
      <c r="F1" s="108"/>
      <c r="G1" s="108"/>
      <c r="H1" s="108"/>
      <c r="I1" s="108"/>
      <c r="J1" s="108"/>
      <c r="K1" s="108"/>
      <c r="L1" s="108"/>
      <c r="M1" s="108"/>
      <c r="N1" s="108"/>
      <c r="O1" s="108"/>
      <c r="P1" s="108"/>
      <c r="Q1" s="108"/>
      <c r="R1" s="108"/>
      <c r="S1" s="108"/>
      <c r="T1" s="109"/>
      <c r="U1" s="1"/>
    </row>
    <row r="2" spans="1:21" x14ac:dyDescent="0.25">
      <c r="A2" s="1"/>
      <c r="B2" s="270" t="s">
        <v>228</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9" t="s">
        <v>229</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65" t="s">
        <v>230</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71" t="s">
        <v>231</v>
      </c>
      <c r="C9" s="131"/>
      <c r="D9" s="131"/>
      <c r="E9" s="131"/>
      <c r="F9" s="131"/>
      <c r="G9" s="131"/>
      <c r="H9" s="131"/>
      <c r="I9" s="131"/>
      <c r="J9" s="131"/>
      <c r="K9" s="131"/>
      <c r="L9" s="131"/>
      <c r="M9" s="131"/>
      <c r="N9" s="131"/>
      <c r="O9" s="131"/>
      <c r="P9" s="131"/>
      <c r="Q9" s="131"/>
      <c r="R9" s="131"/>
      <c r="S9" s="131"/>
      <c r="T9" s="132"/>
      <c r="U9" s="1"/>
    </row>
    <row r="10" spans="1:21" ht="15.75" x14ac:dyDescent="0.25">
      <c r="A10" s="1"/>
      <c r="B10" s="261" t="s">
        <v>232</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65" t="s">
        <v>233</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0"/>
      <c r="C14" s="111"/>
      <c r="D14" s="111"/>
      <c r="E14" s="111"/>
      <c r="F14" s="111"/>
      <c r="G14" s="111"/>
      <c r="H14" s="111"/>
      <c r="I14" s="111"/>
      <c r="J14" s="111"/>
      <c r="K14" s="111"/>
      <c r="L14" s="111"/>
      <c r="M14" s="111"/>
      <c r="N14" s="111"/>
      <c r="O14" s="111"/>
      <c r="P14" s="111"/>
      <c r="Q14" s="111"/>
      <c r="R14" s="111"/>
      <c r="S14" s="111"/>
      <c r="T14" s="112"/>
      <c r="U14" s="1"/>
    </row>
    <row r="15" spans="1:21" ht="15" customHeight="1" x14ac:dyDescent="0.25">
      <c r="A15" s="1"/>
      <c r="B15" s="261" t="s">
        <v>234</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61" t="s">
        <v>235</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62" t="s">
        <v>236</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61" t="s">
        <v>237</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61" t="s">
        <v>238</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3"/>
      <c r="C20" s="114"/>
      <c r="D20" s="114"/>
      <c r="E20" s="114"/>
      <c r="F20" s="114"/>
      <c r="G20" s="114"/>
      <c r="H20" s="114"/>
      <c r="I20" s="114"/>
      <c r="J20" s="114"/>
      <c r="K20" s="114"/>
      <c r="L20" s="114"/>
      <c r="M20" s="114"/>
      <c r="N20" s="114"/>
      <c r="O20" s="114"/>
      <c r="P20" s="114"/>
      <c r="Q20" s="114"/>
      <c r="R20" s="114"/>
      <c r="S20" s="114"/>
      <c r="T20" s="115"/>
      <c r="U20" s="1"/>
    </row>
    <row r="21" spans="1:21" ht="15.75" customHeight="1" x14ac:dyDescent="0.25">
      <c r="A21" s="1"/>
      <c r="B21" s="261" t="s">
        <v>239</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63" t="s">
        <v>240</v>
      </c>
      <c r="D24" s="162"/>
      <c r="E24" s="264" t="s">
        <v>241</v>
      </c>
      <c r="F24" s="178"/>
      <c r="G24" s="178"/>
      <c r="H24" s="178"/>
      <c r="I24" s="178"/>
      <c r="J24" s="162"/>
      <c r="K24" s="1"/>
      <c r="L24" s="1"/>
      <c r="M24" s="1"/>
      <c r="N24" s="1"/>
      <c r="O24" s="1"/>
      <c r="P24" s="1"/>
      <c r="Q24" s="1"/>
      <c r="R24" s="1"/>
      <c r="S24" s="1"/>
      <c r="T24" s="10"/>
      <c r="U24" s="1"/>
    </row>
    <row r="25" spans="1:21" ht="15.75" customHeight="1" x14ac:dyDescent="0.25">
      <c r="A25" s="1"/>
      <c r="B25" s="19"/>
      <c r="C25" s="266" t="s">
        <v>242</v>
      </c>
      <c r="D25" s="162"/>
      <c r="E25" s="267" t="s">
        <v>243</v>
      </c>
      <c r="F25" s="178"/>
      <c r="G25" s="178"/>
      <c r="H25" s="178"/>
      <c r="I25" s="178"/>
      <c r="J25" s="162"/>
      <c r="K25" s="1"/>
      <c r="L25" s="1"/>
      <c r="M25" s="1"/>
      <c r="N25" s="1"/>
      <c r="O25" s="1"/>
      <c r="P25" s="1"/>
      <c r="Q25" s="1"/>
      <c r="R25" s="1"/>
      <c r="S25" s="1"/>
      <c r="T25" s="10"/>
      <c r="U25" s="1"/>
    </row>
    <row r="26" spans="1:21" ht="15.75" customHeight="1" x14ac:dyDescent="0.25">
      <c r="A26" s="1"/>
      <c r="B26" s="19"/>
      <c r="C26" s="268" t="s">
        <v>244</v>
      </c>
      <c r="D26" s="162"/>
      <c r="E26" s="269" t="s">
        <v>245</v>
      </c>
      <c r="F26" s="178"/>
      <c r="G26" s="178"/>
      <c r="H26" s="178"/>
      <c r="I26" s="178"/>
      <c r="J26" s="16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59" t="s">
        <v>246</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60" t="s">
        <v>247</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David González Guzmán</cp:lastModifiedBy>
  <cp:lastPrinted>2024-10-29T15:12:48Z</cp:lastPrinted>
  <dcterms:created xsi:type="dcterms:W3CDTF">2024-10-28T18:57:41Z</dcterms:created>
  <dcterms:modified xsi:type="dcterms:W3CDTF">2025-11-25T21:06:03Z</dcterms:modified>
</cp:coreProperties>
</file>