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maria.sepulveda\Desktop\Protocolo VOTME\PROTOCOLO TMERT 2024 EMPRESAS\VIGILANCIA AMBIENTAL\Evaluaciones Iniciales\EVALUACIONES INICIALES\FSV\1. TRABAJO REPETITIVO\FAENA\5. EMPAQUE CHILLER\"/>
    </mc:Choice>
  </mc:AlternateContent>
  <xr:revisionPtr revIDLastSave="0" documentId="13_ncr:1_{5645C67E-C06C-4249-B8F3-AFF923DBBB75}" xr6:coauthVersionLast="47" xr6:coauthVersionMax="47" xr10:uidLastSave="{00000000-0000-0000-0000-000000000000}"/>
  <bookViews>
    <workbookView xWindow="-120" yWindow="-120" windowWidth="20730" windowHeight="11160" firstSheet="2" activeTab="14" xr2:uid="{00000000-000D-0000-FFFF-FFFF00000000}"/>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s="1"/>
  <c r="U20" i="15"/>
  <c r="T20" i="15" s="1"/>
  <c r="W19" i="15"/>
  <c r="V19" i="15"/>
  <c r="U19" i="15"/>
  <c r="T19" i="15" s="1"/>
  <c r="W18" i="15"/>
  <c r="V18" i="15" s="1"/>
  <c r="U18" i="15"/>
  <c r="T18" i="15" s="1"/>
  <c r="W17" i="15"/>
  <c r="V17" i="15"/>
  <c r="U17" i="15"/>
  <c r="T17" i="15" s="1"/>
  <c r="W16" i="15"/>
  <c r="V16" i="15" s="1"/>
  <c r="U16" i="15"/>
  <c r="T16" i="15" s="1"/>
  <c r="W15" i="15"/>
  <c r="V15" i="15" s="1"/>
  <c r="U15" i="15"/>
  <c r="T15" i="15" s="1"/>
  <c r="W14" i="15"/>
  <c r="V14" i="15" s="1"/>
  <c r="U14" i="15"/>
  <c r="T14" i="15" s="1"/>
  <c r="W13" i="15"/>
  <c r="V13" i="15" s="1"/>
  <c r="U13" i="15"/>
  <c r="T13" i="15" s="1"/>
  <c r="W12" i="15"/>
  <c r="V12" i="15"/>
  <c r="U12" i="15"/>
  <c r="T12" i="15" s="1"/>
  <c r="W11" i="15"/>
  <c r="V11" i="15"/>
  <c r="U11" i="15"/>
  <c r="T11" i="15" s="1"/>
  <c r="W10" i="15"/>
  <c r="V10" i="15"/>
  <c r="U10" i="15"/>
  <c r="U21" i="15" s="1"/>
  <c r="U23" i="15" l="1"/>
  <c r="W21" i="15"/>
  <c r="W23" i="15" s="1"/>
  <c r="T10" i="15"/>
</calcChain>
</file>

<file path=xl/sharedStrings.xml><?xml version="1.0" encoding="utf-8"?>
<sst xmlns="http://schemas.openxmlformats.org/spreadsheetml/2006/main" count="466" uniqueCount="268">
  <si>
    <t>Assessment of repetitive tasks
of the upper limbs (The ART tool)</t>
  </si>
  <si>
    <t>Versión 2.0 (2024)</t>
  </si>
  <si>
    <t>Assessment of repetitive tasks of the upper limbs (The ART tool)</t>
  </si>
  <si>
    <t>Sección A: Frecuencia y Movimientos</t>
  </si>
  <si>
    <r>
      <rPr>
        <b/>
        <sz val="18"/>
        <color theme="1"/>
        <rFont val="Calibri"/>
      </rPr>
      <t xml:space="preserve">1: Movimiento del brazo: </t>
    </r>
    <r>
      <rPr>
        <sz val="18"/>
        <color theme="1"/>
        <rFont val="Calibri"/>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</si>
  <si>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</si>
  <si>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</si>
  <si>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</si>
  <si>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</si>
  <si>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</si>
  <si>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</si>
  <si>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</si>
  <si>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</si>
  <si>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</si>
  <si>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</si>
  <si>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</si>
  <si>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</si>
  <si>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</si>
  <si>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rPr>
      <t>2: Repetición:</t>
    </r>
    <r>
      <rPr>
        <sz val="18"/>
        <color theme="1"/>
        <rFont val="Calibri"/>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</si>
  <si>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</si>
  <si>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</si>
  <si>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</si>
  <si>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</si>
  <si>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</si>
  <si>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rPr>
      <t xml:space="preserve">1: Fuerza: </t>
    </r>
    <r>
      <rPr>
        <sz val="16"/>
        <color theme="1"/>
        <rFont val="Calibri"/>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rPr>
      <t xml:space="preserve">A.- </t>
    </r>
    <r>
      <rPr>
        <sz val="16"/>
        <color theme="1"/>
        <rFont val="Calibri"/>
      </rPr>
      <t xml:space="preserve">Pregunte al trabajador si hay alguna acción que requiera esfuerzo muscular del brazo, la mano o dedos. 
</t>
    </r>
    <r>
      <rPr>
        <b/>
        <sz val="16"/>
        <color theme="1"/>
        <rFont val="Calibri"/>
      </rPr>
      <t xml:space="preserve">B.- </t>
    </r>
    <r>
      <rPr>
        <sz val="16"/>
        <color theme="1"/>
        <rFont val="Calibri"/>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</si>
  <si>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</si>
  <si>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</si>
  <si>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</si>
  <si>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</si>
  <si>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</si>
  <si>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</si>
  <si>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</si>
  <si>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</si>
  <si>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</si>
  <si>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</si>
  <si>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</si>
  <si>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</si>
  <si>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</si>
  <si>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</si>
  <si>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</si>
  <si>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</si>
  <si>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</si>
  <si>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</si>
  <si>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</si>
  <si>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</si>
  <si>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</si>
  <si>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</si>
  <si>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</si>
  <si>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</si>
  <si>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</si>
  <si>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</si>
  <si>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</si>
  <si>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</si>
  <si>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</si>
  <si>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</si>
  <si>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</si>
  <si>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</si>
  <si>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</si>
  <si>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</si>
  <si>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</si>
  <si>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</si>
  <si>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rPr>
      <t>1: Postura de cabeza y cuello:</t>
    </r>
    <r>
      <rPr>
        <sz val="18"/>
        <color theme="1"/>
        <rFont val="Calibri"/>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</si>
  <si>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</si>
  <si>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</si>
  <si>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</si>
  <si>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</si>
  <si>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</si>
  <si>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</si>
  <si>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</si>
  <si>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rPr>
      <t>2: Postura de la espalda:</t>
    </r>
    <r>
      <rPr>
        <sz val="18"/>
        <color theme="1"/>
        <rFont val="Calibri"/>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</si>
  <si>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</si>
  <si>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</si>
  <si>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</si>
  <si>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</si>
  <si>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rPr>
      <t>3: Postura del brazo:</t>
    </r>
    <r>
      <rPr>
        <sz val="18"/>
        <color theme="1"/>
        <rFont val="Calibri"/>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</si>
  <si>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</si>
  <si>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</si>
  <si>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</si>
  <si>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</si>
  <si>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</si>
  <si>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</si>
  <si>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rPr>
      <t>4: Postura de la muñeca:</t>
    </r>
    <r>
      <rPr>
        <sz val="18"/>
        <color theme="1"/>
        <rFont val="Calibri"/>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</si>
  <si>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</si>
  <si>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</si>
  <si>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</si>
  <si>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</si>
  <si>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rPr>
      <t>5: Agarre de la mano:</t>
    </r>
    <r>
      <rPr>
        <sz val="18"/>
        <color theme="1"/>
        <rFont val="Calibri"/>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</si>
  <si>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</si>
  <si>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</si>
  <si>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</si>
  <si>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</si>
  <si>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rPr>
      <t>1: Pausas:</t>
    </r>
    <r>
      <rPr>
        <sz val="18"/>
        <color theme="1"/>
        <rFont val="Calibri"/>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</si>
  <si>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</si>
  <si>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</si>
  <si>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</si>
  <si>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</si>
  <si>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</si>
  <si>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</si>
  <si>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</si>
  <si>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rPr>
      <t>2: Ritmo de trabajo:</t>
    </r>
    <r>
      <rPr>
        <sz val="18"/>
        <color theme="1"/>
        <rFont val="Calibri"/>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</si>
  <si>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</si>
  <si>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</si>
  <si>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</si>
  <si>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rPr>
      <t>3: Otros Factores:</t>
    </r>
    <r>
      <rPr>
        <sz val="18"/>
        <color theme="1"/>
        <rFont val="Calibri"/>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</si>
  <si>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</si>
  <si>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</si>
  <si>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</si>
  <si>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</si>
  <si>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</si>
  <si>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</si>
  <si>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</si>
  <si>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</si>
  <si>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</si>
  <si>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</si>
  <si>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</si>
  <si>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</si>
  <si>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</si>
  <si>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rPr>
      <t>4: Duración:</t>
    </r>
    <r>
      <rPr>
        <sz val="18"/>
        <color theme="1"/>
        <rFont val="Calibri"/>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</si>
  <si>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</si>
  <si>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</si>
  <si>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</si>
  <si>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</si>
  <si>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</si>
  <si>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</si>
  <si>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</si>
  <si>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</si>
  <si>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</si>
  <si>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rPr>
      <t>5: Factores Psicosociales:</t>
    </r>
    <r>
      <rPr>
        <sz val="18"/>
        <color theme="1"/>
        <rFont val="Calibri"/>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</si>
  <si>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</si>
  <si>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</si>
  <si>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</si>
  <si>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</si>
  <si>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</si>
  <si>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</si>
  <si>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</si>
  <si>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</si>
  <si>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</si>
  <si>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</si>
  <si>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</si>
  <si>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</si>
  <si>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</si>
  <si>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</si>
  <si>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</si>
  <si>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</si>
  <si>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</si>
  <si>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</si>
  <si>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</si>
  <si>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</si>
  <si>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</si>
  <si>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</si>
  <si>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</si>
  <si>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</si>
  <si>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</si>
  <si>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</si>
  <si>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</si>
  <si>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</si>
  <si>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</si>
  <si>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</si>
  <si>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</si>
  <si>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</si>
  <si>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</si>
  <si>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</si>
  <si>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</si>
  <si>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</si>
  <si>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</si>
  <si>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</si>
  <si>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</si>
  <si>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</si>
  <si>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</si>
  <si>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</si>
  <si>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</si>
  <si>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</si>
  <si>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</si>
  <si>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D5 Factores psicosociales (no recibe una puntuación, sin embargo, deben considerarse, a traves de la discusión con los trabajadores</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</si>
  <si>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</si>
  <si>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</si>
  <si>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</si>
  <si>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</si>
  <si>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</si>
  <si>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</si>
  <si>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</si>
  <si>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</si>
  <si>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</si>
  <si>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</si>
  <si>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</si>
  <si>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</si>
  <si>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</si>
  <si>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</si>
  <si>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</si>
  <si>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</si>
  <si>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</si>
  <si>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</si>
  <si>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</si>
  <si>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</si>
  <si>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</si>
  <si>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</si>
  <si>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</si>
  <si>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</si>
  <si>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</si>
  <si>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</si>
  <si>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</si>
  <si>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</si>
  <si>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</si>
  <si>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</si>
  <si>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</si>
  <si>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</si>
  <si>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</si>
  <si>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</si>
  <si>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</si>
  <si>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</si>
  <si>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</si>
  <si>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</si>
  <si>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</si>
  <si>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</si>
  <si>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</si>
  <si>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</si>
  <si>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</si>
  <si>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</si>
  <si>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</si>
  <si>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</si>
  <si>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</si>
  <si>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</si>
  <si>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</si>
  <si>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</si>
  <si>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</si>
  <si>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</si>
  <si>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</si>
  <si>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</si>
  <si>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</si>
  <si>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</si>
  <si>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</si>
  <si>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</si>
  <si>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</si>
  <si>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</si>
  <si>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</si>
  <si>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</si>
  <si>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</si>
  <si>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</si>
  <si>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</si>
  <si>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</si>
  <si>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</si>
  <si>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</si>
  <si>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</si>
  <si>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</si>
  <si>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</si>
  <si>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</si>
  <si>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</si>
  <si>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</si>
  <si>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</si>
  <si>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</si>
  <si>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AFROSUPER PLANTA ROSARIO</t>
  </si>
  <si>
    <t>FAENA</t>
  </si>
  <si>
    <t>SAN VICENTE TAGUA TAGUA</t>
  </si>
  <si>
    <t>OP EMPAQUE CHILLER</t>
  </si>
  <si>
    <t>60 MIN</t>
  </si>
  <si>
    <t>1,5 kg</t>
  </si>
  <si>
    <t>x</t>
  </si>
  <si>
    <t>NO SE OBTIENE</t>
  </si>
  <si>
    <t>PORUÑA 1.3 KG</t>
  </si>
  <si>
    <t>CADA 4 HRS</t>
  </si>
  <si>
    <t>DURANTE 30 MIN DISCONTINUOS HASTA LLEGAR A 60 MIN EN EL TURNO</t>
  </si>
  <si>
    <t>DIARIAMENTE</t>
  </si>
  <si>
    <t>SI, POR AL MENOS 10 TAREAS</t>
  </si>
  <si>
    <t>PO</t>
  </si>
  <si>
    <t>PNO</t>
  </si>
  <si>
    <t>PC</t>
  </si>
  <si>
    <t>EMBOLSADO DE CORAZON</t>
  </si>
  <si>
    <t>TRABAJADOR TOMA PORUÑA Y SACA PRODUCTO DESDE CINTA DE TRANSPORTE DE CORAZONES PROVENINETE DE EVISCERADO. POSTERIORMENTE INTRODUCE EL PRODUCTO EN BOLSA Y DEJA EN MESON LATERAL.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</si>
</sst>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7" x14ac:knownFonts="1">
    <font>
      <sz val="11"/>
      <color theme="1"/>
      <name val="Calibri"/>
      <scheme val="minor"/>
    </font>
    <font>
      <sz val="11"/>
      <color theme="1"/>
      <name val="Calibri"/>
    </font>
    <font>
      <b/>
      <sz val="36"/>
      <color theme="1"/>
      <name val="Calibri"/>
    </font>
    <font>
      <sz val="11"/>
      <name val="Calibri"/>
    </font>
    <font>
      <sz val="11"/>
      <color theme="0"/>
      <name val="Calibri"/>
    </font>
    <font>
      <b/>
      <sz val="18"/>
      <color theme="0"/>
      <name val="Calibri"/>
    </font>
    <font>
      <b/>
      <sz val="11"/>
      <color theme="1"/>
      <name val="Calibri"/>
    </font>
    <font>
      <b/>
      <sz val="20"/>
      <color theme="1"/>
      <name val="Calibri"/>
    </font>
    <font>
      <sz val="20"/>
      <color theme="1"/>
      <name val="Calibri"/>
    </font>
    <font>
      <b/>
      <sz val="18"/>
      <color theme="1"/>
      <name val="Calibri"/>
    </font>
    <font>
      <b/>
      <sz val="14"/>
      <color theme="1"/>
      <name val="Calibri"/>
    </font>
    <font>
      <sz val="14"/>
      <color theme="1"/>
      <name val="Calibri"/>
    </font>
    <font>
      <sz val="18"/>
      <color theme="1"/>
      <name val="Calibri"/>
    </font>
    <font>
      <b/>
      <sz val="16"/>
      <color theme="1"/>
      <name val="Calibri"/>
    </font>
    <font>
      <b/>
      <sz val="12"/>
      <color theme="1"/>
      <name val="Calibri"/>
    </font>
    <font>
      <sz val="10"/>
      <color theme="1"/>
      <name val="Calibri"/>
    </font>
    <font>
      <b/>
      <sz val="10"/>
      <color theme="1"/>
      <name val="Calibri"/>
    </font>
    <font>
      <sz val="12"/>
      <color theme="1"/>
      <name val="Calibri"/>
    </font>
    <font>
      <b/>
      <sz val="28"/>
      <color theme="1"/>
      <name val="Calibri"/>
    </font>
    <font>
      <b/>
      <sz val="22"/>
      <color theme="1"/>
      <name val="Calibri"/>
    </font>
    <font>
      <b/>
      <sz val="24"/>
      <color theme="1"/>
      <name val="Calibri"/>
    </font>
    <font>
      <sz val="16"/>
      <color theme="1"/>
      <name val="Calibri"/>
    </font>
    <font>
      <sz val="11"/>
      <color theme="1"/>
      <name val="Calibri"/>
      <family val="2"/>
    </font>
    <font>
      <sz val="14"/>
      <color theme="1"/>
      <name val="Calibri"/>
      <family val="2"/>
    </font>
    <font>
      <sz val="14"/>
      <name val="Calibri"/>
      <family val="2"/>
    </font>
    <font>
      <sz val="14"/>
      <color theme="1"/>
      <name val="Calibri"/>
      <family val="2"/>
      <scheme val="minor"/>
    </font>
    <font>
      <sz val="12"/>
      <color theme="1"/>
      <name val="Calibri"/>
      <family val="2"/>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65">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 fillId="2" borderId="45" xfId="0" applyFont="1" applyFill="1" applyBorder="1" applyAlignment="1">
      <alignment horizontal="center" vertical="center"/>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17" fillId="2" borderId="24" xfId="0" applyFont="1" applyFill="1" applyBorder="1" applyAlignment="1">
      <alignment horizontal="center" vertical="center"/>
    </xf>
    <xf numFmtId="0" fontId="17" fillId="2" borderId="48" xfId="0" applyFont="1" applyFill="1" applyBorder="1" applyAlignment="1">
      <alignment horizontal="center" vertical="center"/>
    </xf>
    <xf numFmtId="0" fontId="1" fillId="2" borderId="24" xfId="0" applyFont="1" applyFill="1" applyBorder="1" applyAlignment="1">
      <alignment horizontal="center"/>
    </xf>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2" borderId="26" xfId="0" applyFont="1" applyFill="1" applyBorder="1" applyAlignment="1">
      <alignment horizontal="center" vertical="center"/>
    </xf>
    <xf numFmtId="0" fontId="3" fillId="0" borderId="28" xfId="0" applyFont="1" applyBorder="1"/>
    <xf numFmtId="0" fontId="9" fillId="0" borderId="7" xfId="0" applyFont="1" applyBorder="1" applyAlignment="1">
      <alignment horizontal="center" vertical="center"/>
    </xf>
    <xf numFmtId="0" fontId="10" fillId="2" borderId="7" xfId="0" applyFont="1" applyFill="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2" borderId="30" xfId="0" applyFont="1" applyFill="1" applyBorder="1" applyAlignment="1">
      <alignment horizontal="center" vertical="center"/>
    </xf>
    <xf numFmtId="0" fontId="14" fillId="5" borderId="7" xfId="0" applyFont="1" applyFill="1" applyBorder="1" applyAlignment="1">
      <alignment horizontal="center" vertical="center"/>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4" fillId="2" borderId="36" xfId="0" applyFont="1" applyFill="1" applyBorder="1" applyAlignment="1">
      <alignment horizontal="center" vertical="center"/>
    </xf>
    <xf numFmtId="0" fontId="3" fillId="0" borderId="37" xfId="0" applyFont="1" applyBorder="1"/>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xf>
    <xf numFmtId="0" fontId="14" fillId="2" borderId="39" xfId="0" applyFont="1" applyFill="1" applyBorder="1" applyAlignment="1">
      <alignment horizontal="left"/>
    </xf>
    <xf numFmtId="0" fontId="10" fillId="6"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10" fillId="5" borderId="7"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9" borderId="7"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3" fillId="0" borderId="43" xfId="0" applyFont="1" applyBorder="1"/>
    <xf numFmtId="0" fontId="3" fillId="0" borderId="44" xfId="0" applyFont="1" applyBorder="1"/>
    <xf numFmtId="0" fontId="11" fillId="2" borderId="7" xfId="0" applyFont="1" applyFill="1" applyBorder="1" applyAlignment="1">
      <alignment horizontal="left" vertical="center" wrapText="1"/>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3" fillId="0" borderId="50" xfId="0" applyFont="1" applyBorder="1"/>
    <xf numFmtId="0" fontId="11" fillId="11" borderId="39" xfId="0" applyFont="1" applyFill="1" applyBorder="1" applyAlignment="1">
      <alignment horizontal="center" vertical="center" wrapText="1"/>
    </xf>
    <xf numFmtId="0" fontId="23" fillId="2" borderId="51" xfId="0" applyFont="1" applyFill="1" applyBorder="1" applyAlignment="1">
      <alignment horizontal="center" vertical="center" wrapText="1"/>
    </xf>
    <xf numFmtId="0" fontId="23" fillId="2" borderId="52" xfId="0" applyFont="1" applyFill="1" applyBorder="1" applyAlignment="1">
      <alignment horizontal="center" vertical="center" wrapText="1"/>
    </xf>
    <xf numFmtId="0" fontId="1" fillId="0" borderId="39" xfId="0" applyFont="1" applyBorder="1" applyAlignment="1">
      <alignment horizontal="left"/>
    </xf>
    <xf numFmtId="0" fontId="23" fillId="2" borderId="7" xfId="0" applyFont="1" applyFill="1" applyBorder="1" applyAlignment="1">
      <alignment horizontal="center" vertical="center" wrapText="1"/>
    </xf>
    <xf numFmtId="0" fontId="24" fillId="0" borderId="8" xfId="0" applyFont="1" applyBorder="1" applyAlignment="1">
      <alignment horizontal="center"/>
    </xf>
    <xf numFmtId="0" fontId="24" fillId="0" borderId="9" xfId="0" applyFont="1" applyBorder="1" applyAlignment="1">
      <alignment horizontal="center"/>
    </xf>
    <xf numFmtId="0" fontId="24" fillId="0" borderId="10" xfId="0" applyFont="1" applyBorder="1" applyAlignment="1">
      <alignment horizontal="center"/>
    </xf>
    <xf numFmtId="0" fontId="25" fillId="0" borderId="0" xfId="0" applyFont="1" applyAlignment="1">
      <alignment horizontal="center"/>
    </xf>
    <xf numFmtId="0" fontId="24" fillId="0" borderId="11" xfId="0" applyFont="1" applyBorder="1" applyAlignment="1">
      <alignment horizontal="center"/>
    </xf>
    <xf numFmtId="0" fontId="24" fillId="0" borderId="12" xfId="0" applyFont="1" applyBorder="1" applyAlignment="1">
      <alignment horizontal="center"/>
    </xf>
    <xf numFmtId="0" fontId="24" fillId="0" borderId="13" xfId="0" applyFont="1" applyBorder="1" applyAlignment="1">
      <alignment horizontal="center"/>
    </xf>
    <xf numFmtId="0" fontId="24" fillId="0" borderId="14" xfId="0" applyFont="1" applyBorder="1" applyAlignment="1">
      <alignment horizontal="center"/>
    </xf>
    <xf numFmtId="0" fontId="1" fillId="11"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39" xfId="0" applyFont="1" applyBorder="1" applyAlignment="1">
      <alignment horizontal="left" vertical="center"/>
    </xf>
    <xf numFmtId="0" fontId="14" fillId="0" borderId="7" xfId="0" applyFont="1" applyBorder="1" applyAlignment="1">
      <alignment horizontal="left" vertical="center"/>
    </xf>
    <xf numFmtId="0" fontId="1" fillId="11" borderId="39" xfId="0" applyFont="1" applyFill="1" applyBorder="1" applyAlignment="1">
      <alignment horizontal="left" vertical="center" wrapText="1"/>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wrapText="1"/>
    </xf>
    <xf numFmtId="0" fontId="1" fillId="11" borderId="39" xfId="0" applyFont="1" applyFill="1" applyBorder="1" applyAlignment="1">
      <alignment horizontal="center" vertical="center"/>
    </xf>
    <xf numFmtId="0" fontId="1" fillId="11" borderId="49" xfId="0" applyFont="1" applyFill="1" applyBorder="1" applyAlignment="1">
      <alignment horizontal="center" vertical="center" wrapText="1"/>
    </xf>
    <xf numFmtId="0" fontId="9" fillId="11" borderId="7"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3" fillId="0" borderId="47" xfId="0" applyFont="1" applyBorder="1"/>
    <xf numFmtId="0" fontId="17" fillId="2" borderId="33" xfId="0" applyFont="1" applyFill="1" applyBorder="1" applyAlignment="1">
      <alignment horizontal="center" vertical="center"/>
    </xf>
    <xf numFmtId="0" fontId="26" fillId="2" borderId="33" xfId="0" applyFont="1" applyFill="1" applyBorder="1" applyAlignment="1">
      <alignment horizontal="center" vertical="center"/>
    </xf>
    <xf numFmtId="0" fontId="3" fillId="0" borderId="35" xfId="0" applyFont="1" applyBorder="1" applyAlignment="1">
      <alignment horizontal="center"/>
    </xf>
    <xf numFmtId="0" fontId="26" fillId="2" borderId="25" xfId="0" applyFont="1" applyFill="1" applyBorder="1" applyAlignment="1">
      <alignment horizontal="center" vertical="center"/>
    </xf>
    <xf numFmtId="0" fontId="3" fillId="0" borderId="54" xfId="0" applyFont="1" applyBorder="1" applyAlignment="1">
      <alignment horizontal="center"/>
    </xf>
    <xf numFmtId="0" fontId="17" fillId="2" borderId="25" xfId="0" applyFont="1" applyFill="1" applyBorder="1" applyAlignment="1">
      <alignment horizontal="center" vertical="center"/>
    </xf>
    <xf numFmtId="0" fontId="3" fillId="0" borderId="54" xfId="0" applyFont="1" applyBorder="1"/>
    <xf numFmtId="0" fontId="1" fillId="11" borderId="39" xfId="0" applyFont="1" applyFill="1" applyBorder="1" applyAlignment="1">
      <alignment horizontal="left" wrapText="1"/>
    </xf>
    <xf numFmtId="0" fontId="22" fillId="2" borderId="39" xfId="0" applyFont="1" applyFill="1" applyBorder="1" applyAlignment="1">
      <alignment horizontal="center" vertical="center" wrapText="1"/>
    </xf>
    <xf numFmtId="0" fontId="17" fillId="11" borderId="33" xfId="0" applyFont="1" applyFill="1" applyBorder="1" applyAlignment="1">
      <alignment horizontal="center" vertical="center"/>
    </xf>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17" fillId="2" borderId="30" xfId="0" applyFont="1" applyFill="1" applyBorder="1" applyAlignment="1">
      <alignment horizontal="left" vertical="center" wrapText="1"/>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20" fillId="16" borderId="7" xfId="0" applyFont="1" applyFill="1" applyBorder="1" applyAlignment="1">
      <alignment horizontal="center" vertical="center"/>
    </xf>
    <xf numFmtId="0" fontId="17" fillId="2" borderId="67" xfId="0" applyFont="1" applyFill="1" applyBorder="1" applyAlignment="1">
      <alignment horizontal="left" vertic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showGridLines="0" zoomScale="80" zoomScaleNormal="8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21" t="s">
        <v>0</v>
      </c>
      <c r="M5" s="122"/>
      <c r="N5" s="122"/>
      <c r="O5" s="122"/>
      <c r="P5" s="122"/>
      <c r="Q5" s="122"/>
      <c r="R5" s="122"/>
      <c r="S5" s="122"/>
      <c r="T5" s="122"/>
      <c r="U5" s="122"/>
      <c r="V5" s="122"/>
      <c r="W5" s="122"/>
      <c r="X5" s="122"/>
      <c r="Y5" s="123"/>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4"/>
      <c r="M6" s="125"/>
      <c r="N6" s="125"/>
      <c r="O6" s="125"/>
      <c r="P6" s="125"/>
      <c r="Q6" s="125"/>
      <c r="R6" s="125"/>
      <c r="S6" s="125"/>
      <c r="T6" s="125"/>
      <c r="U6" s="125"/>
      <c r="V6" s="125"/>
      <c r="W6" s="125"/>
      <c r="X6" s="125"/>
      <c r="Y6" s="126"/>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4"/>
      <c r="M7" s="125"/>
      <c r="N7" s="125"/>
      <c r="O7" s="125"/>
      <c r="P7" s="125"/>
      <c r="Q7" s="125"/>
      <c r="R7" s="125"/>
      <c r="S7" s="125"/>
      <c r="T7" s="125"/>
      <c r="U7" s="125"/>
      <c r="V7" s="125"/>
      <c r="W7" s="125"/>
      <c r="X7" s="125"/>
      <c r="Y7" s="126"/>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4"/>
      <c r="M8" s="125"/>
      <c r="N8" s="125"/>
      <c r="O8" s="125"/>
      <c r="P8" s="125"/>
      <c r="Q8" s="125"/>
      <c r="R8" s="125"/>
      <c r="S8" s="125"/>
      <c r="T8" s="125"/>
      <c r="U8" s="125"/>
      <c r="V8" s="125"/>
      <c r="W8" s="125"/>
      <c r="X8" s="125"/>
      <c r="Y8" s="126"/>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4"/>
      <c r="M9" s="125"/>
      <c r="N9" s="125"/>
      <c r="O9" s="125"/>
      <c r="P9" s="125"/>
      <c r="Q9" s="125"/>
      <c r="R9" s="125"/>
      <c r="S9" s="125"/>
      <c r="T9" s="125"/>
      <c r="U9" s="125"/>
      <c r="V9" s="125"/>
      <c r="W9" s="125"/>
      <c r="X9" s="125"/>
      <c r="Y9" s="126"/>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4"/>
      <c r="M10" s="125"/>
      <c r="N10" s="125"/>
      <c r="O10" s="125"/>
      <c r="P10" s="125"/>
      <c r="Q10" s="125"/>
      <c r="R10" s="125"/>
      <c r="S10" s="125"/>
      <c r="T10" s="125"/>
      <c r="U10" s="125"/>
      <c r="V10" s="125"/>
      <c r="W10" s="125"/>
      <c r="X10" s="125"/>
      <c r="Y10" s="126"/>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4"/>
      <c r="M11" s="125"/>
      <c r="N11" s="125"/>
      <c r="O11" s="125"/>
      <c r="P11" s="125"/>
      <c r="Q11" s="125"/>
      <c r="R11" s="125"/>
      <c r="S11" s="125"/>
      <c r="T11" s="125"/>
      <c r="U11" s="125"/>
      <c r="V11" s="125"/>
      <c r="W11" s="125"/>
      <c r="X11" s="125"/>
      <c r="Y11" s="126"/>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4"/>
      <c r="M12" s="125"/>
      <c r="N12" s="125"/>
      <c r="O12" s="125"/>
      <c r="P12" s="125"/>
      <c r="Q12" s="125"/>
      <c r="R12" s="125"/>
      <c r="S12" s="125"/>
      <c r="T12" s="125"/>
      <c r="U12" s="125"/>
      <c r="V12" s="125"/>
      <c r="W12" s="125"/>
      <c r="X12" s="125"/>
      <c r="Y12" s="126"/>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7"/>
      <c r="M13" s="128"/>
      <c r="N13" s="128"/>
      <c r="O13" s="128"/>
      <c r="P13" s="128"/>
      <c r="Q13" s="128"/>
      <c r="R13" s="128"/>
      <c r="S13" s="128"/>
      <c r="T13" s="128"/>
      <c r="U13" s="128"/>
      <c r="V13" s="128"/>
      <c r="W13" s="128"/>
      <c r="X13" s="128"/>
      <c r="Y13" s="129"/>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30" t="s">
        <v>1</v>
      </c>
      <c r="Z28" s="131"/>
      <c r="AA28" s="132"/>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showGridLines="0" topLeftCell="A6" zoomScale="80" zoomScaleNormal="80" workbookViewId="0">
      <selection activeCell="T16" sqref="T16:U22"/>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row>
    <row r="3" spans="1:28" ht="15" customHeight="1" x14ac:dyDescent="0.25">
      <c r="A3" s="1"/>
      <c r="B3" s="1"/>
      <c r="C3" s="134"/>
      <c r="D3" s="135"/>
      <c r="E3" s="135"/>
      <c r="F3" s="135"/>
      <c r="G3" s="135"/>
      <c r="H3" s="135"/>
      <c r="I3" s="135"/>
      <c r="J3" s="135"/>
      <c r="K3" s="135"/>
      <c r="L3" s="135"/>
      <c r="M3" s="135"/>
      <c r="N3" s="135"/>
      <c r="O3" s="135"/>
      <c r="P3" s="135"/>
      <c r="Q3" s="135"/>
      <c r="R3" s="135"/>
      <c r="S3" s="135"/>
      <c r="T3" s="135"/>
      <c r="U3" s="135"/>
      <c r="V3" s="135"/>
      <c r="W3" s="135"/>
      <c r="X3" s="136"/>
      <c r="Y3" s="1"/>
      <c r="Z3" s="1"/>
      <c r="AA3" s="1"/>
      <c r="AB3" s="1"/>
    </row>
    <row r="4" spans="1:28" ht="15" customHeight="1" x14ac:dyDescent="0.25">
      <c r="A4" s="1"/>
      <c r="B4" s="1"/>
      <c r="C4" s="137" t="s">
        <v>3</v>
      </c>
      <c r="D4" s="122"/>
      <c r="E4" s="122"/>
      <c r="F4" s="122"/>
      <c r="G4" s="122"/>
      <c r="H4" s="122"/>
      <c r="I4" s="122"/>
      <c r="J4" s="122"/>
      <c r="K4" s="122"/>
      <c r="L4" s="122"/>
      <c r="M4" s="122"/>
      <c r="N4" s="122"/>
      <c r="O4" s="122"/>
      <c r="P4" s="122"/>
      <c r="Q4" s="122"/>
      <c r="R4" s="122"/>
      <c r="S4" s="122"/>
      <c r="T4" s="122"/>
      <c r="U4" s="122"/>
      <c r="V4" s="122"/>
      <c r="W4" s="122"/>
      <c r="X4" s="123"/>
      <c r="Y4" s="1"/>
      <c r="Z4" s="1"/>
      <c r="AA4" s="1"/>
      <c r="AB4" s="1"/>
    </row>
    <row r="5" spans="1:28"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row>
    <row r="6" spans="1:28" ht="23.25" customHeight="1" x14ac:dyDescent="0.25">
      <c r="A6" s="1"/>
      <c r="B6" s="1"/>
      <c r="C6" s="138" t="s">
        <v>4</v>
      </c>
      <c r="D6" s="125"/>
      <c r="E6" s="125"/>
      <c r="F6" s="125"/>
      <c r="G6" s="125"/>
      <c r="H6" s="125"/>
      <c r="I6" s="125"/>
      <c r="J6" s="125"/>
      <c r="K6" s="125"/>
      <c r="L6" s="125"/>
      <c r="M6" s="125"/>
      <c r="N6" s="125"/>
      <c r="O6" s="125"/>
      <c r="P6" s="125"/>
      <c r="Q6" s="125"/>
      <c r="R6" s="125"/>
      <c r="S6" s="125"/>
      <c r="T6" s="125"/>
      <c r="U6" s="125"/>
      <c r="V6" s="125"/>
      <c r="W6" s="125"/>
      <c r="X6" s="126"/>
      <c r="Y6" s="1"/>
      <c r="Z6" s="1"/>
      <c r="AA6" s="1"/>
      <c r="AB6" s="1"/>
    </row>
    <row r="7" spans="1:28"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row>
    <row r="8" spans="1:28" ht="14.2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39" t="s">
        <v>6</v>
      </c>
      <c r="G14" s="123"/>
      <c r="H14" s="147" t="s">
        <v>7</v>
      </c>
      <c r="I14" s="122"/>
      <c r="J14" s="122"/>
      <c r="K14" s="122"/>
      <c r="L14" s="122"/>
      <c r="M14" s="122"/>
      <c r="N14" s="122"/>
      <c r="O14" s="122"/>
      <c r="P14" s="123"/>
      <c r="Q14" s="140" t="s">
        <v>8</v>
      </c>
      <c r="R14" s="146" t="s">
        <v>9</v>
      </c>
      <c r="S14" s="123"/>
      <c r="T14" s="143" t="s">
        <v>10</v>
      </c>
      <c r="U14" s="123"/>
      <c r="V14" s="1"/>
      <c r="W14" s="1"/>
      <c r="X14" s="10"/>
      <c r="Y14" s="1"/>
      <c r="Z14" s="1"/>
      <c r="AA14" s="1"/>
      <c r="AB14" s="1"/>
    </row>
    <row r="15" spans="1:28" ht="15" customHeight="1" x14ac:dyDescent="0.25">
      <c r="A15" s="1"/>
      <c r="B15" s="1"/>
      <c r="C15" s="19"/>
      <c r="D15" s="1"/>
      <c r="E15" s="1"/>
      <c r="F15" s="124"/>
      <c r="G15" s="126"/>
      <c r="H15" s="124"/>
      <c r="I15" s="125"/>
      <c r="J15" s="125"/>
      <c r="K15" s="125"/>
      <c r="L15" s="125"/>
      <c r="M15" s="125"/>
      <c r="N15" s="125"/>
      <c r="O15" s="125"/>
      <c r="P15" s="126"/>
      <c r="Q15" s="141"/>
      <c r="R15" s="127"/>
      <c r="S15" s="129"/>
      <c r="T15" s="144"/>
      <c r="U15" s="129"/>
      <c r="V15" s="1"/>
      <c r="W15" s="1"/>
      <c r="X15" s="10"/>
      <c r="Y15" s="1"/>
      <c r="Z15" s="1"/>
      <c r="AA15" s="1"/>
      <c r="AB15" s="1"/>
    </row>
    <row r="16" spans="1:28" ht="15" customHeight="1" x14ac:dyDescent="0.25">
      <c r="A16" s="1"/>
      <c r="B16" s="1"/>
      <c r="C16" s="19"/>
      <c r="D16" s="1"/>
      <c r="E16" s="1"/>
      <c r="F16" s="124"/>
      <c r="G16" s="126"/>
      <c r="H16" s="127"/>
      <c r="I16" s="128"/>
      <c r="J16" s="128"/>
      <c r="K16" s="128"/>
      <c r="L16" s="128"/>
      <c r="M16" s="128"/>
      <c r="N16" s="128"/>
      <c r="O16" s="128"/>
      <c r="P16" s="129"/>
      <c r="Q16" s="142"/>
      <c r="R16" s="145" t="s">
        <v>16</v>
      </c>
      <c r="S16" s="123"/>
      <c r="T16" s="145" t="s">
        <v>16</v>
      </c>
      <c r="U16" s="123"/>
      <c r="V16" s="1"/>
      <c r="W16" s="1"/>
      <c r="X16" s="10"/>
      <c r="Y16" s="1"/>
      <c r="Z16" s="1"/>
      <c r="AA16" s="1"/>
      <c r="AB16" s="1"/>
    </row>
    <row r="17" spans="1:28" ht="14.25" customHeight="1" x14ac:dyDescent="0.25">
      <c r="A17" s="1"/>
      <c r="B17" s="1"/>
      <c r="C17" s="19"/>
      <c r="D17" s="1"/>
      <c r="E17" s="1"/>
      <c r="F17" s="124"/>
      <c r="G17" s="126"/>
      <c r="H17" s="148" t="s">
        <v>11</v>
      </c>
      <c r="I17" s="122"/>
      <c r="J17" s="122"/>
      <c r="K17" s="122"/>
      <c r="L17" s="122"/>
      <c r="M17" s="122"/>
      <c r="N17" s="122"/>
      <c r="O17" s="122"/>
      <c r="P17" s="123"/>
      <c r="Q17" s="140" t="s">
        <v>12</v>
      </c>
      <c r="R17" s="124"/>
      <c r="S17" s="126"/>
      <c r="T17" s="124"/>
      <c r="U17" s="126"/>
      <c r="V17" s="1"/>
      <c r="W17" s="1"/>
      <c r="X17" s="10"/>
      <c r="Y17" s="1"/>
      <c r="Z17" s="1"/>
      <c r="AA17" s="1"/>
      <c r="AB17" s="1"/>
    </row>
    <row r="18" spans="1:28" ht="14.25" customHeight="1" x14ac:dyDescent="0.25">
      <c r="A18" s="1"/>
      <c r="B18" s="1"/>
      <c r="C18" s="19"/>
      <c r="D18" s="1"/>
      <c r="E18" s="1"/>
      <c r="F18" s="124"/>
      <c r="G18" s="126"/>
      <c r="H18" s="124"/>
      <c r="I18" s="125"/>
      <c r="J18" s="125"/>
      <c r="K18" s="125"/>
      <c r="L18" s="125"/>
      <c r="M18" s="125"/>
      <c r="N18" s="125"/>
      <c r="O18" s="125"/>
      <c r="P18" s="126"/>
      <c r="Q18" s="141"/>
      <c r="R18" s="124"/>
      <c r="S18" s="126"/>
      <c r="T18" s="124"/>
      <c r="U18" s="126"/>
      <c r="V18" s="1"/>
      <c r="W18" s="1"/>
      <c r="X18" s="10"/>
      <c r="Y18" s="1"/>
      <c r="Z18" s="1"/>
      <c r="AA18" s="1"/>
      <c r="AB18" s="1"/>
    </row>
    <row r="19" spans="1:28" ht="15" customHeight="1" x14ac:dyDescent="0.25">
      <c r="A19" s="1"/>
      <c r="B19" s="1"/>
      <c r="C19" s="19"/>
      <c r="D19" s="1"/>
      <c r="E19" s="1"/>
      <c r="F19" s="124"/>
      <c r="G19" s="126"/>
      <c r="H19" s="127"/>
      <c r="I19" s="128"/>
      <c r="J19" s="128"/>
      <c r="K19" s="128"/>
      <c r="L19" s="128"/>
      <c r="M19" s="128"/>
      <c r="N19" s="128"/>
      <c r="O19" s="128"/>
      <c r="P19" s="129"/>
      <c r="Q19" s="142"/>
      <c r="R19" s="124"/>
      <c r="S19" s="126"/>
      <c r="T19" s="124"/>
      <c r="U19" s="126"/>
      <c r="V19" s="1"/>
      <c r="W19" s="1"/>
      <c r="X19" s="10"/>
      <c r="Y19" s="1"/>
      <c r="Z19" s="1"/>
      <c r="AA19" s="1"/>
      <c r="AB19" s="1"/>
    </row>
    <row r="20" spans="1:28" ht="14.25" customHeight="1" x14ac:dyDescent="0.25">
      <c r="A20" s="1"/>
      <c r="B20" s="1"/>
      <c r="C20" s="19"/>
      <c r="D20" s="1"/>
      <c r="E20" s="1"/>
      <c r="F20" s="124"/>
      <c r="G20" s="126"/>
      <c r="H20" s="149" t="s">
        <v>13</v>
      </c>
      <c r="I20" s="150"/>
      <c r="J20" s="150"/>
      <c r="K20" s="150"/>
      <c r="L20" s="150"/>
      <c r="M20" s="150"/>
      <c r="N20" s="150"/>
      <c r="O20" s="150"/>
      <c r="P20" s="151"/>
      <c r="Q20" s="152" t="s">
        <v>14</v>
      </c>
      <c r="R20" s="124"/>
      <c r="S20" s="126"/>
      <c r="T20" s="124"/>
      <c r="U20" s="126"/>
      <c r="V20" s="1"/>
      <c r="W20" s="1"/>
      <c r="X20" s="10"/>
      <c r="Y20" s="1"/>
      <c r="Z20" s="1"/>
      <c r="AA20" s="1"/>
      <c r="AB20" s="1"/>
    </row>
    <row r="21" spans="1:28" ht="14.25" customHeight="1" x14ac:dyDescent="0.25">
      <c r="A21" s="1"/>
      <c r="B21" s="1"/>
      <c r="C21" s="19"/>
      <c r="D21" s="1"/>
      <c r="E21" s="1"/>
      <c r="F21" s="124"/>
      <c r="G21" s="126"/>
      <c r="H21" s="124"/>
      <c r="I21" s="125"/>
      <c r="J21" s="125"/>
      <c r="K21" s="125"/>
      <c r="L21" s="125"/>
      <c r="M21" s="125"/>
      <c r="N21" s="125"/>
      <c r="O21" s="125"/>
      <c r="P21" s="126"/>
      <c r="Q21" s="153"/>
      <c r="R21" s="124"/>
      <c r="S21" s="126"/>
      <c r="T21" s="124"/>
      <c r="U21" s="126"/>
      <c r="V21" s="1"/>
      <c r="W21" s="1"/>
      <c r="X21" s="10"/>
      <c r="Y21" s="1"/>
      <c r="Z21" s="1"/>
      <c r="AA21" s="1"/>
      <c r="AB21" s="1"/>
    </row>
    <row r="22" spans="1:28" ht="15" customHeight="1" x14ac:dyDescent="0.25">
      <c r="A22" s="1"/>
      <c r="B22" s="1"/>
      <c r="C22" s="19"/>
      <c r="D22" s="1"/>
      <c r="E22" s="1"/>
      <c r="F22" s="127"/>
      <c r="G22" s="129"/>
      <c r="H22" s="127"/>
      <c r="I22" s="128"/>
      <c r="J22" s="128"/>
      <c r="K22" s="128"/>
      <c r="L22" s="128"/>
      <c r="M22" s="128"/>
      <c r="N22" s="128"/>
      <c r="O22" s="128"/>
      <c r="P22" s="129"/>
      <c r="Q22" s="154"/>
      <c r="R22" s="127"/>
      <c r="S22" s="129"/>
      <c r="T22" s="127"/>
      <c r="U22" s="129"/>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xr:uid="{00000000-0002-0000-0100-000000000000}">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showGridLines="0" topLeftCell="A7" zoomScale="80" zoomScaleNormal="80" workbookViewId="0">
      <selection activeCell="T23" sqref="T23"/>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55" t="s">
        <v>3</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18</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30"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23.2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39" t="s">
        <v>19</v>
      </c>
      <c r="G14" s="123"/>
      <c r="H14" s="147" t="s">
        <v>20</v>
      </c>
      <c r="I14" s="122"/>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4"/>
      <c r="G15" s="126"/>
      <c r="H15" s="124"/>
      <c r="I15" s="125"/>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4"/>
      <c r="G16" s="126"/>
      <c r="H16" s="127"/>
      <c r="I16" s="128"/>
      <c r="J16" s="128"/>
      <c r="K16" s="128"/>
      <c r="L16" s="128"/>
      <c r="M16" s="128"/>
      <c r="N16" s="128"/>
      <c r="O16" s="128"/>
      <c r="P16" s="129"/>
      <c r="Q16" s="142"/>
      <c r="R16" s="145" t="s">
        <v>16</v>
      </c>
      <c r="S16" s="123"/>
      <c r="T16" s="145" t="s">
        <v>16</v>
      </c>
      <c r="U16" s="123"/>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4"/>
      <c r="G17" s="126"/>
      <c r="H17" s="148" t="s">
        <v>21</v>
      </c>
      <c r="I17" s="122"/>
      <c r="J17" s="122"/>
      <c r="K17" s="122"/>
      <c r="L17" s="122"/>
      <c r="M17" s="122"/>
      <c r="N17" s="122"/>
      <c r="O17" s="122"/>
      <c r="P17" s="123"/>
      <c r="Q17" s="140" t="s">
        <v>12</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4"/>
      <c r="G18" s="126"/>
      <c r="H18" s="124"/>
      <c r="I18" s="125"/>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4"/>
      <c r="G19" s="126"/>
      <c r="H19" s="127"/>
      <c r="I19" s="128"/>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4"/>
      <c r="G20" s="126"/>
      <c r="H20" s="149" t="s">
        <v>22</v>
      </c>
      <c r="I20" s="150"/>
      <c r="J20" s="150"/>
      <c r="K20" s="150"/>
      <c r="L20" s="150"/>
      <c r="M20" s="150"/>
      <c r="N20" s="150"/>
      <c r="O20" s="150"/>
      <c r="P20" s="151"/>
      <c r="Q20" s="152" t="s">
        <v>14</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4"/>
      <c r="G21" s="126"/>
      <c r="H21" s="124"/>
      <c r="I21" s="125"/>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7"/>
      <c r="G22" s="129"/>
      <c r="H22" s="127"/>
      <c r="I22" s="128"/>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xr:uid="{00000000-0002-0000-0200-000000000000}">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showGridLines="0" topLeftCell="F23" workbookViewId="0">
      <selection activeCell="V36" sqref="V36"/>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0" t="s">
        <v>23</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71" t="s">
        <v>24</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90"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72" t="s">
        <v>25</v>
      </c>
      <c r="E11" s="122"/>
      <c r="F11" s="122"/>
      <c r="G11" s="122"/>
      <c r="H11" s="122"/>
      <c r="I11" s="122"/>
      <c r="J11" s="122"/>
      <c r="K11" s="122"/>
      <c r="L11" s="123"/>
      <c r="M11" s="1"/>
      <c r="N11" s="172" t="s">
        <v>26</v>
      </c>
      <c r="O11" s="122"/>
      <c r="P11" s="122"/>
      <c r="Q11" s="122"/>
      <c r="R11" s="122"/>
      <c r="S11" s="122"/>
      <c r="T11" s="122"/>
      <c r="U11" s="122"/>
      <c r="V11" s="122"/>
      <c r="W11" s="123"/>
      <c r="X11" s="10"/>
      <c r="Y11" s="1"/>
      <c r="Z11" s="1"/>
      <c r="AA11" s="1"/>
      <c r="AB11" s="1"/>
      <c r="AC11" s="1"/>
      <c r="AD11" s="1"/>
      <c r="AE11" s="1"/>
      <c r="AF11" s="1"/>
      <c r="AG11" s="1"/>
      <c r="AH11" s="1"/>
      <c r="AI11" s="1"/>
      <c r="AJ11" s="1"/>
    </row>
    <row r="12" spans="1:36" ht="14.25" hidden="1" customHeight="1" x14ac:dyDescent="0.25">
      <c r="A12" s="1"/>
      <c r="B12" s="1"/>
      <c r="C12" s="19"/>
      <c r="D12" s="124"/>
      <c r="E12" s="125"/>
      <c r="F12" s="125"/>
      <c r="G12" s="125"/>
      <c r="H12" s="125"/>
      <c r="I12" s="125"/>
      <c r="J12" s="125"/>
      <c r="K12" s="125"/>
      <c r="L12" s="126"/>
      <c r="M12" s="1"/>
      <c r="N12" s="124"/>
      <c r="O12" s="125"/>
      <c r="P12" s="125"/>
      <c r="Q12" s="125"/>
      <c r="R12" s="125"/>
      <c r="S12" s="125"/>
      <c r="T12" s="125"/>
      <c r="U12" s="125"/>
      <c r="V12" s="125"/>
      <c r="W12" s="126"/>
      <c r="X12" s="10"/>
      <c r="Y12" s="1"/>
      <c r="Z12" s="1"/>
      <c r="AA12" s="1"/>
      <c r="AB12" s="1"/>
      <c r="AC12" s="1"/>
      <c r="AD12" s="1"/>
      <c r="AE12" s="1"/>
      <c r="AF12" s="1"/>
      <c r="AG12" s="1"/>
      <c r="AH12" s="1"/>
      <c r="AI12" s="1"/>
      <c r="AJ12" s="1"/>
    </row>
    <row r="13" spans="1:36" ht="15" hidden="1" customHeight="1" x14ac:dyDescent="0.25">
      <c r="A13" s="1"/>
      <c r="B13" s="1"/>
      <c r="C13" s="19"/>
      <c r="D13" s="124"/>
      <c r="E13" s="125"/>
      <c r="F13" s="125"/>
      <c r="G13" s="125"/>
      <c r="H13" s="125"/>
      <c r="I13" s="125"/>
      <c r="J13" s="125"/>
      <c r="K13" s="125"/>
      <c r="L13" s="126"/>
      <c r="M13" s="1"/>
      <c r="N13" s="124"/>
      <c r="O13" s="125"/>
      <c r="P13" s="125"/>
      <c r="Q13" s="125"/>
      <c r="R13" s="125"/>
      <c r="S13" s="125"/>
      <c r="T13" s="125"/>
      <c r="U13" s="125"/>
      <c r="V13" s="125"/>
      <c r="W13" s="126"/>
      <c r="X13" s="10"/>
      <c r="Y13" s="1"/>
      <c r="Z13" s="1"/>
      <c r="AA13" s="1"/>
      <c r="AB13" s="1"/>
      <c r="AC13" s="1"/>
      <c r="AD13" s="1"/>
      <c r="AE13" s="1"/>
      <c r="AF13" s="1"/>
      <c r="AG13" s="1"/>
      <c r="AH13" s="1"/>
      <c r="AI13" s="1"/>
      <c r="AJ13" s="1"/>
    </row>
    <row r="14" spans="1:36" ht="14.25" hidden="1" customHeight="1" x14ac:dyDescent="0.25">
      <c r="A14" s="1"/>
      <c r="B14" s="1"/>
      <c r="C14" s="19"/>
      <c r="D14" s="124"/>
      <c r="E14" s="125"/>
      <c r="F14" s="125"/>
      <c r="G14" s="125"/>
      <c r="H14" s="125"/>
      <c r="I14" s="125"/>
      <c r="J14" s="125"/>
      <c r="K14" s="125"/>
      <c r="L14" s="126"/>
      <c r="M14" s="24"/>
      <c r="N14" s="124"/>
      <c r="O14" s="125"/>
      <c r="P14" s="125"/>
      <c r="Q14" s="125"/>
      <c r="R14" s="125"/>
      <c r="S14" s="125"/>
      <c r="T14" s="125"/>
      <c r="U14" s="125"/>
      <c r="V14" s="125"/>
      <c r="W14" s="126"/>
      <c r="X14" s="10"/>
      <c r="Y14" s="1"/>
      <c r="Z14" s="1"/>
      <c r="AA14" s="1"/>
      <c r="AB14" s="1"/>
      <c r="AC14" s="1"/>
      <c r="AD14" s="1"/>
      <c r="AE14" s="1"/>
      <c r="AF14" s="1"/>
      <c r="AG14" s="1"/>
      <c r="AH14" s="1"/>
      <c r="AI14" s="1"/>
      <c r="AJ14" s="1"/>
    </row>
    <row r="15" spans="1:36" ht="15" hidden="1" customHeight="1" x14ac:dyDescent="0.25">
      <c r="A15" s="1"/>
      <c r="B15" s="1"/>
      <c r="C15" s="19"/>
      <c r="D15" s="124"/>
      <c r="E15" s="125"/>
      <c r="F15" s="125"/>
      <c r="G15" s="125"/>
      <c r="H15" s="125"/>
      <c r="I15" s="125"/>
      <c r="J15" s="125"/>
      <c r="K15" s="125"/>
      <c r="L15" s="126"/>
      <c r="M15" s="24"/>
      <c r="N15" s="124"/>
      <c r="O15" s="125"/>
      <c r="P15" s="125"/>
      <c r="Q15" s="125"/>
      <c r="R15" s="125"/>
      <c r="S15" s="125"/>
      <c r="T15" s="125"/>
      <c r="U15" s="125"/>
      <c r="V15" s="125"/>
      <c r="W15" s="126"/>
      <c r="X15" s="10"/>
      <c r="Y15" s="1"/>
      <c r="Z15" s="1"/>
      <c r="AA15" s="1"/>
      <c r="AB15" s="1"/>
      <c r="AC15" s="1"/>
      <c r="AD15" s="1"/>
      <c r="AE15" s="1"/>
      <c r="AF15" s="1"/>
      <c r="AG15" s="1"/>
      <c r="AH15" s="1"/>
      <c r="AI15" s="1"/>
      <c r="AJ15" s="1"/>
    </row>
    <row r="16" spans="1:36" ht="14.25" customHeight="1" x14ac:dyDescent="0.25">
      <c r="A16" s="1"/>
      <c r="B16" s="1"/>
      <c r="C16" s="19"/>
      <c r="D16" s="127"/>
      <c r="E16" s="128"/>
      <c r="F16" s="128"/>
      <c r="G16" s="128"/>
      <c r="H16" s="128"/>
      <c r="I16" s="128"/>
      <c r="J16" s="128"/>
      <c r="K16" s="128"/>
      <c r="L16" s="129"/>
      <c r="M16" s="24"/>
      <c r="N16" s="127"/>
      <c r="O16" s="128"/>
      <c r="P16" s="128"/>
      <c r="Q16" s="128"/>
      <c r="R16" s="128"/>
      <c r="S16" s="128"/>
      <c r="T16" s="128"/>
      <c r="U16" s="128"/>
      <c r="V16" s="128"/>
      <c r="W16" s="129"/>
      <c r="X16" s="10"/>
      <c r="Y16" s="1"/>
      <c r="Z16" s="1"/>
      <c r="AA16" s="1"/>
      <c r="AB16" s="1"/>
      <c r="AC16" s="1"/>
      <c r="AD16" s="1"/>
      <c r="AE16" s="1"/>
      <c r="AF16" s="1"/>
      <c r="AG16" s="1"/>
      <c r="AH16" s="1"/>
      <c r="AI16" s="1"/>
      <c r="AJ16" s="1"/>
    </row>
    <row r="17" spans="1:36" ht="14.25" customHeight="1" x14ac:dyDescent="0.25">
      <c r="A17" s="1"/>
      <c r="B17" s="1"/>
      <c r="C17" s="19"/>
      <c r="D17" s="160" t="s">
        <v>27</v>
      </c>
      <c r="E17" s="173" t="s">
        <v>28</v>
      </c>
      <c r="F17" s="122"/>
      <c r="G17" s="122"/>
      <c r="H17" s="122"/>
      <c r="I17" s="122"/>
      <c r="J17" s="122"/>
      <c r="K17" s="122"/>
      <c r="L17" s="123"/>
      <c r="M17" s="24"/>
      <c r="N17" s="165" t="s">
        <v>29</v>
      </c>
      <c r="O17" s="151"/>
      <c r="P17" s="166" t="s">
        <v>30</v>
      </c>
      <c r="Q17" s="151"/>
      <c r="R17" s="166" t="s">
        <v>31</v>
      </c>
      <c r="S17" s="151"/>
      <c r="T17" s="166" t="s">
        <v>32</v>
      </c>
      <c r="U17" s="151"/>
      <c r="V17" s="174" t="s">
        <v>33</v>
      </c>
      <c r="W17" s="151"/>
      <c r="X17" s="10"/>
      <c r="Y17" s="1"/>
      <c r="Z17" s="1"/>
      <c r="AA17" s="1"/>
      <c r="AB17" s="1"/>
      <c r="AC17" s="1"/>
      <c r="AD17" s="1"/>
      <c r="AE17" s="1"/>
      <c r="AF17" s="1"/>
      <c r="AG17" s="1"/>
      <c r="AH17" s="1"/>
      <c r="AI17" s="1"/>
      <c r="AJ17" s="1"/>
    </row>
    <row r="18" spans="1:36" ht="14.25" hidden="1" customHeight="1" x14ac:dyDescent="0.25">
      <c r="A18" s="1"/>
      <c r="B18" s="1"/>
      <c r="C18" s="19"/>
      <c r="D18" s="153"/>
      <c r="E18" s="124"/>
      <c r="F18" s="125"/>
      <c r="G18" s="125"/>
      <c r="H18" s="125"/>
      <c r="I18" s="125"/>
      <c r="J18" s="125"/>
      <c r="K18" s="125"/>
      <c r="L18" s="126"/>
      <c r="M18" s="24"/>
      <c r="N18" s="124"/>
      <c r="O18" s="126"/>
      <c r="P18" s="124"/>
      <c r="Q18" s="126"/>
      <c r="R18" s="124"/>
      <c r="S18" s="126"/>
      <c r="T18" s="124"/>
      <c r="U18" s="126"/>
      <c r="V18" s="175"/>
      <c r="W18" s="126"/>
      <c r="X18" s="10"/>
      <c r="Y18" s="1"/>
      <c r="Z18" s="1"/>
      <c r="AA18" s="1"/>
      <c r="AB18" s="1"/>
      <c r="AC18" s="1"/>
      <c r="AD18" s="1"/>
      <c r="AE18" s="1"/>
      <c r="AF18" s="1"/>
      <c r="AG18" s="1"/>
      <c r="AH18" s="1"/>
      <c r="AI18" s="1"/>
      <c r="AJ18" s="1"/>
    </row>
    <row r="19" spans="1:36" ht="14.25" customHeight="1" x14ac:dyDescent="0.25">
      <c r="A19" s="1"/>
      <c r="B19" s="1"/>
      <c r="C19" s="19"/>
      <c r="D19" s="153"/>
      <c r="E19" s="124"/>
      <c r="F19" s="125"/>
      <c r="G19" s="125"/>
      <c r="H19" s="125"/>
      <c r="I19" s="125"/>
      <c r="J19" s="125"/>
      <c r="K19" s="125"/>
      <c r="L19" s="126"/>
      <c r="M19" s="24"/>
      <c r="N19" s="127"/>
      <c r="O19" s="129"/>
      <c r="P19" s="127"/>
      <c r="Q19" s="129"/>
      <c r="R19" s="127"/>
      <c r="S19" s="129"/>
      <c r="T19" s="127"/>
      <c r="U19" s="129"/>
      <c r="V19" s="144"/>
      <c r="W19" s="129"/>
      <c r="X19" s="10"/>
      <c r="Y19" s="1"/>
      <c r="Z19" s="1"/>
      <c r="AA19" s="1"/>
      <c r="AB19" s="1"/>
      <c r="AC19" s="1"/>
      <c r="AD19" s="1"/>
      <c r="AE19" s="1"/>
      <c r="AF19" s="1"/>
      <c r="AG19" s="1"/>
      <c r="AH19" s="1"/>
      <c r="AI19" s="1"/>
      <c r="AJ19" s="1"/>
    </row>
    <row r="20" spans="1:36" ht="22.5" customHeight="1" x14ac:dyDescent="0.25">
      <c r="A20" s="1"/>
      <c r="B20" s="1"/>
      <c r="C20" s="19"/>
      <c r="D20" s="154"/>
      <c r="E20" s="127"/>
      <c r="F20" s="128"/>
      <c r="G20" s="128"/>
      <c r="H20" s="128"/>
      <c r="I20" s="128"/>
      <c r="J20" s="128"/>
      <c r="K20" s="128"/>
      <c r="L20" s="129"/>
      <c r="M20" s="24"/>
      <c r="N20" s="164" t="s">
        <v>34</v>
      </c>
      <c r="O20" s="123"/>
      <c r="P20" s="167" t="s">
        <v>8</v>
      </c>
      <c r="Q20" s="123"/>
      <c r="R20" s="157" t="s">
        <v>35</v>
      </c>
      <c r="S20" s="123"/>
      <c r="T20" s="158" t="s">
        <v>14</v>
      </c>
      <c r="U20" s="123"/>
      <c r="V20" s="159" t="s">
        <v>36</v>
      </c>
      <c r="W20" s="123"/>
      <c r="X20" s="10"/>
      <c r="Y20" s="1"/>
      <c r="Z20" s="1"/>
      <c r="AA20" s="1"/>
      <c r="AB20" s="1"/>
      <c r="AC20" s="1"/>
      <c r="AD20" s="1"/>
      <c r="AE20" s="1"/>
      <c r="AF20" s="1"/>
      <c r="AG20" s="1"/>
      <c r="AH20" s="1"/>
      <c r="AI20" s="1"/>
      <c r="AJ20" s="1"/>
    </row>
    <row r="21" spans="1:36" ht="14.25" customHeight="1" x14ac:dyDescent="0.25">
      <c r="A21" s="1"/>
      <c r="B21" s="1"/>
      <c r="C21" s="19"/>
      <c r="D21" s="160" t="s">
        <v>37</v>
      </c>
      <c r="E21" s="173" t="s">
        <v>38</v>
      </c>
      <c r="F21" s="122"/>
      <c r="G21" s="122"/>
      <c r="H21" s="122"/>
      <c r="I21" s="122"/>
      <c r="J21" s="122"/>
      <c r="K21" s="122"/>
      <c r="L21" s="123"/>
      <c r="M21" s="24"/>
      <c r="N21" s="127"/>
      <c r="O21" s="129"/>
      <c r="P21" s="134"/>
      <c r="Q21" s="136"/>
      <c r="R21" s="134"/>
      <c r="S21" s="136"/>
      <c r="T21" s="134"/>
      <c r="U21" s="136"/>
      <c r="V21" s="127"/>
      <c r="W21" s="129"/>
      <c r="X21" s="10"/>
      <c r="Y21" s="1"/>
      <c r="Z21" s="1"/>
      <c r="AA21" s="1"/>
      <c r="AB21" s="1"/>
      <c r="AC21" s="1"/>
      <c r="AD21" s="1"/>
      <c r="AE21" s="1"/>
      <c r="AF21" s="1"/>
      <c r="AG21" s="1"/>
      <c r="AH21" s="1"/>
      <c r="AI21" s="1"/>
      <c r="AJ21" s="1"/>
    </row>
    <row r="22" spans="1:36" ht="14.25" customHeight="1" x14ac:dyDescent="0.25">
      <c r="A22" s="1"/>
      <c r="B22" s="1"/>
      <c r="C22" s="19"/>
      <c r="D22" s="153"/>
      <c r="E22" s="124"/>
      <c r="F22" s="125"/>
      <c r="G22" s="125"/>
      <c r="H22" s="125"/>
      <c r="I22" s="125"/>
      <c r="J22" s="125"/>
      <c r="K22" s="125"/>
      <c r="L22" s="126"/>
      <c r="M22" s="24"/>
      <c r="N22" s="164" t="s">
        <v>39</v>
      </c>
      <c r="O22" s="123"/>
      <c r="P22" s="167" t="s">
        <v>8</v>
      </c>
      <c r="Q22" s="123"/>
      <c r="R22" s="157" t="s">
        <v>40</v>
      </c>
      <c r="S22" s="123"/>
      <c r="T22" s="158" t="s">
        <v>41</v>
      </c>
      <c r="U22" s="123"/>
      <c r="V22" s="159" t="s">
        <v>36</v>
      </c>
      <c r="W22" s="123"/>
      <c r="X22" s="10"/>
      <c r="Y22" s="1"/>
      <c r="Z22" s="1"/>
      <c r="AA22" s="1"/>
      <c r="AB22" s="1"/>
      <c r="AC22" s="1"/>
      <c r="AD22" s="1"/>
      <c r="AE22" s="1"/>
      <c r="AF22" s="1"/>
      <c r="AG22" s="1"/>
      <c r="AH22" s="1"/>
      <c r="AI22" s="1"/>
      <c r="AJ22" s="1"/>
    </row>
    <row r="23" spans="1:36" ht="22.5" customHeight="1" x14ac:dyDescent="0.25">
      <c r="A23" s="1"/>
      <c r="B23" s="1"/>
      <c r="C23" s="19"/>
      <c r="D23" s="154"/>
      <c r="E23" s="134"/>
      <c r="F23" s="135"/>
      <c r="G23" s="135"/>
      <c r="H23" s="135"/>
      <c r="I23" s="135"/>
      <c r="J23" s="135"/>
      <c r="K23" s="135"/>
      <c r="L23" s="136"/>
      <c r="M23" s="1"/>
      <c r="N23" s="127"/>
      <c r="O23" s="129"/>
      <c r="P23" s="134"/>
      <c r="Q23" s="136"/>
      <c r="R23" s="134"/>
      <c r="S23" s="136"/>
      <c r="T23" s="134"/>
      <c r="U23" s="136"/>
      <c r="V23" s="127"/>
      <c r="W23" s="129"/>
      <c r="X23" s="10"/>
      <c r="Y23" s="1"/>
      <c r="Z23" s="1"/>
      <c r="AA23" s="1"/>
      <c r="AB23" s="1"/>
      <c r="AC23" s="1"/>
      <c r="AD23" s="1"/>
      <c r="AE23" s="1"/>
      <c r="AF23" s="1"/>
      <c r="AG23" s="1"/>
      <c r="AH23" s="1"/>
      <c r="AI23" s="1"/>
      <c r="AJ23" s="1"/>
    </row>
    <row r="24" spans="1:36" ht="14.25" customHeight="1" x14ac:dyDescent="0.25">
      <c r="A24" s="1"/>
      <c r="B24" s="1"/>
      <c r="C24" s="19"/>
      <c r="D24" s="160" t="s">
        <v>42</v>
      </c>
      <c r="E24" s="173" t="s">
        <v>43</v>
      </c>
      <c r="F24" s="122"/>
      <c r="G24" s="122"/>
      <c r="H24" s="122"/>
      <c r="I24" s="122"/>
      <c r="J24" s="122"/>
      <c r="K24" s="122"/>
      <c r="L24" s="123"/>
      <c r="M24" s="1"/>
      <c r="N24" s="164" t="s">
        <v>44</v>
      </c>
      <c r="O24" s="123"/>
      <c r="P24" s="167" t="s">
        <v>8</v>
      </c>
      <c r="Q24" s="123"/>
      <c r="R24" s="157" t="s">
        <v>45</v>
      </c>
      <c r="S24" s="123"/>
      <c r="T24" s="158" t="s">
        <v>46</v>
      </c>
      <c r="U24" s="123"/>
      <c r="V24" s="159" t="s">
        <v>36</v>
      </c>
      <c r="W24" s="123"/>
      <c r="X24" s="10"/>
      <c r="Y24" s="1"/>
      <c r="Z24" s="1"/>
      <c r="AA24" s="1"/>
      <c r="AB24" s="1"/>
      <c r="AC24" s="1"/>
      <c r="AD24" s="1"/>
      <c r="AE24" s="1"/>
      <c r="AF24" s="1"/>
      <c r="AG24" s="1"/>
      <c r="AH24" s="1"/>
      <c r="AI24" s="1"/>
      <c r="AJ24" s="1"/>
    </row>
    <row r="25" spans="1:36" ht="15" customHeight="1" x14ac:dyDescent="0.25">
      <c r="A25" s="1"/>
      <c r="B25" s="1"/>
      <c r="C25" s="19"/>
      <c r="D25" s="153"/>
      <c r="E25" s="124"/>
      <c r="F25" s="125"/>
      <c r="G25" s="125"/>
      <c r="H25" s="125"/>
      <c r="I25" s="125"/>
      <c r="J25" s="125"/>
      <c r="K25" s="125"/>
      <c r="L25" s="126"/>
      <c r="M25" s="1"/>
      <c r="N25" s="134"/>
      <c r="O25" s="136"/>
      <c r="P25" s="134"/>
      <c r="Q25" s="136"/>
      <c r="R25" s="134"/>
      <c r="S25" s="136"/>
      <c r="T25" s="134"/>
      <c r="U25" s="136"/>
      <c r="V25" s="127"/>
      <c r="W25" s="129"/>
      <c r="X25" s="10"/>
      <c r="Y25" s="1"/>
      <c r="Z25" s="1"/>
      <c r="AA25" s="1"/>
      <c r="AB25" s="1"/>
      <c r="AC25" s="1"/>
      <c r="AD25" s="1"/>
      <c r="AE25" s="1"/>
      <c r="AF25" s="1"/>
      <c r="AG25" s="1"/>
      <c r="AH25" s="1"/>
      <c r="AI25" s="1"/>
      <c r="AJ25" s="1"/>
    </row>
    <row r="26" spans="1:36" ht="22.5" customHeight="1" x14ac:dyDescent="0.25">
      <c r="A26" s="1"/>
      <c r="B26" s="1"/>
      <c r="C26" s="19"/>
      <c r="D26" s="154"/>
      <c r="E26" s="127"/>
      <c r="F26" s="128"/>
      <c r="G26" s="128"/>
      <c r="H26" s="128"/>
      <c r="I26" s="128"/>
      <c r="J26" s="128"/>
      <c r="K26" s="128"/>
      <c r="L26" s="129"/>
      <c r="M26" s="1"/>
      <c r="N26" s="164" t="s">
        <v>47</v>
      </c>
      <c r="O26" s="123"/>
      <c r="P26" s="167" t="s">
        <v>8</v>
      </c>
      <c r="Q26" s="123"/>
      <c r="R26" s="158" t="s">
        <v>48</v>
      </c>
      <c r="S26" s="123"/>
      <c r="T26" s="159" t="s">
        <v>36</v>
      </c>
      <c r="U26" s="123"/>
      <c r="V26" s="159" t="s">
        <v>36</v>
      </c>
      <c r="W26" s="123"/>
      <c r="X26" s="10"/>
      <c r="Y26" s="1"/>
      <c r="Z26" s="1"/>
      <c r="AA26" s="1"/>
      <c r="AB26" s="1"/>
      <c r="AC26" s="1"/>
      <c r="AD26" s="1"/>
      <c r="AE26" s="1"/>
      <c r="AF26" s="1"/>
      <c r="AG26" s="1"/>
      <c r="AH26" s="1"/>
      <c r="AI26" s="1"/>
      <c r="AJ26" s="1"/>
    </row>
    <row r="27" spans="1:36" ht="14.25" customHeight="1" x14ac:dyDescent="0.25">
      <c r="A27" s="1"/>
      <c r="B27" s="1"/>
      <c r="C27" s="19"/>
      <c r="D27" s="168" t="s">
        <v>49</v>
      </c>
      <c r="E27" s="169" t="s">
        <v>50</v>
      </c>
      <c r="F27" s="122"/>
      <c r="G27" s="122"/>
      <c r="H27" s="122"/>
      <c r="I27" s="122"/>
      <c r="J27" s="122"/>
      <c r="K27" s="122"/>
      <c r="L27" s="123"/>
      <c r="M27" s="1"/>
      <c r="N27" s="127"/>
      <c r="O27" s="129"/>
      <c r="P27" s="127"/>
      <c r="Q27" s="129"/>
      <c r="R27" s="127"/>
      <c r="S27" s="129"/>
      <c r="T27" s="127"/>
      <c r="U27" s="129"/>
      <c r="V27" s="127"/>
      <c r="W27" s="129"/>
      <c r="X27" s="10"/>
      <c r="Y27" s="1"/>
      <c r="Z27" s="1"/>
      <c r="AA27" s="1"/>
      <c r="AB27" s="1"/>
      <c r="AC27" s="1"/>
      <c r="AD27" s="1"/>
      <c r="AE27" s="1"/>
      <c r="AF27" s="1"/>
      <c r="AG27" s="1"/>
      <c r="AH27" s="1"/>
      <c r="AI27" s="1"/>
      <c r="AJ27" s="1"/>
    </row>
    <row r="28" spans="1:36" ht="15.75" customHeight="1" x14ac:dyDescent="0.25">
      <c r="A28" s="1"/>
      <c r="B28" s="1"/>
      <c r="C28" s="19"/>
      <c r="D28" s="153"/>
      <c r="E28" s="124"/>
      <c r="F28" s="125"/>
      <c r="G28" s="125"/>
      <c r="H28" s="125"/>
      <c r="I28" s="125"/>
      <c r="J28" s="125"/>
      <c r="K28" s="125"/>
      <c r="L28" s="126"/>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54"/>
      <c r="E29" s="127"/>
      <c r="F29" s="128"/>
      <c r="G29" s="128"/>
      <c r="H29" s="128"/>
      <c r="I29" s="128"/>
      <c r="J29" s="128"/>
      <c r="K29" s="128"/>
      <c r="L29" s="129"/>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60" t="s">
        <v>52</v>
      </c>
      <c r="T31" s="161" t="s">
        <v>9</v>
      </c>
      <c r="U31" s="162"/>
      <c r="V31" s="161" t="s">
        <v>10</v>
      </c>
      <c r="W31" s="162"/>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53"/>
      <c r="T32" s="163" t="s">
        <v>54</v>
      </c>
      <c r="U32" s="123"/>
      <c r="V32" s="163" t="s">
        <v>54</v>
      </c>
      <c r="W32" s="123"/>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53"/>
      <c r="T33" s="124"/>
      <c r="U33" s="126"/>
      <c r="V33" s="124"/>
      <c r="W33" s="126"/>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54"/>
      <c r="T34" s="127"/>
      <c r="U34" s="129"/>
      <c r="V34" s="127"/>
      <c r="W34" s="129"/>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D17:D20"/>
    <mergeCell ref="D21:D23"/>
    <mergeCell ref="E21:L23"/>
    <mergeCell ref="D24:D26"/>
    <mergeCell ref="E24:L26"/>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N24:O25"/>
    <mergeCell ref="N26:O27"/>
    <mergeCell ref="N17:O19"/>
    <mergeCell ref="P17:Q19"/>
    <mergeCell ref="N20:O21"/>
    <mergeCell ref="P20:Q21"/>
    <mergeCell ref="N22:O23"/>
    <mergeCell ref="P22:Q23"/>
    <mergeCell ref="P24:Q25"/>
    <mergeCell ref="P26:Q27"/>
    <mergeCell ref="S31:S34"/>
    <mergeCell ref="T31:U31"/>
    <mergeCell ref="V31:W31"/>
    <mergeCell ref="T32:U34"/>
    <mergeCell ref="V32:W34"/>
    <mergeCell ref="R22:S23"/>
    <mergeCell ref="R24:S25"/>
    <mergeCell ref="T24:U25"/>
    <mergeCell ref="V24:W25"/>
    <mergeCell ref="R26:S27"/>
    <mergeCell ref="T26:U27"/>
    <mergeCell ref="V26:W27"/>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xr:uid="{00000000-0002-0000-0300-000000000000}">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showGridLines="0" topLeftCell="A3" zoomScale="80" zoomScaleNormal="8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61</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7" t="s">
        <v>62</v>
      </c>
      <c r="E13" s="178"/>
      <c r="F13" s="178"/>
      <c r="G13" s="178"/>
      <c r="H13" s="16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63</v>
      </c>
      <c r="J14" s="122"/>
      <c r="K14" s="122"/>
      <c r="L14" s="122"/>
      <c r="M14" s="122"/>
      <c r="N14" s="122"/>
      <c r="O14" s="122"/>
      <c r="P14" s="123"/>
      <c r="Q14" s="140" t="s">
        <v>8</v>
      </c>
      <c r="R14" s="146" t="s">
        <v>64</v>
      </c>
      <c r="S14" s="123"/>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45" t="s">
        <v>15</v>
      </c>
      <c r="S16" s="123"/>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65</v>
      </c>
      <c r="J17" s="122"/>
      <c r="K17" s="122"/>
      <c r="L17" s="122"/>
      <c r="M17" s="122"/>
      <c r="N17" s="122"/>
      <c r="O17" s="122"/>
      <c r="P17" s="123"/>
      <c r="Q17" s="140" t="s">
        <v>35</v>
      </c>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0" t="s">
        <v>66</v>
      </c>
      <c r="J20" s="122"/>
      <c r="K20" s="122"/>
      <c r="L20" s="122"/>
      <c r="M20" s="122"/>
      <c r="N20" s="122"/>
      <c r="O20" s="122"/>
      <c r="P20" s="123"/>
      <c r="Q20" s="152" t="s">
        <v>67</v>
      </c>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xr:uid="{00000000-0002-0000-0400-000000000000}">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showGridLines="0" topLeftCell="F8"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69</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1" t="s">
        <v>70</v>
      </c>
      <c r="E13" s="178"/>
      <c r="F13" s="178"/>
      <c r="G13" s="178"/>
      <c r="H13" s="16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71</v>
      </c>
      <c r="J14" s="122"/>
      <c r="K14" s="122"/>
      <c r="L14" s="122"/>
      <c r="M14" s="122"/>
      <c r="N14" s="122"/>
      <c r="O14" s="122"/>
      <c r="P14" s="123"/>
      <c r="Q14" s="140" t="s">
        <v>8</v>
      </c>
      <c r="R14" s="146" t="s">
        <v>64</v>
      </c>
      <c r="S14" s="123"/>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45" t="s">
        <v>15</v>
      </c>
      <c r="S16" s="123"/>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72</v>
      </c>
      <c r="J17" s="122"/>
      <c r="K17" s="122"/>
      <c r="L17" s="122"/>
      <c r="M17" s="122"/>
      <c r="N17" s="122"/>
      <c r="O17" s="122"/>
      <c r="P17" s="123"/>
      <c r="Q17" s="140" t="s">
        <v>35</v>
      </c>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73</v>
      </c>
      <c r="J20" s="122"/>
      <c r="K20" s="122"/>
      <c r="L20" s="122"/>
      <c r="M20" s="122"/>
      <c r="N20" s="122"/>
      <c r="O20" s="122"/>
      <c r="P20" s="123"/>
      <c r="Q20" s="152" t="s">
        <v>67</v>
      </c>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xr:uid="{00000000-0002-0000-0500-000000000000}">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showGridLines="0" topLeftCell="A6" zoomScale="80" zoomScaleNormal="80" workbookViewId="0">
      <selection activeCell="T16" sqref="T16:U22"/>
    </sheetView>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74</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7" t="s">
        <v>75</v>
      </c>
      <c r="E13" s="178"/>
      <c r="F13" s="178"/>
      <c r="G13" s="178"/>
      <c r="H13" s="16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76</v>
      </c>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45" t="s">
        <v>15</v>
      </c>
      <c r="S16" s="123"/>
      <c r="T16" s="145" t="s">
        <v>15</v>
      </c>
      <c r="U16" s="123"/>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77</v>
      </c>
      <c r="J17" s="122"/>
      <c r="K17" s="122"/>
      <c r="L17" s="122"/>
      <c r="M17" s="122"/>
      <c r="N17" s="122"/>
      <c r="O17" s="122"/>
      <c r="P17" s="123"/>
      <c r="Q17" s="140" t="s">
        <v>40</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78</v>
      </c>
      <c r="J20" s="122"/>
      <c r="K20" s="122"/>
      <c r="L20" s="122"/>
      <c r="M20" s="122"/>
      <c r="N20" s="122"/>
      <c r="O20" s="122"/>
      <c r="P20" s="123"/>
      <c r="Q20" s="152" t="s">
        <v>79</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xr:uid="{00000000-0002-0000-0600-000000000000}">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showGridLines="0" topLeftCell="A8" zoomScale="80" zoomScaleNormal="80" workbookViewId="0">
      <selection activeCell="T16" sqref="T16:U22"/>
    </sheetView>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81</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1" t="s">
        <v>82</v>
      </c>
      <c r="E13" s="178"/>
      <c r="F13" s="178"/>
      <c r="G13" s="178"/>
      <c r="H13" s="16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83</v>
      </c>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83" t="s">
        <v>15</v>
      </c>
      <c r="S16" s="123"/>
      <c r="T16" s="183" t="s">
        <v>53</v>
      </c>
      <c r="U16" s="123"/>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84</v>
      </c>
      <c r="J17" s="122"/>
      <c r="K17" s="122"/>
      <c r="L17" s="122"/>
      <c r="M17" s="122"/>
      <c r="N17" s="122"/>
      <c r="O17" s="122"/>
      <c r="P17" s="123"/>
      <c r="Q17" s="140" t="s">
        <v>35</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85</v>
      </c>
      <c r="J20" s="122"/>
      <c r="K20" s="122"/>
      <c r="L20" s="122"/>
      <c r="M20" s="122"/>
      <c r="N20" s="122"/>
      <c r="O20" s="122"/>
      <c r="P20" s="123"/>
      <c r="Q20" s="152" t="s">
        <v>67</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xr:uid="{00000000-0002-0000-0700-000000000000}">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00"/>
  <sheetViews>
    <sheetView showGridLines="0" topLeftCell="A6" zoomScale="80" zoomScaleNormal="80" workbookViewId="0">
      <selection activeCell="T16" sqref="T16:U22"/>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86</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1" t="s">
        <v>82</v>
      </c>
      <c r="E13" s="178"/>
      <c r="F13" s="178"/>
      <c r="G13" s="178"/>
      <c r="H13" s="16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87</v>
      </c>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83" t="s">
        <v>15</v>
      </c>
      <c r="S16" s="123"/>
      <c r="T16" s="183" t="s">
        <v>53</v>
      </c>
      <c r="U16" s="123"/>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84" t="s">
        <v>88</v>
      </c>
      <c r="J17" s="122"/>
      <c r="K17" s="122"/>
      <c r="L17" s="122"/>
      <c r="M17" s="122"/>
      <c r="N17" s="122"/>
      <c r="O17" s="122"/>
      <c r="P17" s="123"/>
      <c r="Q17" s="140" t="s">
        <v>35</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89</v>
      </c>
      <c r="J20" s="122"/>
      <c r="K20" s="122"/>
      <c r="L20" s="122"/>
      <c r="M20" s="122"/>
      <c r="N20" s="122"/>
      <c r="O20" s="122"/>
      <c r="P20" s="123"/>
      <c r="Q20" s="152" t="s">
        <v>67</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xr:uid="{00000000-0002-0000-0800-000000000000}">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000"/>
  <sheetViews>
    <sheetView showGridLines="0" topLeftCell="A8" zoomScale="80" zoomScaleNormal="8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91</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6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39" t="s">
        <v>92</v>
      </c>
      <c r="F11" s="123"/>
      <c r="G11" s="186" t="s">
        <v>93</v>
      </c>
      <c r="H11" s="122"/>
      <c r="I11" s="122"/>
      <c r="J11" s="122"/>
      <c r="K11" s="122"/>
      <c r="L11" s="122"/>
      <c r="M11" s="122"/>
      <c r="N11" s="122"/>
      <c r="O11" s="122"/>
      <c r="P11" s="123"/>
      <c r="Q11" s="152"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4"/>
      <c r="F12" s="126"/>
      <c r="G12" s="124"/>
      <c r="H12" s="125"/>
      <c r="I12" s="125"/>
      <c r="J12" s="125"/>
      <c r="K12" s="125"/>
      <c r="L12" s="125"/>
      <c r="M12" s="125"/>
      <c r="N12" s="125"/>
      <c r="O12" s="125"/>
      <c r="P12" s="126"/>
      <c r="Q12" s="153"/>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4"/>
      <c r="F13" s="126"/>
      <c r="G13" s="127"/>
      <c r="H13" s="128"/>
      <c r="I13" s="128"/>
      <c r="J13" s="128"/>
      <c r="K13" s="128"/>
      <c r="L13" s="128"/>
      <c r="M13" s="128"/>
      <c r="N13" s="128"/>
      <c r="O13" s="128"/>
      <c r="P13" s="129"/>
      <c r="Q13" s="154"/>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4"/>
      <c r="F14" s="126"/>
      <c r="G14" s="184" t="s">
        <v>94</v>
      </c>
      <c r="H14" s="122"/>
      <c r="I14" s="122"/>
      <c r="J14" s="122"/>
      <c r="K14" s="122"/>
      <c r="L14" s="122"/>
      <c r="M14" s="122"/>
      <c r="N14" s="122"/>
      <c r="O14" s="122"/>
      <c r="P14" s="123"/>
      <c r="Q14" s="140" t="s">
        <v>40</v>
      </c>
      <c r="R14" s="146" t="s">
        <v>95</v>
      </c>
      <c r="S14" s="123"/>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4"/>
      <c r="F15" s="126"/>
      <c r="G15" s="124"/>
      <c r="H15" s="125"/>
      <c r="I15" s="125"/>
      <c r="J15" s="125"/>
      <c r="K15" s="125"/>
      <c r="L15" s="125"/>
      <c r="M15" s="125"/>
      <c r="N15" s="125"/>
      <c r="O15" s="125"/>
      <c r="P15" s="126"/>
      <c r="Q15" s="141"/>
      <c r="R15" s="127"/>
      <c r="S15" s="129"/>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4"/>
      <c r="F16" s="126"/>
      <c r="G16" s="127"/>
      <c r="H16" s="128"/>
      <c r="I16" s="128"/>
      <c r="J16" s="128"/>
      <c r="K16" s="128"/>
      <c r="L16" s="128"/>
      <c r="M16" s="128"/>
      <c r="N16" s="128"/>
      <c r="O16" s="128"/>
      <c r="P16" s="129"/>
      <c r="Q16" s="142"/>
      <c r="R16" s="183" t="s">
        <v>15</v>
      </c>
      <c r="S16" s="123"/>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4"/>
      <c r="F17" s="126"/>
      <c r="G17" s="184" t="s">
        <v>96</v>
      </c>
      <c r="H17" s="122"/>
      <c r="I17" s="122"/>
      <c r="J17" s="122"/>
      <c r="K17" s="122"/>
      <c r="L17" s="122"/>
      <c r="M17" s="122"/>
      <c r="N17" s="122"/>
      <c r="O17" s="122"/>
      <c r="P17" s="123"/>
      <c r="Q17" s="140" t="s">
        <v>45</v>
      </c>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4"/>
      <c r="F18" s="126"/>
      <c r="G18" s="124"/>
      <c r="H18" s="125"/>
      <c r="I18" s="125"/>
      <c r="J18" s="125"/>
      <c r="K18" s="125"/>
      <c r="L18" s="125"/>
      <c r="M18" s="125"/>
      <c r="N18" s="125"/>
      <c r="O18" s="125"/>
      <c r="P18" s="126"/>
      <c r="Q18" s="141"/>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4"/>
      <c r="F19" s="126"/>
      <c r="G19" s="127"/>
      <c r="H19" s="128"/>
      <c r="I19" s="128"/>
      <c r="J19" s="128"/>
      <c r="K19" s="128"/>
      <c r="L19" s="128"/>
      <c r="M19" s="128"/>
      <c r="N19" s="128"/>
      <c r="O19" s="128"/>
      <c r="P19" s="129"/>
      <c r="Q19" s="142"/>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4"/>
      <c r="F20" s="126"/>
      <c r="G20" s="182" t="s">
        <v>97</v>
      </c>
      <c r="H20" s="122"/>
      <c r="I20" s="122"/>
      <c r="J20" s="122"/>
      <c r="K20" s="122"/>
      <c r="L20" s="122"/>
      <c r="M20" s="122"/>
      <c r="N20" s="122"/>
      <c r="O20" s="122"/>
      <c r="P20" s="123"/>
      <c r="Q20" s="152" t="s">
        <v>14</v>
      </c>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4"/>
      <c r="F21" s="126"/>
      <c r="G21" s="124"/>
      <c r="H21" s="125"/>
      <c r="I21" s="125"/>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4"/>
      <c r="F22" s="126"/>
      <c r="G22" s="127"/>
      <c r="H22" s="128"/>
      <c r="I22" s="128"/>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4"/>
      <c r="F23" s="126"/>
      <c r="G23" s="182" t="s">
        <v>98</v>
      </c>
      <c r="H23" s="122"/>
      <c r="I23" s="122"/>
      <c r="J23" s="122"/>
      <c r="K23" s="122"/>
      <c r="L23" s="122"/>
      <c r="M23" s="122"/>
      <c r="N23" s="122"/>
      <c r="O23" s="122"/>
      <c r="P23" s="123"/>
      <c r="Q23" s="152"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4"/>
      <c r="F24" s="126"/>
      <c r="G24" s="124"/>
      <c r="H24" s="125"/>
      <c r="I24" s="125"/>
      <c r="J24" s="125"/>
      <c r="K24" s="125"/>
      <c r="L24" s="125"/>
      <c r="M24" s="125"/>
      <c r="N24" s="125"/>
      <c r="O24" s="125"/>
      <c r="P24" s="126"/>
      <c r="Q24" s="153"/>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7"/>
      <c r="F25" s="129"/>
      <c r="G25" s="127"/>
      <c r="H25" s="128"/>
      <c r="I25" s="128"/>
      <c r="J25" s="128"/>
      <c r="K25" s="128"/>
      <c r="L25" s="128"/>
      <c r="M25" s="128"/>
      <c r="N25" s="128"/>
      <c r="O25" s="128"/>
      <c r="P25" s="129"/>
      <c r="Q25" s="154"/>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xr:uid="{00000000-0002-0000-0900-000000000000}">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000"/>
  <sheetViews>
    <sheetView showGridLines="0" topLeftCell="A6" zoomScale="80" zoomScaleNormal="80" workbookViewId="0">
      <selection activeCell="R13" sqref="R13:S22"/>
    </sheetView>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99</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91" t="s">
        <v>100</v>
      </c>
      <c r="H11" s="122"/>
      <c r="I11" s="122"/>
      <c r="J11" s="122"/>
      <c r="K11" s="122"/>
      <c r="L11" s="122"/>
      <c r="M11" s="122"/>
      <c r="N11" s="122"/>
      <c r="O11" s="122"/>
      <c r="P11" s="123"/>
      <c r="Q11" s="152" t="s">
        <v>8</v>
      </c>
      <c r="R11" s="146" t="s">
        <v>95</v>
      </c>
      <c r="S11" s="123"/>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4"/>
      <c r="H12" s="125"/>
      <c r="I12" s="125"/>
      <c r="J12" s="125"/>
      <c r="K12" s="125"/>
      <c r="L12" s="125"/>
      <c r="M12" s="125"/>
      <c r="N12" s="125"/>
      <c r="O12" s="125"/>
      <c r="P12" s="126"/>
      <c r="Q12" s="153"/>
      <c r="R12" s="127"/>
      <c r="S12" s="129"/>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4"/>
      <c r="H13" s="125"/>
      <c r="I13" s="125"/>
      <c r="J13" s="125"/>
      <c r="K13" s="125"/>
      <c r="L13" s="125"/>
      <c r="M13" s="125"/>
      <c r="N13" s="125"/>
      <c r="O13" s="125"/>
      <c r="P13" s="126"/>
      <c r="Q13" s="153"/>
      <c r="R13" s="193" t="s">
        <v>53</v>
      </c>
      <c r="S13" s="123"/>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34"/>
      <c r="H14" s="135"/>
      <c r="I14" s="135"/>
      <c r="J14" s="135"/>
      <c r="K14" s="135"/>
      <c r="L14" s="135"/>
      <c r="M14" s="135"/>
      <c r="N14" s="135"/>
      <c r="O14" s="135"/>
      <c r="P14" s="136"/>
      <c r="Q14" s="192"/>
      <c r="R14" s="124"/>
      <c r="S14" s="126"/>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7" t="s">
        <v>101</v>
      </c>
      <c r="H15" s="122"/>
      <c r="I15" s="122"/>
      <c r="J15" s="122"/>
      <c r="K15" s="122"/>
      <c r="L15" s="122"/>
      <c r="M15" s="122"/>
      <c r="N15" s="122"/>
      <c r="O15" s="122"/>
      <c r="P15" s="123"/>
      <c r="Q15" s="188" t="s">
        <v>35</v>
      </c>
      <c r="R15" s="124"/>
      <c r="S15" s="126"/>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4"/>
      <c r="H16" s="125"/>
      <c r="I16" s="125"/>
      <c r="J16" s="125"/>
      <c r="K16" s="125"/>
      <c r="L16" s="125"/>
      <c r="M16" s="125"/>
      <c r="N16" s="125"/>
      <c r="O16" s="125"/>
      <c r="P16" s="126"/>
      <c r="Q16" s="153"/>
      <c r="R16" s="124"/>
      <c r="S16" s="126"/>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4"/>
      <c r="H17" s="125"/>
      <c r="I17" s="125"/>
      <c r="J17" s="125"/>
      <c r="K17" s="125"/>
      <c r="L17" s="125"/>
      <c r="M17" s="125"/>
      <c r="N17" s="125"/>
      <c r="O17" s="125"/>
      <c r="P17" s="126"/>
      <c r="Q17" s="153"/>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7"/>
      <c r="H18" s="128"/>
      <c r="I18" s="128"/>
      <c r="J18" s="128"/>
      <c r="K18" s="128"/>
      <c r="L18" s="128"/>
      <c r="M18" s="128"/>
      <c r="N18" s="128"/>
      <c r="O18" s="128"/>
      <c r="P18" s="129"/>
      <c r="Q18" s="154"/>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9" t="s">
        <v>102</v>
      </c>
      <c r="H19" s="150"/>
      <c r="I19" s="150"/>
      <c r="J19" s="150"/>
      <c r="K19" s="150"/>
      <c r="L19" s="150"/>
      <c r="M19" s="150"/>
      <c r="N19" s="150"/>
      <c r="O19" s="150"/>
      <c r="P19" s="151"/>
      <c r="Q19" s="190" t="s">
        <v>67</v>
      </c>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4"/>
      <c r="H20" s="125"/>
      <c r="I20" s="125"/>
      <c r="J20" s="125"/>
      <c r="K20" s="125"/>
      <c r="L20" s="125"/>
      <c r="M20" s="125"/>
      <c r="N20" s="125"/>
      <c r="O20" s="125"/>
      <c r="P20" s="126"/>
      <c r="Q20" s="153"/>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4"/>
      <c r="H21" s="125"/>
      <c r="I21" s="125"/>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7"/>
      <c r="H22" s="128"/>
      <c r="I22" s="128"/>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xr:uid="{00000000-0002-0000-0A00-000000000000}">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showGridLines="0" topLeftCell="B8" zoomScale="80" zoomScaleNormal="80" workbookViewId="0">
      <selection activeCell="V15" sqref="V15:W21"/>
    </sheetView>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103</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4" t="s">
        <v>105</v>
      </c>
      <c r="E12" s="122"/>
      <c r="F12" s="122"/>
      <c r="G12" s="122"/>
      <c r="H12" s="122"/>
      <c r="I12" s="122"/>
      <c r="J12" s="123"/>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7"/>
      <c r="E13" s="128"/>
      <c r="F13" s="128"/>
      <c r="G13" s="128"/>
      <c r="H13" s="128"/>
      <c r="I13" s="128"/>
      <c r="J13" s="129"/>
      <c r="K13" s="30"/>
      <c r="L13" s="195" t="s">
        <v>106</v>
      </c>
      <c r="M13" s="122"/>
      <c r="N13" s="122"/>
      <c r="O13" s="122"/>
      <c r="P13" s="122"/>
      <c r="Q13" s="122"/>
      <c r="R13" s="123"/>
      <c r="S13" s="140" t="s">
        <v>8</v>
      </c>
      <c r="T13" s="146" t="s">
        <v>9</v>
      </c>
      <c r="U13" s="123"/>
      <c r="V13" s="146" t="s">
        <v>10</v>
      </c>
      <c r="W13" s="123"/>
      <c r="X13" s="10"/>
      <c r="Y13" s="1"/>
      <c r="Z13" s="1"/>
      <c r="AA13" s="1"/>
      <c r="AB13" s="1"/>
      <c r="AC13" s="1"/>
      <c r="AD13" s="1"/>
      <c r="AE13" s="1"/>
      <c r="AF13" s="1"/>
      <c r="AG13" s="1"/>
      <c r="AH13" s="1"/>
      <c r="AI13" s="1"/>
      <c r="AJ13" s="1"/>
    </row>
    <row r="14" spans="1:36" ht="14.25" customHeight="1" x14ac:dyDescent="0.25">
      <c r="A14" s="1"/>
      <c r="B14" s="1"/>
      <c r="C14" s="19"/>
      <c r="D14" s="194" t="s">
        <v>107</v>
      </c>
      <c r="E14" s="122"/>
      <c r="F14" s="122"/>
      <c r="G14" s="122"/>
      <c r="H14" s="122"/>
      <c r="I14" s="122"/>
      <c r="J14" s="123"/>
      <c r="K14" s="30"/>
      <c r="L14" s="124"/>
      <c r="M14" s="125"/>
      <c r="N14" s="125"/>
      <c r="O14" s="125"/>
      <c r="P14" s="125"/>
      <c r="Q14" s="125"/>
      <c r="R14" s="126"/>
      <c r="S14" s="141"/>
      <c r="T14" s="127"/>
      <c r="U14" s="129"/>
      <c r="V14" s="127"/>
      <c r="W14" s="129"/>
      <c r="X14" s="10"/>
      <c r="Y14" s="1"/>
      <c r="Z14" s="1"/>
      <c r="AA14" s="1"/>
      <c r="AB14" s="1"/>
      <c r="AC14" s="1"/>
      <c r="AD14" s="1"/>
      <c r="AE14" s="1"/>
      <c r="AF14" s="1"/>
      <c r="AG14" s="1"/>
      <c r="AH14" s="1"/>
      <c r="AI14" s="1"/>
      <c r="AJ14" s="1"/>
    </row>
    <row r="15" spans="1:36" ht="15" customHeight="1" x14ac:dyDescent="0.25">
      <c r="A15" s="1"/>
      <c r="B15" s="1"/>
      <c r="C15" s="19"/>
      <c r="D15" s="127"/>
      <c r="E15" s="128"/>
      <c r="F15" s="128"/>
      <c r="G15" s="128"/>
      <c r="H15" s="128"/>
      <c r="I15" s="128"/>
      <c r="J15" s="129"/>
      <c r="K15" s="30"/>
      <c r="L15" s="127"/>
      <c r="M15" s="128"/>
      <c r="N15" s="128"/>
      <c r="O15" s="128"/>
      <c r="P15" s="128"/>
      <c r="Q15" s="128"/>
      <c r="R15" s="129"/>
      <c r="S15" s="142"/>
      <c r="T15" s="183" t="s">
        <v>53</v>
      </c>
      <c r="U15" s="123"/>
      <c r="V15" s="183" t="s">
        <v>53</v>
      </c>
      <c r="W15" s="123"/>
      <c r="X15" s="10"/>
      <c r="Y15" s="1"/>
      <c r="Z15" s="1"/>
      <c r="AA15" s="1"/>
      <c r="AB15" s="1"/>
      <c r="AC15" s="1"/>
      <c r="AD15" s="1"/>
      <c r="AE15" s="1"/>
      <c r="AF15" s="1"/>
      <c r="AG15" s="1"/>
      <c r="AH15" s="1"/>
      <c r="AI15" s="1"/>
      <c r="AJ15" s="1"/>
    </row>
    <row r="16" spans="1:36" ht="15" customHeight="1" x14ac:dyDescent="0.25">
      <c r="A16" s="1"/>
      <c r="B16" s="1"/>
      <c r="C16" s="19"/>
      <c r="D16" s="194" t="s">
        <v>108</v>
      </c>
      <c r="E16" s="122"/>
      <c r="F16" s="122"/>
      <c r="G16" s="122"/>
      <c r="H16" s="122"/>
      <c r="I16" s="122"/>
      <c r="J16" s="123"/>
      <c r="K16" s="30"/>
      <c r="L16" s="196" t="s">
        <v>109</v>
      </c>
      <c r="M16" s="122"/>
      <c r="N16" s="122"/>
      <c r="O16" s="122"/>
      <c r="P16" s="122"/>
      <c r="Q16" s="122"/>
      <c r="R16" s="123"/>
      <c r="S16" s="140" t="s">
        <v>35</v>
      </c>
      <c r="T16" s="124"/>
      <c r="U16" s="126"/>
      <c r="V16" s="124"/>
      <c r="W16" s="126"/>
      <c r="X16" s="10"/>
      <c r="Y16" s="1"/>
      <c r="Z16" s="1"/>
      <c r="AA16" s="1"/>
      <c r="AB16" s="1"/>
      <c r="AC16" s="1"/>
      <c r="AD16" s="1"/>
      <c r="AE16" s="1"/>
      <c r="AF16" s="1"/>
      <c r="AG16" s="1"/>
      <c r="AH16" s="1"/>
      <c r="AI16" s="1"/>
      <c r="AJ16" s="1"/>
    </row>
    <row r="17" spans="1:36" ht="14.25" customHeight="1" x14ac:dyDescent="0.25">
      <c r="A17" s="1"/>
      <c r="B17" s="1"/>
      <c r="C17" s="19"/>
      <c r="D17" s="127"/>
      <c r="E17" s="128"/>
      <c r="F17" s="128"/>
      <c r="G17" s="128"/>
      <c r="H17" s="128"/>
      <c r="I17" s="128"/>
      <c r="J17" s="129"/>
      <c r="K17" s="30"/>
      <c r="L17" s="124"/>
      <c r="M17" s="125"/>
      <c r="N17" s="125"/>
      <c r="O17" s="125"/>
      <c r="P17" s="125"/>
      <c r="Q17" s="125"/>
      <c r="R17" s="126"/>
      <c r="S17" s="141"/>
      <c r="T17" s="124"/>
      <c r="U17" s="126"/>
      <c r="V17" s="124"/>
      <c r="W17" s="126"/>
      <c r="X17" s="10"/>
      <c r="Y17" s="1"/>
      <c r="Z17" s="1"/>
      <c r="AA17" s="1"/>
      <c r="AB17" s="1"/>
      <c r="AC17" s="1"/>
      <c r="AD17" s="1"/>
      <c r="AE17" s="1"/>
      <c r="AF17" s="1"/>
      <c r="AG17" s="1"/>
      <c r="AH17" s="1"/>
      <c r="AI17" s="1"/>
      <c r="AJ17" s="1"/>
    </row>
    <row r="18" spans="1:36" ht="14.25" customHeight="1" x14ac:dyDescent="0.25">
      <c r="A18" s="1"/>
      <c r="B18" s="1"/>
      <c r="C18" s="19"/>
      <c r="D18" s="194" t="s">
        <v>110</v>
      </c>
      <c r="E18" s="122"/>
      <c r="F18" s="122"/>
      <c r="G18" s="122"/>
      <c r="H18" s="122"/>
      <c r="I18" s="122"/>
      <c r="J18" s="123"/>
      <c r="K18" s="30"/>
      <c r="L18" s="127"/>
      <c r="M18" s="128"/>
      <c r="N18" s="128"/>
      <c r="O18" s="128"/>
      <c r="P18" s="128"/>
      <c r="Q18" s="128"/>
      <c r="R18" s="129"/>
      <c r="S18" s="142"/>
      <c r="T18" s="124"/>
      <c r="U18" s="126"/>
      <c r="V18" s="124"/>
      <c r="W18" s="126"/>
      <c r="X18" s="10"/>
      <c r="Y18" s="1"/>
      <c r="Z18" s="1"/>
      <c r="AA18" s="1"/>
      <c r="AB18" s="1"/>
      <c r="AC18" s="1"/>
      <c r="AD18" s="1"/>
      <c r="AE18" s="1"/>
      <c r="AF18" s="1"/>
      <c r="AG18" s="1"/>
      <c r="AH18" s="1"/>
      <c r="AI18" s="1"/>
      <c r="AJ18" s="1"/>
    </row>
    <row r="19" spans="1:36" ht="15" customHeight="1" x14ac:dyDescent="0.25">
      <c r="A19" s="1"/>
      <c r="B19" s="1"/>
      <c r="C19" s="19"/>
      <c r="D19" s="127"/>
      <c r="E19" s="128"/>
      <c r="F19" s="128"/>
      <c r="G19" s="128"/>
      <c r="H19" s="128"/>
      <c r="I19" s="128"/>
      <c r="J19" s="129"/>
      <c r="K19" s="30"/>
      <c r="L19" s="197" t="s">
        <v>111</v>
      </c>
      <c r="M19" s="122"/>
      <c r="N19" s="122"/>
      <c r="O19" s="122"/>
      <c r="P19" s="122"/>
      <c r="Q19" s="122"/>
      <c r="R19" s="123"/>
      <c r="S19" s="152" t="s">
        <v>67</v>
      </c>
      <c r="T19" s="124"/>
      <c r="U19" s="126"/>
      <c r="V19" s="124"/>
      <c r="W19" s="126"/>
      <c r="X19" s="10"/>
      <c r="Y19" s="1"/>
      <c r="Z19" s="1"/>
      <c r="AA19" s="1"/>
      <c r="AB19" s="1"/>
      <c r="AC19" s="1"/>
      <c r="AD19" s="1"/>
      <c r="AE19" s="1"/>
      <c r="AF19" s="1"/>
      <c r="AG19" s="1"/>
      <c r="AH19" s="1"/>
      <c r="AI19" s="1"/>
      <c r="AJ19" s="1"/>
    </row>
    <row r="20" spans="1:36" ht="14.25" customHeight="1" x14ac:dyDescent="0.25">
      <c r="A20" s="1"/>
      <c r="B20" s="1"/>
      <c r="C20" s="19"/>
      <c r="D20" s="194" t="s">
        <v>112</v>
      </c>
      <c r="E20" s="122"/>
      <c r="F20" s="122"/>
      <c r="G20" s="122"/>
      <c r="H20" s="122"/>
      <c r="I20" s="122"/>
      <c r="J20" s="123"/>
      <c r="K20" s="30"/>
      <c r="L20" s="124"/>
      <c r="M20" s="125"/>
      <c r="N20" s="125"/>
      <c r="O20" s="125"/>
      <c r="P20" s="125"/>
      <c r="Q20" s="125"/>
      <c r="R20" s="126"/>
      <c r="S20" s="153"/>
      <c r="T20" s="124"/>
      <c r="U20" s="126"/>
      <c r="V20" s="124"/>
      <c r="W20" s="126"/>
      <c r="X20" s="10"/>
      <c r="Y20" s="1"/>
      <c r="Z20" s="1"/>
      <c r="AA20" s="1"/>
      <c r="AB20" s="1"/>
      <c r="AC20" s="1"/>
      <c r="AD20" s="1"/>
      <c r="AE20" s="1"/>
      <c r="AF20" s="1"/>
      <c r="AG20" s="1"/>
      <c r="AH20" s="1"/>
      <c r="AI20" s="1"/>
      <c r="AJ20" s="1"/>
    </row>
    <row r="21" spans="1:36" ht="14.25" customHeight="1" x14ac:dyDescent="0.25">
      <c r="A21" s="1"/>
      <c r="B21" s="1"/>
      <c r="C21" s="19"/>
      <c r="D21" s="127"/>
      <c r="E21" s="128"/>
      <c r="F21" s="128"/>
      <c r="G21" s="128"/>
      <c r="H21" s="128"/>
      <c r="I21" s="128"/>
      <c r="J21" s="129"/>
      <c r="K21" s="30"/>
      <c r="L21" s="127"/>
      <c r="M21" s="128"/>
      <c r="N21" s="128"/>
      <c r="O21" s="128"/>
      <c r="P21" s="128"/>
      <c r="Q21" s="128"/>
      <c r="R21" s="129"/>
      <c r="S21" s="154"/>
      <c r="T21" s="127"/>
      <c r="U21" s="129"/>
      <c r="V21" s="127"/>
      <c r="W21" s="129"/>
      <c r="X21" s="10"/>
      <c r="Y21" s="1"/>
      <c r="Z21" s="1"/>
      <c r="AA21" s="1"/>
      <c r="AB21" s="1"/>
      <c r="AC21" s="1"/>
      <c r="AD21" s="1"/>
      <c r="AE21" s="1"/>
      <c r="AF21" s="1"/>
      <c r="AG21" s="1"/>
      <c r="AH21" s="1"/>
      <c r="AI21" s="1"/>
      <c r="AJ21" s="1"/>
    </row>
    <row r="22" spans="1:36" ht="15" customHeight="1" x14ac:dyDescent="0.25">
      <c r="A22" s="1"/>
      <c r="B22" s="1"/>
      <c r="C22" s="19"/>
      <c r="D22" s="194" t="s">
        <v>113</v>
      </c>
      <c r="E22" s="122"/>
      <c r="F22" s="122"/>
      <c r="G22" s="122"/>
      <c r="H22" s="122"/>
      <c r="I22" s="122"/>
      <c r="J22" s="123"/>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7"/>
      <c r="E23" s="128"/>
      <c r="F23" s="128"/>
      <c r="G23" s="128"/>
      <c r="H23" s="128"/>
      <c r="I23" s="128"/>
      <c r="J23" s="129"/>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4" t="s">
        <v>114</v>
      </c>
      <c r="E24" s="122"/>
      <c r="F24" s="122"/>
      <c r="G24" s="122"/>
      <c r="H24" s="122"/>
      <c r="I24" s="122"/>
      <c r="J24" s="123"/>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7"/>
      <c r="E25" s="128"/>
      <c r="F25" s="128"/>
      <c r="G25" s="128"/>
      <c r="H25" s="128"/>
      <c r="I25" s="128"/>
      <c r="J25" s="129"/>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4" t="s">
        <v>115</v>
      </c>
      <c r="E26" s="122"/>
      <c r="F26" s="122"/>
      <c r="G26" s="122"/>
      <c r="H26" s="122"/>
      <c r="I26" s="122"/>
      <c r="J26" s="123"/>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7"/>
      <c r="E27" s="128"/>
      <c r="F27" s="128"/>
      <c r="G27" s="128"/>
      <c r="H27" s="128"/>
      <c r="I27" s="128"/>
      <c r="J27" s="129"/>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4" t="s">
        <v>116</v>
      </c>
      <c r="E29" s="122"/>
      <c r="F29" s="122"/>
      <c r="G29" s="122"/>
      <c r="H29" s="122"/>
      <c r="I29" s="122"/>
      <c r="J29" s="123"/>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7"/>
      <c r="E30" s="128"/>
      <c r="F30" s="128"/>
      <c r="G30" s="128"/>
      <c r="H30" s="128"/>
      <c r="I30" s="128"/>
      <c r="J30" s="129"/>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C2:X3"/>
    <mergeCell ref="C4:X5"/>
    <mergeCell ref="C6:X8"/>
    <mergeCell ref="L13:R15"/>
    <mergeCell ref="S13:S15"/>
    <mergeCell ref="T13:U14"/>
    <mergeCell ref="V13:W14"/>
    <mergeCell ref="T15:U21"/>
    <mergeCell ref="V15:W21"/>
    <mergeCell ref="L16:R18"/>
    <mergeCell ref="S16:S18"/>
    <mergeCell ref="L19:R21"/>
    <mergeCell ref="S19:S21"/>
    <mergeCell ref="D26:J27"/>
    <mergeCell ref="D29:J30"/>
    <mergeCell ref="D12:J13"/>
    <mergeCell ref="D14:J15"/>
    <mergeCell ref="D16:J17"/>
    <mergeCell ref="D18:J19"/>
    <mergeCell ref="D20:J21"/>
    <mergeCell ref="D22:J23"/>
    <mergeCell ref="D24:J25"/>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xr:uid="{00000000-0002-0000-0B00-000000000000}">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topLeftCell="A8" workbookViewId="0">
      <selection activeCell="Q16" sqref="Q16:R21"/>
    </sheetView>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117</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8" t="s">
        <v>118</v>
      </c>
      <c r="J12" s="122"/>
      <c r="K12" s="122"/>
      <c r="L12" s="122"/>
      <c r="M12" s="122"/>
      <c r="N12" s="122"/>
      <c r="O12" s="122"/>
      <c r="P12" s="122"/>
      <c r="Q12" s="122"/>
      <c r="R12" s="123"/>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7"/>
      <c r="J13" s="128"/>
      <c r="K13" s="128"/>
      <c r="L13" s="128"/>
      <c r="M13" s="128"/>
      <c r="N13" s="128"/>
      <c r="O13" s="128"/>
      <c r="P13" s="128"/>
      <c r="Q13" s="128"/>
      <c r="R13" s="129"/>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9" t="s">
        <v>119</v>
      </c>
      <c r="J14" s="150"/>
      <c r="K14" s="150"/>
      <c r="L14" s="150"/>
      <c r="M14" s="151"/>
      <c r="N14" s="199" t="s">
        <v>120</v>
      </c>
      <c r="O14" s="150"/>
      <c r="P14" s="151"/>
      <c r="Q14" s="146" t="s">
        <v>52</v>
      </c>
      <c r="R14" s="123"/>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7"/>
      <c r="J15" s="128"/>
      <c r="K15" s="128"/>
      <c r="L15" s="128"/>
      <c r="M15" s="129"/>
      <c r="N15" s="127"/>
      <c r="O15" s="128"/>
      <c r="P15" s="129"/>
      <c r="Q15" s="127"/>
      <c r="R15" s="129"/>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72" t="s">
        <v>121</v>
      </c>
      <c r="J16" s="122"/>
      <c r="K16" s="122"/>
      <c r="L16" s="122"/>
      <c r="M16" s="123"/>
      <c r="N16" s="172" t="s">
        <v>122</v>
      </c>
      <c r="O16" s="122"/>
      <c r="P16" s="123"/>
      <c r="Q16" s="200">
        <v>0.5</v>
      </c>
      <c r="R16" s="151"/>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7"/>
      <c r="J17" s="128"/>
      <c r="K17" s="128"/>
      <c r="L17" s="128"/>
      <c r="M17" s="129"/>
      <c r="N17" s="127"/>
      <c r="O17" s="128"/>
      <c r="P17" s="129"/>
      <c r="Q17" s="175"/>
      <c r="R17" s="126"/>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72" t="s">
        <v>123</v>
      </c>
      <c r="J18" s="122"/>
      <c r="K18" s="122"/>
      <c r="L18" s="122"/>
      <c r="M18" s="123"/>
      <c r="N18" s="172" t="s">
        <v>124</v>
      </c>
      <c r="O18" s="122"/>
      <c r="P18" s="123"/>
      <c r="Q18" s="175"/>
      <c r="R18" s="126"/>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7"/>
      <c r="J19" s="128"/>
      <c r="K19" s="128"/>
      <c r="L19" s="128"/>
      <c r="M19" s="129"/>
      <c r="N19" s="127"/>
      <c r="O19" s="128"/>
      <c r="P19" s="129"/>
      <c r="Q19" s="175"/>
      <c r="R19" s="126"/>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9" t="s">
        <v>125</v>
      </c>
      <c r="J20" s="150"/>
      <c r="K20" s="150"/>
      <c r="L20" s="150"/>
      <c r="M20" s="201"/>
      <c r="N20" s="172" t="s">
        <v>126</v>
      </c>
      <c r="O20" s="122"/>
      <c r="P20" s="123"/>
      <c r="Q20" s="175"/>
      <c r="R20" s="126"/>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7"/>
      <c r="J21" s="128"/>
      <c r="K21" s="128"/>
      <c r="L21" s="128"/>
      <c r="M21" s="202"/>
      <c r="N21" s="127"/>
      <c r="O21" s="128"/>
      <c r="P21" s="129"/>
      <c r="Q21" s="144"/>
      <c r="R21" s="129"/>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I16:M17"/>
    <mergeCell ref="N16:P17"/>
    <mergeCell ref="Q16:R21"/>
    <mergeCell ref="I18:M19"/>
    <mergeCell ref="N18:P19"/>
    <mergeCell ref="I20:M21"/>
    <mergeCell ref="N20:P21"/>
    <mergeCell ref="C2:X3"/>
    <mergeCell ref="C4:X5"/>
    <mergeCell ref="C6:X8"/>
    <mergeCell ref="I12:R13"/>
    <mergeCell ref="I14:M15"/>
    <mergeCell ref="N14:P15"/>
    <mergeCell ref="Q14:R15"/>
  </mergeCells>
  <dataValidations count="1">
    <dataValidation type="list" allowBlank="1" showErrorMessage="1" sqref="Q16" xr:uid="{00000000-0002-0000-0C00-000000000000}">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0"/>
  <sheetViews>
    <sheetView showGridLines="0" topLeftCell="E19" workbookViewId="0">
      <selection activeCell="R27" sqref="R27"/>
    </sheetView>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row>
    <row r="3" spans="1:29"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row>
    <row r="4" spans="1:29"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row>
    <row r="5" spans="1:29"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row>
    <row r="6" spans="1:29" ht="23.25" customHeight="1" x14ac:dyDescent="0.25">
      <c r="A6" s="1"/>
      <c r="B6" s="1"/>
      <c r="C6" s="156" t="s">
        <v>127</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row>
    <row r="7" spans="1:29"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row>
    <row r="8" spans="1:29"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93" t="s">
        <v>128</v>
      </c>
      <c r="H11" s="123"/>
      <c r="I11" s="203" t="s">
        <v>129</v>
      </c>
      <c r="J11" s="122"/>
      <c r="K11" s="122"/>
      <c r="L11" s="122"/>
      <c r="M11" s="122"/>
      <c r="N11" s="122"/>
      <c r="O11" s="122"/>
      <c r="P11" s="122"/>
      <c r="Q11" s="123"/>
      <c r="R11" s="146" t="s">
        <v>137</v>
      </c>
      <c r="S11" s="123"/>
      <c r="T11" s="1"/>
      <c r="U11" s="1"/>
      <c r="V11" s="1"/>
      <c r="W11" s="1"/>
      <c r="X11" s="10"/>
      <c r="Y11" s="1"/>
      <c r="Z11" s="1"/>
      <c r="AA11" s="1"/>
      <c r="AB11" s="1"/>
      <c r="AC11" s="1"/>
    </row>
    <row r="12" spans="1:29" ht="14.25" customHeight="1" x14ac:dyDescent="0.25">
      <c r="A12" s="1"/>
      <c r="B12" s="1"/>
      <c r="C12" s="19"/>
      <c r="D12" s="1"/>
      <c r="E12" s="28"/>
      <c r="F12" s="28"/>
      <c r="G12" s="124"/>
      <c r="H12" s="126"/>
      <c r="I12" s="127"/>
      <c r="J12" s="128"/>
      <c r="K12" s="128"/>
      <c r="L12" s="128"/>
      <c r="M12" s="128"/>
      <c r="N12" s="128"/>
      <c r="O12" s="128"/>
      <c r="P12" s="128"/>
      <c r="Q12" s="129"/>
      <c r="R12" s="134"/>
      <c r="S12" s="136"/>
      <c r="T12" s="1"/>
      <c r="U12" s="1"/>
      <c r="V12" s="1"/>
      <c r="W12" s="1"/>
      <c r="X12" s="10"/>
      <c r="Y12" s="1"/>
      <c r="Z12" s="1"/>
      <c r="AA12" s="1"/>
      <c r="AB12" s="1"/>
      <c r="AC12" s="1"/>
    </row>
    <row r="13" spans="1:29" ht="15.75" customHeight="1" x14ac:dyDescent="0.25">
      <c r="A13" s="1"/>
      <c r="B13" s="1"/>
      <c r="C13" s="19"/>
      <c r="D13" s="27"/>
      <c r="E13" s="28"/>
      <c r="F13" s="28"/>
      <c r="G13" s="124"/>
      <c r="H13" s="126"/>
      <c r="I13" s="203" t="s">
        <v>130</v>
      </c>
      <c r="J13" s="122"/>
      <c r="K13" s="122"/>
      <c r="L13" s="122"/>
      <c r="M13" s="122"/>
      <c r="N13" s="122"/>
      <c r="O13" s="122"/>
      <c r="P13" s="122"/>
      <c r="Q13" s="123"/>
      <c r="R13" s="146" t="s">
        <v>138</v>
      </c>
      <c r="S13" s="123"/>
      <c r="T13" s="1"/>
      <c r="U13" s="1"/>
      <c r="V13" s="1"/>
      <c r="W13" s="1"/>
      <c r="X13" s="10"/>
      <c r="Y13" s="1"/>
      <c r="Z13" s="1"/>
      <c r="AA13" s="1"/>
      <c r="AB13" s="1"/>
      <c r="AC13" s="1"/>
    </row>
    <row r="14" spans="1:29" ht="14.25" customHeight="1" x14ac:dyDescent="0.25">
      <c r="A14" s="1"/>
      <c r="B14" s="1"/>
      <c r="C14" s="19"/>
      <c r="D14" s="1"/>
      <c r="E14" s="28"/>
      <c r="F14" s="28"/>
      <c r="G14" s="124"/>
      <c r="H14" s="126"/>
      <c r="I14" s="127"/>
      <c r="J14" s="128"/>
      <c r="K14" s="128"/>
      <c r="L14" s="128"/>
      <c r="M14" s="128"/>
      <c r="N14" s="128"/>
      <c r="O14" s="128"/>
      <c r="P14" s="128"/>
      <c r="Q14" s="129"/>
      <c r="R14" s="134"/>
      <c r="S14" s="136"/>
      <c r="T14" s="1"/>
      <c r="U14" s="1"/>
      <c r="V14" s="1"/>
      <c r="W14" s="1"/>
      <c r="X14" s="10"/>
      <c r="Y14" s="1"/>
      <c r="Z14" s="1"/>
      <c r="AA14" s="1"/>
      <c r="AB14" s="1"/>
      <c r="AC14" s="1"/>
    </row>
    <row r="15" spans="1:29" ht="15" customHeight="1" x14ac:dyDescent="0.25">
      <c r="A15" s="1"/>
      <c r="B15" s="1"/>
      <c r="C15" s="19"/>
      <c r="D15" s="1"/>
      <c r="E15" s="28"/>
      <c r="F15" s="28"/>
      <c r="G15" s="124"/>
      <c r="H15" s="126"/>
      <c r="I15" s="203" t="s">
        <v>131</v>
      </c>
      <c r="J15" s="122"/>
      <c r="K15" s="122"/>
      <c r="L15" s="122"/>
      <c r="M15" s="122"/>
      <c r="N15" s="122"/>
      <c r="O15" s="122"/>
      <c r="P15" s="122"/>
      <c r="Q15" s="123"/>
      <c r="R15" s="146" t="s">
        <v>137</v>
      </c>
      <c r="S15" s="123"/>
      <c r="T15" s="1"/>
      <c r="U15" s="1"/>
      <c r="V15" s="1"/>
      <c r="W15" s="1"/>
      <c r="X15" s="10"/>
      <c r="Y15" s="1"/>
      <c r="Z15" s="1"/>
      <c r="AA15" s="1"/>
      <c r="AB15" s="1"/>
      <c r="AC15" s="1"/>
    </row>
    <row r="16" spans="1:29" ht="15" customHeight="1" x14ac:dyDescent="0.25">
      <c r="A16" s="1"/>
      <c r="B16" s="1"/>
      <c r="C16" s="19"/>
      <c r="D16" s="1"/>
      <c r="E16" s="28"/>
      <c r="F16" s="28"/>
      <c r="G16" s="124"/>
      <c r="H16" s="126"/>
      <c r="I16" s="127"/>
      <c r="J16" s="128"/>
      <c r="K16" s="128"/>
      <c r="L16" s="128"/>
      <c r="M16" s="128"/>
      <c r="N16" s="128"/>
      <c r="O16" s="128"/>
      <c r="P16" s="128"/>
      <c r="Q16" s="129"/>
      <c r="R16" s="134"/>
      <c r="S16" s="136"/>
      <c r="T16" s="1"/>
      <c r="U16" s="1"/>
      <c r="V16" s="1"/>
      <c r="W16" s="1"/>
      <c r="X16" s="10"/>
      <c r="Y16" s="1"/>
      <c r="Z16" s="1"/>
      <c r="AA16" s="1"/>
      <c r="AB16" s="1"/>
      <c r="AC16" s="1"/>
    </row>
    <row r="17" spans="1:29" ht="14.25" customHeight="1" x14ac:dyDescent="0.25">
      <c r="A17" s="1"/>
      <c r="B17" s="1"/>
      <c r="C17" s="19"/>
      <c r="D17" s="1"/>
      <c r="E17" s="28"/>
      <c r="F17" s="28"/>
      <c r="G17" s="124"/>
      <c r="H17" s="126"/>
      <c r="I17" s="203" t="s">
        <v>132</v>
      </c>
      <c r="J17" s="122"/>
      <c r="K17" s="122"/>
      <c r="L17" s="122"/>
      <c r="M17" s="122"/>
      <c r="N17" s="122"/>
      <c r="O17" s="122"/>
      <c r="P17" s="122"/>
      <c r="Q17" s="123"/>
      <c r="R17" s="146" t="s">
        <v>137</v>
      </c>
      <c r="S17" s="123"/>
      <c r="T17" s="1"/>
      <c r="U17" s="1"/>
      <c r="V17" s="1"/>
      <c r="W17" s="1"/>
      <c r="X17" s="10"/>
      <c r="Y17" s="1"/>
      <c r="Z17" s="1"/>
      <c r="AA17" s="1"/>
      <c r="AB17" s="1"/>
      <c r="AC17" s="1"/>
    </row>
    <row r="18" spans="1:29" ht="14.25" customHeight="1" x14ac:dyDescent="0.25">
      <c r="A18" s="1"/>
      <c r="B18" s="1"/>
      <c r="C18" s="19"/>
      <c r="D18" s="1"/>
      <c r="E18" s="28"/>
      <c r="F18" s="28"/>
      <c r="G18" s="124"/>
      <c r="H18" s="126"/>
      <c r="I18" s="127"/>
      <c r="J18" s="128"/>
      <c r="K18" s="128"/>
      <c r="L18" s="128"/>
      <c r="M18" s="128"/>
      <c r="N18" s="128"/>
      <c r="O18" s="128"/>
      <c r="P18" s="128"/>
      <c r="Q18" s="129"/>
      <c r="R18" s="134"/>
      <c r="S18" s="136"/>
      <c r="T18" s="1"/>
      <c r="U18" s="1"/>
      <c r="V18" s="1"/>
      <c r="W18" s="1"/>
      <c r="X18" s="10"/>
      <c r="Y18" s="1"/>
      <c r="Z18" s="1"/>
      <c r="AA18" s="1"/>
      <c r="AB18" s="1"/>
      <c r="AC18" s="1"/>
    </row>
    <row r="19" spans="1:29" ht="15" customHeight="1" x14ac:dyDescent="0.25">
      <c r="A19" s="1"/>
      <c r="B19" s="1"/>
      <c r="C19" s="19"/>
      <c r="D19" s="1"/>
      <c r="E19" s="28"/>
      <c r="F19" s="28"/>
      <c r="G19" s="124"/>
      <c r="H19" s="126"/>
      <c r="I19" s="203" t="s">
        <v>133</v>
      </c>
      <c r="J19" s="122"/>
      <c r="K19" s="122"/>
      <c r="L19" s="122"/>
      <c r="M19" s="122"/>
      <c r="N19" s="122"/>
      <c r="O19" s="122"/>
      <c r="P19" s="122"/>
      <c r="Q19" s="123"/>
      <c r="R19" s="146" t="s">
        <v>137</v>
      </c>
      <c r="S19" s="123"/>
      <c r="T19" s="1"/>
      <c r="U19" s="1"/>
      <c r="V19" s="1"/>
      <c r="W19" s="1"/>
      <c r="X19" s="10"/>
      <c r="Y19" s="1"/>
      <c r="Z19" s="1"/>
      <c r="AA19" s="1"/>
      <c r="AB19" s="1"/>
      <c r="AC19" s="1"/>
    </row>
    <row r="20" spans="1:29" ht="14.25" customHeight="1" x14ac:dyDescent="0.25">
      <c r="A20" s="1"/>
      <c r="B20" s="1"/>
      <c r="C20" s="19"/>
      <c r="D20" s="1"/>
      <c r="E20" s="28"/>
      <c r="F20" s="28"/>
      <c r="G20" s="124"/>
      <c r="H20" s="126"/>
      <c r="I20" s="127"/>
      <c r="J20" s="128"/>
      <c r="K20" s="128"/>
      <c r="L20" s="128"/>
      <c r="M20" s="128"/>
      <c r="N20" s="128"/>
      <c r="O20" s="128"/>
      <c r="P20" s="128"/>
      <c r="Q20" s="129"/>
      <c r="R20" s="134"/>
      <c r="S20" s="136"/>
      <c r="T20" s="1"/>
      <c r="U20" s="1"/>
      <c r="V20" s="1"/>
      <c r="W20" s="1"/>
      <c r="X20" s="10"/>
      <c r="Y20" s="1"/>
      <c r="Z20" s="1"/>
      <c r="AA20" s="1"/>
      <c r="AB20" s="1"/>
      <c r="AC20" s="1"/>
    </row>
    <row r="21" spans="1:29" ht="14.25" customHeight="1" x14ac:dyDescent="0.25">
      <c r="A21" s="1"/>
      <c r="B21" s="1"/>
      <c r="C21" s="19"/>
      <c r="D21" s="1"/>
      <c r="E21" s="28"/>
      <c r="F21" s="28"/>
      <c r="G21" s="124"/>
      <c r="H21" s="126"/>
      <c r="I21" s="203" t="s">
        <v>134</v>
      </c>
      <c r="J21" s="122"/>
      <c r="K21" s="122"/>
      <c r="L21" s="122"/>
      <c r="M21" s="122"/>
      <c r="N21" s="122"/>
      <c r="O21" s="122"/>
      <c r="P21" s="122"/>
      <c r="Q21" s="123"/>
      <c r="R21" s="146" t="s">
        <v>138</v>
      </c>
      <c r="S21" s="123"/>
      <c r="T21" s="1"/>
      <c r="U21" s="1"/>
      <c r="V21" s="1"/>
      <c r="W21" s="1"/>
      <c r="X21" s="10"/>
      <c r="Y21" s="1"/>
      <c r="Z21" s="1"/>
      <c r="AA21" s="1"/>
      <c r="AB21" s="1"/>
      <c r="AC21" s="1"/>
    </row>
    <row r="22" spans="1:29" ht="15" customHeight="1" x14ac:dyDescent="0.25">
      <c r="A22" s="1"/>
      <c r="B22" s="1"/>
      <c r="C22" s="19"/>
      <c r="D22" s="1"/>
      <c r="E22" s="28"/>
      <c r="F22" s="28"/>
      <c r="G22" s="124"/>
      <c r="H22" s="126"/>
      <c r="I22" s="127"/>
      <c r="J22" s="128"/>
      <c r="K22" s="128"/>
      <c r="L22" s="128"/>
      <c r="M22" s="128"/>
      <c r="N22" s="128"/>
      <c r="O22" s="128"/>
      <c r="P22" s="128"/>
      <c r="Q22" s="129"/>
      <c r="R22" s="134"/>
      <c r="S22" s="136"/>
      <c r="T22" s="1"/>
      <c r="U22" s="1"/>
      <c r="V22" s="1"/>
      <c r="W22" s="1"/>
      <c r="X22" s="10"/>
      <c r="Y22" s="1"/>
      <c r="Z22" s="1"/>
      <c r="AA22" s="1"/>
      <c r="AB22" s="1"/>
      <c r="AC22" s="1"/>
    </row>
    <row r="23" spans="1:29" ht="14.25" customHeight="1" x14ac:dyDescent="0.25">
      <c r="A23" s="1"/>
      <c r="B23" s="1"/>
      <c r="C23" s="19"/>
      <c r="D23" s="1"/>
      <c r="E23" s="1"/>
      <c r="F23" s="1"/>
      <c r="G23" s="124"/>
      <c r="H23" s="126"/>
      <c r="I23" s="203" t="s">
        <v>135</v>
      </c>
      <c r="J23" s="122"/>
      <c r="K23" s="122"/>
      <c r="L23" s="122"/>
      <c r="M23" s="122"/>
      <c r="N23" s="122"/>
      <c r="O23" s="122"/>
      <c r="P23" s="122"/>
      <c r="Q23" s="123"/>
      <c r="R23" s="146" t="s">
        <v>138</v>
      </c>
      <c r="S23" s="123"/>
      <c r="T23" s="1"/>
      <c r="U23" s="1"/>
      <c r="V23" s="1"/>
      <c r="W23" s="1"/>
      <c r="X23" s="10"/>
      <c r="Y23" s="1"/>
      <c r="Z23" s="1"/>
      <c r="AA23" s="1"/>
      <c r="AB23" s="1"/>
      <c r="AC23" s="1"/>
    </row>
    <row r="24" spans="1:29" ht="14.25" customHeight="1" x14ac:dyDescent="0.25">
      <c r="A24" s="1"/>
      <c r="B24" s="1"/>
      <c r="C24" s="19"/>
      <c r="D24" s="1"/>
      <c r="E24" s="1"/>
      <c r="F24" s="1"/>
      <c r="G24" s="124"/>
      <c r="H24" s="126"/>
      <c r="I24" s="127"/>
      <c r="J24" s="128"/>
      <c r="K24" s="128"/>
      <c r="L24" s="128"/>
      <c r="M24" s="128"/>
      <c r="N24" s="128"/>
      <c r="O24" s="128"/>
      <c r="P24" s="128"/>
      <c r="Q24" s="129"/>
      <c r="R24" s="134"/>
      <c r="S24" s="136"/>
      <c r="T24" s="1"/>
      <c r="U24" s="1"/>
      <c r="V24" s="1"/>
      <c r="W24" s="1"/>
      <c r="X24" s="10"/>
      <c r="Y24" s="1"/>
      <c r="Z24" s="1"/>
      <c r="AA24" s="1"/>
      <c r="AB24" s="1"/>
      <c r="AC24" s="1"/>
    </row>
    <row r="25" spans="1:29" ht="15" customHeight="1" x14ac:dyDescent="0.25">
      <c r="A25" s="1"/>
      <c r="B25" s="1"/>
      <c r="C25" s="19"/>
      <c r="D25" s="1"/>
      <c r="E25" s="1"/>
      <c r="F25" s="1"/>
      <c r="G25" s="124"/>
      <c r="H25" s="126"/>
      <c r="I25" s="203" t="s">
        <v>136</v>
      </c>
      <c r="J25" s="122"/>
      <c r="K25" s="122"/>
      <c r="L25" s="122"/>
      <c r="M25" s="122"/>
      <c r="N25" s="122"/>
      <c r="O25" s="122"/>
      <c r="P25" s="122"/>
      <c r="Q25" s="123"/>
      <c r="R25" s="146" t="s">
        <v>138</v>
      </c>
      <c r="S25" s="123"/>
      <c r="T25" s="1"/>
      <c r="U25" s="1"/>
      <c r="V25" s="1"/>
      <c r="W25" s="1"/>
      <c r="X25" s="10"/>
      <c r="Y25" s="1"/>
      <c r="Z25" s="1"/>
      <c r="AA25" s="1"/>
      <c r="AB25" s="1"/>
      <c r="AC25" s="1"/>
    </row>
    <row r="26" spans="1:29" ht="15" customHeight="1" x14ac:dyDescent="0.25">
      <c r="A26" s="1"/>
      <c r="B26" s="1"/>
      <c r="C26" s="19"/>
      <c r="D26" s="1"/>
      <c r="E26" s="1"/>
      <c r="F26" s="1"/>
      <c r="G26" s="127"/>
      <c r="H26" s="129"/>
      <c r="I26" s="127"/>
      <c r="J26" s="128"/>
      <c r="K26" s="128"/>
      <c r="L26" s="128"/>
      <c r="M26" s="128"/>
      <c r="N26" s="128"/>
      <c r="O26" s="128"/>
      <c r="P26" s="128"/>
      <c r="Q26" s="129"/>
      <c r="R26" s="127"/>
      <c r="S26" s="129"/>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15:Q16"/>
    <mergeCell ref="R15:S16"/>
    <mergeCell ref="I17:Q18"/>
    <mergeCell ref="R17:S18"/>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s>
  <dataValidations count="1">
    <dataValidation type="list" allowBlank="1" showErrorMessage="1" sqref="R11 R13 R15 R17 R19 R21 R23 R25" xr:uid="{00000000-0002-0000-0D00-000000000000}">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00"/>
  <sheetViews>
    <sheetView showGridLines="0" tabSelected="1" topLeftCell="B1" zoomScale="70" zoomScaleNormal="70" workbookViewId="0">
      <selection activeCell="N19" sqref="N19"/>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6.28515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36"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row>
    <row r="3" spans="1:34" ht="46.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37" t="s">
        <v>139</v>
      </c>
      <c r="E6" s="122"/>
      <c r="F6" s="122"/>
      <c r="G6" s="122"/>
      <c r="H6" s="122"/>
      <c r="I6" s="122"/>
      <c r="J6" s="122"/>
      <c r="K6" s="122"/>
      <c r="L6" s="123"/>
      <c r="M6" s="40"/>
      <c r="N6" s="40"/>
      <c r="O6" s="237" t="s">
        <v>140</v>
      </c>
      <c r="P6" s="122"/>
      <c r="Q6" s="122"/>
      <c r="R6" s="122"/>
      <c r="S6" s="122"/>
      <c r="T6" s="122"/>
      <c r="U6" s="122"/>
      <c r="V6" s="122"/>
      <c r="W6" s="123"/>
      <c r="X6" s="41"/>
      <c r="Y6" s="1"/>
      <c r="Z6" s="1"/>
      <c r="AA6" s="1"/>
      <c r="AB6" s="1"/>
      <c r="AC6" s="1"/>
      <c r="AD6" s="1"/>
      <c r="AE6" s="1"/>
      <c r="AF6" s="1"/>
      <c r="AG6" s="1"/>
      <c r="AH6" s="1"/>
    </row>
    <row r="7" spans="1:34" ht="15" customHeight="1" x14ac:dyDescent="0.25">
      <c r="A7" s="1"/>
      <c r="B7" s="1"/>
      <c r="C7" s="42"/>
      <c r="D7" s="127"/>
      <c r="E7" s="128"/>
      <c r="F7" s="128"/>
      <c r="G7" s="128"/>
      <c r="H7" s="128"/>
      <c r="I7" s="128"/>
      <c r="J7" s="128"/>
      <c r="K7" s="128"/>
      <c r="L7" s="129"/>
      <c r="M7" s="43"/>
      <c r="N7" s="43"/>
      <c r="O7" s="127"/>
      <c r="P7" s="128"/>
      <c r="Q7" s="128"/>
      <c r="R7" s="128"/>
      <c r="S7" s="128"/>
      <c r="T7" s="128"/>
      <c r="U7" s="128"/>
      <c r="V7" s="128"/>
      <c r="W7" s="129"/>
      <c r="X7" s="44"/>
      <c r="Y7" s="1"/>
      <c r="Z7" s="1"/>
      <c r="AA7" s="1"/>
      <c r="AB7" s="1"/>
      <c r="AC7" s="1"/>
      <c r="AD7" s="1"/>
      <c r="AE7" s="1"/>
      <c r="AF7" s="1"/>
      <c r="AG7" s="1"/>
      <c r="AH7" s="1"/>
    </row>
    <row r="8" spans="1:34" ht="30" customHeight="1" x14ac:dyDescent="0.25">
      <c r="A8" s="1"/>
      <c r="B8" s="1"/>
      <c r="C8" s="42"/>
      <c r="D8" s="230" t="s">
        <v>141</v>
      </c>
      <c r="E8" s="162"/>
      <c r="F8" s="45" t="s">
        <v>249</v>
      </c>
      <c r="G8" s="46"/>
      <c r="H8" s="47"/>
      <c r="I8" s="232" t="s">
        <v>142</v>
      </c>
      <c r="J8" s="238"/>
      <c r="K8" s="48"/>
      <c r="L8" s="49"/>
      <c r="M8" s="43"/>
      <c r="N8" s="43"/>
      <c r="O8" s="235" t="s">
        <v>143</v>
      </c>
      <c r="P8" s="122"/>
      <c r="Q8" s="122"/>
      <c r="R8" s="122"/>
      <c r="S8" s="123"/>
      <c r="T8" s="212" t="s">
        <v>144</v>
      </c>
      <c r="U8" s="162"/>
      <c r="V8" s="212" t="s">
        <v>145</v>
      </c>
      <c r="W8" s="162"/>
      <c r="X8" s="44"/>
      <c r="Y8" s="1"/>
      <c r="Z8" s="1"/>
      <c r="AA8" s="1"/>
      <c r="AB8" s="1"/>
      <c r="AC8" s="1"/>
      <c r="AD8" s="1"/>
      <c r="AE8" s="1"/>
      <c r="AF8" s="1"/>
      <c r="AG8" s="1"/>
      <c r="AH8" s="1"/>
    </row>
    <row r="9" spans="1:34" ht="30" customHeight="1" x14ac:dyDescent="0.25">
      <c r="A9" s="1"/>
      <c r="B9" s="1"/>
      <c r="C9" s="42"/>
      <c r="D9" s="230" t="s">
        <v>146</v>
      </c>
      <c r="E9" s="162"/>
      <c r="F9" s="50" t="s">
        <v>250</v>
      </c>
      <c r="G9" s="51"/>
      <c r="H9" s="52"/>
      <c r="I9" s="234" t="s">
        <v>147</v>
      </c>
      <c r="J9" s="211"/>
      <c r="K9" s="53" t="s">
        <v>252</v>
      </c>
      <c r="L9" s="54"/>
      <c r="M9" s="43"/>
      <c r="N9" s="43"/>
      <c r="O9" s="127"/>
      <c r="P9" s="128"/>
      <c r="Q9" s="128"/>
      <c r="R9" s="128"/>
      <c r="S9" s="129"/>
      <c r="T9" s="55" t="s">
        <v>148</v>
      </c>
      <c r="U9" s="55" t="s">
        <v>5</v>
      </c>
      <c r="V9" s="55" t="s">
        <v>149</v>
      </c>
      <c r="W9" s="55" t="s">
        <v>5</v>
      </c>
      <c r="X9" s="44"/>
      <c r="Y9" s="1"/>
      <c r="Z9" s="1"/>
      <c r="AA9" s="1"/>
      <c r="AB9" s="1"/>
      <c r="AC9" s="1"/>
      <c r="AD9" s="1"/>
      <c r="AE9" s="1"/>
      <c r="AF9" s="1"/>
      <c r="AG9" s="1"/>
      <c r="AH9" s="1"/>
    </row>
    <row r="10" spans="1:34" ht="30" customHeight="1" x14ac:dyDescent="0.25">
      <c r="A10" s="1"/>
      <c r="B10" s="1"/>
      <c r="C10" s="19"/>
      <c r="D10" s="231" t="s">
        <v>150</v>
      </c>
      <c r="E10" s="162"/>
      <c r="F10" s="56" t="s">
        <v>251</v>
      </c>
      <c r="G10" s="45"/>
      <c r="H10" s="49"/>
      <c r="I10" s="231" t="s">
        <v>151</v>
      </c>
      <c r="J10" s="162"/>
      <c r="K10" s="48" t="s">
        <v>253</v>
      </c>
      <c r="L10" s="57"/>
      <c r="M10" s="1"/>
      <c r="N10" s="1"/>
      <c r="O10" s="228" t="s">
        <v>152</v>
      </c>
      <c r="P10" s="178"/>
      <c r="Q10" s="178"/>
      <c r="R10" s="178"/>
      <c r="S10" s="162"/>
      <c r="T10" s="58" t="str">
        <f t="shared" ref="T10:T20" si="0">U10</f>
        <v>Ambar / 3</v>
      </c>
      <c r="U10" s="58" t="str">
        <f>'A1'!T16</f>
        <v>Ambar / 3</v>
      </c>
      <c r="V10" s="58" t="str">
        <f t="shared" ref="V10:V20" si="1">W10</f>
        <v>Ambar / 3</v>
      </c>
      <c r="W10" s="59" t="str">
        <f>'A1'!R16</f>
        <v>Ambar / 3</v>
      </c>
      <c r="X10" s="10"/>
      <c r="Y10" s="1"/>
      <c r="Z10" s="1"/>
      <c r="AA10" s="1"/>
      <c r="AB10" s="1"/>
      <c r="AC10" s="1"/>
      <c r="AD10" s="1"/>
      <c r="AE10" s="1"/>
      <c r="AF10" s="1"/>
      <c r="AG10" s="1"/>
      <c r="AH10" s="1"/>
    </row>
    <row r="11" spans="1:34" ht="30" customHeight="1" x14ac:dyDescent="0.25">
      <c r="A11" s="1"/>
      <c r="B11" s="1"/>
      <c r="C11" s="19"/>
      <c r="D11" s="231" t="s">
        <v>153</v>
      </c>
      <c r="E11" s="162"/>
      <c r="F11" s="56" t="s">
        <v>266</v>
      </c>
      <c r="G11" s="45"/>
      <c r="H11" s="49"/>
      <c r="I11" s="232" t="s">
        <v>154</v>
      </c>
      <c r="J11" s="162"/>
      <c r="K11" s="60" t="s">
        <v>254</v>
      </c>
      <c r="L11" s="57"/>
      <c r="M11" s="1"/>
      <c r="N11" s="1"/>
      <c r="O11" s="228" t="s">
        <v>155</v>
      </c>
      <c r="P11" s="178"/>
      <c r="Q11" s="178"/>
      <c r="R11" s="178"/>
      <c r="S11" s="162"/>
      <c r="T11" s="58" t="str">
        <f t="shared" si="0"/>
        <v>Ambar / 3</v>
      </c>
      <c r="U11" s="58" t="str">
        <f>'A2'!T16</f>
        <v>Ambar / 3</v>
      </c>
      <c r="V11" s="58" t="str">
        <f t="shared" si="1"/>
        <v>Ambar / 3</v>
      </c>
      <c r="W11" s="59" t="str">
        <f>'A2'!R16</f>
        <v>Ambar / 3</v>
      </c>
      <c r="X11" s="10"/>
      <c r="Y11" s="1"/>
      <c r="Z11" s="1"/>
      <c r="AA11" s="1"/>
      <c r="AB11" s="1"/>
      <c r="AC11" s="1"/>
      <c r="AD11" s="1"/>
      <c r="AE11" s="1"/>
      <c r="AF11" s="1"/>
      <c r="AG11" s="1"/>
      <c r="AH11" s="1"/>
    </row>
    <row r="12" spans="1:34" ht="30" customHeight="1" x14ac:dyDescent="0.25">
      <c r="A12" s="1"/>
      <c r="B12" s="1"/>
      <c r="C12" s="19"/>
      <c r="D12" s="233" t="s">
        <v>156</v>
      </c>
      <c r="E12" s="178"/>
      <c r="F12" s="178"/>
      <c r="G12" s="178"/>
      <c r="H12" s="178"/>
      <c r="I12" s="178"/>
      <c r="J12" s="178"/>
      <c r="K12" s="178"/>
      <c r="L12" s="162"/>
      <c r="M12" s="61"/>
      <c r="N12" s="61"/>
      <c r="O12" s="228" t="s">
        <v>157</v>
      </c>
      <c r="P12" s="178"/>
      <c r="Q12" s="178"/>
      <c r="R12" s="178"/>
      <c r="S12" s="162"/>
      <c r="T12" s="62" t="str">
        <f t="shared" si="0"/>
        <v>Ambar / 2</v>
      </c>
      <c r="U12" s="62" t="str">
        <f>'B1'!V32</f>
        <v>Ambar / 2</v>
      </c>
      <c r="V12" s="62" t="str">
        <f t="shared" si="1"/>
        <v>Ambar / 2</v>
      </c>
      <c r="W12" s="59" t="str">
        <f>'B1'!T32</f>
        <v>Ambar / 2</v>
      </c>
      <c r="X12" s="10"/>
      <c r="Y12" s="1"/>
      <c r="Z12" s="1"/>
      <c r="AA12" s="1"/>
      <c r="AB12" s="1"/>
      <c r="AC12" s="1"/>
      <c r="AD12" s="1"/>
      <c r="AE12" s="1"/>
      <c r="AF12" s="1"/>
      <c r="AG12" s="1"/>
      <c r="AH12" s="1"/>
    </row>
    <row r="13" spans="1:34" ht="30" customHeight="1" x14ac:dyDescent="0.25">
      <c r="A13" s="1"/>
      <c r="B13" s="1"/>
      <c r="C13" s="19"/>
      <c r="D13" s="216" t="s">
        <v>267</v>
      </c>
      <c r="E13" s="217"/>
      <c r="F13" s="217"/>
      <c r="G13" s="217"/>
      <c r="H13" s="217"/>
      <c r="I13" s="217"/>
      <c r="J13" s="217"/>
      <c r="K13" s="217"/>
      <c r="L13" s="218"/>
      <c r="M13" s="61"/>
      <c r="N13" s="61"/>
      <c r="O13" s="228" t="s">
        <v>158</v>
      </c>
      <c r="P13" s="178"/>
      <c r="Q13" s="178"/>
      <c r="R13" s="178"/>
      <c r="S13" s="162"/>
      <c r="T13" s="58" t="str">
        <f t="shared" si="0"/>
        <v>Verde / 0</v>
      </c>
      <c r="U13" s="58" t="str">
        <f>'C1'!R16</f>
        <v>Verde / 0</v>
      </c>
      <c r="V13" s="58" t="str">
        <f t="shared" si="1"/>
        <v>Verde / 0</v>
      </c>
      <c r="W13" s="59" t="str">
        <f>'C1'!R16</f>
        <v>Verde / 0</v>
      </c>
      <c r="X13" s="10"/>
      <c r="Y13" s="1"/>
      <c r="Z13" s="1"/>
      <c r="AA13" s="1"/>
      <c r="AB13" s="1"/>
      <c r="AC13" s="1"/>
      <c r="AD13" s="1"/>
      <c r="AE13" s="1"/>
      <c r="AF13" s="1"/>
      <c r="AG13" s="1"/>
      <c r="AH13" s="1"/>
    </row>
    <row r="14" spans="1:34" ht="30" customHeight="1" x14ac:dyDescent="0.25">
      <c r="A14" s="1"/>
      <c r="B14" s="1"/>
      <c r="C14" s="19"/>
      <c r="D14" s="219"/>
      <c r="E14" s="220"/>
      <c r="F14" s="220"/>
      <c r="G14" s="220"/>
      <c r="H14" s="220"/>
      <c r="I14" s="220"/>
      <c r="J14" s="220"/>
      <c r="K14" s="220"/>
      <c r="L14" s="221"/>
      <c r="M14" s="61"/>
      <c r="N14" s="61"/>
      <c r="O14" s="228" t="s">
        <v>159</v>
      </c>
      <c r="P14" s="178"/>
      <c r="Q14" s="178"/>
      <c r="R14" s="178"/>
      <c r="S14" s="162"/>
      <c r="T14" s="58" t="str">
        <f t="shared" si="0"/>
        <v>Verde / 0</v>
      </c>
      <c r="U14" s="58" t="str">
        <f>'C2'!R16</f>
        <v>Verde / 0</v>
      </c>
      <c r="V14" s="58" t="str">
        <f t="shared" si="1"/>
        <v>Verde / 0</v>
      </c>
      <c r="W14" s="59" t="str">
        <f>'C2'!R16</f>
        <v>Verde / 0</v>
      </c>
      <c r="X14" s="10"/>
      <c r="Y14" s="1"/>
      <c r="Z14" s="1"/>
      <c r="AA14" s="1"/>
      <c r="AB14" s="1"/>
      <c r="AC14" s="1"/>
      <c r="AD14" s="1"/>
      <c r="AE14" s="1"/>
      <c r="AF14" s="1"/>
      <c r="AG14" s="1"/>
      <c r="AH14" s="1"/>
    </row>
    <row r="15" spans="1:34" ht="30" customHeight="1" x14ac:dyDescent="0.25">
      <c r="A15" s="1"/>
      <c r="B15" s="1"/>
      <c r="C15" s="19"/>
      <c r="D15" s="219"/>
      <c r="E15" s="220"/>
      <c r="F15" s="220"/>
      <c r="G15" s="220"/>
      <c r="H15" s="220"/>
      <c r="I15" s="220"/>
      <c r="J15" s="220"/>
      <c r="K15" s="220"/>
      <c r="L15" s="221"/>
      <c r="M15" s="61"/>
      <c r="N15" s="61"/>
      <c r="O15" s="228" t="s">
        <v>160</v>
      </c>
      <c r="P15" s="178"/>
      <c r="Q15" s="178"/>
      <c r="R15" s="178"/>
      <c r="S15" s="162"/>
      <c r="T15" s="58" t="str">
        <f t="shared" si="0"/>
        <v>Verde / 0</v>
      </c>
      <c r="U15" s="58" t="str">
        <f>'C3'!T16</f>
        <v>Verde / 0</v>
      </c>
      <c r="V15" s="63" t="str">
        <f t="shared" si="1"/>
        <v>Verde / 0</v>
      </c>
      <c r="W15" s="64" t="str">
        <f>'C3'!R16</f>
        <v>Verde / 0</v>
      </c>
      <c r="X15" s="10"/>
      <c r="Y15" s="1"/>
      <c r="Z15" s="1"/>
      <c r="AA15" s="1"/>
      <c r="AB15" s="1"/>
      <c r="AC15" s="1"/>
      <c r="AD15" s="1"/>
      <c r="AE15" s="1"/>
      <c r="AF15" s="1"/>
      <c r="AG15" s="1"/>
      <c r="AH15" s="1"/>
    </row>
    <row r="16" spans="1:34" ht="30" customHeight="1" x14ac:dyDescent="0.25">
      <c r="A16" s="1"/>
      <c r="B16" s="1"/>
      <c r="C16" s="19"/>
      <c r="D16" s="219"/>
      <c r="E16" s="220"/>
      <c r="F16" s="220"/>
      <c r="G16" s="220"/>
      <c r="H16" s="220"/>
      <c r="I16" s="220"/>
      <c r="J16" s="220"/>
      <c r="K16" s="220"/>
      <c r="L16" s="221"/>
      <c r="M16" s="61"/>
      <c r="N16" s="61"/>
      <c r="O16" s="228" t="s">
        <v>161</v>
      </c>
      <c r="P16" s="178"/>
      <c r="Q16" s="178"/>
      <c r="R16" s="178"/>
      <c r="S16" s="162"/>
      <c r="T16" s="65" t="str">
        <f t="shared" si="0"/>
        <v>Ambar / 1</v>
      </c>
      <c r="U16" s="65" t="str">
        <f>'C4'!T16</f>
        <v>Ambar / 1</v>
      </c>
      <c r="V16" s="65" t="str">
        <f t="shared" si="1"/>
        <v>Verde / 0</v>
      </c>
      <c r="W16" s="59" t="str">
        <f>'C4'!R16</f>
        <v>Verde / 0</v>
      </c>
      <c r="X16" s="10"/>
      <c r="Y16" s="1"/>
      <c r="Z16" s="1"/>
      <c r="AA16" s="1"/>
      <c r="AB16" s="1"/>
      <c r="AC16" s="1"/>
      <c r="AD16" s="1"/>
      <c r="AE16" s="1"/>
      <c r="AF16" s="1"/>
      <c r="AG16" s="1"/>
      <c r="AH16" s="1"/>
    </row>
    <row r="17" spans="1:34" ht="30" customHeight="1" x14ac:dyDescent="0.25">
      <c r="A17" s="1"/>
      <c r="B17" s="1"/>
      <c r="C17" s="19"/>
      <c r="D17" s="219"/>
      <c r="E17" s="220"/>
      <c r="F17" s="220"/>
      <c r="G17" s="220"/>
      <c r="H17" s="220"/>
      <c r="I17" s="220"/>
      <c r="J17" s="220"/>
      <c r="K17" s="220"/>
      <c r="L17" s="221"/>
      <c r="M17" s="61"/>
      <c r="N17" s="61"/>
      <c r="O17" s="228" t="s">
        <v>162</v>
      </c>
      <c r="P17" s="178"/>
      <c r="Q17" s="178"/>
      <c r="R17" s="178"/>
      <c r="S17" s="162"/>
      <c r="T17" s="65" t="str">
        <f t="shared" si="0"/>
        <v>Ambar / 1</v>
      </c>
      <c r="U17" s="65" t="str">
        <f>'C5'!T16</f>
        <v>Ambar / 1</v>
      </c>
      <c r="V17" s="65" t="str">
        <f t="shared" si="1"/>
        <v>Verde / 0</v>
      </c>
      <c r="W17" s="59" t="str">
        <f>'C5'!R16</f>
        <v>Verde / 0</v>
      </c>
      <c r="X17" s="10"/>
      <c r="Y17" s="1"/>
      <c r="Z17" s="1"/>
      <c r="AA17" s="1"/>
      <c r="AB17" s="1"/>
      <c r="AC17" s="1"/>
      <c r="AD17" s="1"/>
      <c r="AE17" s="1"/>
      <c r="AF17" s="1"/>
      <c r="AG17" s="1"/>
      <c r="AH17" s="1"/>
    </row>
    <row r="18" spans="1:34" ht="30" customHeight="1" x14ac:dyDescent="0.25">
      <c r="A18" s="1"/>
      <c r="B18" s="1"/>
      <c r="C18" s="19"/>
      <c r="D18" s="219"/>
      <c r="E18" s="220"/>
      <c r="F18" s="220"/>
      <c r="G18" s="220"/>
      <c r="H18" s="220"/>
      <c r="I18" s="220"/>
      <c r="J18" s="220"/>
      <c r="K18" s="220"/>
      <c r="L18" s="221"/>
      <c r="M18" s="61"/>
      <c r="N18" s="61"/>
      <c r="O18" s="228" t="s">
        <v>163</v>
      </c>
      <c r="P18" s="178"/>
      <c r="Q18" s="178"/>
      <c r="R18" s="178"/>
      <c r="S18" s="162"/>
      <c r="T18" s="65" t="str">
        <f t="shared" si="0"/>
        <v>Verde / 0</v>
      </c>
      <c r="U18" s="65" t="str">
        <f>'D1'!R16</f>
        <v>Verde / 0</v>
      </c>
      <c r="V18" s="65" t="str">
        <f t="shared" si="1"/>
        <v>Verde / 0</v>
      </c>
      <c r="W18" s="59" t="str">
        <f>'D1'!R16</f>
        <v>Verde / 0</v>
      </c>
      <c r="X18" s="10"/>
      <c r="Y18" s="1"/>
      <c r="Z18" s="1"/>
      <c r="AA18" s="1"/>
      <c r="AB18" s="1"/>
      <c r="AC18" s="1"/>
      <c r="AD18" s="1"/>
      <c r="AE18" s="1"/>
      <c r="AF18" s="1"/>
      <c r="AG18" s="1"/>
      <c r="AH18" s="1"/>
    </row>
    <row r="19" spans="1:34" ht="30" customHeight="1" x14ac:dyDescent="0.25">
      <c r="A19" s="1"/>
      <c r="B19" s="1"/>
      <c r="C19" s="19"/>
      <c r="D19" s="222"/>
      <c r="E19" s="223"/>
      <c r="F19" s="223"/>
      <c r="G19" s="223"/>
      <c r="H19" s="223"/>
      <c r="I19" s="223"/>
      <c r="J19" s="223"/>
      <c r="K19" s="223"/>
      <c r="L19" s="224"/>
      <c r="M19" s="61"/>
      <c r="N19" s="61"/>
      <c r="O19" s="228" t="s">
        <v>164</v>
      </c>
      <c r="P19" s="178"/>
      <c r="Q19" s="178"/>
      <c r="R19" s="178"/>
      <c r="S19" s="162"/>
      <c r="T19" s="66" t="str">
        <f t="shared" si="0"/>
        <v>Ambar / 1</v>
      </c>
      <c r="U19" s="66" t="str">
        <f>'D2'!R13</f>
        <v>Ambar / 1</v>
      </c>
      <c r="V19" s="66" t="str">
        <f t="shared" si="1"/>
        <v>Ambar / 1</v>
      </c>
      <c r="W19" s="59" t="str">
        <f>'D2'!R13</f>
        <v>Ambar / 1</v>
      </c>
      <c r="X19" s="10"/>
      <c r="Y19" s="1"/>
      <c r="Z19" s="1"/>
      <c r="AA19" s="1"/>
      <c r="AB19" s="1"/>
      <c r="AC19" s="1"/>
      <c r="AD19" s="1"/>
      <c r="AE19" s="1"/>
      <c r="AF19" s="1"/>
      <c r="AG19" s="1"/>
      <c r="AH19" s="1"/>
    </row>
    <row r="20" spans="1:34" ht="30" customHeight="1" x14ac:dyDescent="0.25">
      <c r="A20" s="1"/>
      <c r="B20" s="1"/>
      <c r="C20" s="19"/>
      <c r="D20" s="225" t="s">
        <v>165</v>
      </c>
      <c r="E20" s="122"/>
      <c r="F20" s="122"/>
      <c r="G20" s="122"/>
      <c r="H20" s="122"/>
      <c r="I20" s="123"/>
      <c r="J20" s="216" t="s">
        <v>255</v>
      </c>
      <c r="K20" s="122"/>
      <c r="L20" s="123"/>
      <c r="M20" s="61"/>
      <c r="N20" s="61"/>
      <c r="O20" s="229" t="s">
        <v>166</v>
      </c>
      <c r="P20" s="122"/>
      <c r="Q20" s="122"/>
      <c r="R20" s="122"/>
      <c r="S20" s="123"/>
      <c r="T20" s="65" t="str">
        <f t="shared" si="0"/>
        <v>Ambar / 1</v>
      </c>
      <c r="U20" s="65" t="str">
        <f>'D3'!V15</f>
        <v>Ambar / 1</v>
      </c>
      <c r="V20" s="65" t="str">
        <f t="shared" si="1"/>
        <v>Ambar / 1</v>
      </c>
      <c r="W20" s="67" t="str">
        <f>'D3'!T15</f>
        <v>Ambar / 1</v>
      </c>
      <c r="X20" s="10"/>
      <c r="Y20" s="1"/>
      <c r="Z20" s="1"/>
      <c r="AA20" s="1"/>
      <c r="AB20" s="1"/>
      <c r="AC20" s="1"/>
      <c r="AD20" s="1"/>
      <c r="AE20" s="1"/>
      <c r="AF20" s="1"/>
      <c r="AG20" s="1"/>
      <c r="AH20" s="1"/>
    </row>
    <row r="21" spans="1:34" ht="30.75" customHeight="1" thickBot="1" x14ac:dyDescent="0.3">
      <c r="A21" s="1"/>
      <c r="B21" s="1"/>
      <c r="C21" s="19"/>
      <c r="D21" s="127"/>
      <c r="E21" s="128"/>
      <c r="F21" s="128"/>
      <c r="G21" s="128"/>
      <c r="H21" s="128"/>
      <c r="I21" s="129"/>
      <c r="J21" s="127"/>
      <c r="K21" s="128"/>
      <c r="L21" s="129"/>
      <c r="M21" s="61"/>
      <c r="N21" s="61"/>
      <c r="O21" s="212" t="s">
        <v>167</v>
      </c>
      <c r="P21" s="178"/>
      <c r="Q21" s="178"/>
      <c r="R21" s="178"/>
      <c r="S21" s="162"/>
      <c r="T21" s="204" t="s">
        <v>144</v>
      </c>
      <c r="U21" s="68">
        <f>IFERROR(SUM(RIGHT(U10,1),RIGHT(U11,1),RIGHT(U12,1),RIGHT(U13,1),RIGHT(U14,1),RIGHT(U15,1),RIGHT(U16,1),RIGHT(U17,1),RIGHT(U18,1),RIGHT(U19,1),RIGHT(U20,1)),"Peso de Carga Inaceptable")</f>
        <v>12</v>
      </c>
      <c r="V21" s="204" t="s">
        <v>145</v>
      </c>
      <c r="W21" s="68">
        <f>IFERROR(SUM(RIGHT(W10,1),RIGHT(W11,1),RIGHT(W12,1),RIGHT(W13,1),RIGHT(W14,1),RIGHT(W15,1),RIGHT(W16,1),RIGHT(W17,1),RIGHT(W18,1),RIGHT(W19,1),RIGHT(W20,1)),"Peso de Carga Inaceptable")</f>
        <v>10</v>
      </c>
      <c r="X21" s="10"/>
      <c r="Y21" s="1"/>
      <c r="Z21" s="1"/>
      <c r="AA21" s="1"/>
      <c r="AB21" s="1"/>
      <c r="AC21" s="1"/>
      <c r="AD21" s="1"/>
      <c r="AE21" s="1"/>
      <c r="AF21" s="1"/>
      <c r="AG21" s="1"/>
      <c r="AH21" s="1"/>
    </row>
    <row r="22" spans="1:34" ht="30" customHeight="1" thickBot="1" x14ac:dyDescent="0.3">
      <c r="A22" s="1"/>
      <c r="B22" s="1"/>
      <c r="C22" s="19"/>
      <c r="D22" s="226" t="s">
        <v>168</v>
      </c>
      <c r="E22" s="122"/>
      <c r="F22" s="123"/>
      <c r="G22" s="227" t="s">
        <v>10</v>
      </c>
      <c r="H22" s="69"/>
      <c r="I22" s="227" t="s">
        <v>9</v>
      </c>
      <c r="J22" s="69"/>
      <c r="K22" s="227" t="s">
        <v>169</v>
      </c>
      <c r="L22" s="213" t="s">
        <v>256</v>
      </c>
      <c r="M22" s="61"/>
      <c r="N22" s="61"/>
      <c r="O22" s="215" t="s">
        <v>170</v>
      </c>
      <c r="P22" s="178"/>
      <c r="Q22" s="178"/>
      <c r="R22" s="178"/>
      <c r="S22" s="162"/>
      <c r="T22" s="153"/>
      <c r="U22" s="70">
        <f>'D4'!Q16</f>
        <v>0.5</v>
      </c>
      <c r="V22" s="153"/>
      <c r="W22" s="70">
        <f>'D4'!Q16</f>
        <v>0.5</v>
      </c>
      <c r="X22" s="10"/>
      <c r="Y22" s="1"/>
      <c r="Z22" s="1"/>
      <c r="AA22" s="1"/>
      <c r="AB22" s="1"/>
      <c r="AC22" s="1"/>
      <c r="AD22" s="1"/>
      <c r="AE22" s="1"/>
      <c r="AF22" s="1"/>
      <c r="AG22" s="1"/>
      <c r="AH22" s="1"/>
    </row>
    <row r="23" spans="1:34" ht="30.75" customHeight="1" thickBot="1" x14ac:dyDescent="0.3">
      <c r="A23" s="1"/>
      <c r="B23" s="1"/>
      <c r="C23" s="19"/>
      <c r="D23" s="127"/>
      <c r="E23" s="128"/>
      <c r="F23" s="129"/>
      <c r="G23" s="154"/>
      <c r="H23" s="71"/>
      <c r="I23" s="154"/>
      <c r="J23" s="71"/>
      <c r="K23" s="154"/>
      <c r="L23" s="214"/>
      <c r="M23" s="61"/>
      <c r="N23" s="61"/>
      <c r="O23" s="207" t="s">
        <v>171</v>
      </c>
      <c r="P23" s="178"/>
      <c r="Q23" s="178"/>
      <c r="R23" s="178"/>
      <c r="S23" s="162"/>
      <c r="T23" s="154"/>
      <c r="U23" s="20">
        <f>U21*U22</f>
        <v>6</v>
      </c>
      <c r="V23" s="154"/>
      <c r="W23" s="20">
        <f>W21*W22</f>
        <v>5</v>
      </c>
      <c r="X23" s="10"/>
      <c r="Y23" s="1"/>
      <c r="Z23" s="1"/>
      <c r="AA23" s="1"/>
      <c r="AB23" s="1"/>
      <c r="AC23" s="1"/>
      <c r="AD23" s="1"/>
      <c r="AE23" s="1"/>
      <c r="AF23" s="1"/>
      <c r="AG23" s="1"/>
      <c r="AH23" s="1"/>
    </row>
    <row r="24" spans="1:34" ht="30" customHeight="1" thickBot="1" x14ac:dyDescent="0.3">
      <c r="A24" s="1"/>
      <c r="B24" s="1"/>
      <c r="C24" s="19"/>
      <c r="D24" s="230" t="s">
        <v>172</v>
      </c>
      <c r="E24" s="178"/>
      <c r="F24" s="178"/>
      <c r="G24" s="178"/>
      <c r="H24" s="178"/>
      <c r="I24" s="162"/>
      <c r="J24" s="247" t="s">
        <v>258</v>
      </c>
      <c r="K24" s="178"/>
      <c r="L24" s="162"/>
      <c r="M24" s="61"/>
      <c r="N24" s="61"/>
      <c r="O24" s="208" t="s">
        <v>173</v>
      </c>
      <c r="P24" s="122"/>
      <c r="Q24" s="122"/>
      <c r="R24" s="122"/>
      <c r="S24" s="122"/>
      <c r="T24" s="122"/>
      <c r="U24" s="122"/>
      <c r="V24" s="122"/>
      <c r="W24" s="123"/>
      <c r="X24" s="10"/>
      <c r="Y24" s="1"/>
      <c r="Z24" s="1"/>
      <c r="AA24" s="1"/>
      <c r="AB24" s="1"/>
      <c r="AC24" s="1"/>
      <c r="AD24" s="1"/>
      <c r="AE24" s="1"/>
      <c r="AF24" s="1"/>
      <c r="AG24" s="1"/>
      <c r="AH24" s="1"/>
    </row>
    <row r="25" spans="1:34" ht="30" customHeight="1" x14ac:dyDescent="0.25">
      <c r="A25" s="1"/>
      <c r="B25" s="1"/>
      <c r="C25" s="19"/>
      <c r="D25" s="230" t="s">
        <v>174</v>
      </c>
      <c r="E25" s="178"/>
      <c r="F25" s="178"/>
      <c r="G25" s="178"/>
      <c r="H25" s="178"/>
      <c r="I25" s="162"/>
      <c r="J25" s="247" t="s">
        <v>257</v>
      </c>
      <c r="K25" s="178"/>
      <c r="L25" s="162"/>
      <c r="M25" s="61"/>
      <c r="N25" s="61"/>
      <c r="O25" s="124"/>
      <c r="P25" s="125"/>
      <c r="Q25" s="125"/>
      <c r="R25" s="125"/>
      <c r="S25" s="125"/>
      <c r="T25" s="125"/>
      <c r="U25" s="125"/>
      <c r="V25" s="125"/>
      <c r="W25" s="126"/>
      <c r="X25" s="10"/>
      <c r="Y25" s="1"/>
      <c r="Z25" s="1"/>
      <c r="AA25" s="1"/>
      <c r="AB25" s="1"/>
      <c r="AC25" s="1"/>
      <c r="AD25" s="1"/>
      <c r="AE25" s="1"/>
      <c r="AF25" s="1"/>
      <c r="AG25" s="1"/>
      <c r="AH25" s="1"/>
    </row>
    <row r="26" spans="1:34" ht="30" customHeight="1" x14ac:dyDescent="0.25">
      <c r="A26" s="1"/>
      <c r="B26" s="1"/>
      <c r="C26" s="19"/>
      <c r="D26" s="230" t="s">
        <v>175</v>
      </c>
      <c r="E26" s="178"/>
      <c r="F26" s="178"/>
      <c r="G26" s="178"/>
      <c r="H26" s="178"/>
      <c r="I26" s="162"/>
      <c r="J26" s="247" t="s">
        <v>259</v>
      </c>
      <c r="K26" s="178"/>
      <c r="L26" s="162"/>
      <c r="M26" s="61"/>
      <c r="N26" s="61"/>
      <c r="O26" s="127"/>
      <c r="P26" s="128"/>
      <c r="Q26" s="128"/>
      <c r="R26" s="128"/>
      <c r="S26" s="128"/>
      <c r="T26" s="128"/>
      <c r="U26" s="128"/>
      <c r="V26" s="128"/>
      <c r="W26" s="129"/>
      <c r="X26" s="10"/>
      <c r="Y26" s="1"/>
      <c r="Z26" s="1"/>
      <c r="AA26" s="1"/>
      <c r="AB26" s="1"/>
      <c r="AC26" s="1"/>
      <c r="AD26" s="1"/>
      <c r="AE26" s="1"/>
      <c r="AF26" s="1"/>
      <c r="AG26" s="1"/>
      <c r="AH26" s="1"/>
    </row>
    <row r="27" spans="1:34" ht="30" customHeight="1" x14ac:dyDescent="0.25">
      <c r="A27" s="1"/>
      <c r="B27" s="1"/>
      <c r="C27" s="19"/>
      <c r="D27" s="230" t="s">
        <v>176</v>
      </c>
      <c r="E27" s="178"/>
      <c r="F27" s="178"/>
      <c r="G27" s="178"/>
      <c r="H27" s="178"/>
      <c r="I27" s="162"/>
      <c r="J27" s="247" t="s">
        <v>260</v>
      </c>
      <c r="K27" s="178"/>
      <c r="L27" s="162"/>
      <c r="M27" s="1"/>
      <c r="N27" s="1"/>
      <c r="O27" s="209" t="s">
        <v>177</v>
      </c>
      <c r="P27" s="210"/>
      <c r="Q27" s="210"/>
      <c r="R27" s="211"/>
      <c r="S27" s="212" t="s">
        <v>178</v>
      </c>
      <c r="T27" s="178"/>
      <c r="U27" s="178"/>
      <c r="V27" s="178"/>
      <c r="W27" s="162"/>
      <c r="X27" s="10"/>
      <c r="Y27" s="1"/>
      <c r="Z27" s="1"/>
      <c r="AA27" s="1"/>
      <c r="AB27" s="1"/>
      <c r="AC27" s="1"/>
      <c r="AD27" s="1"/>
      <c r="AE27" s="1"/>
      <c r="AF27" s="1"/>
      <c r="AG27" s="1"/>
      <c r="AH27" s="1"/>
    </row>
    <row r="28" spans="1:34" ht="30" customHeight="1" x14ac:dyDescent="0.25">
      <c r="A28" s="1"/>
      <c r="B28" s="1"/>
      <c r="C28" s="72"/>
      <c r="D28" s="230" t="s">
        <v>179</v>
      </c>
      <c r="E28" s="178"/>
      <c r="F28" s="178"/>
      <c r="G28" s="178"/>
      <c r="H28" s="178"/>
      <c r="I28" s="162"/>
      <c r="J28" s="247" t="s">
        <v>261</v>
      </c>
      <c r="K28" s="178"/>
      <c r="L28" s="162"/>
      <c r="M28" s="1"/>
      <c r="N28" s="1"/>
      <c r="O28" s="205" t="s">
        <v>180</v>
      </c>
      <c r="P28" s="178"/>
      <c r="Q28" s="178"/>
      <c r="R28" s="162"/>
      <c r="S28" s="73" t="s">
        <v>181</v>
      </c>
      <c r="T28" s="205" t="s">
        <v>182</v>
      </c>
      <c r="U28" s="178"/>
      <c r="V28" s="178"/>
      <c r="W28" s="162"/>
      <c r="X28" s="10"/>
      <c r="Y28" s="1"/>
      <c r="Z28" s="1"/>
      <c r="AA28" s="1"/>
      <c r="AB28" s="1"/>
      <c r="AC28" s="1"/>
      <c r="AD28" s="1"/>
      <c r="AE28" s="1"/>
      <c r="AF28" s="1"/>
      <c r="AG28" s="1"/>
      <c r="AH28" s="1"/>
    </row>
    <row r="29" spans="1:34" ht="30" customHeight="1" x14ac:dyDescent="0.25">
      <c r="A29" s="1"/>
      <c r="B29" s="1"/>
      <c r="C29" s="19"/>
      <c r="D29" s="230" t="s">
        <v>183</v>
      </c>
      <c r="E29" s="178"/>
      <c r="F29" s="178"/>
      <c r="G29" s="178"/>
      <c r="H29" s="178"/>
      <c r="I29" s="162"/>
      <c r="J29" s="247" t="s">
        <v>261</v>
      </c>
      <c r="K29" s="178"/>
      <c r="L29" s="162"/>
      <c r="M29" s="1"/>
      <c r="N29" s="1"/>
      <c r="O29" s="205" t="s">
        <v>184</v>
      </c>
      <c r="P29" s="178"/>
      <c r="Q29" s="178"/>
      <c r="R29" s="162"/>
      <c r="S29" s="74" t="s">
        <v>185</v>
      </c>
      <c r="T29" s="205" t="s">
        <v>186</v>
      </c>
      <c r="U29" s="178"/>
      <c r="V29" s="178"/>
      <c r="W29" s="162"/>
      <c r="X29" s="10"/>
      <c r="Y29" s="1"/>
      <c r="Z29" s="1"/>
      <c r="AA29" s="1"/>
      <c r="AB29" s="1"/>
      <c r="AC29" s="1"/>
      <c r="AD29" s="1"/>
      <c r="AE29" s="1"/>
      <c r="AF29" s="1"/>
      <c r="AG29" s="1"/>
      <c r="AH29" s="1"/>
    </row>
    <row r="30" spans="1:34" ht="30" customHeight="1" x14ac:dyDescent="0.25">
      <c r="A30" s="1"/>
      <c r="B30" s="1"/>
      <c r="C30" s="19"/>
      <c r="D30" s="246" t="s">
        <v>187</v>
      </c>
      <c r="E30" s="178"/>
      <c r="F30" s="178"/>
      <c r="G30" s="178"/>
      <c r="H30" s="178"/>
      <c r="I30" s="162"/>
      <c r="J30" s="247" t="s">
        <v>262</v>
      </c>
      <c r="K30" s="178"/>
      <c r="L30" s="162"/>
      <c r="M30" s="1"/>
      <c r="N30" s="1"/>
      <c r="O30" s="205" t="s">
        <v>188</v>
      </c>
      <c r="P30" s="178"/>
      <c r="Q30" s="178"/>
      <c r="R30" s="162"/>
      <c r="S30" s="75" t="s">
        <v>189</v>
      </c>
      <c r="T30" s="205" t="s">
        <v>190</v>
      </c>
      <c r="U30" s="178"/>
      <c r="V30" s="178"/>
      <c r="W30" s="162"/>
      <c r="X30" s="10"/>
      <c r="Y30" s="1"/>
      <c r="Z30" s="1"/>
      <c r="AA30" s="1"/>
      <c r="AB30" s="1"/>
      <c r="AC30" s="1"/>
      <c r="AD30" s="1"/>
      <c r="AE30" s="1"/>
      <c r="AF30" s="1"/>
      <c r="AG30" s="1"/>
      <c r="AH30" s="1"/>
    </row>
    <row r="31" spans="1:34" ht="30" customHeight="1" x14ac:dyDescent="0.25">
      <c r="A31" s="1"/>
      <c r="B31" s="1"/>
      <c r="C31" s="19"/>
      <c r="D31" s="1"/>
      <c r="E31" s="1"/>
      <c r="F31" s="76"/>
      <c r="G31" s="1"/>
      <c r="H31" s="76"/>
      <c r="I31" s="76"/>
      <c r="J31" s="1"/>
      <c r="K31" s="5"/>
      <c r="L31" s="1"/>
      <c r="M31" s="1"/>
      <c r="N31" s="1"/>
      <c r="O31" s="76"/>
      <c r="P31" s="76"/>
      <c r="Q31" s="1"/>
      <c r="R31" s="1"/>
      <c r="S31" s="76"/>
      <c r="T31" s="76"/>
      <c r="U31" s="76"/>
      <c r="V31" s="76"/>
      <c r="W31" s="76"/>
      <c r="X31" s="10"/>
      <c r="Y31" s="1"/>
      <c r="Z31" s="1"/>
      <c r="AA31" s="1"/>
      <c r="AB31" s="1"/>
      <c r="AC31" s="1"/>
      <c r="AD31" s="1"/>
      <c r="AE31" s="1"/>
      <c r="AF31" s="1"/>
      <c r="AG31" s="1"/>
      <c r="AH31" s="1"/>
    </row>
    <row r="32" spans="1:34" ht="30" customHeight="1" x14ac:dyDescent="0.25">
      <c r="A32" s="1"/>
      <c r="B32" s="1"/>
      <c r="C32" s="19"/>
      <c r="D32" s="206" t="s">
        <v>191</v>
      </c>
      <c r="E32" s="178"/>
      <c r="F32" s="178"/>
      <c r="G32" s="178"/>
      <c r="H32" s="178"/>
      <c r="I32" s="178"/>
      <c r="J32" s="178"/>
      <c r="K32" s="178"/>
      <c r="L32" s="178"/>
      <c r="M32" s="178"/>
      <c r="N32" s="178"/>
      <c r="O32" s="178"/>
      <c r="P32" s="178"/>
      <c r="Q32" s="178"/>
      <c r="R32" s="178"/>
      <c r="S32" s="178"/>
      <c r="T32" s="178"/>
      <c r="U32" s="178"/>
      <c r="V32" s="178"/>
      <c r="W32" s="162"/>
      <c r="X32" s="10"/>
      <c r="Y32" s="1"/>
      <c r="Z32" s="1"/>
      <c r="AA32" s="1"/>
      <c r="AB32" s="1"/>
      <c r="AC32" s="1"/>
      <c r="AD32" s="1"/>
      <c r="AE32" s="1"/>
      <c r="AF32" s="1"/>
      <c r="AG32" s="1"/>
      <c r="AH32" s="1"/>
    </row>
    <row r="33" spans="1:34" ht="30" customHeight="1" x14ac:dyDescent="0.25">
      <c r="A33" s="1"/>
      <c r="B33" s="1"/>
      <c r="C33" s="19"/>
      <c r="D33" s="248" t="s">
        <v>192</v>
      </c>
      <c r="E33" s="240" t="s">
        <v>263</v>
      </c>
      <c r="F33" s="240" t="s">
        <v>263</v>
      </c>
      <c r="G33" s="240" t="s">
        <v>263</v>
      </c>
      <c r="H33" s="240" t="s">
        <v>264</v>
      </c>
      <c r="I33" s="240" t="s">
        <v>263</v>
      </c>
      <c r="J33" s="240" t="s">
        <v>265</v>
      </c>
      <c r="K33" s="240" t="s">
        <v>263</v>
      </c>
      <c r="L33" s="242" t="s">
        <v>263</v>
      </c>
      <c r="M33" s="242" t="s">
        <v>264</v>
      </c>
      <c r="N33" s="242" t="s">
        <v>263</v>
      </c>
      <c r="O33" s="242" t="s">
        <v>263</v>
      </c>
      <c r="P33" s="244"/>
      <c r="Q33" s="244"/>
      <c r="R33" s="244"/>
      <c r="S33" s="244"/>
      <c r="T33" s="244"/>
      <c r="U33" s="244"/>
      <c r="V33" s="244"/>
      <c r="W33" s="239"/>
      <c r="X33" s="10"/>
      <c r="Y33" s="1"/>
      <c r="Z33" s="1"/>
      <c r="AA33" s="1"/>
      <c r="AB33" s="1"/>
      <c r="AC33" s="1"/>
      <c r="AD33" s="1"/>
      <c r="AE33" s="1"/>
      <c r="AF33" s="1"/>
      <c r="AG33" s="1"/>
      <c r="AH33" s="1"/>
    </row>
    <row r="34" spans="1:34" ht="4.5" customHeight="1" x14ac:dyDescent="0.25">
      <c r="A34" s="1"/>
      <c r="B34" s="1"/>
      <c r="C34" s="19"/>
      <c r="D34" s="154"/>
      <c r="E34" s="241"/>
      <c r="F34" s="241"/>
      <c r="G34" s="241"/>
      <c r="H34" s="241"/>
      <c r="I34" s="241"/>
      <c r="J34" s="241"/>
      <c r="K34" s="241"/>
      <c r="L34" s="243"/>
      <c r="M34" s="243"/>
      <c r="N34" s="243"/>
      <c r="O34" s="243"/>
      <c r="P34" s="245"/>
      <c r="Q34" s="245"/>
      <c r="R34" s="245"/>
      <c r="S34" s="245"/>
      <c r="T34" s="245"/>
      <c r="U34" s="245"/>
      <c r="V34" s="245"/>
      <c r="W34" s="154"/>
      <c r="X34" s="10"/>
      <c r="Y34" s="1"/>
      <c r="Z34" s="1"/>
      <c r="AA34" s="1"/>
      <c r="AB34" s="1"/>
      <c r="AC34" s="1"/>
      <c r="AD34" s="1"/>
      <c r="AE34" s="1"/>
      <c r="AF34" s="1"/>
      <c r="AG34" s="1"/>
      <c r="AH34" s="1"/>
    </row>
    <row r="35" spans="1:34" ht="30" customHeight="1" x14ac:dyDescent="0.25">
      <c r="A35" s="1"/>
      <c r="B35" s="1"/>
      <c r="C35" s="19"/>
      <c r="D35" s="77" t="s">
        <v>193</v>
      </c>
      <c r="E35" s="118">
        <v>3</v>
      </c>
      <c r="F35" s="118">
        <v>2</v>
      </c>
      <c r="G35" s="118">
        <v>2</v>
      </c>
      <c r="H35" s="118">
        <v>25</v>
      </c>
      <c r="I35" s="118">
        <v>2</v>
      </c>
      <c r="J35" s="118">
        <v>45</v>
      </c>
      <c r="K35" s="118">
        <v>2</v>
      </c>
      <c r="L35" s="119">
        <v>2</v>
      </c>
      <c r="M35" s="120">
        <v>25</v>
      </c>
      <c r="N35" s="120">
        <v>2</v>
      </c>
      <c r="O35" s="120">
        <v>2</v>
      </c>
      <c r="P35" s="78"/>
      <c r="Q35" s="78"/>
      <c r="R35" s="78"/>
      <c r="S35" s="78"/>
      <c r="T35" s="78"/>
      <c r="U35" s="78"/>
      <c r="V35" s="78"/>
      <c r="W35" s="78"/>
      <c r="X35" s="10"/>
      <c r="Y35" s="1"/>
      <c r="Z35" s="1"/>
      <c r="AA35" s="1"/>
      <c r="AB35" s="1"/>
      <c r="AC35" s="1"/>
      <c r="AD35" s="1"/>
      <c r="AE35" s="1"/>
      <c r="AF35" s="1"/>
      <c r="AG35" s="1"/>
      <c r="AH35" s="1"/>
    </row>
    <row r="36" spans="1:34" ht="30" customHeight="1" x14ac:dyDescent="0.25">
      <c r="A36" s="1"/>
      <c r="B36" s="1"/>
      <c r="C36" s="19"/>
      <c r="D36" s="79"/>
      <c r="E36" s="79"/>
      <c r="F36" s="79"/>
      <c r="G36" s="79"/>
      <c r="H36" s="79"/>
      <c r="I36" s="79"/>
      <c r="J36" s="79"/>
      <c r="K36" s="79"/>
      <c r="L36" s="79"/>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9"/>
      <c r="E37" s="79"/>
      <c r="F37" s="79"/>
      <c r="G37" s="79"/>
      <c r="H37" s="79"/>
      <c r="I37" s="79"/>
      <c r="J37" s="79"/>
      <c r="K37" s="79"/>
      <c r="L37" s="79"/>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3">
    <mergeCell ref="D24:I24"/>
    <mergeCell ref="J24:L24"/>
    <mergeCell ref="D25:I25"/>
    <mergeCell ref="J25:L25"/>
    <mergeCell ref="D26:I26"/>
    <mergeCell ref="J26:L26"/>
    <mergeCell ref="J27:L27"/>
    <mergeCell ref="D27:I27"/>
    <mergeCell ref="D28:I28"/>
    <mergeCell ref="J28:L28"/>
    <mergeCell ref="D29:I29"/>
    <mergeCell ref="J29:L29"/>
    <mergeCell ref="D30:I30"/>
    <mergeCell ref="J30:L30"/>
    <mergeCell ref="D33:D34"/>
    <mergeCell ref="E33:E34"/>
    <mergeCell ref="F33:F34"/>
    <mergeCell ref="G33:G34"/>
    <mergeCell ref="H33:H34"/>
    <mergeCell ref="I33:I34"/>
    <mergeCell ref="J33:J34"/>
    <mergeCell ref="W33:W34"/>
    <mergeCell ref="K33:K34"/>
    <mergeCell ref="L33:L34"/>
    <mergeCell ref="M33:M34"/>
    <mergeCell ref="N33:N34"/>
    <mergeCell ref="O33:O34"/>
    <mergeCell ref="P33:P34"/>
    <mergeCell ref="Q33:Q34"/>
    <mergeCell ref="R33:R34"/>
    <mergeCell ref="S33:S34"/>
    <mergeCell ref="T33:T34"/>
    <mergeCell ref="U33:U34"/>
    <mergeCell ref="V33:V34"/>
    <mergeCell ref="C2:X3"/>
    <mergeCell ref="D6:L7"/>
    <mergeCell ref="O6:W7"/>
    <mergeCell ref="I8:J8"/>
    <mergeCell ref="T8:U8"/>
    <mergeCell ref="V8:W8"/>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O16:S16"/>
    <mergeCell ref="O17:S17"/>
    <mergeCell ref="O18:S18"/>
    <mergeCell ref="O19:S19"/>
    <mergeCell ref="O20:S20"/>
    <mergeCell ref="D13:L19"/>
    <mergeCell ref="D20:I21"/>
    <mergeCell ref="J20:L21"/>
    <mergeCell ref="D22:F23"/>
    <mergeCell ref="G22:G23"/>
    <mergeCell ref="I22:I23"/>
    <mergeCell ref="K22:K23"/>
    <mergeCell ref="T21:T23"/>
    <mergeCell ref="V21:V23"/>
    <mergeCell ref="O29:R29"/>
    <mergeCell ref="O30:R30"/>
    <mergeCell ref="D32:W32"/>
    <mergeCell ref="O23:S23"/>
    <mergeCell ref="O24:W26"/>
    <mergeCell ref="O27:R27"/>
    <mergeCell ref="S27:W27"/>
    <mergeCell ref="O28:R28"/>
    <mergeCell ref="T28:W28"/>
    <mergeCell ref="T29:W29"/>
    <mergeCell ref="T30:W30"/>
    <mergeCell ref="L22:L23"/>
    <mergeCell ref="O21:S21"/>
    <mergeCell ref="O22:S22"/>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49"/>
      <c r="D5" s="210"/>
      <c r="E5" s="210"/>
      <c r="F5" s="211"/>
      <c r="G5" s="250" t="s">
        <v>194</v>
      </c>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51"/>
      <c r="AN5" s="1"/>
      <c r="AO5" s="1"/>
      <c r="AP5" s="1"/>
      <c r="AQ5" s="1"/>
      <c r="AR5" s="1"/>
      <c r="AS5" s="1"/>
      <c r="AT5" s="1"/>
      <c r="AU5" s="1"/>
      <c r="AV5" s="1"/>
      <c r="AW5" s="1"/>
      <c r="AX5" s="1"/>
      <c r="AY5" s="1"/>
      <c r="AZ5" s="1"/>
      <c r="BA5" s="1"/>
      <c r="BB5" s="1"/>
      <c r="BC5" s="1"/>
      <c r="BD5" s="1"/>
      <c r="BE5" s="1"/>
      <c r="BF5" s="1"/>
      <c r="BG5" s="1"/>
    </row>
    <row r="6" spans="1:59" ht="60" customHeight="1" x14ac:dyDescent="0.25">
      <c r="A6" s="1"/>
      <c r="B6" s="80" t="s">
        <v>141</v>
      </c>
      <c r="C6" s="81" t="s">
        <v>142</v>
      </c>
      <c r="D6" s="81" t="s">
        <v>150</v>
      </c>
      <c r="E6" s="81" t="s">
        <v>195</v>
      </c>
      <c r="F6" s="81" t="s">
        <v>196</v>
      </c>
      <c r="G6" s="81" t="s">
        <v>197</v>
      </c>
      <c r="H6" s="82" t="s">
        <v>198</v>
      </c>
      <c r="I6" s="82" t="s">
        <v>199</v>
      </c>
      <c r="J6" s="82" t="s">
        <v>200</v>
      </c>
      <c r="K6" s="82" t="s">
        <v>201</v>
      </c>
      <c r="L6" s="82" t="s">
        <v>202</v>
      </c>
      <c r="M6" s="82" t="s">
        <v>203</v>
      </c>
      <c r="N6" s="82" t="s">
        <v>204</v>
      </c>
      <c r="O6" s="82" t="s">
        <v>205</v>
      </c>
      <c r="P6" s="82" t="s">
        <v>206</v>
      </c>
      <c r="Q6" s="82" t="s">
        <v>207</v>
      </c>
      <c r="R6" s="82" t="s">
        <v>208</v>
      </c>
      <c r="S6" s="82" t="s">
        <v>209</v>
      </c>
      <c r="T6" s="82" t="s">
        <v>210</v>
      </c>
      <c r="U6" s="81" t="s">
        <v>211</v>
      </c>
      <c r="V6" s="82" t="s">
        <v>212</v>
      </c>
      <c r="W6" s="82" t="s">
        <v>213</v>
      </c>
      <c r="X6" s="82" t="s">
        <v>214</v>
      </c>
      <c r="Y6" s="82" t="s">
        <v>215</v>
      </c>
      <c r="Z6" s="82" t="s">
        <v>216</v>
      </c>
      <c r="AA6" s="82" t="s">
        <v>217</v>
      </c>
      <c r="AB6" s="82" t="s">
        <v>218</v>
      </c>
      <c r="AC6" s="82" t="s">
        <v>219</v>
      </c>
      <c r="AD6" s="82" t="s">
        <v>220</v>
      </c>
      <c r="AE6" s="82" t="s">
        <v>221</v>
      </c>
      <c r="AF6" s="82" t="s">
        <v>222</v>
      </c>
      <c r="AG6" s="82" t="s">
        <v>209</v>
      </c>
      <c r="AH6" s="82" t="s">
        <v>223</v>
      </c>
      <c r="AI6" s="81" t="s">
        <v>224</v>
      </c>
      <c r="AJ6" s="83" t="s">
        <v>225</v>
      </c>
      <c r="AK6" s="84" t="s">
        <v>226</v>
      </c>
      <c r="AL6" s="84" t="s">
        <v>227</v>
      </c>
      <c r="AM6" s="84" t="s">
        <v>228</v>
      </c>
      <c r="AN6" s="1"/>
      <c r="AO6" s="1"/>
      <c r="AP6" s="1"/>
      <c r="AQ6" s="1"/>
      <c r="AR6" s="1"/>
      <c r="AS6" s="1"/>
      <c r="AT6" s="1"/>
      <c r="AU6" s="1"/>
      <c r="AV6" s="1"/>
      <c r="AW6" s="1"/>
      <c r="AX6" s="1"/>
      <c r="AY6" s="1"/>
      <c r="AZ6" s="1"/>
      <c r="BA6" s="1"/>
      <c r="BB6" s="1"/>
      <c r="BC6" s="1"/>
      <c r="BD6" s="1"/>
      <c r="BE6" s="1"/>
      <c r="BF6" s="1"/>
      <c r="BG6" s="1"/>
    </row>
    <row r="7" spans="1:59" ht="15" customHeight="1" x14ac:dyDescent="0.25">
      <c r="A7" s="1"/>
      <c r="B7" s="85"/>
      <c r="C7" s="86"/>
      <c r="D7" s="85"/>
      <c r="E7" s="86"/>
      <c r="F7" s="85"/>
      <c r="G7" s="87"/>
      <c r="H7" s="88"/>
      <c r="I7" s="88"/>
      <c r="J7" s="88"/>
      <c r="K7" s="88"/>
      <c r="L7" s="88"/>
      <c r="M7" s="88"/>
      <c r="N7" s="88"/>
      <c r="O7" s="88"/>
      <c r="P7" s="88"/>
      <c r="Q7" s="88"/>
      <c r="R7" s="89"/>
      <c r="S7" s="88"/>
      <c r="T7" s="88"/>
      <c r="U7" s="88"/>
      <c r="V7" s="88"/>
      <c r="W7" s="88"/>
      <c r="X7" s="88"/>
      <c r="Y7" s="88"/>
      <c r="Z7" s="88"/>
      <c r="AA7" s="88"/>
      <c r="AB7" s="88"/>
      <c r="AC7" s="88"/>
      <c r="AD7" s="88"/>
      <c r="AE7" s="88"/>
      <c r="AF7" s="88"/>
      <c r="AG7" s="88"/>
      <c r="AH7" s="88"/>
      <c r="AI7" s="88"/>
      <c r="AJ7" s="90"/>
      <c r="AK7" s="91"/>
      <c r="AL7" s="91"/>
      <c r="AM7" s="91"/>
      <c r="AN7" s="1"/>
      <c r="AO7" s="1"/>
      <c r="AP7" s="1"/>
      <c r="AQ7" s="1"/>
      <c r="AR7" s="1"/>
      <c r="AS7" s="1"/>
      <c r="AT7" s="1"/>
      <c r="AU7" s="1"/>
      <c r="AV7" s="1"/>
      <c r="AW7" s="1"/>
      <c r="AX7" s="1"/>
      <c r="AY7" s="1"/>
      <c r="AZ7" s="1"/>
      <c r="BA7" s="1"/>
      <c r="BB7" s="1"/>
      <c r="BC7" s="1"/>
      <c r="BD7" s="1"/>
      <c r="BE7" s="1"/>
      <c r="BF7" s="1"/>
      <c r="BG7" s="1"/>
    </row>
    <row r="8" spans="1:59" ht="15" customHeight="1" x14ac:dyDescent="0.25">
      <c r="A8" s="1"/>
      <c r="B8" s="92"/>
      <c r="C8" s="93"/>
      <c r="D8" s="92"/>
      <c r="E8" s="93"/>
      <c r="F8" s="92"/>
      <c r="G8" s="94"/>
      <c r="H8" s="95"/>
      <c r="I8" s="95"/>
      <c r="J8" s="95"/>
      <c r="K8" s="95"/>
      <c r="L8" s="95"/>
      <c r="M8" s="95"/>
      <c r="N8" s="95"/>
      <c r="O8" s="95"/>
      <c r="P8" s="95"/>
      <c r="Q8" s="95"/>
      <c r="R8" s="96"/>
      <c r="S8" s="95"/>
      <c r="T8" s="95"/>
      <c r="U8" s="95"/>
      <c r="V8" s="95"/>
      <c r="W8" s="95"/>
      <c r="X8" s="95"/>
      <c r="Y8" s="95"/>
      <c r="Z8" s="95"/>
      <c r="AA8" s="95"/>
      <c r="AB8" s="95"/>
      <c r="AC8" s="95"/>
      <c r="AD8" s="95"/>
      <c r="AE8" s="95"/>
      <c r="AF8" s="95"/>
      <c r="AG8" s="95"/>
      <c r="AH8" s="95"/>
      <c r="AI8" s="95"/>
      <c r="AJ8" s="90"/>
      <c r="AK8" s="91"/>
      <c r="AL8" s="91"/>
      <c r="AM8" s="91"/>
      <c r="AN8" s="1"/>
      <c r="AO8" s="1"/>
      <c r="AP8" s="1"/>
      <c r="AQ8" s="1"/>
      <c r="AR8" s="1"/>
      <c r="AS8" s="1"/>
      <c r="AT8" s="1"/>
      <c r="AU8" s="1"/>
      <c r="AV8" s="1"/>
      <c r="AW8" s="1"/>
      <c r="AX8" s="1"/>
      <c r="AY8" s="1"/>
      <c r="AZ8" s="1"/>
      <c r="BA8" s="1"/>
      <c r="BB8" s="1"/>
      <c r="BC8" s="1"/>
      <c r="BD8" s="1"/>
      <c r="BE8" s="1"/>
      <c r="BF8" s="1"/>
      <c r="BG8" s="1"/>
    </row>
    <row r="9" spans="1:59" ht="15" customHeight="1" x14ac:dyDescent="0.25">
      <c r="A9" s="1"/>
      <c r="B9" s="92"/>
      <c r="C9" s="93"/>
      <c r="D9" s="92"/>
      <c r="E9" s="93"/>
      <c r="F9" s="92"/>
      <c r="G9" s="94"/>
      <c r="H9" s="95"/>
      <c r="I9" s="95"/>
      <c r="J9" s="95"/>
      <c r="K9" s="95"/>
      <c r="L9" s="95"/>
      <c r="M9" s="95"/>
      <c r="N9" s="95"/>
      <c r="O9" s="95"/>
      <c r="P9" s="95"/>
      <c r="Q9" s="95"/>
      <c r="R9" s="96"/>
      <c r="S9" s="95"/>
      <c r="T9" s="95"/>
      <c r="U9" s="95"/>
      <c r="V9" s="95"/>
      <c r="W9" s="95"/>
      <c r="X9" s="95"/>
      <c r="Y9" s="95"/>
      <c r="Z9" s="95"/>
      <c r="AA9" s="95"/>
      <c r="AB9" s="95"/>
      <c r="AC9" s="95"/>
      <c r="AD9" s="95"/>
      <c r="AE9" s="95"/>
      <c r="AF9" s="95"/>
      <c r="AG9" s="95"/>
      <c r="AH9" s="95"/>
      <c r="AI9" s="95"/>
      <c r="AJ9" s="90"/>
      <c r="AK9" s="91"/>
      <c r="AL9" s="91"/>
      <c r="AM9" s="91"/>
      <c r="AN9" s="1"/>
      <c r="AO9" s="1"/>
      <c r="AP9" s="1"/>
      <c r="AQ9" s="1"/>
      <c r="AR9" s="1"/>
      <c r="AS9" s="1"/>
      <c r="AT9" s="1"/>
      <c r="AU9" s="1"/>
      <c r="AV9" s="1"/>
      <c r="AW9" s="1"/>
      <c r="AX9" s="1"/>
      <c r="AY9" s="1"/>
      <c r="AZ9" s="1"/>
      <c r="BA9" s="1"/>
      <c r="BB9" s="1"/>
      <c r="BC9" s="1"/>
      <c r="BD9" s="1"/>
      <c r="BE9" s="1"/>
      <c r="BF9" s="1"/>
      <c r="BG9" s="1"/>
    </row>
    <row r="10" spans="1:59" ht="15" customHeight="1" x14ac:dyDescent="0.25">
      <c r="A10" s="1"/>
      <c r="B10" s="92"/>
      <c r="C10" s="93"/>
      <c r="D10" s="92"/>
      <c r="E10" s="94"/>
      <c r="F10" s="92"/>
      <c r="G10" s="94"/>
      <c r="H10" s="95"/>
      <c r="I10" s="95"/>
      <c r="J10" s="95"/>
      <c r="K10" s="95"/>
      <c r="L10" s="95"/>
      <c r="M10" s="95"/>
      <c r="N10" s="95"/>
      <c r="O10" s="95"/>
      <c r="P10" s="95"/>
      <c r="Q10" s="95"/>
      <c r="R10" s="96"/>
      <c r="S10" s="95"/>
      <c r="T10" s="95"/>
      <c r="U10" s="95"/>
      <c r="V10" s="95"/>
      <c r="W10" s="95"/>
      <c r="X10" s="95"/>
      <c r="Y10" s="95"/>
      <c r="Z10" s="95"/>
      <c r="AA10" s="95"/>
      <c r="AB10" s="95"/>
      <c r="AC10" s="95"/>
      <c r="AD10" s="95"/>
      <c r="AE10" s="95"/>
      <c r="AF10" s="95"/>
      <c r="AG10" s="95"/>
      <c r="AH10" s="95"/>
      <c r="AI10" s="95"/>
      <c r="AJ10" s="90"/>
      <c r="AK10" s="91"/>
      <c r="AL10" s="91"/>
      <c r="AM10" s="91"/>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2"/>
      <c r="C11" s="93"/>
      <c r="D11" s="92"/>
      <c r="E11" s="94"/>
      <c r="F11" s="92"/>
      <c r="G11" s="94"/>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0"/>
      <c r="AK11" s="91"/>
      <c r="AL11" s="91"/>
      <c r="AM11" s="91"/>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7"/>
      <c r="C12" s="98"/>
      <c r="D12" s="97"/>
      <c r="E12" s="99"/>
      <c r="F12" s="97"/>
      <c r="G12" s="99"/>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0"/>
      <c r="AK12" s="91"/>
      <c r="AL12" s="91"/>
      <c r="AM12" s="91"/>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7"/>
      <c r="C13" s="98"/>
      <c r="D13" s="97"/>
      <c r="E13" s="99"/>
      <c r="F13" s="97"/>
      <c r="G13" s="99"/>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0"/>
      <c r="AK13" s="91"/>
      <c r="AL13" s="91"/>
      <c r="AM13" s="91"/>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7"/>
      <c r="C14" s="98"/>
      <c r="D14" s="97"/>
      <c r="E14" s="99"/>
      <c r="F14" s="97"/>
      <c r="G14" s="99"/>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100"/>
      <c r="AK14" s="91"/>
      <c r="AL14" s="91"/>
      <c r="AM14" s="91"/>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101"/>
      <c r="B15" s="102"/>
      <c r="C15" s="99"/>
      <c r="D15" s="99"/>
      <c r="E15" s="99"/>
      <c r="F15" s="99"/>
      <c r="G15" s="99"/>
      <c r="H15" s="99"/>
      <c r="I15" s="99"/>
      <c r="J15" s="99"/>
      <c r="K15" s="99"/>
      <c r="L15" s="99"/>
      <c r="M15" s="95"/>
      <c r="N15" s="95"/>
      <c r="O15" s="103"/>
      <c r="P15" s="95"/>
      <c r="Q15" s="95"/>
      <c r="R15" s="95"/>
      <c r="S15" s="95"/>
      <c r="T15" s="95"/>
      <c r="U15" s="95"/>
      <c r="V15" s="95"/>
      <c r="W15" s="95"/>
      <c r="X15" s="95"/>
      <c r="Y15" s="95"/>
      <c r="Z15" s="95"/>
      <c r="AA15" s="95"/>
      <c r="AB15" s="95"/>
      <c r="AC15" s="95"/>
      <c r="AD15" s="95"/>
      <c r="AE15" s="95"/>
      <c r="AF15" s="95"/>
      <c r="AG15" s="95"/>
      <c r="AH15" s="95"/>
      <c r="AI15" s="95"/>
      <c r="AJ15" s="104"/>
      <c r="AK15" s="88"/>
      <c r="AL15" s="88"/>
      <c r="AM15" s="88"/>
    </row>
    <row r="16" spans="1:59" x14ac:dyDescent="0.25">
      <c r="A16" s="1"/>
      <c r="B16" s="105"/>
      <c r="C16" s="106"/>
      <c r="D16" s="106"/>
      <c r="E16" s="106"/>
      <c r="F16" s="106"/>
      <c r="G16" s="106"/>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5"/>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5"/>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5"/>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5"/>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5"/>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5"/>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5"/>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5"/>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5"/>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5"/>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5"/>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5"/>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5"/>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5"/>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5"/>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5"/>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5"/>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5"/>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5"/>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5"/>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5"/>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5"/>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5"/>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5"/>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5"/>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5"/>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5"/>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5"/>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5"/>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5"/>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5"/>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5"/>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5"/>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5"/>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5"/>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5"/>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5"/>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5"/>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5"/>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5"/>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5"/>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5"/>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5"/>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5"/>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5"/>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5"/>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5"/>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5"/>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5"/>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5"/>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5"/>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5"/>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5"/>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5"/>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5"/>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5"/>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5"/>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5"/>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5"/>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6"/>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5"/>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5"/>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c r="AJ77" s="106"/>
      <c r="AK77" s="106"/>
      <c r="AL77" s="106"/>
      <c r="AM77" s="106"/>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5"/>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5"/>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c r="AJ79" s="106"/>
      <c r="AK79" s="106"/>
      <c r="AL79" s="106"/>
      <c r="AM79" s="106"/>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5"/>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c r="AJ80" s="106"/>
      <c r="AK80" s="106"/>
      <c r="AL80" s="106"/>
      <c r="AM80" s="106"/>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5"/>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c r="AJ81" s="106"/>
      <c r="AK81" s="106"/>
      <c r="AL81" s="106"/>
      <c r="AM81" s="106"/>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5"/>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c r="AJ82" s="106"/>
      <c r="AK82" s="106"/>
      <c r="AL82" s="106"/>
      <c r="AM82" s="106"/>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5"/>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5"/>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5"/>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c r="AJ85" s="106"/>
      <c r="AK85" s="106"/>
      <c r="AL85" s="106"/>
      <c r="AM85" s="106"/>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5"/>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5"/>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5"/>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5"/>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5"/>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5"/>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c r="AJ91" s="106"/>
      <c r="AK91" s="106"/>
      <c r="AL91" s="106"/>
      <c r="AM91" s="106"/>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5"/>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5"/>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5"/>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5"/>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5"/>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c r="AJ96" s="106"/>
      <c r="AK96" s="106"/>
      <c r="AL96" s="106"/>
      <c r="AM96" s="106"/>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5"/>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c r="AJ97" s="106"/>
      <c r="AK97" s="106"/>
      <c r="AL97" s="106"/>
      <c r="AM97" s="106"/>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5"/>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c r="AJ98" s="106"/>
      <c r="AK98" s="106"/>
      <c r="AL98" s="106"/>
      <c r="AM98" s="106"/>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5"/>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c r="AJ99" s="106"/>
      <c r="AK99" s="106"/>
      <c r="AL99" s="106"/>
      <c r="AM99" s="106"/>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5"/>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5"/>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5"/>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5"/>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5"/>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5"/>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5"/>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5"/>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5"/>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5"/>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5"/>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c r="AJ110" s="106"/>
      <c r="AK110" s="106"/>
      <c r="AL110" s="106"/>
      <c r="AM110" s="106"/>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5"/>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7"/>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6"/>
      <c r="AK112" s="106"/>
      <c r="AL112" s="106"/>
      <c r="AM112" s="106"/>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9"/>
      <c r="C1" s="110"/>
      <c r="D1" s="110"/>
      <c r="E1" s="110"/>
      <c r="F1" s="110"/>
      <c r="G1" s="110"/>
      <c r="H1" s="110"/>
      <c r="I1" s="110"/>
      <c r="J1" s="110"/>
      <c r="K1" s="110"/>
      <c r="L1" s="110"/>
      <c r="M1" s="110"/>
      <c r="N1" s="110"/>
      <c r="O1" s="110"/>
      <c r="P1" s="110"/>
      <c r="Q1" s="110"/>
      <c r="R1" s="110"/>
      <c r="S1" s="110"/>
      <c r="T1" s="111"/>
      <c r="U1" s="1"/>
    </row>
    <row r="2" spans="1:21" x14ac:dyDescent="0.25">
      <c r="A2" s="1"/>
      <c r="B2" s="263" t="s">
        <v>229</v>
      </c>
      <c r="C2" s="122"/>
      <c r="D2" s="122"/>
      <c r="E2" s="122"/>
      <c r="F2" s="122"/>
      <c r="G2" s="122"/>
      <c r="H2" s="122"/>
      <c r="I2" s="122"/>
      <c r="J2" s="122"/>
      <c r="K2" s="122"/>
      <c r="L2" s="122"/>
      <c r="M2" s="122"/>
      <c r="N2" s="122"/>
      <c r="O2" s="122"/>
      <c r="P2" s="122"/>
      <c r="Q2" s="122"/>
      <c r="R2" s="122"/>
      <c r="S2" s="122"/>
      <c r="T2" s="123"/>
      <c r="U2" s="1"/>
    </row>
    <row r="3" spans="1:21" x14ac:dyDescent="0.25">
      <c r="A3" s="1"/>
      <c r="B3" s="127"/>
      <c r="C3" s="128"/>
      <c r="D3" s="128"/>
      <c r="E3" s="128"/>
      <c r="F3" s="128"/>
      <c r="G3" s="128"/>
      <c r="H3" s="128"/>
      <c r="I3" s="128"/>
      <c r="J3" s="128"/>
      <c r="K3" s="128"/>
      <c r="L3" s="128"/>
      <c r="M3" s="128"/>
      <c r="N3" s="128"/>
      <c r="O3" s="128"/>
      <c r="P3" s="128"/>
      <c r="Q3" s="128"/>
      <c r="R3" s="128"/>
      <c r="S3" s="128"/>
      <c r="T3" s="129"/>
      <c r="U3" s="1"/>
    </row>
    <row r="4" spans="1:21" ht="30.75" customHeight="1" x14ac:dyDescent="0.25">
      <c r="A4" s="1"/>
      <c r="B4" s="169" t="s">
        <v>230</v>
      </c>
      <c r="C4" s="122"/>
      <c r="D4" s="122"/>
      <c r="E4" s="122"/>
      <c r="F4" s="122"/>
      <c r="G4" s="122"/>
      <c r="H4" s="122"/>
      <c r="I4" s="122"/>
      <c r="J4" s="122"/>
      <c r="K4" s="122"/>
      <c r="L4" s="122"/>
      <c r="M4" s="122"/>
      <c r="N4" s="122"/>
      <c r="O4" s="122"/>
      <c r="P4" s="122"/>
      <c r="Q4" s="122"/>
      <c r="R4" s="122"/>
      <c r="S4" s="122"/>
      <c r="T4" s="123"/>
      <c r="U4" s="1"/>
    </row>
    <row r="5" spans="1:21" ht="15" customHeight="1" x14ac:dyDescent="0.25">
      <c r="A5" s="1"/>
      <c r="B5" s="124"/>
      <c r="C5" s="125"/>
      <c r="D5" s="125"/>
      <c r="E5" s="125"/>
      <c r="F5" s="125"/>
      <c r="G5" s="125"/>
      <c r="H5" s="125"/>
      <c r="I5" s="125"/>
      <c r="J5" s="125"/>
      <c r="K5" s="125"/>
      <c r="L5" s="125"/>
      <c r="M5" s="125"/>
      <c r="N5" s="125"/>
      <c r="O5" s="125"/>
      <c r="P5" s="125"/>
      <c r="Q5" s="125"/>
      <c r="R5" s="125"/>
      <c r="S5" s="125"/>
      <c r="T5" s="126"/>
      <c r="U5" s="1"/>
    </row>
    <row r="6" spans="1:21" ht="7.5" hidden="1" customHeight="1" x14ac:dyDescent="0.25">
      <c r="A6" s="1"/>
      <c r="B6" s="134"/>
      <c r="C6" s="135"/>
      <c r="D6" s="135"/>
      <c r="E6" s="135"/>
      <c r="F6" s="135"/>
      <c r="G6" s="135"/>
      <c r="H6" s="135"/>
      <c r="I6" s="135"/>
      <c r="J6" s="135"/>
      <c r="K6" s="135"/>
      <c r="L6" s="135"/>
      <c r="M6" s="135"/>
      <c r="N6" s="135"/>
      <c r="O6" s="135"/>
      <c r="P6" s="135"/>
      <c r="Q6" s="135"/>
      <c r="R6" s="135"/>
      <c r="S6" s="135"/>
      <c r="T6" s="136"/>
      <c r="U6" s="1"/>
    </row>
    <row r="7" spans="1:21" ht="15" customHeight="1" x14ac:dyDescent="0.25">
      <c r="A7" s="1"/>
      <c r="B7" s="258" t="s">
        <v>231</v>
      </c>
      <c r="C7" s="150"/>
      <c r="D7" s="150"/>
      <c r="E7" s="150"/>
      <c r="F7" s="150"/>
      <c r="G7" s="150"/>
      <c r="H7" s="150"/>
      <c r="I7" s="150"/>
      <c r="J7" s="150"/>
      <c r="K7" s="150"/>
      <c r="L7" s="150"/>
      <c r="M7" s="150"/>
      <c r="N7" s="150"/>
      <c r="O7" s="150"/>
      <c r="P7" s="150"/>
      <c r="Q7" s="150"/>
      <c r="R7" s="150"/>
      <c r="S7" s="150"/>
      <c r="T7" s="151"/>
      <c r="U7" s="1"/>
    </row>
    <row r="8" spans="1:21" ht="23.25" customHeight="1" x14ac:dyDescent="0.25">
      <c r="A8" s="1"/>
      <c r="B8" s="134"/>
      <c r="C8" s="135"/>
      <c r="D8" s="135"/>
      <c r="E8" s="135"/>
      <c r="F8" s="135"/>
      <c r="G8" s="135"/>
      <c r="H8" s="135"/>
      <c r="I8" s="135"/>
      <c r="J8" s="135"/>
      <c r="K8" s="135"/>
      <c r="L8" s="135"/>
      <c r="M8" s="135"/>
      <c r="N8" s="135"/>
      <c r="O8" s="135"/>
      <c r="P8" s="135"/>
      <c r="Q8" s="135"/>
      <c r="R8" s="135"/>
      <c r="S8" s="135"/>
      <c r="T8" s="136"/>
      <c r="U8" s="1"/>
    </row>
    <row r="9" spans="1:21" ht="15.75" x14ac:dyDescent="0.25">
      <c r="A9" s="1"/>
      <c r="B9" s="264" t="s">
        <v>232</v>
      </c>
      <c r="C9" s="131"/>
      <c r="D9" s="131"/>
      <c r="E9" s="131"/>
      <c r="F9" s="131"/>
      <c r="G9" s="131"/>
      <c r="H9" s="131"/>
      <c r="I9" s="131"/>
      <c r="J9" s="131"/>
      <c r="K9" s="131"/>
      <c r="L9" s="131"/>
      <c r="M9" s="131"/>
      <c r="N9" s="131"/>
      <c r="O9" s="131"/>
      <c r="P9" s="131"/>
      <c r="Q9" s="131"/>
      <c r="R9" s="131"/>
      <c r="S9" s="131"/>
      <c r="T9" s="132"/>
      <c r="U9" s="1"/>
    </row>
    <row r="10" spans="1:21" ht="15.75" x14ac:dyDescent="0.25">
      <c r="A10" s="1"/>
      <c r="B10" s="254" t="s">
        <v>233</v>
      </c>
      <c r="C10" s="131"/>
      <c r="D10" s="131"/>
      <c r="E10" s="131"/>
      <c r="F10" s="131"/>
      <c r="G10" s="131"/>
      <c r="H10" s="131"/>
      <c r="I10" s="131"/>
      <c r="J10" s="131"/>
      <c r="K10" s="131"/>
      <c r="L10" s="131"/>
      <c r="M10" s="131"/>
      <c r="N10" s="131"/>
      <c r="O10" s="131"/>
      <c r="P10" s="131"/>
      <c r="Q10" s="131"/>
      <c r="R10" s="131"/>
      <c r="S10" s="131"/>
      <c r="T10" s="132"/>
      <c r="U10" s="1"/>
    </row>
    <row r="11" spans="1:21" ht="15" customHeight="1" x14ac:dyDescent="0.25">
      <c r="A11" s="1"/>
      <c r="B11" s="258" t="s">
        <v>234</v>
      </c>
      <c r="C11" s="150"/>
      <c r="D11" s="150"/>
      <c r="E11" s="150"/>
      <c r="F11" s="150"/>
      <c r="G11" s="150"/>
      <c r="H11" s="150"/>
      <c r="I11" s="150"/>
      <c r="J11" s="150"/>
      <c r="K11" s="150"/>
      <c r="L11" s="150"/>
      <c r="M11" s="150"/>
      <c r="N11" s="150"/>
      <c r="O11" s="150"/>
      <c r="P11" s="150"/>
      <c r="Q11" s="150"/>
      <c r="R11" s="150"/>
      <c r="S11" s="150"/>
      <c r="T11" s="151"/>
      <c r="U11" s="1"/>
    </row>
    <row r="12" spans="1:21" ht="15" customHeight="1" x14ac:dyDescent="0.25">
      <c r="A12" s="1"/>
      <c r="B12" s="124"/>
      <c r="C12" s="125"/>
      <c r="D12" s="125"/>
      <c r="E12" s="125"/>
      <c r="F12" s="125"/>
      <c r="G12" s="125"/>
      <c r="H12" s="125"/>
      <c r="I12" s="125"/>
      <c r="J12" s="125"/>
      <c r="K12" s="125"/>
      <c r="L12" s="125"/>
      <c r="M12" s="125"/>
      <c r="N12" s="125"/>
      <c r="O12" s="125"/>
      <c r="P12" s="125"/>
      <c r="Q12" s="125"/>
      <c r="R12" s="125"/>
      <c r="S12" s="125"/>
      <c r="T12" s="126"/>
      <c r="U12" s="1"/>
    </row>
    <row r="13" spans="1:21" ht="7.5" customHeight="1" x14ac:dyDescent="0.25">
      <c r="A13" s="1"/>
      <c r="B13" s="134"/>
      <c r="C13" s="135"/>
      <c r="D13" s="135"/>
      <c r="E13" s="135"/>
      <c r="F13" s="135"/>
      <c r="G13" s="135"/>
      <c r="H13" s="135"/>
      <c r="I13" s="135"/>
      <c r="J13" s="135"/>
      <c r="K13" s="135"/>
      <c r="L13" s="135"/>
      <c r="M13" s="135"/>
      <c r="N13" s="135"/>
      <c r="O13" s="135"/>
      <c r="P13" s="135"/>
      <c r="Q13" s="135"/>
      <c r="R13" s="135"/>
      <c r="S13" s="135"/>
      <c r="T13" s="136"/>
      <c r="U13" s="1"/>
    </row>
    <row r="14" spans="1:21" ht="6" customHeight="1" x14ac:dyDescent="0.25">
      <c r="A14" s="1"/>
      <c r="B14" s="112"/>
      <c r="C14" s="113"/>
      <c r="D14" s="113"/>
      <c r="E14" s="113"/>
      <c r="F14" s="113"/>
      <c r="G14" s="113"/>
      <c r="H14" s="113"/>
      <c r="I14" s="113"/>
      <c r="J14" s="113"/>
      <c r="K14" s="113"/>
      <c r="L14" s="113"/>
      <c r="M14" s="113"/>
      <c r="N14" s="113"/>
      <c r="O14" s="113"/>
      <c r="P14" s="113"/>
      <c r="Q14" s="113"/>
      <c r="R14" s="113"/>
      <c r="S14" s="113"/>
      <c r="T14" s="114"/>
      <c r="U14" s="1"/>
    </row>
    <row r="15" spans="1:21" ht="15" customHeight="1" x14ac:dyDescent="0.25">
      <c r="A15" s="1"/>
      <c r="B15" s="254" t="s">
        <v>235</v>
      </c>
      <c r="C15" s="131"/>
      <c r="D15" s="131"/>
      <c r="E15" s="131"/>
      <c r="F15" s="131"/>
      <c r="G15" s="131"/>
      <c r="H15" s="131"/>
      <c r="I15" s="131"/>
      <c r="J15" s="131"/>
      <c r="K15" s="131"/>
      <c r="L15" s="131"/>
      <c r="M15" s="131"/>
      <c r="N15" s="131"/>
      <c r="O15" s="131"/>
      <c r="P15" s="131"/>
      <c r="Q15" s="131"/>
      <c r="R15" s="131"/>
      <c r="S15" s="131"/>
      <c r="T15" s="132"/>
      <c r="U15" s="1"/>
    </row>
    <row r="16" spans="1:21" ht="15" customHeight="1" x14ac:dyDescent="0.25">
      <c r="A16" s="1"/>
      <c r="B16" s="254" t="s">
        <v>236</v>
      </c>
      <c r="C16" s="131"/>
      <c r="D16" s="131"/>
      <c r="E16" s="131"/>
      <c r="F16" s="131"/>
      <c r="G16" s="131"/>
      <c r="H16" s="131"/>
      <c r="I16" s="131"/>
      <c r="J16" s="131"/>
      <c r="K16" s="131"/>
      <c r="L16" s="131"/>
      <c r="M16" s="131"/>
      <c r="N16" s="131"/>
      <c r="O16" s="131"/>
      <c r="P16" s="131"/>
      <c r="Q16" s="131"/>
      <c r="R16" s="131"/>
      <c r="S16" s="131"/>
      <c r="T16" s="132"/>
      <c r="U16" s="1"/>
    </row>
    <row r="17" spans="1:21" ht="15" customHeight="1" x14ac:dyDescent="0.25">
      <c r="A17" s="1"/>
      <c r="B17" s="255" t="s">
        <v>237</v>
      </c>
      <c r="C17" s="131"/>
      <c r="D17" s="131"/>
      <c r="E17" s="131"/>
      <c r="F17" s="131"/>
      <c r="G17" s="131"/>
      <c r="H17" s="131"/>
      <c r="I17" s="131"/>
      <c r="J17" s="131"/>
      <c r="K17" s="131"/>
      <c r="L17" s="131"/>
      <c r="M17" s="131"/>
      <c r="N17" s="131"/>
      <c r="O17" s="131"/>
      <c r="P17" s="131"/>
      <c r="Q17" s="131"/>
      <c r="R17" s="131"/>
      <c r="S17" s="131"/>
      <c r="T17" s="132"/>
      <c r="U17" s="1"/>
    </row>
    <row r="18" spans="1:21" ht="15" customHeight="1" x14ac:dyDescent="0.25">
      <c r="A18" s="1"/>
      <c r="B18" s="254" t="s">
        <v>238</v>
      </c>
      <c r="C18" s="131"/>
      <c r="D18" s="131"/>
      <c r="E18" s="131"/>
      <c r="F18" s="131"/>
      <c r="G18" s="131"/>
      <c r="H18" s="131"/>
      <c r="I18" s="131"/>
      <c r="J18" s="131"/>
      <c r="K18" s="131"/>
      <c r="L18" s="131"/>
      <c r="M18" s="131"/>
      <c r="N18" s="131"/>
      <c r="O18" s="131"/>
      <c r="P18" s="131"/>
      <c r="Q18" s="131"/>
      <c r="R18" s="131"/>
      <c r="S18" s="131"/>
      <c r="T18" s="132"/>
      <c r="U18" s="1"/>
    </row>
    <row r="19" spans="1:21" ht="15" customHeight="1" x14ac:dyDescent="0.25">
      <c r="A19" s="1"/>
      <c r="B19" s="254" t="s">
        <v>239</v>
      </c>
      <c r="C19" s="131"/>
      <c r="D19" s="131"/>
      <c r="E19" s="131"/>
      <c r="F19" s="131"/>
      <c r="G19" s="131"/>
      <c r="H19" s="131"/>
      <c r="I19" s="131"/>
      <c r="J19" s="131"/>
      <c r="K19" s="131"/>
      <c r="L19" s="131"/>
      <c r="M19" s="131"/>
      <c r="N19" s="131"/>
      <c r="O19" s="131"/>
      <c r="P19" s="131"/>
      <c r="Q19" s="131"/>
      <c r="R19" s="131"/>
      <c r="S19" s="131"/>
      <c r="T19" s="132"/>
      <c r="U19" s="1"/>
    </row>
    <row r="20" spans="1:21" ht="7.5" customHeight="1" x14ac:dyDescent="0.25">
      <c r="A20" s="1"/>
      <c r="B20" s="115"/>
      <c r="C20" s="116"/>
      <c r="D20" s="116"/>
      <c r="E20" s="116"/>
      <c r="F20" s="116"/>
      <c r="G20" s="116"/>
      <c r="H20" s="116"/>
      <c r="I20" s="116"/>
      <c r="J20" s="116"/>
      <c r="K20" s="116"/>
      <c r="L20" s="116"/>
      <c r="M20" s="116"/>
      <c r="N20" s="116"/>
      <c r="O20" s="116"/>
      <c r="P20" s="116"/>
      <c r="Q20" s="116"/>
      <c r="R20" s="116"/>
      <c r="S20" s="116"/>
      <c r="T20" s="117"/>
      <c r="U20" s="1"/>
    </row>
    <row r="21" spans="1:21" ht="15.75" customHeight="1" x14ac:dyDescent="0.25">
      <c r="A21" s="1"/>
      <c r="B21" s="254" t="s">
        <v>240</v>
      </c>
      <c r="C21" s="131"/>
      <c r="D21" s="131"/>
      <c r="E21" s="131"/>
      <c r="F21" s="131"/>
      <c r="G21" s="131"/>
      <c r="H21" s="131"/>
      <c r="I21" s="131"/>
      <c r="J21" s="131"/>
      <c r="K21" s="131"/>
      <c r="L21" s="131"/>
      <c r="M21" s="131"/>
      <c r="N21" s="131"/>
      <c r="O21" s="131"/>
      <c r="P21" s="131"/>
      <c r="Q21" s="131"/>
      <c r="R21" s="131"/>
      <c r="S21" s="131"/>
      <c r="T21" s="132"/>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56" t="s">
        <v>241</v>
      </c>
      <c r="D24" s="162"/>
      <c r="E24" s="257" t="s">
        <v>242</v>
      </c>
      <c r="F24" s="178"/>
      <c r="G24" s="178"/>
      <c r="H24" s="178"/>
      <c r="I24" s="178"/>
      <c r="J24" s="162"/>
      <c r="K24" s="1"/>
      <c r="L24" s="1"/>
      <c r="M24" s="1"/>
      <c r="N24" s="1"/>
      <c r="O24" s="1"/>
      <c r="P24" s="1"/>
      <c r="Q24" s="1"/>
      <c r="R24" s="1"/>
      <c r="S24" s="1"/>
      <c r="T24" s="10"/>
      <c r="U24" s="1"/>
    </row>
    <row r="25" spans="1:21" ht="15.75" customHeight="1" x14ac:dyDescent="0.25">
      <c r="A25" s="1"/>
      <c r="B25" s="19"/>
      <c r="C25" s="259" t="s">
        <v>243</v>
      </c>
      <c r="D25" s="162"/>
      <c r="E25" s="260" t="s">
        <v>244</v>
      </c>
      <c r="F25" s="178"/>
      <c r="G25" s="178"/>
      <c r="H25" s="178"/>
      <c r="I25" s="178"/>
      <c r="J25" s="162"/>
      <c r="K25" s="1"/>
      <c r="L25" s="1"/>
      <c r="M25" s="1"/>
      <c r="N25" s="1"/>
      <c r="O25" s="1"/>
      <c r="P25" s="1"/>
      <c r="Q25" s="1"/>
      <c r="R25" s="1"/>
      <c r="S25" s="1"/>
      <c r="T25" s="10"/>
      <c r="U25" s="1"/>
    </row>
    <row r="26" spans="1:21" ht="15.75" customHeight="1" x14ac:dyDescent="0.25">
      <c r="A26" s="1"/>
      <c r="B26" s="19"/>
      <c r="C26" s="261" t="s">
        <v>245</v>
      </c>
      <c r="D26" s="162"/>
      <c r="E26" s="262" t="s">
        <v>246</v>
      </c>
      <c r="F26" s="178"/>
      <c r="G26" s="178"/>
      <c r="H26" s="178"/>
      <c r="I26" s="178"/>
      <c r="J26" s="162"/>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52" t="s">
        <v>247</v>
      </c>
      <c r="D33" s="123"/>
      <c r="E33" s="1"/>
      <c r="F33" s="1"/>
      <c r="G33" s="1"/>
      <c r="H33" s="1"/>
      <c r="I33" s="1"/>
      <c r="J33" s="1"/>
      <c r="K33" s="1"/>
      <c r="L33" s="1"/>
      <c r="M33" s="1"/>
      <c r="N33" s="1"/>
      <c r="O33" s="1"/>
      <c r="P33" s="1"/>
      <c r="Q33" s="1"/>
      <c r="R33" s="1"/>
      <c r="S33" s="1"/>
      <c r="T33" s="10"/>
      <c r="U33" s="1"/>
    </row>
    <row r="34" spans="1:21" ht="15" customHeight="1" x14ac:dyDescent="0.25">
      <c r="A34" s="1"/>
      <c r="B34" s="19"/>
      <c r="C34" s="124"/>
      <c r="D34" s="126"/>
      <c r="E34" s="1"/>
      <c r="F34" s="1"/>
      <c r="G34" s="1"/>
      <c r="H34" s="1"/>
      <c r="I34" s="1"/>
      <c r="J34" s="1"/>
      <c r="K34" s="1"/>
      <c r="L34" s="1"/>
      <c r="M34" s="1"/>
      <c r="N34" s="1"/>
      <c r="O34" s="1"/>
      <c r="P34" s="1"/>
      <c r="Q34" s="1"/>
      <c r="R34" s="1"/>
      <c r="S34" s="1"/>
      <c r="T34" s="10"/>
      <c r="U34" s="1"/>
    </row>
    <row r="35" spans="1:21" ht="15" customHeight="1" x14ac:dyDescent="0.25">
      <c r="A35" s="1"/>
      <c r="B35" s="19"/>
      <c r="C35" s="124"/>
      <c r="D35" s="126"/>
      <c r="E35" s="1"/>
      <c r="F35" s="1"/>
      <c r="G35" s="1"/>
      <c r="H35" s="1"/>
      <c r="I35" s="1"/>
      <c r="J35" s="1"/>
      <c r="K35" s="1"/>
      <c r="L35" s="1"/>
      <c r="M35" s="1"/>
      <c r="N35" s="1"/>
      <c r="O35" s="1"/>
      <c r="P35" s="1"/>
      <c r="Q35" s="1"/>
      <c r="R35" s="1"/>
      <c r="S35" s="1"/>
      <c r="T35" s="10"/>
      <c r="U35" s="1"/>
    </row>
    <row r="36" spans="1:21" ht="15" customHeight="1" x14ac:dyDescent="0.25">
      <c r="A36" s="1"/>
      <c r="B36" s="19"/>
      <c r="C36" s="124"/>
      <c r="D36" s="126"/>
      <c r="E36" s="1"/>
      <c r="F36" s="1"/>
      <c r="G36" s="1"/>
      <c r="H36" s="1"/>
      <c r="I36" s="1"/>
      <c r="J36" s="1"/>
      <c r="K36" s="1"/>
      <c r="L36" s="1"/>
      <c r="M36" s="1"/>
      <c r="N36" s="1"/>
      <c r="O36" s="1"/>
      <c r="P36" s="1"/>
      <c r="Q36" s="1"/>
      <c r="R36" s="1"/>
      <c r="S36" s="1"/>
      <c r="T36" s="10"/>
      <c r="U36" s="1"/>
    </row>
    <row r="37" spans="1:21" ht="15" customHeight="1" x14ac:dyDescent="0.25">
      <c r="A37" s="1"/>
      <c r="B37" s="19"/>
      <c r="C37" s="124"/>
      <c r="D37" s="126"/>
      <c r="E37" s="1"/>
      <c r="F37" s="1"/>
      <c r="G37" s="1"/>
      <c r="H37" s="1"/>
      <c r="I37" s="1"/>
      <c r="J37" s="1"/>
      <c r="K37" s="1"/>
      <c r="L37" s="1"/>
      <c r="M37" s="1"/>
      <c r="N37" s="1"/>
      <c r="O37" s="1"/>
      <c r="P37" s="1"/>
      <c r="Q37" s="1"/>
      <c r="R37" s="1"/>
      <c r="S37" s="1"/>
      <c r="T37" s="10"/>
      <c r="U37" s="1"/>
    </row>
    <row r="38" spans="1:21" ht="15" customHeight="1" x14ac:dyDescent="0.25">
      <c r="A38" s="1"/>
      <c r="B38" s="19"/>
      <c r="C38" s="124"/>
      <c r="D38" s="126"/>
      <c r="E38" s="1"/>
      <c r="F38" s="1"/>
      <c r="G38" s="1"/>
      <c r="H38" s="1"/>
      <c r="I38" s="1"/>
      <c r="J38" s="1"/>
      <c r="K38" s="1"/>
      <c r="L38" s="1"/>
      <c r="M38" s="1"/>
      <c r="N38" s="1"/>
      <c r="O38" s="1"/>
      <c r="P38" s="1"/>
      <c r="Q38" s="1"/>
      <c r="R38" s="1"/>
      <c r="S38" s="1"/>
      <c r="T38" s="10"/>
      <c r="U38" s="1"/>
    </row>
    <row r="39" spans="1:21" ht="15" customHeight="1" x14ac:dyDescent="0.25">
      <c r="A39" s="1"/>
      <c r="B39" s="19"/>
      <c r="C39" s="124"/>
      <c r="D39" s="126"/>
      <c r="E39" s="1"/>
      <c r="F39" s="1"/>
      <c r="G39" s="1"/>
      <c r="H39" s="1"/>
      <c r="I39" s="1"/>
      <c r="J39" s="1"/>
      <c r="K39" s="1"/>
      <c r="L39" s="1"/>
      <c r="M39" s="1"/>
      <c r="N39" s="1"/>
      <c r="O39" s="1"/>
      <c r="P39" s="1"/>
      <c r="Q39" s="1"/>
      <c r="R39" s="1"/>
      <c r="S39" s="1"/>
      <c r="T39" s="10"/>
      <c r="U39" s="1"/>
    </row>
    <row r="40" spans="1:21" ht="15" customHeight="1" x14ac:dyDescent="0.25">
      <c r="A40" s="1"/>
      <c r="B40" s="19"/>
      <c r="C40" s="124"/>
      <c r="D40" s="126"/>
      <c r="E40" s="1"/>
      <c r="F40" s="1"/>
      <c r="G40" s="1"/>
      <c r="H40" s="1"/>
      <c r="I40" s="1"/>
      <c r="J40" s="1"/>
      <c r="K40" s="1"/>
      <c r="L40" s="1"/>
      <c r="M40" s="1"/>
      <c r="N40" s="1"/>
      <c r="O40" s="1"/>
      <c r="P40" s="1"/>
      <c r="Q40" s="1"/>
      <c r="R40" s="1"/>
      <c r="S40" s="1"/>
      <c r="T40" s="10"/>
      <c r="U40" s="1"/>
    </row>
    <row r="41" spans="1:21" ht="15" customHeight="1" x14ac:dyDescent="0.25">
      <c r="A41" s="1"/>
      <c r="B41" s="19"/>
      <c r="C41" s="124"/>
      <c r="D41" s="126"/>
      <c r="E41" s="1"/>
      <c r="F41" s="1"/>
      <c r="G41" s="1"/>
      <c r="H41" s="1"/>
      <c r="I41" s="1"/>
      <c r="J41" s="1"/>
      <c r="K41" s="1"/>
      <c r="L41" s="1"/>
      <c r="M41" s="1"/>
      <c r="N41" s="1"/>
      <c r="O41" s="1"/>
      <c r="P41" s="1"/>
      <c r="Q41" s="1"/>
      <c r="R41" s="1"/>
      <c r="S41" s="1"/>
      <c r="T41" s="10"/>
      <c r="U41" s="1"/>
    </row>
    <row r="42" spans="1:21" ht="15" customHeight="1" x14ac:dyDescent="0.25">
      <c r="A42" s="1"/>
      <c r="B42" s="19"/>
      <c r="C42" s="124"/>
      <c r="D42" s="126"/>
      <c r="E42" s="1"/>
      <c r="F42" s="1"/>
      <c r="G42" s="1"/>
      <c r="H42" s="1"/>
      <c r="I42" s="1"/>
      <c r="J42" s="1"/>
      <c r="K42" s="1"/>
      <c r="L42" s="1"/>
      <c r="M42" s="1"/>
      <c r="N42" s="1"/>
      <c r="O42" s="1"/>
      <c r="P42" s="1"/>
      <c r="Q42" s="1"/>
      <c r="R42" s="1"/>
      <c r="S42" s="1"/>
      <c r="T42" s="10"/>
      <c r="U42" s="1"/>
    </row>
    <row r="43" spans="1:21" ht="15" customHeight="1" x14ac:dyDescent="0.25">
      <c r="A43" s="1"/>
      <c r="B43" s="19"/>
      <c r="C43" s="124"/>
      <c r="D43" s="126"/>
      <c r="E43" s="1"/>
      <c r="F43" s="1"/>
      <c r="G43" s="1"/>
      <c r="H43" s="1"/>
      <c r="I43" s="1"/>
      <c r="J43" s="1"/>
      <c r="K43" s="1"/>
      <c r="L43" s="1"/>
      <c r="M43" s="1"/>
      <c r="N43" s="1"/>
      <c r="O43" s="1"/>
      <c r="P43" s="1"/>
      <c r="Q43" s="1"/>
      <c r="R43" s="1"/>
      <c r="S43" s="1"/>
      <c r="T43" s="10"/>
      <c r="U43" s="1"/>
    </row>
    <row r="44" spans="1:21" ht="15" customHeight="1" x14ac:dyDescent="0.25">
      <c r="A44" s="1"/>
      <c r="B44" s="19"/>
      <c r="C44" s="124"/>
      <c r="D44" s="126"/>
      <c r="E44" s="1"/>
      <c r="F44" s="1"/>
      <c r="G44" s="1"/>
      <c r="H44" s="1"/>
      <c r="I44" s="1"/>
      <c r="J44" s="1"/>
      <c r="K44" s="1"/>
      <c r="L44" s="1"/>
      <c r="M44" s="1"/>
      <c r="N44" s="1"/>
      <c r="O44" s="1"/>
      <c r="P44" s="1"/>
      <c r="Q44" s="1"/>
      <c r="R44" s="1"/>
      <c r="S44" s="1"/>
      <c r="T44" s="10"/>
      <c r="U44" s="1"/>
    </row>
    <row r="45" spans="1:21" ht="15" customHeight="1" x14ac:dyDescent="0.25">
      <c r="A45" s="1"/>
      <c r="B45" s="19"/>
      <c r="C45" s="124"/>
      <c r="D45" s="126"/>
      <c r="E45" s="1"/>
      <c r="F45" s="1"/>
      <c r="G45" s="1"/>
      <c r="H45" s="1"/>
      <c r="I45" s="1"/>
      <c r="J45" s="1"/>
      <c r="K45" s="1"/>
      <c r="L45" s="1"/>
      <c r="M45" s="1"/>
      <c r="N45" s="1"/>
      <c r="O45" s="1"/>
      <c r="P45" s="1"/>
      <c r="Q45" s="1"/>
      <c r="R45" s="1"/>
      <c r="S45" s="1"/>
      <c r="T45" s="10"/>
      <c r="U45" s="1"/>
    </row>
    <row r="46" spans="1:21" ht="15" customHeight="1" x14ac:dyDescent="0.25">
      <c r="A46" s="1"/>
      <c r="B46" s="19"/>
      <c r="C46" s="124"/>
      <c r="D46" s="126"/>
      <c r="E46" s="1"/>
      <c r="F46" s="1"/>
      <c r="G46" s="1"/>
      <c r="H46" s="1"/>
      <c r="I46" s="1"/>
      <c r="J46" s="1"/>
      <c r="K46" s="1"/>
      <c r="L46" s="1"/>
      <c r="M46" s="1"/>
      <c r="N46" s="1"/>
      <c r="O46" s="1"/>
      <c r="P46" s="1"/>
      <c r="Q46" s="1"/>
      <c r="R46" s="1"/>
      <c r="S46" s="1"/>
      <c r="T46" s="10"/>
      <c r="U46" s="1"/>
    </row>
    <row r="47" spans="1:21" ht="15" customHeight="1" x14ac:dyDescent="0.25">
      <c r="A47" s="1"/>
      <c r="B47" s="19"/>
      <c r="C47" s="124"/>
      <c r="D47" s="126"/>
      <c r="E47" s="1"/>
      <c r="F47" s="1"/>
      <c r="G47" s="1"/>
      <c r="H47" s="1"/>
      <c r="I47" s="1"/>
      <c r="J47" s="1"/>
      <c r="K47" s="1"/>
      <c r="L47" s="1"/>
      <c r="M47" s="1"/>
      <c r="N47" s="1"/>
      <c r="O47" s="1"/>
      <c r="P47" s="1"/>
      <c r="Q47" s="1"/>
      <c r="R47" s="1"/>
      <c r="S47" s="1"/>
      <c r="T47" s="10"/>
      <c r="U47" s="1"/>
    </row>
    <row r="48" spans="1:21" ht="15" customHeight="1" x14ac:dyDescent="0.25">
      <c r="A48" s="1"/>
      <c r="B48" s="19"/>
      <c r="C48" s="127"/>
      <c r="D48" s="129"/>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53" t="s">
        <v>248</v>
      </c>
      <c r="C61" s="150"/>
      <c r="D61" s="150"/>
      <c r="E61" s="150"/>
      <c r="F61" s="150"/>
      <c r="G61" s="150"/>
      <c r="H61" s="150"/>
      <c r="I61" s="150"/>
      <c r="J61" s="150"/>
      <c r="K61" s="150"/>
      <c r="L61" s="150"/>
      <c r="M61" s="150"/>
      <c r="N61" s="150"/>
      <c r="O61" s="150"/>
      <c r="P61" s="150"/>
      <c r="Q61" s="150"/>
      <c r="R61" s="150"/>
      <c r="S61" s="150"/>
      <c r="T61" s="151"/>
      <c r="U61" s="1"/>
    </row>
    <row r="62" spans="1:21" ht="15.75" customHeight="1" x14ac:dyDescent="0.25">
      <c r="A62" s="1"/>
      <c r="B62" s="127"/>
      <c r="C62" s="128"/>
      <c r="D62" s="128"/>
      <c r="E62" s="128"/>
      <c r="F62" s="128"/>
      <c r="G62" s="128"/>
      <c r="H62" s="128"/>
      <c r="I62" s="128"/>
      <c r="J62" s="128"/>
      <c r="K62" s="128"/>
      <c r="L62" s="128"/>
      <c r="M62" s="128"/>
      <c r="N62" s="128"/>
      <c r="O62" s="128"/>
      <c r="P62" s="128"/>
      <c r="Q62" s="128"/>
      <c r="R62" s="128"/>
      <c r="S62" s="128"/>
      <c r="T62" s="129"/>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B2:T3"/>
    <mergeCell ref="B4:T6"/>
    <mergeCell ref="B7:T8"/>
    <mergeCell ref="B9:T9"/>
    <mergeCell ref="B10:T10"/>
    <mergeCell ref="B11:T13"/>
    <mergeCell ref="B15:T15"/>
    <mergeCell ref="C25:D25"/>
    <mergeCell ref="E25:J25"/>
    <mergeCell ref="C26:D26"/>
    <mergeCell ref="E26:J26"/>
    <mergeCell ref="C33:D48"/>
    <mergeCell ref="B61:T62"/>
    <mergeCell ref="B16:T16"/>
    <mergeCell ref="B17:T17"/>
    <mergeCell ref="B18:T18"/>
    <mergeCell ref="B19:T19"/>
    <mergeCell ref="B21:T21"/>
    <mergeCell ref="C24:D24"/>
    <mergeCell ref="E24:J24"/>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María Sepúlveda Durán</cp:lastModifiedBy>
  <dcterms:modified xsi:type="dcterms:W3CDTF">2025-05-06T17:21:31Z</dcterms:modified>
</cp:coreProperties>
</file>