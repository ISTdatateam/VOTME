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uantum-Malloco\VOTME_app\src\source\"/>
    </mc:Choice>
  </mc:AlternateContent>
  <xr:revisionPtr revIDLastSave="0" documentId="13_ncr:1_{2051F94E-DCE7-44F0-A923-48BCAA6E05EF}" xr6:coauthVersionLast="47" xr6:coauthVersionMax="47" xr10:uidLastSave="{00000000-0000-0000-0000-000000000000}"/>
  <bookViews>
    <workbookView xWindow="-120" yWindow="-120" windowWidth="20730" windowHeight="11160" tabRatio="828" firstSheet="2" activeTab="3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Postura estatica" sheetId="4" r:id="rId5"/>
    <sheet name="MMC Levantamiento-Descenso" sheetId="5" r:id="rId6"/>
    <sheet name="MMC Empuje-Arrastre " sheetId="6" r:id="rId7"/>
    <sheet name="Manejo manual PCTS" sheetId="7" r:id="rId8"/>
    <sheet name="Vibración Mano-Brazo" sheetId="8" r:id="rId9"/>
    <sheet name="Vibración Cuerpo completo" sheetId="9" r:id="rId10"/>
  </sheets>
  <definedNames>
    <definedName name="_xlnm._FilterDatabase" localSheetId="1" hidden="1">Datos!$A$1:$T$62</definedName>
    <definedName name="_xlnm._FilterDatabase" localSheetId="2" hidden="1">Inicial!$A$1:$Q$63</definedName>
    <definedName name="_xlnm._FilterDatabase" localSheetId="3" hidden="1">'Mov. Rep.'!$A$2:$AC$2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6" i="2" l="1"/>
  <c r="W5" i="2"/>
  <c r="W3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54" i="1"/>
  <c r="A55" i="1"/>
  <c r="A56" i="1"/>
  <c r="A57" i="1"/>
  <c r="A58" i="1"/>
  <c r="A59" i="1"/>
  <c r="A60" i="1"/>
  <c r="A61" i="1"/>
  <c r="A62" i="1"/>
  <c r="A63" i="1"/>
  <c r="A64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D3" i="2"/>
  <c r="A16" i="5"/>
  <c r="A18" i="5"/>
  <c r="A24" i="5"/>
  <c r="A26" i="5"/>
  <c r="A32" i="5"/>
  <c r="A34" i="5"/>
  <c r="A40" i="5"/>
  <c r="A42" i="5"/>
  <c r="A48" i="5"/>
  <c r="A50" i="5"/>
  <c r="A56" i="5"/>
  <c r="A58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4" i="1"/>
  <c r="A4" i="5" s="1"/>
  <c r="A5" i="1"/>
  <c r="A5" i="5" s="1"/>
  <c r="A6" i="1"/>
  <c r="A6" i="5" s="1"/>
  <c r="A7" i="1"/>
  <c r="A7" i="5" s="1"/>
  <c r="A8" i="1"/>
  <c r="A8" i="5" s="1"/>
  <c r="A9" i="1"/>
  <c r="A9" i="2" s="1"/>
  <c r="A10" i="1"/>
  <c r="A10" i="2" s="1"/>
  <c r="A11" i="1"/>
  <c r="A11" i="5" s="1"/>
  <c r="A12" i="1"/>
  <c r="A12" i="5" s="1"/>
  <c r="A13" i="1"/>
  <c r="A13" i="5" s="1"/>
  <c r="A14" i="1"/>
  <c r="A14" i="5" s="1"/>
  <c r="A15" i="1"/>
  <c r="A15" i="5" s="1"/>
  <c r="A16" i="1"/>
  <c r="A17" i="1"/>
  <c r="A17" i="5" s="1"/>
  <c r="A18" i="1"/>
  <c r="A19" i="1"/>
  <c r="A19" i="5" s="1"/>
  <c r="A20" i="1"/>
  <c r="A20" i="5" s="1"/>
  <c r="A21" i="1"/>
  <c r="A21" i="5" s="1"/>
  <c r="A22" i="1"/>
  <c r="A22" i="2" s="1"/>
  <c r="A23" i="1"/>
  <c r="A23" i="5" s="1"/>
  <c r="A24" i="1"/>
  <c r="A25" i="1"/>
  <c r="A25" i="5" s="1"/>
  <c r="A26" i="1"/>
  <c r="A26" i="2" s="1"/>
  <c r="A27" i="1"/>
  <c r="A27" i="5" s="1"/>
  <c r="A28" i="1"/>
  <c r="A28" i="5" s="1"/>
  <c r="A29" i="1"/>
  <c r="A29" i="5" s="1"/>
  <c r="A30" i="1"/>
  <c r="A30" i="2" s="1"/>
  <c r="A31" i="1"/>
  <c r="A31" i="5" s="1"/>
  <c r="A32" i="1"/>
  <c r="A33" i="1"/>
  <c r="A33" i="5" s="1"/>
  <c r="A34" i="1"/>
  <c r="A35" i="1"/>
  <c r="A35" i="5" s="1"/>
  <c r="A36" i="1"/>
  <c r="A36" i="5" s="1"/>
  <c r="A37" i="1"/>
  <c r="A37" i="5" s="1"/>
  <c r="A38" i="1"/>
  <c r="A39" i="1"/>
  <c r="A39" i="5" s="1"/>
  <c r="A40" i="1"/>
  <c r="A41" i="1"/>
  <c r="A41" i="5" s="1"/>
  <c r="A42" i="1"/>
  <c r="A43" i="1"/>
  <c r="A43" i="5" s="1"/>
  <c r="A44" i="1"/>
  <c r="A44" i="5" s="1"/>
  <c r="A45" i="1"/>
  <c r="A45" i="5" s="1"/>
  <c r="A46" i="1"/>
  <c r="A47" i="1"/>
  <c r="A47" i="5" s="1"/>
  <c r="A48" i="1"/>
  <c r="A49" i="1"/>
  <c r="A49" i="5" s="1"/>
  <c r="A50" i="1"/>
  <c r="A51" i="1"/>
  <c r="A51" i="5" s="1"/>
  <c r="A52" i="1"/>
  <c r="A52" i="5" s="1"/>
  <c r="A53" i="1"/>
  <c r="A53" i="5" s="1"/>
  <c r="A54" i="5"/>
  <c r="A55" i="5"/>
  <c r="A57" i="5"/>
  <c r="A59" i="5"/>
  <c r="A60" i="5"/>
  <c r="A61" i="5"/>
  <c r="A63" i="5"/>
  <c r="A27" i="2"/>
  <c r="B27" i="1"/>
  <c r="C27" i="1"/>
  <c r="D27" i="1"/>
  <c r="E27" i="1"/>
  <c r="F27" i="1"/>
  <c r="F27" i="2" s="1"/>
  <c r="G27" i="1"/>
  <c r="H27" i="1"/>
  <c r="H27" i="2" s="1"/>
  <c r="I27" i="1"/>
  <c r="Q27" i="1"/>
  <c r="BD42" i="5" a="1"/>
  <c r="BD42" i="5" s="1"/>
  <c r="AG42" i="5" a="1"/>
  <c r="AG42" i="5" s="1"/>
  <c r="Q40" i="1"/>
  <c r="A5" i="2"/>
  <c r="A8" i="2"/>
  <c r="A11" i="2"/>
  <c r="A16" i="2"/>
  <c r="A17" i="2"/>
  <c r="A18" i="2"/>
  <c r="A19" i="2"/>
  <c r="A21" i="2"/>
  <c r="A23" i="2"/>
  <c r="A25" i="2"/>
  <c r="A28" i="2"/>
  <c r="A31" i="2"/>
  <c r="B4" i="1"/>
  <c r="B4" i="2" s="1"/>
  <c r="C4" i="1"/>
  <c r="C4" i="2" s="1"/>
  <c r="D4" i="1"/>
  <c r="D4" i="2" s="1"/>
  <c r="E4" i="1"/>
  <c r="E4" i="2" s="1"/>
  <c r="F4" i="1"/>
  <c r="F4" i="2" s="1"/>
  <c r="G4" i="1"/>
  <c r="H4" i="1"/>
  <c r="H4" i="2" s="1"/>
  <c r="I4" i="1"/>
  <c r="I4" i="2" s="1"/>
  <c r="B5" i="1"/>
  <c r="B5" i="2" s="1"/>
  <c r="C5" i="1"/>
  <c r="C5" i="2" s="1"/>
  <c r="D5" i="1"/>
  <c r="D5" i="2" s="1"/>
  <c r="E5" i="1"/>
  <c r="E5" i="2" s="1"/>
  <c r="F5" i="1"/>
  <c r="F5" i="2" s="1"/>
  <c r="G5" i="1"/>
  <c r="H5" i="1"/>
  <c r="H5" i="2" s="1"/>
  <c r="I5" i="1"/>
  <c r="I5" i="2" s="1"/>
  <c r="B6" i="1"/>
  <c r="B6" i="2" s="1"/>
  <c r="C6" i="1"/>
  <c r="C6" i="2" s="1"/>
  <c r="D6" i="1"/>
  <c r="D6" i="2" s="1"/>
  <c r="E6" i="1"/>
  <c r="F6" i="1"/>
  <c r="G6" i="1"/>
  <c r="H6" i="1"/>
  <c r="I6" i="1"/>
  <c r="B7" i="1"/>
  <c r="B7" i="2" s="1"/>
  <c r="C7" i="1"/>
  <c r="C7" i="2" s="1"/>
  <c r="D7" i="1"/>
  <c r="D7" i="2" s="1"/>
  <c r="E7" i="1"/>
  <c r="F7" i="1"/>
  <c r="G7" i="1"/>
  <c r="H7" i="1"/>
  <c r="I7" i="1"/>
  <c r="B8" i="1"/>
  <c r="B8" i="2" s="1"/>
  <c r="C8" i="1"/>
  <c r="C8" i="2" s="1"/>
  <c r="D8" i="1"/>
  <c r="D8" i="2" s="1"/>
  <c r="E8" i="1"/>
  <c r="F8" i="1"/>
  <c r="G8" i="1"/>
  <c r="H8" i="1"/>
  <c r="I8" i="1"/>
  <c r="B9" i="1"/>
  <c r="B9" i="2" s="1"/>
  <c r="C9" i="1"/>
  <c r="C9" i="2" s="1"/>
  <c r="D9" i="1"/>
  <c r="D9" i="2" s="1"/>
  <c r="E9" i="1"/>
  <c r="F9" i="1"/>
  <c r="G9" i="1"/>
  <c r="H9" i="1"/>
  <c r="I9" i="1"/>
  <c r="B10" i="1"/>
  <c r="B10" i="2" s="1"/>
  <c r="C10" i="1"/>
  <c r="C10" i="2" s="1"/>
  <c r="D10" i="1"/>
  <c r="D10" i="2" s="1"/>
  <c r="E10" i="1"/>
  <c r="F10" i="1"/>
  <c r="G10" i="1"/>
  <c r="H10" i="1"/>
  <c r="I10" i="1"/>
  <c r="B11" i="1"/>
  <c r="B11" i="2" s="1"/>
  <c r="C11" i="1"/>
  <c r="C11" i="2" s="1"/>
  <c r="D11" i="1"/>
  <c r="D11" i="2" s="1"/>
  <c r="E11" i="1"/>
  <c r="F11" i="1"/>
  <c r="G11" i="1"/>
  <c r="H11" i="1"/>
  <c r="I11" i="1"/>
  <c r="B12" i="1"/>
  <c r="B12" i="2" s="1"/>
  <c r="C12" i="1"/>
  <c r="C12" i="2" s="1"/>
  <c r="D12" i="1"/>
  <c r="D12" i="2" s="1"/>
  <c r="E12" i="1"/>
  <c r="E12" i="2" s="1"/>
  <c r="F12" i="1"/>
  <c r="F12" i="2" s="1"/>
  <c r="G12" i="1"/>
  <c r="H12" i="1"/>
  <c r="H12" i="2" s="1"/>
  <c r="I12" i="1"/>
  <c r="I12" i="2" s="1"/>
  <c r="B13" i="1"/>
  <c r="B13" i="2" s="1"/>
  <c r="C13" i="1"/>
  <c r="C13" i="2" s="1"/>
  <c r="D13" i="1"/>
  <c r="D13" i="2" s="1"/>
  <c r="E13" i="1"/>
  <c r="E13" i="2" s="1"/>
  <c r="F13" i="1"/>
  <c r="F13" i="2" s="1"/>
  <c r="G13" i="1"/>
  <c r="H13" i="1"/>
  <c r="H13" i="2" s="1"/>
  <c r="I13" i="1"/>
  <c r="I13" i="2" s="1"/>
  <c r="B14" i="1"/>
  <c r="B14" i="2" s="1"/>
  <c r="C14" i="1"/>
  <c r="C14" i="2" s="1"/>
  <c r="D14" i="1"/>
  <c r="D14" i="2" s="1"/>
  <c r="E14" i="1"/>
  <c r="F14" i="1"/>
  <c r="G14" i="1"/>
  <c r="H14" i="1"/>
  <c r="I14" i="1"/>
  <c r="B15" i="1"/>
  <c r="B15" i="2" s="1"/>
  <c r="C15" i="1"/>
  <c r="C15" i="2" s="1"/>
  <c r="D15" i="1"/>
  <c r="D15" i="2" s="1"/>
  <c r="E15" i="1"/>
  <c r="F15" i="1"/>
  <c r="G15" i="1"/>
  <c r="H15" i="1"/>
  <c r="H15" i="2" s="1"/>
  <c r="I15" i="1"/>
  <c r="B16" i="1"/>
  <c r="B16" i="2" s="1"/>
  <c r="C16" i="1"/>
  <c r="C16" i="2" s="1"/>
  <c r="D16" i="1"/>
  <c r="D16" i="2" s="1"/>
  <c r="E16" i="1"/>
  <c r="E16" i="2" s="1"/>
  <c r="F16" i="1"/>
  <c r="F16" i="2" s="1"/>
  <c r="G16" i="1"/>
  <c r="H16" i="1"/>
  <c r="H16" i="2" s="1"/>
  <c r="I16" i="1"/>
  <c r="I16" i="2" s="1"/>
  <c r="B17" i="1"/>
  <c r="B17" i="2" s="1"/>
  <c r="C17" i="1"/>
  <c r="C17" i="2" s="1"/>
  <c r="D17" i="1"/>
  <c r="D17" i="2" s="1"/>
  <c r="E17" i="1"/>
  <c r="E17" i="2" s="1"/>
  <c r="F17" i="1"/>
  <c r="F17" i="2" s="1"/>
  <c r="G17" i="1"/>
  <c r="H17" i="1"/>
  <c r="H17" i="2" s="1"/>
  <c r="I17" i="1"/>
  <c r="I17" i="2" s="1"/>
  <c r="B18" i="1"/>
  <c r="B18" i="2" s="1"/>
  <c r="C18" i="1"/>
  <c r="C18" i="2" s="1"/>
  <c r="D18" i="1"/>
  <c r="D18" i="2" s="1"/>
  <c r="E18" i="1"/>
  <c r="E18" i="2" s="1"/>
  <c r="F18" i="1"/>
  <c r="F18" i="2" s="1"/>
  <c r="G18" i="1"/>
  <c r="H18" i="1"/>
  <c r="I18" i="1"/>
  <c r="I18" i="2" s="1"/>
  <c r="B19" i="1"/>
  <c r="B19" i="2" s="1"/>
  <c r="C19" i="1"/>
  <c r="C19" i="2" s="1"/>
  <c r="D19" i="1"/>
  <c r="D19" i="2" s="1"/>
  <c r="E19" i="1"/>
  <c r="E19" i="2" s="1"/>
  <c r="F19" i="1"/>
  <c r="F19" i="2" s="1"/>
  <c r="G19" i="1"/>
  <c r="H19" i="1"/>
  <c r="H19" i="2" s="1"/>
  <c r="I19" i="1"/>
  <c r="I19" i="2" s="1"/>
  <c r="B20" i="1"/>
  <c r="B20" i="2" s="1"/>
  <c r="C20" i="1"/>
  <c r="C20" i="2" s="1"/>
  <c r="D20" i="1"/>
  <c r="D20" i="2" s="1"/>
  <c r="E20" i="1"/>
  <c r="E20" i="2" s="1"/>
  <c r="F20" i="1"/>
  <c r="F20" i="2" s="1"/>
  <c r="G20" i="1"/>
  <c r="H20" i="1"/>
  <c r="H20" i="2" s="1"/>
  <c r="I20" i="1"/>
  <c r="I20" i="2" s="1"/>
  <c r="B21" i="1"/>
  <c r="B21" i="2" s="1"/>
  <c r="C21" i="1"/>
  <c r="C21" i="2" s="1"/>
  <c r="D21" i="1"/>
  <c r="D21" i="2" s="1"/>
  <c r="E21" i="1"/>
  <c r="E21" i="2" s="1"/>
  <c r="F21" i="1"/>
  <c r="F21" i="2" s="1"/>
  <c r="G21" i="1"/>
  <c r="H21" i="1"/>
  <c r="H21" i="2" s="1"/>
  <c r="I21" i="1"/>
  <c r="I21" i="2" s="1"/>
  <c r="B22" i="1"/>
  <c r="B22" i="2" s="1"/>
  <c r="C22" i="1"/>
  <c r="C22" i="2" s="1"/>
  <c r="D22" i="1"/>
  <c r="D22" i="2" s="1"/>
  <c r="E22" i="1"/>
  <c r="F22" i="1"/>
  <c r="G22" i="1"/>
  <c r="H22" i="1"/>
  <c r="I22" i="1"/>
  <c r="B23" i="1"/>
  <c r="B23" i="2" s="1"/>
  <c r="C23" i="1"/>
  <c r="C23" i="2" s="1"/>
  <c r="D23" i="1"/>
  <c r="D23" i="2" s="1"/>
  <c r="E23" i="1"/>
  <c r="E23" i="2" s="1"/>
  <c r="F23" i="1"/>
  <c r="F23" i="2" s="1"/>
  <c r="G23" i="1"/>
  <c r="H23" i="1"/>
  <c r="H23" i="2" s="1"/>
  <c r="I23" i="1"/>
  <c r="I23" i="2" s="1"/>
  <c r="B24" i="1"/>
  <c r="B24" i="2" s="1"/>
  <c r="C24" i="1"/>
  <c r="C24" i="2" s="1"/>
  <c r="D24" i="1"/>
  <c r="D24" i="2" s="1"/>
  <c r="E24" i="1"/>
  <c r="E24" i="2" s="1"/>
  <c r="F24" i="1"/>
  <c r="F24" i="2" s="1"/>
  <c r="G24" i="1"/>
  <c r="H24" i="1"/>
  <c r="H24" i="2" s="1"/>
  <c r="I24" i="1"/>
  <c r="I24" i="2" s="1"/>
  <c r="B25" i="1"/>
  <c r="B25" i="2" s="1"/>
  <c r="C25" i="1"/>
  <c r="C25" i="2" s="1"/>
  <c r="D25" i="1"/>
  <c r="D25" i="2" s="1"/>
  <c r="E25" i="1"/>
  <c r="E25" i="2" s="1"/>
  <c r="F25" i="1"/>
  <c r="F25" i="2" s="1"/>
  <c r="G25" i="1"/>
  <c r="H25" i="1"/>
  <c r="H25" i="2" s="1"/>
  <c r="I25" i="1"/>
  <c r="I25" i="2" s="1"/>
  <c r="B26" i="1"/>
  <c r="B26" i="2" s="1"/>
  <c r="C26" i="1"/>
  <c r="C26" i="2" s="1"/>
  <c r="D26" i="1"/>
  <c r="D26" i="2" s="1"/>
  <c r="E26" i="1"/>
  <c r="E26" i="2" s="1"/>
  <c r="F26" i="1"/>
  <c r="F26" i="2" s="1"/>
  <c r="G26" i="1"/>
  <c r="H26" i="1"/>
  <c r="H26" i="2" s="1"/>
  <c r="I26" i="1"/>
  <c r="I26" i="2" s="1"/>
  <c r="B27" i="2"/>
  <c r="C27" i="2"/>
  <c r="D27" i="2"/>
  <c r="E27" i="2"/>
  <c r="I27" i="2"/>
  <c r="B28" i="1"/>
  <c r="B28" i="2" s="1"/>
  <c r="C28" i="1"/>
  <c r="C28" i="2" s="1"/>
  <c r="D28" i="1"/>
  <c r="D28" i="2" s="1"/>
  <c r="E28" i="1"/>
  <c r="E28" i="2" s="1"/>
  <c r="F28" i="1"/>
  <c r="F28" i="2" s="1"/>
  <c r="G28" i="1"/>
  <c r="H28" i="1"/>
  <c r="H28" i="2" s="1"/>
  <c r="I28" i="1"/>
  <c r="I28" i="2" s="1"/>
  <c r="B29" i="1"/>
  <c r="B29" i="2" s="1"/>
  <c r="C29" i="1"/>
  <c r="C29" i="2" s="1"/>
  <c r="D29" i="1"/>
  <c r="D29" i="2" s="1"/>
  <c r="E29" i="1"/>
  <c r="E29" i="2" s="1"/>
  <c r="F29" i="1"/>
  <c r="F29" i="2" s="1"/>
  <c r="G29" i="1"/>
  <c r="H29" i="1"/>
  <c r="I29" i="1"/>
  <c r="B30" i="1"/>
  <c r="B30" i="2" s="1"/>
  <c r="C30" i="1"/>
  <c r="C30" i="2" s="1"/>
  <c r="D30" i="1"/>
  <c r="D30" i="2" s="1"/>
  <c r="E30" i="1"/>
  <c r="F30" i="1"/>
  <c r="G30" i="1"/>
  <c r="H30" i="1"/>
  <c r="I30" i="1"/>
  <c r="B31" i="1"/>
  <c r="B31" i="2" s="1"/>
  <c r="C31" i="1"/>
  <c r="C31" i="2" s="1"/>
  <c r="D31" i="1"/>
  <c r="D31" i="2" s="1"/>
  <c r="E31" i="1"/>
  <c r="E31" i="2" s="1"/>
  <c r="F31" i="1"/>
  <c r="F31" i="2" s="1"/>
  <c r="G31" i="1"/>
  <c r="H31" i="1"/>
  <c r="I31" i="1"/>
  <c r="I31" i="2" s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A6" i="2"/>
  <c r="A7" i="2"/>
  <c r="A13" i="2"/>
  <c r="A14" i="2"/>
  <c r="A15" i="2"/>
  <c r="A24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G4" i="2"/>
  <c r="G5" i="2"/>
  <c r="E6" i="2"/>
  <c r="F6" i="2"/>
  <c r="G6" i="2"/>
  <c r="H6" i="2"/>
  <c r="I6" i="2"/>
  <c r="E7" i="2"/>
  <c r="F7" i="2"/>
  <c r="G7" i="2"/>
  <c r="H7" i="2"/>
  <c r="I7" i="2"/>
  <c r="E8" i="2"/>
  <c r="F8" i="2"/>
  <c r="G8" i="2"/>
  <c r="H8" i="2"/>
  <c r="I8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G12" i="2"/>
  <c r="G13" i="2"/>
  <c r="E14" i="2"/>
  <c r="F14" i="2"/>
  <c r="G14" i="2"/>
  <c r="H14" i="2"/>
  <c r="I14" i="2"/>
  <c r="E15" i="2"/>
  <c r="F15" i="2"/>
  <c r="G15" i="2"/>
  <c r="I15" i="2"/>
  <c r="G16" i="2"/>
  <c r="G17" i="2"/>
  <c r="G18" i="2"/>
  <c r="H18" i="2"/>
  <c r="G19" i="2"/>
  <c r="G20" i="2"/>
  <c r="G21" i="2"/>
  <c r="E22" i="2"/>
  <c r="F22" i="2"/>
  <c r="G22" i="2"/>
  <c r="H22" i="2"/>
  <c r="I22" i="2"/>
  <c r="G23" i="2"/>
  <c r="G24" i="2"/>
  <c r="G25" i="2"/>
  <c r="G26" i="2"/>
  <c r="G27" i="2"/>
  <c r="G28" i="2"/>
  <c r="G29" i="2"/>
  <c r="H29" i="2"/>
  <c r="I29" i="2"/>
  <c r="E30" i="2"/>
  <c r="F30" i="2"/>
  <c r="G30" i="2"/>
  <c r="H30" i="2"/>
  <c r="I30" i="2"/>
  <c r="G31" i="2"/>
  <c r="H31" i="2"/>
  <c r="B64" i="2"/>
  <c r="C64" i="2"/>
  <c r="D64" i="2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B67" i="2"/>
  <c r="C67" i="2"/>
  <c r="D67" i="2"/>
  <c r="E67" i="2"/>
  <c r="F67" i="2"/>
  <c r="G67" i="2"/>
  <c r="H67" i="2"/>
  <c r="I67" i="2"/>
  <c r="B68" i="2"/>
  <c r="C68" i="2"/>
  <c r="D68" i="2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B71" i="2"/>
  <c r="C71" i="2"/>
  <c r="D71" i="2"/>
  <c r="E71" i="2"/>
  <c r="F71" i="2"/>
  <c r="G71" i="2"/>
  <c r="H71" i="2"/>
  <c r="I71" i="2"/>
  <c r="B72" i="2"/>
  <c r="C72" i="2"/>
  <c r="D72" i="2"/>
  <c r="E72" i="2"/>
  <c r="F72" i="2"/>
  <c r="G72" i="2"/>
  <c r="H72" i="2"/>
  <c r="I72" i="2"/>
  <c r="B73" i="2"/>
  <c r="C73" i="2"/>
  <c r="D73" i="2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B75" i="2"/>
  <c r="C75" i="2"/>
  <c r="D75" i="2"/>
  <c r="E75" i="2"/>
  <c r="F75" i="2"/>
  <c r="G75" i="2"/>
  <c r="H75" i="2"/>
  <c r="I75" i="2"/>
  <c r="B76" i="2"/>
  <c r="C76" i="2"/>
  <c r="D76" i="2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B79" i="2"/>
  <c r="C79" i="2"/>
  <c r="D79" i="2"/>
  <c r="E79" i="2"/>
  <c r="F79" i="2"/>
  <c r="G79" i="2"/>
  <c r="H79" i="2"/>
  <c r="I79" i="2"/>
  <c r="B80" i="2"/>
  <c r="C80" i="2"/>
  <c r="D80" i="2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B83" i="2"/>
  <c r="C83" i="2"/>
  <c r="D83" i="2"/>
  <c r="E83" i="2"/>
  <c r="F83" i="2"/>
  <c r="G83" i="2"/>
  <c r="H83" i="2"/>
  <c r="I83" i="2"/>
  <c r="B84" i="2"/>
  <c r="C84" i="2"/>
  <c r="D84" i="2"/>
  <c r="E84" i="2"/>
  <c r="F84" i="2"/>
  <c r="G84" i="2"/>
  <c r="H84" i="2"/>
  <c r="I84" i="2"/>
  <c r="B85" i="2"/>
  <c r="C85" i="2"/>
  <c r="D85" i="2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B87" i="2"/>
  <c r="C87" i="2"/>
  <c r="D87" i="2"/>
  <c r="E87" i="2"/>
  <c r="F87" i="2"/>
  <c r="G87" i="2"/>
  <c r="H87" i="2"/>
  <c r="I87" i="2"/>
  <c r="B88" i="2"/>
  <c r="C88" i="2"/>
  <c r="D88" i="2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B91" i="2"/>
  <c r="C91" i="2"/>
  <c r="D91" i="2"/>
  <c r="E91" i="2"/>
  <c r="F91" i="2"/>
  <c r="G91" i="2"/>
  <c r="H91" i="2"/>
  <c r="I91" i="2"/>
  <c r="B92" i="2"/>
  <c r="C92" i="2"/>
  <c r="D92" i="2"/>
  <c r="E92" i="2"/>
  <c r="F92" i="2"/>
  <c r="G92" i="2"/>
  <c r="H92" i="2"/>
  <c r="I92" i="2"/>
  <c r="B93" i="2"/>
  <c r="C93" i="2"/>
  <c r="D93" i="2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B95" i="2"/>
  <c r="C95" i="2"/>
  <c r="D95" i="2"/>
  <c r="E95" i="2"/>
  <c r="F95" i="2"/>
  <c r="G95" i="2"/>
  <c r="H95" i="2"/>
  <c r="I95" i="2"/>
  <c r="B96" i="2"/>
  <c r="C96" i="2"/>
  <c r="D96" i="2"/>
  <c r="E96" i="2"/>
  <c r="F96" i="2"/>
  <c r="G96" i="2"/>
  <c r="H96" i="2"/>
  <c r="I96" i="2"/>
  <c r="B97" i="2"/>
  <c r="C97" i="2"/>
  <c r="D97" i="2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B99" i="2"/>
  <c r="C99" i="2"/>
  <c r="D99" i="2"/>
  <c r="E99" i="2"/>
  <c r="F99" i="2"/>
  <c r="G99" i="2"/>
  <c r="H99" i="2"/>
  <c r="I99" i="2"/>
  <c r="B100" i="2"/>
  <c r="C100" i="2"/>
  <c r="D100" i="2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B103" i="2"/>
  <c r="C103" i="2"/>
  <c r="D103" i="2"/>
  <c r="E103" i="2"/>
  <c r="F103" i="2"/>
  <c r="G103" i="2"/>
  <c r="H103" i="2"/>
  <c r="I103" i="2"/>
  <c r="B104" i="2"/>
  <c r="C104" i="2"/>
  <c r="D104" i="2"/>
  <c r="E104" i="2"/>
  <c r="F104" i="2"/>
  <c r="G104" i="2"/>
  <c r="H104" i="2"/>
  <c r="I104" i="2"/>
  <c r="B105" i="2"/>
  <c r="C105" i="2"/>
  <c r="D105" i="2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B107" i="2"/>
  <c r="C107" i="2"/>
  <c r="D107" i="2"/>
  <c r="E107" i="2"/>
  <c r="F107" i="2"/>
  <c r="G107" i="2"/>
  <c r="H107" i="2"/>
  <c r="I107" i="2"/>
  <c r="B108" i="2"/>
  <c r="C108" i="2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B111" i="2"/>
  <c r="C111" i="2"/>
  <c r="D111" i="2"/>
  <c r="E111" i="2"/>
  <c r="F111" i="2"/>
  <c r="G111" i="2"/>
  <c r="H111" i="2"/>
  <c r="I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B115" i="2"/>
  <c r="C115" i="2"/>
  <c r="D115" i="2"/>
  <c r="E115" i="2"/>
  <c r="F115" i="2"/>
  <c r="G115" i="2"/>
  <c r="H115" i="2"/>
  <c r="I115" i="2"/>
  <c r="B116" i="2"/>
  <c r="C116" i="2"/>
  <c r="D116" i="2"/>
  <c r="E116" i="2"/>
  <c r="F116" i="2"/>
  <c r="G116" i="2"/>
  <c r="H116" i="2"/>
  <c r="I116" i="2"/>
  <c r="B117" i="2"/>
  <c r="C117" i="2"/>
  <c r="D117" i="2"/>
  <c r="E117" i="2"/>
  <c r="F117" i="2"/>
  <c r="G117" i="2"/>
  <c r="H117" i="2"/>
  <c r="I117" i="2"/>
  <c r="B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B123" i="2"/>
  <c r="C123" i="2"/>
  <c r="D123" i="2"/>
  <c r="E123" i="2"/>
  <c r="F123" i="2"/>
  <c r="G123" i="2"/>
  <c r="H123" i="2"/>
  <c r="I123" i="2"/>
  <c r="B124" i="2"/>
  <c r="C124" i="2"/>
  <c r="D124" i="2"/>
  <c r="E124" i="2"/>
  <c r="F124" i="2"/>
  <c r="G124" i="2"/>
  <c r="H124" i="2"/>
  <c r="I124" i="2"/>
  <c r="B125" i="2"/>
  <c r="C125" i="2"/>
  <c r="D125" i="2"/>
  <c r="E125" i="2"/>
  <c r="F125" i="2"/>
  <c r="G125" i="2"/>
  <c r="H125" i="2"/>
  <c r="I125" i="2"/>
  <c r="B126" i="2"/>
  <c r="C126" i="2"/>
  <c r="D126" i="2"/>
  <c r="E126" i="2"/>
  <c r="F126" i="2"/>
  <c r="G126" i="2"/>
  <c r="H126" i="2"/>
  <c r="I126" i="2"/>
  <c r="B127" i="2"/>
  <c r="C127" i="2"/>
  <c r="D127" i="2"/>
  <c r="E127" i="2"/>
  <c r="F127" i="2"/>
  <c r="G127" i="2"/>
  <c r="H127" i="2"/>
  <c r="I127" i="2"/>
  <c r="B128" i="2"/>
  <c r="C128" i="2"/>
  <c r="D128" i="2"/>
  <c r="E128" i="2"/>
  <c r="F128" i="2"/>
  <c r="G128" i="2"/>
  <c r="H128" i="2"/>
  <c r="I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B131" i="2"/>
  <c r="C131" i="2"/>
  <c r="D131" i="2"/>
  <c r="E131" i="2"/>
  <c r="F131" i="2"/>
  <c r="G131" i="2"/>
  <c r="H131" i="2"/>
  <c r="I131" i="2"/>
  <c r="B132" i="2"/>
  <c r="C132" i="2"/>
  <c r="D132" i="2"/>
  <c r="E132" i="2"/>
  <c r="F132" i="2"/>
  <c r="G132" i="2"/>
  <c r="H132" i="2"/>
  <c r="I132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35" i="2"/>
  <c r="C135" i="2"/>
  <c r="D135" i="2"/>
  <c r="E135" i="2"/>
  <c r="F135" i="2"/>
  <c r="G135" i="2"/>
  <c r="H135" i="2"/>
  <c r="I135" i="2"/>
  <c r="B136" i="2"/>
  <c r="C136" i="2"/>
  <c r="D136" i="2"/>
  <c r="E136" i="2"/>
  <c r="F136" i="2"/>
  <c r="G136" i="2"/>
  <c r="H136" i="2"/>
  <c r="I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B139" i="2"/>
  <c r="C139" i="2"/>
  <c r="D139" i="2"/>
  <c r="E139" i="2"/>
  <c r="F139" i="2"/>
  <c r="G139" i="2"/>
  <c r="H139" i="2"/>
  <c r="I139" i="2"/>
  <c r="B140" i="2"/>
  <c r="C140" i="2"/>
  <c r="D140" i="2"/>
  <c r="E140" i="2"/>
  <c r="F140" i="2"/>
  <c r="G140" i="2"/>
  <c r="H140" i="2"/>
  <c r="I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B143" i="2"/>
  <c r="C143" i="2"/>
  <c r="D143" i="2"/>
  <c r="E143" i="2"/>
  <c r="F143" i="2"/>
  <c r="G143" i="2"/>
  <c r="H143" i="2"/>
  <c r="I143" i="2"/>
  <c r="B144" i="2"/>
  <c r="C144" i="2"/>
  <c r="D144" i="2"/>
  <c r="E144" i="2"/>
  <c r="F144" i="2"/>
  <c r="G144" i="2"/>
  <c r="H144" i="2"/>
  <c r="I144" i="2"/>
  <c r="B145" i="2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B147" i="2"/>
  <c r="C147" i="2"/>
  <c r="D147" i="2"/>
  <c r="E147" i="2"/>
  <c r="F147" i="2"/>
  <c r="G147" i="2"/>
  <c r="H147" i="2"/>
  <c r="I147" i="2"/>
  <c r="B148" i="2"/>
  <c r="C148" i="2"/>
  <c r="D148" i="2"/>
  <c r="E148" i="2"/>
  <c r="F148" i="2"/>
  <c r="G148" i="2"/>
  <c r="H148" i="2"/>
  <c r="I148" i="2"/>
  <c r="B149" i="2"/>
  <c r="C149" i="2"/>
  <c r="D149" i="2"/>
  <c r="E149" i="2"/>
  <c r="F149" i="2"/>
  <c r="G149" i="2"/>
  <c r="H149" i="2"/>
  <c r="I149" i="2"/>
  <c r="B150" i="2"/>
  <c r="C150" i="2"/>
  <c r="D150" i="2"/>
  <c r="E150" i="2"/>
  <c r="F150" i="2"/>
  <c r="G150" i="2"/>
  <c r="H150" i="2"/>
  <c r="I150" i="2"/>
  <c r="B151" i="2"/>
  <c r="C151" i="2"/>
  <c r="D151" i="2"/>
  <c r="E151" i="2"/>
  <c r="F151" i="2"/>
  <c r="G151" i="2"/>
  <c r="H151" i="2"/>
  <c r="I151" i="2"/>
  <c r="B152" i="2"/>
  <c r="C152" i="2"/>
  <c r="D152" i="2"/>
  <c r="E152" i="2"/>
  <c r="F152" i="2"/>
  <c r="G152" i="2"/>
  <c r="H152" i="2"/>
  <c r="I152" i="2"/>
  <c r="B153" i="2"/>
  <c r="C153" i="2"/>
  <c r="D153" i="2"/>
  <c r="E153" i="2"/>
  <c r="F153" i="2"/>
  <c r="G153" i="2"/>
  <c r="H153" i="2"/>
  <c r="I153" i="2"/>
  <c r="B154" i="2"/>
  <c r="C154" i="2"/>
  <c r="D154" i="2"/>
  <c r="E154" i="2"/>
  <c r="F154" i="2"/>
  <c r="G154" i="2"/>
  <c r="H154" i="2"/>
  <c r="I154" i="2"/>
  <c r="B155" i="2"/>
  <c r="C155" i="2"/>
  <c r="D155" i="2"/>
  <c r="E155" i="2"/>
  <c r="F155" i="2"/>
  <c r="G155" i="2"/>
  <c r="H155" i="2"/>
  <c r="I155" i="2"/>
  <c r="B156" i="2"/>
  <c r="C156" i="2"/>
  <c r="D156" i="2"/>
  <c r="E156" i="2"/>
  <c r="F156" i="2"/>
  <c r="G156" i="2"/>
  <c r="H156" i="2"/>
  <c r="I156" i="2"/>
  <c r="B157" i="2"/>
  <c r="C157" i="2"/>
  <c r="D157" i="2"/>
  <c r="E157" i="2"/>
  <c r="F157" i="2"/>
  <c r="G157" i="2"/>
  <c r="H157" i="2"/>
  <c r="I157" i="2"/>
  <c r="B158" i="2"/>
  <c r="C158" i="2"/>
  <c r="D158" i="2"/>
  <c r="E158" i="2"/>
  <c r="F158" i="2"/>
  <c r="G158" i="2"/>
  <c r="H158" i="2"/>
  <c r="I158" i="2"/>
  <c r="B159" i="2"/>
  <c r="C159" i="2"/>
  <c r="D159" i="2"/>
  <c r="E159" i="2"/>
  <c r="F159" i="2"/>
  <c r="G159" i="2"/>
  <c r="H159" i="2"/>
  <c r="I159" i="2"/>
  <c r="B160" i="2"/>
  <c r="C160" i="2"/>
  <c r="D160" i="2"/>
  <c r="E160" i="2"/>
  <c r="F160" i="2"/>
  <c r="G160" i="2"/>
  <c r="H160" i="2"/>
  <c r="I160" i="2"/>
  <c r="B161" i="2"/>
  <c r="C161" i="2"/>
  <c r="D161" i="2"/>
  <c r="E161" i="2"/>
  <c r="F161" i="2"/>
  <c r="G161" i="2"/>
  <c r="H161" i="2"/>
  <c r="I161" i="2"/>
  <c r="B162" i="2"/>
  <c r="C162" i="2"/>
  <c r="D162" i="2"/>
  <c r="E162" i="2"/>
  <c r="F162" i="2"/>
  <c r="G162" i="2"/>
  <c r="H162" i="2"/>
  <c r="I162" i="2"/>
  <c r="B163" i="2"/>
  <c r="C163" i="2"/>
  <c r="D163" i="2"/>
  <c r="E163" i="2"/>
  <c r="F163" i="2"/>
  <c r="G163" i="2"/>
  <c r="H163" i="2"/>
  <c r="I163" i="2"/>
  <c r="B164" i="2"/>
  <c r="C164" i="2"/>
  <c r="D164" i="2"/>
  <c r="E164" i="2"/>
  <c r="F164" i="2"/>
  <c r="G164" i="2"/>
  <c r="H164" i="2"/>
  <c r="I164" i="2"/>
  <c r="B165" i="2"/>
  <c r="C165" i="2"/>
  <c r="D165" i="2"/>
  <c r="E165" i="2"/>
  <c r="F165" i="2"/>
  <c r="G165" i="2"/>
  <c r="H165" i="2"/>
  <c r="I165" i="2"/>
  <c r="B166" i="2"/>
  <c r="C166" i="2"/>
  <c r="D166" i="2"/>
  <c r="E166" i="2"/>
  <c r="F166" i="2"/>
  <c r="G166" i="2"/>
  <c r="H166" i="2"/>
  <c r="I166" i="2"/>
  <c r="B167" i="2"/>
  <c r="C167" i="2"/>
  <c r="D167" i="2"/>
  <c r="E167" i="2"/>
  <c r="F167" i="2"/>
  <c r="G167" i="2"/>
  <c r="H167" i="2"/>
  <c r="I167" i="2"/>
  <c r="B168" i="2"/>
  <c r="C168" i="2"/>
  <c r="D168" i="2"/>
  <c r="E168" i="2"/>
  <c r="F168" i="2"/>
  <c r="G168" i="2"/>
  <c r="H168" i="2"/>
  <c r="I168" i="2"/>
  <c r="B169" i="2"/>
  <c r="C169" i="2"/>
  <c r="D169" i="2"/>
  <c r="E169" i="2"/>
  <c r="F169" i="2"/>
  <c r="G169" i="2"/>
  <c r="H169" i="2"/>
  <c r="I169" i="2"/>
  <c r="B170" i="2"/>
  <c r="C170" i="2"/>
  <c r="D170" i="2"/>
  <c r="E170" i="2"/>
  <c r="F170" i="2"/>
  <c r="G170" i="2"/>
  <c r="H170" i="2"/>
  <c r="I170" i="2"/>
  <c r="B171" i="2"/>
  <c r="C171" i="2"/>
  <c r="D171" i="2"/>
  <c r="E171" i="2"/>
  <c r="F171" i="2"/>
  <c r="G171" i="2"/>
  <c r="H171" i="2"/>
  <c r="I171" i="2"/>
  <c r="B172" i="2"/>
  <c r="C172" i="2"/>
  <c r="D172" i="2"/>
  <c r="E172" i="2"/>
  <c r="F172" i="2"/>
  <c r="G172" i="2"/>
  <c r="H172" i="2"/>
  <c r="I172" i="2"/>
  <c r="B173" i="2"/>
  <c r="C173" i="2"/>
  <c r="D173" i="2"/>
  <c r="E173" i="2"/>
  <c r="F173" i="2"/>
  <c r="G173" i="2"/>
  <c r="H173" i="2"/>
  <c r="I173" i="2"/>
  <c r="B174" i="2"/>
  <c r="C174" i="2"/>
  <c r="D174" i="2"/>
  <c r="E174" i="2"/>
  <c r="F174" i="2"/>
  <c r="G174" i="2"/>
  <c r="H174" i="2"/>
  <c r="I174" i="2"/>
  <c r="B175" i="2"/>
  <c r="C175" i="2"/>
  <c r="D175" i="2"/>
  <c r="E175" i="2"/>
  <c r="F175" i="2"/>
  <c r="G175" i="2"/>
  <c r="H175" i="2"/>
  <c r="I175" i="2"/>
  <c r="B176" i="2"/>
  <c r="C176" i="2"/>
  <c r="D176" i="2"/>
  <c r="E176" i="2"/>
  <c r="F176" i="2"/>
  <c r="G176" i="2"/>
  <c r="H176" i="2"/>
  <c r="I176" i="2"/>
  <c r="B177" i="2"/>
  <c r="C177" i="2"/>
  <c r="D177" i="2"/>
  <c r="E177" i="2"/>
  <c r="F177" i="2"/>
  <c r="G177" i="2"/>
  <c r="H177" i="2"/>
  <c r="I177" i="2"/>
  <c r="B178" i="2"/>
  <c r="C178" i="2"/>
  <c r="D178" i="2"/>
  <c r="E178" i="2"/>
  <c r="F178" i="2"/>
  <c r="G178" i="2"/>
  <c r="H178" i="2"/>
  <c r="I178" i="2"/>
  <c r="B179" i="2"/>
  <c r="C179" i="2"/>
  <c r="D179" i="2"/>
  <c r="E179" i="2"/>
  <c r="F179" i="2"/>
  <c r="G179" i="2"/>
  <c r="H179" i="2"/>
  <c r="I179" i="2"/>
  <c r="B180" i="2"/>
  <c r="C180" i="2"/>
  <c r="D180" i="2"/>
  <c r="E180" i="2"/>
  <c r="F180" i="2"/>
  <c r="G180" i="2"/>
  <c r="H180" i="2"/>
  <c r="I180" i="2"/>
  <c r="B181" i="2"/>
  <c r="C181" i="2"/>
  <c r="D181" i="2"/>
  <c r="E181" i="2"/>
  <c r="F181" i="2"/>
  <c r="G181" i="2"/>
  <c r="H181" i="2"/>
  <c r="I181" i="2"/>
  <c r="B182" i="2"/>
  <c r="C182" i="2"/>
  <c r="D182" i="2"/>
  <c r="E182" i="2"/>
  <c r="F182" i="2"/>
  <c r="G182" i="2"/>
  <c r="H182" i="2"/>
  <c r="I182" i="2"/>
  <c r="B183" i="2"/>
  <c r="C183" i="2"/>
  <c r="D183" i="2"/>
  <c r="E183" i="2"/>
  <c r="F183" i="2"/>
  <c r="G183" i="2"/>
  <c r="H183" i="2"/>
  <c r="I183" i="2"/>
  <c r="B184" i="2"/>
  <c r="C184" i="2"/>
  <c r="D184" i="2"/>
  <c r="E184" i="2"/>
  <c r="F184" i="2"/>
  <c r="G184" i="2"/>
  <c r="H184" i="2"/>
  <c r="I184" i="2"/>
  <c r="B185" i="2"/>
  <c r="C185" i="2"/>
  <c r="D185" i="2"/>
  <c r="E185" i="2"/>
  <c r="F185" i="2"/>
  <c r="G185" i="2"/>
  <c r="H185" i="2"/>
  <c r="I185" i="2"/>
  <c r="B186" i="2"/>
  <c r="C186" i="2"/>
  <c r="D186" i="2"/>
  <c r="E186" i="2"/>
  <c r="F186" i="2"/>
  <c r="G186" i="2"/>
  <c r="H186" i="2"/>
  <c r="I186" i="2"/>
  <c r="B187" i="2"/>
  <c r="C187" i="2"/>
  <c r="D187" i="2"/>
  <c r="E187" i="2"/>
  <c r="F187" i="2"/>
  <c r="G187" i="2"/>
  <c r="H187" i="2"/>
  <c r="I187" i="2"/>
  <c r="B188" i="2"/>
  <c r="C188" i="2"/>
  <c r="D188" i="2"/>
  <c r="E188" i="2"/>
  <c r="F188" i="2"/>
  <c r="G188" i="2"/>
  <c r="H188" i="2"/>
  <c r="I188" i="2"/>
  <c r="B189" i="2"/>
  <c r="C189" i="2"/>
  <c r="D189" i="2"/>
  <c r="E189" i="2"/>
  <c r="F189" i="2"/>
  <c r="G189" i="2"/>
  <c r="H189" i="2"/>
  <c r="I189" i="2"/>
  <c r="B190" i="2"/>
  <c r="C190" i="2"/>
  <c r="D190" i="2"/>
  <c r="E190" i="2"/>
  <c r="F190" i="2"/>
  <c r="G190" i="2"/>
  <c r="H190" i="2"/>
  <c r="I190" i="2"/>
  <c r="B191" i="2"/>
  <c r="C191" i="2"/>
  <c r="D191" i="2"/>
  <c r="E191" i="2"/>
  <c r="F191" i="2"/>
  <c r="G191" i="2"/>
  <c r="H191" i="2"/>
  <c r="I191" i="2"/>
  <c r="B192" i="2"/>
  <c r="C192" i="2"/>
  <c r="D192" i="2"/>
  <c r="E192" i="2"/>
  <c r="F192" i="2"/>
  <c r="G192" i="2"/>
  <c r="H192" i="2"/>
  <c r="I192" i="2"/>
  <c r="B193" i="2"/>
  <c r="C193" i="2"/>
  <c r="D193" i="2"/>
  <c r="E193" i="2"/>
  <c r="F193" i="2"/>
  <c r="G193" i="2"/>
  <c r="H193" i="2"/>
  <c r="I193" i="2"/>
  <c r="B194" i="2"/>
  <c r="C194" i="2"/>
  <c r="D194" i="2"/>
  <c r="E194" i="2"/>
  <c r="F194" i="2"/>
  <c r="G194" i="2"/>
  <c r="H194" i="2"/>
  <c r="I194" i="2"/>
  <c r="B195" i="2"/>
  <c r="C195" i="2"/>
  <c r="D195" i="2"/>
  <c r="E195" i="2"/>
  <c r="F195" i="2"/>
  <c r="G195" i="2"/>
  <c r="H195" i="2"/>
  <c r="I195" i="2"/>
  <c r="B196" i="2"/>
  <c r="C196" i="2"/>
  <c r="D196" i="2"/>
  <c r="E196" i="2"/>
  <c r="F196" i="2"/>
  <c r="G196" i="2"/>
  <c r="H196" i="2"/>
  <c r="I196" i="2"/>
  <c r="B197" i="2"/>
  <c r="C197" i="2"/>
  <c r="D197" i="2"/>
  <c r="E197" i="2"/>
  <c r="F197" i="2"/>
  <c r="G197" i="2"/>
  <c r="H197" i="2"/>
  <c r="I197" i="2"/>
  <c r="B198" i="2"/>
  <c r="C198" i="2"/>
  <c r="D198" i="2"/>
  <c r="E198" i="2"/>
  <c r="F198" i="2"/>
  <c r="G198" i="2"/>
  <c r="H198" i="2"/>
  <c r="I198" i="2"/>
  <c r="B199" i="2"/>
  <c r="C199" i="2"/>
  <c r="D199" i="2"/>
  <c r="E199" i="2"/>
  <c r="F199" i="2"/>
  <c r="G199" i="2"/>
  <c r="H199" i="2"/>
  <c r="I199" i="2"/>
  <c r="B200" i="2"/>
  <c r="C200" i="2"/>
  <c r="D200" i="2"/>
  <c r="E200" i="2"/>
  <c r="F200" i="2"/>
  <c r="G200" i="2"/>
  <c r="H200" i="2"/>
  <c r="I200" i="2"/>
  <c r="B201" i="2"/>
  <c r="C201" i="2"/>
  <c r="D201" i="2"/>
  <c r="E201" i="2"/>
  <c r="F201" i="2"/>
  <c r="G201" i="2"/>
  <c r="H201" i="2"/>
  <c r="I201" i="2"/>
  <c r="B202" i="2"/>
  <c r="C202" i="2"/>
  <c r="D202" i="2"/>
  <c r="E202" i="2"/>
  <c r="F202" i="2"/>
  <c r="G202" i="2"/>
  <c r="H202" i="2"/>
  <c r="I202" i="2"/>
  <c r="B203" i="2"/>
  <c r="C203" i="2"/>
  <c r="D203" i="2"/>
  <c r="E203" i="2"/>
  <c r="F203" i="2"/>
  <c r="G203" i="2"/>
  <c r="H203" i="2"/>
  <c r="I203" i="2"/>
  <c r="B204" i="2"/>
  <c r="C204" i="2"/>
  <c r="D204" i="2"/>
  <c r="E204" i="2"/>
  <c r="F204" i="2"/>
  <c r="G204" i="2"/>
  <c r="H204" i="2"/>
  <c r="I204" i="2"/>
  <c r="B205" i="2"/>
  <c r="C205" i="2"/>
  <c r="D205" i="2"/>
  <c r="E205" i="2"/>
  <c r="F205" i="2"/>
  <c r="G205" i="2"/>
  <c r="H205" i="2"/>
  <c r="I205" i="2"/>
  <c r="B206" i="2"/>
  <c r="C206" i="2"/>
  <c r="D206" i="2"/>
  <c r="E206" i="2"/>
  <c r="F206" i="2"/>
  <c r="G206" i="2"/>
  <c r="H206" i="2"/>
  <c r="I206" i="2"/>
  <c r="B207" i="2"/>
  <c r="C207" i="2"/>
  <c r="D207" i="2"/>
  <c r="E207" i="2"/>
  <c r="F207" i="2"/>
  <c r="G207" i="2"/>
  <c r="H207" i="2"/>
  <c r="I207" i="2"/>
  <c r="B208" i="2"/>
  <c r="C208" i="2"/>
  <c r="D208" i="2"/>
  <c r="E208" i="2"/>
  <c r="F208" i="2"/>
  <c r="G208" i="2"/>
  <c r="H208" i="2"/>
  <c r="I208" i="2"/>
  <c r="B209" i="2"/>
  <c r="C209" i="2"/>
  <c r="D209" i="2"/>
  <c r="E209" i="2"/>
  <c r="F209" i="2"/>
  <c r="G209" i="2"/>
  <c r="H209" i="2"/>
  <c r="I209" i="2"/>
  <c r="B210" i="2"/>
  <c r="C210" i="2"/>
  <c r="D210" i="2"/>
  <c r="E210" i="2"/>
  <c r="F210" i="2"/>
  <c r="G210" i="2"/>
  <c r="H210" i="2"/>
  <c r="I210" i="2"/>
  <c r="B211" i="2"/>
  <c r="C211" i="2"/>
  <c r="D211" i="2"/>
  <c r="E211" i="2"/>
  <c r="F211" i="2"/>
  <c r="G211" i="2"/>
  <c r="H211" i="2"/>
  <c r="I211" i="2"/>
  <c r="B212" i="2"/>
  <c r="C212" i="2"/>
  <c r="D212" i="2"/>
  <c r="E212" i="2"/>
  <c r="F212" i="2"/>
  <c r="G212" i="2"/>
  <c r="H212" i="2"/>
  <c r="I212" i="2"/>
  <c r="B213" i="2"/>
  <c r="C213" i="2"/>
  <c r="D213" i="2"/>
  <c r="E213" i="2"/>
  <c r="F213" i="2"/>
  <c r="G213" i="2"/>
  <c r="H213" i="2"/>
  <c r="I213" i="2"/>
  <c r="B214" i="2"/>
  <c r="C214" i="2"/>
  <c r="D214" i="2"/>
  <c r="E214" i="2"/>
  <c r="F214" i="2"/>
  <c r="G214" i="2"/>
  <c r="H214" i="2"/>
  <c r="I214" i="2"/>
  <c r="A62" i="5" l="1"/>
  <c r="A46" i="5"/>
  <c r="A38" i="5"/>
  <c r="A29" i="2"/>
  <c r="A10" i="5"/>
  <c r="A9" i="5"/>
  <c r="A12" i="2"/>
  <c r="A22" i="5"/>
  <c r="A30" i="5"/>
  <c r="A20" i="2"/>
  <c r="P27" i="2"/>
  <c r="A55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A67" i="9"/>
  <c r="B67" i="9"/>
  <c r="C67" i="9"/>
  <c r="D67" i="9"/>
  <c r="E67" i="9"/>
  <c r="F67" i="9"/>
  <c r="G67" i="9"/>
  <c r="H67" i="9"/>
  <c r="I67" i="9"/>
  <c r="A68" i="9"/>
  <c r="B68" i="9"/>
  <c r="C68" i="9"/>
  <c r="D68" i="9"/>
  <c r="E68" i="9"/>
  <c r="F68" i="9"/>
  <c r="G68" i="9"/>
  <c r="H68" i="9"/>
  <c r="I68" i="9"/>
  <c r="A69" i="9"/>
  <c r="B69" i="9"/>
  <c r="C69" i="9"/>
  <c r="D69" i="9"/>
  <c r="E69" i="9"/>
  <c r="F69" i="9"/>
  <c r="G69" i="9"/>
  <c r="H69" i="9"/>
  <c r="I69" i="9"/>
  <c r="A70" i="9"/>
  <c r="B70" i="9"/>
  <c r="C70" i="9"/>
  <c r="D70" i="9"/>
  <c r="E70" i="9"/>
  <c r="F70" i="9"/>
  <c r="G70" i="9"/>
  <c r="H70" i="9"/>
  <c r="I70" i="9"/>
  <c r="A71" i="9"/>
  <c r="B71" i="9"/>
  <c r="C71" i="9"/>
  <c r="D71" i="9"/>
  <c r="E71" i="9"/>
  <c r="F71" i="9"/>
  <c r="G71" i="9"/>
  <c r="H71" i="9"/>
  <c r="I71" i="9"/>
  <c r="A72" i="9"/>
  <c r="B72" i="9"/>
  <c r="C72" i="9"/>
  <c r="D72" i="9"/>
  <c r="E72" i="9"/>
  <c r="F72" i="9"/>
  <c r="G72" i="9"/>
  <c r="H72" i="9"/>
  <c r="I72" i="9"/>
  <c r="A73" i="9"/>
  <c r="B73" i="9"/>
  <c r="C73" i="9"/>
  <c r="D73" i="9"/>
  <c r="E73" i="9"/>
  <c r="F73" i="9"/>
  <c r="G73" i="9"/>
  <c r="H73" i="9"/>
  <c r="I73" i="9"/>
  <c r="A74" i="9"/>
  <c r="B74" i="9"/>
  <c r="C74" i="9"/>
  <c r="D74" i="9"/>
  <c r="E74" i="9"/>
  <c r="F74" i="9"/>
  <c r="G74" i="9"/>
  <c r="H74" i="9"/>
  <c r="I74" i="9"/>
  <c r="A75" i="9"/>
  <c r="B75" i="9"/>
  <c r="C75" i="9"/>
  <c r="D75" i="9"/>
  <c r="E75" i="9"/>
  <c r="F75" i="9"/>
  <c r="G75" i="9"/>
  <c r="H75" i="9"/>
  <c r="I75" i="9"/>
  <c r="A76" i="9"/>
  <c r="B76" i="9"/>
  <c r="C76" i="9"/>
  <c r="D76" i="9"/>
  <c r="E76" i="9"/>
  <c r="F76" i="9"/>
  <c r="G76" i="9"/>
  <c r="H76" i="9"/>
  <c r="I76" i="9"/>
  <c r="A77" i="9"/>
  <c r="B77" i="9"/>
  <c r="C77" i="9"/>
  <c r="D77" i="9"/>
  <c r="E77" i="9"/>
  <c r="F77" i="9"/>
  <c r="G77" i="9"/>
  <c r="H77" i="9"/>
  <c r="I77" i="9"/>
  <c r="A78" i="9"/>
  <c r="B78" i="9"/>
  <c r="C78" i="9"/>
  <c r="D78" i="9"/>
  <c r="E78" i="9"/>
  <c r="F78" i="9"/>
  <c r="G78" i="9"/>
  <c r="H78" i="9"/>
  <c r="I78" i="9"/>
  <c r="A79" i="9"/>
  <c r="B79" i="9"/>
  <c r="C79" i="9"/>
  <c r="D79" i="9"/>
  <c r="E79" i="9"/>
  <c r="F79" i="9"/>
  <c r="G79" i="9"/>
  <c r="H79" i="9"/>
  <c r="I79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A58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E48" i="7"/>
  <c r="F48" i="7"/>
  <c r="G48" i="7"/>
  <c r="H48" i="7"/>
  <c r="I48" i="7"/>
  <c r="E49" i="7"/>
  <c r="F49" i="7"/>
  <c r="G49" i="7"/>
  <c r="H49" i="7"/>
  <c r="I49" i="7"/>
  <c r="E50" i="7"/>
  <c r="F50" i="7"/>
  <c r="G50" i="7"/>
  <c r="H50" i="7"/>
  <c r="I50" i="7"/>
  <c r="E51" i="7"/>
  <c r="F51" i="7"/>
  <c r="G51" i="7"/>
  <c r="H51" i="7"/>
  <c r="I51" i="7"/>
  <c r="E52" i="7"/>
  <c r="F52" i="7"/>
  <c r="G52" i="7"/>
  <c r="H52" i="7"/>
  <c r="I52" i="7"/>
  <c r="E53" i="7"/>
  <c r="F53" i="7"/>
  <c r="G53" i="7"/>
  <c r="H53" i="7"/>
  <c r="I53" i="7"/>
  <c r="E54" i="7"/>
  <c r="F54" i="7"/>
  <c r="G54" i="7"/>
  <c r="H54" i="7"/>
  <c r="I54" i="7"/>
  <c r="E55" i="7"/>
  <c r="F55" i="7"/>
  <c r="G55" i="7"/>
  <c r="H55" i="7"/>
  <c r="I55" i="7"/>
  <c r="E56" i="7"/>
  <c r="F56" i="7"/>
  <c r="G56" i="7"/>
  <c r="H56" i="7"/>
  <c r="I56" i="7"/>
  <c r="E57" i="7"/>
  <c r="F57" i="7"/>
  <c r="G57" i="7"/>
  <c r="H57" i="7"/>
  <c r="I57" i="7"/>
  <c r="E58" i="7"/>
  <c r="F58" i="7"/>
  <c r="G58" i="7"/>
  <c r="H58" i="7"/>
  <c r="I58" i="7"/>
  <c r="E59" i="7"/>
  <c r="F59" i="7"/>
  <c r="G59" i="7"/>
  <c r="H59" i="7"/>
  <c r="I59" i="7"/>
  <c r="E60" i="7"/>
  <c r="F60" i="7"/>
  <c r="G60" i="7"/>
  <c r="H60" i="7"/>
  <c r="I60" i="7"/>
  <c r="E61" i="7"/>
  <c r="F61" i="7"/>
  <c r="G61" i="7"/>
  <c r="H61" i="7"/>
  <c r="I61" i="7"/>
  <c r="E62" i="7"/>
  <c r="F62" i="7"/>
  <c r="G62" i="7"/>
  <c r="H62" i="7"/>
  <c r="I62" i="7"/>
  <c r="E63" i="7"/>
  <c r="F63" i="7"/>
  <c r="G63" i="7"/>
  <c r="H63" i="7"/>
  <c r="I63" i="7"/>
  <c r="E64" i="7"/>
  <c r="F64" i="7"/>
  <c r="G64" i="7"/>
  <c r="H64" i="7"/>
  <c r="I64" i="7"/>
  <c r="E65" i="7"/>
  <c r="F65" i="7"/>
  <c r="G65" i="7"/>
  <c r="H65" i="7"/>
  <c r="I65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6" i="7"/>
  <c r="A7" i="7"/>
  <c r="A13" i="7"/>
  <c r="A14" i="7"/>
  <c r="A15" i="9"/>
  <c r="A17" i="9"/>
  <c r="A23" i="9"/>
  <c r="A24" i="9"/>
  <c r="A25" i="9"/>
  <c r="A26" i="9"/>
  <c r="A27" i="9"/>
  <c r="A31" i="7"/>
  <c r="A32" i="9"/>
  <c r="A33" i="9"/>
  <c r="A39" i="9"/>
  <c r="A41" i="9"/>
  <c r="A42" i="9"/>
  <c r="A47" i="7"/>
  <c r="A48" i="9"/>
  <c r="A49" i="9"/>
  <c r="A50" i="9"/>
  <c r="A51" i="9"/>
  <c r="A66" i="9" l="1"/>
  <c r="A65" i="9"/>
  <c r="A64" i="9"/>
  <c r="A27" i="7"/>
  <c r="A20" i="7"/>
  <c r="A19" i="7"/>
  <c r="A11" i="7"/>
  <c r="A19" i="8"/>
  <c r="A54" i="7"/>
  <c r="A18" i="8"/>
  <c r="A51" i="7"/>
  <c r="A10" i="8"/>
  <c r="A14" i="9"/>
  <c r="A42" i="7"/>
  <c r="A53" i="7"/>
  <c r="A35" i="7"/>
  <c r="A18" i="7"/>
  <c r="A17" i="8"/>
  <c r="A36" i="7"/>
  <c r="A52" i="7"/>
  <c r="A34" i="7"/>
  <c r="A16" i="8"/>
  <c r="A29" i="7"/>
  <c r="A12" i="8"/>
  <c r="A66" i="7"/>
  <c r="A50" i="7"/>
  <c r="A28" i="7"/>
  <c r="A12" i="7"/>
  <c r="A11" i="8"/>
  <c r="A60" i="7"/>
  <c r="A44" i="7"/>
  <c r="A59" i="7"/>
  <c r="A43" i="7"/>
  <c r="A26" i="7"/>
  <c r="A10" i="7"/>
  <c r="A9" i="8"/>
  <c r="A56" i="7"/>
  <c r="A40" i="7"/>
  <c r="A8" i="8"/>
  <c r="A8" i="9"/>
  <c r="A63" i="7"/>
  <c r="A21" i="9"/>
  <c r="A13" i="9"/>
  <c r="A5" i="9"/>
  <c r="A62" i="7"/>
  <c r="A37" i="7"/>
  <c r="A63" i="9"/>
  <c r="A62" i="9"/>
  <c r="A54" i="9"/>
  <c r="A47" i="9"/>
  <c r="A46" i="9"/>
  <c r="A38" i="9"/>
  <c r="A31" i="9"/>
  <c r="A30" i="9"/>
  <c r="A22" i="9"/>
  <c r="A16" i="7"/>
  <c r="A15" i="8"/>
  <c r="A7" i="8"/>
  <c r="A7" i="9"/>
  <c r="A6" i="9"/>
  <c r="A5" i="7"/>
  <c r="A61" i="7"/>
  <c r="A22" i="7"/>
  <c r="A61" i="9"/>
  <c r="A56" i="9"/>
  <c r="A53" i="9"/>
  <c r="A45" i="9"/>
  <c r="A40" i="9"/>
  <c r="A37" i="9"/>
  <c r="A29" i="9"/>
  <c r="A64" i="7"/>
  <c r="A48" i="7"/>
  <c r="A24" i="7"/>
  <c r="A15" i="7"/>
  <c r="A14" i="8"/>
  <c r="A16" i="9"/>
  <c r="A13" i="8"/>
  <c r="A8" i="7"/>
  <c r="A46" i="7"/>
  <c r="A21" i="7"/>
  <c r="A32" i="7"/>
  <c r="A45" i="7"/>
  <c r="A20" i="8"/>
  <c r="A55" i="7"/>
  <c r="A39" i="7"/>
  <c r="A23" i="7"/>
  <c r="A38" i="7"/>
  <c r="A30" i="7"/>
  <c r="A60" i="9"/>
  <c r="A28" i="9"/>
  <c r="A65" i="7"/>
  <c r="A57" i="7"/>
  <c r="A49" i="7"/>
  <c r="A41" i="7"/>
  <c r="A33" i="7"/>
  <c r="A25" i="7"/>
  <c r="A17" i="7"/>
  <c r="A9" i="7"/>
  <c r="A59" i="9"/>
  <c r="A43" i="9"/>
  <c r="A35" i="9"/>
  <c r="A19" i="9"/>
  <c r="A11" i="9"/>
  <c r="A52" i="9"/>
  <c r="A44" i="9"/>
  <c r="A36" i="9"/>
  <c r="A20" i="9"/>
  <c r="A58" i="9"/>
  <c r="A34" i="9"/>
  <c r="A18" i="9"/>
  <c r="A10" i="9"/>
  <c r="A12" i="9"/>
  <c r="A57" i="9"/>
  <c r="A9" i="9"/>
  <c r="AV51" i="4" a="1"/>
  <c r="AV51" i="4" s="1"/>
  <c r="AD51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E48" i="4"/>
  <c r="F48" i="4"/>
  <c r="G48" i="4"/>
  <c r="H48" i="4"/>
  <c r="I48" i="4"/>
  <c r="E49" i="4"/>
  <c r="F49" i="4"/>
  <c r="G49" i="4"/>
  <c r="H49" i="4"/>
  <c r="I49" i="4"/>
  <c r="E51" i="4"/>
  <c r="F51" i="4"/>
  <c r="G51" i="4"/>
  <c r="H51" i="4"/>
  <c r="I51" i="4"/>
  <c r="E52" i="4"/>
  <c r="F52" i="4"/>
  <c r="G52" i="4"/>
  <c r="H52" i="4"/>
  <c r="I52" i="4"/>
  <c r="E53" i="4"/>
  <c r="F53" i="4"/>
  <c r="G53" i="4"/>
  <c r="H53" i="4"/>
  <c r="I53" i="4"/>
  <c r="E54" i="4"/>
  <c r="F54" i="4"/>
  <c r="G54" i="4"/>
  <c r="H54" i="4"/>
  <c r="I54" i="4"/>
  <c r="E56" i="4"/>
  <c r="F56" i="4"/>
  <c r="G56" i="4"/>
  <c r="H56" i="4"/>
  <c r="I56" i="4"/>
  <c r="E57" i="4"/>
  <c r="F57" i="4"/>
  <c r="G57" i="4"/>
  <c r="H57" i="4"/>
  <c r="I57" i="4"/>
  <c r="E58" i="4"/>
  <c r="F58" i="4"/>
  <c r="G58" i="4"/>
  <c r="H58" i="4"/>
  <c r="I58" i="4"/>
  <c r="E59" i="4"/>
  <c r="F59" i="4"/>
  <c r="G59" i="4"/>
  <c r="H59" i="4"/>
  <c r="I59" i="4"/>
  <c r="E60" i="4"/>
  <c r="F60" i="4"/>
  <c r="G60" i="4"/>
  <c r="H60" i="4"/>
  <c r="I60" i="4"/>
  <c r="E61" i="4"/>
  <c r="F61" i="4"/>
  <c r="G61" i="4"/>
  <c r="H61" i="4"/>
  <c r="I61" i="4"/>
  <c r="E62" i="4"/>
  <c r="F62" i="4"/>
  <c r="G62" i="4"/>
  <c r="H62" i="4"/>
  <c r="I62" i="4"/>
  <c r="E63" i="4"/>
  <c r="F63" i="4"/>
  <c r="G63" i="4"/>
  <c r="H63" i="4"/>
  <c r="I63" i="4"/>
  <c r="E64" i="4"/>
  <c r="F64" i="4"/>
  <c r="G64" i="4"/>
  <c r="H64" i="4"/>
  <c r="I64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AV4" i="4" a="1"/>
  <c r="AV4" i="4" s="1"/>
  <c r="AV5" i="4" a="1"/>
  <c r="AV5" i="4" s="1"/>
  <c r="AV6" i="4" a="1"/>
  <c r="AV6" i="4" s="1"/>
  <c r="AV7" i="4" a="1"/>
  <c r="AV7" i="4"/>
  <c r="AV8" i="4" a="1"/>
  <c r="AV8" i="4" s="1"/>
  <c r="AV9" i="4" a="1"/>
  <c r="AV9" i="4" s="1"/>
  <c r="AV10" i="4" a="1"/>
  <c r="AV10" i="4" s="1"/>
  <c r="AV11" i="4" a="1"/>
  <c r="AV11" i="4"/>
  <c r="AV12" i="4" a="1"/>
  <c r="AV12" i="4" s="1"/>
  <c r="AV13" i="4" a="1"/>
  <c r="AV13" i="4" s="1"/>
  <c r="AV14" i="4" a="1"/>
  <c r="AV14" i="4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/>
  <c r="AV27" i="4" a="1"/>
  <c r="AV27" i="4" s="1"/>
  <c r="AV28" i="4" a="1"/>
  <c r="AV28" i="4" s="1"/>
  <c r="AV29" i="4" a="1"/>
  <c r="AV29" i="4"/>
  <c r="AV30" i="4" a="1"/>
  <c r="AV30" i="4" s="1"/>
  <c r="AV31" i="4" a="1"/>
  <c r="AV31" i="4" s="1"/>
  <c r="AV32" i="4" a="1"/>
  <c r="AV32" i="4" s="1"/>
  <c r="AV33" i="4" a="1"/>
  <c r="AV33" i="4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/>
  <c r="AV50" i="4" a="1"/>
  <c r="AV50" i="4" s="1"/>
  <c r="AV52" i="4" a="1"/>
  <c r="AV52" i="4" s="1"/>
  <c r="AV53" i="4" a="1"/>
  <c r="AV53" i="4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66" i="4"/>
  <c r="B28" i="5"/>
  <c r="C28" i="5"/>
  <c r="D28" i="5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F36" i="6"/>
  <c r="I36" i="6"/>
  <c r="H42" i="6"/>
  <c r="F50" i="4"/>
  <c r="H50" i="4"/>
  <c r="I50" i="4"/>
  <c r="E55" i="4"/>
  <c r="F55" i="4"/>
  <c r="H55" i="4"/>
  <c r="I55" i="4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5" i="6"/>
  <c r="F35" i="6"/>
  <c r="G35" i="6"/>
  <c r="H35" i="6"/>
  <c r="I35" i="6"/>
  <c r="E37" i="6"/>
  <c r="F37" i="6"/>
  <c r="G37" i="6"/>
  <c r="H37" i="6"/>
  <c r="I37" i="6"/>
  <c r="E39" i="6"/>
  <c r="F39" i="6"/>
  <c r="G39" i="6"/>
  <c r="H39" i="6"/>
  <c r="I39" i="6"/>
  <c r="E41" i="6"/>
  <c r="F41" i="6"/>
  <c r="G41" i="6"/>
  <c r="H41" i="6"/>
  <c r="I41" i="6"/>
  <c r="E42" i="6"/>
  <c r="F42" i="6"/>
  <c r="G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E48" i="6"/>
  <c r="F48" i="6"/>
  <c r="G48" i="6"/>
  <c r="H48" i="6"/>
  <c r="I48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2" i="6"/>
  <c r="F52" i="6"/>
  <c r="G52" i="6"/>
  <c r="H52" i="6"/>
  <c r="I52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57" i="6"/>
  <c r="F57" i="6"/>
  <c r="G57" i="6"/>
  <c r="H57" i="6"/>
  <c r="I57" i="6"/>
  <c r="E58" i="6"/>
  <c r="F58" i="6"/>
  <c r="G58" i="6"/>
  <c r="H58" i="6"/>
  <c r="I58" i="6"/>
  <c r="E59" i="6"/>
  <c r="F59" i="6"/>
  <c r="G59" i="6"/>
  <c r="H59" i="6"/>
  <c r="I59" i="6"/>
  <c r="E60" i="6"/>
  <c r="F60" i="6"/>
  <c r="G60" i="6"/>
  <c r="H60" i="6"/>
  <c r="I60" i="6"/>
  <c r="E61" i="6"/>
  <c r="F61" i="6"/>
  <c r="G61" i="6"/>
  <c r="H61" i="6"/>
  <c r="I61" i="6"/>
  <c r="E62" i="6"/>
  <c r="F62" i="6"/>
  <c r="G62" i="6"/>
  <c r="H62" i="6"/>
  <c r="I62" i="6"/>
  <c r="E63" i="6"/>
  <c r="F63" i="6"/>
  <c r="G63" i="6"/>
  <c r="H63" i="6"/>
  <c r="I63" i="6"/>
  <c r="E64" i="6"/>
  <c r="F64" i="6"/>
  <c r="G64" i="6"/>
  <c r="H64" i="6"/>
  <c r="I64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I42" i="6" l="1"/>
  <c r="I28" i="5"/>
  <c r="H28" i="5"/>
  <c r="G28" i="5"/>
  <c r="F28" i="5"/>
  <c r="E28" i="5"/>
  <c r="D60" i="7"/>
  <c r="D60" i="9"/>
  <c r="C47" i="9"/>
  <c r="C47" i="7"/>
  <c r="D36" i="9"/>
  <c r="D36" i="7"/>
  <c r="D28" i="7"/>
  <c r="D28" i="9"/>
  <c r="D20" i="7"/>
  <c r="D20" i="9"/>
  <c r="C15" i="9"/>
  <c r="C15" i="7"/>
  <c r="B10" i="4"/>
  <c r="B10" i="7"/>
  <c r="B10" i="9"/>
  <c r="C60" i="7"/>
  <c r="C60" i="9"/>
  <c r="B47" i="7"/>
  <c r="B47" i="9"/>
  <c r="C36" i="7"/>
  <c r="C36" i="9"/>
  <c r="D25" i="9"/>
  <c r="D25" i="7"/>
  <c r="C12" i="4"/>
  <c r="C12" i="9"/>
  <c r="C12" i="7"/>
  <c r="D54" i="9"/>
  <c r="D54" i="7"/>
  <c r="B44" i="7"/>
  <c r="B44" i="9"/>
  <c r="B36" i="7"/>
  <c r="B36" i="9"/>
  <c r="B28" i="7"/>
  <c r="B28" i="9"/>
  <c r="B20" i="7"/>
  <c r="B20" i="9"/>
  <c r="B12" i="4"/>
  <c r="B12" i="9"/>
  <c r="B12" i="7"/>
  <c r="B65" i="7"/>
  <c r="B65" i="9"/>
  <c r="C62" i="7"/>
  <c r="C62" i="9"/>
  <c r="D59" i="9"/>
  <c r="D59" i="7"/>
  <c r="B57" i="9"/>
  <c r="B57" i="7"/>
  <c r="C54" i="7"/>
  <c r="C54" i="9"/>
  <c r="D51" i="9"/>
  <c r="D51" i="7"/>
  <c r="B49" i="9"/>
  <c r="B49" i="7"/>
  <c r="C46" i="7"/>
  <c r="C46" i="9"/>
  <c r="D43" i="7"/>
  <c r="D43" i="9"/>
  <c r="B41" i="7"/>
  <c r="B41" i="9"/>
  <c r="C38" i="7"/>
  <c r="C38" i="9"/>
  <c r="D35" i="9"/>
  <c r="D35" i="7"/>
  <c r="B33" i="7"/>
  <c r="B33" i="9"/>
  <c r="C30" i="7"/>
  <c r="C30" i="9"/>
  <c r="D27" i="9"/>
  <c r="D27" i="7"/>
  <c r="B25" i="9"/>
  <c r="B25" i="7"/>
  <c r="C22" i="7"/>
  <c r="C22" i="9"/>
  <c r="D19" i="9"/>
  <c r="D19" i="7"/>
  <c r="B17" i="9"/>
  <c r="B17" i="7"/>
  <c r="C14" i="7"/>
  <c r="C14" i="9"/>
  <c r="D11" i="4"/>
  <c r="D11" i="9"/>
  <c r="D11" i="7"/>
  <c r="B9" i="4"/>
  <c r="B9" i="9"/>
  <c r="B9" i="7"/>
  <c r="C6" i="4"/>
  <c r="C6" i="9"/>
  <c r="C6" i="7"/>
  <c r="B66" i="7"/>
  <c r="B66" i="9"/>
  <c r="D52" i="9"/>
  <c r="D52" i="7"/>
  <c r="B42" i="9"/>
  <c r="B42" i="7"/>
  <c r="B34" i="7"/>
  <c r="B34" i="9"/>
  <c r="C23" i="9"/>
  <c r="C23" i="7"/>
  <c r="B18" i="7"/>
  <c r="B18" i="9"/>
  <c r="D12" i="4"/>
  <c r="D12" i="9"/>
  <c r="D12" i="7"/>
  <c r="C52" i="7"/>
  <c r="C52" i="9"/>
  <c r="B39" i="7"/>
  <c r="B39" i="9"/>
  <c r="B15" i="7"/>
  <c r="B15" i="9"/>
  <c r="B60" i="7"/>
  <c r="B60" i="9"/>
  <c r="D46" i="9"/>
  <c r="D46" i="7"/>
  <c r="C33" i="9"/>
  <c r="C33" i="7"/>
  <c r="D22" i="9"/>
  <c r="D22" i="7"/>
  <c r="C17" i="9"/>
  <c r="C17" i="7"/>
  <c r="B4" i="4"/>
  <c r="B4" i="9"/>
  <c r="B4" i="7"/>
  <c r="D64" i="9"/>
  <c r="D64" i="7"/>
  <c r="B62" i="7"/>
  <c r="B62" i="9"/>
  <c r="C59" i="7"/>
  <c r="C59" i="9"/>
  <c r="D56" i="9"/>
  <c r="D56" i="7"/>
  <c r="B54" i="7"/>
  <c r="B54" i="9"/>
  <c r="C51" i="7"/>
  <c r="C51" i="9"/>
  <c r="D48" i="9"/>
  <c r="D48" i="7"/>
  <c r="B46" i="7"/>
  <c r="B46" i="9"/>
  <c r="C43" i="7"/>
  <c r="C43" i="9"/>
  <c r="D40" i="9"/>
  <c r="D40" i="7"/>
  <c r="B38" i="7"/>
  <c r="B38" i="9"/>
  <c r="C35" i="7"/>
  <c r="C35" i="9"/>
  <c r="D32" i="9"/>
  <c r="D32" i="7"/>
  <c r="B30" i="7"/>
  <c r="B30" i="9"/>
  <c r="C27" i="7"/>
  <c r="C27" i="9"/>
  <c r="D24" i="9"/>
  <c r="D24" i="7"/>
  <c r="B22" i="7"/>
  <c r="B22" i="9"/>
  <c r="C19" i="9"/>
  <c r="C19" i="7"/>
  <c r="D16" i="9"/>
  <c r="D16" i="7"/>
  <c r="B14" i="7"/>
  <c r="B14" i="9"/>
  <c r="C11" i="4"/>
  <c r="C11" i="9"/>
  <c r="C11" i="7"/>
  <c r="D8" i="4"/>
  <c r="D8" i="7"/>
  <c r="D8" i="9"/>
  <c r="B6" i="4"/>
  <c r="B6" i="9"/>
  <c r="B6" i="7"/>
  <c r="C55" i="9"/>
  <c r="C55" i="7"/>
  <c r="B63" i="7"/>
  <c r="B63" i="9"/>
  <c r="D49" i="9"/>
  <c r="D49" i="7"/>
  <c r="D33" i="9"/>
  <c r="D33" i="7"/>
  <c r="B23" i="7"/>
  <c r="B23" i="9"/>
  <c r="D9" i="4"/>
  <c r="D9" i="9"/>
  <c r="D9" i="7"/>
  <c r="C65" i="9"/>
  <c r="C65" i="7"/>
  <c r="C49" i="9"/>
  <c r="C49" i="7"/>
  <c r="D30" i="9"/>
  <c r="D30" i="7"/>
  <c r="C9" i="4"/>
  <c r="C9" i="9"/>
  <c r="C9" i="7"/>
  <c r="C64" i="9"/>
  <c r="C64" i="7"/>
  <c r="D61" i="7"/>
  <c r="D61" i="9"/>
  <c r="B59" i="7"/>
  <c r="B59" i="9"/>
  <c r="C56" i="9"/>
  <c r="C56" i="7"/>
  <c r="D53" i="9"/>
  <c r="D53" i="7"/>
  <c r="B51" i="7"/>
  <c r="B51" i="9"/>
  <c r="C48" i="9"/>
  <c r="C48" i="7"/>
  <c r="D45" i="7"/>
  <c r="D45" i="9"/>
  <c r="B43" i="7"/>
  <c r="B43" i="9"/>
  <c r="C40" i="9"/>
  <c r="C40" i="7"/>
  <c r="D37" i="7"/>
  <c r="D37" i="9"/>
  <c r="B35" i="9"/>
  <c r="B35" i="7"/>
  <c r="C32" i="9"/>
  <c r="C32" i="7"/>
  <c r="D29" i="7"/>
  <c r="D29" i="9"/>
  <c r="B27" i="9"/>
  <c r="B27" i="7"/>
  <c r="C24" i="9"/>
  <c r="C24" i="7"/>
  <c r="D21" i="7"/>
  <c r="D21" i="9"/>
  <c r="B19" i="7"/>
  <c r="B19" i="9"/>
  <c r="C16" i="9"/>
  <c r="C16" i="7"/>
  <c r="D13" i="4"/>
  <c r="D13" i="9"/>
  <c r="D13" i="7"/>
  <c r="B11" i="4"/>
  <c r="B11" i="9"/>
  <c r="B11" i="7"/>
  <c r="C8" i="4"/>
  <c r="C8" i="7"/>
  <c r="C8" i="9"/>
  <c r="D5" i="4"/>
  <c r="D5" i="9"/>
  <c r="D5" i="7"/>
  <c r="C63" i="9"/>
  <c r="C63" i="7"/>
  <c r="B50" i="7"/>
  <c r="B50" i="9"/>
  <c r="C39" i="9"/>
  <c r="C39" i="7"/>
  <c r="B26" i="7"/>
  <c r="B26" i="9"/>
  <c r="D4" i="4"/>
  <c r="D4" i="9"/>
  <c r="D4" i="7"/>
  <c r="D57" i="9"/>
  <c r="D57" i="7"/>
  <c r="C44" i="7"/>
  <c r="C44" i="9"/>
  <c r="B31" i="7"/>
  <c r="B31" i="9"/>
  <c r="D17" i="9"/>
  <c r="D17" i="7"/>
  <c r="C4" i="4"/>
  <c r="C4" i="9"/>
  <c r="C4" i="7"/>
  <c r="D62" i="9"/>
  <c r="D62" i="7"/>
  <c r="B52" i="7"/>
  <c r="B52" i="9"/>
  <c r="D38" i="9"/>
  <c r="D38" i="7"/>
  <c r="C25" i="9"/>
  <c r="C25" i="7"/>
  <c r="D14" i="9"/>
  <c r="D14" i="7"/>
  <c r="D66" i="7"/>
  <c r="D66" i="9"/>
  <c r="B64" i="9"/>
  <c r="B64" i="7"/>
  <c r="C61" i="7"/>
  <c r="C61" i="9"/>
  <c r="D58" i="7"/>
  <c r="D58" i="9"/>
  <c r="B56" i="9"/>
  <c r="B56" i="7"/>
  <c r="C53" i="7"/>
  <c r="C53" i="9"/>
  <c r="D50" i="9"/>
  <c r="D50" i="7"/>
  <c r="B48" i="9"/>
  <c r="B48" i="7"/>
  <c r="C45" i="7"/>
  <c r="C45" i="9"/>
  <c r="D42" i="7"/>
  <c r="D42" i="9"/>
  <c r="B40" i="9"/>
  <c r="B40" i="7"/>
  <c r="C37" i="7"/>
  <c r="C37" i="9"/>
  <c r="D34" i="7"/>
  <c r="D34" i="9"/>
  <c r="B32" i="9"/>
  <c r="B32" i="7"/>
  <c r="C29" i="7"/>
  <c r="C29" i="9"/>
  <c r="D26" i="7"/>
  <c r="D26" i="9"/>
  <c r="B24" i="9"/>
  <c r="B24" i="7"/>
  <c r="C21" i="9"/>
  <c r="C21" i="7"/>
  <c r="D18" i="9"/>
  <c r="D18" i="7"/>
  <c r="B16" i="9"/>
  <c r="B16" i="7"/>
  <c r="C13" i="4"/>
  <c r="C13" i="9"/>
  <c r="C13" i="7"/>
  <c r="D10" i="4"/>
  <c r="D10" i="9"/>
  <c r="D10" i="7"/>
  <c r="B8" i="4"/>
  <c r="B8" i="7"/>
  <c r="B8" i="9"/>
  <c r="C5" i="4"/>
  <c r="C5" i="9"/>
  <c r="C5" i="7"/>
  <c r="B58" i="7"/>
  <c r="B58" i="9"/>
  <c r="D44" i="7"/>
  <c r="D44" i="9"/>
  <c r="C31" i="9"/>
  <c r="C31" i="7"/>
  <c r="C7" i="4"/>
  <c r="C7" i="7"/>
  <c r="C7" i="9"/>
  <c r="D65" i="9"/>
  <c r="D65" i="7"/>
  <c r="B55" i="7"/>
  <c r="B55" i="9"/>
  <c r="D41" i="9"/>
  <c r="D41" i="7"/>
  <c r="C28" i="7"/>
  <c r="C28" i="9"/>
  <c r="C20" i="9"/>
  <c r="C20" i="7"/>
  <c r="B7" i="4"/>
  <c r="B7" i="9"/>
  <c r="B7" i="7"/>
  <c r="C57" i="9"/>
  <c r="C57" i="7"/>
  <c r="C41" i="9"/>
  <c r="C41" i="7"/>
  <c r="D6" i="4"/>
  <c r="D6" i="7"/>
  <c r="D6" i="9"/>
  <c r="C66" i="9"/>
  <c r="C66" i="7"/>
  <c r="D63" i="9"/>
  <c r="D63" i="7"/>
  <c r="B61" i="7"/>
  <c r="B61" i="9"/>
  <c r="C58" i="9"/>
  <c r="C58" i="7"/>
  <c r="D55" i="9"/>
  <c r="D55" i="7"/>
  <c r="B53" i="7"/>
  <c r="B53" i="9"/>
  <c r="C50" i="9"/>
  <c r="C50" i="7"/>
  <c r="D47" i="9"/>
  <c r="D47" i="7"/>
  <c r="B45" i="7"/>
  <c r="B45" i="9"/>
  <c r="C42" i="9"/>
  <c r="C42" i="7"/>
  <c r="D39" i="9"/>
  <c r="D39" i="7"/>
  <c r="B37" i="7"/>
  <c r="B37" i="9"/>
  <c r="C34" i="9"/>
  <c r="C34" i="7"/>
  <c r="D31" i="9"/>
  <c r="D31" i="7"/>
  <c r="B29" i="7"/>
  <c r="B29" i="9"/>
  <c r="C26" i="9"/>
  <c r="C26" i="7"/>
  <c r="D23" i="9"/>
  <c r="D23" i="7"/>
  <c r="B21" i="7"/>
  <c r="B21" i="9"/>
  <c r="C18" i="9"/>
  <c r="C18" i="7"/>
  <c r="D15" i="9"/>
  <c r="D15" i="7"/>
  <c r="B13" i="4"/>
  <c r="B13" i="7"/>
  <c r="B13" i="9"/>
  <c r="C10" i="4"/>
  <c r="C10" i="9"/>
  <c r="C10" i="7"/>
  <c r="D7" i="4"/>
  <c r="D7" i="7"/>
  <c r="D7" i="9"/>
  <c r="B5" i="4"/>
  <c r="B5" i="9"/>
  <c r="B5" i="7"/>
  <c r="I38" i="6"/>
  <c r="G36" i="6"/>
  <c r="A65" i="4"/>
  <c r="E38" i="6"/>
  <c r="B37" i="4"/>
  <c r="B16" i="4"/>
  <c r="B45" i="4"/>
  <c r="H38" i="6"/>
  <c r="B59" i="4"/>
  <c r="F38" i="6"/>
  <c r="B23" i="4"/>
  <c r="B63" i="4"/>
  <c r="B56" i="4"/>
  <c r="B38" i="4"/>
  <c r="B24" i="4"/>
  <c r="B20" i="4"/>
  <c r="B49" i="4"/>
  <c r="B64" i="4"/>
  <c r="B60" i="4"/>
  <c r="B55" i="4"/>
  <c r="B51" i="4"/>
  <c r="B46" i="4"/>
  <c r="B31" i="4"/>
  <c r="B28" i="4"/>
  <c r="B17" i="4"/>
  <c r="B54" i="4"/>
  <c r="B57" i="4"/>
  <c r="B39" i="4"/>
  <c r="B35" i="4"/>
  <c r="B25" i="4"/>
  <c r="B21" i="4"/>
  <c r="B65" i="4"/>
  <c r="B61" i="4"/>
  <c r="B52" i="4"/>
  <c r="B47" i="4"/>
  <c r="B43" i="4"/>
  <c r="B32" i="4"/>
  <c r="B18" i="4"/>
  <c r="B14" i="4"/>
  <c r="B40" i="4"/>
  <c r="B36" i="4"/>
  <c r="B26" i="4"/>
  <c r="B22" i="4"/>
  <c r="B41" i="4"/>
  <c r="B30" i="4"/>
  <c r="B62" i="4"/>
  <c r="B53" i="4"/>
  <c r="B48" i="4"/>
  <c r="B44" i="4"/>
  <c r="B33" i="4"/>
  <c r="B29" i="4"/>
  <c r="B15" i="4"/>
  <c r="G55" i="4"/>
  <c r="G50" i="4"/>
  <c r="E50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B50" i="4"/>
  <c r="B42" i="4"/>
  <c r="B34" i="4"/>
  <c r="B58" i="4"/>
  <c r="B27" i="4"/>
  <c r="B19" i="4"/>
  <c r="G38" i="6"/>
  <c r="H36" i="6"/>
  <c r="E36" i="6"/>
  <c r="AG15" i="5" a="1"/>
  <c r="AG15" i="5" s="1"/>
  <c r="AG16" i="5" a="1"/>
  <c r="AG16" i="5"/>
  <c r="AG17" i="5" a="1"/>
  <c r="AG17" i="5" s="1"/>
  <c r="AG18" i="5" a="1"/>
  <c r="AG18" i="5"/>
  <c r="AG19" i="5" a="1"/>
  <c r="AG19" i="5" s="1"/>
  <c r="AG20" i="5" a="1"/>
  <c r="AG20" i="5"/>
  <c r="AG21" i="5" a="1"/>
  <c r="AG21" i="5" s="1"/>
  <c r="AG22" i="5" a="1"/>
  <c r="AG22" i="5"/>
  <c r="AG23" i="5" a="1"/>
  <c r="AG23" i="5" s="1"/>
  <c r="AG24" i="5" a="1"/>
  <c r="AG24" i="5" s="1"/>
  <c r="AG25" i="5" a="1"/>
  <c r="AG25" i="5"/>
  <c r="AG26" i="5" a="1"/>
  <c r="AG26" i="5" s="1"/>
  <c r="AG27" i="5" a="1"/>
  <c r="AG27" i="5" s="1"/>
  <c r="AG28" i="5" a="1"/>
  <c r="AG28" i="5" s="1"/>
  <c r="AG29" i="5" a="1"/>
  <c r="AG29" i="5" s="1"/>
  <c r="AG30" i="5" a="1"/>
  <c r="AG30" i="5" s="1"/>
  <c r="AG31" i="5" a="1"/>
  <c r="AG31" i="5"/>
  <c r="AG32" i="5" a="1"/>
  <c r="AG32" i="5" s="1"/>
  <c r="AG33" i="5" a="1"/>
  <c r="AG33" i="5" s="1"/>
  <c r="AG34" i="5" a="1"/>
  <c r="AG34" i="5" s="1"/>
  <c r="AG35" i="5" a="1"/>
  <c r="AG35" i="5" s="1"/>
  <c r="AG36" i="5" a="1"/>
  <c r="AG36" i="5" s="1"/>
  <c r="AG37" i="5" a="1"/>
  <c r="AG37" i="5" s="1"/>
  <c r="AG38" i="5" a="1"/>
  <c r="AG38" i="5" s="1"/>
  <c r="AG39" i="5" a="1"/>
  <c r="AG39" i="5"/>
  <c r="AG40" i="5" a="1"/>
  <c r="AG40" i="5" s="1"/>
  <c r="AG41" i="5" a="1"/>
  <c r="AG41" i="5" s="1"/>
  <c r="AG43" i="5" a="1"/>
  <c r="AG43" i="5"/>
  <c r="AG44" i="5" a="1"/>
  <c r="AG44" i="5" s="1"/>
  <c r="AG45" i="5" a="1"/>
  <c r="AG45" i="5" s="1"/>
  <c r="AG46" i="5" a="1"/>
  <c r="AG46" i="5"/>
  <c r="AG47" i="5" a="1"/>
  <c r="AG47" i="5" s="1"/>
  <c r="AG48" i="5" a="1"/>
  <c r="AG48" i="5"/>
  <c r="AG49" i="5" a="1"/>
  <c r="AG49" i="5" s="1"/>
  <c r="AG50" i="5" a="1"/>
  <c r="AG50" i="5"/>
  <c r="AG51" i="5" a="1"/>
  <c r="AG51" i="5"/>
  <c r="AG52" i="5" a="1"/>
  <c r="AG52" i="5"/>
  <c r="AG53" i="5" a="1"/>
  <c r="AG53" i="5" s="1"/>
  <c r="AG54" i="5" a="1"/>
  <c r="AG54" i="5" s="1"/>
  <c r="AG55" i="5" a="1"/>
  <c r="AG55" i="5"/>
  <c r="AG56" i="5" a="1"/>
  <c r="AG56" i="5" s="1"/>
  <c r="AG57" i="5" a="1"/>
  <c r="AG57" i="5" s="1"/>
  <c r="AG58" i="5" a="1"/>
  <c r="AG58" i="5" s="1"/>
  <c r="AG59" i="5" a="1"/>
  <c r="AG59" i="5"/>
  <c r="AG60" i="5" a="1"/>
  <c r="AG60" i="5"/>
  <c r="AG61" i="5" a="1"/>
  <c r="AG61" i="5" s="1"/>
  <c r="AG62" i="5" a="1"/>
  <c r="AG62" i="5"/>
  <c r="AG63" i="5" a="1"/>
  <c r="AG63" i="5" s="1"/>
  <c r="AG64" i="5" a="1"/>
  <c r="AG64" i="5"/>
  <c r="AG65" i="5" a="1"/>
  <c r="AG65" i="5" s="1"/>
  <c r="AG66" i="5" a="1"/>
  <c r="AG66" i="5" s="1"/>
  <c r="AG67" i="5" a="1"/>
  <c r="AG67" i="5"/>
  <c r="AG68" i="5" a="1"/>
  <c r="AG68" i="5" s="1"/>
  <c r="AG69" i="5" a="1"/>
  <c r="AG69" i="5" s="1"/>
  <c r="AG70" i="5" a="1"/>
  <c r="AG70" i="5"/>
  <c r="AG71" i="5" a="1"/>
  <c r="AG71" i="5"/>
  <c r="AG72" i="5" a="1"/>
  <c r="AG72" i="5" s="1"/>
  <c r="AG73" i="5" a="1"/>
  <c r="AG73" i="5" s="1"/>
  <c r="AG74" i="5" a="1"/>
  <c r="AG74" i="5"/>
  <c r="AG75" i="5" a="1"/>
  <c r="AG75" i="5" s="1"/>
  <c r="AG76" i="5" a="1"/>
  <c r="AG76" i="5"/>
  <c r="AG77" i="5" a="1"/>
  <c r="AG77" i="5" s="1"/>
  <c r="AG78" i="5" a="1"/>
  <c r="AG78" i="5"/>
  <c r="AG79" i="5" a="1"/>
  <c r="AG79" i="5" s="1"/>
  <c r="AG80" i="5" a="1"/>
  <c r="AG80" i="5"/>
  <c r="AG81" i="5" a="1"/>
  <c r="AG81" i="5" s="1"/>
  <c r="AG82" i="5" a="1"/>
  <c r="AG82" i="5" s="1"/>
  <c r="AG83" i="5" a="1"/>
  <c r="AG83" i="5"/>
  <c r="AG84" i="5" a="1"/>
  <c r="AG84" i="5" s="1"/>
  <c r="AG85" i="5" a="1"/>
  <c r="AG85" i="5" s="1"/>
  <c r="AG86" i="5" a="1"/>
  <c r="AG86" i="5" s="1"/>
  <c r="AG87" i="5" a="1"/>
  <c r="AG87" i="5"/>
  <c r="AG88" i="5" a="1"/>
  <c r="AG88" i="5"/>
  <c r="AG89" i="5" a="1"/>
  <c r="AG89" i="5" s="1"/>
  <c r="AG90" i="5" a="1"/>
  <c r="AG90" i="5"/>
  <c r="AG91" i="5" a="1"/>
  <c r="AG91" i="5" s="1"/>
  <c r="AG92" i="5" a="1"/>
  <c r="AG92" i="5"/>
  <c r="AG93" i="5" a="1"/>
  <c r="AG93" i="5" s="1"/>
  <c r="AG94" i="5" a="1"/>
  <c r="AG94" i="5"/>
  <c r="AG95" i="5" a="1"/>
  <c r="AG95" i="5" s="1"/>
  <c r="AG96" i="5" a="1"/>
  <c r="AG96" i="5"/>
  <c r="AG97" i="5" a="1"/>
  <c r="AG97" i="5" s="1"/>
  <c r="AG98" i="5" a="1"/>
  <c r="AG98" i="5" s="1"/>
  <c r="AG99" i="5" a="1"/>
  <c r="AG99" i="5"/>
  <c r="AG100" i="5" a="1"/>
  <c r="AG100" i="5" s="1"/>
  <c r="AG101" i="5" a="1"/>
  <c r="AG101" i="5" s="1"/>
  <c r="AG102" i="5" a="1"/>
  <c r="AG102" i="5"/>
  <c r="AG103" i="5" a="1"/>
  <c r="AG103" i="5"/>
  <c r="AG104" i="5" a="1"/>
  <c r="AG104" i="5" s="1"/>
  <c r="AG105" i="5" a="1"/>
  <c r="AG105" i="5" s="1"/>
  <c r="AG106" i="5" a="1"/>
  <c r="AG106" i="5"/>
  <c r="AG107" i="5" a="1"/>
  <c r="AG107" i="5" s="1"/>
  <c r="AG108" i="5" a="1"/>
  <c r="AG108" i="5"/>
  <c r="AG109" i="5" a="1"/>
  <c r="AG109" i="5" s="1"/>
  <c r="AG110" i="5" a="1"/>
  <c r="AG110" i="5"/>
  <c r="AG111" i="5" a="1"/>
  <c r="AG111" i="5" s="1"/>
  <c r="AG112" i="5" a="1"/>
  <c r="AG112" i="5"/>
  <c r="AG113" i="5" a="1"/>
  <c r="AG113" i="5" s="1"/>
  <c r="AG114" i="5" a="1"/>
  <c r="AG114" i="5" s="1"/>
  <c r="AG115" i="5" a="1"/>
  <c r="AG115" i="5"/>
  <c r="AG116" i="5" a="1"/>
  <c r="AG116" i="5" s="1"/>
  <c r="AG117" i="5" a="1"/>
  <c r="AG117" i="5" s="1"/>
  <c r="AG118" i="5" a="1"/>
  <c r="AG118" i="5" s="1"/>
  <c r="AG119" i="5" a="1"/>
  <c r="AG119" i="5"/>
  <c r="AG120" i="5" a="1"/>
  <c r="AG120" i="5"/>
  <c r="AG121" i="5" a="1"/>
  <c r="AG121" i="5" s="1"/>
  <c r="AG122" i="5" a="1"/>
  <c r="AG122" i="5"/>
  <c r="AG123" i="5" a="1"/>
  <c r="AG123" i="5" s="1"/>
  <c r="AG124" i="5" a="1"/>
  <c r="AG124" i="5"/>
  <c r="AG125" i="5" a="1"/>
  <c r="AG125" i="5" s="1"/>
  <c r="AG126" i="5" a="1"/>
  <c r="AG126" i="5"/>
  <c r="AG127" i="5" a="1"/>
  <c r="AG127" i="5" s="1"/>
  <c r="AG128" i="5" a="1"/>
  <c r="AG128" i="5"/>
  <c r="AG129" i="5" a="1"/>
  <c r="AG129" i="5" s="1"/>
  <c r="AG130" i="5" a="1"/>
  <c r="AG130" i="5" s="1"/>
  <c r="AG131" i="5" a="1"/>
  <c r="AG131" i="5"/>
  <c r="AG132" i="5" a="1"/>
  <c r="AG132" i="5" s="1"/>
  <c r="AG133" i="5" a="1"/>
  <c r="AG133" i="5" s="1"/>
  <c r="AG134" i="5" a="1"/>
  <c r="AG134" i="5" s="1"/>
  <c r="AG135" i="5" a="1"/>
  <c r="AG135" i="5"/>
  <c r="AG136" i="5" a="1"/>
  <c r="AG136" i="5" s="1"/>
  <c r="AG137" i="5" a="1"/>
  <c r="AG137" i="5" s="1"/>
  <c r="AG138" i="5" a="1"/>
  <c r="AG138" i="5"/>
  <c r="AG139" i="5" a="1"/>
  <c r="AG139" i="5" s="1"/>
  <c r="AG140" i="5" a="1"/>
  <c r="AG140" i="5"/>
  <c r="AG141" i="5" a="1"/>
  <c r="AG141" i="5" s="1"/>
  <c r="AG142" i="5" a="1"/>
  <c r="AG142" i="5"/>
  <c r="AG143" i="5" a="1"/>
  <c r="AG143" i="5" s="1"/>
  <c r="AG144" i="5" a="1"/>
  <c r="AG144" i="5"/>
  <c r="AG145" i="5" a="1"/>
  <c r="AG145" i="5" s="1"/>
  <c r="AG146" i="5" a="1"/>
  <c r="AG146" i="5" s="1"/>
  <c r="AG147" i="5" a="1"/>
  <c r="AG147" i="5"/>
  <c r="AG148" i="5" a="1"/>
  <c r="AG148" i="5" s="1"/>
  <c r="AG149" i="5" a="1"/>
  <c r="AG149" i="5" s="1"/>
  <c r="AG150" i="5" a="1"/>
  <c r="AG150" i="5" s="1"/>
  <c r="AG151" i="5" a="1"/>
  <c r="AG151" i="5"/>
  <c r="AG152" i="5" a="1"/>
  <c r="AG152" i="5" s="1"/>
  <c r="AG153" i="5" a="1"/>
  <c r="AG153" i="5" s="1"/>
  <c r="AG154" i="5" a="1"/>
  <c r="AG154" i="5"/>
  <c r="AG155" i="5" a="1"/>
  <c r="AG155" i="5" s="1"/>
  <c r="AG156" i="5" a="1"/>
  <c r="AG156" i="5"/>
  <c r="AG157" i="5" a="1"/>
  <c r="AG157" i="5" s="1"/>
  <c r="AG158" i="5" a="1"/>
  <c r="AG158" i="5"/>
  <c r="AG159" i="5" a="1"/>
  <c r="AG159" i="5" s="1"/>
  <c r="AG160" i="5" a="1"/>
  <c r="AG160" i="5"/>
  <c r="AG161" i="5" a="1"/>
  <c r="AG161" i="5" s="1"/>
  <c r="AG162" i="5" a="1"/>
  <c r="AG162" i="5" s="1"/>
  <c r="AG163" i="5" a="1"/>
  <c r="AG163" i="5"/>
  <c r="AG164" i="5" a="1"/>
  <c r="AG164" i="5" s="1"/>
  <c r="AG165" i="5" a="1"/>
  <c r="AG165" i="5" s="1"/>
  <c r="AG166" i="5" a="1"/>
  <c r="AG166" i="5" s="1"/>
  <c r="AG167" i="5" a="1"/>
  <c r="AG167" i="5"/>
  <c r="AG168" i="5" a="1"/>
  <c r="AG168" i="5" s="1"/>
  <c r="AG169" i="5" a="1"/>
  <c r="AG169" i="5" s="1"/>
  <c r="AG170" i="5" a="1"/>
  <c r="AG170" i="5"/>
  <c r="AG171" i="5" a="1"/>
  <c r="AG171" i="5" s="1"/>
  <c r="AG172" i="5" a="1"/>
  <c r="AG172" i="5"/>
  <c r="AG173" i="5" a="1"/>
  <c r="AG173" i="5" s="1"/>
  <c r="AG174" i="5" a="1"/>
  <c r="AG174" i="5"/>
  <c r="AG175" i="5" a="1"/>
  <c r="AG175" i="5" s="1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E48" i="5"/>
  <c r="F48" i="5"/>
  <c r="G48" i="5"/>
  <c r="H48" i="5"/>
  <c r="I48" i="5"/>
  <c r="E49" i="5"/>
  <c r="F49" i="5"/>
  <c r="G49" i="5"/>
  <c r="H49" i="5"/>
  <c r="I49" i="5"/>
  <c r="E50" i="5"/>
  <c r="F50" i="5"/>
  <c r="G50" i="5"/>
  <c r="H50" i="5"/>
  <c r="I50" i="5"/>
  <c r="E51" i="5"/>
  <c r="F51" i="5"/>
  <c r="G51" i="5"/>
  <c r="H51" i="5"/>
  <c r="I51" i="5"/>
  <c r="E52" i="5"/>
  <c r="F52" i="5"/>
  <c r="G52" i="5"/>
  <c r="H52" i="5"/>
  <c r="I52" i="5"/>
  <c r="E53" i="5"/>
  <c r="F53" i="5"/>
  <c r="G53" i="5"/>
  <c r="H53" i="5"/>
  <c r="I53" i="5"/>
  <c r="E54" i="5"/>
  <c r="F54" i="5"/>
  <c r="G54" i="5"/>
  <c r="H54" i="5"/>
  <c r="I54" i="5"/>
  <c r="E55" i="5"/>
  <c r="F55" i="5"/>
  <c r="G55" i="5"/>
  <c r="H55" i="5"/>
  <c r="I55" i="5"/>
  <c r="E56" i="5"/>
  <c r="F56" i="5"/>
  <c r="G56" i="5"/>
  <c r="H56" i="5"/>
  <c r="I56" i="5"/>
  <c r="E57" i="5"/>
  <c r="F57" i="5"/>
  <c r="G57" i="5"/>
  <c r="H57" i="5"/>
  <c r="I57" i="5"/>
  <c r="E58" i="5"/>
  <c r="F58" i="5"/>
  <c r="G58" i="5"/>
  <c r="H58" i="5"/>
  <c r="I58" i="5"/>
  <c r="E59" i="5"/>
  <c r="F59" i="5"/>
  <c r="G59" i="5"/>
  <c r="H59" i="5"/>
  <c r="I59" i="5"/>
  <c r="E60" i="5"/>
  <c r="F60" i="5"/>
  <c r="G60" i="5"/>
  <c r="H60" i="5"/>
  <c r="I60" i="5"/>
  <c r="E61" i="5"/>
  <c r="F61" i="5"/>
  <c r="G61" i="5"/>
  <c r="H61" i="5"/>
  <c r="I61" i="5"/>
  <c r="E62" i="5"/>
  <c r="F62" i="5"/>
  <c r="G62" i="5"/>
  <c r="H62" i="5"/>
  <c r="I62" i="5"/>
  <c r="E63" i="5"/>
  <c r="F63" i="5"/>
  <c r="G63" i="5"/>
  <c r="H63" i="5"/>
  <c r="I63" i="5"/>
  <c r="E64" i="5"/>
  <c r="F64" i="5"/>
  <c r="G64" i="5"/>
  <c r="H64" i="5"/>
  <c r="I64" i="5"/>
  <c r="E65" i="5"/>
  <c r="F65" i="5"/>
  <c r="G65" i="5"/>
  <c r="H65" i="5"/>
  <c r="I65" i="5"/>
  <c r="B66" i="5"/>
  <c r="C66" i="5"/>
  <c r="D66" i="5"/>
  <c r="E66" i="5"/>
  <c r="F66" i="5"/>
  <c r="G66" i="5"/>
  <c r="H66" i="5"/>
  <c r="I66" i="5"/>
  <c r="E13" i="5"/>
  <c r="F13" i="5"/>
  <c r="G13" i="5"/>
  <c r="H13" i="5"/>
  <c r="I13" i="5"/>
  <c r="E12" i="5"/>
  <c r="F12" i="5"/>
  <c r="G12" i="5"/>
  <c r="H12" i="5"/>
  <c r="I12" i="5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A49" i="6"/>
  <c r="A50" i="6"/>
  <c r="A56" i="6"/>
  <c r="A57" i="6"/>
  <c r="A58" i="6"/>
  <c r="A64" i="6"/>
  <c r="A65" i="6"/>
  <c r="A42" i="6"/>
  <c r="A43" i="6"/>
  <c r="A44" i="6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B64" i="5"/>
  <c r="C64" i="5"/>
  <c r="D64" i="5"/>
  <c r="B65" i="5"/>
  <c r="C65" i="5"/>
  <c r="D65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24" i="5"/>
  <c r="C24" i="5"/>
  <c r="D24" i="5"/>
  <c r="B25" i="5"/>
  <c r="C25" i="5"/>
  <c r="D25" i="5"/>
  <c r="B26" i="5"/>
  <c r="C26" i="5"/>
  <c r="D26" i="5"/>
  <c r="B27" i="5"/>
  <c r="C27" i="5"/>
  <c r="D27" i="5"/>
  <c r="G28" i="6"/>
  <c r="I28" i="6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E33" i="6"/>
  <c r="F33" i="6"/>
  <c r="G33" i="6"/>
  <c r="H33" i="6"/>
  <c r="I33" i="6"/>
  <c r="B34" i="5"/>
  <c r="C34" i="5"/>
  <c r="E34" i="6"/>
  <c r="G34" i="6"/>
  <c r="I34" i="6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D40" i="5"/>
  <c r="E40" i="6"/>
  <c r="F40" i="6"/>
  <c r="G40" i="6"/>
  <c r="H40" i="6"/>
  <c r="I40" i="6"/>
  <c r="D41" i="5"/>
  <c r="B42" i="5"/>
  <c r="D42" i="5"/>
  <c r="B43" i="5"/>
  <c r="C43" i="5"/>
  <c r="D43" i="5"/>
  <c r="B44" i="5"/>
  <c r="C44" i="5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F2" i="10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33" i="5" l="1"/>
  <c r="I33" i="5"/>
  <c r="H33" i="5"/>
  <c r="G33" i="5"/>
  <c r="F33" i="5"/>
  <c r="F34" i="6"/>
  <c r="F34" i="5"/>
  <c r="F28" i="6"/>
  <c r="A62" i="6"/>
  <c r="A54" i="6"/>
  <c r="A46" i="6"/>
  <c r="E34" i="5"/>
  <c r="H34" i="6"/>
  <c r="H34" i="5"/>
  <c r="A48" i="6"/>
  <c r="E28" i="6"/>
  <c r="A61" i="6"/>
  <c r="A53" i="6"/>
  <c r="A45" i="6"/>
  <c r="D44" i="6"/>
  <c r="D44" i="5"/>
  <c r="C44" i="6"/>
  <c r="C43" i="6"/>
  <c r="C42" i="6"/>
  <c r="C41" i="6"/>
  <c r="C40" i="6"/>
  <c r="C39" i="6"/>
  <c r="C38" i="6"/>
  <c r="C37" i="6"/>
  <c r="C40" i="5"/>
  <c r="H28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C41" i="5"/>
  <c r="B40" i="5"/>
  <c r="C42" i="5"/>
  <c r="B41" i="5"/>
  <c r="A63" i="6"/>
  <c r="A55" i="6"/>
  <c r="A47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52" i="6"/>
  <c r="D51" i="6"/>
  <c r="D50" i="6"/>
  <c r="D49" i="6"/>
  <c r="D48" i="6"/>
  <c r="D47" i="6"/>
  <c r="D46" i="6"/>
  <c r="D45" i="6"/>
  <c r="D63" i="6"/>
  <c r="D62" i="6"/>
  <c r="D61" i="6"/>
  <c r="D60" i="6"/>
  <c r="D59" i="6"/>
  <c r="D58" i="6"/>
  <c r="D57" i="6"/>
  <c r="D56" i="6"/>
  <c r="D55" i="6"/>
  <c r="D54" i="6"/>
  <c r="D53" i="6"/>
  <c r="D65" i="6"/>
  <c r="D64" i="6"/>
  <c r="A60" i="6"/>
  <c r="A52" i="6"/>
  <c r="I34" i="5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52" i="6"/>
  <c r="C51" i="6"/>
  <c r="C50" i="6"/>
  <c r="C49" i="6"/>
  <c r="C48" i="6"/>
  <c r="C47" i="6"/>
  <c r="C46" i="6"/>
  <c r="C45" i="6"/>
  <c r="C63" i="6"/>
  <c r="C62" i="6"/>
  <c r="C61" i="6"/>
  <c r="C60" i="6"/>
  <c r="C59" i="6"/>
  <c r="C58" i="6"/>
  <c r="C57" i="6"/>
  <c r="C56" i="6"/>
  <c r="C55" i="6"/>
  <c r="C54" i="6"/>
  <c r="C53" i="6"/>
  <c r="C65" i="6"/>
  <c r="C64" i="6"/>
  <c r="A59" i="6"/>
  <c r="A51" i="6"/>
  <c r="B30" i="6"/>
  <c r="B29" i="6"/>
  <c r="B28" i="6"/>
  <c r="B27" i="6"/>
  <c r="B26" i="6"/>
  <c r="B25" i="6"/>
  <c r="B24" i="6"/>
  <c r="B52" i="6"/>
  <c r="B51" i="6"/>
  <c r="B50" i="6"/>
  <c r="B49" i="6"/>
  <c r="B48" i="6"/>
  <c r="B47" i="6"/>
  <c r="B46" i="6"/>
  <c r="B45" i="6"/>
  <c r="B63" i="6"/>
  <c r="B62" i="6"/>
  <c r="B61" i="6"/>
  <c r="B60" i="6"/>
  <c r="B59" i="6"/>
  <c r="B58" i="6"/>
  <c r="B57" i="6"/>
  <c r="B56" i="6"/>
  <c r="B55" i="6"/>
  <c r="B54" i="6"/>
  <c r="B53" i="6"/>
  <c r="B65" i="6"/>
  <c r="B64" i="6"/>
  <c r="G34" i="5"/>
  <c r="D34" i="5"/>
  <c r="R4" i="8" a="1"/>
  <c r="R4" i="8" s="1"/>
  <c r="R5" i="8" a="1"/>
  <c r="R5" i="8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3" i="8" a="1"/>
  <c r="R3" i="8" s="1"/>
  <c r="AN4" i="6" a="1"/>
  <c r="AN4" i="6" s="1"/>
  <c r="AN5" i="6" a="1"/>
  <c r="AN5" i="6" s="1"/>
  <c r="AN6" i="6" a="1"/>
  <c r="AN6" i="6" s="1"/>
  <c r="AN7" i="6" a="1"/>
  <c r="AN7" i="6" s="1"/>
  <c r="AN8" i="6" a="1"/>
  <c r="AN8" i="6" s="1"/>
  <c r="AN9" i="6" a="1"/>
  <c r="AN9" i="6" s="1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 s="1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 s="1"/>
  <c r="AN38" i="6" a="1"/>
  <c r="AN38" i="6" s="1"/>
  <c r="AN39" i="6" a="1"/>
  <c r="AN39" i="6" s="1"/>
  <c r="AN40" i="6" a="1"/>
  <c r="AN40" i="6" s="1"/>
  <c r="AN41" i="6" a="1"/>
  <c r="AN41" i="6" s="1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W12" i="6" a="1"/>
  <c r="W12" i="6" s="1"/>
  <c r="W13" i="6" a="1"/>
  <c r="W13" i="6" s="1"/>
  <c r="W14" i="6" a="1"/>
  <c r="W14" i="6" s="1"/>
  <c r="W15" i="6" a="1"/>
  <c r="W15" i="6" s="1"/>
  <c r="W16" i="6" a="1"/>
  <c r="W16" i="6"/>
  <c r="W17" i="6" a="1"/>
  <c r="W17" i="6" s="1"/>
  <c r="W18" i="6" a="1"/>
  <c r="W18" i="6" s="1"/>
  <c r="W19" i="6" a="1"/>
  <c r="W19" i="6" s="1"/>
  <c r="W20" i="6" a="1"/>
  <c r="W20" i="6" s="1"/>
  <c r="W21" i="6" a="1"/>
  <c r="W21" i="6" s="1"/>
  <c r="W22" i="6" a="1"/>
  <c r="W22" i="6" s="1"/>
  <c r="W23" i="6" a="1"/>
  <c r="W23" i="6" s="1"/>
  <c r="W24" i="6" a="1"/>
  <c r="W24" i="6" s="1"/>
  <c r="W25" i="6" a="1"/>
  <c r="W25" i="6" s="1"/>
  <c r="W26" i="6" a="1"/>
  <c r="W26" i="6" s="1"/>
  <c r="W27" i="6" a="1"/>
  <c r="W27" i="6" s="1"/>
  <c r="W28" i="6" a="1"/>
  <c r="W28" i="6" s="1"/>
  <c r="W29" i="6" a="1"/>
  <c r="W29" i="6" s="1"/>
  <c r="W30" i="6" a="1"/>
  <c r="W30" i="6" s="1"/>
  <c r="W31" i="6" a="1"/>
  <c r="W31" i="6" s="1"/>
  <c r="W32" i="6" a="1"/>
  <c r="W32" i="6" s="1"/>
  <c r="W33" i="6" a="1"/>
  <c r="W33" i="6" s="1"/>
  <c r="W34" i="6" a="1"/>
  <c r="W34" i="6" s="1"/>
  <c r="W35" i="6" a="1"/>
  <c r="W35" i="6" s="1"/>
  <c r="W36" i="6" a="1"/>
  <c r="W36" i="6" s="1"/>
  <c r="W37" i="6" a="1"/>
  <c r="W37" i="6" s="1"/>
  <c r="W38" i="6" a="1"/>
  <c r="W38" i="6" s="1"/>
  <c r="W39" i="6" a="1"/>
  <c r="W39" i="6" s="1"/>
  <c r="W40" i="6" a="1"/>
  <c r="W40" i="6" s="1"/>
  <c r="W41" i="6" a="1"/>
  <c r="W41" i="6" s="1"/>
  <c r="W42" i="6" a="1"/>
  <c r="W42" i="6" s="1"/>
  <c r="W43" i="6" a="1"/>
  <c r="W43" i="6" s="1"/>
  <c r="W44" i="6" a="1"/>
  <c r="W44" i="6" s="1"/>
  <c r="W45" i="6" a="1"/>
  <c r="W45" i="6" s="1"/>
  <c r="W46" i="6" a="1"/>
  <c r="W46" i="6" s="1"/>
  <c r="W47" i="6" a="1"/>
  <c r="W47" i="6" s="1"/>
  <c r="W48" i="6" a="1"/>
  <c r="W48" i="6" s="1"/>
  <c r="W49" i="6" a="1"/>
  <c r="W49" i="6" s="1"/>
  <c r="W50" i="6" a="1"/>
  <c r="W50" i="6" s="1"/>
  <c r="W51" i="6" a="1"/>
  <c r="W51" i="6" s="1"/>
  <c r="W52" i="6" a="1"/>
  <c r="W52" i="6" s="1"/>
  <c r="W53" i="6" a="1"/>
  <c r="W53" i="6" s="1"/>
  <c r="W54" i="6" a="1"/>
  <c r="W54" i="6" s="1"/>
  <c r="W55" i="6" a="1"/>
  <c r="W55" i="6" s="1"/>
  <c r="W56" i="6" a="1"/>
  <c r="W56" i="6" s="1"/>
  <c r="W57" i="6" a="1"/>
  <c r="W57" i="6" s="1"/>
  <c r="W58" i="6" a="1"/>
  <c r="W58" i="6" s="1"/>
  <c r="W59" i="6" a="1"/>
  <c r="W59" i="6" s="1"/>
  <c r="W60" i="6" a="1"/>
  <c r="W60" i="6" s="1"/>
  <c r="W61" i="6" a="1"/>
  <c r="W61" i="6" s="1"/>
  <c r="W62" i="6" a="1"/>
  <c r="W62" i="6" s="1"/>
  <c r="W63" i="6" a="1"/>
  <c r="W63" i="6" s="1"/>
  <c r="W64" i="6" a="1"/>
  <c r="W64" i="6" s="1"/>
  <c r="W65" i="6" a="1"/>
  <c r="W65" i="6" s="1"/>
  <c r="W66" i="6" a="1"/>
  <c r="W66" i="6" s="1"/>
  <c r="W67" i="6" a="1"/>
  <c r="W67" i="6" s="1"/>
  <c r="W68" i="6" a="1"/>
  <c r="W68" i="6" s="1"/>
  <c r="W69" i="6" a="1"/>
  <c r="W69" i="6" s="1"/>
  <c r="W70" i="6" a="1"/>
  <c r="W70" i="6" s="1"/>
  <c r="W71" i="6" a="1"/>
  <c r="W71" i="6" s="1"/>
  <c r="W72" i="6" a="1"/>
  <c r="W72" i="6" s="1"/>
  <c r="W73" i="6" a="1"/>
  <c r="W73" i="6" s="1"/>
  <c r="W74" i="6" a="1"/>
  <c r="W74" i="6" s="1"/>
  <c r="W75" i="6" a="1"/>
  <c r="W75" i="6" s="1"/>
  <c r="W76" i="6" a="1"/>
  <c r="W76" i="6" s="1"/>
  <c r="W77" i="6" a="1"/>
  <c r="W77" i="6" s="1"/>
  <c r="W78" i="6" a="1"/>
  <c r="W78" i="6" s="1"/>
  <c r="W79" i="6" a="1"/>
  <c r="W79" i="6" s="1"/>
  <c r="W80" i="6" a="1"/>
  <c r="W80" i="6" s="1"/>
  <c r="W81" i="6" a="1"/>
  <c r="W81" i="6" s="1"/>
  <c r="W82" i="6" a="1"/>
  <c r="W82" i="6" s="1"/>
  <c r="W83" i="6" a="1"/>
  <c r="W83" i="6" s="1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 s="1"/>
  <c r="W90" i="6" a="1"/>
  <c r="W90" i="6" s="1"/>
  <c r="W91" i="6" a="1"/>
  <c r="W91" i="6" s="1"/>
  <c r="W92" i="6" a="1"/>
  <c r="W92" i="6" s="1"/>
  <c r="W93" i="6" a="1"/>
  <c r="W93" i="6" s="1"/>
  <c r="W94" i="6" a="1"/>
  <c r="W94" i="6"/>
  <c r="W95" i="6" a="1"/>
  <c r="W95" i="6" s="1"/>
  <c r="W96" i="6" a="1"/>
  <c r="W96" i="6" s="1"/>
  <c r="W97" i="6" a="1"/>
  <c r="W97" i="6" s="1"/>
  <c r="W98" i="6" a="1"/>
  <c r="W98" i="6" s="1"/>
  <c r="W99" i="6" a="1"/>
  <c r="W99" i="6" s="1"/>
  <c r="W100" i="6" a="1"/>
  <c r="W100" i="6" s="1"/>
  <c r="W101" i="6" a="1"/>
  <c r="W101" i="6" s="1"/>
  <c r="W102" i="6" a="1"/>
  <c r="W102" i="6" s="1"/>
  <c r="W103" i="6" a="1"/>
  <c r="W103" i="6" s="1"/>
  <c r="W104" i="6" a="1"/>
  <c r="W104" i="6" s="1"/>
  <c r="W105" i="6" a="1"/>
  <c r="W105" i="6" s="1"/>
  <c r="W106" i="6" a="1"/>
  <c r="W106" i="6" s="1"/>
  <c r="W107" i="6" a="1"/>
  <c r="W107" i="6" s="1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 s="1"/>
  <c r="W116" i="6" a="1"/>
  <c r="W116" i="6" s="1"/>
  <c r="W117" i="6" a="1"/>
  <c r="W117" i="6" s="1"/>
  <c r="W118" i="6" a="1"/>
  <c r="W118" i="6" s="1"/>
  <c r="W119" i="6" a="1"/>
  <c r="W119" i="6" s="1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 s="1"/>
  <c r="W128" i="6" a="1"/>
  <c r="W128" i="6" s="1"/>
  <c r="W129" i="6" a="1"/>
  <c r="W129" i="6" s="1"/>
  <c r="W130" i="6" a="1"/>
  <c r="W130" i="6" s="1"/>
  <c r="W131" i="6" a="1"/>
  <c r="W131" i="6" s="1"/>
  <c r="W132" i="6" a="1"/>
  <c r="W132" i="6" s="1"/>
  <c r="W133" i="6" a="1"/>
  <c r="W133" i="6" s="1"/>
  <c r="W134" i="6" a="1"/>
  <c r="W134" i="6" s="1"/>
  <c r="W135" i="6" a="1"/>
  <c r="W135" i="6" s="1"/>
  <c r="W136" i="6" a="1"/>
  <c r="W136" i="6"/>
  <c r="W137" i="6" a="1"/>
  <c r="W137" i="6" s="1"/>
  <c r="W138" i="6" a="1"/>
  <c r="W138" i="6" s="1"/>
  <c r="W139" i="6" a="1"/>
  <c r="W139" i="6" s="1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 s="1"/>
  <c r="W148" i="6" a="1"/>
  <c r="W148" i="6" s="1"/>
  <c r="W149" i="6" a="1"/>
  <c r="W149" i="6" s="1"/>
  <c r="W150" i="6" a="1"/>
  <c r="W150" i="6" s="1"/>
  <c r="W151" i="6" a="1"/>
  <c r="W151" i="6" s="1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 s="1"/>
  <c r="W160" i="6" a="1"/>
  <c r="W160" i="6" s="1"/>
  <c r="W161" i="6" a="1"/>
  <c r="W161" i="6" s="1"/>
  <c r="W162" i="6" a="1"/>
  <c r="W162" i="6" s="1"/>
  <c r="W163" i="6" a="1"/>
  <c r="W163" i="6" s="1"/>
  <c r="W164" i="6" a="1"/>
  <c r="W164" i="6" s="1"/>
  <c r="W165" i="6" a="1"/>
  <c r="W165" i="6" s="1"/>
  <c r="W166" i="6" a="1"/>
  <c r="W166" i="6" s="1"/>
  <c r="W167" i="6" a="1"/>
  <c r="W167" i="6" s="1"/>
  <c r="W168" i="6" a="1"/>
  <c r="W168" i="6" s="1"/>
  <c r="W169" i="6" a="1"/>
  <c r="W169" i="6" s="1"/>
  <c r="W170" i="6" a="1"/>
  <c r="W170" i="6" s="1"/>
  <c r="W171" i="6" a="1"/>
  <c r="W171" i="6" s="1"/>
  <c r="W172" i="6" a="1"/>
  <c r="W172" i="6"/>
  <c r="W173" i="6" a="1"/>
  <c r="W173" i="6" s="1"/>
  <c r="W174" i="6" a="1"/>
  <c r="W174" i="6" s="1"/>
  <c r="W175" i="6" a="1"/>
  <c r="W175" i="6" s="1"/>
  <c r="W4" i="6" a="1"/>
  <c r="W4" i="6" s="1"/>
  <c r="W5" i="6" a="1"/>
  <c r="W5" i="6" s="1"/>
  <c r="W6" i="6" a="1"/>
  <c r="W6" i="6" s="1"/>
  <c r="W7" i="6" a="1"/>
  <c r="W7" i="6" s="1"/>
  <c r="W8" i="6" a="1"/>
  <c r="W8" i="6" s="1"/>
  <c r="W9" i="6" a="1"/>
  <c r="W9" i="6" s="1"/>
  <c r="W10" i="6" a="1"/>
  <c r="W10" i="6" s="1"/>
  <c r="W11" i="6" a="1"/>
  <c r="W11" i="6" s="1"/>
  <c r="AG4" i="5" a="1"/>
  <c r="AG4" i="5"/>
  <c r="AG5" i="5" a="1"/>
  <c r="AG5" i="5" s="1"/>
  <c r="AG6" i="5" a="1"/>
  <c r="AG6" i="5" s="1"/>
  <c r="AG7" i="5" a="1"/>
  <c r="AG7" i="5" s="1"/>
  <c r="AG8" i="5" a="1"/>
  <c r="AG8" i="5" s="1"/>
  <c r="AG9" i="5" a="1"/>
  <c r="AG9" i="5" s="1"/>
  <c r="AG10" i="5" a="1"/>
  <c r="AG10" i="5" s="1"/>
  <c r="AG11" i="5" a="1"/>
  <c r="AG11" i="5" s="1"/>
  <c r="AG12" i="5" a="1"/>
  <c r="AG12" i="5" s="1"/>
  <c r="AG13" i="5" a="1"/>
  <c r="AG13" i="5" s="1"/>
  <c r="AG14" i="5" a="1"/>
  <c r="AG14" i="5" s="1"/>
  <c r="AV3" i="4" a="1"/>
  <c r="AV3" i="4" s="1"/>
  <c r="P3" i="2"/>
  <c r="H2" i="10"/>
  <c r="G2" i="10"/>
  <c r="W4" i="2"/>
  <c r="U3" i="9" a="1"/>
  <c r="U3" i="9" s="1"/>
  <c r="U21" i="9"/>
  <c r="U21" i="9" a="1"/>
  <c r="U20" i="9" a="1"/>
  <c r="U20" i="9" s="1"/>
  <c r="U19" i="9" a="1"/>
  <c r="U19" i="9" s="1"/>
  <c r="U18" i="9" a="1"/>
  <c r="U18" i="9" s="1"/>
  <c r="U17" i="9" a="1"/>
  <c r="U17" i="9" s="1"/>
  <c r="U16" i="9" a="1"/>
  <c r="U16" i="9" s="1"/>
  <c r="U15" i="9" a="1"/>
  <c r="U15" i="9" s="1"/>
  <c r="U14" i="9" a="1"/>
  <c r="U14" i="9" s="1"/>
  <c r="U13" i="9" a="1"/>
  <c r="U13" i="9" s="1"/>
  <c r="U12" i="9"/>
  <c r="U12" i="9" a="1"/>
  <c r="U11" i="9" a="1"/>
  <c r="U11" i="9" s="1"/>
  <c r="U10" i="9" a="1"/>
  <c r="U10" i="9" s="1"/>
  <c r="U9" i="9"/>
  <c r="U9" i="9" a="1"/>
  <c r="U8" i="9" a="1"/>
  <c r="U8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 s="1"/>
  <c r="AN6" i="7" a="1"/>
  <c r="AN6" i="7" s="1"/>
  <c r="AN7" i="7" a="1"/>
  <c r="AN7" i="7" s="1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 s="1"/>
  <c r="AN14" i="7" a="1"/>
  <c r="AN14" i="7" s="1"/>
  <c r="AN15" i="7" a="1"/>
  <c r="AN15" i="7" s="1"/>
  <c r="AN16" i="7" a="1"/>
  <c r="AN16" i="7" s="1"/>
  <c r="AN17" i="7" a="1"/>
  <c r="AN17" i="7" s="1"/>
  <c r="AN18" i="7" a="1"/>
  <c r="AN18" i="7" s="1"/>
  <c r="AN19" i="7" a="1"/>
  <c r="AN19" i="7" s="1"/>
  <c r="AN20" i="7" a="1"/>
  <c r="AN20" i="7"/>
  <c r="AN21" i="7" a="1"/>
  <c r="AN21" i="7" s="1"/>
  <c r="AN22" i="7" a="1"/>
  <c r="AN22" i="7"/>
  <c r="AN23" i="7" a="1"/>
  <c r="AN23" i="7" s="1"/>
  <c r="AN24" i="7" a="1"/>
  <c r="AN24" i="7" s="1"/>
  <c r="AN25" i="7" a="1"/>
  <c r="AN25" i="7" s="1"/>
  <c r="AN26" i="7" a="1"/>
  <c r="AN26" i="7"/>
  <c r="AN27" i="7" a="1"/>
  <c r="AN27" i="7" s="1"/>
  <c r="AN28" i="7" a="1"/>
  <c r="AN28" i="7"/>
  <c r="AN29" i="7" a="1"/>
  <c r="AN29" i="7" s="1"/>
  <c r="AN30" i="7" a="1"/>
  <c r="AN30" i="7" s="1"/>
  <c r="AN31" i="7" a="1"/>
  <c r="AN31" i="7" s="1"/>
  <c r="AN32" i="7" a="1"/>
  <c r="AN32" i="7" s="1"/>
  <c r="AN33" i="7" a="1"/>
  <c r="AN33" i="7" s="1"/>
  <c r="AN34" i="7" a="1"/>
  <c r="AN34" i="7" s="1"/>
  <c r="AN35" i="7" a="1"/>
  <c r="AN35" i="7" s="1"/>
  <c r="AN36" i="7" a="1"/>
  <c r="AN36" i="7"/>
  <c r="AN37" i="7" a="1"/>
  <c r="AN37" i="7" s="1"/>
  <c r="AN38" i="7" a="1"/>
  <c r="AN38" i="7" s="1"/>
  <c r="AN39" i="7" a="1"/>
  <c r="AN39" i="7" s="1"/>
  <c r="AN40" i="7" a="1"/>
  <c r="AN40" i="7" s="1"/>
  <c r="AN41" i="7" a="1"/>
  <c r="AN41" i="7" s="1"/>
  <c r="AN42" i="7" a="1"/>
  <c r="AN42" i="7"/>
  <c r="AN43" i="7" a="1"/>
  <c r="AN43" i="7" s="1"/>
  <c r="AN44" i="7" a="1"/>
  <c r="AN44" i="7"/>
  <c r="AN45" i="7" a="1"/>
  <c r="AN45" i="7" s="1"/>
  <c r="AN46" i="7" a="1"/>
  <c r="AN46" i="7" s="1"/>
  <c r="AN47" i="7" a="1"/>
  <c r="AN47" i="7" s="1"/>
  <c r="AN48" i="7" a="1"/>
  <c r="AN48" i="7" s="1"/>
  <c r="AN49" i="7" a="1"/>
  <c r="AN49" i="7" s="1"/>
  <c r="AN50" i="7" a="1"/>
  <c r="AN50" i="7" s="1"/>
  <c r="AN51" i="7" a="1"/>
  <c r="AN51" i="7" s="1"/>
  <c r="AN52" i="7" a="1"/>
  <c r="AN52" i="7"/>
  <c r="AN53" i="7" a="1"/>
  <c r="AN53" i="7" s="1"/>
  <c r="AN54" i="7" a="1"/>
  <c r="AN54" i="7"/>
  <c r="AN55" i="7" a="1"/>
  <c r="AN55" i="7" s="1"/>
  <c r="AN56" i="7" a="1"/>
  <c r="AN56" i="7" s="1"/>
  <c r="AN57" i="7" a="1"/>
  <c r="AN57" i="7" s="1"/>
  <c r="AN58" i="7" a="1"/>
  <c r="AN58" i="7"/>
  <c r="AN59" i="7" a="1"/>
  <c r="AN59" i="7" s="1"/>
  <c r="AN60" i="7" a="1"/>
  <c r="AN60" i="7"/>
  <c r="AN61" i="7" a="1"/>
  <c r="AN61" i="7" s="1"/>
  <c r="AN62" i="7" a="1"/>
  <c r="AN62" i="7" s="1"/>
  <c r="AN63" i="7" a="1"/>
  <c r="AN63" i="7" s="1"/>
  <c r="AN64" i="7" a="1"/>
  <c r="AN64" i="7" s="1"/>
  <c r="AN65" i="7" a="1"/>
  <c r="AN65" i="7" s="1"/>
  <c r="AN66" i="7" a="1"/>
  <c r="AN66" i="7" s="1"/>
  <c r="AN67" i="7" a="1"/>
  <c r="AN67" i="7" s="1"/>
  <c r="AN68" i="7" a="1"/>
  <c r="AN68" i="7"/>
  <c r="AN69" i="7" a="1"/>
  <c r="AN69" i="7" s="1"/>
  <c r="AN70" i="7" a="1"/>
  <c r="AN70" i="7"/>
  <c r="AN71" i="7" a="1"/>
  <c r="AN71" i="7" s="1"/>
  <c r="AN72" i="7" a="1"/>
  <c r="AN72" i="7" s="1"/>
  <c r="AN73" i="7" a="1"/>
  <c r="AN73" i="7" s="1"/>
  <c r="AN74" i="7" a="1"/>
  <c r="AN74" i="7"/>
  <c r="AN75" i="7" a="1"/>
  <c r="AN75" i="7" s="1"/>
  <c r="AN76" i="7" a="1"/>
  <c r="AN76" i="7"/>
  <c r="AN77" i="7" a="1"/>
  <c r="AN77" i="7" s="1"/>
  <c r="AN78" i="7" a="1"/>
  <c r="AN78" i="7" s="1"/>
  <c r="AN79" i="7" a="1"/>
  <c r="AN79" i="7" s="1"/>
  <c r="AN80" i="7" a="1"/>
  <c r="AN80" i="7" s="1"/>
  <c r="AN81" i="7" a="1"/>
  <c r="AN81" i="7" s="1"/>
  <c r="AN82" i="7" a="1"/>
  <c r="AN82" i="7"/>
  <c r="AN83" i="7" a="1"/>
  <c r="AN83" i="7" s="1"/>
  <c r="AN84" i="7" a="1"/>
  <c r="AN84" i="7" s="1"/>
  <c r="AN85" i="7" a="1"/>
  <c r="AN85" i="7" s="1"/>
  <c r="AN86" i="7" a="1"/>
  <c r="AN86" i="7"/>
  <c r="AN87" i="7" a="1"/>
  <c r="AN87" i="7" s="1"/>
  <c r="AN88" i="7" a="1"/>
  <c r="AN88" i="7" s="1"/>
  <c r="AN89" i="7" a="1"/>
  <c r="AN89" i="7" s="1"/>
  <c r="AN90" i="7" a="1"/>
  <c r="AN90" i="7" s="1"/>
  <c r="AN91" i="7" a="1"/>
  <c r="AN91" i="7" s="1"/>
  <c r="AN92" i="7" a="1"/>
  <c r="AN92" i="7" s="1"/>
  <c r="AN93" i="7" a="1"/>
  <c r="AN93" i="7" s="1"/>
  <c r="AN94" i="7" a="1"/>
  <c r="AN94" i="7" s="1"/>
  <c r="AN95" i="7" a="1"/>
  <c r="AN95" i="7" s="1"/>
  <c r="AN96" i="7" a="1"/>
  <c r="AN96" i="7" s="1"/>
  <c r="AN97" i="7" a="1"/>
  <c r="AN97" i="7" s="1"/>
  <c r="AN98" i="7" a="1"/>
  <c r="AN98" i="7"/>
  <c r="AN99" i="7" a="1"/>
  <c r="AN99" i="7" s="1"/>
  <c r="AN100" i="7" a="1"/>
  <c r="AN100" i="7" s="1"/>
  <c r="AN101" i="7" a="1"/>
  <c r="AN101" i="7" s="1"/>
  <c r="AN102" i="7" a="1"/>
  <c r="AN102" i="7" s="1"/>
  <c r="AN103" i="7" a="1"/>
  <c r="AN103" i="7" s="1"/>
  <c r="AN104" i="7" a="1"/>
  <c r="AN104" i="7" s="1"/>
  <c r="AN105" i="7" a="1"/>
  <c r="AN105" i="7" s="1"/>
  <c r="AN106" i="7" a="1"/>
  <c r="AN106" i="7" s="1"/>
  <c r="AN107" i="7" a="1"/>
  <c r="AN107" i="7" s="1"/>
  <c r="AN108" i="7" a="1"/>
  <c r="AN108" i="7" s="1"/>
  <c r="AN109" i="7" a="1"/>
  <c r="AN109" i="7" s="1"/>
  <c r="AN110" i="7" a="1"/>
  <c r="AN110" i="7" s="1"/>
  <c r="AN111" i="7" a="1"/>
  <c r="AN111" i="7" s="1"/>
  <c r="AN112" i="7" a="1"/>
  <c r="AN112" i="7" s="1"/>
  <c r="AN113" i="7" a="1"/>
  <c r="AN113" i="7" s="1"/>
  <c r="AN114" i="7" a="1"/>
  <c r="AN114" i="7"/>
  <c r="AN115" i="7" a="1"/>
  <c r="AN115" i="7" s="1"/>
  <c r="AN116" i="7" a="1"/>
  <c r="AN116" i="7" s="1"/>
  <c r="AN117" i="7" a="1"/>
  <c r="AN117" i="7" s="1"/>
  <c r="AN118" i="7" a="1"/>
  <c r="AN118" i="7"/>
  <c r="AN119" i="7" a="1"/>
  <c r="AN119" i="7" s="1"/>
  <c r="AN120" i="7" a="1"/>
  <c r="AN120" i="7" s="1"/>
  <c r="AN121" i="7" a="1"/>
  <c r="AN121" i="7" s="1"/>
  <c r="AN122" i="7" a="1"/>
  <c r="AN122" i="7" s="1"/>
  <c r="AN123" i="7" a="1"/>
  <c r="AN123" i="7" s="1"/>
  <c r="AN124" i="7" a="1"/>
  <c r="AN124" i="7" s="1"/>
  <c r="AN125" i="7" a="1"/>
  <c r="AN125" i="7" s="1"/>
  <c r="AN126" i="7" a="1"/>
  <c r="AN126" i="7" s="1"/>
  <c r="AN127" i="7" a="1"/>
  <c r="AN127" i="7" s="1"/>
  <c r="AN128" i="7" a="1"/>
  <c r="AN128" i="7" s="1"/>
  <c r="AN129" i="7" a="1"/>
  <c r="AN129" i="7" s="1"/>
  <c r="AN130" i="7" a="1"/>
  <c r="AN130" i="7"/>
  <c r="AN131" i="7" a="1"/>
  <c r="AN131" i="7" s="1"/>
  <c r="AN132" i="7" a="1"/>
  <c r="AN132" i="7" s="1"/>
  <c r="AN133" i="7" a="1"/>
  <c r="AN133" i="7" s="1"/>
  <c r="AN134" i="7" a="1"/>
  <c r="AN134" i="7" s="1"/>
  <c r="AN135" i="7" a="1"/>
  <c r="AN135" i="7" s="1"/>
  <c r="AN136" i="7" a="1"/>
  <c r="AN136" i="7" s="1"/>
  <c r="AN137" i="7" a="1"/>
  <c r="AN137" i="7" s="1"/>
  <c r="AN138" i="7" a="1"/>
  <c r="AN138" i="7" s="1"/>
  <c r="AN139" i="7" a="1"/>
  <c r="AN139" i="7" s="1"/>
  <c r="AN140" i="7" a="1"/>
  <c r="AN140" i="7" s="1"/>
  <c r="AN141" i="7" a="1"/>
  <c r="AN141" i="7" s="1"/>
  <c r="AN142" i="7" a="1"/>
  <c r="AN142" i="7" s="1"/>
  <c r="AN143" i="7" a="1"/>
  <c r="AN143" i="7" s="1"/>
  <c r="AN144" i="7" a="1"/>
  <c r="AN144" i="7" s="1"/>
  <c r="AN145" i="7" a="1"/>
  <c r="AN145" i="7" s="1"/>
  <c r="AN146" i="7" a="1"/>
  <c r="AN146" i="7"/>
  <c r="AN147" i="7" a="1"/>
  <c r="AN147" i="7" s="1"/>
  <c r="AN148" i="7" a="1"/>
  <c r="AN148" i="7" s="1"/>
  <c r="AN149" i="7" a="1"/>
  <c r="AN149" i="7" s="1"/>
  <c r="AN150" i="7" a="1"/>
  <c r="AN150" i="7"/>
  <c r="AN151" i="7" a="1"/>
  <c r="AN151" i="7" s="1"/>
  <c r="AN152" i="7" a="1"/>
  <c r="AN152" i="7" s="1"/>
  <c r="AN153" i="7" a="1"/>
  <c r="AN153" i="7" s="1"/>
  <c r="AN154" i="7" a="1"/>
  <c r="AN154" i="7" s="1"/>
  <c r="AN155" i="7" a="1"/>
  <c r="AN155" i="7" s="1"/>
  <c r="AN156" i="7" a="1"/>
  <c r="AN156" i="7" s="1"/>
  <c r="AN157" i="7" a="1"/>
  <c r="AN157" i="7" s="1"/>
  <c r="AN158" i="7" a="1"/>
  <c r="AN158" i="7" s="1"/>
  <c r="AN159" i="7" a="1"/>
  <c r="AN159" i="7" s="1"/>
  <c r="AN160" i="7" a="1"/>
  <c r="AN160" i="7" s="1"/>
  <c r="AN161" i="7" a="1"/>
  <c r="AN161" i="7" s="1"/>
  <c r="AN162" i="7" a="1"/>
  <c r="AN162" i="7"/>
  <c r="AN163" i="7" a="1"/>
  <c r="AN163" i="7" s="1"/>
  <c r="AN164" i="7" a="1"/>
  <c r="AN164" i="7" s="1"/>
  <c r="AN165" i="7" a="1"/>
  <c r="AN165" i="7" s="1"/>
  <c r="AN166" i="7" a="1"/>
  <c r="AN166" i="7"/>
  <c r="AN167" i="7" a="1"/>
  <c r="AN167" i="7" s="1"/>
  <c r="AN168" i="7" a="1"/>
  <c r="AN168" i="7" s="1"/>
  <c r="AN169" i="7" a="1"/>
  <c r="AN169" i="7" s="1"/>
  <c r="AN170" i="7" a="1"/>
  <c r="AN170" i="7" s="1"/>
  <c r="AN171" i="7" a="1"/>
  <c r="AN171" i="7" s="1"/>
  <c r="AN172" i="7" a="1"/>
  <c r="AN172" i="7" s="1"/>
  <c r="AN173" i="7" a="1"/>
  <c r="AN173" i="7" s="1"/>
  <c r="AN174" i="7" a="1"/>
  <c r="AN174" i="7" s="1"/>
  <c r="AN175" i="7" a="1"/>
  <c r="AN175" i="7" s="1"/>
  <c r="AN176" i="7" a="1"/>
  <c r="AN176" i="7" s="1"/>
  <c r="AN177" i="7" a="1"/>
  <c r="AN177" i="7" s="1"/>
  <c r="AN3" i="7" a="1"/>
  <c r="AN3" i="7" s="1"/>
  <c r="AN3" i="6" a="1"/>
  <c r="AN3" i="6" s="1"/>
  <c r="BD4" i="5" a="1"/>
  <c r="BD4" i="5" s="1"/>
  <c r="BD5" i="5" a="1"/>
  <c r="BD5" i="5" s="1"/>
  <c r="BD6" i="5" a="1"/>
  <c r="BD6" i="5" s="1"/>
  <c r="BD7" i="5" a="1"/>
  <c r="BD7" i="5" s="1"/>
  <c r="BD8" i="5" a="1"/>
  <c r="BD8" i="5" s="1"/>
  <c r="BD9" i="5" a="1"/>
  <c r="BD9" i="5" s="1"/>
  <c r="BD10" i="5" a="1"/>
  <c r="BD10" i="5" s="1"/>
  <c r="BD11" i="5" a="1"/>
  <c r="BD11" i="5" s="1"/>
  <c r="BD12" i="5" a="1"/>
  <c r="BD12" i="5" s="1"/>
  <c r="BD13" i="5" a="1"/>
  <c r="BD13" i="5" s="1"/>
  <c r="BD14" i="5" a="1"/>
  <c r="BD14" i="5" s="1"/>
  <c r="BD15" i="5" a="1"/>
  <c r="BD15" i="5" s="1"/>
  <c r="BD16" i="5" a="1"/>
  <c r="BD16" i="5" s="1"/>
  <c r="BD17" i="5" a="1"/>
  <c r="BD17" i="5" s="1"/>
  <c r="BD18" i="5" a="1"/>
  <c r="BD18" i="5" s="1"/>
  <c r="BD19" i="5" a="1"/>
  <c r="BD19" i="5" s="1"/>
  <c r="BD20" i="5" a="1"/>
  <c r="BD20" i="5" s="1"/>
  <c r="BD21" i="5" a="1"/>
  <c r="BD21" i="5" s="1"/>
  <c r="BD22" i="5" a="1"/>
  <c r="BD22" i="5" s="1"/>
  <c r="BD23" i="5" a="1"/>
  <c r="BD23" i="5" s="1"/>
  <c r="BD24" i="5" a="1"/>
  <c r="BD24" i="5" s="1"/>
  <c r="BD25" i="5" a="1"/>
  <c r="BD25" i="5" s="1"/>
  <c r="BD26" i="5" a="1"/>
  <c r="BD26" i="5" s="1"/>
  <c r="BD27" i="5" a="1"/>
  <c r="BD27" i="5" s="1"/>
  <c r="BD28" i="5" a="1"/>
  <c r="BD28" i="5" s="1"/>
  <c r="BD29" i="5" a="1"/>
  <c r="BD29" i="5" s="1"/>
  <c r="BD30" i="5" a="1"/>
  <c r="BD30" i="5" s="1"/>
  <c r="BD31" i="5" a="1"/>
  <c r="BD31" i="5" s="1"/>
  <c r="BD32" i="5" a="1"/>
  <c r="BD32" i="5" s="1"/>
  <c r="BD33" i="5" a="1"/>
  <c r="BD33" i="5" s="1"/>
  <c r="BD34" i="5" a="1"/>
  <c r="BD34" i="5" s="1"/>
  <c r="BD35" i="5" a="1"/>
  <c r="BD35" i="5" s="1"/>
  <c r="BD36" i="5" a="1"/>
  <c r="BD36" i="5" s="1"/>
  <c r="BD37" i="5" a="1"/>
  <c r="BD37" i="5" s="1"/>
  <c r="BD38" i="5" a="1"/>
  <c r="BD38" i="5" s="1"/>
  <c r="BD39" i="5" a="1"/>
  <c r="BD39" i="5" s="1"/>
  <c r="BD40" i="5" a="1"/>
  <c r="BD40" i="5" s="1"/>
  <c r="BD41" i="5" a="1"/>
  <c r="BD41" i="5" s="1"/>
  <c r="BD43" i="5" a="1"/>
  <c r="BD43" i="5" s="1"/>
  <c r="BD44" i="5" a="1"/>
  <c r="BD44" i="5" s="1"/>
  <c r="BD45" i="5" a="1"/>
  <c r="BD45" i="5" s="1"/>
  <c r="BD46" i="5" a="1"/>
  <c r="BD46" i="5" s="1"/>
  <c r="BD47" i="5" a="1"/>
  <c r="BD47" i="5" s="1"/>
  <c r="BD48" i="5" a="1"/>
  <c r="BD48" i="5" s="1"/>
  <c r="BD49" i="5" a="1"/>
  <c r="BD49" i="5" s="1"/>
  <c r="BD50" i="5" a="1"/>
  <c r="BD50" i="5" s="1"/>
  <c r="BD51" i="5" a="1"/>
  <c r="BD51" i="5" s="1"/>
  <c r="BD52" i="5" a="1"/>
  <c r="BD52" i="5" s="1"/>
  <c r="BD53" i="5" a="1"/>
  <c r="BD53" i="5" s="1"/>
  <c r="BD54" i="5" a="1"/>
  <c r="BD54" i="5" s="1"/>
  <c r="BD55" i="5" a="1"/>
  <c r="BD55" i="5" s="1"/>
  <c r="BD56" i="5" a="1"/>
  <c r="BD56" i="5" s="1"/>
  <c r="BD57" i="5" a="1"/>
  <c r="BD57" i="5" s="1"/>
  <c r="BD58" i="5" a="1"/>
  <c r="BD58" i="5" s="1"/>
  <c r="BD59" i="5" a="1"/>
  <c r="BD59" i="5" s="1"/>
  <c r="BD60" i="5" a="1"/>
  <c r="BD60" i="5" s="1"/>
  <c r="BD61" i="5" a="1"/>
  <c r="BD61" i="5" s="1"/>
  <c r="BD62" i="5" a="1"/>
  <c r="BD62" i="5" s="1"/>
  <c r="BD63" i="5" a="1"/>
  <c r="BD63" i="5" s="1"/>
  <c r="BD64" i="5" a="1"/>
  <c r="BD64" i="5" s="1"/>
  <c r="BD65" i="5" a="1"/>
  <c r="BD65" i="5" s="1"/>
  <c r="BD66" i="5" a="1"/>
  <c r="BD66" i="5" s="1"/>
  <c r="BD67" i="5" a="1"/>
  <c r="BD67" i="5" s="1"/>
  <c r="BD68" i="5" a="1"/>
  <c r="BD68" i="5" s="1"/>
  <c r="BD69" i="5" a="1"/>
  <c r="BD69" i="5" s="1"/>
  <c r="BD70" i="5" a="1"/>
  <c r="BD70" i="5" s="1"/>
  <c r="BD71" i="5" a="1"/>
  <c r="BD71" i="5" s="1"/>
  <c r="BD72" i="5" a="1"/>
  <c r="BD72" i="5" s="1"/>
  <c r="BD73" i="5" a="1"/>
  <c r="BD73" i="5" s="1"/>
  <c r="BD74" i="5" a="1"/>
  <c r="BD74" i="5" s="1"/>
  <c r="BD75" i="5" a="1"/>
  <c r="BD75" i="5" s="1"/>
  <c r="BD76" i="5" a="1"/>
  <c r="BD76" i="5" s="1"/>
  <c r="BD77" i="5" a="1"/>
  <c r="BD77" i="5" s="1"/>
  <c r="BD78" i="5" a="1"/>
  <c r="BD78" i="5" s="1"/>
  <c r="BD79" i="5" a="1"/>
  <c r="BD79" i="5" s="1"/>
  <c r="BD80" i="5" a="1"/>
  <c r="BD80" i="5" s="1"/>
  <c r="BD81" i="5" a="1"/>
  <c r="BD81" i="5" s="1"/>
  <c r="BD82" i="5" a="1"/>
  <c r="BD82" i="5" s="1"/>
  <c r="BD83" i="5" a="1"/>
  <c r="BD83" i="5"/>
  <c r="BD84" i="5" a="1"/>
  <c r="BD84" i="5" s="1"/>
  <c r="BD85" i="5" a="1"/>
  <c r="BD85" i="5" s="1"/>
  <c r="BD86" i="5" a="1"/>
  <c r="BD86" i="5" s="1"/>
  <c r="BD87" i="5" a="1"/>
  <c r="BD87" i="5" s="1"/>
  <c r="BD88" i="5" a="1"/>
  <c r="BD88" i="5" s="1"/>
  <c r="BD89" i="5" a="1"/>
  <c r="BD89" i="5" s="1"/>
  <c r="BD90" i="5" a="1"/>
  <c r="BD90" i="5" s="1"/>
  <c r="BD91" i="5" a="1"/>
  <c r="BD91" i="5" s="1"/>
  <c r="BD92" i="5" a="1"/>
  <c r="BD92" i="5" s="1"/>
  <c r="BD93" i="5" a="1"/>
  <c r="BD93" i="5" s="1"/>
  <c r="BD94" i="5" a="1"/>
  <c r="BD94" i="5" s="1"/>
  <c r="BD95" i="5" a="1"/>
  <c r="BD95" i="5" s="1"/>
  <c r="BD96" i="5" a="1"/>
  <c r="BD96" i="5" s="1"/>
  <c r="BD97" i="5" a="1"/>
  <c r="BD97" i="5" s="1"/>
  <c r="BD98" i="5" a="1"/>
  <c r="BD98" i="5" s="1"/>
  <c r="BD99" i="5" a="1"/>
  <c r="BD99" i="5" s="1"/>
  <c r="BD100" i="5" a="1"/>
  <c r="BD100" i="5" s="1"/>
  <c r="BD101" i="5" a="1"/>
  <c r="BD101" i="5" s="1"/>
  <c r="BD102" i="5" a="1"/>
  <c r="BD102" i="5"/>
  <c r="BD103" i="5" a="1"/>
  <c r="BD103" i="5" s="1"/>
  <c r="BD104" i="5" a="1"/>
  <c r="BD104" i="5" s="1"/>
  <c r="BD105" i="5" a="1"/>
  <c r="BD105" i="5" s="1"/>
  <c r="BD106" i="5" a="1"/>
  <c r="BD106" i="5" s="1"/>
  <c r="BD107" i="5" a="1"/>
  <c r="BD107" i="5" s="1"/>
  <c r="BD108" i="5" a="1"/>
  <c r="BD108" i="5" s="1"/>
  <c r="BD109" i="5" a="1"/>
  <c r="BD109" i="5" s="1"/>
  <c r="BD110" i="5" a="1"/>
  <c r="BD110" i="5" s="1"/>
  <c r="BD111" i="5" a="1"/>
  <c r="BD111" i="5" s="1"/>
  <c r="BD112" i="5" a="1"/>
  <c r="BD112" i="5"/>
  <c r="BD113" i="5" a="1"/>
  <c r="BD113" i="5" s="1"/>
  <c r="BD114" i="5" a="1"/>
  <c r="BD114" i="5" s="1"/>
  <c r="BD115" i="5" a="1"/>
  <c r="BD115" i="5" s="1"/>
  <c r="BD116" i="5" a="1"/>
  <c r="BD116" i="5" s="1"/>
  <c r="BD117" i="5" a="1"/>
  <c r="BD117" i="5" s="1"/>
  <c r="BD118" i="5" a="1"/>
  <c r="BD118" i="5" s="1"/>
  <c r="BD119" i="5" a="1"/>
  <c r="BD119" i="5" s="1"/>
  <c r="BD120" i="5" a="1"/>
  <c r="BD120" i="5" s="1"/>
  <c r="BD121" i="5" a="1"/>
  <c r="BD121" i="5" s="1"/>
  <c r="BD122" i="5" a="1"/>
  <c r="BD122" i="5" s="1"/>
  <c r="BD123" i="5" a="1"/>
  <c r="BD123" i="5" s="1"/>
  <c r="BD124" i="5" a="1"/>
  <c r="BD124" i="5" s="1"/>
  <c r="BD125" i="5" a="1"/>
  <c r="BD125" i="5" s="1"/>
  <c r="BD126" i="5" a="1"/>
  <c r="BD126" i="5" s="1"/>
  <c r="BD127" i="5" a="1"/>
  <c r="BD127" i="5" s="1"/>
  <c r="BD128" i="5" a="1"/>
  <c r="BD128" i="5"/>
  <c r="BD129" i="5" a="1"/>
  <c r="BD129" i="5" s="1"/>
  <c r="BD130" i="5" a="1"/>
  <c r="BD130" i="5" s="1"/>
  <c r="BD131" i="5" a="1"/>
  <c r="BD131" i="5"/>
  <c r="BD132" i="5" a="1"/>
  <c r="BD132" i="5" s="1"/>
  <c r="BD133" i="5" a="1"/>
  <c r="BD133" i="5" s="1"/>
  <c r="BD134" i="5" a="1"/>
  <c r="BD134" i="5" s="1"/>
  <c r="BD135" i="5" a="1"/>
  <c r="BD135" i="5" s="1"/>
  <c r="BD136" i="5" a="1"/>
  <c r="BD136" i="5" s="1"/>
  <c r="BD137" i="5" a="1"/>
  <c r="BD137" i="5" s="1"/>
  <c r="BD138" i="5" a="1"/>
  <c r="BD138" i="5" s="1"/>
  <c r="BD139" i="5" a="1"/>
  <c r="BD139" i="5" s="1"/>
  <c r="BD140" i="5" a="1"/>
  <c r="BD140" i="5" s="1"/>
  <c r="BD141" i="5" a="1"/>
  <c r="BD141" i="5" s="1"/>
  <c r="BD142" i="5" a="1"/>
  <c r="BD142" i="5" s="1"/>
  <c r="BD143" i="5" a="1"/>
  <c r="BD143" i="5" s="1"/>
  <c r="BD144" i="5" a="1"/>
  <c r="BD144" i="5" s="1"/>
  <c r="BD145" i="5" a="1"/>
  <c r="BD145" i="5" s="1"/>
  <c r="BD146" i="5" a="1"/>
  <c r="BD146" i="5" s="1"/>
  <c r="BD147" i="5" a="1"/>
  <c r="BD147" i="5" s="1"/>
  <c r="BD148" i="5" a="1"/>
  <c r="BD148" i="5" s="1"/>
  <c r="BD149" i="5" a="1"/>
  <c r="BD149" i="5" s="1"/>
  <c r="BD150" i="5" a="1"/>
  <c r="BD150" i="5" s="1"/>
  <c r="BD151" i="5" a="1"/>
  <c r="BD151" i="5" s="1"/>
  <c r="BD152" i="5" a="1"/>
  <c r="BD152" i="5" s="1"/>
  <c r="BD153" i="5" a="1"/>
  <c r="BD153" i="5" s="1"/>
  <c r="BD154" i="5" a="1"/>
  <c r="BD154" i="5" s="1"/>
  <c r="BD155" i="5" a="1"/>
  <c r="BD155" i="5" s="1"/>
  <c r="BD156" i="5" a="1"/>
  <c r="BD156" i="5" s="1"/>
  <c r="BD157" i="5" a="1"/>
  <c r="BD157" i="5" s="1"/>
  <c r="BD158" i="5" a="1"/>
  <c r="BD158" i="5" s="1"/>
  <c r="BD159" i="5" a="1"/>
  <c r="BD159" i="5" s="1"/>
  <c r="BD160" i="5" a="1"/>
  <c r="BD160" i="5" s="1"/>
  <c r="BD161" i="5" a="1"/>
  <c r="BD161" i="5" s="1"/>
  <c r="BD162" i="5" a="1"/>
  <c r="BD162" i="5" s="1"/>
  <c r="BD163" i="5" a="1"/>
  <c r="BD163" i="5" s="1"/>
  <c r="BD164" i="5" a="1"/>
  <c r="BD164" i="5" s="1"/>
  <c r="BD165" i="5" a="1"/>
  <c r="BD165" i="5" s="1"/>
  <c r="BD166" i="5" a="1"/>
  <c r="BD166" i="5" s="1"/>
  <c r="BD167" i="5" a="1"/>
  <c r="BD167" i="5" s="1"/>
  <c r="BD168" i="5" a="1"/>
  <c r="BD168" i="5" s="1"/>
  <c r="BD169" i="5" a="1"/>
  <c r="BD169" i="5" s="1"/>
  <c r="BD170" i="5" a="1"/>
  <c r="BD170" i="5" s="1"/>
  <c r="BD171" i="5" a="1"/>
  <c r="BD171" i="5"/>
  <c r="BD172" i="5" a="1"/>
  <c r="BD172" i="5" s="1"/>
  <c r="BD173" i="5" a="1"/>
  <c r="BD173" i="5" s="1"/>
  <c r="BD174" i="5" a="1"/>
  <c r="BD174" i="5" s="1"/>
  <c r="BD175" i="5" a="1"/>
  <c r="BD175" i="5"/>
  <c r="BD3" i="5" a="1"/>
  <c r="BD3" i="5" s="1"/>
  <c r="X4" i="7" a="1"/>
  <c r="X4" i="7" s="1"/>
  <c r="X5" i="7" a="1"/>
  <c r="X5" i="7" s="1"/>
  <c r="X6" i="7" a="1"/>
  <c r="X6" i="7" s="1"/>
  <c r="X7" i="7" a="1"/>
  <c r="X7" i="7" s="1"/>
  <c r="X8" i="7" a="1"/>
  <c r="X8" i="7" s="1"/>
  <c r="X9" i="7" a="1"/>
  <c r="X9" i="7" s="1"/>
  <c r="X10" i="7" a="1"/>
  <c r="X10" i="7" s="1"/>
  <c r="X11" i="7" a="1"/>
  <c r="X11" i="7" s="1"/>
  <c r="X12" i="7" a="1"/>
  <c r="X12" i="7" s="1"/>
  <c r="X13" i="7" a="1"/>
  <c r="X13" i="7" s="1"/>
  <c r="X14" i="7" a="1"/>
  <c r="X14" i="7" s="1"/>
  <c r="X15" i="7" a="1"/>
  <c r="X15" i="7" s="1"/>
  <c r="X16" i="7" a="1"/>
  <c r="X16" i="7" s="1"/>
  <c r="X17" i="7" a="1"/>
  <c r="X17" i="7" s="1"/>
  <c r="X18" i="7" a="1"/>
  <c r="X18" i="7" s="1"/>
  <c r="X19" i="7" a="1"/>
  <c r="X19" i="7" s="1"/>
  <c r="X20" i="7" a="1"/>
  <c r="X20" i="7" s="1"/>
  <c r="X3" i="7" a="1"/>
  <c r="X3" i="7" s="1"/>
  <c r="C20" i="8" l="1"/>
  <c r="C20" i="6"/>
  <c r="C20" i="5"/>
  <c r="C16" i="8"/>
  <c r="C16" i="6"/>
  <c r="C16" i="5"/>
  <c r="C8" i="8"/>
  <c r="C8" i="6"/>
  <c r="C8" i="5"/>
  <c r="B23" i="6"/>
  <c r="B23" i="5"/>
  <c r="B22" i="6"/>
  <c r="B22" i="5"/>
  <c r="B21" i="6"/>
  <c r="B21" i="5"/>
  <c r="B20" i="8"/>
  <c r="B20" i="6"/>
  <c r="B20" i="5"/>
  <c r="B19" i="8"/>
  <c r="B19" i="6"/>
  <c r="B19" i="5"/>
  <c r="B18" i="8"/>
  <c r="B18" i="6"/>
  <c r="B18" i="5"/>
  <c r="B17" i="8"/>
  <c r="B17" i="6"/>
  <c r="B17" i="5"/>
  <c r="B16" i="8"/>
  <c r="B16" i="6"/>
  <c r="B16" i="5"/>
  <c r="B15" i="8"/>
  <c r="B15" i="6"/>
  <c r="B15" i="5"/>
  <c r="B14" i="8"/>
  <c r="B14" i="6"/>
  <c r="B14" i="5"/>
  <c r="B13" i="8"/>
  <c r="B13" i="6"/>
  <c r="B13" i="5"/>
  <c r="B12" i="8"/>
  <c r="B12" i="6"/>
  <c r="B12" i="5"/>
  <c r="B11" i="8"/>
  <c r="B11" i="6"/>
  <c r="B11" i="5"/>
  <c r="B10" i="8"/>
  <c r="B10" i="6"/>
  <c r="B10" i="5"/>
  <c r="B9" i="8"/>
  <c r="B9" i="6"/>
  <c r="B9" i="5"/>
  <c r="B8" i="8"/>
  <c r="B8" i="6"/>
  <c r="B8" i="5"/>
  <c r="B7" i="8"/>
  <c r="B7" i="6"/>
  <c r="B7" i="5"/>
  <c r="B6" i="8"/>
  <c r="B6" i="6"/>
  <c r="B6" i="5"/>
  <c r="B5" i="8"/>
  <c r="B5" i="6"/>
  <c r="B5" i="5"/>
  <c r="B4" i="8"/>
  <c r="B4" i="6"/>
  <c r="B4" i="5"/>
  <c r="C19" i="8"/>
  <c r="C19" i="6"/>
  <c r="C19" i="5"/>
  <c r="C4" i="8"/>
  <c r="C4" i="6"/>
  <c r="C4" i="5"/>
  <c r="C21" i="6"/>
  <c r="C21" i="5"/>
  <c r="C17" i="8"/>
  <c r="C17" i="6"/>
  <c r="C17" i="5"/>
  <c r="C15" i="8"/>
  <c r="C15" i="6"/>
  <c r="C15" i="5"/>
  <c r="C12" i="8"/>
  <c r="C12" i="6"/>
  <c r="C12" i="5"/>
  <c r="C10" i="8"/>
  <c r="C10" i="6"/>
  <c r="C10" i="5"/>
  <c r="C6" i="8"/>
  <c r="C6" i="6"/>
  <c r="C6" i="5"/>
  <c r="C22" i="6"/>
  <c r="C22" i="5"/>
  <c r="C18" i="8"/>
  <c r="C18" i="6"/>
  <c r="C18" i="5"/>
  <c r="C13" i="8"/>
  <c r="C13" i="6"/>
  <c r="C13" i="5"/>
  <c r="C11" i="8"/>
  <c r="C11" i="6"/>
  <c r="C11" i="5"/>
  <c r="C9" i="8"/>
  <c r="C9" i="6"/>
  <c r="C9" i="5"/>
  <c r="C5" i="8"/>
  <c r="C5" i="6"/>
  <c r="C5" i="5"/>
  <c r="C23" i="6"/>
  <c r="C23" i="5"/>
  <c r="C14" i="8"/>
  <c r="C14" i="6"/>
  <c r="C14" i="5"/>
  <c r="C7" i="8"/>
  <c r="C7" i="6"/>
  <c r="C7" i="5"/>
  <c r="D23" i="6"/>
  <c r="D23" i="5"/>
  <c r="D22" i="6"/>
  <c r="D22" i="5"/>
  <c r="D21" i="6"/>
  <c r="D21" i="5"/>
  <c r="D20" i="8"/>
  <c r="D20" i="6"/>
  <c r="D20" i="5"/>
  <c r="D19" i="8"/>
  <c r="D19" i="6"/>
  <c r="D19" i="5"/>
  <c r="D18" i="8"/>
  <c r="D18" i="6"/>
  <c r="D18" i="5"/>
  <c r="D17" i="8"/>
  <c r="D17" i="6"/>
  <c r="D17" i="5"/>
  <c r="D16" i="8"/>
  <c r="D16" i="6"/>
  <c r="D16" i="5"/>
  <c r="D15" i="8"/>
  <c r="D15" i="6"/>
  <c r="D15" i="5"/>
  <c r="D14" i="8"/>
  <c r="D14" i="6"/>
  <c r="D14" i="5"/>
  <c r="D13" i="8"/>
  <c r="D13" i="6"/>
  <c r="D13" i="5"/>
  <c r="D12" i="8"/>
  <c r="D12" i="6"/>
  <c r="D12" i="5"/>
  <c r="D11" i="8"/>
  <c r="D11" i="6"/>
  <c r="D11" i="5"/>
  <c r="D10" i="8"/>
  <c r="D10" i="6"/>
  <c r="D10" i="5"/>
  <c r="D9" i="8"/>
  <c r="D9" i="6"/>
  <c r="D9" i="5"/>
  <c r="D8" i="8"/>
  <c r="D8" i="6"/>
  <c r="D8" i="5"/>
  <c r="D7" i="8"/>
  <c r="D7" i="6"/>
  <c r="D7" i="5"/>
  <c r="D6" i="8"/>
  <c r="D6" i="6"/>
  <c r="D6" i="5"/>
  <c r="D5" i="8"/>
  <c r="D5" i="6"/>
  <c r="D5" i="5"/>
  <c r="D4" i="8"/>
  <c r="D4" i="6"/>
  <c r="D4" i="5"/>
  <c r="W3" i="6" a="1"/>
  <c r="W3" i="6" s="1"/>
  <c r="AG3" i="5" a="1"/>
  <c r="AG3" i="5" s="1"/>
  <c r="G3" i="5"/>
  <c r="H3" i="4"/>
  <c r="G3" i="4"/>
  <c r="F3" i="4"/>
  <c r="E3" i="4"/>
  <c r="AD3" i="4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W7" i="2"/>
  <c r="W8" i="2"/>
  <c r="W9" i="2"/>
  <c r="W10" i="2"/>
  <c r="W11" i="2"/>
  <c r="W12" i="2"/>
  <c r="W13" i="2"/>
  <c r="B3" i="1"/>
  <c r="B3" i="5" s="1"/>
  <c r="I3" i="1"/>
  <c r="I3" i="5" s="1"/>
  <c r="H3" i="1"/>
  <c r="H3" i="5" s="1"/>
  <c r="G3" i="1"/>
  <c r="G3" i="6" s="1"/>
  <c r="F3" i="1"/>
  <c r="E3" i="1"/>
  <c r="E3" i="8" l="1"/>
  <c r="E3" i="7"/>
  <c r="E3" i="9"/>
  <c r="F3" i="8"/>
  <c r="F3" i="9"/>
  <c r="F3" i="7"/>
  <c r="B3" i="2"/>
  <c r="I3" i="4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D3" i="1"/>
  <c r="C3" i="1"/>
  <c r="A4" i="2"/>
  <c r="A5" i="4"/>
  <c r="A6" i="4"/>
  <c r="A7" i="4"/>
  <c r="A8" i="4"/>
  <c r="A3" i="1"/>
  <c r="A3" i="2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1" i="1"/>
  <c r="Q42" i="1"/>
  <c r="Q43" i="1"/>
  <c r="Q44" i="1"/>
  <c r="Q3" i="1"/>
  <c r="A4" i="4" l="1"/>
  <c r="A4" i="7"/>
  <c r="A4" i="9"/>
  <c r="A27" i="6"/>
  <c r="A35" i="6"/>
  <c r="A40" i="6"/>
  <c r="A32" i="6"/>
  <c r="A26" i="6"/>
  <c r="A18" i="6"/>
  <c r="A11" i="6"/>
  <c r="A39" i="6"/>
  <c r="A31" i="6"/>
  <c r="A25" i="6"/>
  <c r="A17" i="6"/>
  <c r="A10" i="6"/>
  <c r="A28" i="6"/>
  <c r="A9" i="6"/>
  <c r="A21" i="6"/>
  <c r="A41" i="6"/>
  <c r="A19" i="6"/>
  <c r="A38" i="6"/>
  <c r="A30" i="6"/>
  <c r="A24" i="6"/>
  <c r="A37" i="6"/>
  <c r="A29" i="6"/>
  <c r="A23" i="6"/>
  <c r="A15" i="6"/>
  <c r="A13" i="6"/>
  <c r="A34" i="6"/>
  <c r="A20" i="6"/>
  <c r="A33" i="6"/>
  <c r="A12" i="6"/>
  <c r="A16" i="6"/>
  <c r="A36" i="6"/>
  <c r="A22" i="6"/>
  <c r="A14" i="6"/>
  <c r="A6" i="8"/>
  <c r="A6" i="6"/>
  <c r="D3" i="9"/>
  <c r="D3" i="8"/>
  <c r="D3" i="7"/>
  <c r="D3" i="6"/>
  <c r="D3" i="4"/>
  <c r="D3" i="5"/>
  <c r="A4" i="8"/>
  <c r="A4" i="6"/>
  <c r="A3" i="7"/>
  <c r="A3" i="8"/>
  <c r="A3" i="9"/>
  <c r="A3" i="4"/>
  <c r="A3" i="5"/>
  <c r="A3" i="6"/>
  <c r="A8" i="6"/>
  <c r="C3" i="2"/>
  <c r="C3" i="9"/>
  <c r="C3" i="7"/>
  <c r="C3" i="8"/>
  <c r="C3" i="5"/>
  <c r="C3" i="6"/>
  <c r="C3" i="4"/>
  <c r="A7" i="6"/>
  <c r="A5" i="8"/>
  <c r="A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<sst xmlns="http://schemas.openxmlformats.org/spreadsheetml/2006/main" count="2755" uniqueCount="552">
  <si>
    <t>1. ANTECEDENTES DE LA EMPRESA</t>
  </si>
  <si>
    <t xml:space="preserve">N° de Puestos </t>
  </si>
  <si>
    <t>Evaluados</t>
  </si>
  <si>
    <t>Pendientes</t>
  </si>
  <si>
    <t>Razón Social</t>
  </si>
  <si>
    <t>FAENADORA SAN VICENTE LTDA</t>
  </si>
  <si>
    <t>RUT Empresa</t>
  </si>
  <si>
    <t>78483600-2</t>
  </si>
  <si>
    <t>Actividad Económica</t>
  </si>
  <si>
    <t>Explotación de mataderos de aves y de otros tipos de animales n.c.p.</t>
  </si>
  <si>
    <t>Código CIIU</t>
  </si>
  <si>
    <t xml:space="preserve">Dirección </t>
  </si>
  <si>
    <t>CARRETERA H 66 G KM 19,2</t>
  </si>
  <si>
    <t>Comuna</t>
  </si>
  <si>
    <t>SAN VICENTE</t>
  </si>
  <si>
    <t>Nombre Representante Legal</t>
  </si>
  <si>
    <t>SANDRA CALDERON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</si>
  <si>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</si>
  <si>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</si>
  <si>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</si>
  <si>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</si>
  <si>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</si>
  <si>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Faenación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</si>
  <si>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</si>
  <si>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</si>
  <si>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</si>
  <si>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</si>
  <si>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</si>
  <si>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</si>
  <si>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CONSTANZA ANDREA MUÑOZ CARO</t>
  </si>
  <si>
    <t>Teléfono</t>
  </si>
  <si>
    <t>Cargo</t>
  </si>
  <si>
    <t>SUPERVISORA DE ACTIVIDADES ERGONOMICAS</t>
  </si>
  <si>
    <t>Correo electrónico</t>
  </si>
  <si>
    <t>CAMUNOZC@AGROSUPER.COM</t>
  </si>
  <si>
    <t>N°</t>
  </si>
  <si>
    <t>Área de trabajo</t>
  </si>
  <si>
    <t>Sección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</si>
  <si>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</si>
  <si>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</si>
  <si>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</si>
  <si>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</si>
  <si>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</si>
  <si>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</si>
  <si>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</si>
  <si>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</si>
  <si>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</si>
  <si>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</si>
  <si>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</si>
  <si>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</si>
  <si>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</si>
  <si>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</si>
  <si>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</si>
  <si>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</si>
  <si>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</si>
  <si>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Evaluacion a solicitar</t>
  </si>
  <si>
    <t>Colgado</t>
  </si>
  <si>
    <t>Colgado de aves</t>
  </si>
  <si>
    <t>Tomar de ave de forma Bimanual y colgarla de las extremidades posteriores en línea aéreas de proceso</t>
  </si>
  <si>
    <t>03:35 a 11:50 - 11:50 a 21:10</t>
  </si>
  <si>
    <t>N/A</t>
  </si>
  <si>
    <t>indefinido</t>
  </si>
  <si>
    <t>Variable</t>
  </si>
  <si>
    <t>240 min</t>
  </si>
  <si>
    <t xml:space="preserve">Pausa preparatoria </t>
  </si>
  <si>
    <t>SI</t>
  </si>
  <si>
    <t>Flujo de transito demarcado, cuenta con plataformas regulables para la altura al colgar el ave, cuenta con tarimas que forman pasillos para su transito</t>
  </si>
  <si>
    <t>Espacio fisico bajo techo, mesa a la altura de la cadera con tarima para adaptabilidad a la altura de la mesa de trabajo</t>
  </si>
  <si>
    <t>Usan EPP tales como Calzado de seguridad, Fonos, guantes de nitrilo modelo solvex.</t>
  </si>
  <si>
    <t>Revision de contenedores</t>
  </si>
  <si>
    <t>Verificar de forma visual que en contenedores no queden aves, si hay aves deben tomarlas con ambas manos y retirarlas para luego depositarlas en linea o batea</t>
  </si>
  <si>
    <t>03:35 a 11:50 - 11:50 a 21:11</t>
  </si>
  <si>
    <t>Indefinido</t>
  </si>
  <si>
    <t>60 Min</t>
  </si>
  <si>
    <t xml:space="preserve">Flujo de transito demarcado, cuenta con plataformas regulables para la altura al colgar el ave, cuenta con tarimas que forman pasillos para su transito, cuenta con piso para poder sentarse </t>
  </si>
  <si>
    <t>Espacio fisico bajo techo, piso para utilizar mientras llega el contenedor</t>
  </si>
  <si>
    <t>Extracción de pollo mortecino</t>
  </si>
  <si>
    <t>Verificar de forma visual aves muertas antes de entrar a CO2 para retirar mediante un herramienta  (pinza) y depositar en batea</t>
  </si>
  <si>
    <t>03:35 a 11:50 - 11:50 a 21:12</t>
  </si>
  <si>
    <t>60 min</t>
  </si>
  <si>
    <t>Pinza</t>
  </si>
  <si>
    <t>Usan EPP tales como Calzado de seguridad, Fonos, guantes de nitrilo modelo solvex.Utilizan herramienta para el retiro del ave una pinza que tiene 2 enganches para tomar el ave.</t>
  </si>
  <si>
    <t>Gruero</t>
  </si>
  <si>
    <t xml:space="preserve">Descarga y carga de pallet de jabas con aves desde camión a plataforma y viceversa. Revisión visual del sistema hidráulico y las condiciones de la maquinaria. Carga de combustible.          </t>
  </si>
  <si>
    <t>03:35 a 11:50 - 11:50 a 21:13</t>
  </si>
  <si>
    <t>430 min</t>
  </si>
  <si>
    <t>Usan EPP tales como Calzado de seguridad, Fonos y casco. Usan equipo rodante grua orquilla</t>
  </si>
  <si>
    <t>NO</t>
  </si>
  <si>
    <t xml:space="preserve">Jefe de línea </t>
  </si>
  <si>
    <t>Encargado de coordinar productivas y personal dentro de las lineas</t>
  </si>
  <si>
    <t>03:35 a 11:50 - 11:50 a 21:14</t>
  </si>
  <si>
    <t>430 Min</t>
  </si>
  <si>
    <t>Espacio fisico bajo techo sin exposicion a radiacion uv</t>
  </si>
  <si>
    <t>Usa EPP tales como calzado de seguridad, casco y fonos, ademas usa dentro de sus labores radio de comunicación interna.</t>
  </si>
  <si>
    <t>Secretario</t>
  </si>
  <si>
    <t>Colaborador ingresa datos de guia de despacho en computador</t>
  </si>
  <si>
    <t>03:35 a 11:50 - 11:50 a 21:15</t>
  </si>
  <si>
    <t>Computador</t>
  </si>
  <si>
    <t>Recepcion de guia</t>
  </si>
  <si>
    <t>Acercarse  a Camion de aves y solicitar guia de despacho, tomarla y llevarla a oficina de colgado, remplaza a colabores dentro de la linea</t>
  </si>
  <si>
    <t>03:35 a 11:50 - 11:50 a 21:16</t>
  </si>
  <si>
    <t>Usa EPP tales como calzado de seguridad, casco y fonos chaleco reflectante.</t>
  </si>
  <si>
    <t>Encargado de PC</t>
  </si>
  <si>
    <t>Realiza regulación del funcionamiento y frecuencia de las diferentes líneas y máquinas del área que le corresponda  Realiza registros y controles del proceso. Ordena Entrada y Salida de Camiones del Galpón de Espera y Galpón de Descarga Reemplaza a Colaboradores para ir al Baño</t>
  </si>
  <si>
    <t>03:35 a 11:50 - 11:50 a 21:17</t>
  </si>
  <si>
    <t>Usa EPP tales como calzado de seguridad, casco, fonos y guantes anticorte, ademas usa dentro de sus labores radio de comunicación interna.</t>
  </si>
  <si>
    <t>Sacrificio</t>
  </si>
  <si>
    <t>Pollo Chico</t>
  </si>
  <si>
    <t>Colaborados deposita pollos reprocesados para ser reprocesados.</t>
  </si>
  <si>
    <t>03:30 - 11:50 / 11:50 - 21:15</t>
  </si>
  <si>
    <t>50 Min</t>
  </si>
  <si>
    <t>Cuchillo - Rapid Still</t>
  </si>
  <si>
    <t>Flujo de transito demarcado, sin obstaculos.</t>
  </si>
  <si>
    <t>Mesa a la altura de la cadera para realizar corte sobre esta, espacio con temperatura ambiente y sin exposicion a Rayos ultravioleta</t>
  </si>
  <si>
    <t>Usa EPP tales como Fonos, calzado de seguridad, Guantes anticorte.</t>
  </si>
  <si>
    <t>Desgollador</t>
  </si>
  <si>
    <t>Observa aves que pasan por linea repasando cortes de carótidas fallidos por maquinaria. Afila Cuchillos con Rapid Still</t>
  </si>
  <si>
    <t>120 Min</t>
  </si>
  <si>
    <t>Flujo de transito demarcado, transita sobre tarimas para porder pasar de un sector a otro, pasa por abajo de lineas aereas</t>
  </si>
  <si>
    <t>Cuenta con silla parado sentado para realizar la labor, ademas cuenta con tarima para brindar altura a la mesa de trabajo si es necesario, sin exposicion a rayos ultravioleta</t>
  </si>
  <si>
    <t>Usa EPP tales como Fonos, Guantes anticorte y calzado de seguridad, utiliza como herramienta de corte un cuchillo y un rapid Still</t>
  </si>
  <si>
    <t>Repase de pluma</t>
  </si>
  <si>
    <t>Realiza inspección visual  y retiro de plumas de aves en la línea aérea.  Recuelga ave que viene de una pata.Apoya en recolgado de aves caídas y reprocesadas</t>
  </si>
  <si>
    <t>Cuenta con linea aerea a la altura de la cabeza, trabajao sobre tarima que aisla humedad, y bajo techo sin exposicn a radiacion uv</t>
  </si>
  <si>
    <t>Usa EPP tales como Fonos, calzado de seguridad,</t>
  </si>
  <si>
    <t>Eviscerado</t>
  </si>
  <si>
    <t>Maquinista sacrificio</t>
  </si>
  <si>
    <t xml:space="preserve">Realiza regulación del funcionamiento y frecuencia de las diferentes líneas y máquinas del área que le corresponda                            </t>
  </si>
  <si>
    <t>486 Min</t>
  </si>
  <si>
    <t>Maquina critica</t>
  </si>
  <si>
    <t>Maquinista eviscerado</t>
  </si>
  <si>
    <t>Realiza regulación del funcionamiento y frecuencia de las diferentes líneas y máquinas del área que le corresponda.Realiza registros y controles del proceso.</t>
  </si>
  <si>
    <t>Sin mesa de trabajo.</t>
  </si>
  <si>
    <t>Transferidor</t>
  </si>
  <si>
    <t>Recuelga aves de forma bimanual que caen del transferidor de líneas y la que tienen solo una pata colgada. Ademas de retirar aves en mal estado para depositarlo en bandeja y luego llevar a meson de expurgo</t>
  </si>
  <si>
    <t>Linea a la altura de la cadera, bajo techo sin exposiicion a radiacion uv.</t>
  </si>
  <si>
    <t>Expurgo Visceras</t>
  </si>
  <si>
    <t>Realiza Expurgo profundo. Extrae mediante corte con cuchillo las alteraciones y patologias de las Aves no aptas para el cosumo humano.</t>
  </si>
  <si>
    <t>Repaso de contre</t>
  </si>
  <si>
    <t>Repasa contres por rodillos de máquina SEMIL. Extraccion de cuticula</t>
  </si>
  <si>
    <t>Maquina peladora de contres</t>
  </si>
  <si>
    <t>Linea a la altura de la cadera, bajo techo sin exposiicion a radiacion uv, mesa de trabajo a la cadera</t>
  </si>
  <si>
    <t>Usa EPP tales como Fonos, Guantes anticorte y calzado de seguridad</t>
  </si>
  <si>
    <t>Panas</t>
  </si>
  <si>
    <t>Se realiza inspección visual, selección limpieza y segragación productos. Se extraen productos adicionales a pana (bilis-corazon)</t>
  </si>
  <si>
    <t>Puesto de trabajo demarcado, y con flujo libre acceso</t>
  </si>
  <si>
    <t>Mesa a ala altura adecuada para realizar la labor, plano de trabajo liso, sin exposicion a radiacion uv</t>
  </si>
  <si>
    <t>Usa EPP tales como Fonos, Guantes y calzado de seguridad</t>
  </si>
  <si>
    <t>Expurgo Inscision</t>
  </si>
  <si>
    <t>Supervision de carcasa para verificar calidad del producto.</t>
  </si>
  <si>
    <t>Lavado/ Aspirado</t>
  </si>
  <si>
    <t>Recuperacion de peritonitis. Lavado y aspirado pollo para reproceso.</t>
  </si>
  <si>
    <t>Aspiradora</t>
  </si>
  <si>
    <t xml:space="preserve">Puesto de trabajo demarcado, con flujo libre de acceso </t>
  </si>
  <si>
    <t xml:space="preserve">Mesa de trabajo y aspiradora a la altura de la cadera </t>
  </si>
  <si>
    <t>Repase de visceras</t>
  </si>
  <si>
    <t>Realiza inspección visual a las carcasas de aves para detectar si tienen restos de vísceras. Descuelga ave de canal y cuelga en gancho amarillo para reproceso</t>
  </si>
  <si>
    <t>Flujo de transito demarcado, al salir del PT debe agacharse</t>
  </si>
  <si>
    <t xml:space="preserve">Linea aerea que pasa frente a su nariz </t>
  </si>
  <si>
    <t>Usa EPP tales como Fonos, Calzado de segurida y gafas</t>
  </si>
  <si>
    <t>Recolgado</t>
  </si>
  <si>
    <t>Realiza un recolgado de las aves expurgadas</t>
  </si>
  <si>
    <t>Mesa de trabajo de forma frontal con tolva para contencion de aves</t>
  </si>
  <si>
    <t>Usa EPP tales como fonos, calzado  de seguridad</t>
  </si>
  <si>
    <t>Expurgo de Ala</t>
  </si>
  <si>
    <t>Retirar toda Ala que presenta alteracion y asi reprocesar pollo.</t>
  </si>
  <si>
    <t>Puesto de trabajo sobre tarima con demarcacion en color amarillo</t>
  </si>
  <si>
    <t>Puesto de trabajo sobre tarima sin mesa de trabajo.</t>
  </si>
  <si>
    <t>Uso de EPP tales como guantes anticorte, calzado de seguridad, gafas</t>
  </si>
  <si>
    <t>Punto de inspeccion</t>
  </si>
  <si>
    <t>Descuelga de la línea aves marcadas por técnicos del SAG . Cuelga aves marcadas por técnicos del SAG en línea de reproceso</t>
  </si>
  <si>
    <t>100 min</t>
  </si>
  <si>
    <t>Puesto de trabajado lateral a linea aerea con demarcacion de pisos, silla parado sentado</t>
  </si>
  <si>
    <t xml:space="preserve">Sin mesa de trabajo linea aerea a la altura del hombro </t>
  </si>
  <si>
    <t>Revision post lavadora</t>
  </si>
  <si>
    <t>Ultima inspeccion de pollo, para verificar ausencia de patologia.</t>
  </si>
  <si>
    <t>Recuperacion de peritonitis</t>
  </si>
  <si>
    <t>Recolecta las carcasas que tengan buche penduloso. Transporta producto a estacion de reproceso (Ascitis, aeroceculitis y buche con alimento). Extrae buche y cogote de ave utilizando cuchillo. Realiza lavado interno y externo con lavado de canal</t>
  </si>
  <si>
    <t>Decomiso</t>
  </si>
  <si>
    <t>Recolecta bandejas con producto para decomiso  . Traslada estas bandejas en carro con ruedas desde recolección a pesas. Realiza pesaje de producto en decomiso. Se dispone decomiso en trituradora a bacio triturador o bins de ser necesario.</t>
  </si>
  <si>
    <t>Carro de arrastre</t>
  </si>
  <si>
    <t>Zonas demarcadas y ibres de obstaculos</t>
  </si>
  <si>
    <t xml:space="preserve">Elementos con asa de agarre correspondiente </t>
  </si>
  <si>
    <t>uso de zapatos de seguridad, uso Fonos, y gafas</t>
  </si>
  <si>
    <t>Auroceculitis</t>
  </si>
  <si>
    <t>Recolecta de gancheras todas las carcasas que tengan buche penduloso, Transporta producto a estación de reproceso (ascitis, aerosaculitis y buche con alimento)  Extrae buche y cogote de ave utilizando cuchillo. Realizar lavado interno y externo del canal con ducha de pedal</t>
  </si>
  <si>
    <t>cuchillo</t>
  </si>
  <si>
    <t>EPP como proteccion auditiva, calzado de seguridad, gafas y guantes anticorte</t>
  </si>
  <si>
    <t>Realizar labores de digitación computacional para el envío y recepción de correos electrónicos, preparación de ppt, y otros documentos. Supervisa en terreno de la correcta ejecución de los procedimientos de trabajo. Revisa superficies y maquinarias de trabajo.   Programa puestos para colaboradores.  Ejecuta Reuniones con jefaturas y colaboradores</t>
  </si>
  <si>
    <t>computador</t>
  </si>
  <si>
    <t>Supervisor</t>
  </si>
  <si>
    <t xml:space="preserve">Realizar labores de digitación computacional para el envío y recepción de correos electrónicos, preparación de ppt, y otros documentos.Supervisa en terreno de la correcta ejecución de los procedimientos de trabajo. Revisa superficies y maquinarias de trabajo.Programa puestos para colaboradores. Ejecuta Reuniones con jefaturas y colaboradores     </t>
  </si>
  <si>
    <t>Pausa preparatoria - Pausa compensatoria</t>
  </si>
  <si>
    <t>Garras</t>
  </si>
  <si>
    <t>Cinta Decomiso</t>
  </si>
  <si>
    <t>Clasifica garras que vienen por la cinta tomandola con su mano y depositandola en otra linea esto es  dependiendo del calibre y defectos que tengan. Reproceso de garras.</t>
  </si>
  <si>
    <t>04:05 - 12:25 / 12:15 A 21:45</t>
  </si>
  <si>
    <t>Pisos demarcados para transito sin barreras que dificulten el flujo de transito.</t>
  </si>
  <si>
    <t>EPP como proteccion auditiva, calzado de seguridad y gafas</t>
  </si>
  <si>
    <t>Mov Repetitivo</t>
  </si>
  <si>
    <t>Embolsado Tolva/Seleccionador de Garras en Tolva</t>
  </si>
  <si>
    <t>Selecciona garras, las introduce a bolsa hasta completar. Con ambas manos saca bolsa desde el tacho y las desplaza a pesadora</t>
  </si>
  <si>
    <t>180 Min</t>
  </si>
  <si>
    <t xml:space="preserve">Mesa de trabajo a la altura necesaria libre de rayos uv </t>
  </si>
  <si>
    <t>Mov Repetitivo (Amarillo) - MMC Levantamiento (Rojo)</t>
  </si>
  <si>
    <t>Pesador de garras</t>
  </si>
  <si>
    <t xml:space="preserve">Operario verifica peso de bolsa y deposita o retira producto para obtener peso adecuado, luego toma la bolsa la introduce en caja y la posiciona en la linea </t>
  </si>
  <si>
    <t>180 min</t>
  </si>
  <si>
    <t>Mesa de trabajo con polines para desplazamiento de cajas</t>
  </si>
  <si>
    <t>Mov Repetitivo (Amarillo) - MMC Levantamiento (Amarillo)</t>
  </si>
  <si>
    <t>Repaso de callos</t>
  </si>
  <si>
    <t>El operario repasador de callos debe tomar la garra y pasarla por un orificio con un disco giratorio y abrasivo el cual se encargar de quitar el callo de la garra.</t>
  </si>
  <si>
    <t>Puesto de trabajo espacio libre movilidad, mesa de alcance a la altura de 80 cm</t>
  </si>
  <si>
    <t>Mov Repetitivo (Amarillo)</t>
  </si>
  <si>
    <t>Traslado de Garra Larga</t>
  </si>
  <si>
    <t>Se trasladan producto seleccionado (garra larga) desde tolvas.</t>
  </si>
  <si>
    <t>Puesto de trabajo con altura de la mesa de trabajo a la cadera sin exposicion a UV</t>
  </si>
  <si>
    <t>Mov Repetitivo (Verde) - MMC Levantamiento (AMARILLO) - Empiuje (VERDE)</t>
  </si>
  <si>
    <t>Seleccionador de garra</t>
  </si>
  <si>
    <t xml:space="preserve">Selecciona garras, las introduce a bolsa hasta completar su llenado. </t>
  </si>
  <si>
    <t>Embalando garras</t>
  </si>
  <si>
    <t>Colaborador tapa caja, indentifica tipo de etiqueta para luego depositarla en linea.</t>
  </si>
  <si>
    <t>Mesa de trabajo a la altura de la cadera con mesa de polines para desplazamiento de carga</t>
  </si>
  <si>
    <t>Mov Repetitivo (Amarillo) - MMC Empuje (Verde)</t>
  </si>
  <si>
    <t>Cortadora de garra larga</t>
  </si>
  <si>
    <t>Colaboradora pone garras en maquina cortadora de nudillos, en espaciador de manera ordenada, para que maquina realice corte. Toma garras de bandeja y las deposita en recipiente para luego depositar una a una en espaciador.</t>
  </si>
  <si>
    <t>478 Min</t>
  </si>
  <si>
    <t>Equipo critico a la altura correspondiente para su manipulaci´on</t>
  </si>
  <si>
    <t>Etiquetado en mesa de embalaje</t>
  </si>
  <si>
    <t>Colaborador desplaza caja de 20 kg a mesa de embalaje y etiqueta la caja para luego poner Tapa caja y la desplaza nuevamente a la cinta.</t>
  </si>
  <si>
    <t>120 min</t>
  </si>
  <si>
    <t>Nudillos</t>
  </si>
  <si>
    <t>Nudillos es depositado en bandeja. Colaborador ayuda ha deposito de este en bandeja, para luego depositar  en caja.</t>
  </si>
  <si>
    <t>Mesa de trabajo a la altura de la cadera</t>
  </si>
  <si>
    <t>Pesador de nudillos</t>
  </si>
  <si>
    <t>Llenan bolsa  con producto, lo pesan lo depositan en caja. La caja es depositada en cinta transportadora.</t>
  </si>
  <si>
    <t>Maquinista Garras</t>
  </si>
  <si>
    <t xml:space="preserve">Realiza regulación del funcionamiento y frecuencia de las diferentes líneas y máquinas del área que le corresponda.Realiza registros y controles del proceso.Ordena Entrada y Salida de Camiones del Galpón de Espera y Galpón de Descarga.Reemplaza a Colaboradores para ir al Baño                             </t>
  </si>
  <si>
    <t xml:space="preserve">sin exposicion a rayos uv </t>
  </si>
  <si>
    <t>Utilizan EPP como Calzado de seguridad, lentes de seguridad y proteccion auditiva</t>
  </si>
  <si>
    <t xml:space="preserve">Jefe de Línea </t>
  </si>
  <si>
    <t xml:space="preserve">Realizar labores de digitación computacional para el envío y recepción de correos electrónicos, preparación de ppt, y otros documentos.Supervisa en terreno de la correcta ejecución de los procedimientos de trabajo. Revisa superficies y maquinarias de trabajo.  Programa puestos para colaboradores. Ejecuta Reuniones con jefaturas y colaboradores  </t>
  </si>
  <si>
    <t>Sin mesa de trabajo</t>
  </si>
  <si>
    <t>Empaque - Chiller</t>
  </si>
  <si>
    <t>Colgador aves frias</t>
  </si>
  <si>
    <t xml:space="preserve">Toma aves sin visceras desde linea y  cuelga aves de las patas en ganchos, </t>
  </si>
  <si>
    <t>05:30-13:50 / 13:50-23:25</t>
  </si>
  <si>
    <t>Linea de trabajo a la altura de la cadera, con linea aerea que les permite el alcance libre</t>
  </si>
  <si>
    <t>Embolsador de pana</t>
  </si>
  <si>
    <t>Embolsa pana 1,5 kg con poruña (1,3 kg)</t>
  </si>
  <si>
    <t>Poruña</t>
  </si>
  <si>
    <t>Embalador de producto</t>
  </si>
  <si>
    <t>Colaborador corchetea bolsas y las posiciona en caja, luego tapa la caja y la posiciona en pallet.</t>
  </si>
  <si>
    <t>Conchetera</t>
  </si>
  <si>
    <t>Embolsado de corazon</t>
  </si>
  <si>
    <t>Colaborador embolsa producto con poruña</t>
  </si>
  <si>
    <t>Mesa de trabajo a la altura de la cadera, sin exposicion a radiacion uv</t>
  </si>
  <si>
    <t>Pesador de corazon</t>
  </si>
  <si>
    <t>Colaborador verifica peso de bolsa y de acuerdo a este agrega o saca productos</t>
  </si>
  <si>
    <t>sin exposicion a rayos uv, con mesa de trabajo para posicionar pesa y sobre esta la bolsa de producto</t>
  </si>
  <si>
    <t>Selección de corazon</t>
  </si>
  <si>
    <t>Colaborador selecciona corazon y saca producto en mal estado.</t>
  </si>
  <si>
    <t>Sin exposicion de rayos uv, mesas de trabajo a la altura de la cadera facil alcance de los productos</t>
  </si>
  <si>
    <t>Embalador de contre</t>
  </si>
  <si>
    <t>Colaborador corchetea  bolsa, la embala en caja respectiva</t>
  </si>
  <si>
    <t>corchetera</t>
  </si>
  <si>
    <t xml:space="preserve">sin exposicion a rayos uv, con mesa d etrabajo para posicionar caja con bolsas </t>
  </si>
  <si>
    <t>Limpiador de pana</t>
  </si>
  <si>
    <t>Colaborador limpia y selecciona productos. Arrastra producto con rastrillo</t>
  </si>
  <si>
    <t>Embolsador de contre</t>
  </si>
  <si>
    <t>Colaborador embolsa producto con gruña (0.58 kg)</t>
  </si>
  <si>
    <t>Embalador de Pana</t>
  </si>
  <si>
    <t>Colaborador posiciona bolsas de pana en caja de (1,5 kg).</t>
  </si>
  <si>
    <t>Selección de Contre</t>
  </si>
  <si>
    <t>Selecciona y limpia producto. Arrastra producto con rastrillo</t>
  </si>
  <si>
    <t>Rastrillo</t>
  </si>
  <si>
    <t>Maquinista chiller</t>
  </si>
  <si>
    <t xml:space="preserve">Realiza regulación del funcionamiento y frecuencia de las diferentes líneas y máquinas del área que le corresponda.Realiza registros y controles del proceso.            </t>
  </si>
  <si>
    <t>395 Min</t>
  </si>
  <si>
    <t>Corchetera</t>
  </si>
  <si>
    <t>Corchetea bolsas de corazón Exportación.Arma cajas para producto y coloca bolsa dentro de la misma.Coloca etiquetas en caja</t>
  </si>
  <si>
    <t>Sin exposicion de rayos uv</t>
  </si>
  <si>
    <t>Pesador menudencia</t>
  </si>
  <si>
    <t>Levanta bandeja con producto desde acopio a línea.Retira bolsas de bandeja a pesa, quitando o agregando producto según corresponda</t>
  </si>
  <si>
    <t>Encargado de registro</t>
  </si>
  <si>
    <t>Realiza registros y controles del proceso.Ordena Entrada y Salida de Camiones del Galpón de Espera y Galpón de Descarga.</t>
  </si>
  <si>
    <t>Sin exposicion a radiacion UV con mesas de trabajo buena dispocision y sin barreras</t>
  </si>
  <si>
    <t>Fechado</t>
  </si>
  <si>
    <t>Coloca etiquetas con códigos y fechas a bolsas de productos</t>
  </si>
  <si>
    <t xml:space="preserve">Sin exposicion a rayos uv, con mesa de trabajo </t>
  </si>
  <si>
    <t>Paletizador</t>
  </si>
  <si>
    <t xml:space="preserve">Toma cajas desde pesa y deposita en pallet </t>
  </si>
  <si>
    <t xml:space="preserve">Pallet plastico de 40 cm para deposito de cajas </t>
  </si>
  <si>
    <t>Transpaletero</t>
  </si>
  <si>
    <t>Transportar con transpaleta eléctrica productos en pallet o bins desde y hacia distintas áreas. Realiza Cambio de baterías a maquinaria.Realiza Inspección visual a maquinaria</t>
  </si>
  <si>
    <t>Transpaleta electrica</t>
  </si>
  <si>
    <t>Oficina libres de rayos uv con iluminacion artificial, cuenta con escritorio y silla</t>
  </si>
  <si>
    <t>Puesto de trabajo</t>
  </si>
  <si>
    <t>Trabajo repetitivo de miembros superiores.</t>
  </si>
  <si>
    <t>Postura de trabajo estática - Forzada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</si>
  <si>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</si>
  <si>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</si>
  <si>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</si>
  <si>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</si>
  <si>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</si>
  <si>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</si>
  <si>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</si>
  <si>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t>¿Existe una o más tareas donde utilice las manos y miembros superiores con una 
duración total de una hora o más durante la jornada laboral y con un tiempo total de 5 
o más horas a la semana? Por ejemplo: Donde se tenga que armar, limpiar, apretar, 
lanzar, cortar, presionar, desarmar, atornillar, desatornillar, digitar.
1 tarea repetitiva: conjunto de ciclos de trabajo realizados por uno o más segmentos de 
las extremidades superiores, donde repetitividad se caracteriza por al menos uno de los 
siguientes criterios: i) El tiempo de ciclo es inferior a 30 segundos en promedio. ii) Los 
mismos patrones biomecánicos se repiten por más del 50% del ciclo. En general, el ritmo 
de trabajo está determinado por factor externo al trabajador, ejemplo, líneas de 
producción, velocidad de una máquina, entre otros</t>
  </si>
  <si>
    <t>Existen posturas de trabajo estáticas de cabeza/cuello, tronco y/o miembros 
superiores e inferiores, mantenidas durante más de 4 segundos, en la que se pueden 
dar ligeras variaciones alrededor de un mismo nivel de fuerza generado por los 
músculos y otras estructuras corporales?
Por ejemplo: Donde se observe estar con la cabeza inclinada hacia adelante o atrás, 
cabeza rotada permanentemente hacia algún lado, hombros situados por delante de 
las caderas de manera continua, tronco rotado o inclinado para sostener o movilizar 
objetos</t>
  </si>
  <si>
    <t>Para el Levantamiento/Descenso/Transporte: ¿Existe levantamiento, descenso o transporte manual de un objeto de 3kg o más? Por ejemplo: Se observa que levanta, sostiene, transporta, desplaza, moviliza, ubica con precisión ordenando, apila, paletiza.</t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</si>
  <si>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</si>
  <si>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</si>
  <si>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t>Están los trabajadores en contacto con una fuente de vibración de cuerpo entero 
perceptible por el trabajador/a? Se presenta en cercanía de máquinas donde se percibe la vibración, superficies vibrantes donde se está de pie o sentado como en maquinaria pesada y de conducción.</t>
  </si>
  <si>
    <t>Están los trabajadores/as en contacto con una fuente de vibración perceptible por el 
trabajador del segmento mano-brazo? Por ejemplo: Se presenta en situaciones de 
manejo de herramientas neumáticas o eléctricas, atornilladores o destornilladores  neumáticos o eléctricos, uso de herramientas con impacto como martillos, cinceles, herramientas percutoras como taladros</t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</si>
  <si>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</si>
  <si>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</si>
  <si>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</si>
  <si>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</si>
  <si>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</si>
  <si>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</si>
  <si>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</si>
  <si>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</si>
  <si>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</si>
  <si>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</si>
  <si>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</si>
  <si>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</si>
  <si>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</si>
  <si>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</si>
  <si>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programadas  (excluyendo la pausa para almuerzo)</t>
  </si>
  <si>
    <t>¿La duración total de las tareas repetitivas no excede las 4 horas totales dentro de la jornada laboral?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</si>
  <si>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</si>
  <si>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</si>
  <si>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</si>
  <si>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</si>
  <si>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</si>
  <si>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8 horas?</t>
  </si>
  <si>
    <t>¿La duración total de las tareas repetitivas excede 4 horas totales dentro de la jornada laboral?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</si>
  <si>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</si>
  <si>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</si>
  <si>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</si>
  <si>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</si>
  <si>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</si>
  <si>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</si>
  <si>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</si>
  <si>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</si>
  <si>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</si>
  <si>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</si>
  <si>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</si>
  <si>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</si>
  <si>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</si>
  <si>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</si>
  <si>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</si>
  <si>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</si>
  <si>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</si>
  <si>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</si>
  <si>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</si>
  <si>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</si>
  <si>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</t>
  </si>
  <si>
    <t>Si está sentado, ¿la curvatura de la espalda se mantiene no forzada?</t>
  </si>
  <si>
    <t>Miembro con mayor exigencia</t>
  </si>
  <si>
    <t>¿Están ausentes las posturas forzadas de  MMSS (Miembros Superiores)?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</si>
  <si>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</si>
  <si>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</si>
  <si>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</si>
  <si>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codo?</t>
  </si>
  <si>
    <t>¿Está ausente el giro extremo de muñeca?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</si>
  <si>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</si>
  <si>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</si>
  <si>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</si>
  <si>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</si>
  <si>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</si>
  <si>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</si>
  <si>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</si>
  <si>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 continuos?</t>
  </si>
  <si>
    <t>¿Está la cabeza extendida (inclinada hacia atrás) sin apoyo?</t>
  </si>
  <si>
    <t>¿Está la cabeza en flexión (inclinacion hacia adelante) de 25° o mas?</t>
  </si>
  <si>
    <t>¿Está la cabeza en flexión (aunque sea levemente ) durante mas de 8 minutos continuos?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</si>
  <si>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</si>
  <si>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</si>
  <si>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</si>
  <si>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 continuos?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</si>
  <si>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</si>
  <si>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</si>
  <si>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</si>
  <si>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</si>
  <si>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</si>
  <si>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</si>
  <si>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</si>
  <si>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Derecha</t>
  </si>
  <si>
    <t>Ambos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</si>
  <si>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</si>
  <si>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</si>
  <si>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</si>
  <si>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</si>
  <si>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</si>
  <si>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</si>
  <si>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</si>
  <si>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 &gt; = 10 metros</t>
    </r>
  </si>
  <si>
    <t>Ausencia de posturas inadecuadas durante el transporte de la carga</t>
  </si>
  <si>
    <t>RESULTADO</t>
  </si>
  <si>
    <r>
      <t>IDENTIFICACIÓN AVANZADA – Tarea(s) con MMC: Levantamiento, Descenso y Transporte de cargas de 3kg o más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</si>
  <si>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</si>
  <si>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</si>
  <si>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</si>
  <si>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</si>
  <si>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</si>
  <si>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</si>
  <si>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</si>
  <si>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</si>
  <si>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</si>
  <si>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</si>
  <si>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</si>
  <si>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</si>
  <si>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</si>
  <si>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</si>
  <si>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</si>
  <si>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</si>
  <si>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</si>
  <si>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</si>
  <si>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</si>
  <si>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</si>
  <si>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</si>
  <si>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</si>
  <si>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</si>
  <si>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</si>
  <si>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</si>
  <si>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</si>
  <si>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</si>
  <si>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</si>
  <si>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</si>
  <si>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</si>
  <si>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</si>
  <si>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</si>
  <si>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1"/>
        <color theme="0"/>
        <rFont val="ACHS Nueva Sans"/>
      </rPr>
      <t>Posición vertical</t>
    </r>
    <r>
      <rPr>
        <sz val="11"/>
        <color theme="0"/>
        <rFont val="ACHS Nueva Sans"/>
      </rPr>
      <t xml:space="preserve"> La ubicación de las manos al inicio o final del levantamiento/descenso de una carga es superior a 155 cm o inferior a 20 cm</t>
    </r>
  </si>
  <si>
    <r>
      <t xml:space="preserve">Desplazamiento vertical </t>
    </r>
    <r>
      <rPr>
        <sz val="11"/>
        <color theme="0"/>
        <rFont val="ACHS Nueva Sans"/>
      </rPr>
      <t>La distancia vertical entre el origen y el destino del objeto manipulado es mayor a 135 cm</t>
    </r>
  </si>
  <si>
    <r>
      <t xml:space="preserve">Distancia horizontal </t>
    </r>
    <r>
      <rPr>
        <sz val="11"/>
        <color theme="0"/>
        <rFont val="ACHS Nueva Sans"/>
      </rPr>
      <t>La distancia horizontal entre el cuerpo y las manos (nudillos) es superior a 55 cm correspondiente a la zona de alcance máximo de brazos</t>
    </r>
  </si>
  <si>
    <r>
      <t xml:space="preserve">Asimetría </t>
    </r>
    <r>
      <rPr>
        <sz val="11"/>
        <color theme="0"/>
        <rFont val="ACHS Nueva Sans"/>
      </rPr>
      <t>Rotación o inclinación extrema del tronco sin movimientos de los pies</t>
    </r>
  </si>
  <si>
    <r>
      <t xml:space="preserve">Frecuencia </t>
    </r>
    <r>
      <rPr>
        <sz val="11"/>
        <color theme="0"/>
        <rFont val="ACHS Nueva Sans"/>
      </rPr>
      <t>Corta duración: más de 15 levant./desc. por min, en una tarea que no supere los 60 min seguidos en el turno de trabajo y seguida de al menos 60 min de desc. o tarea liviana (que no implique MMC)</t>
    </r>
  </si>
  <si>
    <r>
      <t xml:space="preserve">Frecuencia </t>
    </r>
    <r>
      <rPr>
        <sz val="11"/>
        <color theme="0"/>
        <rFont val="ACHS Nueva Sans"/>
      </rPr>
      <t>Media duración: + de 12 levant/desc por min, en una tarea que no supere los 120 min seguidos en el turno de trabajo y seguida de al menos 30 min de descanso o tarea liviana (que no implique MMC).</t>
    </r>
  </si>
  <si>
    <r>
      <t>Frecuencia</t>
    </r>
    <r>
      <rPr>
        <sz val="11"/>
        <color theme="0"/>
        <rFont val="ACHS Nueva Sans"/>
      </rPr>
      <t xml:space="preserve"> Larga duración: más de 8 levantamientos/descensos por minuto, en una tarea que supere los 120 minutos seguidos en el turno de trabajo</t>
    </r>
  </si>
  <si>
    <r>
      <t xml:space="preserve">Hombres (18-45 años) </t>
    </r>
    <r>
      <rPr>
        <b/>
        <sz val="11"/>
        <color rgb="FFFF0000"/>
        <rFont val="ACHS Nueva Sans"/>
      </rPr>
      <t>25KG</t>
    </r>
  </si>
  <si>
    <r>
      <t xml:space="preserve">Mujeres (18-45 años) </t>
    </r>
    <r>
      <rPr>
        <b/>
        <sz val="11"/>
        <color rgb="FFFF0000"/>
        <rFont val="ACHS Nueva Sans"/>
      </rPr>
      <t>20KG</t>
    </r>
  </si>
  <si>
    <r>
      <t xml:space="preserve">Hombres (&lt;18 o &gt;45 años) </t>
    </r>
    <r>
      <rPr>
        <b/>
        <sz val="11"/>
        <color rgb="FFFF0000"/>
        <rFont val="ACHS Nueva Sans"/>
      </rPr>
      <t>20KG</t>
    </r>
  </si>
  <si>
    <r>
      <t xml:space="preserve">Mujeres (&lt;18 o &gt;45 años) </t>
    </r>
    <r>
      <rPr>
        <b/>
        <sz val="11"/>
        <color rgb="FFFF0000"/>
        <rFont val="ACHS Nueva Sans"/>
      </rPr>
      <t>15KG</t>
    </r>
  </si>
  <si>
    <r>
      <t xml:space="preserve">Mujer embarazada             </t>
    </r>
    <r>
      <rPr>
        <b/>
        <sz val="11"/>
        <color rgb="FFFF0000"/>
        <rFont val="ACHS Nueva Sans"/>
      </rPr>
      <t>3KG</t>
    </r>
  </si>
  <si>
    <r>
      <t xml:space="preserve">Distancia de transporte de 20 mt o más </t>
    </r>
    <r>
      <rPr>
        <b/>
        <sz val="11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</si>
  <si>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1"/>
        <color rgb="FFFF0000"/>
        <rFont val="ACHS Nueva Sans"/>
      </rPr>
      <t>10.000 kg en 8 hr</t>
    </r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</si>
  <si>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</si>
  <si>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</si>
  <si>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</si>
  <si>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</si>
  <si>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</si>
  <si>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</si>
  <si>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</si>
  <si>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</si>
  <si>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</si>
  <si>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</si>
  <si>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</si>
  <si>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</si>
  <si>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</si>
  <si>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</si>
  <si>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</si>
  <si>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</si>
  <si>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</si>
  <si>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</si>
  <si>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</si>
  <si>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</si>
  <si>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</si>
  <si>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</si>
  <si>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</si>
  <si>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</si>
  <si>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</si>
  <si>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</si>
  <si>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</si>
  <si>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</si>
  <si>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</si>
  <si>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</si>
  <si>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</si>
  <si>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</si>
  <si>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</si>
  <si>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</si>
  <si>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</si>
  <si>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</si>
  <si>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</si>
  <si>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</si>
  <si>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</si>
  <si>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</si>
  <si>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</si>
  <si>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</si>
  <si>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</si>
  <si>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</si>
  <si>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</si>
  <si>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</si>
  <si>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</si>
  <si>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</si>
  <si>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</si>
  <si>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</si>
  <si>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</si>
  <si>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</si>
  <si>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</si>
  <si>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</si>
  <si>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</si>
  <si>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</si>
  <si>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</si>
  <si>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</si>
  <si>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</si>
  <si>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</si>
  <si>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</si>
  <si>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</si>
  <si>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</si>
  <si>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</si>
  <si>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</si>
  <si>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</si>
  <si>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</si>
  <si>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</si>
  <si>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</si>
  <si>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</si>
  <si>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</si>
  <si>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</si>
  <si>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</si>
  <si>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</si>
  <si>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</si>
  <si>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</si>
  <si>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</si>
  <si>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</si>
  <si>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</si>
  <si>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</si>
  <si>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</si>
  <si>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</si>
  <si>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</si>
  <si>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</si>
  <si>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</si>
  <si>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</si>
  <si>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</si>
  <si>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oprar maquinarias o herramientas vibrantes por periodos prolongados mayores a 5 minutos todos los dias?</t>
  </si>
  <si>
    <t>¿Las herramientas que se utilizan no están diseñadas para la tarea realizada? ¿Las herramientas son de confeccion artesanal?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</si>
  <si>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</si>
  <si>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</si>
  <si>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</si>
  <si>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</si>
  <si>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</si>
  <si>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</si>
  <si>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</si>
  <si>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</si>
  <si>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</si>
  <si>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¿Se sobrepasa el criterio de accion de 0,5 m/s2?</t>
  </si>
  <si>
    <t>¿Existe desconocimiento por parte de los trabajadores sobre los riesgos relacionados con las vibraciones de cuerpo completo?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</si>
  <si>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</si>
  <si>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</si>
  <si>
    <t>Esto es una medida administrativa de ejemmplo</t>
  </si>
  <si>
    <t>Este es el responsable</t>
  </si>
  <si>
    <t>Esto es una medida Ingenieria de ejemmplo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</si>
</sst>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CHS Nueva Sans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1" tint="4.9989318521683403E-2"/>
      </left>
      <right/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3" tint="0.89999084444715716"/>
      </top>
      <bottom style="thin">
        <color theme="3" tint="0.8999908444471571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 tint="0.89999084444715716"/>
      </left>
      <right style="thin">
        <color theme="3" tint="0.89999084444715716"/>
      </right>
      <top/>
      <bottom style="thin">
        <color theme="3" tint="0.89999084444715716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theme="3" tint="0.89999084444715716"/>
      </bottom>
      <diagonal/>
    </border>
    <border>
      <left/>
      <right style="thin">
        <color theme="3" tint="0.89999084444715716"/>
      </right>
      <top/>
      <bottom style="thin">
        <color theme="3" tint="0.89999084444715716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4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3" borderId="1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textRotation="90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8" fillId="8" borderId="1" xfId="1" applyFill="1" applyBorder="1" applyAlignment="1" applyProtection="1">
      <alignment vertical="center" wrapText="1"/>
      <protection locked="0"/>
    </xf>
    <xf numFmtId="0" fontId="19" fillId="8" borderId="1" xfId="0" applyFont="1" applyFill="1" applyBorder="1" applyAlignment="1" applyProtection="1">
      <alignment vertical="center" wrapText="1"/>
      <protection locked="0"/>
    </xf>
    <xf numFmtId="0" fontId="19" fillId="8" borderId="1" xfId="0" applyFont="1" applyFill="1" applyBorder="1" applyAlignment="1" applyProtection="1">
      <alignment horizontal="left" vertical="center" wrapText="1"/>
      <protection locked="0"/>
    </xf>
    <xf numFmtId="14" fontId="19" fillId="8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8" borderId="4" xfId="0" applyFont="1" applyFill="1" applyBorder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horizontal="left" vertical="center" wrapText="1"/>
      <protection locked="0"/>
    </xf>
    <xf numFmtId="0" fontId="20" fillId="9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0" borderId="16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 applyProtection="1">
      <alignment vertical="center" wrapText="1"/>
      <protection locked="0"/>
    </xf>
    <xf numFmtId="0" fontId="0" fillId="0" borderId="21" xfId="0" applyBorder="1" applyAlignment="1">
      <alignment wrapText="1"/>
    </xf>
    <xf numFmtId="0" fontId="0" fillId="0" borderId="22" xfId="0" applyBorder="1"/>
    <xf numFmtId="0" fontId="10" fillId="7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23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4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6" fillId="10" borderId="1" xfId="0" applyFont="1" applyFill="1" applyBorder="1" applyAlignment="1">
      <alignment horizontal="left" vertical="center" wrapText="1" indent="1"/>
    </xf>
    <xf numFmtId="0" fontId="21" fillId="0" borderId="3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left" vertical="center" wrapText="1" indent="1"/>
    </xf>
    <xf numFmtId="0" fontId="19" fillId="10" borderId="3" xfId="0" applyFont="1" applyFill="1" applyBorder="1" applyAlignment="1">
      <alignment horizontal="left" vertical="center" wrapText="1" inden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  <protection locked="0"/>
    </xf>
    <xf numFmtId="0" fontId="19" fillId="8" borderId="6" xfId="0" applyFont="1" applyFill="1" applyBorder="1" applyAlignment="1" applyProtection="1">
      <alignment horizontal="center" vertical="center" wrapText="1"/>
      <protection locked="0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textRotation="90" wrapText="1"/>
    </xf>
    <xf numFmtId="0" fontId="2" fillId="4" borderId="0" xfId="0" applyFont="1" applyFill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14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Portada!$G$2:$H$2</c:f>
              <c:numCache>
                <c:formatCode>General</c:formatCode>
                <c:ptCount val="2"/>
                <c:pt idx="0">
                  <c:v>59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MUNOZC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workbookViewId="0">
      <selection activeCell="F2" sqref="F2"/>
    </sheetView>
  </sheetViews>
  <sheetFormatPr baseColWidth="10" defaultColWidth="11.5" defaultRowHeight="14.25"/>
  <cols>
    <col min="1" max="1" width="26.375" style="1" customWidth="1"/>
    <col min="2" max="2" width="44.375" customWidth="1"/>
    <col min="3" max="3" width="16.375" customWidth="1"/>
    <col min="4" max="4" width="27.5" style="34" customWidth="1"/>
    <col min="6" max="6" width="12.5" bestFit="1" customWidth="1"/>
    <col min="7" max="7" width="9.125" bestFit="1" customWidth="1"/>
    <col min="8" max="8" width="10" bestFit="1" customWidth="1"/>
  </cols>
  <sheetData>
    <row r="1" spans="1:8" ht="26.45" customHeight="1" thickBot="1">
      <c r="A1" s="122" t="s">
        <v>0</v>
      </c>
      <c r="B1" s="122"/>
      <c r="C1" s="122"/>
      <c r="D1" s="122"/>
      <c r="F1" s="39" t="s">
        <v>1</v>
      </c>
      <c r="G1" s="39" t="s">
        <v>2</v>
      </c>
      <c r="H1" s="39" t="s">
        <v>3</v>
      </c>
    </row>
    <row r="2" spans="1:8" ht="22.15" customHeight="1" thickBot="1">
      <c r="A2" s="38" t="s">
        <v>4</v>
      </c>
      <c r="B2" s="31" t="s">
        <v>5</v>
      </c>
      <c r="C2" s="29" t="s">
        <v>6</v>
      </c>
      <c r="D2" s="32" t="s">
        <v>7</v>
      </c>
      <c r="F2" s="40">
        <f>COUNTIF(Datos!B:B,"Faenación")</f>
        <v>61</v>
      </c>
      <c r="G2" s="41">
        <f>COUNTIF(Datos!T:T,"SI")</f>
        <v>59</v>
      </c>
      <c r="H2" s="41">
        <f>COUNTIF(Datos!T:T,"NO")</f>
        <v>2</v>
      </c>
    </row>
    <row r="3" spans="1:8" ht="25.9" customHeight="1">
      <c r="A3" s="38" t="s">
        <v>8</v>
      </c>
      <c r="B3" s="31" t="s">
        <v>9</v>
      </c>
      <c r="C3" s="29" t="s">
        <v>10</v>
      </c>
      <c r="D3" s="32"/>
    </row>
    <row r="4" spans="1:8" ht="22.15" customHeight="1">
      <c r="A4" s="38" t="s">
        <v>11</v>
      </c>
      <c r="B4" s="31" t="s">
        <v>12</v>
      </c>
      <c r="C4" s="29" t="s">
        <v>13</v>
      </c>
      <c r="D4" s="32" t="s">
        <v>14</v>
      </c>
    </row>
    <row r="5" spans="1:8" ht="22.15" customHeight="1">
      <c r="A5" s="38" t="s">
        <v>15</v>
      </c>
      <c r="B5" s="31" t="s">
        <v>16</v>
      </c>
      <c r="C5" s="31"/>
      <c r="D5" s="31"/>
    </row>
    <row r="6" spans="1:8" ht="31.9" customHeight="1">
      <c r="A6" s="38" t="s">
        <v>17</v>
      </c>
      <c r="B6" s="31" t="s">
        <v>18</v>
      </c>
      <c r="C6" s="29" t="s">
        <v>19</v>
      </c>
      <c r="D6" s="33">
        <v>45440</v>
      </c>
    </row>
    <row r="7" spans="1:8" ht="22.15" customHeight="1">
      <c r="A7" s="123" t="s">
        <v>20</v>
      </c>
      <c r="B7" s="123"/>
      <c r="C7" s="123"/>
      <c r="D7" s="123"/>
    </row>
    <row r="8" spans="1:8" ht="33.6" customHeight="1">
      <c r="A8" s="38" t="s">
        <v>21</v>
      </c>
      <c r="B8" s="31" t="s">
        <v>22</v>
      </c>
      <c r="C8" s="124" t="s">
        <v>23</v>
      </c>
      <c r="D8" s="125"/>
    </row>
    <row r="9" spans="1:8" ht="22.15" customHeight="1">
      <c r="A9" s="38" t="s">
        <v>24</v>
      </c>
      <c r="B9" s="35" t="s">
        <v>12</v>
      </c>
      <c r="C9" s="29" t="s">
        <v>25</v>
      </c>
      <c r="D9" s="32">
        <v>1515</v>
      </c>
    </row>
    <row r="10" spans="1:8" ht="22.15" customHeight="1">
      <c r="A10" s="38" t="s">
        <v>13</v>
      </c>
      <c r="B10" s="35" t="s">
        <v>14</v>
      </c>
      <c r="C10" s="29" t="s">
        <v>26</v>
      </c>
      <c r="D10" s="32">
        <v>497</v>
      </c>
    </row>
    <row r="11" spans="1:8" ht="22.15" customHeight="1">
      <c r="A11" s="123" t="s">
        <v>27</v>
      </c>
      <c r="B11" s="123"/>
      <c r="C11" s="123"/>
      <c r="D11" s="123"/>
    </row>
    <row r="12" spans="1:8" ht="22.15" customHeight="1">
      <c r="A12" s="38" t="s">
        <v>28</v>
      </c>
      <c r="B12" s="35" t="s">
        <v>29</v>
      </c>
      <c r="C12" s="29" t="s">
        <v>30</v>
      </c>
      <c r="D12" s="32">
        <v>722312747</v>
      </c>
    </row>
    <row r="13" spans="1:8" ht="22.15" customHeight="1">
      <c r="A13" s="38" t="s">
        <v>31</v>
      </c>
      <c r="B13" s="31" t="s">
        <v>32</v>
      </c>
      <c r="C13" s="36"/>
      <c r="D13" s="37"/>
    </row>
    <row r="14" spans="1:8" ht="22.15" customHeight="1">
      <c r="A14" s="38" t="s">
        <v>33</v>
      </c>
      <c r="B14" s="30" t="s">
        <v>34</v>
      </c>
    </row>
  </sheetData>
  <mergeCells count="4">
    <mergeCell ref="A1:D1"/>
    <mergeCell ref="A7:D7"/>
    <mergeCell ref="C8:D8"/>
    <mergeCell ref="A11:D11"/>
  </mergeCells>
  <hyperlinks>
    <hyperlink ref="B14" r:id="rId1" xr:uid="{CDAE92A1-96D1-444B-AFA4-2E7F67769B0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U62"/>
  <sheetViews>
    <sheetView topLeftCell="I1" workbookViewId="0">
      <pane ySplit="1" topLeftCell="A53" activePane="bottomLeft" state="frozen"/>
      <selection pane="bottomLeft" activeCell="D61" sqref="A61:D61"/>
    </sheetView>
  </sheetViews>
  <sheetFormatPr baseColWidth="10" defaultColWidth="11.5" defaultRowHeight="14.25"/>
  <cols>
    <col min="1" max="1" width="3.125" style="5" bestFit="1" customWidth="1"/>
    <col min="2" max="2" width="14" style="5" customWidth="1"/>
    <col min="3" max="3" width="11.125" style="5" bestFit="1" customWidth="1"/>
    <col min="4" max="4" width="23.625" style="5" customWidth="1"/>
    <col min="5" max="5" width="35.5" style="5" customWidth="1"/>
    <col min="6" max="6" width="11.625" style="5" customWidth="1"/>
    <col min="7" max="7" width="4" style="5" bestFit="1" customWidth="1"/>
    <col min="8" max="10" width="6.375" style="5" bestFit="1" customWidth="1"/>
    <col min="11" max="11" width="12.375" style="5" customWidth="1"/>
    <col min="12" max="12" width="10.625" style="5" bestFit="1" customWidth="1"/>
    <col min="13" max="13" width="8.875" style="5" bestFit="1" customWidth="1"/>
    <col min="14" max="14" width="16.5" style="5" customWidth="1"/>
    <col min="15" max="16" width="11.5" style="5"/>
    <col min="17" max="17" width="34" style="5" customWidth="1"/>
    <col min="18" max="19" width="31.625" style="5" customWidth="1"/>
    <col min="20" max="20" width="11.5" style="7"/>
    <col min="21" max="21" width="13.625" customWidth="1"/>
  </cols>
  <sheetData>
    <row r="1" spans="1:21" ht="99.6" customHeight="1">
      <c r="A1" s="27" t="s">
        <v>35</v>
      </c>
      <c r="B1" s="27" t="s">
        <v>36</v>
      </c>
      <c r="C1" s="27" t="s">
        <v>37</v>
      </c>
      <c r="D1" s="27" t="s">
        <v>38</v>
      </c>
      <c r="E1" s="27" t="s">
        <v>39</v>
      </c>
      <c r="F1" s="27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7" t="s">
        <v>45</v>
      </c>
      <c r="L1" s="27" t="s">
        <v>46</v>
      </c>
      <c r="M1" s="27" t="s">
        <v>47</v>
      </c>
      <c r="N1" s="27" t="s">
        <v>48</v>
      </c>
      <c r="O1" s="27" t="s">
        <v>49</v>
      </c>
      <c r="P1" s="27" t="s">
        <v>50</v>
      </c>
      <c r="Q1" s="27" t="s">
        <v>51</v>
      </c>
      <c r="R1" s="27" t="s">
        <v>52</v>
      </c>
      <c r="S1" s="27" t="s">
        <v>53</v>
      </c>
      <c r="T1" s="28" t="s">
        <v>54</v>
      </c>
      <c r="U1" s="28" t="s">
        <v>55</v>
      </c>
    </row>
    <row r="2" spans="1:21" ht="70.150000000000006" customHeight="1">
      <c r="A2" s="42">
        <v>1</v>
      </c>
      <c r="B2" s="94" t="s">
        <v>22</v>
      </c>
      <c r="C2" s="94" t="s">
        <v>56</v>
      </c>
      <c r="D2" s="97" t="s">
        <v>57</v>
      </c>
      <c r="E2" s="94" t="s">
        <v>58</v>
      </c>
      <c r="F2" s="94" t="s">
        <v>59</v>
      </c>
      <c r="G2" s="95" t="s">
        <v>60</v>
      </c>
      <c r="H2" s="95">
        <v>2</v>
      </c>
      <c r="I2" s="94">
        <v>36</v>
      </c>
      <c r="J2" s="94">
        <v>0</v>
      </c>
      <c r="K2" s="94" t="s">
        <v>61</v>
      </c>
      <c r="L2" s="94" t="s">
        <v>62</v>
      </c>
      <c r="M2" s="96" t="s">
        <v>63</v>
      </c>
      <c r="N2" s="94" t="s">
        <v>64</v>
      </c>
      <c r="O2" s="95" t="s">
        <v>65</v>
      </c>
      <c r="P2" s="94" t="s">
        <v>60</v>
      </c>
      <c r="Q2" s="95" t="s">
        <v>66</v>
      </c>
      <c r="R2" s="94" t="s">
        <v>67</v>
      </c>
      <c r="S2" s="94" t="s">
        <v>68</v>
      </c>
      <c r="T2" s="43" t="s">
        <v>65</v>
      </c>
    </row>
    <row r="3" spans="1:21" ht="70.150000000000006" customHeight="1">
      <c r="A3" s="42">
        <v>2</v>
      </c>
      <c r="B3" s="94" t="s">
        <v>22</v>
      </c>
      <c r="C3" s="94" t="s">
        <v>56</v>
      </c>
      <c r="D3" s="97" t="s">
        <v>69</v>
      </c>
      <c r="E3" s="94" t="s">
        <v>70</v>
      </c>
      <c r="F3" s="94" t="s">
        <v>71</v>
      </c>
      <c r="G3" s="95" t="s">
        <v>60</v>
      </c>
      <c r="H3" s="95">
        <v>2</v>
      </c>
      <c r="I3" s="95">
        <v>36</v>
      </c>
      <c r="J3" s="95">
        <v>0</v>
      </c>
      <c r="K3" s="94" t="s">
        <v>72</v>
      </c>
      <c r="L3" s="94" t="s">
        <v>62</v>
      </c>
      <c r="M3" s="96" t="s">
        <v>73</v>
      </c>
      <c r="N3" s="94" t="s">
        <v>64</v>
      </c>
      <c r="O3" s="95" t="s">
        <v>65</v>
      </c>
      <c r="P3" s="94" t="s">
        <v>60</v>
      </c>
      <c r="Q3" s="95" t="s">
        <v>74</v>
      </c>
      <c r="R3" s="94" t="s">
        <v>75</v>
      </c>
      <c r="S3" s="94" t="s">
        <v>68</v>
      </c>
      <c r="T3" s="43" t="s">
        <v>65</v>
      </c>
    </row>
    <row r="4" spans="1:21" ht="81" customHeight="1">
      <c r="A4" s="42">
        <v>3</v>
      </c>
      <c r="B4" s="94" t="s">
        <v>22</v>
      </c>
      <c r="C4" s="94" t="s">
        <v>56</v>
      </c>
      <c r="D4" s="97" t="s">
        <v>76</v>
      </c>
      <c r="E4" s="94" t="s">
        <v>77</v>
      </c>
      <c r="F4" s="94" t="s">
        <v>78</v>
      </c>
      <c r="G4" s="95" t="s">
        <v>60</v>
      </c>
      <c r="H4" s="95">
        <v>2</v>
      </c>
      <c r="I4" s="95">
        <v>36</v>
      </c>
      <c r="J4" s="95">
        <v>0</v>
      </c>
      <c r="K4" s="94" t="s">
        <v>72</v>
      </c>
      <c r="L4" s="94" t="s">
        <v>62</v>
      </c>
      <c r="M4" s="96" t="s">
        <v>79</v>
      </c>
      <c r="N4" s="94" t="s">
        <v>64</v>
      </c>
      <c r="O4" s="95" t="s">
        <v>65</v>
      </c>
      <c r="P4" s="94" t="s">
        <v>80</v>
      </c>
      <c r="Q4" s="95" t="s">
        <v>66</v>
      </c>
      <c r="R4" s="94" t="s">
        <v>67</v>
      </c>
      <c r="S4" s="94" t="s">
        <v>81</v>
      </c>
      <c r="T4" s="43" t="s">
        <v>65</v>
      </c>
    </row>
    <row r="5" spans="1:21" ht="70.150000000000006" customHeight="1">
      <c r="A5" s="42">
        <v>4</v>
      </c>
      <c r="B5" s="94" t="s">
        <v>22</v>
      </c>
      <c r="C5" s="94" t="s">
        <v>56</v>
      </c>
      <c r="D5" s="94" t="s">
        <v>82</v>
      </c>
      <c r="E5" s="94" t="s">
        <v>83</v>
      </c>
      <c r="F5" s="94" t="s">
        <v>84</v>
      </c>
      <c r="G5" s="95" t="s">
        <v>60</v>
      </c>
      <c r="H5" s="95">
        <v>2</v>
      </c>
      <c r="I5" s="95">
        <v>36</v>
      </c>
      <c r="J5" s="95">
        <v>0</v>
      </c>
      <c r="K5" s="94" t="s">
        <v>72</v>
      </c>
      <c r="L5" s="94" t="s">
        <v>62</v>
      </c>
      <c r="M5" s="96" t="s">
        <v>85</v>
      </c>
      <c r="N5" s="94" t="s">
        <v>64</v>
      </c>
      <c r="O5" s="95" t="s">
        <v>65</v>
      </c>
      <c r="P5" s="94" t="s">
        <v>60</v>
      </c>
      <c r="Q5" s="95" t="s">
        <v>66</v>
      </c>
      <c r="R5" s="94"/>
      <c r="S5" s="94" t="s">
        <v>86</v>
      </c>
      <c r="T5" s="43" t="s">
        <v>87</v>
      </c>
    </row>
    <row r="6" spans="1:21" ht="70.150000000000006" customHeight="1">
      <c r="A6" s="42">
        <v>5</v>
      </c>
      <c r="B6" s="94" t="s">
        <v>22</v>
      </c>
      <c r="C6" s="94" t="s">
        <v>56</v>
      </c>
      <c r="D6" s="97" t="s">
        <v>88</v>
      </c>
      <c r="E6" s="94" t="s">
        <v>89</v>
      </c>
      <c r="F6" s="94" t="s">
        <v>90</v>
      </c>
      <c r="G6" s="95" t="s">
        <v>60</v>
      </c>
      <c r="H6" s="95">
        <v>2</v>
      </c>
      <c r="I6" s="95">
        <v>36</v>
      </c>
      <c r="J6" s="95">
        <v>0</v>
      </c>
      <c r="K6" s="94" t="s">
        <v>72</v>
      </c>
      <c r="L6" s="94" t="s">
        <v>62</v>
      </c>
      <c r="M6" s="96" t="s">
        <v>91</v>
      </c>
      <c r="N6" s="94" t="s">
        <v>64</v>
      </c>
      <c r="O6" s="95" t="s">
        <v>65</v>
      </c>
      <c r="P6" s="94" t="s">
        <v>60</v>
      </c>
      <c r="Q6" s="95" t="s">
        <v>66</v>
      </c>
      <c r="R6" s="94" t="s">
        <v>92</v>
      </c>
      <c r="S6" s="94" t="s">
        <v>93</v>
      </c>
      <c r="T6" s="43" t="s">
        <v>65</v>
      </c>
    </row>
    <row r="7" spans="1:21" ht="70.150000000000006" customHeight="1">
      <c r="A7" s="42">
        <v>6</v>
      </c>
      <c r="B7" s="94" t="s">
        <v>22</v>
      </c>
      <c r="C7" s="94" t="s">
        <v>56</v>
      </c>
      <c r="D7" s="97" t="s">
        <v>94</v>
      </c>
      <c r="E7" s="94" t="s">
        <v>95</v>
      </c>
      <c r="F7" s="94" t="s">
        <v>96</v>
      </c>
      <c r="G7" s="95" t="s">
        <v>60</v>
      </c>
      <c r="H7" s="95">
        <v>2</v>
      </c>
      <c r="I7" s="95">
        <v>36</v>
      </c>
      <c r="J7" s="95">
        <v>0</v>
      </c>
      <c r="K7" s="94" t="s">
        <v>72</v>
      </c>
      <c r="L7" s="94" t="s">
        <v>62</v>
      </c>
      <c r="M7" s="96" t="s">
        <v>91</v>
      </c>
      <c r="N7" s="94" t="s">
        <v>64</v>
      </c>
      <c r="O7" s="95" t="s">
        <v>65</v>
      </c>
      <c r="P7" s="94" t="s">
        <v>97</v>
      </c>
      <c r="Q7" s="95" t="s">
        <v>66</v>
      </c>
      <c r="R7" s="94" t="s">
        <v>92</v>
      </c>
      <c r="S7" s="94" t="s">
        <v>93</v>
      </c>
      <c r="T7" s="43" t="s">
        <v>65</v>
      </c>
    </row>
    <row r="8" spans="1:21" ht="70.150000000000006" customHeight="1">
      <c r="A8" s="42">
        <v>7</v>
      </c>
      <c r="B8" s="94" t="s">
        <v>22</v>
      </c>
      <c r="C8" s="94" t="s">
        <v>56</v>
      </c>
      <c r="D8" s="97" t="s">
        <v>98</v>
      </c>
      <c r="E8" s="94" t="s">
        <v>99</v>
      </c>
      <c r="F8" s="94" t="s">
        <v>100</v>
      </c>
      <c r="G8" s="95" t="s">
        <v>60</v>
      </c>
      <c r="H8" s="95">
        <v>2</v>
      </c>
      <c r="I8" s="95">
        <v>36</v>
      </c>
      <c r="J8" s="95">
        <v>0</v>
      </c>
      <c r="K8" s="94" t="s">
        <v>72</v>
      </c>
      <c r="L8" s="94" t="s">
        <v>62</v>
      </c>
      <c r="M8" s="96" t="s">
        <v>85</v>
      </c>
      <c r="N8" s="94" t="s">
        <v>64</v>
      </c>
      <c r="O8" s="95" t="s">
        <v>65</v>
      </c>
      <c r="P8" s="94" t="s">
        <v>60</v>
      </c>
      <c r="Q8" s="95" t="s">
        <v>66</v>
      </c>
      <c r="R8" s="94" t="s">
        <v>92</v>
      </c>
      <c r="S8" s="94" t="s">
        <v>101</v>
      </c>
      <c r="T8" s="43" t="s">
        <v>65</v>
      </c>
    </row>
    <row r="9" spans="1:21" ht="70.150000000000006" customHeight="1">
      <c r="A9" s="42">
        <v>8</v>
      </c>
      <c r="B9" s="94" t="s">
        <v>22</v>
      </c>
      <c r="C9" s="94" t="s">
        <v>56</v>
      </c>
      <c r="D9" s="97" t="s">
        <v>102</v>
      </c>
      <c r="E9" s="94" t="s">
        <v>103</v>
      </c>
      <c r="F9" s="94" t="s">
        <v>104</v>
      </c>
      <c r="G9" s="95" t="s">
        <v>60</v>
      </c>
      <c r="H9" s="95">
        <v>2</v>
      </c>
      <c r="I9" s="95">
        <v>36</v>
      </c>
      <c r="J9" s="95">
        <v>0</v>
      </c>
      <c r="K9" s="94" t="s">
        <v>72</v>
      </c>
      <c r="L9" s="94" t="s">
        <v>62</v>
      </c>
      <c r="M9" s="96" t="s">
        <v>91</v>
      </c>
      <c r="N9" s="94" t="s">
        <v>64</v>
      </c>
      <c r="O9" s="95" t="s">
        <v>65</v>
      </c>
      <c r="P9" s="94" t="s">
        <v>97</v>
      </c>
      <c r="Q9" s="95" t="s">
        <v>66</v>
      </c>
      <c r="R9" s="94" t="s">
        <v>92</v>
      </c>
      <c r="S9" s="94" t="s">
        <v>105</v>
      </c>
      <c r="T9" s="43" t="s">
        <v>65</v>
      </c>
    </row>
    <row r="10" spans="1:21" ht="70.150000000000006" customHeight="1">
      <c r="A10" s="42">
        <v>9</v>
      </c>
      <c r="B10" s="94" t="s">
        <v>22</v>
      </c>
      <c r="C10" s="94" t="s">
        <v>106</v>
      </c>
      <c r="D10" s="97" t="s">
        <v>107</v>
      </c>
      <c r="E10" s="94" t="s">
        <v>108</v>
      </c>
      <c r="F10" s="94" t="s">
        <v>109</v>
      </c>
      <c r="G10" s="95" t="s">
        <v>60</v>
      </c>
      <c r="H10" s="95">
        <v>2</v>
      </c>
      <c r="I10" s="95">
        <v>8</v>
      </c>
      <c r="J10" s="95">
        <v>2</v>
      </c>
      <c r="K10" s="94" t="s">
        <v>72</v>
      </c>
      <c r="L10" s="94" t="s">
        <v>62</v>
      </c>
      <c r="M10" s="95" t="s">
        <v>110</v>
      </c>
      <c r="N10" s="94" t="s">
        <v>64</v>
      </c>
      <c r="O10" s="95" t="s">
        <v>65</v>
      </c>
      <c r="P10" s="94" t="s">
        <v>111</v>
      </c>
      <c r="Q10" s="95" t="s">
        <v>112</v>
      </c>
      <c r="R10" s="94" t="s">
        <v>113</v>
      </c>
      <c r="S10" s="94" t="s">
        <v>114</v>
      </c>
      <c r="T10" s="43" t="s">
        <v>65</v>
      </c>
    </row>
    <row r="11" spans="1:21" ht="70.150000000000006" customHeight="1">
      <c r="A11" s="42">
        <v>10</v>
      </c>
      <c r="B11" s="94" t="s">
        <v>22</v>
      </c>
      <c r="C11" s="94" t="s">
        <v>106</v>
      </c>
      <c r="D11" s="97" t="s">
        <v>115</v>
      </c>
      <c r="E11" s="94" t="s">
        <v>116</v>
      </c>
      <c r="F11" s="94" t="s">
        <v>109</v>
      </c>
      <c r="G11" s="95" t="s">
        <v>60</v>
      </c>
      <c r="H11" s="95">
        <v>2</v>
      </c>
      <c r="I11" s="95">
        <v>8</v>
      </c>
      <c r="J11" s="95">
        <v>2</v>
      </c>
      <c r="K11" s="94" t="s">
        <v>72</v>
      </c>
      <c r="L11" s="94" t="s">
        <v>62</v>
      </c>
      <c r="M11" s="95" t="s">
        <v>117</v>
      </c>
      <c r="N11" s="94" t="s">
        <v>64</v>
      </c>
      <c r="O11" s="95" t="s">
        <v>65</v>
      </c>
      <c r="P11" s="94" t="s">
        <v>111</v>
      </c>
      <c r="Q11" s="95" t="s">
        <v>118</v>
      </c>
      <c r="R11" s="94" t="s">
        <v>119</v>
      </c>
      <c r="S11" s="94" t="s">
        <v>120</v>
      </c>
      <c r="T11" s="43" t="s">
        <v>65</v>
      </c>
    </row>
    <row r="12" spans="1:21" ht="70.150000000000006" customHeight="1">
      <c r="A12" s="42">
        <v>11</v>
      </c>
      <c r="B12" s="94" t="s">
        <v>22</v>
      </c>
      <c r="C12" s="94" t="s">
        <v>106</v>
      </c>
      <c r="D12" s="97" t="s">
        <v>121</v>
      </c>
      <c r="E12" s="94" t="s">
        <v>122</v>
      </c>
      <c r="F12" s="94" t="s">
        <v>109</v>
      </c>
      <c r="G12" s="95" t="s">
        <v>60</v>
      </c>
      <c r="H12" s="95">
        <v>2</v>
      </c>
      <c r="I12" s="95">
        <v>8</v>
      </c>
      <c r="J12" s="95">
        <v>2</v>
      </c>
      <c r="K12" s="94" t="s">
        <v>72</v>
      </c>
      <c r="L12" s="94" t="s">
        <v>62</v>
      </c>
      <c r="M12" s="95" t="s">
        <v>117</v>
      </c>
      <c r="N12" s="94" t="s">
        <v>64</v>
      </c>
      <c r="O12" s="95" t="s">
        <v>65</v>
      </c>
      <c r="P12" s="94" t="s">
        <v>60</v>
      </c>
      <c r="Q12" s="95" t="s">
        <v>112</v>
      </c>
      <c r="R12" s="94" t="s">
        <v>123</v>
      </c>
      <c r="S12" s="94" t="s">
        <v>124</v>
      </c>
      <c r="T12" s="43" t="s">
        <v>65</v>
      </c>
    </row>
    <row r="13" spans="1:21" ht="70.150000000000006" customHeight="1">
      <c r="A13" s="42">
        <v>12</v>
      </c>
      <c r="B13" s="94" t="s">
        <v>22</v>
      </c>
      <c r="C13" s="94" t="s">
        <v>125</v>
      </c>
      <c r="D13" s="94" t="s">
        <v>126</v>
      </c>
      <c r="E13" s="94" t="s">
        <v>127</v>
      </c>
      <c r="F13" s="94" t="s">
        <v>109</v>
      </c>
      <c r="G13" s="95" t="s">
        <v>60</v>
      </c>
      <c r="H13" s="95">
        <v>2</v>
      </c>
      <c r="I13" s="95">
        <v>87</v>
      </c>
      <c r="J13" s="95">
        <v>28</v>
      </c>
      <c r="K13" s="94" t="s">
        <v>72</v>
      </c>
      <c r="L13" s="94" t="s">
        <v>62</v>
      </c>
      <c r="M13" s="95" t="s">
        <v>128</v>
      </c>
      <c r="N13" s="94" t="s">
        <v>64</v>
      </c>
      <c r="O13" s="95" t="s">
        <v>65</v>
      </c>
      <c r="P13" s="94" t="s">
        <v>129</v>
      </c>
      <c r="Q13" s="95" t="s">
        <v>112</v>
      </c>
      <c r="R13" s="94"/>
      <c r="S13" s="94" t="s">
        <v>124</v>
      </c>
      <c r="T13" s="43" t="s">
        <v>65</v>
      </c>
    </row>
    <row r="14" spans="1:21" ht="82.15" customHeight="1">
      <c r="A14" s="42">
        <v>13</v>
      </c>
      <c r="B14" s="94" t="s">
        <v>22</v>
      </c>
      <c r="C14" s="94" t="s">
        <v>125</v>
      </c>
      <c r="D14" s="94" t="s">
        <v>130</v>
      </c>
      <c r="E14" s="94" t="s">
        <v>131</v>
      </c>
      <c r="F14" s="94" t="s">
        <v>109</v>
      </c>
      <c r="G14" s="95" t="s">
        <v>60</v>
      </c>
      <c r="H14" s="95">
        <v>2</v>
      </c>
      <c r="I14" s="95">
        <v>87</v>
      </c>
      <c r="J14" s="95">
        <v>28</v>
      </c>
      <c r="K14" s="94" t="s">
        <v>72</v>
      </c>
      <c r="L14" s="94" t="s">
        <v>62</v>
      </c>
      <c r="M14" s="95" t="s">
        <v>128</v>
      </c>
      <c r="N14" s="94" t="s">
        <v>64</v>
      </c>
      <c r="O14" s="95" t="s">
        <v>65</v>
      </c>
      <c r="P14" s="94" t="s">
        <v>129</v>
      </c>
      <c r="Q14" s="95" t="s">
        <v>112</v>
      </c>
      <c r="R14" s="94" t="s">
        <v>132</v>
      </c>
      <c r="S14" s="94" t="s">
        <v>124</v>
      </c>
      <c r="T14" s="43" t="s">
        <v>65</v>
      </c>
    </row>
    <row r="15" spans="1:21" ht="70.150000000000006" customHeight="1">
      <c r="A15" s="42">
        <v>14</v>
      </c>
      <c r="B15" s="94" t="s">
        <v>22</v>
      </c>
      <c r="C15" s="94" t="s">
        <v>125</v>
      </c>
      <c r="D15" s="97" t="s">
        <v>133</v>
      </c>
      <c r="E15" s="94" t="s">
        <v>134</v>
      </c>
      <c r="F15" s="94" t="s">
        <v>109</v>
      </c>
      <c r="G15" s="95" t="s">
        <v>60</v>
      </c>
      <c r="H15" s="95">
        <v>2</v>
      </c>
      <c r="I15" s="95">
        <v>87</v>
      </c>
      <c r="J15" s="95">
        <v>28</v>
      </c>
      <c r="K15" s="94" t="s">
        <v>72</v>
      </c>
      <c r="L15" s="94" t="s">
        <v>62</v>
      </c>
      <c r="M15" s="95" t="s">
        <v>110</v>
      </c>
      <c r="N15" s="94" t="s">
        <v>64</v>
      </c>
      <c r="O15" s="95" t="s">
        <v>65</v>
      </c>
      <c r="P15" s="94" t="s">
        <v>60</v>
      </c>
      <c r="Q15" s="95" t="s">
        <v>112</v>
      </c>
      <c r="R15" s="94" t="s">
        <v>135</v>
      </c>
      <c r="S15" s="94" t="s">
        <v>124</v>
      </c>
      <c r="T15" s="43" t="s">
        <v>65</v>
      </c>
    </row>
    <row r="16" spans="1:21" ht="70.150000000000006" customHeight="1">
      <c r="A16" s="42">
        <v>15</v>
      </c>
      <c r="B16" s="94" t="s">
        <v>22</v>
      </c>
      <c r="C16" s="94" t="s">
        <v>125</v>
      </c>
      <c r="D16" s="97" t="s">
        <v>136</v>
      </c>
      <c r="E16" s="94" t="s">
        <v>137</v>
      </c>
      <c r="F16" s="94" t="s">
        <v>109</v>
      </c>
      <c r="G16" s="95" t="s">
        <v>60</v>
      </c>
      <c r="H16" s="95">
        <v>2</v>
      </c>
      <c r="I16" s="95">
        <v>87</v>
      </c>
      <c r="J16" s="95">
        <v>28</v>
      </c>
      <c r="K16" s="94" t="s">
        <v>72</v>
      </c>
      <c r="L16" s="94" t="s">
        <v>62</v>
      </c>
      <c r="M16" s="95" t="s">
        <v>110</v>
      </c>
      <c r="N16" s="94" t="s">
        <v>64</v>
      </c>
      <c r="O16" s="95" t="s">
        <v>65</v>
      </c>
      <c r="P16" s="94" t="s">
        <v>111</v>
      </c>
      <c r="Q16" s="95" t="s">
        <v>112</v>
      </c>
      <c r="R16" s="94" t="s">
        <v>135</v>
      </c>
      <c r="S16" s="94" t="s">
        <v>120</v>
      </c>
      <c r="T16" s="43" t="s">
        <v>65</v>
      </c>
    </row>
    <row r="17" spans="1:21" ht="70.150000000000006" customHeight="1">
      <c r="A17" s="42">
        <v>16</v>
      </c>
      <c r="B17" s="94" t="s">
        <v>22</v>
      </c>
      <c r="C17" s="94" t="s">
        <v>125</v>
      </c>
      <c r="D17" s="97" t="s">
        <v>138</v>
      </c>
      <c r="E17" s="94" t="s">
        <v>139</v>
      </c>
      <c r="F17" s="94" t="s">
        <v>109</v>
      </c>
      <c r="G17" s="95" t="s">
        <v>60</v>
      </c>
      <c r="H17" s="95">
        <v>2</v>
      </c>
      <c r="I17" s="95">
        <v>87</v>
      </c>
      <c r="J17" s="95">
        <v>28</v>
      </c>
      <c r="K17" s="94" t="s">
        <v>72</v>
      </c>
      <c r="L17" s="94" t="s">
        <v>62</v>
      </c>
      <c r="M17" s="95" t="s">
        <v>110</v>
      </c>
      <c r="N17" s="94" t="s">
        <v>64</v>
      </c>
      <c r="O17" s="95" t="s">
        <v>65</v>
      </c>
      <c r="P17" s="94" t="s">
        <v>140</v>
      </c>
      <c r="Q17" s="95" t="s">
        <v>112</v>
      </c>
      <c r="R17" s="94" t="s">
        <v>141</v>
      </c>
      <c r="S17" s="94" t="s">
        <v>142</v>
      </c>
      <c r="T17" s="43" t="s">
        <v>65</v>
      </c>
    </row>
    <row r="18" spans="1:21" ht="70.150000000000006" customHeight="1">
      <c r="A18" s="42">
        <v>17</v>
      </c>
      <c r="B18" s="94" t="s">
        <v>22</v>
      </c>
      <c r="C18" s="94" t="s">
        <v>125</v>
      </c>
      <c r="D18" s="97" t="s">
        <v>143</v>
      </c>
      <c r="E18" s="94" t="s">
        <v>144</v>
      </c>
      <c r="F18" s="94" t="s">
        <v>109</v>
      </c>
      <c r="G18" s="95" t="s">
        <v>60</v>
      </c>
      <c r="H18" s="95">
        <v>2</v>
      </c>
      <c r="I18" s="95">
        <v>87</v>
      </c>
      <c r="J18" s="95">
        <v>28</v>
      </c>
      <c r="K18" s="94" t="s">
        <v>72</v>
      </c>
      <c r="L18" s="94" t="s">
        <v>62</v>
      </c>
      <c r="M18" s="95" t="s">
        <v>110</v>
      </c>
      <c r="N18" s="94" t="s">
        <v>64</v>
      </c>
      <c r="O18" s="95" t="s">
        <v>65</v>
      </c>
      <c r="P18" s="94" t="s">
        <v>60</v>
      </c>
      <c r="Q18" s="95" t="s">
        <v>145</v>
      </c>
      <c r="R18" s="94" t="s">
        <v>146</v>
      </c>
      <c r="S18" s="94" t="s">
        <v>147</v>
      </c>
      <c r="T18" s="43" t="s">
        <v>65</v>
      </c>
    </row>
    <row r="19" spans="1:21" ht="70.150000000000006" customHeight="1">
      <c r="A19" s="42">
        <v>18</v>
      </c>
      <c r="B19" s="94" t="s">
        <v>22</v>
      </c>
      <c r="C19" s="94" t="s">
        <v>125</v>
      </c>
      <c r="D19" s="97" t="s">
        <v>148</v>
      </c>
      <c r="E19" s="94" t="s">
        <v>149</v>
      </c>
      <c r="F19" s="94" t="s">
        <v>109</v>
      </c>
      <c r="G19" s="95" t="s">
        <v>60</v>
      </c>
      <c r="H19" s="95">
        <v>2</v>
      </c>
      <c r="I19" s="95">
        <v>87</v>
      </c>
      <c r="J19" s="95">
        <v>28</v>
      </c>
      <c r="K19" s="94" t="s">
        <v>72</v>
      </c>
      <c r="L19" s="94" t="s">
        <v>62</v>
      </c>
      <c r="M19" s="95" t="s">
        <v>110</v>
      </c>
      <c r="N19" s="94" t="s">
        <v>64</v>
      </c>
      <c r="O19" s="95" t="s">
        <v>65</v>
      </c>
      <c r="P19" s="94" t="s">
        <v>111</v>
      </c>
      <c r="Q19" s="95" t="s">
        <v>112</v>
      </c>
      <c r="R19" s="94" t="s">
        <v>135</v>
      </c>
      <c r="S19" s="94" t="s">
        <v>120</v>
      </c>
      <c r="T19" s="43" t="s">
        <v>65</v>
      </c>
    </row>
    <row r="20" spans="1:21" ht="70.150000000000006" customHeight="1">
      <c r="A20" s="42">
        <v>19</v>
      </c>
      <c r="B20" s="94" t="s">
        <v>22</v>
      </c>
      <c r="C20" s="94" t="s">
        <v>125</v>
      </c>
      <c r="D20" s="97" t="s">
        <v>150</v>
      </c>
      <c r="E20" s="94" t="s">
        <v>151</v>
      </c>
      <c r="F20" s="94" t="s">
        <v>109</v>
      </c>
      <c r="G20" s="95" t="s">
        <v>60</v>
      </c>
      <c r="H20" s="95">
        <v>2</v>
      </c>
      <c r="I20" s="95">
        <v>87</v>
      </c>
      <c r="J20" s="95">
        <v>28</v>
      </c>
      <c r="K20" s="94" t="s">
        <v>72</v>
      </c>
      <c r="L20" s="94" t="s">
        <v>62</v>
      </c>
      <c r="M20" s="95" t="s">
        <v>110</v>
      </c>
      <c r="N20" s="94" t="s">
        <v>64</v>
      </c>
      <c r="O20" s="95" t="s">
        <v>65</v>
      </c>
      <c r="P20" s="94" t="s">
        <v>152</v>
      </c>
      <c r="Q20" s="95" t="s">
        <v>153</v>
      </c>
      <c r="R20" s="94" t="s">
        <v>154</v>
      </c>
      <c r="S20" s="94" t="s">
        <v>147</v>
      </c>
      <c r="T20" s="43" t="s">
        <v>65</v>
      </c>
    </row>
    <row r="21" spans="1:21" ht="70.150000000000006" customHeight="1">
      <c r="A21" s="42">
        <v>20</v>
      </c>
      <c r="B21" s="94" t="s">
        <v>22</v>
      </c>
      <c r="C21" s="94" t="s">
        <v>125</v>
      </c>
      <c r="D21" s="97" t="s">
        <v>155</v>
      </c>
      <c r="E21" s="94" t="s">
        <v>156</v>
      </c>
      <c r="F21" s="94" t="s">
        <v>109</v>
      </c>
      <c r="G21" s="95" t="s">
        <v>60</v>
      </c>
      <c r="H21" s="95">
        <v>2</v>
      </c>
      <c r="I21" s="95">
        <v>87</v>
      </c>
      <c r="J21" s="95">
        <v>28</v>
      </c>
      <c r="K21" s="94" t="s">
        <v>72</v>
      </c>
      <c r="L21" s="94" t="s">
        <v>62</v>
      </c>
      <c r="M21" s="95" t="s">
        <v>110</v>
      </c>
      <c r="N21" s="94" t="s">
        <v>64</v>
      </c>
      <c r="O21" s="95" t="s">
        <v>65</v>
      </c>
      <c r="P21" s="94" t="s">
        <v>60</v>
      </c>
      <c r="Q21" s="95" t="s">
        <v>157</v>
      </c>
      <c r="R21" s="94" t="s">
        <v>158</v>
      </c>
      <c r="S21" s="94" t="s">
        <v>159</v>
      </c>
      <c r="T21" s="43" t="s">
        <v>65</v>
      </c>
    </row>
    <row r="22" spans="1:21" ht="70.150000000000006" customHeight="1">
      <c r="A22" s="42">
        <v>21</v>
      </c>
      <c r="B22" s="94" t="s">
        <v>22</v>
      </c>
      <c r="C22" s="94" t="s">
        <v>125</v>
      </c>
      <c r="D22" s="97" t="s">
        <v>160</v>
      </c>
      <c r="E22" s="94" t="s">
        <v>161</v>
      </c>
      <c r="F22" s="94" t="s">
        <v>109</v>
      </c>
      <c r="G22" s="95" t="s">
        <v>60</v>
      </c>
      <c r="H22" s="95">
        <v>2</v>
      </c>
      <c r="I22" s="95">
        <v>87</v>
      </c>
      <c r="J22" s="95">
        <v>28</v>
      </c>
      <c r="K22" s="94" t="s">
        <v>72</v>
      </c>
      <c r="L22" s="94" t="s">
        <v>62</v>
      </c>
      <c r="M22" s="95" t="s">
        <v>73</v>
      </c>
      <c r="N22" s="94" t="s">
        <v>64</v>
      </c>
      <c r="O22" s="95" t="s">
        <v>65</v>
      </c>
      <c r="P22" s="94" t="s">
        <v>60</v>
      </c>
      <c r="Q22" s="95" t="s">
        <v>153</v>
      </c>
      <c r="R22" s="94" t="s">
        <v>162</v>
      </c>
      <c r="S22" s="94" t="s">
        <v>163</v>
      </c>
      <c r="T22" s="43" t="s">
        <v>65</v>
      </c>
    </row>
    <row r="23" spans="1:21" ht="70.150000000000006" customHeight="1">
      <c r="A23" s="42">
        <v>22</v>
      </c>
      <c r="B23" s="94" t="s">
        <v>22</v>
      </c>
      <c r="C23" s="94" t="s">
        <v>125</v>
      </c>
      <c r="D23" s="97" t="s">
        <v>164</v>
      </c>
      <c r="E23" s="94" t="s">
        <v>165</v>
      </c>
      <c r="F23" s="94" t="s">
        <v>109</v>
      </c>
      <c r="G23" s="95" t="s">
        <v>60</v>
      </c>
      <c r="H23" s="95">
        <v>2</v>
      </c>
      <c r="I23" s="95">
        <v>87</v>
      </c>
      <c r="J23" s="95">
        <v>28</v>
      </c>
      <c r="K23" s="94" t="s">
        <v>72</v>
      </c>
      <c r="L23" s="94" t="s">
        <v>62</v>
      </c>
      <c r="M23" s="95" t="s">
        <v>110</v>
      </c>
      <c r="N23" s="94" t="s">
        <v>64</v>
      </c>
      <c r="O23" s="95" t="s">
        <v>65</v>
      </c>
      <c r="P23" s="94" t="s">
        <v>111</v>
      </c>
      <c r="Q23" s="95" t="s">
        <v>166</v>
      </c>
      <c r="R23" s="94" t="s">
        <v>167</v>
      </c>
      <c r="S23" s="94" t="s">
        <v>168</v>
      </c>
      <c r="T23" s="43" t="s">
        <v>65</v>
      </c>
    </row>
    <row r="24" spans="1:21" ht="70.150000000000006" customHeight="1">
      <c r="A24" s="42">
        <v>23</v>
      </c>
      <c r="B24" s="94" t="s">
        <v>22</v>
      </c>
      <c r="C24" s="94" t="s">
        <v>125</v>
      </c>
      <c r="D24" s="97" t="s">
        <v>169</v>
      </c>
      <c r="E24" s="94" t="s">
        <v>170</v>
      </c>
      <c r="F24" s="94" t="s">
        <v>109</v>
      </c>
      <c r="G24" s="95" t="s">
        <v>60</v>
      </c>
      <c r="H24" s="95">
        <v>2</v>
      </c>
      <c r="I24" s="95">
        <v>87</v>
      </c>
      <c r="J24" s="95">
        <v>28</v>
      </c>
      <c r="K24" s="94" t="s">
        <v>72</v>
      </c>
      <c r="L24" s="94" t="s">
        <v>62</v>
      </c>
      <c r="M24" s="95" t="s">
        <v>171</v>
      </c>
      <c r="N24" s="94" t="s">
        <v>64</v>
      </c>
      <c r="O24" s="95" t="s">
        <v>65</v>
      </c>
      <c r="P24" s="94" t="s">
        <v>60</v>
      </c>
      <c r="Q24" s="95" t="s">
        <v>172</v>
      </c>
      <c r="R24" s="94" t="s">
        <v>173</v>
      </c>
      <c r="S24" s="94" t="s">
        <v>168</v>
      </c>
      <c r="T24" s="43" t="s">
        <v>65</v>
      </c>
    </row>
    <row r="25" spans="1:21" ht="51">
      <c r="A25" s="42">
        <v>24</v>
      </c>
      <c r="B25" s="94" t="s">
        <v>22</v>
      </c>
      <c r="C25" s="94" t="s">
        <v>125</v>
      </c>
      <c r="D25" s="97" t="s">
        <v>174</v>
      </c>
      <c r="E25" s="94" t="s">
        <v>175</v>
      </c>
      <c r="F25" s="94" t="s">
        <v>109</v>
      </c>
      <c r="G25" s="95" t="s">
        <v>60</v>
      </c>
      <c r="H25" s="95">
        <v>2</v>
      </c>
      <c r="I25" s="95">
        <v>87</v>
      </c>
      <c r="J25" s="95">
        <v>28</v>
      </c>
      <c r="K25" s="94" t="s">
        <v>72</v>
      </c>
      <c r="L25" s="94" t="s">
        <v>62</v>
      </c>
      <c r="M25" s="95" t="s">
        <v>110</v>
      </c>
      <c r="N25" s="94" t="s">
        <v>64</v>
      </c>
      <c r="O25" s="95" t="s">
        <v>65</v>
      </c>
      <c r="P25" s="94" t="s">
        <v>60</v>
      </c>
      <c r="Q25" s="95" t="s">
        <v>166</v>
      </c>
      <c r="R25" s="94" t="s">
        <v>167</v>
      </c>
      <c r="S25" s="94" t="s">
        <v>168</v>
      </c>
      <c r="T25" s="43" t="s">
        <v>65</v>
      </c>
    </row>
    <row r="26" spans="1:21" ht="76.5">
      <c r="A26" s="42">
        <v>25</v>
      </c>
      <c r="B26" s="94" t="s">
        <v>22</v>
      </c>
      <c r="C26" s="94" t="s">
        <v>125</v>
      </c>
      <c r="D26" s="97" t="s">
        <v>176</v>
      </c>
      <c r="E26" s="94" t="s">
        <v>177</v>
      </c>
      <c r="F26" s="94" t="s">
        <v>109</v>
      </c>
      <c r="G26" s="95" t="s">
        <v>60</v>
      </c>
      <c r="H26" s="95">
        <v>2</v>
      </c>
      <c r="I26" s="95">
        <v>87</v>
      </c>
      <c r="J26" s="95">
        <v>28</v>
      </c>
      <c r="K26" s="94" t="s">
        <v>72</v>
      </c>
      <c r="L26" s="94" t="s">
        <v>62</v>
      </c>
      <c r="M26" s="95" t="s">
        <v>110</v>
      </c>
      <c r="N26" s="94" t="s">
        <v>64</v>
      </c>
      <c r="O26" s="95" t="s">
        <v>65</v>
      </c>
      <c r="P26" s="94"/>
      <c r="Q26" s="95"/>
      <c r="R26" s="94"/>
      <c r="S26" s="94"/>
      <c r="T26" s="43" t="s">
        <v>65</v>
      </c>
    </row>
    <row r="27" spans="1:21" ht="76.5">
      <c r="A27" s="42">
        <v>26</v>
      </c>
      <c r="B27" s="94" t="s">
        <v>22</v>
      </c>
      <c r="C27" s="94" t="s">
        <v>125</v>
      </c>
      <c r="D27" s="97" t="s">
        <v>178</v>
      </c>
      <c r="E27" s="94" t="s">
        <v>179</v>
      </c>
      <c r="F27" s="94" t="s">
        <v>109</v>
      </c>
      <c r="G27" s="95" t="s">
        <v>60</v>
      </c>
      <c r="H27" s="95">
        <v>2</v>
      </c>
      <c r="I27" s="95">
        <v>87</v>
      </c>
      <c r="J27" s="95">
        <v>0</v>
      </c>
      <c r="K27" s="94" t="s">
        <v>72</v>
      </c>
      <c r="L27" s="94" t="s">
        <v>62</v>
      </c>
      <c r="M27" s="95" t="s">
        <v>117</v>
      </c>
      <c r="N27" s="94" t="s">
        <v>64</v>
      </c>
      <c r="O27" s="95" t="s">
        <v>65</v>
      </c>
      <c r="P27" s="94" t="s">
        <v>180</v>
      </c>
      <c r="Q27" s="95" t="s">
        <v>181</v>
      </c>
      <c r="R27" s="94" t="s">
        <v>182</v>
      </c>
      <c r="S27" s="94" t="s">
        <v>183</v>
      </c>
      <c r="T27" s="43" t="s">
        <v>65</v>
      </c>
    </row>
    <row r="28" spans="1:21" ht="89.25">
      <c r="A28" s="42">
        <v>27</v>
      </c>
      <c r="B28" s="94" t="s">
        <v>22</v>
      </c>
      <c r="C28" s="94" t="s">
        <v>125</v>
      </c>
      <c r="D28" s="97" t="s">
        <v>184</v>
      </c>
      <c r="E28" s="94" t="s">
        <v>185</v>
      </c>
      <c r="F28" s="94" t="s">
        <v>109</v>
      </c>
      <c r="G28" s="95" t="s">
        <v>60</v>
      </c>
      <c r="H28" s="95">
        <v>2</v>
      </c>
      <c r="I28" s="95">
        <v>87</v>
      </c>
      <c r="J28" s="95">
        <v>28</v>
      </c>
      <c r="K28" s="94" t="s">
        <v>72</v>
      </c>
      <c r="L28" s="94" t="s">
        <v>62</v>
      </c>
      <c r="M28" s="95" t="s">
        <v>110</v>
      </c>
      <c r="N28" s="94" t="s">
        <v>64</v>
      </c>
      <c r="O28" s="95" t="s">
        <v>65</v>
      </c>
      <c r="P28" s="94" t="s">
        <v>186</v>
      </c>
      <c r="Q28" s="95" t="s">
        <v>66</v>
      </c>
      <c r="R28" s="94" t="s">
        <v>92</v>
      </c>
      <c r="S28" s="94" t="s">
        <v>187</v>
      </c>
      <c r="T28" s="43" t="s">
        <v>65</v>
      </c>
    </row>
    <row r="29" spans="1:21" ht="114.75">
      <c r="A29" s="42">
        <v>28</v>
      </c>
      <c r="B29" s="94" t="s">
        <v>22</v>
      </c>
      <c r="C29" s="94" t="s">
        <v>125</v>
      </c>
      <c r="D29" s="97" t="s">
        <v>88</v>
      </c>
      <c r="E29" s="94" t="s">
        <v>188</v>
      </c>
      <c r="F29" s="94" t="s">
        <v>109</v>
      </c>
      <c r="G29" s="95" t="s">
        <v>60</v>
      </c>
      <c r="H29" s="95">
        <v>2</v>
      </c>
      <c r="I29" s="95">
        <v>87</v>
      </c>
      <c r="J29" s="95">
        <v>28</v>
      </c>
      <c r="K29" s="94" t="s">
        <v>72</v>
      </c>
      <c r="L29" s="94" t="s">
        <v>62</v>
      </c>
      <c r="M29" s="95" t="s">
        <v>128</v>
      </c>
      <c r="N29" s="94" t="s">
        <v>64</v>
      </c>
      <c r="O29" s="95" t="s">
        <v>65</v>
      </c>
      <c r="P29" s="94" t="s">
        <v>189</v>
      </c>
      <c r="Q29" s="95" t="s">
        <v>66</v>
      </c>
      <c r="R29" s="94" t="s">
        <v>92</v>
      </c>
      <c r="S29" s="94" t="s">
        <v>93</v>
      </c>
      <c r="T29" s="43" t="s">
        <v>65</v>
      </c>
    </row>
    <row r="30" spans="1:21" ht="114.75">
      <c r="A30" s="42">
        <v>29</v>
      </c>
      <c r="B30" s="94" t="s">
        <v>22</v>
      </c>
      <c r="C30" s="94" t="s">
        <v>125</v>
      </c>
      <c r="D30" s="97" t="s">
        <v>190</v>
      </c>
      <c r="E30" s="94" t="s">
        <v>191</v>
      </c>
      <c r="F30" s="94" t="s">
        <v>109</v>
      </c>
      <c r="G30" s="95" t="s">
        <v>60</v>
      </c>
      <c r="H30" s="95">
        <v>2</v>
      </c>
      <c r="I30" s="95">
        <v>87</v>
      </c>
      <c r="J30" s="95">
        <v>28</v>
      </c>
      <c r="K30" s="94" t="s">
        <v>72</v>
      </c>
      <c r="L30" s="94" t="s">
        <v>62</v>
      </c>
      <c r="M30" s="95" t="s">
        <v>128</v>
      </c>
      <c r="N30" s="94" t="s">
        <v>192</v>
      </c>
      <c r="O30" s="95" t="s">
        <v>65</v>
      </c>
      <c r="P30" s="94" t="s">
        <v>97</v>
      </c>
      <c r="Q30" s="95" t="s">
        <v>66</v>
      </c>
      <c r="R30" s="94" t="s">
        <v>92</v>
      </c>
      <c r="S30" s="94" t="s">
        <v>93</v>
      </c>
      <c r="T30" s="43" t="s">
        <v>65</v>
      </c>
    </row>
    <row r="31" spans="1:21" ht="51">
      <c r="A31" s="42">
        <v>30</v>
      </c>
      <c r="B31" s="94" t="s">
        <v>22</v>
      </c>
      <c r="C31" s="94" t="s">
        <v>193</v>
      </c>
      <c r="D31" s="97" t="s">
        <v>194</v>
      </c>
      <c r="E31" s="94" t="s">
        <v>195</v>
      </c>
      <c r="F31" s="94" t="s">
        <v>196</v>
      </c>
      <c r="G31" s="95" t="s">
        <v>60</v>
      </c>
      <c r="H31" s="95">
        <v>2</v>
      </c>
      <c r="I31" s="95">
        <v>23</v>
      </c>
      <c r="J31" s="94">
        <v>17</v>
      </c>
      <c r="K31" s="94" t="s">
        <v>72</v>
      </c>
      <c r="L31" s="94" t="s">
        <v>62</v>
      </c>
      <c r="M31" s="95" t="s">
        <v>73</v>
      </c>
      <c r="N31" s="94" t="s">
        <v>192</v>
      </c>
      <c r="O31" s="95" t="s">
        <v>65</v>
      </c>
      <c r="P31" s="94" t="s">
        <v>60</v>
      </c>
      <c r="Q31" s="95" t="s">
        <v>197</v>
      </c>
      <c r="R31" s="94" t="s">
        <v>92</v>
      </c>
      <c r="S31" s="94" t="s">
        <v>198</v>
      </c>
      <c r="T31" s="43" t="s">
        <v>65</v>
      </c>
      <c r="U31" s="119" t="s">
        <v>199</v>
      </c>
    </row>
    <row r="32" spans="1:21" ht="63.75">
      <c r="A32" s="42">
        <v>31</v>
      </c>
      <c r="B32" s="94" t="s">
        <v>22</v>
      </c>
      <c r="C32" s="94" t="s">
        <v>193</v>
      </c>
      <c r="D32" s="97" t="s">
        <v>200</v>
      </c>
      <c r="E32" s="94" t="s">
        <v>201</v>
      </c>
      <c r="F32" s="94" t="s">
        <v>196</v>
      </c>
      <c r="G32" s="95" t="s">
        <v>60</v>
      </c>
      <c r="H32" s="95">
        <v>2</v>
      </c>
      <c r="I32" s="95">
        <v>23</v>
      </c>
      <c r="J32" s="94">
        <v>17</v>
      </c>
      <c r="K32" s="94" t="s">
        <v>72</v>
      </c>
      <c r="L32" s="94" t="s">
        <v>62</v>
      </c>
      <c r="M32" s="95" t="s">
        <v>202</v>
      </c>
      <c r="N32" s="94" t="s">
        <v>192</v>
      </c>
      <c r="O32" s="95" t="s">
        <v>65</v>
      </c>
      <c r="P32" s="94" t="s">
        <v>60</v>
      </c>
      <c r="Q32" s="95" t="s">
        <v>197</v>
      </c>
      <c r="R32" s="94" t="s">
        <v>203</v>
      </c>
      <c r="S32" s="94" t="s">
        <v>198</v>
      </c>
      <c r="T32" s="43" t="s">
        <v>65</v>
      </c>
      <c r="U32" s="117" t="s">
        <v>204</v>
      </c>
    </row>
    <row r="33" spans="1:21" ht="71.25">
      <c r="A33" s="42">
        <v>32</v>
      </c>
      <c r="B33" s="94" t="s">
        <v>22</v>
      </c>
      <c r="C33" s="94" t="s">
        <v>193</v>
      </c>
      <c r="D33" s="97" t="s">
        <v>205</v>
      </c>
      <c r="E33" s="94" t="s">
        <v>206</v>
      </c>
      <c r="F33" s="94" t="s">
        <v>196</v>
      </c>
      <c r="G33" s="95" t="s">
        <v>60</v>
      </c>
      <c r="H33" s="95">
        <v>2</v>
      </c>
      <c r="I33" s="95">
        <v>23</v>
      </c>
      <c r="J33" s="94">
        <v>17</v>
      </c>
      <c r="K33" s="94" t="s">
        <v>72</v>
      </c>
      <c r="L33" s="94" t="s">
        <v>62</v>
      </c>
      <c r="M33" s="95" t="s">
        <v>207</v>
      </c>
      <c r="N33" s="94" t="s">
        <v>192</v>
      </c>
      <c r="O33" s="95" t="s">
        <v>65</v>
      </c>
      <c r="P33" s="94" t="s">
        <v>60</v>
      </c>
      <c r="Q33" s="95" t="s">
        <v>197</v>
      </c>
      <c r="R33" s="94" t="s">
        <v>208</v>
      </c>
      <c r="S33" s="94" t="s">
        <v>198</v>
      </c>
      <c r="T33" s="43" t="s">
        <v>65</v>
      </c>
      <c r="U33" s="120" t="s">
        <v>209</v>
      </c>
    </row>
    <row r="34" spans="1:21" ht="51">
      <c r="A34" s="42">
        <v>33</v>
      </c>
      <c r="B34" s="94" t="s">
        <v>22</v>
      </c>
      <c r="C34" s="94" t="s">
        <v>193</v>
      </c>
      <c r="D34" s="97" t="s">
        <v>210</v>
      </c>
      <c r="E34" s="94" t="s">
        <v>211</v>
      </c>
      <c r="F34" s="94" t="s">
        <v>196</v>
      </c>
      <c r="G34" s="95" t="s">
        <v>60</v>
      </c>
      <c r="H34" s="95">
        <v>2</v>
      </c>
      <c r="I34" s="95">
        <v>23</v>
      </c>
      <c r="J34" s="94">
        <v>17</v>
      </c>
      <c r="K34" s="94" t="s">
        <v>72</v>
      </c>
      <c r="L34" s="94" t="s">
        <v>62</v>
      </c>
      <c r="M34" s="95" t="s">
        <v>202</v>
      </c>
      <c r="N34" s="94" t="s">
        <v>192</v>
      </c>
      <c r="O34" s="95" t="s">
        <v>65</v>
      </c>
      <c r="P34" s="94" t="s">
        <v>129</v>
      </c>
      <c r="Q34" s="95" t="s">
        <v>197</v>
      </c>
      <c r="R34" s="94" t="s">
        <v>212</v>
      </c>
      <c r="S34" s="94" t="s">
        <v>198</v>
      </c>
      <c r="T34" s="43" t="s">
        <v>65</v>
      </c>
      <c r="U34" s="118" t="s">
        <v>213</v>
      </c>
    </row>
    <row r="35" spans="1:21" ht="76.5">
      <c r="A35" s="42">
        <v>34</v>
      </c>
      <c r="B35" s="94" t="s">
        <v>22</v>
      </c>
      <c r="C35" s="94" t="s">
        <v>193</v>
      </c>
      <c r="D35" s="97" t="s">
        <v>214</v>
      </c>
      <c r="E35" s="94" t="s">
        <v>215</v>
      </c>
      <c r="F35" s="94" t="s">
        <v>196</v>
      </c>
      <c r="G35" s="95" t="s">
        <v>60</v>
      </c>
      <c r="H35" s="95">
        <v>2</v>
      </c>
      <c r="I35" s="95">
        <v>23</v>
      </c>
      <c r="J35" s="94">
        <v>17</v>
      </c>
      <c r="K35" s="94" t="s">
        <v>72</v>
      </c>
      <c r="L35" s="94" t="s">
        <v>62</v>
      </c>
      <c r="M35" s="95" t="s">
        <v>73</v>
      </c>
      <c r="N35" s="94" t="s">
        <v>192</v>
      </c>
      <c r="O35" s="95" t="s">
        <v>65</v>
      </c>
      <c r="P35" s="94" t="s">
        <v>60</v>
      </c>
      <c r="Q35" s="95" t="s">
        <v>197</v>
      </c>
      <c r="R35" s="94" t="s">
        <v>216</v>
      </c>
      <c r="S35" s="94" t="s">
        <v>198</v>
      </c>
      <c r="T35" s="43" t="s">
        <v>65</v>
      </c>
      <c r="U35" s="118" t="s">
        <v>217</v>
      </c>
    </row>
    <row r="36" spans="1:21" ht="51">
      <c r="A36" s="42">
        <v>35</v>
      </c>
      <c r="B36" s="94" t="s">
        <v>22</v>
      </c>
      <c r="C36" s="94" t="s">
        <v>193</v>
      </c>
      <c r="D36" s="97" t="s">
        <v>218</v>
      </c>
      <c r="E36" s="94" t="s">
        <v>219</v>
      </c>
      <c r="F36" s="94" t="s">
        <v>196</v>
      </c>
      <c r="G36" s="95" t="s">
        <v>60</v>
      </c>
      <c r="H36" s="95">
        <v>2</v>
      </c>
      <c r="I36" s="95">
        <v>23</v>
      </c>
      <c r="J36" s="94">
        <v>17</v>
      </c>
      <c r="K36" s="94" t="s">
        <v>72</v>
      </c>
      <c r="L36" s="94" t="s">
        <v>62</v>
      </c>
      <c r="M36" s="95" t="s">
        <v>207</v>
      </c>
      <c r="N36" s="94" t="s">
        <v>192</v>
      </c>
      <c r="O36" s="95" t="s">
        <v>65</v>
      </c>
      <c r="P36" s="94" t="s">
        <v>60</v>
      </c>
      <c r="Q36" s="95" t="s">
        <v>197</v>
      </c>
      <c r="R36" s="94"/>
      <c r="S36" s="94" t="s">
        <v>198</v>
      </c>
      <c r="T36" s="43" t="s">
        <v>65</v>
      </c>
      <c r="U36" s="119" t="s">
        <v>199</v>
      </c>
    </row>
    <row r="37" spans="1:21" ht="51">
      <c r="A37" s="42">
        <v>36</v>
      </c>
      <c r="B37" s="94" t="s">
        <v>22</v>
      </c>
      <c r="C37" s="94" t="s">
        <v>193</v>
      </c>
      <c r="D37" s="97" t="s">
        <v>220</v>
      </c>
      <c r="E37" s="94" t="s">
        <v>221</v>
      </c>
      <c r="F37" s="94" t="s">
        <v>196</v>
      </c>
      <c r="G37" s="95" t="s">
        <v>60</v>
      </c>
      <c r="H37" s="95">
        <v>2</v>
      </c>
      <c r="I37" s="95">
        <v>23</v>
      </c>
      <c r="J37" s="94">
        <v>17</v>
      </c>
      <c r="K37" s="94" t="s">
        <v>72</v>
      </c>
      <c r="L37" s="94" t="s">
        <v>62</v>
      </c>
      <c r="M37" s="95" t="s">
        <v>117</v>
      </c>
      <c r="N37" s="94" t="s">
        <v>192</v>
      </c>
      <c r="O37" s="95" t="s">
        <v>65</v>
      </c>
      <c r="P37" s="94" t="s">
        <v>60</v>
      </c>
      <c r="Q37" s="95" t="s">
        <v>197</v>
      </c>
      <c r="R37" s="94" t="s">
        <v>222</v>
      </c>
      <c r="S37" s="94" t="s">
        <v>198</v>
      </c>
      <c r="T37" s="43" t="s">
        <v>65</v>
      </c>
      <c r="U37" s="118" t="s">
        <v>223</v>
      </c>
    </row>
    <row r="38" spans="1:21" ht="76.5">
      <c r="A38" s="42">
        <v>37</v>
      </c>
      <c r="B38" s="94" t="s">
        <v>22</v>
      </c>
      <c r="C38" s="94" t="s">
        <v>193</v>
      </c>
      <c r="D38" s="97" t="s">
        <v>224</v>
      </c>
      <c r="E38" s="94" t="s">
        <v>225</v>
      </c>
      <c r="F38" s="94" t="s">
        <v>196</v>
      </c>
      <c r="G38" s="95" t="s">
        <v>60</v>
      </c>
      <c r="H38" s="95">
        <v>2</v>
      </c>
      <c r="I38" s="95">
        <v>23</v>
      </c>
      <c r="J38" s="94">
        <v>17</v>
      </c>
      <c r="K38" s="94" t="s">
        <v>72</v>
      </c>
      <c r="L38" s="94" t="s">
        <v>62</v>
      </c>
      <c r="M38" s="95" t="s">
        <v>226</v>
      </c>
      <c r="N38" s="94" t="s">
        <v>192</v>
      </c>
      <c r="O38" s="95" t="s">
        <v>65</v>
      </c>
      <c r="P38" s="94" t="s">
        <v>60</v>
      </c>
      <c r="Q38" s="95" t="s">
        <v>197</v>
      </c>
      <c r="R38" s="94" t="s">
        <v>227</v>
      </c>
      <c r="S38" s="94" t="s">
        <v>198</v>
      </c>
      <c r="T38" s="43" t="s">
        <v>65</v>
      </c>
      <c r="U38" s="118" t="s">
        <v>213</v>
      </c>
    </row>
    <row r="39" spans="1:21" ht="51">
      <c r="A39" s="42">
        <v>38</v>
      </c>
      <c r="B39" s="94" t="s">
        <v>22</v>
      </c>
      <c r="C39" s="94" t="s">
        <v>193</v>
      </c>
      <c r="D39" s="97" t="s">
        <v>228</v>
      </c>
      <c r="E39" s="94" t="s">
        <v>229</v>
      </c>
      <c r="F39" s="94" t="s">
        <v>196</v>
      </c>
      <c r="G39" s="95" t="s">
        <v>60</v>
      </c>
      <c r="H39" s="95">
        <v>2</v>
      </c>
      <c r="I39" s="95">
        <v>23</v>
      </c>
      <c r="J39" s="94">
        <v>17</v>
      </c>
      <c r="K39" s="94" t="s">
        <v>72</v>
      </c>
      <c r="L39" s="94" t="s">
        <v>62</v>
      </c>
      <c r="M39" s="95" t="s">
        <v>230</v>
      </c>
      <c r="N39" s="94" t="s">
        <v>192</v>
      </c>
      <c r="O39" s="95" t="s">
        <v>65</v>
      </c>
      <c r="P39" s="94" t="s">
        <v>60</v>
      </c>
      <c r="Q39" s="95" t="s">
        <v>197</v>
      </c>
      <c r="R39" s="94" t="s">
        <v>222</v>
      </c>
      <c r="S39" s="94" t="s">
        <v>198</v>
      </c>
      <c r="T39" s="43" t="s">
        <v>65</v>
      </c>
    </row>
    <row r="40" spans="1:21" ht="51">
      <c r="A40" s="42">
        <v>39</v>
      </c>
      <c r="B40" s="94" t="s">
        <v>22</v>
      </c>
      <c r="C40" s="94" t="s">
        <v>193</v>
      </c>
      <c r="D40" s="97" t="s">
        <v>231</v>
      </c>
      <c r="E40" s="94" t="s">
        <v>232</v>
      </c>
      <c r="F40" s="94" t="s">
        <v>196</v>
      </c>
      <c r="G40" s="95" t="s">
        <v>60</v>
      </c>
      <c r="H40" s="95">
        <v>2</v>
      </c>
      <c r="I40" s="95">
        <v>23</v>
      </c>
      <c r="J40" s="94">
        <v>17</v>
      </c>
      <c r="K40" s="94" t="s">
        <v>72</v>
      </c>
      <c r="L40" s="94" t="s">
        <v>62</v>
      </c>
      <c r="M40" s="95" t="s">
        <v>73</v>
      </c>
      <c r="N40" s="94" t="s">
        <v>192</v>
      </c>
      <c r="O40" s="95" t="s">
        <v>65</v>
      </c>
      <c r="P40" s="94" t="s">
        <v>60</v>
      </c>
      <c r="Q40" s="95" t="s">
        <v>197</v>
      </c>
      <c r="R40" s="94" t="s">
        <v>233</v>
      </c>
      <c r="S40" s="94" t="s">
        <v>198</v>
      </c>
      <c r="T40" s="43" t="s">
        <v>65</v>
      </c>
      <c r="U40" s="119" t="s">
        <v>199</v>
      </c>
    </row>
    <row r="41" spans="1:21" ht="71.25">
      <c r="A41" s="42">
        <v>40</v>
      </c>
      <c r="B41" s="94" t="s">
        <v>22</v>
      </c>
      <c r="C41" s="94" t="s">
        <v>193</v>
      </c>
      <c r="D41" s="97" t="s">
        <v>234</v>
      </c>
      <c r="E41" s="94" t="s">
        <v>235</v>
      </c>
      <c r="F41" s="94" t="s">
        <v>196</v>
      </c>
      <c r="G41" s="95" t="s">
        <v>60</v>
      </c>
      <c r="H41" s="95">
        <v>2</v>
      </c>
      <c r="I41" s="95">
        <v>23</v>
      </c>
      <c r="J41" s="94">
        <v>17</v>
      </c>
      <c r="K41" s="94" t="s">
        <v>72</v>
      </c>
      <c r="L41" s="94" t="s">
        <v>62</v>
      </c>
      <c r="M41" s="95" t="s">
        <v>226</v>
      </c>
      <c r="N41" s="94" t="s">
        <v>192</v>
      </c>
      <c r="O41" s="95" t="s">
        <v>65</v>
      </c>
      <c r="P41" s="94" t="s">
        <v>60</v>
      </c>
      <c r="Q41" s="95" t="s">
        <v>197</v>
      </c>
      <c r="R41" s="94" t="s">
        <v>233</v>
      </c>
      <c r="S41" s="94" t="s">
        <v>198</v>
      </c>
      <c r="T41" s="43" t="s">
        <v>65</v>
      </c>
      <c r="U41" s="120" t="s">
        <v>209</v>
      </c>
    </row>
    <row r="42" spans="1:21" ht="102">
      <c r="A42" s="42">
        <v>41</v>
      </c>
      <c r="B42" s="94" t="s">
        <v>22</v>
      </c>
      <c r="C42" s="94" t="s">
        <v>193</v>
      </c>
      <c r="D42" s="94" t="s">
        <v>236</v>
      </c>
      <c r="E42" s="94" t="s">
        <v>237</v>
      </c>
      <c r="F42" s="94" t="s">
        <v>196</v>
      </c>
      <c r="G42" s="95" t="s">
        <v>60</v>
      </c>
      <c r="H42" s="95">
        <v>2</v>
      </c>
      <c r="I42" s="95">
        <v>23</v>
      </c>
      <c r="J42" s="94">
        <v>17</v>
      </c>
      <c r="K42" s="94" t="s">
        <v>72</v>
      </c>
      <c r="L42" s="94" t="s">
        <v>62</v>
      </c>
      <c r="M42" s="95" t="s">
        <v>226</v>
      </c>
      <c r="N42" s="94" t="s">
        <v>192</v>
      </c>
      <c r="O42" s="95" t="s">
        <v>65</v>
      </c>
      <c r="P42" s="94" t="s">
        <v>129</v>
      </c>
      <c r="Q42" s="95" t="s">
        <v>197</v>
      </c>
      <c r="R42" s="94" t="s">
        <v>238</v>
      </c>
      <c r="S42" s="94" t="s">
        <v>239</v>
      </c>
      <c r="T42" s="43" t="s">
        <v>65</v>
      </c>
    </row>
    <row r="43" spans="1:21" ht="114.75">
      <c r="A43" s="42">
        <v>42</v>
      </c>
      <c r="B43" s="94" t="s">
        <v>22</v>
      </c>
      <c r="C43" s="94" t="s">
        <v>193</v>
      </c>
      <c r="D43" s="94" t="s">
        <v>240</v>
      </c>
      <c r="E43" s="94" t="s">
        <v>241</v>
      </c>
      <c r="F43" s="94" t="s">
        <v>196</v>
      </c>
      <c r="G43" s="95" t="s">
        <v>60</v>
      </c>
      <c r="H43" s="95">
        <v>2</v>
      </c>
      <c r="I43" s="95">
        <v>23</v>
      </c>
      <c r="J43" s="94">
        <v>17</v>
      </c>
      <c r="K43" s="94" t="s">
        <v>72</v>
      </c>
      <c r="L43" s="94" t="s">
        <v>62</v>
      </c>
      <c r="M43" s="95" t="s">
        <v>226</v>
      </c>
      <c r="N43" s="94" t="s">
        <v>192</v>
      </c>
      <c r="O43" s="95" t="s">
        <v>65</v>
      </c>
      <c r="P43" s="94" t="s">
        <v>97</v>
      </c>
      <c r="Q43" s="95" t="s">
        <v>197</v>
      </c>
      <c r="R43" s="94" t="s">
        <v>242</v>
      </c>
      <c r="S43" s="94" t="s">
        <v>239</v>
      </c>
      <c r="T43" s="43" t="s">
        <v>65</v>
      </c>
    </row>
    <row r="44" spans="1:21" ht="38.25">
      <c r="A44" s="42">
        <v>43</v>
      </c>
      <c r="B44" s="94" t="s">
        <v>22</v>
      </c>
      <c r="C44" s="94" t="s">
        <v>243</v>
      </c>
      <c r="D44" s="97" t="s">
        <v>244</v>
      </c>
      <c r="E44" s="94" t="s">
        <v>245</v>
      </c>
      <c r="F44" s="94" t="s">
        <v>246</v>
      </c>
      <c r="G44" s="95" t="s">
        <v>60</v>
      </c>
      <c r="H44" s="95">
        <v>2</v>
      </c>
      <c r="I44" s="94">
        <v>81</v>
      </c>
      <c r="J44" s="94">
        <v>0</v>
      </c>
      <c r="K44" s="94" t="s">
        <v>72</v>
      </c>
      <c r="L44" s="94" t="s">
        <v>62</v>
      </c>
      <c r="M44" s="95" t="s">
        <v>202</v>
      </c>
      <c r="N44" s="94" t="s">
        <v>192</v>
      </c>
      <c r="O44" s="95" t="s">
        <v>65</v>
      </c>
      <c r="P44" s="94" t="s">
        <v>60</v>
      </c>
      <c r="Q44" s="95" t="s">
        <v>197</v>
      </c>
      <c r="R44" s="94" t="s">
        <v>247</v>
      </c>
      <c r="S44" s="94" t="s">
        <v>239</v>
      </c>
      <c r="T44" s="43" t="s">
        <v>65</v>
      </c>
    </row>
    <row r="45" spans="1:21" ht="38.25">
      <c r="A45" s="42">
        <v>44</v>
      </c>
      <c r="B45" s="94" t="s">
        <v>22</v>
      </c>
      <c r="C45" s="94" t="s">
        <v>243</v>
      </c>
      <c r="D45" s="97" t="s">
        <v>248</v>
      </c>
      <c r="E45" s="94" t="s">
        <v>249</v>
      </c>
      <c r="F45" s="94" t="s">
        <v>246</v>
      </c>
      <c r="G45" s="95" t="s">
        <v>60</v>
      </c>
      <c r="H45" s="95">
        <v>2</v>
      </c>
      <c r="I45" s="94">
        <v>81</v>
      </c>
      <c r="J45" s="94">
        <v>3</v>
      </c>
      <c r="K45" s="94" t="s">
        <v>72</v>
      </c>
      <c r="L45" s="94" t="s">
        <v>62</v>
      </c>
      <c r="M45" s="95" t="s">
        <v>73</v>
      </c>
      <c r="N45" s="94" t="s">
        <v>192</v>
      </c>
      <c r="O45" s="95" t="s">
        <v>65</v>
      </c>
      <c r="P45" s="94" t="s">
        <v>250</v>
      </c>
      <c r="Q45" s="95" t="s">
        <v>197</v>
      </c>
      <c r="R45" s="94" t="s">
        <v>92</v>
      </c>
      <c r="S45" s="94" t="s">
        <v>239</v>
      </c>
      <c r="T45" s="43" t="s">
        <v>65</v>
      </c>
    </row>
    <row r="46" spans="1:21" ht="38.25">
      <c r="A46" s="42">
        <v>45</v>
      </c>
      <c r="B46" s="94" t="s">
        <v>22</v>
      </c>
      <c r="C46" s="94" t="s">
        <v>243</v>
      </c>
      <c r="D46" s="97" t="s">
        <v>251</v>
      </c>
      <c r="E46" s="94" t="s">
        <v>252</v>
      </c>
      <c r="F46" s="94" t="s">
        <v>246</v>
      </c>
      <c r="G46" s="95" t="s">
        <v>60</v>
      </c>
      <c r="H46" s="95">
        <v>2</v>
      </c>
      <c r="I46" s="94">
        <v>81</v>
      </c>
      <c r="J46" s="94">
        <v>3</v>
      </c>
      <c r="K46" s="94" t="s">
        <v>72</v>
      </c>
      <c r="L46" s="94" t="s">
        <v>62</v>
      </c>
      <c r="M46" s="95" t="s">
        <v>73</v>
      </c>
      <c r="N46" s="94" t="s">
        <v>192</v>
      </c>
      <c r="O46" s="95" t="s">
        <v>65</v>
      </c>
      <c r="P46" s="94" t="s">
        <v>253</v>
      </c>
      <c r="Q46" s="95" t="s">
        <v>197</v>
      </c>
      <c r="R46" s="94" t="s">
        <v>238</v>
      </c>
      <c r="S46" s="94" t="s">
        <v>239</v>
      </c>
      <c r="T46" s="43" t="s">
        <v>65</v>
      </c>
    </row>
    <row r="47" spans="1:21" ht="38.25">
      <c r="A47" s="42">
        <v>46</v>
      </c>
      <c r="B47" s="94" t="s">
        <v>22</v>
      </c>
      <c r="C47" s="94" t="s">
        <v>243</v>
      </c>
      <c r="D47" s="97" t="s">
        <v>254</v>
      </c>
      <c r="E47" s="94" t="s">
        <v>255</v>
      </c>
      <c r="F47" s="94" t="s">
        <v>246</v>
      </c>
      <c r="G47" s="95" t="s">
        <v>60</v>
      </c>
      <c r="H47" s="95">
        <v>2</v>
      </c>
      <c r="I47" s="94">
        <v>81</v>
      </c>
      <c r="J47" s="94">
        <v>3</v>
      </c>
      <c r="K47" s="94" t="s">
        <v>72</v>
      </c>
      <c r="L47" s="94" t="s">
        <v>62</v>
      </c>
      <c r="M47" s="95" t="s">
        <v>73</v>
      </c>
      <c r="N47" s="94" t="s">
        <v>192</v>
      </c>
      <c r="O47" s="95" t="s">
        <v>65</v>
      </c>
      <c r="P47" s="94" t="s">
        <v>250</v>
      </c>
      <c r="Q47" s="95" t="s">
        <v>197</v>
      </c>
      <c r="R47" s="94" t="s">
        <v>256</v>
      </c>
      <c r="S47" s="94" t="s">
        <v>239</v>
      </c>
      <c r="T47" s="43" t="s">
        <v>65</v>
      </c>
    </row>
    <row r="48" spans="1:21" ht="38.25">
      <c r="A48" s="42">
        <v>47</v>
      </c>
      <c r="B48" s="94" t="s">
        <v>22</v>
      </c>
      <c r="C48" s="94" t="s">
        <v>243</v>
      </c>
      <c r="D48" s="97" t="s">
        <v>257</v>
      </c>
      <c r="E48" s="94" t="s">
        <v>258</v>
      </c>
      <c r="F48" s="94" t="s">
        <v>246</v>
      </c>
      <c r="G48" s="95" t="s">
        <v>60</v>
      </c>
      <c r="H48" s="95">
        <v>2</v>
      </c>
      <c r="I48" s="94">
        <v>81</v>
      </c>
      <c r="J48" s="94">
        <v>3</v>
      </c>
      <c r="K48" s="94" t="s">
        <v>72</v>
      </c>
      <c r="L48" s="94" t="s">
        <v>62</v>
      </c>
      <c r="M48" s="95" t="s">
        <v>73</v>
      </c>
      <c r="N48" s="94" t="s">
        <v>192</v>
      </c>
      <c r="O48" s="95" t="s">
        <v>65</v>
      </c>
      <c r="P48" s="94" t="s">
        <v>60</v>
      </c>
      <c r="Q48" s="95" t="s">
        <v>197</v>
      </c>
      <c r="R48" s="94" t="s">
        <v>259</v>
      </c>
      <c r="S48" s="94" t="s">
        <v>239</v>
      </c>
      <c r="T48" s="43" t="s">
        <v>65</v>
      </c>
    </row>
    <row r="49" spans="1:20" ht="38.25">
      <c r="A49" s="42">
        <v>48</v>
      </c>
      <c r="B49" s="94" t="s">
        <v>22</v>
      </c>
      <c r="C49" s="94" t="s">
        <v>243</v>
      </c>
      <c r="D49" s="97" t="s">
        <v>260</v>
      </c>
      <c r="E49" s="94" t="s">
        <v>261</v>
      </c>
      <c r="F49" s="94" t="s">
        <v>246</v>
      </c>
      <c r="G49" s="95" t="s">
        <v>60</v>
      </c>
      <c r="H49" s="95">
        <v>2</v>
      </c>
      <c r="I49" s="94">
        <v>81</v>
      </c>
      <c r="J49" s="94">
        <v>3</v>
      </c>
      <c r="K49" s="94" t="s">
        <v>72</v>
      </c>
      <c r="L49" s="94" t="s">
        <v>62</v>
      </c>
      <c r="M49" s="95" t="s">
        <v>73</v>
      </c>
      <c r="N49" s="94" t="s">
        <v>192</v>
      </c>
      <c r="O49" s="95" t="s">
        <v>65</v>
      </c>
      <c r="P49" s="94" t="s">
        <v>60</v>
      </c>
      <c r="Q49" s="95" t="s">
        <v>197</v>
      </c>
      <c r="R49" s="94" t="s">
        <v>262</v>
      </c>
      <c r="S49" s="94" t="s">
        <v>239</v>
      </c>
      <c r="T49" s="43" t="s">
        <v>65</v>
      </c>
    </row>
    <row r="50" spans="1:20" ht="38.25">
      <c r="A50" s="42">
        <v>49</v>
      </c>
      <c r="B50" s="94" t="s">
        <v>22</v>
      </c>
      <c r="C50" s="94" t="s">
        <v>243</v>
      </c>
      <c r="D50" s="97" t="s">
        <v>263</v>
      </c>
      <c r="E50" s="94" t="s">
        <v>264</v>
      </c>
      <c r="F50" s="94" t="s">
        <v>246</v>
      </c>
      <c r="G50" s="95" t="s">
        <v>60</v>
      </c>
      <c r="H50" s="95">
        <v>2</v>
      </c>
      <c r="I50" s="94">
        <v>81</v>
      </c>
      <c r="J50" s="94">
        <v>3</v>
      </c>
      <c r="K50" s="94" t="s">
        <v>72</v>
      </c>
      <c r="L50" s="94" t="s">
        <v>62</v>
      </c>
      <c r="M50" s="95" t="s">
        <v>73</v>
      </c>
      <c r="N50" s="94" t="s">
        <v>192</v>
      </c>
      <c r="O50" s="95" t="s">
        <v>65</v>
      </c>
      <c r="P50" s="94" t="s">
        <v>265</v>
      </c>
      <c r="Q50" s="95" t="s">
        <v>197</v>
      </c>
      <c r="R50" s="94" t="s">
        <v>266</v>
      </c>
      <c r="S50" s="94" t="s">
        <v>239</v>
      </c>
      <c r="T50" s="43" t="s">
        <v>65</v>
      </c>
    </row>
    <row r="51" spans="1:20" ht="38.25">
      <c r="A51" s="42">
        <v>50</v>
      </c>
      <c r="B51" s="94" t="s">
        <v>22</v>
      </c>
      <c r="C51" s="94" t="s">
        <v>243</v>
      </c>
      <c r="D51" s="97" t="s">
        <v>267</v>
      </c>
      <c r="E51" s="94" t="s">
        <v>268</v>
      </c>
      <c r="F51" s="94" t="s">
        <v>246</v>
      </c>
      <c r="G51" s="95" t="s">
        <v>60</v>
      </c>
      <c r="H51" s="95">
        <v>2</v>
      </c>
      <c r="I51" s="94">
        <v>81</v>
      </c>
      <c r="J51" s="94">
        <v>3</v>
      </c>
      <c r="K51" s="94" t="s">
        <v>72</v>
      </c>
      <c r="L51" s="94" t="s">
        <v>62</v>
      </c>
      <c r="M51" s="95" t="s">
        <v>73</v>
      </c>
      <c r="N51" s="94" t="s">
        <v>192</v>
      </c>
      <c r="O51" s="95" t="s">
        <v>65</v>
      </c>
      <c r="P51" s="94" t="s">
        <v>60</v>
      </c>
      <c r="Q51" s="95" t="s">
        <v>197</v>
      </c>
      <c r="R51" s="94" t="s">
        <v>262</v>
      </c>
      <c r="S51" s="94" t="s">
        <v>239</v>
      </c>
      <c r="T51" s="43" t="s">
        <v>65</v>
      </c>
    </row>
    <row r="52" spans="1:20" ht="38.25">
      <c r="A52" s="42">
        <v>51</v>
      </c>
      <c r="B52" s="94" t="s">
        <v>22</v>
      </c>
      <c r="C52" s="94" t="s">
        <v>243</v>
      </c>
      <c r="D52" s="97" t="s">
        <v>269</v>
      </c>
      <c r="E52" s="94" t="s">
        <v>270</v>
      </c>
      <c r="F52" s="94" t="s">
        <v>246</v>
      </c>
      <c r="G52" s="95" t="s">
        <v>60</v>
      </c>
      <c r="H52" s="95">
        <v>2</v>
      </c>
      <c r="I52" s="94">
        <v>81</v>
      </c>
      <c r="J52" s="94">
        <v>3</v>
      </c>
      <c r="K52" s="94" t="s">
        <v>72</v>
      </c>
      <c r="L52" s="94" t="s">
        <v>62</v>
      </c>
      <c r="M52" s="95" t="s">
        <v>73</v>
      </c>
      <c r="N52" s="94" t="s">
        <v>192</v>
      </c>
      <c r="O52" s="95" t="s">
        <v>65</v>
      </c>
      <c r="P52" s="94" t="s">
        <v>250</v>
      </c>
      <c r="Q52" s="95" t="s">
        <v>197</v>
      </c>
      <c r="R52" s="94" t="s">
        <v>262</v>
      </c>
      <c r="S52" s="94" t="s">
        <v>239</v>
      </c>
      <c r="T52" s="43" t="s">
        <v>65</v>
      </c>
    </row>
    <row r="53" spans="1:20" ht="38.25">
      <c r="A53" s="42">
        <v>52</v>
      </c>
      <c r="B53" s="94" t="s">
        <v>22</v>
      </c>
      <c r="C53" s="94" t="s">
        <v>243</v>
      </c>
      <c r="D53" s="97" t="s">
        <v>271</v>
      </c>
      <c r="E53" s="94" t="s">
        <v>272</v>
      </c>
      <c r="F53" s="94" t="s">
        <v>246</v>
      </c>
      <c r="G53" s="95" t="s">
        <v>60</v>
      </c>
      <c r="H53" s="95">
        <v>2</v>
      </c>
      <c r="I53" s="94">
        <v>81</v>
      </c>
      <c r="J53" s="94">
        <v>3</v>
      </c>
      <c r="K53" s="94" t="s">
        <v>72</v>
      </c>
      <c r="L53" s="94" t="s">
        <v>62</v>
      </c>
      <c r="M53" s="95" t="s">
        <v>73</v>
      </c>
      <c r="N53" s="94" t="s">
        <v>192</v>
      </c>
      <c r="O53" s="95" t="s">
        <v>65</v>
      </c>
      <c r="P53" s="94" t="s">
        <v>60</v>
      </c>
      <c r="Q53" s="95" t="s">
        <v>197</v>
      </c>
      <c r="R53" s="94" t="s">
        <v>266</v>
      </c>
      <c r="S53" s="94" t="s">
        <v>239</v>
      </c>
      <c r="T53" s="43" t="s">
        <v>65</v>
      </c>
    </row>
    <row r="54" spans="1:20" ht="38.25">
      <c r="A54" s="42">
        <v>53</v>
      </c>
      <c r="B54" s="94" t="s">
        <v>22</v>
      </c>
      <c r="C54" s="94" t="s">
        <v>243</v>
      </c>
      <c r="D54" s="97" t="s">
        <v>273</v>
      </c>
      <c r="E54" s="94" t="s">
        <v>274</v>
      </c>
      <c r="F54" s="94" t="s">
        <v>246</v>
      </c>
      <c r="G54" s="95" t="s">
        <v>60</v>
      </c>
      <c r="H54" s="95">
        <v>2</v>
      </c>
      <c r="I54" s="94">
        <v>81</v>
      </c>
      <c r="J54" s="94">
        <v>3</v>
      </c>
      <c r="K54" s="94" t="s">
        <v>72</v>
      </c>
      <c r="L54" s="94" t="s">
        <v>62</v>
      </c>
      <c r="M54" s="95" t="s">
        <v>73</v>
      </c>
      <c r="N54" s="94" t="s">
        <v>192</v>
      </c>
      <c r="O54" s="95" t="s">
        <v>65</v>
      </c>
      <c r="P54" s="94" t="s">
        <v>275</v>
      </c>
      <c r="Q54" s="95" t="s">
        <v>197</v>
      </c>
      <c r="R54" s="94" t="s">
        <v>262</v>
      </c>
      <c r="S54" s="94" t="s">
        <v>239</v>
      </c>
      <c r="T54" s="43" t="s">
        <v>65</v>
      </c>
    </row>
    <row r="55" spans="1:20" ht="63.75">
      <c r="A55" s="42">
        <v>54</v>
      </c>
      <c r="B55" s="94" t="s">
        <v>22</v>
      </c>
      <c r="C55" s="94" t="s">
        <v>243</v>
      </c>
      <c r="D55" s="94" t="s">
        <v>276</v>
      </c>
      <c r="E55" s="94" t="s">
        <v>277</v>
      </c>
      <c r="F55" s="94" t="s">
        <v>246</v>
      </c>
      <c r="G55" s="95" t="s">
        <v>60</v>
      </c>
      <c r="H55" s="95">
        <v>2</v>
      </c>
      <c r="I55" s="94">
        <v>81</v>
      </c>
      <c r="J55" s="94">
        <v>0</v>
      </c>
      <c r="K55" s="94" t="s">
        <v>72</v>
      </c>
      <c r="L55" s="94" t="s">
        <v>62</v>
      </c>
      <c r="M55" s="95" t="s">
        <v>278</v>
      </c>
      <c r="N55" s="94" t="s">
        <v>192</v>
      </c>
      <c r="O55" s="95" t="s">
        <v>65</v>
      </c>
      <c r="P55" s="94" t="s">
        <v>129</v>
      </c>
      <c r="Q55" s="95" t="s">
        <v>197</v>
      </c>
      <c r="R55" s="94" t="s">
        <v>238</v>
      </c>
      <c r="S55" s="94" t="s">
        <v>239</v>
      </c>
      <c r="T55" s="43" t="s">
        <v>65</v>
      </c>
    </row>
    <row r="56" spans="1:20" ht="51">
      <c r="A56" s="42">
        <v>55</v>
      </c>
      <c r="B56" s="94" t="s">
        <v>22</v>
      </c>
      <c r="C56" s="94" t="s">
        <v>243</v>
      </c>
      <c r="D56" s="97" t="s">
        <v>279</v>
      </c>
      <c r="E56" s="94" t="s">
        <v>280</v>
      </c>
      <c r="F56" s="94" t="s">
        <v>246</v>
      </c>
      <c r="G56" s="95" t="s">
        <v>60</v>
      </c>
      <c r="H56" s="95">
        <v>2</v>
      </c>
      <c r="I56" s="94">
        <v>81</v>
      </c>
      <c r="J56" s="94">
        <v>3</v>
      </c>
      <c r="K56" s="94" t="s">
        <v>72</v>
      </c>
      <c r="L56" s="94" t="s">
        <v>62</v>
      </c>
      <c r="M56" s="95" t="s">
        <v>73</v>
      </c>
      <c r="N56" s="94" t="s">
        <v>192</v>
      </c>
      <c r="O56" s="95" t="s">
        <v>65</v>
      </c>
      <c r="P56" s="94" t="s">
        <v>265</v>
      </c>
      <c r="Q56" s="95" t="s">
        <v>197</v>
      </c>
      <c r="R56" s="94" t="s">
        <v>281</v>
      </c>
      <c r="S56" s="94" t="s">
        <v>239</v>
      </c>
      <c r="T56" s="43" t="s">
        <v>65</v>
      </c>
    </row>
    <row r="57" spans="1:20" ht="51">
      <c r="A57" s="42">
        <v>56</v>
      </c>
      <c r="B57" s="94" t="s">
        <v>22</v>
      </c>
      <c r="C57" s="94" t="s">
        <v>243</v>
      </c>
      <c r="D57" s="97" t="s">
        <v>282</v>
      </c>
      <c r="E57" s="94" t="s">
        <v>283</v>
      </c>
      <c r="F57" s="94" t="s">
        <v>246</v>
      </c>
      <c r="G57" s="95" t="s">
        <v>60</v>
      </c>
      <c r="H57" s="95">
        <v>2</v>
      </c>
      <c r="I57" s="94">
        <v>81</v>
      </c>
      <c r="J57" s="94">
        <v>3</v>
      </c>
      <c r="K57" s="94" t="s">
        <v>72</v>
      </c>
      <c r="L57" s="94" t="s">
        <v>62</v>
      </c>
      <c r="M57" s="95" t="s">
        <v>73</v>
      </c>
      <c r="N57" s="94" t="s">
        <v>192</v>
      </c>
      <c r="O57" s="95" t="s">
        <v>65</v>
      </c>
      <c r="P57" s="94" t="s">
        <v>265</v>
      </c>
      <c r="Q57" s="95" t="s">
        <v>197</v>
      </c>
      <c r="R57" s="94" t="s">
        <v>259</v>
      </c>
      <c r="S57" s="94" t="s">
        <v>239</v>
      </c>
      <c r="T57" s="43" t="s">
        <v>65</v>
      </c>
    </row>
    <row r="58" spans="1:20" ht="51">
      <c r="A58" s="42">
        <v>57</v>
      </c>
      <c r="B58" s="94" t="s">
        <v>22</v>
      </c>
      <c r="C58" s="94" t="s">
        <v>243</v>
      </c>
      <c r="D58" s="97" t="s">
        <v>284</v>
      </c>
      <c r="E58" s="94" t="s">
        <v>285</v>
      </c>
      <c r="F58" s="94" t="s">
        <v>246</v>
      </c>
      <c r="G58" s="95" t="s">
        <v>60</v>
      </c>
      <c r="H58" s="95">
        <v>2</v>
      </c>
      <c r="I58" s="94">
        <v>81</v>
      </c>
      <c r="J58" s="94">
        <v>3</v>
      </c>
      <c r="K58" s="94" t="s">
        <v>72</v>
      </c>
      <c r="L58" s="94" t="s">
        <v>62</v>
      </c>
      <c r="M58" s="95" t="s">
        <v>278</v>
      </c>
      <c r="N58" s="94" t="s">
        <v>192</v>
      </c>
      <c r="O58" s="95" t="s">
        <v>65</v>
      </c>
      <c r="P58" s="94" t="s">
        <v>60</v>
      </c>
      <c r="Q58" s="95" t="s">
        <v>197</v>
      </c>
      <c r="R58" s="94" t="s">
        <v>286</v>
      </c>
      <c r="S58" s="94" t="s">
        <v>239</v>
      </c>
      <c r="T58" s="43" t="s">
        <v>65</v>
      </c>
    </row>
    <row r="59" spans="1:20" ht="38.25">
      <c r="A59" s="42">
        <v>58</v>
      </c>
      <c r="B59" s="94" t="s">
        <v>22</v>
      </c>
      <c r="C59" s="94" t="s">
        <v>243</v>
      </c>
      <c r="D59" s="97" t="s">
        <v>287</v>
      </c>
      <c r="E59" s="94" t="s">
        <v>288</v>
      </c>
      <c r="F59" s="94" t="s">
        <v>246</v>
      </c>
      <c r="G59" s="95" t="s">
        <v>60</v>
      </c>
      <c r="H59" s="95">
        <v>2</v>
      </c>
      <c r="I59" s="94">
        <v>81</v>
      </c>
      <c r="J59" s="94">
        <v>3</v>
      </c>
      <c r="K59" s="94" t="s">
        <v>72</v>
      </c>
      <c r="L59" s="94" t="s">
        <v>62</v>
      </c>
      <c r="M59" s="95" t="s">
        <v>73</v>
      </c>
      <c r="N59" s="94" t="s">
        <v>192</v>
      </c>
      <c r="O59" s="95" t="s">
        <v>65</v>
      </c>
      <c r="P59" s="94" t="s">
        <v>60</v>
      </c>
      <c r="Q59" s="95" t="s">
        <v>197</v>
      </c>
      <c r="R59" s="94" t="s">
        <v>289</v>
      </c>
      <c r="S59" s="94" t="s">
        <v>239</v>
      </c>
      <c r="T59" s="43" t="s">
        <v>65</v>
      </c>
    </row>
    <row r="60" spans="1:20" ht="38.25">
      <c r="A60" s="42">
        <v>59</v>
      </c>
      <c r="B60" s="94" t="s">
        <v>22</v>
      </c>
      <c r="C60" s="94" t="s">
        <v>243</v>
      </c>
      <c r="D60" s="97" t="s">
        <v>290</v>
      </c>
      <c r="E60" s="94" t="s">
        <v>291</v>
      </c>
      <c r="F60" s="94" t="s">
        <v>246</v>
      </c>
      <c r="G60" s="95" t="s">
        <v>60</v>
      </c>
      <c r="H60" s="95">
        <v>2</v>
      </c>
      <c r="I60" s="94">
        <v>81</v>
      </c>
      <c r="J60" s="94">
        <v>0</v>
      </c>
      <c r="K60" s="94" t="s">
        <v>72</v>
      </c>
      <c r="L60" s="94" t="s">
        <v>62</v>
      </c>
      <c r="M60" s="95" t="s">
        <v>73</v>
      </c>
      <c r="N60" s="94" t="s">
        <v>192</v>
      </c>
      <c r="O60" s="95" t="s">
        <v>65</v>
      </c>
      <c r="P60" s="94" t="s">
        <v>60</v>
      </c>
      <c r="Q60" s="95" t="s">
        <v>197</v>
      </c>
      <c r="R60" s="94" t="s">
        <v>292</v>
      </c>
      <c r="S60" s="94" t="s">
        <v>239</v>
      </c>
      <c r="T60" s="43" t="s">
        <v>65</v>
      </c>
    </row>
    <row r="61" spans="1:20" ht="63.75">
      <c r="A61" s="42">
        <v>60</v>
      </c>
      <c r="B61" s="94" t="s">
        <v>22</v>
      </c>
      <c r="C61" s="94" t="s">
        <v>243</v>
      </c>
      <c r="D61" s="94" t="s">
        <v>293</v>
      </c>
      <c r="E61" s="94" t="s">
        <v>294</v>
      </c>
      <c r="F61" s="94" t="s">
        <v>246</v>
      </c>
      <c r="G61" s="95" t="s">
        <v>60</v>
      </c>
      <c r="H61" s="95">
        <v>2</v>
      </c>
      <c r="I61" s="94">
        <v>81</v>
      </c>
      <c r="J61" s="94">
        <v>3</v>
      </c>
      <c r="K61" s="94" t="s">
        <v>72</v>
      </c>
      <c r="L61" s="94" t="s">
        <v>62</v>
      </c>
      <c r="M61" s="95" t="s">
        <v>278</v>
      </c>
      <c r="N61" s="94" t="s">
        <v>192</v>
      </c>
      <c r="O61" s="95" t="s">
        <v>65</v>
      </c>
      <c r="P61" s="94" t="s">
        <v>295</v>
      </c>
      <c r="Q61" s="95" t="s">
        <v>197</v>
      </c>
      <c r="R61" s="94"/>
      <c r="S61" s="94" t="s">
        <v>239</v>
      </c>
      <c r="T61" s="43" t="s">
        <v>87</v>
      </c>
    </row>
    <row r="62" spans="1:20" ht="114.75">
      <c r="A62" s="42">
        <v>61</v>
      </c>
      <c r="B62" s="94" t="s">
        <v>22</v>
      </c>
      <c r="C62" s="94" t="s">
        <v>243</v>
      </c>
      <c r="D62" s="97" t="s">
        <v>240</v>
      </c>
      <c r="E62" s="94" t="s">
        <v>241</v>
      </c>
      <c r="F62" s="94" t="s">
        <v>246</v>
      </c>
      <c r="G62" s="95" t="s">
        <v>60</v>
      </c>
      <c r="H62" s="95">
        <v>2</v>
      </c>
      <c r="I62" s="94">
        <v>2</v>
      </c>
      <c r="J62" s="94">
        <v>0</v>
      </c>
      <c r="K62" s="94" t="s">
        <v>72</v>
      </c>
      <c r="L62" s="94" t="s">
        <v>62</v>
      </c>
      <c r="M62" s="95" t="s">
        <v>278</v>
      </c>
      <c r="N62" s="94" t="s">
        <v>192</v>
      </c>
      <c r="O62" s="95" t="s">
        <v>65</v>
      </c>
      <c r="P62" s="94" t="s">
        <v>97</v>
      </c>
      <c r="Q62" s="95" t="s">
        <v>197</v>
      </c>
      <c r="R62" s="94" t="s">
        <v>296</v>
      </c>
      <c r="S62" s="94" t="s">
        <v>239</v>
      </c>
      <c r="T62" s="43" t="s">
        <v>65</v>
      </c>
    </row>
  </sheetData>
  <conditionalFormatting sqref="U1 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62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Q64"/>
  <sheetViews>
    <sheetView topLeftCell="L1" workbookViewId="0">
      <pane ySplit="2" topLeftCell="A52" activePane="bottomLeft" state="frozen"/>
      <selection activeCell="A2" sqref="A2"/>
      <selection pane="bottomLeft" activeCell="A53" sqref="A53:A64"/>
    </sheetView>
  </sheetViews>
  <sheetFormatPr baseColWidth="10" defaultColWidth="11.5" defaultRowHeight="14.25"/>
  <cols>
    <col min="1" max="1" width="3" style="7" bestFit="1" customWidth="1"/>
    <col min="2" max="2" width="11.5" style="7" customWidth="1"/>
    <col min="3" max="3" width="21.625" style="7" bestFit="1" customWidth="1"/>
    <col min="4" max="4" width="21" style="3" customWidth="1"/>
    <col min="5" max="5" width="12.625" style="7" customWidth="1"/>
    <col min="6" max="9" width="6.5" style="7" customWidth="1"/>
    <col min="10" max="10" width="40.125" style="3" customWidth="1"/>
    <col min="11" max="11" width="41.375" style="3" customWidth="1"/>
    <col min="12" max="12" width="25.625" style="3" customWidth="1"/>
    <col min="13" max="13" width="40.875" style="3" customWidth="1"/>
    <col min="14" max="14" width="42.625" style="3" customWidth="1"/>
    <col min="15" max="15" width="29.5" style="3" customWidth="1"/>
    <col min="16" max="16" width="36.625" style="3" customWidth="1"/>
    <col min="17" max="17" width="34.625" style="3" customWidth="1"/>
  </cols>
  <sheetData>
    <row r="1" spans="1:17" ht="14.45" customHeight="1">
      <c r="A1" s="126" t="s">
        <v>35</v>
      </c>
      <c r="B1" s="23"/>
      <c r="C1" s="126" t="s">
        <v>297</v>
      </c>
      <c r="D1" s="126" t="s">
        <v>38</v>
      </c>
      <c r="E1" s="130" t="s">
        <v>40</v>
      </c>
      <c r="F1" s="132" t="s">
        <v>41</v>
      </c>
      <c r="G1" s="133" t="s">
        <v>42</v>
      </c>
      <c r="H1" s="133" t="s">
        <v>43</v>
      </c>
      <c r="I1" s="134" t="s">
        <v>44</v>
      </c>
      <c r="J1" s="26" t="s">
        <v>298</v>
      </c>
      <c r="K1" s="26" t="s">
        <v>299</v>
      </c>
      <c r="L1" s="26" t="s">
        <v>300</v>
      </c>
      <c r="M1" s="26" t="s">
        <v>301</v>
      </c>
      <c r="N1" s="26" t="s">
        <v>302</v>
      </c>
      <c r="O1" s="26" t="s">
        <v>303</v>
      </c>
      <c r="P1" s="26" t="s">
        <v>304</v>
      </c>
      <c r="Q1" s="128" t="s">
        <v>305</v>
      </c>
    </row>
    <row r="2" spans="1:17" ht="94.9" customHeight="1">
      <c r="A2" s="127"/>
      <c r="B2" s="25" t="s">
        <v>306</v>
      </c>
      <c r="C2" s="127"/>
      <c r="D2" s="127"/>
      <c r="E2" s="131"/>
      <c r="F2" s="132"/>
      <c r="G2" s="133"/>
      <c r="H2" s="133"/>
      <c r="I2" s="134"/>
      <c r="J2" s="109" t="s">
        <v>307</v>
      </c>
      <c r="K2" s="21" t="s">
        <v>308</v>
      </c>
      <c r="L2" s="22" t="s">
        <v>309</v>
      </c>
      <c r="M2" s="22" t="s">
        <v>310</v>
      </c>
      <c r="N2" s="21" t="s">
        <v>311</v>
      </c>
      <c r="O2" s="21" t="s">
        <v>312</v>
      </c>
      <c r="P2" s="21" t="s">
        <v>313</v>
      </c>
      <c r="Q2" s="129"/>
    </row>
    <row r="3" spans="1:17" ht="38.450000000000003" customHeight="1">
      <c r="A3" s="68">
        <f>Datos!A2</f>
        <v>1</v>
      </c>
      <c r="B3" s="68" t="str">
        <f>Datos!B2</f>
        <v>Faenación</v>
      </c>
      <c r="C3" s="68" t="str">
        <f>Datos!C2</f>
        <v>Colgado</v>
      </c>
      <c r="D3" s="69" t="str">
        <f>Datos!D2</f>
        <v>Colgado de aves</v>
      </c>
      <c r="E3" s="69" t="str">
        <f>Datos!F2</f>
        <v>03:35 a 11:50 - 11:50 a 21:10</v>
      </c>
      <c r="F3" s="69" t="str">
        <f>Datos!G2</f>
        <v>N/A</v>
      </c>
      <c r="G3" s="69">
        <f>Datos!H2</f>
        <v>2</v>
      </c>
      <c r="H3" s="69">
        <f>Datos!I2</f>
        <v>36</v>
      </c>
      <c r="I3" s="69">
        <f>Datos!J2</f>
        <v>0</v>
      </c>
      <c r="J3" s="6" t="s">
        <v>65</v>
      </c>
      <c r="K3" s="6" t="s">
        <v>87</v>
      </c>
      <c r="L3" s="6" t="s">
        <v>87</v>
      </c>
      <c r="M3" s="6" t="s">
        <v>87</v>
      </c>
      <c r="N3" s="6" t="s">
        <v>87</v>
      </c>
      <c r="O3" s="6" t="s">
        <v>87</v>
      </c>
      <c r="P3" s="6" t="s">
        <v>87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2.75">
      <c r="A4" s="68">
        <f>Datos!A3</f>
        <v>2</v>
      </c>
      <c r="B4" s="68" t="str">
        <f>Datos!B3</f>
        <v>Faenación</v>
      </c>
      <c r="C4" s="68" t="str">
        <f>Datos!C3</f>
        <v>Colgado</v>
      </c>
      <c r="D4" s="69" t="str">
        <f>Datos!D3</f>
        <v>Revision de contenedores</v>
      </c>
      <c r="E4" s="69" t="str">
        <f>Datos!F3</f>
        <v>03:35 a 11:50 - 11:50 a 21:11</v>
      </c>
      <c r="F4" s="69" t="str">
        <f>Datos!G3</f>
        <v>N/A</v>
      </c>
      <c r="G4" s="69">
        <f>Datos!H3</f>
        <v>2</v>
      </c>
      <c r="H4" s="69">
        <f>Datos!I3</f>
        <v>36</v>
      </c>
      <c r="I4" s="69">
        <f>Datos!J3</f>
        <v>0</v>
      </c>
      <c r="J4" s="6" t="s">
        <v>65</v>
      </c>
      <c r="K4" s="6" t="s">
        <v>87</v>
      </c>
      <c r="L4" s="6" t="s">
        <v>87</v>
      </c>
      <c r="M4" s="6" t="s">
        <v>87</v>
      </c>
      <c r="N4" s="6" t="s">
        <v>87</v>
      </c>
      <c r="O4" s="6" t="s">
        <v>87</v>
      </c>
      <c r="P4" s="6" t="s">
        <v>87</v>
      </c>
      <c r="Q4" s="6" t="str">
        <f t="shared" ref="Q4:Q44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2.75">
      <c r="A5" s="68">
        <f>Datos!A4</f>
        <v>3</v>
      </c>
      <c r="B5" s="68" t="str">
        <f>Datos!B4</f>
        <v>Faenación</v>
      </c>
      <c r="C5" s="68" t="str">
        <f>Datos!C4</f>
        <v>Colgado</v>
      </c>
      <c r="D5" s="69" t="str">
        <f>Datos!D4</f>
        <v>Extracción de pollo mortecino</v>
      </c>
      <c r="E5" s="69" t="str">
        <f>Datos!F4</f>
        <v>03:35 a 11:50 - 11:50 a 21:12</v>
      </c>
      <c r="F5" s="69" t="str">
        <f>Datos!G4</f>
        <v>N/A</v>
      </c>
      <c r="G5" s="69">
        <f>Datos!H4</f>
        <v>2</v>
      </c>
      <c r="H5" s="69">
        <f>Datos!I4</f>
        <v>36</v>
      </c>
      <c r="I5" s="69">
        <f>Datos!J4</f>
        <v>0</v>
      </c>
      <c r="J5" s="6" t="s">
        <v>65</v>
      </c>
      <c r="K5" s="6" t="s">
        <v>87</v>
      </c>
      <c r="L5" s="6" t="s">
        <v>87</v>
      </c>
      <c r="M5" s="6" t="s">
        <v>87</v>
      </c>
      <c r="N5" s="6" t="s">
        <v>87</v>
      </c>
      <c r="O5" s="6" t="s">
        <v>87</v>
      </c>
      <c r="P5" s="6" t="s">
        <v>87</v>
      </c>
      <c r="Q5" s="6" t="str">
        <f t="shared" si="0"/>
        <v>Aplicar identificación avanzada-condición aceptable para cada tipo de factor de riesgo identificado</v>
      </c>
    </row>
    <row r="6" spans="1:17" ht="30">
      <c r="A6" s="68">
        <f>Datos!A5</f>
        <v>4</v>
      </c>
      <c r="B6" s="68" t="str">
        <f>Datos!B5</f>
        <v>Faenación</v>
      </c>
      <c r="C6" s="68" t="str">
        <f>Datos!C5</f>
        <v>Colgado</v>
      </c>
      <c r="D6" s="69" t="str">
        <f>Datos!D5</f>
        <v>Gruero</v>
      </c>
      <c r="E6" s="69" t="str">
        <f>Datos!F5</f>
        <v>03:35 a 11:50 - 11:50 a 21:13</v>
      </c>
      <c r="F6" s="69" t="str">
        <f>Datos!G5</f>
        <v>N/A</v>
      </c>
      <c r="G6" s="69">
        <f>Datos!H5</f>
        <v>2</v>
      </c>
      <c r="H6" s="69">
        <f>Datos!I5</f>
        <v>36</v>
      </c>
      <c r="I6" s="69">
        <f>Datos!J5</f>
        <v>0</v>
      </c>
      <c r="J6" s="6" t="s">
        <v>87</v>
      </c>
      <c r="K6" s="6" t="s">
        <v>87</v>
      </c>
      <c r="L6" s="6" t="s">
        <v>87</v>
      </c>
      <c r="M6" s="6" t="s">
        <v>87</v>
      </c>
      <c r="N6" s="6" t="s">
        <v>87</v>
      </c>
      <c r="O6" s="6" t="s">
        <v>87</v>
      </c>
      <c r="P6" s="6" t="s">
        <v>87</v>
      </c>
      <c r="Q6" s="6" t="str">
        <f t="shared" si="0"/>
        <v>Ausencia total del riesgo, reevaluar cada 3 años con nueva identificación inicial</v>
      </c>
    </row>
    <row r="7" spans="1:17" ht="30">
      <c r="A7" s="68">
        <f>Datos!A6</f>
        <v>5</v>
      </c>
      <c r="B7" s="68" t="str">
        <f>Datos!B6</f>
        <v>Faenación</v>
      </c>
      <c r="C7" s="68" t="str">
        <f>Datos!C6</f>
        <v>Colgado</v>
      </c>
      <c r="D7" s="69" t="str">
        <f>Datos!D6</f>
        <v xml:space="preserve">Jefe de línea </v>
      </c>
      <c r="E7" s="69" t="str">
        <f>Datos!F6</f>
        <v>03:35 a 11:50 - 11:50 a 21:14</v>
      </c>
      <c r="F7" s="69" t="str">
        <f>Datos!G6</f>
        <v>N/A</v>
      </c>
      <c r="G7" s="69">
        <f>Datos!H6</f>
        <v>2</v>
      </c>
      <c r="H7" s="69">
        <f>Datos!I6</f>
        <v>36</v>
      </c>
      <c r="I7" s="69">
        <f>Datos!J6</f>
        <v>0</v>
      </c>
      <c r="J7" s="6" t="s">
        <v>87</v>
      </c>
      <c r="K7" s="6" t="s">
        <v>87</v>
      </c>
      <c r="L7" s="6" t="s">
        <v>87</v>
      </c>
      <c r="M7" s="6" t="s">
        <v>87</v>
      </c>
      <c r="N7" s="6" t="s">
        <v>87</v>
      </c>
      <c r="O7" s="6" t="s">
        <v>87</v>
      </c>
      <c r="P7" s="6" t="s">
        <v>87</v>
      </c>
      <c r="Q7" s="6" t="str">
        <f t="shared" si="0"/>
        <v>Ausencia total del riesgo, reevaluar cada 3 años con nueva identificación inicial</v>
      </c>
    </row>
    <row r="8" spans="1:17" ht="30">
      <c r="A8" s="68">
        <f>Datos!A7</f>
        <v>6</v>
      </c>
      <c r="B8" s="68" t="str">
        <f>Datos!B7</f>
        <v>Faenación</v>
      </c>
      <c r="C8" s="68" t="str">
        <f>Datos!C7</f>
        <v>Colgado</v>
      </c>
      <c r="D8" s="69" t="str">
        <f>Datos!D7</f>
        <v>Secretario</v>
      </c>
      <c r="E8" s="69" t="str">
        <f>Datos!F7</f>
        <v>03:35 a 11:50 - 11:50 a 21:15</v>
      </c>
      <c r="F8" s="69" t="str">
        <f>Datos!G7</f>
        <v>N/A</v>
      </c>
      <c r="G8" s="69">
        <f>Datos!H7</f>
        <v>2</v>
      </c>
      <c r="H8" s="69">
        <f>Datos!I7</f>
        <v>36</v>
      </c>
      <c r="I8" s="69">
        <f>Datos!J7</f>
        <v>0</v>
      </c>
      <c r="J8" s="6" t="s">
        <v>87</v>
      </c>
      <c r="K8" s="6" t="s">
        <v>87</v>
      </c>
      <c r="L8" s="6" t="s">
        <v>87</v>
      </c>
      <c r="M8" s="6" t="s">
        <v>87</v>
      </c>
      <c r="N8" s="6" t="s">
        <v>87</v>
      </c>
      <c r="O8" s="6" t="s">
        <v>87</v>
      </c>
      <c r="P8" s="6" t="s">
        <v>87</v>
      </c>
      <c r="Q8" s="6" t="str">
        <f t="shared" si="0"/>
        <v>Ausencia total del riesgo, reevaluar cada 3 años con nueva identificación inicial</v>
      </c>
    </row>
    <row r="9" spans="1:17" ht="30">
      <c r="A9" s="68">
        <f>Datos!A8</f>
        <v>7</v>
      </c>
      <c r="B9" s="68" t="str">
        <f>Datos!B8</f>
        <v>Faenación</v>
      </c>
      <c r="C9" s="68" t="str">
        <f>Datos!C8</f>
        <v>Colgado</v>
      </c>
      <c r="D9" s="69" t="str">
        <f>Datos!D8</f>
        <v>Recepcion de guia</v>
      </c>
      <c r="E9" s="69" t="str">
        <f>Datos!F8</f>
        <v>03:35 a 11:50 - 11:50 a 21:16</v>
      </c>
      <c r="F9" s="69" t="str">
        <f>Datos!G8</f>
        <v>N/A</v>
      </c>
      <c r="G9" s="69">
        <f>Datos!H8</f>
        <v>2</v>
      </c>
      <c r="H9" s="69">
        <f>Datos!I8</f>
        <v>36</v>
      </c>
      <c r="I9" s="69">
        <f>Datos!J8</f>
        <v>0</v>
      </c>
      <c r="J9" s="6" t="s">
        <v>87</v>
      </c>
      <c r="K9" s="6" t="s">
        <v>87</v>
      </c>
      <c r="L9" s="6" t="s">
        <v>87</v>
      </c>
      <c r="M9" s="6" t="s">
        <v>87</v>
      </c>
      <c r="N9" s="6" t="s">
        <v>87</v>
      </c>
      <c r="O9" s="6" t="s">
        <v>87</v>
      </c>
      <c r="P9" s="6" t="s">
        <v>87</v>
      </c>
      <c r="Q9" s="6" t="str">
        <f t="shared" si="0"/>
        <v>Ausencia total del riesgo, reevaluar cada 3 años con nueva identificación inicial</v>
      </c>
    </row>
    <row r="10" spans="1:17" ht="30">
      <c r="A10" s="68">
        <f>Datos!A9</f>
        <v>8</v>
      </c>
      <c r="B10" s="68" t="str">
        <f>Datos!B9</f>
        <v>Faenación</v>
      </c>
      <c r="C10" s="68" t="str">
        <f>Datos!C9</f>
        <v>Colgado</v>
      </c>
      <c r="D10" s="69" t="str">
        <f>Datos!D9</f>
        <v>Encargado de PC</v>
      </c>
      <c r="E10" s="69" t="str">
        <f>Datos!F9</f>
        <v>03:35 a 11:50 - 11:50 a 21:17</v>
      </c>
      <c r="F10" s="69" t="str">
        <f>Datos!G9</f>
        <v>N/A</v>
      </c>
      <c r="G10" s="69">
        <f>Datos!H9</f>
        <v>2</v>
      </c>
      <c r="H10" s="69">
        <f>Datos!I9</f>
        <v>36</v>
      </c>
      <c r="I10" s="69">
        <f>Datos!J9</f>
        <v>0</v>
      </c>
      <c r="J10" s="6" t="s">
        <v>87</v>
      </c>
      <c r="K10" s="6" t="s">
        <v>87</v>
      </c>
      <c r="L10" s="6" t="s">
        <v>87</v>
      </c>
      <c r="M10" s="6" t="s">
        <v>87</v>
      </c>
      <c r="N10" s="6" t="s">
        <v>87</v>
      </c>
      <c r="O10" s="6" t="s">
        <v>87</v>
      </c>
      <c r="P10" s="6" t="s">
        <v>87</v>
      </c>
      <c r="Q10" s="6" t="str">
        <f t="shared" si="0"/>
        <v>Ausencia total del riesgo, reevaluar cada 3 años con nueva identificación inicial</v>
      </c>
    </row>
    <row r="11" spans="1:17" ht="30">
      <c r="A11" s="68">
        <f>Datos!A10</f>
        <v>9</v>
      </c>
      <c r="B11" s="68" t="str">
        <f>Datos!B10</f>
        <v>Faenación</v>
      </c>
      <c r="C11" s="68" t="str">
        <f>Datos!C10</f>
        <v>Sacrificio</v>
      </c>
      <c r="D11" s="69" t="str">
        <f>Datos!D10</f>
        <v>Pollo Chico</v>
      </c>
      <c r="E11" s="69" t="str">
        <f>Datos!F10</f>
        <v>03:30 - 11:50 / 11:50 - 21:15</v>
      </c>
      <c r="F11" s="69" t="str">
        <f>Datos!G10</f>
        <v>N/A</v>
      </c>
      <c r="G11" s="69">
        <f>Datos!H10</f>
        <v>2</v>
      </c>
      <c r="H11" s="69">
        <f>Datos!I10</f>
        <v>8</v>
      </c>
      <c r="I11" s="69">
        <f>Datos!J10</f>
        <v>2</v>
      </c>
      <c r="J11" s="6" t="s">
        <v>87</v>
      </c>
      <c r="K11" s="6" t="s">
        <v>87</v>
      </c>
      <c r="L11" s="6" t="s">
        <v>87</v>
      </c>
      <c r="M11" s="6" t="s">
        <v>87</v>
      </c>
      <c r="N11" s="6" t="s">
        <v>87</v>
      </c>
      <c r="O11" s="6" t="s">
        <v>87</v>
      </c>
      <c r="P11" s="6" t="s">
        <v>87</v>
      </c>
      <c r="Q11" s="6" t="str">
        <f t="shared" si="0"/>
        <v>Ausencia total del riesgo, reevaluar cada 3 años con nueva identificación inicial</v>
      </c>
    </row>
    <row r="12" spans="1:17" ht="42.75">
      <c r="A12" s="68">
        <f>Datos!A11</f>
        <v>10</v>
      </c>
      <c r="B12" s="68" t="str">
        <f>Datos!B11</f>
        <v>Faenación</v>
      </c>
      <c r="C12" s="68" t="str">
        <f>Datos!C11</f>
        <v>Sacrificio</v>
      </c>
      <c r="D12" s="69" t="str">
        <f>Datos!D11</f>
        <v>Desgollador</v>
      </c>
      <c r="E12" s="69" t="str">
        <f>Datos!F11</f>
        <v>03:30 - 11:50 / 11:50 - 21:15</v>
      </c>
      <c r="F12" s="69" t="str">
        <f>Datos!G11</f>
        <v>N/A</v>
      </c>
      <c r="G12" s="69">
        <f>Datos!H11</f>
        <v>2</v>
      </c>
      <c r="H12" s="69">
        <f>Datos!I11</f>
        <v>8</v>
      </c>
      <c r="I12" s="69">
        <f>Datos!J11</f>
        <v>2</v>
      </c>
      <c r="J12" s="6" t="s">
        <v>65</v>
      </c>
      <c r="K12" s="6" t="s">
        <v>87</v>
      </c>
      <c r="L12" s="6" t="s">
        <v>87</v>
      </c>
      <c r="M12" s="6" t="s">
        <v>87</v>
      </c>
      <c r="N12" s="6" t="s">
        <v>87</v>
      </c>
      <c r="O12" s="6" t="s">
        <v>87</v>
      </c>
      <c r="P12" s="6" t="s">
        <v>87</v>
      </c>
      <c r="Q12" s="6" t="str">
        <f t="shared" si="0"/>
        <v>Aplicar identificación avanzada-condición aceptable para cada tipo de factor de riesgo identificado</v>
      </c>
    </row>
    <row r="13" spans="1:17" ht="42.75">
      <c r="A13" s="68">
        <f>Datos!A12</f>
        <v>11</v>
      </c>
      <c r="B13" s="68" t="str">
        <f>Datos!B12</f>
        <v>Faenación</v>
      </c>
      <c r="C13" s="68" t="str">
        <f>Datos!C12</f>
        <v>Sacrificio</v>
      </c>
      <c r="D13" s="69" t="str">
        <f>Datos!D12</f>
        <v>Repase de pluma</v>
      </c>
      <c r="E13" s="69" t="str">
        <f>Datos!F12</f>
        <v>03:30 - 11:50 / 11:50 - 21:15</v>
      </c>
      <c r="F13" s="69" t="str">
        <f>Datos!G12</f>
        <v>N/A</v>
      </c>
      <c r="G13" s="69">
        <f>Datos!H12</f>
        <v>2</v>
      </c>
      <c r="H13" s="69">
        <f>Datos!I12</f>
        <v>8</v>
      </c>
      <c r="I13" s="69">
        <f>Datos!J12</f>
        <v>2</v>
      </c>
      <c r="J13" s="6" t="s">
        <v>65</v>
      </c>
      <c r="K13" s="6" t="s">
        <v>87</v>
      </c>
      <c r="L13" s="6" t="s">
        <v>87</v>
      </c>
      <c r="M13" s="6" t="s">
        <v>87</v>
      </c>
      <c r="N13" s="6" t="s">
        <v>87</v>
      </c>
      <c r="O13" s="6" t="s">
        <v>87</v>
      </c>
      <c r="P13" s="6" t="s">
        <v>87</v>
      </c>
      <c r="Q13" s="6" t="str">
        <f t="shared" si="0"/>
        <v>Aplicar identificación avanzada-condición aceptable para cada tipo de factor de riesgo identificado</v>
      </c>
    </row>
    <row r="14" spans="1:17" ht="30">
      <c r="A14" s="68">
        <f>Datos!A13</f>
        <v>12</v>
      </c>
      <c r="B14" s="68" t="str">
        <f>Datos!B13</f>
        <v>Faenación</v>
      </c>
      <c r="C14" s="68" t="str">
        <f>Datos!C13</f>
        <v>Eviscerado</v>
      </c>
      <c r="D14" s="69" t="str">
        <f>Datos!D13</f>
        <v>Maquinista sacrificio</v>
      </c>
      <c r="E14" s="69" t="str">
        <f>Datos!F13</f>
        <v>03:30 - 11:50 / 11:50 - 21:15</v>
      </c>
      <c r="F14" s="69" t="str">
        <f>Datos!G13</f>
        <v>N/A</v>
      </c>
      <c r="G14" s="69">
        <f>Datos!H13</f>
        <v>2</v>
      </c>
      <c r="H14" s="69">
        <f>Datos!I13</f>
        <v>87</v>
      </c>
      <c r="I14" s="69">
        <f>Datos!J13</f>
        <v>28</v>
      </c>
      <c r="J14" s="6" t="s">
        <v>87</v>
      </c>
      <c r="K14" s="6" t="s">
        <v>87</v>
      </c>
      <c r="L14" s="6" t="s">
        <v>87</v>
      </c>
      <c r="M14" s="6" t="s">
        <v>87</v>
      </c>
      <c r="N14" s="6" t="s">
        <v>87</v>
      </c>
      <c r="O14" s="6" t="s">
        <v>87</v>
      </c>
      <c r="P14" s="6" t="s">
        <v>87</v>
      </c>
      <c r="Q14" s="6" t="str">
        <f t="shared" si="0"/>
        <v>Ausencia total del riesgo, reevaluar cada 3 años con nueva identificación inicial</v>
      </c>
    </row>
    <row r="15" spans="1:17" ht="42.75">
      <c r="A15" s="68">
        <f>Datos!A14</f>
        <v>13</v>
      </c>
      <c r="B15" s="68" t="str">
        <f>Datos!B14</f>
        <v>Faenación</v>
      </c>
      <c r="C15" s="68" t="str">
        <f>Datos!C14</f>
        <v>Eviscerado</v>
      </c>
      <c r="D15" s="69" t="str">
        <f>Datos!D14</f>
        <v>Maquinista eviscerado</v>
      </c>
      <c r="E15" s="69" t="str">
        <f>Datos!F14</f>
        <v>03:30 - 11:50 / 11:50 - 21:15</v>
      </c>
      <c r="F15" s="69" t="str">
        <f>Datos!G14</f>
        <v>N/A</v>
      </c>
      <c r="G15" s="69">
        <f>Datos!H14</f>
        <v>2</v>
      </c>
      <c r="H15" s="69">
        <f>Datos!I14</f>
        <v>87</v>
      </c>
      <c r="I15" s="69">
        <f>Datos!J14</f>
        <v>28</v>
      </c>
      <c r="J15" s="6" t="s">
        <v>65</v>
      </c>
      <c r="K15" s="6" t="s">
        <v>87</v>
      </c>
      <c r="L15" s="6" t="s">
        <v>87</v>
      </c>
      <c r="M15" s="6" t="s">
        <v>87</v>
      </c>
      <c r="N15" s="6" t="s">
        <v>87</v>
      </c>
      <c r="O15" s="6" t="s">
        <v>87</v>
      </c>
      <c r="P15" s="6" t="s">
        <v>87</v>
      </c>
      <c r="Q15" s="6" t="str">
        <f t="shared" si="0"/>
        <v>Aplicar identificación avanzada-condición aceptable para cada tipo de factor de riesgo identificado</v>
      </c>
    </row>
    <row r="16" spans="1:17" ht="42.75">
      <c r="A16" s="68">
        <f>Datos!A15</f>
        <v>14</v>
      </c>
      <c r="B16" s="68" t="str">
        <f>Datos!B15</f>
        <v>Faenación</v>
      </c>
      <c r="C16" s="68" t="str">
        <f>Datos!C15</f>
        <v>Eviscerado</v>
      </c>
      <c r="D16" s="69" t="str">
        <f>Datos!D15</f>
        <v>Transferidor</v>
      </c>
      <c r="E16" s="69" t="str">
        <f>Datos!F15</f>
        <v>03:30 - 11:50 / 11:50 - 21:15</v>
      </c>
      <c r="F16" s="69" t="str">
        <f>Datos!G15</f>
        <v>N/A</v>
      </c>
      <c r="G16" s="69">
        <f>Datos!H15</f>
        <v>2</v>
      </c>
      <c r="H16" s="69">
        <f>Datos!I15</f>
        <v>87</v>
      </c>
      <c r="I16" s="69">
        <f>Datos!J15</f>
        <v>28</v>
      </c>
      <c r="J16" s="6" t="s">
        <v>65</v>
      </c>
      <c r="K16" s="6" t="s">
        <v>87</v>
      </c>
      <c r="L16" s="6" t="s">
        <v>87</v>
      </c>
      <c r="M16" s="6" t="s">
        <v>87</v>
      </c>
      <c r="N16" s="6" t="s">
        <v>87</v>
      </c>
      <c r="O16" s="6" t="s">
        <v>87</v>
      </c>
      <c r="P16" s="6" t="s">
        <v>87</v>
      </c>
      <c r="Q16" s="6" t="str">
        <f t="shared" si="0"/>
        <v>Aplicar identificación avanzada-condición aceptable para cada tipo de factor de riesgo identificado</v>
      </c>
    </row>
    <row r="17" spans="1:17" ht="42.75">
      <c r="A17" s="68">
        <f>Datos!A16</f>
        <v>15</v>
      </c>
      <c r="B17" s="68" t="str">
        <f>Datos!B16</f>
        <v>Faenación</v>
      </c>
      <c r="C17" s="68" t="str">
        <f>Datos!C16</f>
        <v>Eviscerado</v>
      </c>
      <c r="D17" s="69" t="str">
        <f>Datos!D16</f>
        <v>Expurgo Visceras</v>
      </c>
      <c r="E17" s="69" t="str">
        <f>Datos!F16</f>
        <v>03:30 - 11:50 / 11:50 - 21:15</v>
      </c>
      <c r="F17" s="69" t="str">
        <f>Datos!G16</f>
        <v>N/A</v>
      </c>
      <c r="G17" s="69">
        <f>Datos!H16</f>
        <v>2</v>
      </c>
      <c r="H17" s="69">
        <f>Datos!I16</f>
        <v>87</v>
      </c>
      <c r="I17" s="69">
        <f>Datos!J16</f>
        <v>28</v>
      </c>
      <c r="J17" s="6" t="s">
        <v>65</v>
      </c>
      <c r="K17" s="6" t="s">
        <v>87</v>
      </c>
      <c r="L17" s="6" t="s">
        <v>87</v>
      </c>
      <c r="M17" s="6" t="s">
        <v>87</v>
      </c>
      <c r="N17" s="6" t="s">
        <v>87</v>
      </c>
      <c r="O17" s="6" t="s">
        <v>87</v>
      </c>
      <c r="P17" s="6" t="s">
        <v>87</v>
      </c>
      <c r="Q17" s="6" t="str">
        <f t="shared" si="0"/>
        <v>Aplicar identificación avanzada-condición aceptable para cada tipo de factor de riesgo identificado</v>
      </c>
    </row>
    <row r="18" spans="1:17" ht="42.75">
      <c r="A18" s="68">
        <f>Datos!A17</f>
        <v>16</v>
      </c>
      <c r="B18" s="68" t="str">
        <f>Datos!B17</f>
        <v>Faenación</v>
      </c>
      <c r="C18" s="68" t="str">
        <f>Datos!C17</f>
        <v>Eviscerado</v>
      </c>
      <c r="D18" s="69" t="str">
        <f>Datos!D17</f>
        <v>Repaso de contre</v>
      </c>
      <c r="E18" s="69" t="str">
        <f>Datos!F17</f>
        <v>03:30 - 11:50 / 11:50 - 21:15</v>
      </c>
      <c r="F18" s="69" t="str">
        <f>Datos!G17</f>
        <v>N/A</v>
      </c>
      <c r="G18" s="69">
        <f>Datos!H17</f>
        <v>2</v>
      </c>
      <c r="H18" s="69">
        <f>Datos!I17</f>
        <v>87</v>
      </c>
      <c r="I18" s="69">
        <f>Datos!J17</f>
        <v>28</v>
      </c>
      <c r="J18" s="6" t="s">
        <v>65</v>
      </c>
      <c r="K18" s="6" t="s">
        <v>87</v>
      </c>
      <c r="L18" s="6" t="s">
        <v>87</v>
      </c>
      <c r="M18" s="6" t="s">
        <v>87</v>
      </c>
      <c r="N18" s="6" t="s">
        <v>87</v>
      </c>
      <c r="O18" s="6" t="s">
        <v>87</v>
      </c>
      <c r="P18" s="6" t="s">
        <v>87</v>
      </c>
      <c r="Q18" s="6" t="str">
        <f t="shared" si="0"/>
        <v>Aplicar identificación avanzada-condición aceptable para cada tipo de factor de riesgo identificado</v>
      </c>
    </row>
    <row r="19" spans="1:17" ht="42.75">
      <c r="A19" s="68">
        <f>Datos!A18</f>
        <v>17</v>
      </c>
      <c r="B19" s="68" t="str">
        <f>Datos!B18</f>
        <v>Faenación</v>
      </c>
      <c r="C19" s="68" t="str">
        <f>Datos!C18</f>
        <v>Eviscerado</v>
      </c>
      <c r="D19" s="69" t="str">
        <f>Datos!D18</f>
        <v>Panas</v>
      </c>
      <c r="E19" s="69" t="str">
        <f>Datos!F18</f>
        <v>03:30 - 11:50 / 11:50 - 21:15</v>
      </c>
      <c r="F19" s="69" t="str">
        <f>Datos!G18</f>
        <v>N/A</v>
      </c>
      <c r="G19" s="69">
        <f>Datos!H18</f>
        <v>2</v>
      </c>
      <c r="H19" s="69">
        <f>Datos!I18</f>
        <v>87</v>
      </c>
      <c r="I19" s="69">
        <f>Datos!J18</f>
        <v>28</v>
      </c>
      <c r="J19" s="6" t="s">
        <v>65</v>
      </c>
      <c r="K19" s="6" t="s">
        <v>87</v>
      </c>
      <c r="L19" s="6" t="s">
        <v>87</v>
      </c>
      <c r="M19" s="6" t="s">
        <v>87</v>
      </c>
      <c r="N19" s="6" t="s">
        <v>87</v>
      </c>
      <c r="O19" s="6" t="s">
        <v>87</v>
      </c>
      <c r="P19" s="6" t="s">
        <v>87</v>
      </c>
      <c r="Q19" s="6" t="str">
        <f t="shared" si="0"/>
        <v>Aplicar identificación avanzada-condición aceptable para cada tipo de factor de riesgo identificado</v>
      </c>
    </row>
    <row r="20" spans="1:17" ht="42.75">
      <c r="A20" s="68">
        <f>Datos!A19</f>
        <v>18</v>
      </c>
      <c r="B20" s="68" t="str">
        <f>Datos!B19</f>
        <v>Faenación</v>
      </c>
      <c r="C20" s="68" t="str">
        <f>Datos!C19</f>
        <v>Eviscerado</v>
      </c>
      <c r="D20" s="69" t="str">
        <f>Datos!D19</f>
        <v>Expurgo Inscision</v>
      </c>
      <c r="E20" s="69" t="str">
        <f>Datos!F19</f>
        <v>03:30 - 11:50 / 11:50 - 21:15</v>
      </c>
      <c r="F20" s="69" t="str">
        <f>Datos!G19</f>
        <v>N/A</v>
      </c>
      <c r="G20" s="69">
        <f>Datos!H19</f>
        <v>2</v>
      </c>
      <c r="H20" s="69">
        <f>Datos!I19</f>
        <v>87</v>
      </c>
      <c r="I20" s="69">
        <f>Datos!J19</f>
        <v>28</v>
      </c>
      <c r="J20" s="6" t="s">
        <v>65</v>
      </c>
      <c r="K20" s="6" t="s">
        <v>87</v>
      </c>
      <c r="L20" s="6" t="s">
        <v>87</v>
      </c>
      <c r="M20" s="6" t="s">
        <v>87</v>
      </c>
      <c r="N20" s="6" t="s">
        <v>87</v>
      </c>
      <c r="O20" s="6" t="s">
        <v>87</v>
      </c>
      <c r="P20" s="6" t="s">
        <v>87</v>
      </c>
      <c r="Q20" s="6" t="str">
        <f t="shared" si="0"/>
        <v>Aplicar identificación avanzada-condición aceptable para cada tipo de factor de riesgo identificado</v>
      </c>
    </row>
    <row r="21" spans="1:17" ht="42.75">
      <c r="A21" s="68">
        <f>Datos!A20</f>
        <v>19</v>
      </c>
      <c r="B21" s="68" t="str">
        <f>Datos!B20</f>
        <v>Faenación</v>
      </c>
      <c r="C21" s="68" t="str">
        <f>Datos!C20</f>
        <v>Eviscerado</v>
      </c>
      <c r="D21" s="69" t="str">
        <f>Datos!D20</f>
        <v>Lavado/ Aspirado</v>
      </c>
      <c r="E21" s="69" t="str">
        <f>Datos!F20</f>
        <v>03:30 - 11:50 / 11:50 - 21:15</v>
      </c>
      <c r="F21" s="69" t="str">
        <f>Datos!G20</f>
        <v>N/A</v>
      </c>
      <c r="G21" s="69">
        <f>Datos!H20</f>
        <v>2</v>
      </c>
      <c r="H21" s="69">
        <f>Datos!I20</f>
        <v>87</v>
      </c>
      <c r="I21" s="69">
        <f>Datos!J20</f>
        <v>28</v>
      </c>
      <c r="J21" s="6" t="s">
        <v>65</v>
      </c>
      <c r="K21" s="6" t="s">
        <v>87</v>
      </c>
      <c r="L21" s="6" t="s">
        <v>87</v>
      </c>
      <c r="M21" s="6" t="s">
        <v>87</v>
      </c>
      <c r="N21" s="6" t="s">
        <v>87</v>
      </c>
      <c r="O21" s="6" t="s">
        <v>87</v>
      </c>
      <c r="P21" s="6" t="s">
        <v>87</v>
      </c>
      <c r="Q21" s="6" t="str">
        <f t="shared" si="0"/>
        <v>Aplicar identificación avanzada-condición aceptable para cada tipo de factor de riesgo identificado</v>
      </c>
    </row>
    <row r="22" spans="1:17" ht="30">
      <c r="A22" s="68">
        <f>Datos!A21</f>
        <v>20</v>
      </c>
      <c r="B22" s="68" t="str">
        <f>Datos!B21</f>
        <v>Faenación</v>
      </c>
      <c r="C22" s="68" t="str">
        <f>Datos!C21</f>
        <v>Eviscerado</v>
      </c>
      <c r="D22" s="69" t="str">
        <f>Datos!D21</f>
        <v>Repase de visceras</v>
      </c>
      <c r="E22" s="69" t="str">
        <f>Datos!F21</f>
        <v>03:30 - 11:50 / 11:50 - 21:15</v>
      </c>
      <c r="F22" s="69" t="str">
        <f>Datos!G21</f>
        <v>N/A</v>
      </c>
      <c r="G22" s="69">
        <f>Datos!H21</f>
        <v>2</v>
      </c>
      <c r="H22" s="69">
        <f>Datos!I21</f>
        <v>87</v>
      </c>
      <c r="I22" s="69">
        <f>Datos!J21</f>
        <v>28</v>
      </c>
      <c r="J22" s="6" t="s">
        <v>87</v>
      </c>
      <c r="K22" s="6" t="s">
        <v>87</v>
      </c>
      <c r="L22" s="6" t="s">
        <v>87</v>
      </c>
      <c r="M22" s="6" t="s">
        <v>87</v>
      </c>
      <c r="N22" s="6" t="s">
        <v>87</v>
      </c>
      <c r="O22" s="6" t="s">
        <v>87</v>
      </c>
      <c r="P22" s="6" t="s">
        <v>87</v>
      </c>
      <c r="Q22" s="6" t="str">
        <f t="shared" si="0"/>
        <v>Ausencia total del riesgo, reevaluar cada 3 años con nueva identificación inicial</v>
      </c>
    </row>
    <row r="23" spans="1:17" ht="42.75">
      <c r="A23" s="68">
        <f>Datos!A22</f>
        <v>21</v>
      </c>
      <c r="B23" s="68" t="str">
        <f>Datos!B22</f>
        <v>Faenación</v>
      </c>
      <c r="C23" s="68" t="str">
        <f>Datos!C22</f>
        <v>Eviscerado</v>
      </c>
      <c r="D23" s="69" t="str">
        <f>Datos!D22</f>
        <v>Recolgado</v>
      </c>
      <c r="E23" s="69" t="str">
        <f>Datos!F22</f>
        <v>03:30 - 11:50 / 11:50 - 21:15</v>
      </c>
      <c r="F23" s="69" t="str">
        <f>Datos!G22</f>
        <v>N/A</v>
      </c>
      <c r="G23" s="69">
        <f>Datos!H22</f>
        <v>2</v>
      </c>
      <c r="H23" s="69">
        <f>Datos!I22</f>
        <v>87</v>
      </c>
      <c r="I23" s="69">
        <f>Datos!J22</f>
        <v>28</v>
      </c>
      <c r="J23" s="6" t="s">
        <v>65</v>
      </c>
      <c r="K23" s="6" t="s">
        <v>87</v>
      </c>
      <c r="L23" s="6" t="s">
        <v>87</v>
      </c>
      <c r="M23" s="6" t="s">
        <v>87</v>
      </c>
      <c r="N23" s="6" t="s">
        <v>87</v>
      </c>
      <c r="O23" s="6" t="s">
        <v>87</v>
      </c>
      <c r="P23" s="6" t="s">
        <v>87</v>
      </c>
      <c r="Q23" s="6" t="str">
        <f t="shared" si="0"/>
        <v>Aplicar identificación avanzada-condición aceptable para cada tipo de factor de riesgo identificado</v>
      </c>
    </row>
    <row r="24" spans="1:17" ht="42.75">
      <c r="A24" s="68">
        <f>Datos!A23</f>
        <v>22</v>
      </c>
      <c r="B24" s="68" t="str">
        <f>Datos!B23</f>
        <v>Faenación</v>
      </c>
      <c r="C24" s="68" t="str">
        <f>Datos!C23</f>
        <v>Eviscerado</v>
      </c>
      <c r="D24" s="69" t="str">
        <f>Datos!D23</f>
        <v>Expurgo de Ala</v>
      </c>
      <c r="E24" s="69" t="str">
        <f>Datos!F23</f>
        <v>03:30 - 11:50 / 11:50 - 21:15</v>
      </c>
      <c r="F24" s="69" t="str">
        <f>Datos!G23</f>
        <v>N/A</v>
      </c>
      <c r="G24" s="69">
        <f>Datos!H23</f>
        <v>2</v>
      </c>
      <c r="H24" s="69">
        <f>Datos!I23</f>
        <v>87</v>
      </c>
      <c r="I24" s="69">
        <f>Datos!J23</f>
        <v>28</v>
      </c>
      <c r="J24" s="6" t="s">
        <v>65</v>
      </c>
      <c r="K24" s="6" t="s">
        <v>87</v>
      </c>
      <c r="L24" s="6" t="s">
        <v>87</v>
      </c>
      <c r="M24" s="6" t="s">
        <v>87</v>
      </c>
      <c r="N24" s="6" t="s">
        <v>87</v>
      </c>
      <c r="O24" s="6" t="s">
        <v>87</v>
      </c>
      <c r="P24" s="6" t="s">
        <v>87</v>
      </c>
      <c r="Q24" s="6" t="str">
        <f t="shared" si="0"/>
        <v>Aplicar identificación avanzada-condición aceptable para cada tipo de factor de riesgo identificado</v>
      </c>
    </row>
    <row r="25" spans="1:17" ht="42.75">
      <c r="A25" s="68">
        <f>Datos!A24</f>
        <v>23</v>
      </c>
      <c r="B25" s="68" t="str">
        <f>Datos!B24</f>
        <v>Faenación</v>
      </c>
      <c r="C25" s="68" t="str">
        <f>Datos!C24</f>
        <v>Eviscerado</v>
      </c>
      <c r="D25" s="69" t="str">
        <f>Datos!D24</f>
        <v>Punto de inspeccion</v>
      </c>
      <c r="E25" s="69" t="str">
        <f>Datos!F24</f>
        <v>03:30 - 11:50 / 11:50 - 21:15</v>
      </c>
      <c r="F25" s="69" t="str">
        <f>Datos!G24</f>
        <v>N/A</v>
      </c>
      <c r="G25" s="69">
        <f>Datos!H24</f>
        <v>2</v>
      </c>
      <c r="H25" s="69">
        <f>Datos!I24</f>
        <v>87</v>
      </c>
      <c r="I25" s="69">
        <f>Datos!J24</f>
        <v>28</v>
      </c>
      <c r="J25" s="6" t="s">
        <v>65</v>
      </c>
      <c r="K25" s="6" t="s">
        <v>87</v>
      </c>
      <c r="L25" s="6" t="s">
        <v>87</v>
      </c>
      <c r="M25" s="6" t="s">
        <v>87</v>
      </c>
      <c r="N25" s="6" t="s">
        <v>87</v>
      </c>
      <c r="O25" s="6" t="s">
        <v>87</v>
      </c>
      <c r="P25" s="6" t="s">
        <v>87</v>
      </c>
      <c r="Q25" s="6" t="str">
        <f t="shared" si="0"/>
        <v>Aplicar identificación avanzada-condición aceptable para cada tipo de factor de riesgo identificado</v>
      </c>
    </row>
    <row r="26" spans="1:17" ht="42.75">
      <c r="A26" s="68">
        <f>Datos!A25</f>
        <v>24</v>
      </c>
      <c r="B26" s="68" t="str">
        <f>Datos!B25</f>
        <v>Faenación</v>
      </c>
      <c r="C26" s="68" t="str">
        <f>Datos!C25</f>
        <v>Eviscerado</v>
      </c>
      <c r="D26" s="69" t="str">
        <f>Datos!D25</f>
        <v>Revision post lavadora</v>
      </c>
      <c r="E26" s="69" t="str">
        <f>Datos!F25</f>
        <v>03:30 - 11:50 / 11:50 - 21:15</v>
      </c>
      <c r="F26" s="69" t="str">
        <f>Datos!G25</f>
        <v>N/A</v>
      </c>
      <c r="G26" s="69">
        <f>Datos!H25</f>
        <v>2</v>
      </c>
      <c r="H26" s="69">
        <f>Datos!I25</f>
        <v>87</v>
      </c>
      <c r="I26" s="69">
        <f>Datos!J25</f>
        <v>28</v>
      </c>
      <c r="J26" s="6" t="s">
        <v>65</v>
      </c>
      <c r="K26" s="6" t="s">
        <v>87</v>
      </c>
      <c r="L26" s="6" t="s">
        <v>87</v>
      </c>
      <c r="M26" s="6" t="s">
        <v>87</v>
      </c>
      <c r="N26" s="6" t="s">
        <v>87</v>
      </c>
      <c r="O26" s="6" t="s">
        <v>87</v>
      </c>
      <c r="P26" s="6" t="s">
        <v>87</v>
      </c>
      <c r="Q26" s="6" t="str">
        <f t="shared" si="0"/>
        <v>Aplicar identificación avanzada-condición aceptable para cada tipo de factor de riesgo identificado</v>
      </c>
    </row>
    <row r="27" spans="1:17" ht="42.75">
      <c r="A27" s="68">
        <f>Datos!A26</f>
        <v>25</v>
      </c>
      <c r="B27" s="68" t="str">
        <f>Datos!B26</f>
        <v>Faenación</v>
      </c>
      <c r="C27" s="68" t="str">
        <f>Datos!C26</f>
        <v>Eviscerado</v>
      </c>
      <c r="D27" s="69" t="str">
        <f>Datos!D26</f>
        <v>Recuperacion de peritonitis</v>
      </c>
      <c r="E27" s="69" t="str">
        <f>Datos!F26</f>
        <v>03:30 - 11:50 / 11:50 - 21:15</v>
      </c>
      <c r="F27" s="69" t="str">
        <f>Datos!G26</f>
        <v>N/A</v>
      </c>
      <c r="G27" s="69">
        <f>Datos!H26</f>
        <v>2</v>
      </c>
      <c r="H27" s="69">
        <f>Datos!I26</f>
        <v>87</v>
      </c>
      <c r="I27" s="69">
        <f>Datos!J26</f>
        <v>28</v>
      </c>
      <c r="J27" s="6" t="s">
        <v>65</v>
      </c>
      <c r="K27" s="6" t="s">
        <v>87</v>
      </c>
      <c r="L27" s="6" t="s">
        <v>87</v>
      </c>
      <c r="M27" s="6" t="s">
        <v>87</v>
      </c>
      <c r="N27" s="6" t="s">
        <v>87</v>
      </c>
      <c r="O27" s="6" t="s">
        <v>87</v>
      </c>
      <c r="P27" s="6" t="s">
        <v>87</v>
      </c>
      <c r="Q27" s="6" t="str">
        <f t="shared" si="0"/>
        <v>Aplicar identificación avanzada-condición aceptable para cada tipo de factor de riesgo identificado</v>
      </c>
    </row>
    <row r="28" spans="1:17" ht="42.75">
      <c r="A28" s="68">
        <f>Datos!A27</f>
        <v>26</v>
      </c>
      <c r="B28" s="68" t="str">
        <f>Datos!B27</f>
        <v>Faenación</v>
      </c>
      <c r="C28" s="68" t="str">
        <f>Datos!C27</f>
        <v>Eviscerado</v>
      </c>
      <c r="D28" s="69" t="str">
        <f>Datos!D27</f>
        <v>Decomiso</v>
      </c>
      <c r="E28" s="69" t="str">
        <f>Datos!F27</f>
        <v>03:30 - 11:50 / 11:50 - 21:15</v>
      </c>
      <c r="F28" s="69" t="str">
        <f>Datos!G27</f>
        <v>N/A</v>
      </c>
      <c r="G28" s="69">
        <f>Datos!H27</f>
        <v>2</v>
      </c>
      <c r="H28" s="69">
        <f>Datos!I27</f>
        <v>87</v>
      </c>
      <c r="I28" s="69">
        <f>Datos!J27</f>
        <v>0</v>
      </c>
      <c r="J28" s="6" t="s">
        <v>87</v>
      </c>
      <c r="K28" s="6" t="s">
        <v>87</v>
      </c>
      <c r="L28" s="6" t="s">
        <v>65</v>
      </c>
      <c r="M28" s="6" t="s">
        <v>87</v>
      </c>
      <c r="N28" s="6" t="s">
        <v>87</v>
      </c>
      <c r="O28" s="6" t="s">
        <v>87</v>
      </c>
      <c r="P28" s="6" t="s">
        <v>87</v>
      </c>
      <c r="Q28" s="6" t="str">
        <f t="shared" si="0"/>
        <v>Aplicar identificación avanzada-condición aceptable para cada tipo de factor de riesgo identificado</v>
      </c>
    </row>
    <row r="29" spans="1:17" ht="42.75">
      <c r="A29" s="68">
        <f>Datos!A28</f>
        <v>27</v>
      </c>
      <c r="B29" s="68" t="str">
        <f>Datos!B28</f>
        <v>Faenación</v>
      </c>
      <c r="C29" s="68" t="str">
        <f>Datos!C28</f>
        <v>Eviscerado</v>
      </c>
      <c r="D29" s="69" t="str">
        <f>Datos!D28</f>
        <v>Auroceculitis</v>
      </c>
      <c r="E29" s="69" t="str">
        <f>Datos!F28</f>
        <v>03:30 - 11:50 / 11:50 - 21:15</v>
      </c>
      <c r="F29" s="69" t="str">
        <f>Datos!G28</f>
        <v>N/A</v>
      </c>
      <c r="G29" s="69">
        <f>Datos!H28</f>
        <v>2</v>
      </c>
      <c r="H29" s="69">
        <f>Datos!I28</f>
        <v>87</v>
      </c>
      <c r="I29" s="69">
        <f>Datos!J28</f>
        <v>28</v>
      </c>
      <c r="J29" s="6" t="s">
        <v>65</v>
      </c>
      <c r="K29" s="6" t="s">
        <v>87</v>
      </c>
      <c r="L29" s="6" t="s">
        <v>87</v>
      </c>
      <c r="M29" s="6" t="s">
        <v>87</v>
      </c>
      <c r="N29" s="6" t="s">
        <v>87</v>
      </c>
      <c r="O29" s="6" t="s">
        <v>87</v>
      </c>
      <c r="P29" s="6" t="s">
        <v>87</v>
      </c>
      <c r="Q29" s="6" t="str">
        <f t="shared" si="0"/>
        <v>Aplicar identificación avanzada-condición aceptable para cada tipo de factor de riesgo identificado</v>
      </c>
    </row>
    <row r="30" spans="1:17" ht="30">
      <c r="A30" s="68">
        <f>Datos!A29</f>
        <v>28</v>
      </c>
      <c r="B30" s="68" t="str">
        <f>Datos!B29</f>
        <v>Faenación</v>
      </c>
      <c r="C30" s="68" t="str">
        <f>Datos!C29</f>
        <v>Eviscerado</v>
      </c>
      <c r="D30" s="69" t="str">
        <f>Datos!D29</f>
        <v xml:space="preserve">Jefe de línea </v>
      </c>
      <c r="E30" s="69" t="str">
        <f>Datos!F29</f>
        <v>03:30 - 11:50 / 11:50 - 21:15</v>
      </c>
      <c r="F30" s="69" t="str">
        <f>Datos!G29</f>
        <v>N/A</v>
      </c>
      <c r="G30" s="69">
        <f>Datos!H29</f>
        <v>2</v>
      </c>
      <c r="H30" s="69">
        <f>Datos!I29</f>
        <v>87</v>
      </c>
      <c r="I30" s="69">
        <f>Datos!J29</f>
        <v>28</v>
      </c>
      <c r="J30" s="6" t="s">
        <v>87</v>
      </c>
      <c r="K30" s="6" t="s">
        <v>87</v>
      </c>
      <c r="L30" s="6" t="s">
        <v>87</v>
      </c>
      <c r="M30" s="6" t="s">
        <v>87</v>
      </c>
      <c r="N30" s="6" t="s">
        <v>87</v>
      </c>
      <c r="O30" s="6" t="s">
        <v>87</v>
      </c>
      <c r="P30" s="6" t="s">
        <v>87</v>
      </c>
      <c r="Q30" s="6" t="str">
        <f t="shared" si="0"/>
        <v>Ausencia total del riesgo, reevaluar cada 3 años con nueva identificación inicial</v>
      </c>
    </row>
    <row r="31" spans="1:17" ht="42.75">
      <c r="A31" s="68">
        <f>Datos!A30</f>
        <v>29</v>
      </c>
      <c r="B31" s="68" t="str">
        <f>Datos!B30</f>
        <v>Faenación</v>
      </c>
      <c r="C31" s="68" t="str">
        <f>Datos!C30</f>
        <v>Eviscerado</v>
      </c>
      <c r="D31" s="69" t="str">
        <f>Datos!D30</f>
        <v>Supervisor</v>
      </c>
      <c r="E31" s="69" t="str">
        <f>Datos!F30</f>
        <v>03:30 - 11:50 / 11:50 - 21:15</v>
      </c>
      <c r="F31" s="69" t="str">
        <f>Datos!G30</f>
        <v>N/A</v>
      </c>
      <c r="G31" s="69">
        <f>Datos!H30</f>
        <v>2</v>
      </c>
      <c r="H31" s="69">
        <f>Datos!I30</f>
        <v>87</v>
      </c>
      <c r="I31" s="69">
        <f>Datos!J30</f>
        <v>28</v>
      </c>
      <c r="J31" s="6" t="s">
        <v>65</v>
      </c>
      <c r="K31" s="6" t="s">
        <v>87</v>
      </c>
      <c r="L31" s="6" t="s">
        <v>87</v>
      </c>
      <c r="M31" s="6" t="s">
        <v>87</v>
      </c>
      <c r="N31" s="6" t="s">
        <v>87</v>
      </c>
      <c r="O31" s="6" t="s">
        <v>87</v>
      </c>
      <c r="P31" s="6" t="s">
        <v>87</v>
      </c>
      <c r="Q31" s="6" t="str">
        <f t="shared" si="0"/>
        <v>Aplicar identificación avanzada-condición aceptable para cada tipo de factor de riesgo identificado</v>
      </c>
    </row>
    <row r="32" spans="1:17" ht="42.75">
      <c r="A32" s="68">
        <f>Datos!A31</f>
        <v>30</v>
      </c>
      <c r="B32" s="68" t="str">
        <f>Datos!B31</f>
        <v>Faenación</v>
      </c>
      <c r="C32" s="68" t="str">
        <f>Datos!C31</f>
        <v>Garras</v>
      </c>
      <c r="D32" s="69" t="str">
        <f>Datos!D31</f>
        <v>Cinta Decomiso</v>
      </c>
      <c r="E32" s="69" t="str">
        <f>Datos!F31</f>
        <v>04:05 - 12:25 / 12:15 A 21:45</v>
      </c>
      <c r="F32" s="69" t="str">
        <f>Datos!G31</f>
        <v>N/A</v>
      </c>
      <c r="G32" s="69">
        <f>Datos!H31</f>
        <v>2</v>
      </c>
      <c r="H32" s="69">
        <f>Datos!I31</f>
        <v>23</v>
      </c>
      <c r="I32" s="69">
        <f>Datos!J31</f>
        <v>17</v>
      </c>
      <c r="J32" s="6" t="s">
        <v>65</v>
      </c>
      <c r="K32" s="6" t="s">
        <v>87</v>
      </c>
      <c r="L32" s="6" t="s">
        <v>87</v>
      </c>
      <c r="M32" s="6" t="s">
        <v>87</v>
      </c>
      <c r="N32" s="6" t="s">
        <v>87</v>
      </c>
      <c r="O32" s="6" t="s">
        <v>87</v>
      </c>
      <c r="P32" s="6" t="s">
        <v>87</v>
      </c>
      <c r="Q32" s="6" t="str">
        <f t="shared" si="0"/>
        <v>Aplicar identificación avanzada-condición aceptable para cada tipo de factor de riesgo identificado</v>
      </c>
    </row>
    <row r="33" spans="1:17" ht="45">
      <c r="A33" s="68">
        <f>Datos!A32</f>
        <v>31</v>
      </c>
      <c r="B33" s="68" t="str">
        <f>Datos!B32</f>
        <v>Faenación</v>
      </c>
      <c r="C33" s="68" t="str">
        <f>Datos!C32</f>
        <v>Garras</v>
      </c>
      <c r="D33" s="69" t="str">
        <f>Datos!D32</f>
        <v>Embolsado Tolva/Seleccionador de Garras en Tolva</v>
      </c>
      <c r="E33" s="69" t="str">
        <f>Datos!F32</f>
        <v>04:05 - 12:25 / 12:15 A 21:45</v>
      </c>
      <c r="F33" s="69" t="str">
        <f>Datos!G32</f>
        <v>N/A</v>
      </c>
      <c r="G33" s="69">
        <f>Datos!H32</f>
        <v>2</v>
      </c>
      <c r="H33" s="69">
        <f>Datos!I32</f>
        <v>23</v>
      </c>
      <c r="I33" s="69">
        <f>Datos!J32</f>
        <v>17</v>
      </c>
      <c r="J33" s="6" t="s">
        <v>65</v>
      </c>
      <c r="K33" s="6" t="s">
        <v>87</v>
      </c>
      <c r="L33" s="6" t="s">
        <v>87</v>
      </c>
      <c r="M33" s="6" t="s">
        <v>87</v>
      </c>
      <c r="N33" s="6" t="s">
        <v>87</v>
      </c>
      <c r="O33" s="6" t="s">
        <v>87</v>
      </c>
      <c r="P33" s="6" t="s">
        <v>87</v>
      </c>
      <c r="Q33" s="6" t="str">
        <f t="shared" si="0"/>
        <v>Aplicar identificación avanzada-condición aceptable para cada tipo de factor de riesgo identificado</v>
      </c>
    </row>
    <row r="34" spans="1:17" ht="42.75">
      <c r="A34" s="68">
        <f>Datos!A33</f>
        <v>32</v>
      </c>
      <c r="B34" s="68" t="str">
        <f>Datos!B33</f>
        <v>Faenación</v>
      </c>
      <c r="C34" s="68" t="str">
        <f>Datos!C33</f>
        <v>Garras</v>
      </c>
      <c r="D34" s="69" t="str">
        <f>Datos!D33</f>
        <v>Pesador de garras</v>
      </c>
      <c r="E34" s="69" t="str">
        <f>Datos!F33</f>
        <v>04:05 - 12:25 / 12:15 A 21:45</v>
      </c>
      <c r="F34" s="69" t="str">
        <f>Datos!G33</f>
        <v>N/A</v>
      </c>
      <c r="G34" s="69">
        <f>Datos!H33</f>
        <v>2</v>
      </c>
      <c r="H34" s="69">
        <f>Datos!I33</f>
        <v>23</v>
      </c>
      <c r="I34" s="69">
        <f>Datos!J33</f>
        <v>17</v>
      </c>
      <c r="J34" s="6" t="s">
        <v>65</v>
      </c>
      <c r="K34" s="6" t="s">
        <v>87</v>
      </c>
      <c r="L34" s="6" t="s">
        <v>65</v>
      </c>
      <c r="M34" s="6" t="s">
        <v>87</v>
      </c>
      <c r="N34" s="6" t="s">
        <v>87</v>
      </c>
      <c r="O34" s="6" t="s">
        <v>87</v>
      </c>
      <c r="P34" s="6" t="s">
        <v>87</v>
      </c>
      <c r="Q34" s="6" t="str">
        <f t="shared" si="0"/>
        <v>Aplicar identificación avanzada-condición aceptable para cada tipo de factor de riesgo identificado</v>
      </c>
    </row>
    <row r="35" spans="1:17" ht="42.75">
      <c r="A35" s="68">
        <f>Datos!A34</f>
        <v>33</v>
      </c>
      <c r="B35" s="68" t="str">
        <f>Datos!B34</f>
        <v>Faenación</v>
      </c>
      <c r="C35" s="68" t="str">
        <f>Datos!C34</f>
        <v>Garras</v>
      </c>
      <c r="D35" s="69" t="str">
        <f>Datos!D34</f>
        <v>Repaso de callos</v>
      </c>
      <c r="E35" s="69" t="str">
        <f>Datos!F34</f>
        <v>04:05 - 12:25 / 12:15 A 21:45</v>
      </c>
      <c r="F35" s="69" t="str">
        <f>Datos!G34</f>
        <v>N/A</v>
      </c>
      <c r="G35" s="69">
        <f>Datos!H34</f>
        <v>2</v>
      </c>
      <c r="H35" s="69">
        <f>Datos!I34</f>
        <v>23</v>
      </c>
      <c r="I35" s="69">
        <f>Datos!J34</f>
        <v>17</v>
      </c>
      <c r="J35" s="6" t="s">
        <v>65</v>
      </c>
      <c r="K35" s="6" t="s">
        <v>87</v>
      </c>
      <c r="L35" s="6" t="s">
        <v>87</v>
      </c>
      <c r="M35" s="6" t="s">
        <v>87</v>
      </c>
      <c r="N35" s="6" t="s">
        <v>87</v>
      </c>
      <c r="O35" s="6" t="s">
        <v>87</v>
      </c>
      <c r="P35" s="6" t="s">
        <v>87</v>
      </c>
      <c r="Q35" s="6" t="str">
        <f t="shared" si="0"/>
        <v>Aplicar identificación avanzada-condición aceptable para cada tipo de factor de riesgo identificado</v>
      </c>
    </row>
    <row r="36" spans="1:17" ht="42.75">
      <c r="A36" s="68">
        <f>Datos!A35</f>
        <v>34</v>
      </c>
      <c r="B36" s="68" t="str">
        <f>Datos!B35</f>
        <v>Faenación</v>
      </c>
      <c r="C36" s="68" t="str">
        <f>Datos!C35</f>
        <v>Garras</v>
      </c>
      <c r="D36" s="69" t="str">
        <f>Datos!D35</f>
        <v>Traslado de Garra Larga</v>
      </c>
      <c r="E36" s="69" t="str">
        <f>Datos!F35</f>
        <v>04:05 - 12:25 / 12:15 A 21:45</v>
      </c>
      <c r="F36" s="69" t="str">
        <f>Datos!G35</f>
        <v>N/A</v>
      </c>
      <c r="G36" s="69">
        <f>Datos!H35</f>
        <v>2</v>
      </c>
      <c r="H36" s="69">
        <f>Datos!I35</f>
        <v>23</v>
      </c>
      <c r="I36" s="69">
        <f>Datos!J35</f>
        <v>17</v>
      </c>
      <c r="J36" s="6" t="s">
        <v>87</v>
      </c>
      <c r="K36" s="6" t="s">
        <v>87</v>
      </c>
      <c r="L36" s="6" t="s">
        <v>65</v>
      </c>
      <c r="M36" s="6" t="s">
        <v>87</v>
      </c>
      <c r="N36" s="6" t="s">
        <v>87</v>
      </c>
      <c r="O36" s="6" t="s">
        <v>87</v>
      </c>
      <c r="P36" s="6" t="s">
        <v>87</v>
      </c>
      <c r="Q36" s="6" t="str">
        <f t="shared" si="0"/>
        <v>Aplicar identificación avanzada-condición aceptable para cada tipo de factor de riesgo identificado</v>
      </c>
    </row>
    <row r="37" spans="1:17" ht="42.75">
      <c r="A37" s="68">
        <f>Datos!A36</f>
        <v>35</v>
      </c>
      <c r="B37" s="68" t="str">
        <f>Datos!B36</f>
        <v>Faenación</v>
      </c>
      <c r="C37" s="68" t="str">
        <f>Datos!C36</f>
        <v>Garras</v>
      </c>
      <c r="D37" s="69" t="str">
        <f>Datos!D36</f>
        <v>Seleccionador de garra</v>
      </c>
      <c r="E37" s="69" t="str">
        <f>Datos!F36</f>
        <v>04:05 - 12:25 / 12:15 A 21:45</v>
      </c>
      <c r="F37" s="69" t="str">
        <f>Datos!G36</f>
        <v>N/A</v>
      </c>
      <c r="G37" s="69">
        <f>Datos!H36</f>
        <v>2</v>
      </c>
      <c r="H37" s="69">
        <f>Datos!I36</f>
        <v>23</v>
      </c>
      <c r="I37" s="69">
        <f>Datos!J36</f>
        <v>17</v>
      </c>
      <c r="J37" s="6" t="s">
        <v>65</v>
      </c>
      <c r="K37" s="6" t="s">
        <v>87</v>
      </c>
      <c r="L37" s="6" t="s">
        <v>87</v>
      </c>
      <c r="M37" s="6" t="s">
        <v>87</v>
      </c>
      <c r="N37" s="6" t="s">
        <v>87</v>
      </c>
      <c r="O37" s="6" t="s">
        <v>87</v>
      </c>
      <c r="P37" s="6" t="s">
        <v>87</v>
      </c>
      <c r="Q37" s="6" t="str">
        <f t="shared" si="0"/>
        <v>Aplicar identificación avanzada-condición aceptable para cada tipo de factor de riesgo identificado</v>
      </c>
    </row>
    <row r="38" spans="1:17" ht="42.75">
      <c r="A38" s="68">
        <f>Datos!A37</f>
        <v>36</v>
      </c>
      <c r="B38" s="68" t="str">
        <f>Datos!B37</f>
        <v>Faenación</v>
      </c>
      <c r="C38" s="68" t="str">
        <f>Datos!C37</f>
        <v>Garras</v>
      </c>
      <c r="D38" s="69" t="str">
        <f>Datos!D37</f>
        <v>Embalando garras</v>
      </c>
      <c r="E38" s="69" t="str">
        <f>Datos!F37</f>
        <v>04:05 - 12:25 / 12:15 A 21:45</v>
      </c>
      <c r="F38" s="69" t="str">
        <f>Datos!G37</f>
        <v>N/A</v>
      </c>
      <c r="G38" s="69">
        <f>Datos!H37</f>
        <v>2</v>
      </c>
      <c r="H38" s="69">
        <f>Datos!I37</f>
        <v>23</v>
      </c>
      <c r="I38" s="69">
        <f>Datos!J37</f>
        <v>17</v>
      </c>
      <c r="J38" s="6" t="s">
        <v>65</v>
      </c>
      <c r="K38" s="6" t="s">
        <v>87</v>
      </c>
      <c r="L38" s="6" t="s">
        <v>87</v>
      </c>
      <c r="M38" s="6" t="s">
        <v>87</v>
      </c>
      <c r="N38" s="6" t="s">
        <v>87</v>
      </c>
      <c r="O38" s="6" t="s">
        <v>87</v>
      </c>
      <c r="P38" s="6" t="s">
        <v>87</v>
      </c>
      <c r="Q38" s="6" t="str">
        <f t="shared" si="0"/>
        <v>Aplicar identificación avanzada-condición aceptable para cada tipo de factor de riesgo identificado</v>
      </c>
    </row>
    <row r="39" spans="1:17" ht="42.75">
      <c r="A39" s="68">
        <f>Datos!A38</f>
        <v>37</v>
      </c>
      <c r="B39" s="68" t="str">
        <f>Datos!B38</f>
        <v>Faenación</v>
      </c>
      <c r="C39" s="68" t="str">
        <f>Datos!C38</f>
        <v>Garras</v>
      </c>
      <c r="D39" s="69" t="str">
        <f>Datos!D38</f>
        <v>Cortadora de garra larga</v>
      </c>
      <c r="E39" s="69" t="str">
        <f>Datos!F38</f>
        <v>04:05 - 12:25 / 12:15 A 21:45</v>
      </c>
      <c r="F39" s="69" t="str">
        <f>Datos!G38</f>
        <v>N/A</v>
      </c>
      <c r="G39" s="69">
        <f>Datos!H38</f>
        <v>2</v>
      </c>
      <c r="H39" s="69">
        <f>Datos!I38</f>
        <v>23</v>
      </c>
      <c r="I39" s="69">
        <f>Datos!J38</f>
        <v>17</v>
      </c>
      <c r="J39" s="6" t="s">
        <v>65</v>
      </c>
      <c r="K39" s="6" t="s">
        <v>87</v>
      </c>
      <c r="L39" s="6" t="s">
        <v>87</v>
      </c>
      <c r="M39" s="6" t="s">
        <v>87</v>
      </c>
      <c r="N39" s="6" t="s">
        <v>87</v>
      </c>
      <c r="O39" s="6" t="s">
        <v>87</v>
      </c>
      <c r="P39" s="6" t="s">
        <v>87</v>
      </c>
      <c r="Q39" s="6" t="str">
        <f t="shared" si="0"/>
        <v>Aplicar identificación avanzada-condición aceptable para cada tipo de factor de riesgo identificado</v>
      </c>
    </row>
    <row r="40" spans="1:17" ht="30">
      <c r="A40" s="68">
        <f>Datos!A39</f>
        <v>38</v>
      </c>
      <c r="B40" s="68" t="str">
        <f>Datos!B39</f>
        <v>Faenación</v>
      </c>
      <c r="C40" s="68" t="str">
        <f>Datos!C39</f>
        <v>Garras</v>
      </c>
      <c r="D40" s="69" t="str">
        <f>Datos!D39</f>
        <v>Etiquetado en mesa de embalaje</v>
      </c>
      <c r="E40" s="69" t="str">
        <f>Datos!F39</f>
        <v>04:05 - 12:25 / 12:15 A 21:45</v>
      </c>
      <c r="F40" s="69" t="str">
        <f>Datos!G39</f>
        <v>N/A</v>
      </c>
      <c r="G40" s="69">
        <f>Datos!H39</f>
        <v>2</v>
      </c>
      <c r="H40" s="69">
        <f>Datos!I39</f>
        <v>23</v>
      </c>
      <c r="I40" s="69">
        <f>Datos!J39</f>
        <v>17</v>
      </c>
      <c r="J40" s="6" t="s">
        <v>87</v>
      </c>
      <c r="K40" s="6" t="s">
        <v>87</v>
      </c>
      <c r="L40" s="6" t="s">
        <v>87</v>
      </c>
      <c r="M40" s="6" t="s">
        <v>87</v>
      </c>
      <c r="N40" s="6" t="s">
        <v>87</v>
      </c>
      <c r="O40" s="6" t="s">
        <v>87</v>
      </c>
      <c r="P40" s="6" t="s">
        <v>87</v>
      </c>
      <c r="Q40" s="6" t="str">
        <f t="shared" si="0"/>
        <v>Ausencia total del riesgo, reevaluar cada 3 años con nueva identificación inicial</v>
      </c>
    </row>
    <row r="41" spans="1:17" ht="42.75">
      <c r="A41" s="68">
        <f>Datos!A40</f>
        <v>39</v>
      </c>
      <c r="B41" s="68" t="str">
        <f>Datos!B40</f>
        <v>Faenación</v>
      </c>
      <c r="C41" s="68" t="str">
        <f>Datos!C40</f>
        <v>Garras</v>
      </c>
      <c r="D41" s="69" t="str">
        <f>Datos!D40</f>
        <v>Nudillos</v>
      </c>
      <c r="E41" s="69" t="str">
        <f>Datos!F40</f>
        <v>04:05 - 12:25 / 12:15 A 21:45</v>
      </c>
      <c r="F41" s="69" t="str">
        <f>Datos!G40</f>
        <v>N/A</v>
      </c>
      <c r="G41" s="69">
        <f>Datos!H40</f>
        <v>2</v>
      </c>
      <c r="H41" s="69">
        <f>Datos!I40</f>
        <v>23</v>
      </c>
      <c r="I41" s="69">
        <f>Datos!J40</f>
        <v>17</v>
      </c>
      <c r="J41" s="6" t="s">
        <v>65</v>
      </c>
      <c r="K41" s="6" t="s">
        <v>87</v>
      </c>
      <c r="L41" s="6" t="s">
        <v>87</v>
      </c>
      <c r="M41" s="6" t="s">
        <v>87</v>
      </c>
      <c r="N41" s="6" t="s">
        <v>87</v>
      </c>
      <c r="O41" s="6" t="s">
        <v>87</v>
      </c>
      <c r="P41" s="6" t="s">
        <v>87</v>
      </c>
      <c r="Q41" s="6" t="str">
        <f t="shared" si="0"/>
        <v>Aplicar identificación avanzada-condición aceptable para cada tipo de factor de riesgo identificado</v>
      </c>
    </row>
    <row r="42" spans="1:17" ht="42.75">
      <c r="A42" s="68">
        <f>Datos!A41</f>
        <v>40</v>
      </c>
      <c r="B42" s="68" t="str">
        <f>Datos!B41</f>
        <v>Faenación</v>
      </c>
      <c r="C42" s="68" t="str">
        <f>Datos!C41</f>
        <v>Garras</v>
      </c>
      <c r="D42" s="69" t="str">
        <f>Datos!D41</f>
        <v>Pesador de nudillos</v>
      </c>
      <c r="E42" s="69" t="str">
        <f>Datos!F41</f>
        <v>04:05 - 12:25 / 12:15 A 21:45</v>
      </c>
      <c r="F42" s="69" t="str">
        <f>Datos!G41</f>
        <v>N/A</v>
      </c>
      <c r="G42" s="69">
        <f>Datos!H41</f>
        <v>2</v>
      </c>
      <c r="H42" s="69">
        <f>Datos!I41</f>
        <v>23</v>
      </c>
      <c r="I42" s="69">
        <f>Datos!J41</f>
        <v>17</v>
      </c>
      <c r="J42" s="6" t="s">
        <v>65</v>
      </c>
      <c r="K42" s="6" t="s">
        <v>87</v>
      </c>
      <c r="L42" s="6" t="s">
        <v>65</v>
      </c>
      <c r="M42" s="6" t="s">
        <v>87</v>
      </c>
      <c r="N42" s="6" t="s">
        <v>87</v>
      </c>
      <c r="O42" s="6" t="s">
        <v>87</v>
      </c>
      <c r="P42" s="6" t="s">
        <v>87</v>
      </c>
      <c r="Q42" s="6" t="str">
        <f t="shared" si="0"/>
        <v>Aplicar identificación avanzada-condición aceptable para cada tipo de factor de riesgo identificado</v>
      </c>
    </row>
    <row r="43" spans="1:17" ht="30">
      <c r="A43" s="68">
        <f>Datos!A42</f>
        <v>41</v>
      </c>
      <c r="B43" s="68" t="str">
        <f>Datos!B42</f>
        <v>Faenación</v>
      </c>
      <c r="C43" s="68" t="str">
        <f>Datos!C42</f>
        <v>Garras</v>
      </c>
      <c r="D43" s="69" t="str">
        <f>Datos!D42</f>
        <v>Maquinista Garras</v>
      </c>
      <c r="E43" s="69" t="str">
        <f>Datos!F42</f>
        <v>04:05 - 12:25 / 12:15 A 21:45</v>
      </c>
      <c r="F43" s="69" t="str">
        <f>Datos!G42</f>
        <v>N/A</v>
      </c>
      <c r="G43" s="69">
        <f>Datos!H42</f>
        <v>2</v>
      </c>
      <c r="H43" s="69">
        <f>Datos!I42</f>
        <v>23</v>
      </c>
      <c r="I43" s="69">
        <f>Datos!J42</f>
        <v>17</v>
      </c>
      <c r="J43" s="6" t="s">
        <v>87</v>
      </c>
      <c r="K43" s="6" t="s">
        <v>87</v>
      </c>
      <c r="L43" s="6" t="s">
        <v>87</v>
      </c>
      <c r="M43" s="6" t="s">
        <v>87</v>
      </c>
      <c r="N43" s="6" t="s">
        <v>87</v>
      </c>
      <c r="O43" s="6" t="s">
        <v>87</v>
      </c>
      <c r="P43" s="6" t="s">
        <v>87</v>
      </c>
      <c r="Q43" s="6" t="str">
        <f t="shared" si="0"/>
        <v>Ausencia total del riesgo, reevaluar cada 3 años con nueva identificación inicial</v>
      </c>
    </row>
    <row r="44" spans="1:17" ht="30">
      <c r="A44" s="68">
        <f>Datos!A43</f>
        <v>42</v>
      </c>
      <c r="B44" s="68" t="str">
        <f>Datos!B43</f>
        <v>Faenación</v>
      </c>
      <c r="C44" s="68" t="str">
        <f>Datos!C43</f>
        <v>Garras</v>
      </c>
      <c r="D44" s="69" t="str">
        <f>Datos!D43</f>
        <v xml:space="preserve">Jefe de Línea </v>
      </c>
      <c r="E44" s="69" t="str">
        <f>Datos!F43</f>
        <v>04:05 - 12:25 / 12:15 A 21:45</v>
      </c>
      <c r="F44" s="69" t="str">
        <f>Datos!G43</f>
        <v>N/A</v>
      </c>
      <c r="G44" s="69">
        <f>Datos!H43</f>
        <v>2</v>
      </c>
      <c r="H44" s="69">
        <f>Datos!I43</f>
        <v>23</v>
      </c>
      <c r="I44" s="69">
        <f>Datos!J43</f>
        <v>17</v>
      </c>
      <c r="J44" s="6" t="s">
        <v>87</v>
      </c>
      <c r="K44" s="6" t="s">
        <v>87</v>
      </c>
      <c r="L44" s="6" t="s">
        <v>87</v>
      </c>
      <c r="M44" s="6" t="s">
        <v>87</v>
      </c>
      <c r="N44" s="6" t="s">
        <v>87</v>
      </c>
      <c r="O44" s="6" t="s">
        <v>87</v>
      </c>
      <c r="P44" s="6" t="s">
        <v>87</v>
      </c>
      <c r="Q44" s="6" t="str">
        <f t="shared" si="0"/>
        <v>Ausencia total del riesgo, reevaluar cada 3 años con nueva identificación inicial</v>
      </c>
    </row>
    <row r="45" spans="1:17" ht="42.75">
      <c r="A45" s="68">
        <f>Datos!A44</f>
        <v>43</v>
      </c>
      <c r="B45" s="68" t="str">
        <f>Datos!B44</f>
        <v>Faenación</v>
      </c>
      <c r="C45" s="68" t="str">
        <f>Datos!C44</f>
        <v>Empaque - Chiller</v>
      </c>
      <c r="D45" s="69" t="str">
        <f>Datos!D44</f>
        <v>Colgador aves frias</v>
      </c>
      <c r="E45" s="69" t="str">
        <f>Datos!F44</f>
        <v>05:30-13:50 / 13:50-23:25</v>
      </c>
      <c r="F45" s="69" t="str">
        <f>Datos!G44</f>
        <v>N/A</v>
      </c>
      <c r="G45" s="69">
        <f>Datos!H44</f>
        <v>2</v>
      </c>
      <c r="H45" s="69">
        <f>Datos!I44</f>
        <v>81</v>
      </c>
      <c r="I45" s="69">
        <f>Datos!J44</f>
        <v>0</v>
      </c>
      <c r="J45" s="6" t="s">
        <v>65</v>
      </c>
      <c r="K45" s="6" t="s">
        <v>87</v>
      </c>
      <c r="L45" s="6" t="s">
        <v>87</v>
      </c>
      <c r="M45" s="6" t="s">
        <v>87</v>
      </c>
      <c r="N45" s="6" t="s">
        <v>87</v>
      </c>
      <c r="O45" s="6" t="s">
        <v>87</v>
      </c>
      <c r="P45" s="6" t="s">
        <v>87</v>
      </c>
      <c r="Q45" s="6" t="str">
        <f t="shared" ref="Q45:Q63" si="1">IF(AND(J45="NO",K45="NO",L45="NO",M45="NO",N45="NO",O45="NO",P45="NO"),"Ausencia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6" spans="1:17" ht="42.75">
      <c r="A46" s="68">
        <f>Datos!A45</f>
        <v>44</v>
      </c>
      <c r="B46" s="68" t="str">
        <f>Datos!B45</f>
        <v>Faenación</v>
      </c>
      <c r="C46" s="68" t="str">
        <f>Datos!C45</f>
        <v>Empaque - Chiller</v>
      </c>
      <c r="D46" s="69" t="str">
        <f>Datos!D45</f>
        <v>Embolsador de pana</v>
      </c>
      <c r="E46" s="69" t="str">
        <f>Datos!F45</f>
        <v>05:30-13:50 / 13:50-23:25</v>
      </c>
      <c r="F46" s="69" t="str">
        <f>Datos!G45</f>
        <v>N/A</v>
      </c>
      <c r="G46" s="69">
        <f>Datos!H45</f>
        <v>2</v>
      </c>
      <c r="H46" s="69">
        <f>Datos!I45</f>
        <v>81</v>
      </c>
      <c r="I46" s="69">
        <f>Datos!J45</f>
        <v>3</v>
      </c>
      <c r="J46" s="6" t="s">
        <v>65</v>
      </c>
      <c r="K46" s="6" t="s">
        <v>87</v>
      </c>
      <c r="L46" s="6" t="s">
        <v>87</v>
      </c>
      <c r="M46" s="6" t="s">
        <v>87</v>
      </c>
      <c r="N46" s="6" t="s">
        <v>87</v>
      </c>
      <c r="O46" s="6" t="s">
        <v>87</v>
      </c>
      <c r="P46" s="6" t="s">
        <v>87</v>
      </c>
      <c r="Q46" s="6" t="str">
        <f t="shared" si="1"/>
        <v>Aplicar identificación avanzada-condición aceptable para cada tipo de factor de riesgo identificado</v>
      </c>
    </row>
    <row r="47" spans="1:17" ht="42.75">
      <c r="A47" s="68">
        <f>Datos!A46</f>
        <v>45</v>
      </c>
      <c r="B47" s="68" t="str">
        <f>Datos!B46</f>
        <v>Faenación</v>
      </c>
      <c r="C47" s="68" t="str">
        <f>Datos!C46</f>
        <v>Empaque - Chiller</v>
      </c>
      <c r="D47" s="69" t="str">
        <f>Datos!D46</f>
        <v>Embalador de producto</v>
      </c>
      <c r="E47" s="69" t="str">
        <f>Datos!F46</f>
        <v>05:30-13:50 / 13:50-23:25</v>
      </c>
      <c r="F47" s="69" t="str">
        <f>Datos!G46</f>
        <v>N/A</v>
      </c>
      <c r="G47" s="69">
        <f>Datos!H46</f>
        <v>2</v>
      </c>
      <c r="H47" s="69">
        <f>Datos!I46</f>
        <v>81</v>
      </c>
      <c r="I47" s="69">
        <f>Datos!J46</f>
        <v>3</v>
      </c>
      <c r="J47" s="6" t="s">
        <v>65</v>
      </c>
      <c r="K47" s="6" t="s">
        <v>87</v>
      </c>
      <c r="L47" s="6" t="s">
        <v>87</v>
      </c>
      <c r="M47" s="6" t="s">
        <v>87</v>
      </c>
      <c r="N47" s="6" t="s">
        <v>87</v>
      </c>
      <c r="O47" s="6" t="s">
        <v>87</v>
      </c>
      <c r="P47" s="6" t="s">
        <v>87</v>
      </c>
      <c r="Q47" s="6" t="str">
        <f t="shared" si="1"/>
        <v>Aplicar identificación avanzada-condición aceptable para cada tipo de factor de riesgo identificado</v>
      </c>
    </row>
    <row r="48" spans="1:17" ht="42.75">
      <c r="A48" s="68">
        <f>Datos!A47</f>
        <v>46</v>
      </c>
      <c r="B48" s="68" t="str">
        <f>Datos!B47</f>
        <v>Faenación</v>
      </c>
      <c r="C48" s="68" t="str">
        <f>Datos!C47</f>
        <v>Empaque - Chiller</v>
      </c>
      <c r="D48" s="69" t="str">
        <f>Datos!D47</f>
        <v>Embolsado de corazon</v>
      </c>
      <c r="E48" s="69" t="str">
        <f>Datos!F47</f>
        <v>05:30-13:50 / 13:50-23:25</v>
      </c>
      <c r="F48" s="69" t="str">
        <f>Datos!G47</f>
        <v>N/A</v>
      </c>
      <c r="G48" s="69">
        <f>Datos!H47</f>
        <v>2</v>
      </c>
      <c r="H48" s="69">
        <f>Datos!I47</f>
        <v>81</v>
      </c>
      <c r="I48" s="69">
        <f>Datos!J47</f>
        <v>3</v>
      </c>
      <c r="J48" s="6" t="s">
        <v>65</v>
      </c>
      <c r="K48" s="6" t="s">
        <v>87</v>
      </c>
      <c r="L48" s="6" t="s">
        <v>87</v>
      </c>
      <c r="M48" s="6" t="s">
        <v>87</v>
      </c>
      <c r="N48" s="6" t="s">
        <v>87</v>
      </c>
      <c r="O48" s="6" t="s">
        <v>87</v>
      </c>
      <c r="P48" s="6" t="s">
        <v>87</v>
      </c>
      <c r="Q48" s="6" t="str">
        <f t="shared" si="1"/>
        <v>Aplicar identificación avanzada-condición aceptable para cada tipo de factor de riesgo identificado</v>
      </c>
    </row>
    <row r="49" spans="1:17" ht="42.75">
      <c r="A49" s="68">
        <f>Datos!A48</f>
        <v>47</v>
      </c>
      <c r="B49" s="68" t="str">
        <f>Datos!B48</f>
        <v>Faenación</v>
      </c>
      <c r="C49" s="68" t="str">
        <f>Datos!C48</f>
        <v>Empaque - Chiller</v>
      </c>
      <c r="D49" s="69" t="str">
        <f>Datos!D48</f>
        <v>Pesador de corazon</v>
      </c>
      <c r="E49" s="69" t="str">
        <f>Datos!F48</f>
        <v>05:30-13:50 / 13:50-23:25</v>
      </c>
      <c r="F49" s="69" t="str">
        <f>Datos!G48</f>
        <v>N/A</v>
      </c>
      <c r="G49" s="69">
        <f>Datos!H48</f>
        <v>2</v>
      </c>
      <c r="H49" s="69">
        <f>Datos!I48</f>
        <v>81</v>
      </c>
      <c r="I49" s="69">
        <f>Datos!J48</f>
        <v>3</v>
      </c>
      <c r="J49" s="6" t="s">
        <v>65</v>
      </c>
      <c r="K49" s="6" t="s">
        <v>87</v>
      </c>
      <c r="L49" s="6" t="s">
        <v>87</v>
      </c>
      <c r="M49" s="6" t="s">
        <v>87</v>
      </c>
      <c r="N49" s="6" t="s">
        <v>87</v>
      </c>
      <c r="O49" s="6" t="s">
        <v>87</v>
      </c>
      <c r="P49" s="6" t="s">
        <v>87</v>
      </c>
      <c r="Q49" s="6" t="str">
        <f t="shared" si="1"/>
        <v>Aplicar identificación avanzada-condición aceptable para cada tipo de factor de riesgo identificado</v>
      </c>
    </row>
    <row r="50" spans="1:17" ht="42.75">
      <c r="A50" s="68">
        <f>Datos!A49</f>
        <v>48</v>
      </c>
      <c r="B50" s="68" t="str">
        <f>Datos!B49</f>
        <v>Faenación</v>
      </c>
      <c r="C50" s="68" t="str">
        <f>Datos!C49</f>
        <v>Empaque - Chiller</v>
      </c>
      <c r="D50" s="69" t="str">
        <f>Datos!D49</f>
        <v>Selección de corazon</v>
      </c>
      <c r="E50" s="69" t="str">
        <f>Datos!F49</f>
        <v>05:30-13:50 / 13:50-23:25</v>
      </c>
      <c r="F50" s="69" t="str">
        <f>Datos!G49</f>
        <v>N/A</v>
      </c>
      <c r="G50" s="69">
        <f>Datos!H49</f>
        <v>2</v>
      </c>
      <c r="H50" s="69">
        <f>Datos!I49</f>
        <v>81</v>
      </c>
      <c r="I50" s="69">
        <f>Datos!J49</f>
        <v>3</v>
      </c>
      <c r="J50" s="6" t="s">
        <v>87</v>
      </c>
      <c r="K50" s="6" t="s">
        <v>65</v>
      </c>
      <c r="L50" s="6" t="s">
        <v>87</v>
      </c>
      <c r="M50" s="6" t="s">
        <v>87</v>
      </c>
      <c r="N50" s="6" t="s">
        <v>87</v>
      </c>
      <c r="O50" s="6" t="s">
        <v>87</v>
      </c>
      <c r="P50" s="6" t="s">
        <v>87</v>
      </c>
      <c r="Q50" s="6" t="str">
        <f t="shared" si="1"/>
        <v>Aplicar identificación avanzada-condición aceptable para cada tipo de factor de riesgo identificado</v>
      </c>
    </row>
    <row r="51" spans="1:17" ht="42.75">
      <c r="A51" s="68">
        <f>Datos!A50</f>
        <v>49</v>
      </c>
      <c r="B51" s="68" t="str">
        <f>Datos!B50</f>
        <v>Faenación</v>
      </c>
      <c r="C51" s="68" t="str">
        <f>Datos!C50</f>
        <v>Empaque - Chiller</v>
      </c>
      <c r="D51" s="69" t="str">
        <f>Datos!D50</f>
        <v>Embalador de contre</v>
      </c>
      <c r="E51" s="69" t="str">
        <f>Datos!F50</f>
        <v>05:30-13:50 / 13:50-23:25</v>
      </c>
      <c r="F51" s="69" t="str">
        <f>Datos!G50</f>
        <v>N/A</v>
      </c>
      <c r="G51" s="69">
        <f>Datos!H50</f>
        <v>2</v>
      </c>
      <c r="H51" s="69">
        <f>Datos!I50</f>
        <v>81</v>
      </c>
      <c r="I51" s="69">
        <f>Datos!J50</f>
        <v>3</v>
      </c>
      <c r="J51" s="6" t="s">
        <v>65</v>
      </c>
      <c r="K51" s="6" t="s">
        <v>87</v>
      </c>
      <c r="L51" s="6" t="s">
        <v>87</v>
      </c>
      <c r="M51" s="6" t="s">
        <v>87</v>
      </c>
      <c r="N51" s="6" t="s">
        <v>87</v>
      </c>
      <c r="O51" s="6" t="s">
        <v>87</v>
      </c>
      <c r="P51" s="6" t="s">
        <v>87</v>
      </c>
      <c r="Q51" s="6" t="str">
        <f t="shared" si="1"/>
        <v>Aplicar identificación avanzada-condición aceptable para cada tipo de factor de riesgo identificado</v>
      </c>
    </row>
    <row r="52" spans="1:17" ht="42.75">
      <c r="A52" s="68">
        <f>Datos!A51</f>
        <v>50</v>
      </c>
      <c r="B52" s="68" t="str">
        <f>Datos!B51</f>
        <v>Faenación</v>
      </c>
      <c r="C52" s="68" t="str">
        <f>Datos!C51</f>
        <v>Empaque - Chiller</v>
      </c>
      <c r="D52" s="69" t="str">
        <f>Datos!D51</f>
        <v>Limpiador de pana</v>
      </c>
      <c r="E52" s="69" t="str">
        <f>Datos!F51</f>
        <v>05:30-13:50 / 13:50-23:25</v>
      </c>
      <c r="F52" s="69" t="str">
        <f>Datos!G51</f>
        <v>N/A</v>
      </c>
      <c r="G52" s="69">
        <f>Datos!H51</f>
        <v>2</v>
      </c>
      <c r="H52" s="69">
        <f>Datos!I51</f>
        <v>81</v>
      </c>
      <c r="I52" s="69">
        <f>Datos!J51</f>
        <v>3</v>
      </c>
      <c r="J52" s="6" t="s">
        <v>65</v>
      </c>
      <c r="K52" s="6" t="s">
        <v>87</v>
      </c>
      <c r="L52" s="6" t="s">
        <v>87</v>
      </c>
      <c r="M52" s="6" t="s">
        <v>87</v>
      </c>
      <c r="N52" s="6" t="s">
        <v>87</v>
      </c>
      <c r="O52" s="6" t="s">
        <v>87</v>
      </c>
      <c r="P52" s="6" t="s">
        <v>87</v>
      </c>
      <c r="Q52" s="6" t="str">
        <f t="shared" si="1"/>
        <v>Aplicar identificación avanzada-condición aceptable para cada tipo de factor de riesgo identificado</v>
      </c>
    </row>
    <row r="53" spans="1:17" ht="42.75">
      <c r="A53" s="68">
        <f>Datos!A52</f>
        <v>51</v>
      </c>
      <c r="B53" s="68" t="str">
        <f>Datos!B52</f>
        <v>Faenación</v>
      </c>
      <c r="C53" s="68" t="str">
        <f>Datos!C52</f>
        <v>Empaque - Chiller</v>
      </c>
      <c r="D53" s="69" t="str">
        <f>Datos!D52</f>
        <v>Embolsador de contre</v>
      </c>
      <c r="E53" s="69" t="str">
        <f>Datos!F52</f>
        <v>05:30-13:50 / 13:50-23:25</v>
      </c>
      <c r="F53" s="69" t="str">
        <f>Datos!G52</f>
        <v>N/A</v>
      </c>
      <c r="G53" s="69">
        <f>Datos!H52</f>
        <v>2</v>
      </c>
      <c r="H53" s="69">
        <f>Datos!I52</f>
        <v>81</v>
      </c>
      <c r="I53" s="69">
        <f>Datos!J52</f>
        <v>3</v>
      </c>
      <c r="J53" s="6" t="s">
        <v>65</v>
      </c>
      <c r="K53" s="6" t="s">
        <v>87</v>
      </c>
      <c r="L53" s="6" t="s">
        <v>87</v>
      </c>
      <c r="M53" s="6" t="s">
        <v>87</v>
      </c>
      <c r="N53" s="6" t="s">
        <v>87</v>
      </c>
      <c r="O53" s="6" t="s">
        <v>87</v>
      </c>
      <c r="P53" s="6" t="s">
        <v>87</v>
      </c>
      <c r="Q53" s="6" t="str">
        <f t="shared" si="1"/>
        <v>Aplicar identificación avanzada-condición aceptable para cada tipo de factor de riesgo identificado</v>
      </c>
    </row>
    <row r="54" spans="1:17" ht="42.75">
      <c r="A54" s="68">
        <f>Datos!A53</f>
        <v>52</v>
      </c>
      <c r="B54" s="68" t="str">
        <f>Datos!B53</f>
        <v>Faenación</v>
      </c>
      <c r="C54" s="68" t="str">
        <f>Datos!C53</f>
        <v>Empaque - Chiller</v>
      </c>
      <c r="D54" s="69" t="str">
        <f>Datos!D53</f>
        <v>Embalador de Pana</v>
      </c>
      <c r="E54" s="69" t="str">
        <f>Datos!F53</f>
        <v>05:30-13:50 / 13:50-23:25</v>
      </c>
      <c r="F54" s="69" t="str">
        <f>Datos!G53</f>
        <v>N/A</v>
      </c>
      <c r="G54" s="69">
        <f>Datos!H53</f>
        <v>2</v>
      </c>
      <c r="H54" s="69">
        <f>Datos!I53</f>
        <v>81</v>
      </c>
      <c r="I54" s="69">
        <f>Datos!J53</f>
        <v>3</v>
      </c>
      <c r="J54" s="6" t="s">
        <v>65</v>
      </c>
      <c r="K54" s="6" t="s">
        <v>87</v>
      </c>
      <c r="L54" s="6" t="s">
        <v>87</v>
      </c>
      <c r="M54" s="6" t="s">
        <v>87</v>
      </c>
      <c r="N54" s="6" t="s">
        <v>87</v>
      </c>
      <c r="O54" s="6" t="s">
        <v>87</v>
      </c>
      <c r="P54" s="6" t="s">
        <v>87</v>
      </c>
      <c r="Q54" s="6" t="str">
        <f t="shared" si="1"/>
        <v>Aplicar identificación avanzada-condición aceptable para cada tipo de factor de riesgo identificado</v>
      </c>
    </row>
    <row r="55" spans="1:17" ht="42.75">
      <c r="A55" s="68">
        <f>Datos!A54</f>
        <v>53</v>
      </c>
      <c r="B55" s="68" t="str">
        <f>Datos!B54</f>
        <v>Faenación</v>
      </c>
      <c r="C55" s="68" t="str">
        <f>Datos!C54</f>
        <v>Empaque - Chiller</v>
      </c>
      <c r="D55" s="69" t="str">
        <f>Datos!D54</f>
        <v>Selección de Contre</v>
      </c>
      <c r="E55" s="69" t="str">
        <f>Datos!F54</f>
        <v>05:30-13:50 / 13:50-23:25</v>
      </c>
      <c r="F55" s="69" t="str">
        <f>Datos!G54</f>
        <v>N/A</v>
      </c>
      <c r="G55" s="69">
        <f>Datos!H54</f>
        <v>2</v>
      </c>
      <c r="H55" s="69">
        <f>Datos!I54</f>
        <v>81</v>
      </c>
      <c r="I55" s="69">
        <f>Datos!J54</f>
        <v>3</v>
      </c>
      <c r="J55" s="6" t="s">
        <v>65</v>
      </c>
      <c r="K55" s="6" t="s">
        <v>65</v>
      </c>
      <c r="L55" s="6" t="s">
        <v>87</v>
      </c>
      <c r="M55" s="6" t="s">
        <v>87</v>
      </c>
      <c r="N55" s="6" t="s">
        <v>87</v>
      </c>
      <c r="O55" s="6" t="s">
        <v>87</v>
      </c>
      <c r="P55" s="6" t="s">
        <v>87</v>
      </c>
      <c r="Q55" s="6" t="str">
        <f t="shared" si="1"/>
        <v>Aplicar identificación avanzada-condición aceptable para cada tipo de factor de riesgo identificado</v>
      </c>
    </row>
    <row r="56" spans="1:17" ht="30">
      <c r="A56" s="68">
        <f>Datos!A55</f>
        <v>54</v>
      </c>
      <c r="B56" s="68" t="str">
        <f>Datos!B55</f>
        <v>Faenación</v>
      </c>
      <c r="C56" s="68" t="str">
        <f>Datos!C55</f>
        <v>Empaque - Chiller</v>
      </c>
      <c r="D56" s="69" t="str">
        <f>Datos!D55</f>
        <v>Maquinista chiller</v>
      </c>
      <c r="E56" s="69" t="str">
        <f>Datos!F55</f>
        <v>05:30-13:50 / 13:50-23:25</v>
      </c>
      <c r="F56" s="69" t="str">
        <f>Datos!G55</f>
        <v>N/A</v>
      </c>
      <c r="G56" s="69">
        <f>Datos!H55</f>
        <v>2</v>
      </c>
      <c r="H56" s="69">
        <f>Datos!I55</f>
        <v>81</v>
      </c>
      <c r="I56" s="69">
        <f>Datos!J55</f>
        <v>0</v>
      </c>
      <c r="J56" s="6" t="s">
        <v>87</v>
      </c>
      <c r="K56" s="6" t="s">
        <v>87</v>
      </c>
      <c r="L56" s="6" t="s">
        <v>87</v>
      </c>
      <c r="M56" s="6" t="s">
        <v>87</v>
      </c>
      <c r="N56" s="6" t="s">
        <v>87</v>
      </c>
      <c r="O56" s="6" t="s">
        <v>87</v>
      </c>
      <c r="P56" s="6" t="s">
        <v>87</v>
      </c>
      <c r="Q56" s="6" t="str">
        <f t="shared" si="1"/>
        <v>Ausencia total del riesgo, reevaluar cada 3 años con nueva identificación inicial</v>
      </c>
    </row>
    <row r="57" spans="1:17" ht="42.75">
      <c r="A57" s="68">
        <f>Datos!A56</f>
        <v>55</v>
      </c>
      <c r="B57" s="68" t="str">
        <f>Datos!B56</f>
        <v>Faenación</v>
      </c>
      <c r="C57" s="68" t="str">
        <f>Datos!C56</f>
        <v>Empaque - Chiller</v>
      </c>
      <c r="D57" s="69" t="str">
        <f>Datos!D56</f>
        <v>Corchetera</v>
      </c>
      <c r="E57" s="69" t="str">
        <f>Datos!F56</f>
        <v>05:30-13:50 / 13:50-23:25</v>
      </c>
      <c r="F57" s="69" t="str">
        <f>Datos!G56</f>
        <v>N/A</v>
      </c>
      <c r="G57" s="69">
        <f>Datos!H56</f>
        <v>2</v>
      </c>
      <c r="H57" s="69">
        <f>Datos!I56</f>
        <v>81</v>
      </c>
      <c r="I57" s="69">
        <f>Datos!J56</f>
        <v>3</v>
      </c>
      <c r="J57" s="6" t="s">
        <v>65</v>
      </c>
      <c r="K57" s="6" t="s">
        <v>87</v>
      </c>
      <c r="L57" s="6" t="s">
        <v>87</v>
      </c>
      <c r="M57" s="6" t="s">
        <v>87</v>
      </c>
      <c r="N57" s="6" t="s">
        <v>87</v>
      </c>
      <c r="O57" s="6" t="s">
        <v>87</v>
      </c>
      <c r="P57" s="6" t="s">
        <v>87</v>
      </c>
      <c r="Q57" s="6" t="str">
        <f t="shared" si="1"/>
        <v>Aplicar identificación avanzada-condición aceptable para cada tipo de factor de riesgo identificado</v>
      </c>
    </row>
    <row r="58" spans="1:17" ht="42.75">
      <c r="A58" s="68">
        <f>Datos!A57</f>
        <v>56</v>
      </c>
      <c r="B58" s="68" t="str">
        <f>Datos!B57</f>
        <v>Faenación</v>
      </c>
      <c r="C58" s="68" t="str">
        <f>Datos!C57</f>
        <v>Empaque - Chiller</v>
      </c>
      <c r="D58" s="69" t="str">
        <f>Datos!D57</f>
        <v>Pesador menudencia</v>
      </c>
      <c r="E58" s="69" t="str">
        <f>Datos!F57</f>
        <v>05:30-13:50 / 13:50-23:25</v>
      </c>
      <c r="F58" s="69" t="str">
        <f>Datos!G57</f>
        <v>N/A</v>
      </c>
      <c r="G58" s="69">
        <f>Datos!H57</f>
        <v>2</v>
      </c>
      <c r="H58" s="69">
        <f>Datos!I57</f>
        <v>81</v>
      </c>
      <c r="I58" s="69">
        <f>Datos!J57</f>
        <v>3</v>
      </c>
      <c r="J58" s="6" t="s">
        <v>65</v>
      </c>
      <c r="K58" s="6" t="s">
        <v>87</v>
      </c>
      <c r="L58" s="6" t="s">
        <v>87</v>
      </c>
      <c r="M58" s="6" t="s">
        <v>87</v>
      </c>
      <c r="N58" s="6" t="s">
        <v>87</v>
      </c>
      <c r="O58" s="6" t="s">
        <v>87</v>
      </c>
      <c r="P58" s="6" t="s">
        <v>87</v>
      </c>
      <c r="Q58" s="6" t="str">
        <f t="shared" si="1"/>
        <v>Aplicar identificación avanzada-condición aceptable para cada tipo de factor de riesgo identificado</v>
      </c>
    </row>
    <row r="59" spans="1:17" ht="30">
      <c r="A59" s="68">
        <f>Datos!A58</f>
        <v>57</v>
      </c>
      <c r="B59" s="68" t="str">
        <f>Datos!B58</f>
        <v>Faenación</v>
      </c>
      <c r="C59" s="68" t="str">
        <f>Datos!C58</f>
        <v>Empaque - Chiller</v>
      </c>
      <c r="D59" s="69" t="str">
        <f>Datos!D58</f>
        <v>Encargado de registro</v>
      </c>
      <c r="E59" s="69" t="str">
        <f>Datos!F58</f>
        <v>05:30-13:50 / 13:50-23:25</v>
      </c>
      <c r="F59" s="69" t="str">
        <f>Datos!G58</f>
        <v>N/A</v>
      </c>
      <c r="G59" s="69">
        <f>Datos!H58</f>
        <v>2</v>
      </c>
      <c r="H59" s="69">
        <f>Datos!I58</f>
        <v>81</v>
      </c>
      <c r="I59" s="69">
        <f>Datos!J58</f>
        <v>3</v>
      </c>
      <c r="J59" s="6" t="s">
        <v>87</v>
      </c>
      <c r="K59" s="6" t="s">
        <v>87</v>
      </c>
      <c r="L59" s="6" t="s">
        <v>87</v>
      </c>
      <c r="M59" s="6" t="s">
        <v>87</v>
      </c>
      <c r="N59" s="6" t="s">
        <v>87</v>
      </c>
      <c r="O59" s="6" t="s">
        <v>87</v>
      </c>
      <c r="P59" s="6" t="s">
        <v>87</v>
      </c>
      <c r="Q59" s="6" t="str">
        <f t="shared" si="1"/>
        <v>Ausencia total del riesgo, reevaluar cada 3 años con nueva identificación inicial</v>
      </c>
    </row>
    <row r="60" spans="1:17" ht="42.75">
      <c r="A60" s="68">
        <f>Datos!A59</f>
        <v>58</v>
      </c>
      <c r="B60" s="68" t="str">
        <f>Datos!B59</f>
        <v>Faenación</v>
      </c>
      <c r="C60" s="68" t="str">
        <f>Datos!C59</f>
        <v>Empaque - Chiller</v>
      </c>
      <c r="D60" s="69" t="str">
        <f>Datos!D59</f>
        <v>Fechado</v>
      </c>
      <c r="E60" s="69" t="str">
        <f>Datos!F59</f>
        <v>05:30-13:50 / 13:50-23:25</v>
      </c>
      <c r="F60" s="69" t="str">
        <f>Datos!G59</f>
        <v>N/A</v>
      </c>
      <c r="G60" s="69">
        <f>Datos!H59</f>
        <v>2</v>
      </c>
      <c r="H60" s="69">
        <f>Datos!I59</f>
        <v>81</v>
      </c>
      <c r="I60" s="69">
        <f>Datos!J59</f>
        <v>3</v>
      </c>
      <c r="J60" s="6" t="s">
        <v>65</v>
      </c>
      <c r="K60" s="6" t="s">
        <v>87</v>
      </c>
      <c r="L60" s="6" t="s">
        <v>87</v>
      </c>
      <c r="M60" s="6" t="s">
        <v>87</v>
      </c>
      <c r="N60" s="6" t="s">
        <v>87</v>
      </c>
      <c r="O60" s="6" t="s">
        <v>87</v>
      </c>
      <c r="P60" s="6" t="s">
        <v>87</v>
      </c>
      <c r="Q60" s="6" t="str">
        <f t="shared" si="1"/>
        <v>Aplicar identificación avanzada-condición aceptable para cada tipo de factor de riesgo identificado</v>
      </c>
    </row>
    <row r="61" spans="1:17" ht="42.75">
      <c r="A61" s="68">
        <f>Datos!A60</f>
        <v>59</v>
      </c>
      <c r="B61" s="68" t="str">
        <f>Datos!B60</f>
        <v>Faenación</v>
      </c>
      <c r="C61" s="68" t="str">
        <f>Datos!C60</f>
        <v>Empaque - Chiller</v>
      </c>
      <c r="D61" s="69" t="str">
        <f>Datos!D60</f>
        <v>Paletizador</v>
      </c>
      <c r="E61" s="69" t="str">
        <f>Datos!F60</f>
        <v>05:30-13:50 / 13:50-23:25</v>
      </c>
      <c r="F61" s="69" t="str">
        <f>Datos!G60</f>
        <v>N/A</v>
      </c>
      <c r="G61" s="69">
        <f>Datos!H60</f>
        <v>2</v>
      </c>
      <c r="H61" s="69">
        <f>Datos!I60</f>
        <v>81</v>
      </c>
      <c r="I61" s="69">
        <f>Datos!J60</f>
        <v>0</v>
      </c>
      <c r="J61" s="6" t="s">
        <v>65</v>
      </c>
      <c r="K61" s="6" t="s">
        <v>87</v>
      </c>
      <c r="L61" s="6" t="s">
        <v>65</v>
      </c>
      <c r="M61" s="6" t="s">
        <v>87</v>
      </c>
      <c r="N61" s="6" t="s">
        <v>87</v>
      </c>
      <c r="O61" s="6" t="s">
        <v>87</v>
      </c>
      <c r="P61" s="6" t="s">
        <v>87</v>
      </c>
      <c r="Q61" s="6" t="str">
        <f t="shared" si="1"/>
        <v>Aplicar identificación avanzada-condición aceptable para cada tipo de factor de riesgo identificado</v>
      </c>
    </row>
    <row r="62" spans="1:17" ht="30">
      <c r="A62" s="68">
        <f>Datos!A61</f>
        <v>60</v>
      </c>
      <c r="B62" s="68" t="str">
        <f>Datos!B61</f>
        <v>Faenación</v>
      </c>
      <c r="C62" s="68" t="str">
        <f>Datos!C61</f>
        <v>Empaque - Chiller</v>
      </c>
      <c r="D62" s="69" t="str">
        <f>Datos!D61</f>
        <v>Transpaletero</v>
      </c>
      <c r="E62" s="69" t="str">
        <f>Datos!F61</f>
        <v>05:30-13:50 / 13:50-23:25</v>
      </c>
      <c r="F62" s="69" t="str">
        <f>Datos!G61</f>
        <v>N/A</v>
      </c>
      <c r="G62" s="69">
        <f>Datos!H61</f>
        <v>2</v>
      </c>
      <c r="H62" s="69">
        <f>Datos!I61</f>
        <v>81</v>
      </c>
      <c r="I62" s="69">
        <f>Datos!J61</f>
        <v>3</v>
      </c>
      <c r="J62" s="6" t="s">
        <v>87</v>
      </c>
      <c r="K62" s="6" t="s">
        <v>87</v>
      </c>
      <c r="L62" s="6" t="s">
        <v>87</v>
      </c>
      <c r="M62" s="6" t="s">
        <v>87</v>
      </c>
      <c r="N62" s="6" t="s">
        <v>87</v>
      </c>
      <c r="O62" s="6" t="s">
        <v>87</v>
      </c>
      <c r="P62" s="6" t="s">
        <v>87</v>
      </c>
      <c r="Q62" s="6" t="str">
        <f t="shared" si="1"/>
        <v>Ausencia total del riesgo, reevaluar cada 3 años con nueva identificación inicial</v>
      </c>
    </row>
    <row r="63" spans="1:17" ht="30">
      <c r="A63" s="68">
        <f>Datos!A62</f>
        <v>61</v>
      </c>
      <c r="B63" s="68" t="str">
        <f>Datos!B62</f>
        <v>Faenación</v>
      </c>
      <c r="C63" s="68" t="str">
        <f>Datos!C62</f>
        <v>Empaque - Chiller</v>
      </c>
      <c r="D63" s="69" t="str">
        <f>Datos!D62</f>
        <v xml:space="preserve">Jefe de Línea </v>
      </c>
      <c r="E63" s="69" t="str">
        <f>Datos!F62</f>
        <v>05:30-13:50 / 13:50-23:25</v>
      </c>
      <c r="F63" s="69" t="str">
        <f>Datos!G62</f>
        <v>N/A</v>
      </c>
      <c r="G63" s="69">
        <f>Datos!H62</f>
        <v>2</v>
      </c>
      <c r="H63" s="69">
        <f>Datos!I62</f>
        <v>2</v>
      </c>
      <c r="I63" s="69">
        <f>Datos!J62</f>
        <v>0</v>
      </c>
      <c r="J63" s="6" t="s">
        <v>87</v>
      </c>
      <c r="K63" s="6" t="s">
        <v>87</v>
      </c>
      <c r="L63" s="6" t="s">
        <v>87</v>
      </c>
      <c r="M63" s="6" t="s">
        <v>87</v>
      </c>
      <c r="N63" s="6" t="s">
        <v>87</v>
      </c>
      <c r="O63" s="6" t="s">
        <v>87</v>
      </c>
      <c r="P63" s="6" t="s">
        <v>87</v>
      </c>
      <c r="Q63" s="6" t="str">
        <f t="shared" si="1"/>
        <v>Ausencia total del riesgo, reevaluar cada 3 años con nueva identificación inicial</v>
      </c>
    </row>
    <row r="64" spans="1:17" ht="15">
      <c r="A64" s="68">
        <f>Datos!A63</f>
        <v>0</v>
      </c>
      <c r="B64" s="68">
        <f>Datos!B63</f>
        <v>0</v>
      </c>
      <c r="C64" s="68">
        <f>Datos!C63</f>
        <v>0</v>
      </c>
      <c r="D64" s="69">
        <f>Datos!D63</f>
        <v>0</v>
      </c>
      <c r="E64" s="69">
        <f>Datos!F63</f>
        <v>0</v>
      </c>
      <c r="F64" s="69">
        <f>Datos!G63</f>
        <v>0</v>
      </c>
      <c r="G64" s="69">
        <f>Datos!H63</f>
        <v>0</v>
      </c>
      <c r="H64" s="69">
        <f>Datos!I63</f>
        <v>0</v>
      </c>
      <c r="I64" s="69">
        <f>Datos!J63</f>
        <v>0</v>
      </c>
    </row>
  </sheetData>
  <autoFilter ref="A1:Q63" xr:uid="{D8B39275-0DD8-436C-88F7-F23C5AB6D84C}"/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conditionalFormatting sqref="J3:P63">
    <cfRule type="cellIs" dxfId="68" priority="3" operator="equal">
      <formula>"SI"</formula>
    </cfRule>
    <cfRule type="cellIs" dxfId="67" priority="4" operator="equal">
      <formula>"NO"</formula>
    </cfRule>
  </conditionalFormatting>
  <conditionalFormatting sqref="Q3:Q63">
    <cfRule type="cellIs" dxfId="66" priority="1" operator="equal">
      <formula>"Aplicar identificación avanzada-condición aceptable para cada tipo de factor de riesgo identificado"</formula>
    </cfRule>
    <cfRule type="cellIs" dxfId="65" priority="2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63" xr:uid="{070143B6-A02F-4E94-99E6-D443BF1ACD06}">
      <formula1>"SI,NO"</formula1>
    </dataValidation>
  </dataValidations>
  <hyperlinks>
    <hyperlink ref="J1" location="'Mov. Rep.'!A1" display="Trabajo repetitivo de miembros superiores." xr:uid="{5D63E9A7-CFCE-4FFC-93FC-CC2B0EFE8AC9}"/>
    <hyperlink ref="K1" location="'Postura estatica'!A1" display="Postura de trabajo estática" xr:uid="{C66807EA-02CF-4053-8ADF-0BDBCE40EB2E}"/>
    <hyperlink ref="L1" location="'MMC Levantamiento-Descenso'!A1" display="MMC Levantamiento/Descenso" xr:uid="{3314E9DF-861B-465E-A963-1901AF34086F}"/>
    <hyperlink ref="M1" location="'MMC Empuje-Arrastre '!A1" display="MMC Empuje/Arrastre" xr:uid="{5D080139-E4DC-46EF-92DF-355AD50DDCB2}"/>
    <hyperlink ref="N1" location="'Manejo manual PCTS'!A1" display="Manejo manual de pacientes / personas" xr:uid="{E8D9A99A-5009-42AA-BCBB-0679DD48E598}"/>
    <hyperlink ref="O1" location="'Vibración Cuerpo completo'!A1" display="Vibración de cuerpo completo" xr:uid="{A24C6391-9D56-4759-9E5C-7A1B67D3485A}"/>
    <hyperlink ref="P1" location="'Vibración Mano-Brazo'!A1" display="Vibración segmento mano – brazo" xr:uid="{4D536042-2948-4B3C-9E3F-08FD769010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297"/>
  <sheetViews>
    <sheetView tabSelected="1" zoomScaleNormal="100" workbookViewId="0">
      <pane xSplit="4" ySplit="2" topLeftCell="U3" activePane="bottomRight" state="frozen"/>
      <selection pane="topRight" activeCell="E1" sqref="E1"/>
      <selection pane="bottomLeft" activeCell="A3" sqref="A3"/>
      <selection pane="bottomRight" activeCell="D4" sqref="D4"/>
    </sheetView>
  </sheetViews>
  <sheetFormatPr baseColWidth="10" defaultColWidth="11.5" defaultRowHeight="14.25"/>
  <cols>
    <col min="1" max="1" width="3.125" style="62" customWidth="1"/>
    <col min="2" max="3" width="11.5" style="63" customWidth="1"/>
    <col min="4" max="4" width="11.5" style="65"/>
    <col min="5" max="5" width="13.5" style="66" customWidth="1"/>
    <col min="6" max="6" width="11.5" style="63"/>
    <col min="7" max="8" width="11.5" style="64"/>
    <col min="9" max="9" width="11.5" style="67" customWidth="1"/>
    <col min="10" max="10" width="23.375" style="51" customWidth="1"/>
    <col min="11" max="11" width="28.625" style="44" customWidth="1"/>
    <col min="12" max="12" width="32" style="44" customWidth="1"/>
    <col min="13" max="13" width="18.875" style="44" customWidth="1"/>
    <col min="14" max="14" width="18.125" style="44" customWidth="1"/>
    <col min="15" max="15" width="12.125" style="44" customWidth="1"/>
    <col min="16" max="16" width="10.5" style="44" customWidth="1"/>
    <col min="17" max="17" width="22" style="44" customWidth="1"/>
    <col min="18" max="18" width="25.5" style="44" customWidth="1"/>
    <col min="19" max="19" width="20.375" style="44" customWidth="1"/>
    <col min="20" max="20" width="29.375" style="44" customWidth="1"/>
    <col min="21" max="21" width="16.875" style="44" customWidth="1"/>
    <col min="22" max="22" width="17.375" style="44" customWidth="1"/>
    <col min="23" max="28" width="11.5" style="44"/>
    <col min="29" max="29" width="11.5" style="1"/>
  </cols>
  <sheetData>
    <row r="1" spans="1:29" ht="21" customHeight="1" thickBot="1">
      <c r="A1" s="135" t="s">
        <v>314</v>
      </c>
      <c r="B1" s="136"/>
      <c r="C1" s="136"/>
      <c r="D1" s="136"/>
      <c r="E1" s="136"/>
      <c r="F1" s="139" t="s">
        <v>315</v>
      </c>
      <c r="G1" s="139"/>
      <c r="H1" s="139" t="s">
        <v>316</v>
      </c>
      <c r="I1" s="140"/>
      <c r="J1" s="137" t="s">
        <v>317</v>
      </c>
      <c r="K1" s="137"/>
      <c r="L1" s="137"/>
      <c r="M1" s="137"/>
      <c r="N1" s="137"/>
      <c r="O1" s="137"/>
      <c r="P1" s="137"/>
      <c r="Q1" s="138" t="s">
        <v>318</v>
      </c>
      <c r="R1" s="138"/>
      <c r="S1" s="138"/>
      <c r="T1" s="138"/>
      <c r="U1" s="138"/>
      <c r="V1" s="138"/>
      <c r="W1" s="138"/>
      <c r="X1" s="138" t="s">
        <v>319</v>
      </c>
      <c r="Y1" s="138"/>
      <c r="Z1" s="138"/>
      <c r="AA1" s="138"/>
      <c r="AB1" s="138"/>
    </row>
    <row r="2" spans="1:29" ht="88.15" customHeight="1">
      <c r="A2" s="47" t="s">
        <v>35</v>
      </c>
      <c r="B2" s="48" t="s">
        <v>36</v>
      </c>
      <c r="C2" s="48" t="s">
        <v>297</v>
      </c>
      <c r="D2" s="53" t="s">
        <v>38</v>
      </c>
      <c r="E2" s="52" t="s">
        <v>40</v>
      </c>
      <c r="F2" s="48" t="s">
        <v>320</v>
      </c>
      <c r="G2" s="48" t="s">
        <v>321</v>
      </c>
      <c r="H2" s="48" t="s">
        <v>322</v>
      </c>
      <c r="I2" s="49" t="s">
        <v>323</v>
      </c>
      <c r="J2" s="46" t="s">
        <v>324</v>
      </c>
      <c r="K2" s="45" t="s">
        <v>325</v>
      </c>
      <c r="L2" s="45" t="s">
        <v>326</v>
      </c>
      <c r="M2" s="45" t="s">
        <v>327</v>
      </c>
      <c r="N2" s="45" t="s">
        <v>328</v>
      </c>
      <c r="O2" s="45" t="s">
        <v>329</v>
      </c>
      <c r="P2" s="45" t="s">
        <v>330</v>
      </c>
      <c r="Q2" s="45" t="s">
        <v>331</v>
      </c>
      <c r="R2" s="45" t="s">
        <v>332</v>
      </c>
      <c r="S2" s="45" t="s">
        <v>333</v>
      </c>
      <c r="T2" s="45" t="s">
        <v>334</v>
      </c>
      <c r="U2" s="45" t="s">
        <v>335</v>
      </c>
      <c r="V2" s="45" t="s">
        <v>336</v>
      </c>
      <c r="W2" s="45" t="s">
        <v>337</v>
      </c>
      <c r="X2" s="45" t="s">
        <v>338</v>
      </c>
      <c r="Y2" s="45" t="s">
        <v>339</v>
      </c>
      <c r="Z2" s="45" t="s">
        <v>340</v>
      </c>
      <c r="AA2" s="45" t="s">
        <v>341</v>
      </c>
      <c r="AB2" s="45" t="s">
        <v>342</v>
      </c>
      <c r="AC2" s="45" t="s">
        <v>343</v>
      </c>
    </row>
    <row r="3" spans="1:29" s="5" customFormat="1" ht="44.45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IF(Inicial!J3="SI",Inicial!E3,"N/A")</f>
        <v>03:35 a 11:50 - 11:50 a 21:10</v>
      </c>
      <c r="F3" s="59" t="str">
        <f>IF(Inicial!J3="SI",Inicial!F3,"N/A")</f>
        <v>N/A</v>
      </c>
      <c r="G3" s="59">
        <f>IF(Inicial!J3="SI",Inicial!G3,"N/A")</f>
        <v>2</v>
      </c>
      <c r="H3" s="59">
        <f>IF(Inicial!J3="SI",Inicial!H3,"N/A")</f>
        <v>36</v>
      </c>
      <c r="I3" s="61">
        <f>IF(Inicial!J3="SI",Inicial!I3,"N/A")</f>
        <v>0</v>
      </c>
      <c r="J3" s="50" t="s">
        <v>87</v>
      </c>
      <c r="K3" s="6" t="s">
        <v>65</v>
      </c>
      <c r="L3" s="6" t="s">
        <v>65</v>
      </c>
      <c r="M3" s="6" t="s">
        <v>65</v>
      </c>
      <c r="N3" s="6" t="s">
        <v>65</v>
      </c>
      <c r="O3" s="6" t="s">
        <v>65</v>
      </c>
      <c r="P3" s="6" t="str">
        <f>IF(OR(J3="NO",K3="NO",L3="NO",M3="NO",N3="NO",O3="NO"),"No Aceptable","Aceptable")</f>
        <v>No Aceptable</v>
      </c>
      <c r="Q3" s="6" t="s">
        <v>87</v>
      </c>
      <c r="R3" s="6" t="s">
        <v>87</v>
      </c>
      <c r="S3" s="6" t="s">
        <v>87</v>
      </c>
      <c r="T3" s="6" t="s">
        <v>87</v>
      </c>
      <c r="U3" s="6" t="s">
        <v>87</v>
      </c>
      <c r="V3" s="6" t="s">
        <v>65</v>
      </c>
      <c r="W3" s="6" t="str">
        <f>IF(AND(Q3="NO",R3="NO",S3="NO",T3="NO",U3="NO",V3="NO"),"No Critico","Critico")</f>
        <v>Critico</v>
      </c>
      <c r="X3" s="6"/>
      <c r="Y3" s="6" t="s">
        <v>549</v>
      </c>
      <c r="Z3" s="6" t="s">
        <v>551</v>
      </c>
      <c r="AA3" s="6" t="s">
        <v>550</v>
      </c>
      <c r="AB3" s="163">
        <v>46023</v>
      </c>
      <c r="AC3" s="2"/>
    </row>
    <row r="4" spans="1:29" ht="44.45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IF(Inicial!J4="SI",Inicial!E4,"N/A")</f>
        <v>03:35 a 11:50 - 11:50 a 21:11</v>
      </c>
      <c r="F4" s="59" t="str">
        <f>IF(Inicial!J4="SI",Inicial!F4,"N/A")</f>
        <v>N/A</v>
      </c>
      <c r="G4" s="59">
        <f>IF(Inicial!J4="SI",Inicial!G4,"N/A")</f>
        <v>2</v>
      </c>
      <c r="H4" s="59">
        <f>IF(Inicial!J4="SI",Inicial!H4,"N/A")</f>
        <v>36</v>
      </c>
      <c r="I4" s="61">
        <f>IF(Inicial!J4="SI",Inicial!I4,"N/A")</f>
        <v>0</v>
      </c>
      <c r="J4" s="50" t="s">
        <v>87</v>
      </c>
      <c r="K4" s="6" t="s">
        <v>65</v>
      </c>
      <c r="L4" s="6" t="s">
        <v>65</v>
      </c>
      <c r="M4" s="6" t="s">
        <v>65</v>
      </c>
      <c r="N4" s="6" t="s">
        <v>65</v>
      </c>
      <c r="O4" s="6" t="s">
        <v>65</v>
      </c>
      <c r="P4" s="6" t="str">
        <f t="shared" ref="P4:P62" si="0">IF(OR(J4="NO",K4="NO",L4="NO",M4="NO",N4="NO",O4="NO"),"No Aceptable","Aceptable")</f>
        <v>No Aceptable</v>
      </c>
      <c r="Q4" s="6" t="s">
        <v>87</v>
      </c>
      <c r="R4" s="6" t="s">
        <v>87</v>
      </c>
      <c r="S4" s="6" t="s">
        <v>87</v>
      </c>
      <c r="T4" s="6" t="s">
        <v>87</v>
      </c>
      <c r="U4" s="6" t="s">
        <v>87</v>
      </c>
      <c r="V4" s="6" t="s">
        <v>87</v>
      </c>
      <c r="W4" s="6" t="str">
        <f>IF(AND(Q4="NO",R4="NO",S4="NO",T4="NO",U4="NO",V4="NO"),"No Critico","Critico")</f>
        <v>No Critico</v>
      </c>
      <c r="X4" s="164">
        <v>45566</v>
      </c>
    </row>
    <row r="5" spans="1:29" ht="44.45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IF(Inicial!J5="SI",Inicial!E5,"N/A")</f>
        <v>03:35 a 11:50 - 11:50 a 21:12</v>
      </c>
      <c r="F5" s="59" t="str">
        <f>IF(Inicial!J5="SI",Inicial!F5,"N/A")</f>
        <v>N/A</v>
      </c>
      <c r="G5" s="59">
        <f>IF(Inicial!J5="SI",Inicial!G5,"N/A")</f>
        <v>2</v>
      </c>
      <c r="H5" s="59">
        <f>IF(Inicial!J5="SI",Inicial!H5,"N/A")</f>
        <v>36</v>
      </c>
      <c r="I5" s="61">
        <f>IF(Inicial!J5="SI",Inicial!I5,"N/A")</f>
        <v>0</v>
      </c>
      <c r="J5" s="50" t="s">
        <v>65</v>
      </c>
      <c r="K5" s="6" t="s">
        <v>65</v>
      </c>
      <c r="L5" s="6" t="s">
        <v>65</v>
      </c>
      <c r="M5" s="6" t="s">
        <v>65</v>
      </c>
      <c r="N5" s="6" t="s">
        <v>87</v>
      </c>
      <c r="O5" s="6" t="s">
        <v>65</v>
      </c>
      <c r="P5" s="6" t="str">
        <f t="shared" si="0"/>
        <v>No Aceptable</v>
      </c>
      <c r="Q5" s="6" t="s">
        <v>87</v>
      </c>
      <c r="R5" s="6" t="s">
        <v>87</v>
      </c>
      <c r="S5" s="6" t="s">
        <v>87</v>
      </c>
      <c r="T5" s="6" t="s">
        <v>87</v>
      </c>
      <c r="U5" s="6" t="s">
        <v>87</v>
      </c>
      <c r="V5" s="6" t="s">
        <v>87</v>
      </c>
      <c r="W5" s="6" t="str">
        <f>IF(AND(Q5="NO",R5="NO",S5="NO",T5="NO",U5="NO",V5="NO"),"No Critico","Critico")</f>
        <v>No Critico</v>
      </c>
      <c r="X5" s="164">
        <v>45566</v>
      </c>
    </row>
    <row r="6" spans="1:29" ht="25.9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IF(Inicial!J6="SI",Inicial!E6,"N/A")</f>
        <v>N/A</v>
      </c>
      <c r="F6" s="59" t="str">
        <f>IF(Inicial!J6="SI",Inicial!F6,"N/A")</f>
        <v>N/A</v>
      </c>
      <c r="G6" s="59" t="str">
        <f>IF(Inicial!J6="SI",Inicial!G6,"N/A")</f>
        <v>N/A</v>
      </c>
      <c r="H6" s="59" t="str">
        <f>IF(Inicial!J6="SI",Inicial!H6,"N/A")</f>
        <v>N/A</v>
      </c>
      <c r="I6" s="61" t="str">
        <f>IF(Inicial!J6="SI",Inicial!I6,"N/A")</f>
        <v>N/A</v>
      </c>
      <c r="J6" s="50"/>
      <c r="K6" s="6"/>
      <c r="L6" s="6"/>
      <c r="M6" s="6"/>
      <c r="N6" s="6"/>
      <c r="O6" s="6"/>
      <c r="P6" s="6" t="str">
        <f t="shared" si="0"/>
        <v>Aceptable</v>
      </c>
      <c r="Q6" s="6"/>
      <c r="R6" s="6"/>
      <c r="S6" s="6"/>
      <c r="T6" s="6"/>
      <c r="U6" s="6"/>
      <c r="V6" s="6"/>
      <c r="W6" s="6" t="str">
        <f>IF(AND(Q6="NO",R6="NO",S6="NO",T6="NO",U6="NO",V6="NO"),"No Critico","Critico")</f>
        <v>Critico</v>
      </c>
    </row>
    <row r="7" spans="1:29" ht="25.9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IF(Inicial!J7="SI",Inicial!E7,"N/A")</f>
        <v>N/A</v>
      </c>
      <c r="F7" s="59" t="str">
        <f>IF(Inicial!J7="SI",Inicial!F7,"N/A")</f>
        <v>N/A</v>
      </c>
      <c r="G7" s="59" t="str">
        <f>IF(Inicial!J7="SI",Inicial!G7,"N/A")</f>
        <v>N/A</v>
      </c>
      <c r="H7" s="59" t="str">
        <f>IF(Inicial!J7="SI",Inicial!H7,"N/A")</f>
        <v>N/A</v>
      </c>
      <c r="I7" s="61" t="str">
        <f>IF(Inicial!J7="SI",Inicial!I7,"N/A")</f>
        <v>N/A</v>
      </c>
      <c r="J7" s="50"/>
      <c r="K7" s="6"/>
      <c r="L7" s="6"/>
      <c r="M7" s="6"/>
      <c r="N7" s="6"/>
      <c r="O7" s="6"/>
      <c r="P7" s="6" t="str">
        <f t="shared" si="0"/>
        <v>Aceptable</v>
      </c>
      <c r="Q7" s="6"/>
      <c r="R7" s="6"/>
      <c r="S7" s="6"/>
      <c r="T7" s="6"/>
      <c r="U7" s="6"/>
      <c r="V7" s="6"/>
      <c r="W7" s="6" t="str">
        <f t="shared" ref="W7:W63" si="1">IF(AND(Q7="NO",R7="NO",S7="NO",T7="NO",U7="NO",V7="NO"),"No Critico","Critico")</f>
        <v>Critico</v>
      </c>
    </row>
    <row r="8" spans="1:29" ht="25.9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IF(Inicial!J8="SI",Inicial!E8,"N/A")</f>
        <v>N/A</v>
      </c>
      <c r="F8" s="59" t="str">
        <f>IF(Inicial!J8="SI",Inicial!F8,"N/A")</f>
        <v>N/A</v>
      </c>
      <c r="G8" s="59" t="str">
        <f>IF(Inicial!J8="SI",Inicial!G8,"N/A")</f>
        <v>N/A</v>
      </c>
      <c r="H8" s="59" t="str">
        <f>IF(Inicial!J8="SI",Inicial!H8,"N/A")</f>
        <v>N/A</v>
      </c>
      <c r="I8" s="61" t="str">
        <f>IF(Inicial!J8="SI",Inicial!I8,"N/A")</f>
        <v>N/A</v>
      </c>
      <c r="J8" s="50"/>
      <c r="K8" s="6"/>
      <c r="L8" s="6"/>
      <c r="M8" s="6"/>
      <c r="N8" s="6"/>
      <c r="O8" s="6"/>
      <c r="P8" s="6" t="str">
        <f t="shared" si="0"/>
        <v>Aceptable</v>
      </c>
      <c r="Q8" s="6"/>
      <c r="R8" s="6"/>
      <c r="S8" s="6"/>
      <c r="T8" s="6"/>
      <c r="U8" s="6"/>
      <c r="V8" s="6"/>
      <c r="W8" s="6" t="str">
        <f t="shared" si="1"/>
        <v>Critico</v>
      </c>
    </row>
    <row r="9" spans="1:29" ht="25.9" customHeight="1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IF(Inicial!J9="SI",Inicial!E9,"N/A")</f>
        <v>N/A</v>
      </c>
      <c r="F9" s="59" t="str">
        <f>IF(Inicial!J9="SI",Inicial!F9,"N/A")</f>
        <v>N/A</v>
      </c>
      <c r="G9" s="59" t="str">
        <f>IF(Inicial!J9="SI",Inicial!G9,"N/A")</f>
        <v>N/A</v>
      </c>
      <c r="H9" s="59" t="str">
        <f>IF(Inicial!J9="SI",Inicial!H9,"N/A")</f>
        <v>N/A</v>
      </c>
      <c r="I9" s="61" t="str">
        <f>IF(Inicial!J9="SI",Inicial!I9,"N/A")</f>
        <v>N/A</v>
      </c>
      <c r="J9" s="50"/>
      <c r="K9" s="6"/>
      <c r="L9" s="6"/>
      <c r="M9" s="6"/>
      <c r="N9" s="6"/>
      <c r="O9" s="6"/>
      <c r="P9" s="6" t="str">
        <f t="shared" si="0"/>
        <v>Aceptable</v>
      </c>
      <c r="Q9" s="6"/>
      <c r="R9" s="6"/>
      <c r="S9" s="6"/>
      <c r="T9" s="6"/>
      <c r="U9" s="6"/>
      <c r="V9" s="6"/>
      <c r="W9" s="6" t="str">
        <f t="shared" si="1"/>
        <v>Critico</v>
      </c>
    </row>
    <row r="10" spans="1:29" ht="45" customHeight="1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IF(Inicial!J10="SI",Inicial!E10,"N/A")</f>
        <v>N/A</v>
      </c>
      <c r="F10" s="59" t="str">
        <f>IF(Inicial!J10="SI",Inicial!F10,"N/A")</f>
        <v>N/A</v>
      </c>
      <c r="G10" s="59" t="str">
        <f>IF(Inicial!J10="SI",Inicial!G10,"N/A")</f>
        <v>N/A</v>
      </c>
      <c r="H10" s="59" t="str">
        <f>IF(Inicial!J10="SI",Inicial!H10,"N/A")</f>
        <v>N/A</v>
      </c>
      <c r="I10" s="61" t="str">
        <f>IF(Inicial!J10="SI",Inicial!I10,"N/A")</f>
        <v>N/A</v>
      </c>
      <c r="J10" s="50"/>
      <c r="K10" s="6"/>
      <c r="L10" s="6"/>
      <c r="M10" s="6"/>
      <c r="N10" s="6"/>
      <c r="O10" s="6"/>
      <c r="P10" s="6" t="str">
        <f t="shared" si="0"/>
        <v>Aceptable</v>
      </c>
      <c r="Q10" s="6"/>
      <c r="R10" s="6"/>
      <c r="S10" s="6"/>
      <c r="T10" s="6"/>
      <c r="U10" s="6"/>
      <c r="V10" s="6"/>
      <c r="W10" s="6" t="str">
        <f t="shared" si="1"/>
        <v>Critico</v>
      </c>
    </row>
    <row r="11" spans="1:29" ht="45" customHeight="1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IF(Inicial!J11="SI",Inicial!E11,"N/A")</f>
        <v>N/A</v>
      </c>
      <c r="F11" s="59" t="str">
        <f>IF(Inicial!J11="SI",Inicial!F11,"N/A")</f>
        <v>N/A</v>
      </c>
      <c r="G11" s="59" t="str">
        <f>IF(Inicial!J11="SI",Inicial!G11,"N/A")</f>
        <v>N/A</v>
      </c>
      <c r="H11" s="59" t="str">
        <f>IF(Inicial!J11="SI",Inicial!H11,"N/A")</f>
        <v>N/A</v>
      </c>
      <c r="I11" s="61" t="str">
        <f>IF(Inicial!J11="SI",Inicial!I11,"N/A")</f>
        <v>N/A</v>
      </c>
      <c r="J11" s="50"/>
      <c r="K11" s="6"/>
      <c r="L11" s="6"/>
      <c r="M11" s="6"/>
      <c r="N11" s="6"/>
      <c r="O11" s="6"/>
      <c r="P11" s="6" t="str">
        <f t="shared" si="0"/>
        <v>Aceptable</v>
      </c>
      <c r="Q11" s="6"/>
      <c r="R11" s="6"/>
      <c r="S11" s="6"/>
      <c r="T11" s="6"/>
      <c r="U11" s="6"/>
      <c r="V11" s="6"/>
      <c r="W11" s="6" t="str">
        <f t="shared" si="1"/>
        <v>Critico</v>
      </c>
    </row>
    <row r="12" spans="1:29" ht="45" customHeight="1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IF(Inicial!J12="SI",Inicial!E12,"N/A")</f>
        <v>03:30 - 11:50 / 11:50 - 21:15</v>
      </c>
      <c r="F12" s="59" t="str">
        <f>IF(Inicial!J12="SI",Inicial!F12,"N/A")</f>
        <v>N/A</v>
      </c>
      <c r="G12" s="59">
        <f>IF(Inicial!J12="SI",Inicial!G12,"N/A")</f>
        <v>2</v>
      </c>
      <c r="H12" s="59">
        <f>IF(Inicial!J12="SI",Inicial!H12,"N/A")</f>
        <v>8</v>
      </c>
      <c r="I12" s="61">
        <f>IF(Inicial!J12="SI",Inicial!I12,"N/A")</f>
        <v>2</v>
      </c>
      <c r="J12" s="50" t="s">
        <v>87</v>
      </c>
      <c r="K12" s="6" t="s">
        <v>65</v>
      </c>
      <c r="L12" s="6" t="s">
        <v>65</v>
      </c>
      <c r="M12" s="6" t="s">
        <v>65</v>
      </c>
      <c r="N12" s="6" t="s">
        <v>87</v>
      </c>
      <c r="O12" s="6" t="s">
        <v>65</v>
      </c>
      <c r="P12" s="6" t="str">
        <f t="shared" si="0"/>
        <v>No Aceptable</v>
      </c>
      <c r="Q12" s="6" t="s">
        <v>87</v>
      </c>
      <c r="R12" s="6" t="s">
        <v>87</v>
      </c>
      <c r="S12" s="6" t="s">
        <v>87</v>
      </c>
      <c r="T12" s="6" t="s">
        <v>87</v>
      </c>
      <c r="U12" s="6" t="s">
        <v>87</v>
      </c>
      <c r="V12" s="6" t="s">
        <v>87</v>
      </c>
      <c r="W12" s="6" t="str">
        <f t="shared" si="1"/>
        <v>No Critico</v>
      </c>
    </row>
    <row r="13" spans="1:29" ht="45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IF(Inicial!J13="SI",Inicial!E13,"N/A")</f>
        <v>03:30 - 11:50 / 11:50 - 21:15</v>
      </c>
      <c r="F13" s="59" t="str">
        <f>IF(Inicial!J13="SI",Inicial!F13,"N/A")</f>
        <v>N/A</v>
      </c>
      <c r="G13" s="59">
        <f>IF(Inicial!J13="SI",Inicial!G13,"N/A")</f>
        <v>2</v>
      </c>
      <c r="H13" s="59">
        <f>IF(Inicial!J13="SI",Inicial!H13,"N/A")</f>
        <v>8</v>
      </c>
      <c r="I13" s="61">
        <f>IF(Inicial!J13="SI",Inicial!I13,"N/A")</f>
        <v>2</v>
      </c>
      <c r="J13" s="50" t="s">
        <v>65</v>
      </c>
      <c r="K13" s="6" t="s">
        <v>65</v>
      </c>
      <c r="L13" s="6" t="s">
        <v>65</v>
      </c>
      <c r="M13" s="6" t="s">
        <v>65</v>
      </c>
      <c r="N13" s="6" t="s">
        <v>87</v>
      </c>
      <c r="O13" s="6" t="s">
        <v>65</v>
      </c>
      <c r="P13" s="6" t="str">
        <f t="shared" si="0"/>
        <v>No Aceptable</v>
      </c>
      <c r="Q13" s="6" t="s">
        <v>87</v>
      </c>
      <c r="R13" s="6" t="s">
        <v>87</v>
      </c>
      <c r="S13" s="6" t="s">
        <v>87</v>
      </c>
      <c r="T13" s="6" t="s">
        <v>87</v>
      </c>
      <c r="U13" s="6" t="s">
        <v>87</v>
      </c>
      <c r="V13" s="6" t="s">
        <v>87</v>
      </c>
      <c r="W13" s="6" t="str">
        <f t="shared" si="1"/>
        <v>No Critico</v>
      </c>
    </row>
    <row r="14" spans="1:29" ht="45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IF(Inicial!J14="SI",Inicial!E14,"N/A")</f>
        <v>N/A</v>
      </c>
      <c r="F14" s="59" t="str">
        <f>IF(Inicial!J14="SI",Inicial!F14,"N/A")</f>
        <v>N/A</v>
      </c>
      <c r="G14" s="59" t="str">
        <f>IF(Inicial!J14="SI",Inicial!G14,"N/A")</f>
        <v>N/A</v>
      </c>
      <c r="H14" s="59" t="str">
        <f>IF(Inicial!J14="SI",Inicial!H14,"N/A")</f>
        <v>N/A</v>
      </c>
      <c r="I14" s="61" t="str">
        <f>IF(Inicial!J14="SI",Inicial!I14,"N/A")</f>
        <v>N/A</v>
      </c>
      <c r="J14" s="50"/>
      <c r="K14" s="6"/>
      <c r="L14" s="6"/>
      <c r="M14" s="6"/>
      <c r="N14" s="6"/>
      <c r="O14" s="6"/>
      <c r="P14" s="6" t="str">
        <f t="shared" si="0"/>
        <v>Aceptable</v>
      </c>
      <c r="Q14" s="6"/>
      <c r="R14" s="6"/>
      <c r="S14" s="6"/>
      <c r="T14" s="6"/>
      <c r="U14" s="6"/>
      <c r="V14" s="6"/>
      <c r="W14" s="6" t="str">
        <f t="shared" si="1"/>
        <v>Critico</v>
      </c>
    </row>
    <row r="15" spans="1:29" ht="45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IF(Inicial!J15="SI",Inicial!E15,"N/A")</f>
        <v>03:30 - 11:50 / 11:50 - 21:15</v>
      </c>
      <c r="F15" s="59" t="str">
        <f>IF(Inicial!J15="SI",Inicial!F15,"N/A")</f>
        <v>N/A</v>
      </c>
      <c r="G15" s="59">
        <f>IF(Inicial!J15="SI",Inicial!G15,"N/A")</f>
        <v>2</v>
      </c>
      <c r="H15" s="59">
        <f>IF(Inicial!J15="SI",Inicial!H15,"N/A")</f>
        <v>87</v>
      </c>
      <c r="I15" s="61">
        <f>IF(Inicial!J15="SI",Inicial!I15,"N/A")</f>
        <v>28</v>
      </c>
      <c r="J15" s="50" t="s">
        <v>65</v>
      </c>
      <c r="K15" s="50" t="s">
        <v>65</v>
      </c>
      <c r="L15" s="50" t="s">
        <v>65</v>
      </c>
      <c r="M15" s="50" t="s">
        <v>65</v>
      </c>
      <c r="N15" s="50" t="s">
        <v>65</v>
      </c>
      <c r="O15" s="50" t="s">
        <v>65</v>
      </c>
      <c r="P15" s="6" t="str">
        <f t="shared" si="0"/>
        <v>Aceptable</v>
      </c>
      <c r="Q15" s="6"/>
      <c r="R15" s="6"/>
      <c r="S15" s="6"/>
      <c r="T15" s="6"/>
      <c r="U15" s="6"/>
      <c r="V15" s="6"/>
      <c r="W15" s="6" t="str">
        <f t="shared" si="1"/>
        <v>Critico</v>
      </c>
    </row>
    <row r="16" spans="1:29" ht="45" customHeight="1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IF(Inicial!J16="SI",Inicial!E16,"N/A")</f>
        <v>03:30 - 11:50 / 11:50 - 21:15</v>
      </c>
      <c r="F16" s="59" t="str">
        <f>IF(Inicial!J16="SI",Inicial!F16,"N/A")</f>
        <v>N/A</v>
      </c>
      <c r="G16" s="59">
        <f>IF(Inicial!J16="SI",Inicial!G16,"N/A")</f>
        <v>2</v>
      </c>
      <c r="H16" s="59">
        <f>IF(Inicial!J16="SI",Inicial!H16,"N/A")</f>
        <v>87</v>
      </c>
      <c r="I16" s="61">
        <f>IF(Inicial!J16="SI",Inicial!I16,"N/A")</f>
        <v>28</v>
      </c>
      <c r="J16" s="50" t="s">
        <v>65</v>
      </c>
      <c r="K16" s="6" t="s">
        <v>65</v>
      </c>
      <c r="L16" s="6" t="s">
        <v>65</v>
      </c>
      <c r="M16" s="6" t="s">
        <v>65</v>
      </c>
      <c r="N16" s="6" t="s">
        <v>87</v>
      </c>
      <c r="O16" s="6" t="s">
        <v>65</v>
      </c>
      <c r="P16" s="6" t="str">
        <f t="shared" si="0"/>
        <v>No Aceptable</v>
      </c>
      <c r="Q16" s="6" t="s">
        <v>87</v>
      </c>
      <c r="R16" s="6" t="s">
        <v>87</v>
      </c>
      <c r="S16" s="6" t="s">
        <v>87</v>
      </c>
      <c r="T16" s="6" t="s">
        <v>87</v>
      </c>
      <c r="U16" s="6" t="s">
        <v>87</v>
      </c>
      <c r="V16" s="6" t="s">
        <v>87</v>
      </c>
      <c r="W16" s="6" t="str">
        <f t="shared" si="1"/>
        <v>No Critico</v>
      </c>
    </row>
    <row r="17" spans="1:23" ht="45" customHeight="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IF(Inicial!J17="SI",Inicial!E17,"N/A")</f>
        <v>03:30 - 11:50 / 11:50 - 21:15</v>
      </c>
      <c r="F17" s="59" t="str">
        <f>IF(Inicial!J17="SI",Inicial!F17,"N/A")</f>
        <v>N/A</v>
      </c>
      <c r="G17" s="59">
        <f>IF(Inicial!J17="SI",Inicial!G17,"N/A")</f>
        <v>2</v>
      </c>
      <c r="H17" s="59">
        <f>IF(Inicial!J17="SI",Inicial!H17,"N/A")</f>
        <v>87</v>
      </c>
      <c r="I17" s="61">
        <f>IF(Inicial!J17="SI",Inicial!I17,"N/A")</f>
        <v>28</v>
      </c>
      <c r="J17" s="50" t="s">
        <v>87</v>
      </c>
      <c r="K17" s="6" t="s">
        <v>65</v>
      </c>
      <c r="L17" s="6" t="s">
        <v>65</v>
      </c>
      <c r="M17" s="6" t="s">
        <v>65</v>
      </c>
      <c r="N17" s="6" t="s">
        <v>87</v>
      </c>
      <c r="O17" s="6" t="s">
        <v>65</v>
      </c>
      <c r="P17" s="6" t="str">
        <f t="shared" si="0"/>
        <v>No Aceptable</v>
      </c>
      <c r="Q17" s="6" t="s">
        <v>87</v>
      </c>
      <c r="R17" s="6" t="s">
        <v>87</v>
      </c>
      <c r="S17" s="6" t="s">
        <v>87</v>
      </c>
      <c r="T17" s="6" t="s">
        <v>87</v>
      </c>
      <c r="U17" s="6" t="s">
        <v>87</v>
      </c>
      <c r="V17" s="6" t="s">
        <v>87</v>
      </c>
      <c r="W17" s="6" t="str">
        <f t="shared" si="1"/>
        <v>No Critico</v>
      </c>
    </row>
    <row r="18" spans="1:23" ht="45" customHeight="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IF(Inicial!J18="SI",Inicial!E18,"N/A")</f>
        <v>03:30 - 11:50 / 11:50 - 21:15</v>
      </c>
      <c r="F18" s="59" t="str">
        <f>IF(Inicial!J18="SI",Inicial!F18,"N/A")</f>
        <v>N/A</v>
      </c>
      <c r="G18" s="59">
        <f>IF(Inicial!J18="SI",Inicial!G18,"N/A")</f>
        <v>2</v>
      </c>
      <c r="H18" s="59">
        <f>IF(Inicial!J18="SI",Inicial!H18,"N/A")</f>
        <v>87</v>
      </c>
      <c r="I18" s="61">
        <f>IF(Inicial!J18="SI",Inicial!I18,"N/A")</f>
        <v>28</v>
      </c>
      <c r="J18" s="50" t="s">
        <v>87</v>
      </c>
      <c r="K18" s="6" t="s">
        <v>65</v>
      </c>
      <c r="L18" s="6" t="s">
        <v>65</v>
      </c>
      <c r="M18" s="6" t="s">
        <v>65</v>
      </c>
      <c r="N18" s="6" t="s">
        <v>87</v>
      </c>
      <c r="O18" s="6" t="s">
        <v>65</v>
      </c>
      <c r="P18" s="6" t="str">
        <f t="shared" si="0"/>
        <v>No Aceptable</v>
      </c>
      <c r="Q18" s="6" t="s">
        <v>87</v>
      </c>
      <c r="R18" s="6" t="s">
        <v>87</v>
      </c>
      <c r="S18" s="6" t="s">
        <v>87</v>
      </c>
      <c r="T18" s="6" t="s">
        <v>87</v>
      </c>
      <c r="U18" s="6" t="s">
        <v>87</v>
      </c>
      <c r="V18" s="6" t="s">
        <v>87</v>
      </c>
      <c r="W18" s="6" t="str">
        <f t="shared" si="1"/>
        <v>No Critico</v>
      </c>
    </row>
    <row r="19" spans="1:23" ht="45" customHeight="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IF(Inicial!J19="SI",Inicial!E19,"N/A")</f>
        <v>03:30 - 11:50 / 11:50 - 21:15</v>
      </c>
      <c r="F19" s="59" t="str">
        <f>IF(Inicial!J19="SI",Inicial!F19,"N/A")</f>
        <v>N/A</v>
      </c>
      <c r="G19" s="59">
        <f>IF(Inicial!J19="SI",Inicial!G19,"N/A")</f>
        <v>2</v>
      </c>
      <c r="H19" s="59">
        <f>IF(Inicial!J19="SI",Inicial!H19,"N/A")</f>
        <v>87</v>
      </c>
      <c r="I19" s="61">
        <f>IF(Inicial!J19="SI",Inicial!I19,"N/A")</f>
        <v>28</v>
      </c>
      <c r="J19" s="50" t="s">
        <v>87</v>
      </c>
      <c r="K19" s="6" t="s">
        <v>65</v>
      </c>
      <c r="L19" s="6" t="s">
        <v>65</v>
      </c>
      <c r="M19" s="6" t="s">
        <v>65</v>
      </c>
      <c r="N19" s="6" t="s">
        <v>87</v>
      </c>
      <c r="O19" s="6" t="s">
        <v>65</v>
      </c>
      <c r="P19" s="6" t="str">
        <f t="shared" si="0"/>
        <v>No Aceptable</v>
      </c>
      <c r="Q19" s="6" t="s">
        <v>87</v>
      </c>
      <c r="R19" s="6" t="s">
        <v>87</v>
      </c>
      <c r="S19" s="6" t="s">
        <v>87</v>
      </c>
      <c r="T19" s="6" t="s">
        <v>87</v>
      </c>
      <c r="U19" s="6" t="s">
        <v>87</v>
      </c>
      <c r="V19" s="6" t="s">
        <v>87</v>
      </c>
      <c r="W19" s="6" t="str">
        <f t="shared" si="1"/>
        <v>No Critico</v>
      </c>
    </row>
    <row r="20" spans="1:23" ht="45" customHeight="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IF(Inicial!J20="SI",Inicial!E20,"N/A")</f>
        <v>03:30 - 11:50 / 11:50 - 21:15</v>
      </c>
      <c r="F20" s="59" t="str">
        <f>IF(Inicial!J20="SI",Inicial!F20,"N/A")</f>
        <v>N/A</v>
      </c>
      <c r="G20" s="59">
        <f>IF(Inicial!J20="SI",Inicial!G20,"N/A")</f>
        <v>2</v>
      </c>
      <c r="H20" s="59">
        <f>IF(Inicial!J20="SI",Inicial!H20,"N/A")</f>
        <v>87</v>
      </c>
      <c r="I20" s="61">
        <f>IF(Inicial!J20="SI",Inicial!I20,"N/A")</f>
        <v>28</v>
      </c>
      <c r="J20" s="50" t="s">
        <v>87</v>
      </c>
      <c r="K20" s="6" t="s">
        <v>65</v>
      </c>
      <c r="L20" s="6" t="s">
        <v>65</v>
      </c>
      <c r="M20" s="6" t="s">
        <v>65</v>
      </c>
      <c r="N20" s="6" t="s">
        <v>87</v>
      </c>
      <c r="O20" s="6" t="s">
        <v>65</v>
      </c>
      <c r="P20" s="6" t="str">
        <f t="shared" si="0"/>
        <v>No Aceptable</v>
      </c>
      <c r="Q20" s="6" t="s">
        <v>87</v>
      </c>
      <c r="R20" s="6" t="s">
        <v>87</v>
      </c>
      <c r="S20" s="6" t="s">
        <v>87</v>
      </c>
      <c r="T20" s="6" t="s">
        <v>87</v>
      </c>
      <c r="U20" s="6" t="s">
        <v>87</v>
      </c>
      <c r="V20" s="6" t="s">
        <v>87</v>
      </c>
      <c r="W20" s="6" t="str">
        <f t="shared" si="1"/>
        <v>No Critico</v>
      </c>
    </row>
    <row r="21" spans="1:23" ht="45" customHeight="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IF(Inicial!J21="SI",Inicial!E21,"N/A")</f>
        <v>03:30 - 11:50 / 11:50 - 21:15</v>
      </c>
      <c r="F21" s="59" t="str">
        <f>IF(Inicial!J21="SI",Inicial!F21,"N/A")</f>
        <v>N/A</v>
      </c>
      <c r="G21" s="59">
        <f>IF(Inicial!J21="SI",Inicial!G21,"N/A")</f>
        <v>2</v>
      </c>
      <c r="H21" s="59">
        <f>IF(Inicial!J21="SI",Inicial!H21,"N/A")</f>
        <v>87</v>
      </c>
      <c r="I21" s="61">
        <f>IF(Inicial!J21="SI",Inicial!I21,"N/A")</f>
        <v>28</v>
      </c>
      <c r="J21" s="50" t="s">
        <v>87</v>
      </c>
      <c r="K21" s="6" t="s">
        <v>65</v>
      </c>
      <c r="L21" s="6" t="s">
        <v>65</v>
      </c>
      <c r="M21" s="6" t="s">
        <v>65</v>
      </c>
      <c r="N21" s="6" t="s">
        <v>87</v>
      </c>
      <c r="O21" s="6" t="s">
        <v>65</v>
      </c>
      <c r="P21" s="6" t="str">
        <f t="shared" si="0"/>
        <v>No Aceptable</v>
      </c>
      <c r="Q21" s="6" t="s">
        <v>87</v>
      </c>
      <c r="R21" s="6" t="s">
        <v>87</v>
      </c>
      <c r="S21" s="6" t="s">
        <v>87</v>
      </c>
      <c r="T21" s="6" t="s">
        <v>87</v>
      </c>
      <c r="U21" s="6" t="s">
        <v>87</v>
      </c>
      <c r="V21" s="6" t="s">
        <v>87</v>
      </c>
      <c r="W21" s="6" t="str">
        <f t="shared" si="1"/>
        <v>No Critico</v>
      </c>
    </row>
    <row r="22" spans="1:23" ht="34.15" customHeight="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IF(Inicial!J22="SI",Inicial!E22,"N/A")</f>
        <v>N/A</v>
      </c>
      <c r="F22" s="59" t="str">
        <f>IF(Inicial!J22="SI",Inicial!F22,"N/A")</f>
        <v>N/A</v>
      </c>
      <c r="G22" s="59" t="str">
        <f>IF(Inicial!J22="SI",Inicial!G22,"N/A")</f>
        <v>N/A</v>
      </c>
      <c r="H22" s="59" t="str">
        <f>IF(Inicial!J22="SI",Inicial!H22,"N/A")</f>
        <v>N/A</v>
      </c>
      <c r="I22" s="61" t="str">
        <f>IF(Inicial!J22="SI",Inicial!I22,"N/A")</f>
        <v>N/A</v>
      </c>
      <c r="J22" s="50"/>
      <c r="K22" s="6"/>
      <c r="L22" s="6"/>
      <c r="M22" s="6"/>
      <c r="N22" s="6"/>
      <c r="O22" s="6"/>
      <c r="P22" s="6" t="str">
        <f t="shared" si="0"/>
        <v>Aceptable</v>
      </c>
      <c r="Q22" s="6"/>
      <c r="R22" s="6"/>
      <c r="S22" s="6"/>
      <c r="T22" s="6"/>
      <c r="U22" s="6"/>
      <c r="V22" s="6"/>
      <c r="W22" s="6" t="str">
        <f t="shared" si="1"/>
        <v>Critico</v>
      </c>
    </row>
    <row r="23" spans="1:23" ht="24" customHeight="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IF(Inicial!J23="SI",Inicial!E23,"N/A")</f>
        <v>03:30 - 11:50 / 11:50 - 21:15</v>
      </c>
      <c r="F23" s="59" t="str">
        <f>IF(Inicial!J23="SI",Inicial!F23,"N/A")</f>
        <v>N/A</v>
      </c>
      <c r="G23" s="59">
        <f>IF(Inicial!J23="SI",Inicial!G23,"N/A")</f>
        <v>2</v>
      </c>
      <c r="H23" s="59">
        <f>IF(Inicial!J23="SI",Inicial!H23,"N/A")</f>
        <v>87</v>
      </c>
      <c r="I23" s="61">
        <f>IF(Inicial!J23="SI",Inicial!I23,"N/A")</f>
        <v>28</v>
      </c>
      <c r="J23" s="50" t="s">
        <v>65</v>
      </c>
      <c r="K23" s="6" t="s">
        <v>65</v>
      </c>
      <c r="L23" s="6" t="s">
        <v>65</v>
      </c>
      <c r="M23" s="6" t="s">
        <v>65</v>
      </c>
      <c r="N23" s="6" t="s">
        <v>87</v>
      </c>
      <c r="O23" s="6" t="s">
        <v>65</v>
      </c>
      <c r="P23" s="6" t="str">
        <f t="shared" si="0"/>
        <v>No Aceptable</v>
      </c>
      <c r="Q23" s="6" t="s">
        <v>87</v>
      </c>
      <c r="R23" s="6" t="s">
        <v>87</v>
      </c>
      <c r="S23" s="6" t="s">
        <v>87</v>
      </c>
      <c r="T23" s="6" t="s">
        <v>87</v>
      </c>
      <c r="U23" s="6" t="s">
        <v>87</v>
      </c>
      <c r="V23" s="6" t="s">
        <v>87</v>
      </c>
      <c r="W23" s="6" t="str">
        <f t="shared" si="1"/>
        <v>No Critico</v>
      </c>
    </row>
    <row r="24" spans="1:23" ht="24" customHeight="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IF(Inicial!J24="SI",Inicial!E24,"N/A")</f>
        <v>03:30 - 11:50 / 11:50 - 21:15</v>
      </c>
      <c r="F24" s="59" t="str">
        <f>IF(Inicial!J24="SI",Inicial!F24,"N/A")</f>
        <v>N/A</v>
      </c>
      <c r="G24" s="59">
        <f>IF(Inicial!J24="SI",Inicial!G24,"N/A")</f>
        <v>2</v>
      </c>
      <c r="H24" s="59">
        <f>IF(Inicial!J24="SI",Inicial!H24,"N/A")</f>
        <v>87</v>
      </c>
      <c r="I24" s="61">
        <f>IF(Inicial!J24="SI",Inicial!I24,"N/A")</f>
        <v>28</v>
      </c>
      <c r="J24" s="50" t="s">
        <v>87</v>
      </c>
      <c r="K24" s="6" t="s">
        <v>65</v>
      </c>
      <c r="L24" s="6" t="s">
        <v>65</v>
      </c>
      <c r="M24" s="6" t="s">
        <v>65</v>
      </c>
      <c r="N24" s="6" t="s">
        <v>87</v>
      </c>
      <c r="O24" s="6" t="s">
        <v>65</v>
      </c>
      <c r="P24" s="6" t="str">
        <f t="shared" si="0"/>
        <v>No Aceptable</v>
      </c>
      <c r="Q24" s="6" t="s">
        <v>87</v>
      </c>
      <c r="R24" s="6" t="s">
        <v>87</v>
      </c>
      <c r="S24" s="6" t="s">
        <v>87</v>
      </c>
      <c r="T24" s="6" t="s">
        <v>87</v>
      </c>
      <c r="U24" s="6" t="s">
        <v>87</v>
      </c>
      <c r="V24" s="6" t="s">
        <v>87</v>
      </c>
      <c r="W24" s="6" t="str">
        <f t="shared" si="1"/>
        <v>No Critico</v>
      </c>
    </row>
    <row r="25" spans="1:23" ht="24" customHeight="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IF(Inicial!J25="SI",Inicial!E25,"N/A")</f>
        <v>03:30 - 11:50 / 11:50 - 21:15</v>
      </c>
      <c r="F25" s="59" t="str">
        <f>IF(Inicial!J25="SI",Inicial!F25,"N/A")</f>
        <v>N/A</v>
      </c>
      <c r="G25" s="59">
        <f>IF(Inicial!J25="SI",Inicial!G25,"N/A")</f>
        <v>2</v>
      </c>
      <c r="H25" s="59">
        <f>IF(Inicial!J25="SI",Inicial!H25,"N/A")</f>
        <v>87</v>
      </c>
      <c r="I25" s="61">
        <f>IF(Inicial!J25="SI",Inicial!I25,"N/A")</f>
        <v>28</v>
      </c>
      <c r="J25" s="50" t="s">
        <v>65</v>
      </c>
      <c r="K25" s="6" t="s">
        <v>65</v>
      </c>
      <c r="L25" s="6" t="s">
        <v>65</v>
      </c>
      <c r="M25" s="6" t="s">
        <v>65</v>
      </c>
      <c r="N25" s="6" t="s">
        <v>87</v>
      </c>
      <c r="O25" s="6" t="s">
        <v>65</v>
      </c>
      <c r="P25" s="6" t="str">
        <f t="shared" si="0"/>
        <v>No Aceptable</v>
      </c>
      <c r="Q25" s="6" t="s">
        <v>87</v>
      </c>
      <c r="R25" s="6" t="s">
        <v>87</v>
      </c>
      <c r="S25" s="6" t="s">
        <v>87</v>
      </c>
      <c r="T25" s="6" t="s">
        <v>87</v>
      </c>
      <c r="U25" s="6" t="s">
        <v>87</v>
      </c>
      <c r="V25" s="6" t="s">
        <v>87</v>
      </c>
      <c r="W25" s="6" t="str">
        <f t="shared" si="1"/>
        <v>No Critico</v>
      </c>
    </row>
    <row r="26" spans="1:23" ht="24" customHeight="1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IF(Inicial!J26="SI",Inicial!E26,"N/A")</f>
        <v>03:30 - 11:50 / 11:50 - 21:15</v>
      </c>
      <c r="F26" s="59" t="str">
        <f>IF(Inicial!J26="SI",Inicial!F26,"N/A")</f>
        <v>N/A</v>
      </c>
      <c r="G26" s="59">
        <f>IF(Inicial!J26="SI",Inicial!G26,"N/A")</f>
        <v>2</v>
      </c>
      <c r="H26" s="59">
        <f>IF(Inicial!J26="SI",Inicial!H26,"N/A")</f>
        <v>87</v>
      </c>
      <c r="I26" s="61">
        <f>IF(Inicial!J26="SI",Inicial!I26,"N/A")</f>
        <v>28</v>
      </c>
      <c r="J26" s="50" t="s">
        <v>65</v>
      </c>
      <c r="K26" s="6" t="s">
        <v>65</v>
      </c>
      <c r="L26" s="6" t="s">
        <v>65</v>
      </c>
      <c r="M26" s="6" t="s">
        <v>65</v>
      </c>
      <c r="N26" s="6" t="s">
        <v>87</v>
      </c>
      <c r="O26" s="6" t="s">
        <v>65</v>
      </c>
      <c r="P26" s="6" t="str">
        <f t="shared" si="0"/>
        <v>No Aceptable</v>
      </c>
      <c r="Q26" s="6" t="s">
        <v>87</v>
      </c>
      <c r="R26" s="6" t="s">
        <v>87</v>
      </c>
      <c r="S26" s="6" t="s">
        <v>87</v>
      </c>
      <c r="T26" s="6" t="s">
        <v>87</v>
      </c>
      <c r="U26" s="6" t="s">
        <v>87</v>
      </c>
      <c r="V26" s="6" t="s">
        <v>87</v>
      </c>
      <c r="W26" s="6" t="str">
        <f t="shared" si="1"/>
        <v>No Critico</v>
      </c>
    </row>
    <row r="27" spans="1:23" ht="24" customHeight="1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IF(Inicial!J27="SI",Inicial!E27,"N/A")</f>
        <v>03:30 - 11:50 / 11:50 - 21:15</v>
      </c>
      <c r="F27" s="59" t="str">
        <f>IF(Inicial!J27="SI",Inicial!F27,"N/A")</f>
        <v>N/A</v>
      </c>
      <c r="G27" s="59">
        <f>IF(Inicial!J27="SI",Inicial!G27,"N/A")</f>
        <v>2</v>
      </c>
      <c r="H27" s="59">
        <f>IF(Inicial!J27="SI",Inicial!H27,"N/A")</f>
        <v>87</v>
      </c>
      <c r="I27" s="61">
        <f>IF(Inicial!J27="SI",Inicial!I27,"N/A")</f>
        <v>28</v>
      </c>
      <c r="J27" s="50" t="s">
        <v>65</v>
      </c>
      <c r="K27" s="50" t="s">
        <v>65</v>
      </c>
      <c r="L27" s="50" t="s">
        <v>65</v>
      </c>
      <c r="M27" s="50" t="s">
        <v>65</v>
      </c>
      <c r="N27" s="50" t="s">
        <v>65</v>
      </c>
      <c r="O27" s="50" t="s">
        <v>65</v>
      </c>
      <c r="P27" s="6" t="str">
        <f>IF(OR(J27="NO",K27="NO",L27="NO",M27="NO",N27="NO",O27="NO"),"No Aceptable","Aceptable")</f>
        <v>Aceptable</v>
      </c>
      <c r="Q27" s="6"/>
      <c r="R27" s="6"/>
      <c r="S27" s="6"/>
      <c r="T27" s="6"/>
      <c r="U27" s="6"/>
      <c r="V27" s="6"/>
      <c r="W27" s="6" t="str">
        <f t="shared" si="1"/>
        <v>Critico</v>
      </c>
    </row>
    <row r="28" spans="1:23" ht="24" customHeight="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IF(Inicial!J28="SI",Inicial!E28,"N/A")</f>
        <v>N/A</v>
      </c>
      <c r="F28" s="59" t="str">
        <f>IF(Inicial!J28="SI",Inicial!F28,"N/A")</f>
        <v>N/A</v>
      </c>
      <c r="G28" s="59" t="str">
        <f>IF(Inicial!J28="SI",Inicial!G28,"N/A")</f>
        <v>N/A</v>
      </c>
      <c r="H28" s="59" t="str">
        <f>IF(Inicial!J28="SI",Inicial!H28,"N/A")</f>
        <v>N/A</v>
      </c>
      <c r="I28" s="61" t="str">
        <f>IF(Inicial!J28="SI",Inicial!I28,"N/A")</f>
        <v>N/A</v>
      </c>
      <c r="J28" s="50" t="s">
        <v>65</v>
      </c>
      <c r="K28" s="6" t="s">
        <v>65</v>
      </c>
      <c r="L28" s="6" t="s">
        <v>65</v>
      </c>
      <c r="M28" s="6" t="s">
        <v>65</v>
      </c>
      <c r="N28" s="6" t="s">
        <v>65</v>
      </c>
      <c r="O28" s="6" t="s">
        <v>65</v>
      </c>
      <c r="P28" s="6" t="str">
        <f t="shared" si="0"/>
        <v>Aceptable</v>
      </c>
      <c r="Q28" s="6" t="s">
        <v>87</v>
      </c>
      <c r="R28" s="6" t="s">
        <v>87</v>
      </c>
      <c r="S28" s="6" t="s">
        <v>87</v>
      </c>
      <c r="T28" s="6" t="s">
        <v>87</v>
      </c>
      <c r="U28" s="6" t="s">
        <v>87</v>
      </c>
      <c r="V28" s="6" t="s">
        <v>87</v>
      </c>
      <c r="W28" s="6" t="str">
        <f t="shared" si="1"/>
        <v>No Critico</v>
      </c>
    </row>
    <row r="29" spans="1:23" ht="24" customHeight="1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60" t="str">
        <f>Inicial!D29</f>
        <v>Auroceculitis</v>
      </c>
      <c r="E29" s="58" t="str">
        <f>IF(Inicial!J29="SI",Inicial!E29,"N/A")</f>
        <v>03:30 - 11:50 / 11:50 - 21:15</v>
      </c>
      <c r="F29" s="59" t="str">
        <f>IF(Inicial!J29="SI",Inicial!F29,"N/A")</f>
        <v>N/A</v>
      </c>
      <c r="G29" s="59">
        <f>IF(Inicial!J29="SI",Inicial!G29,"N/A")</f>
        <v>2</v>
      </c>
      <c r="H29" s="59">
        <f>IF(Inicial!J29="SI",Inicial!H29,"N/A")</f>
        <v>87</v>
      </c>
      <c r="I29" s="61">
        <f>IF(Inicial!J29="SI",Inicial!I29,"N/A")</f>
        <v>28</v>
      </c>
      <c r="J29" s="50" t="s">
        <v>87</v>
      </c>
      <c r="K29" s="6" t="s">
        <v>65</v>
      </c>
      <c r="L29" s="6" t="s">
        <v>65</v>
      </c>
      <c r="M29" s="6" t="s">
        <v>65</v>
      </c>
      <c r="N29" s="6" t="s">
        <v>65</v>
      </c>
      <c r="O29" s="6" t="s">
        <v>65</v>
      </c>
      <c r="P29" s="6" t="str">
        <f t="shared" si="0"/>
        <v>No Aceptable</v>
      </c>
      <c r="Q29" s="6" t="s">
        <v>87</v>
      </c>
      <c r="R29" s="6" t="s">
        <v>87</v>
      </c>
      <c r="S29" s="6" t="s">
        <v>87</v>
      </c>
      <c r="T29" s="6" t="s">
        <v>87</v>
      </c>
      <c r="U29" s="6" t="s">
        <v>87</v>
      </c>
      <c r="V29" s="6" t="s">
        <v>87</v>
      </c>
      <c r="W29" s="6" t="str">
        <f t="shared" si="1"/>
        <v>No Critico</v>
      </c>
    </row>
    <row r="30" spans="1:23" ht="24" customHeight="1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60" t="str">
        <f>Inicial!D30</f>
        <v xml:space="preserve">Jefe de línea </v>
      </c>
      <c r="E30" s="58" t="str">
        <f>IF(Inicial!J30="SI",Inicial!E30,"N/A")</f>
        <v>N/A</v>
      </c>
      <c r="F30" s="59" t="str">
        <f>IF(Inicial!J30="SI",Inicial!F30,"N/A")</f>
        <v>N/A</v>
      </c>
      <c r="G30" s="59" t="str">
        <f>IF(Inicial!J30="SI",Inicial!G30,"N/A")</f>
        <v>N/A</v>
      </c>
      <c r="H30" s="59" t="str">
        <f>IF(Inicial!J30="SI",Inicial!H30,"N/A")</f>
        <v>N/A</v>
      </c>
      <c r="I30" s="61" t="str">
        <f>IF(Inicial!J30="SI",Inicial!I30,"N/A")</f>
        <v>N/A</v>
      </c>
      <c r="J30" s="50"/>
      <c r="K30" s="6"/>
      <c r="L30" s="6"/>
      <c r="M30" s="6"/>
      <c r="N30" s="6"/>
      <c r="O30" s="6"/>
      <c r="P30" s="6" t="str">
        <f t="shared" si="0"/>
        <v>Aceptable</v>
      </c>
      <c r="Q30" s="6"/>
      <c r="R30" s="6"/>
      <c r="S30" s="6"/>
      <c r="T30" s="6"/>
      <c r="U30" s="6"/>
      <c r="V30" s="6"/>
      <c r="W30" s="6" t="str">
        <f t="shared" si="1"/>
        <v>Critico</v>
      </c>
    </row>
    <row r="31" spans="1:23" ht="24" customHeight="1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60" t="str">
        <f>Inicial!D31</f>
        <v>Supervisor</v>
      </c>
      <c r="E31" s="58" t="str">
        <f>IF(Inicial!J31="SI",Inicial!E31,"N/A")</f>
        <v>03:30 - 11:50 / 11:50 - 21:15</v>
      </c>
      <c r="F31" s="59" t="str">
        <f>IF(Inicial!J31="SI",Inicial!F31,"N/A")</f>
        <v>N/A</v>
      </c>
      <c r="G31" s="59">
        <f>IF(Inicial!J31="SI",Inicial!G31,"N/A")</f>
        <v>2</v>
      </c>
      <c r="H31" s="59">
        <f>IF(Inicial!J31="SI",Inicial!H31,"N/A")</f>
        <v>87</v>
      </c>
      <c r="I31" s="61">
        <f>IF(Inicial!J31="SI",Inicial!I31,"N/A")</f>
        <v>28</v>
      </c>
      <c r="J31" s="50" t="s">
        <v>65</v>
      </c>
      <c r="K31" s="50" t="s">
        <v>65</v>
      </c>
      <c r="L31" s="50" t="s">
        <v>65</v>
      </c>
      <c r="M31" s="50" t="s">
        <v>65</v>
      </c>
      <c r="N31" s="50" t="s">
        <v>65</v>
      </c>
      <c r="O31" s="50" t="s">
        <v>65</v>
      </c>
      <c r="P31" s="6" t="str">
        <f t="shared" si="0"/>
        <v>Aceptable</v>
      </c>
      <c r="Q31" s="6"/>
      <c r="R31" s="6"/>
      <c r="S31" s="6"/>
      <c r="T31" s="6"/>
      <c r="U31" s="6"/>
      <c r="V31" s="6"/>
      <c r="W31" s="6" t="str">
        <f t="shared" si="1"/>
        <v>Critico</v>
      </c>
    </row>
    <row r="32" spans="1:23" ht="24" customHeight="1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60" t="str">
        <f>Inicial!D32</f>
        <v>Cinta Decomiso</v>
      </c>
      <c r="E32" s="58" t="str">
        <f>IF(Inicial!J32="SI",Inicial!E32,"N/A")</f>
        <v>04:05 - 12:25 / 12:15 A 21:45</v>
      </c>
      <c r="F32" s="59" t="str">
        <f>IF(Inicial!J32="SI",Inicial!F32,"N/A")</f>
        <v>N/A</v>
      </c>
      <c r="G32" s="59">
        <f>IF(Inicial!J32="SI",Inicial!G32,"N/A")</f>
        <v>2</v>
      </c>
      <c r="H32" s="59">
        <f>IF(Inicial!J32="SI",Inicial!H32,"N/A")</f>
        <v>23</v>
      </c>
      <c r="I32" s="61">
        <f>IF(Inicial!J32="SI",Inicial!I32,"N/A")</f>
        <v>17</v>
      </c>
      <c r="J32" s="50" t="s">
        <v>87</v>
      </c>
      <c r="K32" s="6" t="s">
        <v>65</v>
      </c>
      <c r="L32" s="6" t="s">
        <v>65</v>
      </c>
      <c r="M32" s="6" t="s">
        <v>65</v>
      </c>
      <c r="N32" s="6" t="s">
        <v>65</v>
      </c>
      <c r="O32" s="6" t="s">
        <v>65</v>
      </c>
      <c r="P32" s="6" t="str">
        <f>IF(OR(J32="NO",K32="NO",L32="NO",M32="NO",N32="NO",O32="NO"),"No Aceptable","Aceptable")</f>
        <v>No Aceptable</v>
      </c>
      <c r="Q32" s="6" t="s">
        <v>87</v>
      </c>
      <c r="R32" s="6" t="s">
        <v>87</v>
      </c>
      <c r="S32" s="6" t="s">
        <v>87</v>
      </c>
      <c r="T32" s="6" t="s">
        <v>87</v>
      </c>
      <c r="U32" s="6" t="s">
        <v>87</v>
      </c>
      <c r="V32" s="6" t="s">
        <v>87</v>
      </c>
      <c r="W32" s="6" t="str">
        <f t="shared" si="1"/>
        <v>No Critico</v>
      </c>
    </row>
    <row r="33" spans="1:23" ht="34.5" customHeight="1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60" t="str">
        <f>Inicial!D33</f>
        <v>Embolsado Tolva/Seleccionador de Garras en Tolva</v>
      </c>
      <c r="E33" s="58" t="str">
        <f>IF(Inicial!J33="SI",Inicial!E33,"N/A")</f>
        <v>04:05 - 12:25 / 12:15 A 21:45</v>
      </c>
      <c r="F33" s="59" t="str">
        <f>IF(Inicial!J33="SI",Inicial!F33,"N/A")</f>
        <v>N/A</v>
      </c>
      <c r="G33" s="59">
        <f>IF(Inicial!J33="SI",Inicial!G33,"N/A")</f>
        <v>2</v>
      </c>
      <c r="H33" s="59">
        <f>IF(Inicial!J33="SI",Inicial!H33,"N/A")</f>
        <v>23</v>
      </c>
      <c r="I33" s="61">
        <f>IF(Inicial!J33="SI",Inicial!I33,"N/A")</f>
        <v>17</v>
      </c>
      <c r="J33" s="50" t="s">
        <v>87</v>
      </c>
      <c r="K33" s="6" t="s">
        <v>65</v>
      </c>
      <c r="L33" s="6" t="s">
        <v>65</v>
      </c>
      <c r="M33" s="6" t="s">
        <v>65</v>
      </c>
      <c r="N33" s="6" t="s">
        <v>65</v>
      </c>
      <c r="O33" s="6" t="s">
        <v>65</v>
      </c>
      <c r="P33" s="6" t="str">
        <f>IF(OR(J33="NO",K33="NO",L33="NO",M33="NO",N33="NO",O33="NO"),"No Aceptable","Aceptable")</f>
        <v>No Aceptable</v>
      </c>
      <c r="Q33" s="6" t="s">
        <v>87</v>
      </c>
      <c r="R33" s="6" t="s">
        <v>87</v>
      </c>
      <c r="S33" s="6" t="s">
        <v>87</v>
      </c>
      <c r="T33" s="6" t="s">
        <v>87</v>
      </c>
      <c r="U33" s="6" t="s">
        <v>87</v>
      </c>
      <c r="V33" s="6" t="s">
        <v>87</v>
      </c>
      <c r="W33" s="6" t="str">
        <f t="shared" si="1"/>
        <v>No Critico</v>
      </c>
    </row>
    <row r="34" spans="1:23" ht="24" customHeight="1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60" t="str">
        <f>Inicial!D34</f>
        <v>Pesador de garras</v>
      </c>
      <c r="E34" s="58" t="str">
        <f>IF(Inicial!J34="SI",Inicial!E34,"N/A")</f>
        <v>04:05 - 12:25 / 12:15 A 21:45</v>
      </c>
      <c r="F34" s="59" t="str">
        <f>IF(Inicial!J34="SI",Inicial!F34,"N/A")</f>
        <v>N/A</v>
      </c>
      <c r="G34" s="59">
        <f>IF(Inicial!J34="SI",Inicial!G34,"N/A")</f>
        <v>2</v>
      </c>
      <c r="H34" s="59">
        <f>IF(Inicial!J34="SI",Inicial!H34,"N/A")</f>
        <v>23</v>
      </c>
      <c r="I34" s="61">
        <f>IF(Inicial!J34="SI",Inicial!I34,"N/A")</f>
        <v>17</v>
      </c>
      <c r="J34" s="50" t="s">
        <v>87</v>
      </c>
      <c r="K34" s="6" t="s">
        <v>65</v>
      </c>
      <c r="L34" s="6" t="s">
        <v>65</v>
      </c>
      <c r="M34" s="6" t="s">
        <v>65</v>
      </c>
      <c r="N34" s="6" t="s">
        <v>65</v>
      </c>
      <c r="O34" s="6" t="s">
        <v>65</v>
      </c>
      <c r="P34" s="6" t="str">
        <f t="shared" si="0"/>
        <v>No Aceptable</v>
      </c>
      <c r="Q34" s="6" t="s">
        <v>87</v>
      </c>
      <c r="R34" s="6" t="s">
        <v>87</v>
      </c>
      <c r="S34" s="6" t="s">
        <v>87</v>
      </c>
      <c r="T34" s="6" t="s">
        <v>87</v>
      </c>
      <c r="U34" s="6" t="s">
        <v>87</v>
      </c>
      <c r="V34" s="6" t="s">
        <v>87</v>
      </c>
      <c r="W34" s="6" t="str">
        <f t="shared" si="1"/>
        <v>No Critico</v>
      </c>
    </row>
    <row r="35" spans="1:23" ht="24" customHeight="1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60" t="str">
        <f>Inicial!D35</f>
        <v>Repaso de callos</v>
      </c>
      <c r="E35" s="58" t="str">
        <f>IF(Inicial!J35="SI",Inicial!E35,"N/A")</f>
        <v>04:05 - 12:25 / 12:15 A 21:45</v>
      </c>
      <c r="F35" s="59" t="str">
        <f>IF(Inicial!J35="SI",Inicial!F35,"N/A")</f>
        <v>N/A</v>
      </c>
      <c r="G35" s="59">
        <f>IF(Inicial!J35="SI",Inicial!G35,"N/A")</f>
        <v>2</v>
      </c>
      <c r="H35" s="59">
        <f>IF(Inicial!J35="SI",Inicial!H35,"N/A")</f>
        <v>23</v>
      </c>
      <c r="I35" s="61">
        <f>IF(Inicial!J35="SI",Inicial!I35,"N/A")</f>
        <v>17</v>
      </c>
      <c r="J35" s="50" t="s">
        <v>65</v>
      </c>
      <c r="K35" s="6" t="s">
        <v>65</v>
      </c>
      <c r="L35" s="6" t="s">
        <v>65</v>
      </c>
      <c r="M35" s="6" t="s">
        <v>65</v>
      </c>
      <c r="N35" s="6" t="s">
        <v>65</v>
      </c>
      <c r="O35" s="6" t="s">
        <v>65</v>
      </c>
      <c r="P35" s="6" t="str">
        <f t="shared" si="0"/>
        <v>Aceptable</v>
      </c>
      <c r="Q35" s="6" t="s">
        <v>87</v>
      </c>
      <c r="R35" s="6" t="s">
        <v>87</v>
      </c>
      <c r="S35" s="6" t="s">
        <v>87</v>
      </c>
      <c r="T35" s="6" t="s">
        <v>87</v>
      </c>
      <c r="U35" s="6" t="s">
        <v>87</v>
      </c>
      <c r="V35" s="6" t="s">
        <v>87</v>
      </c>
      <c r="W35" s="6" t="str">
        <f t="shared" si="1"/>
        <v>No Critico</v>
      </c>
    </row>
    <row r="36" spans="1:23" ht="24" customHeight="1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60" t="str">
        <f>Inicial!D36</f>
        <v>Traslado de Garra Larga</v>
      </c>
      <c r="E36" s="58" t="str">
        <f>IF(Inicial!J36="SI",Inicial!E36,"N/A")</f>
        <v>N/A</v>
      </c>
      <c r="F36" s="59" t="str">
        <f>IF(Inicial!J36="SI",Inicial!F36,"N/A")</f>
        <v>N/A</v>
      </c>
      <c r="G36" s="59" t="str">
        <f>IF(Inicial!J36="SI",Inicial!G36,"N/A")</f>
        <v>N/A</v>
      </c>
      <c r="H36" s="59" t="str">
        <f>IF(Inicial!J36="SI",Inicial!H36,"N/A")</f>
        <v>N/A</v>
      </c>
      <c r="I36" s="61" t="str">
        <f>IF(Inicial!J36="SI",Inicial!I36,"N/A")</f>
        <v>N/A</v>
      </c>
      <c r="J36" s="50" t="s">
        <v>65</v>
      </c>
      <c r="K36" s="6" t="s">
        <v>65</v>
      </c>
      <c r="L36" s="6" t="s">
        <v>65</v>
      </c>
      <c r="M36" s="6" t="s">
        <v>65</v>
      </c>
      <c r="N36" s="6" t="s">
        <v>65</v>
      </c>
      <c r="O36" s="6" t="s">
        <v>65</v>
      </c>
      <c r="P36" s="6" t="str">
        <f t="shared" si="0"/>
        <v>Aceptable</v>
      </c>
      <c r="Q36" s="6"/>
      <c r="R36" s="6"/>
      <c r="S36" s="6"/>
      <c r="T36" s="6"/>
      <c r="U36" s="6"/>
      <c r="V36" s="6"/>
      <c r="W36" s="6" t="str">
        <f t="shared" si="1"/>
        <v>Critico</v>
      </c>
    </row>
    <row r="37" spans="1:23" ht="24" customHeight="1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60" t="str">
        <f>Inicial!D37</f>
        <v>Seleccionador de garra</v>
      </c>
      <c r="E37" s="58" t="str">
        <f>IF(Inicial!J37="SI",Inicial!E37,"N/A")</f>
        <v>04:05 - 12:25 / 12:15 A 21:45</v>
      </c>
      <c r="F37" s="59" t="str">
        <f>IF(Inicial!J37="SI",Inicial!F37,"N/A")</f>
        <v>N/A</v>
      </c>
      <c r="G37" s="59">
        <f>IF(Inicial!J37="SI",Inicial!G37,"N/A")</f>
        <v>2</v>
      </c>
      <c r="H37" s="59">
        <f>IF(Inicial!J37="SI",Inicial!H37,"N/A")</f>
        <v>23</v>
      </c>
      <c r="I37" s="61">
        <f>IF(Inicial!J37="SI",Inicial!I37,"N/A")</f>
        <v>17</v>
      </c>
      <c r="J37" s="50" t="s">
        <v>87</v>
      </c>
      <c r="K37" s="6" t="s">
        <v>65</v>
      </c>
      <c r="L37" s="6" t="s">
        <v>65</v>
      </c>
      <c r="M37" s="6" t="s">
        <v>65</v>
      </c>
      <c r="N37" s="6" t="s">
        <v>65</v>
      </c>
      <c r="O37" s="6" t="s">
        <v>65</v>
      </c>
      <c r="P37" s="6" t="str">
        <f t="shared" si="0"/>
        <v>No Aceptable</v>
      </c>
      <c r="Q37" s="6" t="s">
        <v>87</v>
      </c>
      <c r="R37" s="6" t="s">
        <v>87</v>
      </c>
      <c r="S37" s="6" t="s">
        <v>87</v>
      </c>
      <c r="T37" s="6" t="s">
        <v>87</v>
      </c>
      <c r="U37" s="6" t="s">
        <v>87</v>
      </c>
      <c r="V37" s="6" t="s">
        <v>87</v>
      </c>
      <c r="W37" s="6" t="str">
        <f t="shared" si="1"/>
        <v>No Critico</v>
      </c>
    </row>
    <row r="38" spans="1:23" ht="24" customHeight="1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60" t="str">
        <f>Inicial!D38</f>
        <v>Embalando garras</v>
      </c>
      <c r="E38" s="58" t="str">
        <f>IF(Inicial!J38="SI",Inicial!E38,"N/A")</f>
        <v>04:05 - 12:25 / 12:15 A 21:45</v>
      </c>
      <c r="F38" s="59" t="str">
        <f>IF(Inicial!J38="SI",Inicial!F38,"N/A")</f>
        <v>N/A</v>
      </c>
      <c r="G38" s="59">
        <f>IF(Inicial!J38="SI",Inicial!G38,"N/A")</f>
        <v>2</v>
      </c>
      <c r="H38" s="59">
        <f>IF(Inicial!J38="SI",Inicial!H38,"N/A")</f>
        <v>23</v>
      </c>
      <c r="I38" s="61">
        <f>IF(Inicial!J38="SI",Inicial!I38,"N/A")</f>
        <v>17</v>
      </c>
      <c r="J38" s="50" t="s">
        <v>65</v>
      </c>
      <c r="K38" s="6" t="s">
        <v>65</v>
      </c>
      <c r="L38" s="6" t="s">
        <v>65</v>
      </c>
      <c r="M38" s="6" t="s">
        <v>65</v>
      </c>
      <c r="N38" s="6" t="s">
        <v>65</v>
      </c>
      <c r="O38" s="6" t="s">
        <v>65</v>
      </c>
      <c r="P38" s="6" t="str">
        <f t="shared" si="0"/>
        <v>Aceptable</v>
      </c>
      <c r="Q38" s="6"/>
      <c r="R38" s="6"/>
      <c r="S38" s="6"/>
      <c r="T38" s="6"/>
      <c r="U38" s="6"/>
      <c r="V38" s="6"/>
      <c r="W38" s="6" t="str">
        <f t="shared" si="1"/>
        <v>Critico</v>
      </c>
    </row>
    <row r="39" spans="1:23" ht="24" customHeight="1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60" t="str">
        <f>Inicial!D39</f>
        <v>Cortadora de garra larga</v>
      </c>
      <c r="E39" s="58" t="str">
        <f>IF(Inicial!J39="SI",Inicial!E39,"N/A")</f>
        <v>04:05 - 12:25 / 12:15 A 21:45</v>
      </c>
      <c r="F39" s="59" t="str">
        <f>IF(Inicial!J39="SI",Inicial!F39,"N/A")</f>
        <v>N/A</v>
      </c>
      <c r="G39" s="59">
        <f>IF(Inicial!J39="SI",Inicial!G39,"N/A")</f>
        <v>2</v>
      </c>
      <c r="H39" s="59">
        <f>IF(Inicial!J39="SI",Inicial!H39,"N/A")</f>
        <v>23</v>
      </c>
      <c r="I39" s="61">
        <f>IF(Inicial!J39="SI",Inicial!I39,"N/A")</f>
        <v>17</v>
      </c>
      <c r="J39" s="50" t="s">
        <v>87</v>
      </c>
      <c r="K39" s="6" t="s">
        <v>65</v>
      </c>
      <c r="L39" s="6" t="s">
        <v>65</v>
      </c>
      <c r="M39" s="6" t="s">
        <v>65</v>
      </c>
      <c r="N39" s="6" t="s">
        <v>65</v>
      </c>
      <c r="O39" s="6" t="s">
        <v>65</v>
      </c>
      <c r="P39" s="6" t="str">
        <f t="shared" si="0"/>
        <v>No Aceptable</v>
      </c>
      <c r="Q39" s="6" t="s">
        <v>87</v>
      </c>
      <c r="R39" s="6" t="s">
        <v>87</v>
      </c>
      <c r="S39" s="6" t="s">
        <v>87</v>
      </c>
      <c r="T39" s="6" t="s">
        <v>87</v>
      </c>
      <c r="U39" s="6" t="s">
        <v>87</v>
      </c>
      <c r="V39" s="6" t="s">
        <v>87</v>
      </c>
      <c r="W39" s="6" t="str">
        <f t="shared" si="1"/>
        <v>No Critico</v>
      </c>
    </row>
    <row r="40" spans="1:23" ht="40.9" customHeight="1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60" t="str">
        <f>Inicial!D40</f>
        <v>Etiquetado en mesa de embalaje</v>
      </c>
      <c r="E40" s="58" t="str">
        <f>IF(Inicial!J40="SI",Inicial!E40,"N/A")</f>
        <v>N/A</v>
      </c>
      <c r="F40" s="59" t="str">
        <f>IF(Inicial!J40="SI",Inicial!F40,"N/A")</f>
        <v>N/A</v>
      </c>
      <c r="G40" s="59" t="str">
        <f>IF(Inicial!J40="SI",Inicial!G40,"N/A")</f>
        <v>N/A</v>
      </c>
      <c r="H40" s="59" t="str">
        <f>IF(Inicial!J40="SI",Inicial!H40,"N/A")</f>
        <v>N/A</v>
      </c>
      <c r="I40" s="61" t="str">
        <f>IF(Inicial!J40="SI",Inicial!I40,"N/A")</f>
        <v>N/A</v>
      </c>
      <c r="J40" s="50" t="s">
        <v>65</v>
      </c>
      <c r="K40" s="6" t="s">
        <v>65</v>
      </c>
      <c r="L40" s="6" t="s">
        <v>65</v>
      </c>
      <c r="M40" s="6" t="s">
        <v>65</v>
      </c>
      <c r="N40" s="6" t="s">
        <v>65</v>
      </c>
      <c r="O40" s="6" t="s">
        <v>65</v>
      </c>
      <c r="P40" s="6" t="str">
        <f>IF(OR(J40="NO",K40="NO",L40="NO",M40="NO",N40="NO",O40="NO"),"No Aceptable","Aceptable")</f>
        <v>Aceptable</v>
      </c>
      <c r="Q40" s="6"/>
      <c r="R40" s="6"/>
      <c r="S40" s="6"/>
      <c r="T40" s="6"/>
      <c r="U40" s="6"/>
      <c r="V40" s="6"/>
      <c r="W40" s="6" t="str">
        <f t="shared" si="1"/>
        <v>Critico</v>
      </c>
    </row>
    <row r="41" spans="1:23" ht="24" customHeight="1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60" t="str">
        <f>Inicial!D41</f>
        <v>Nudillos</v>
      </c>
      <c r="E41" s="58" t="str">
        <f>IF(Inicial!J41="SI",Inicial!E41,"N/A")</f>
        <v>04:05 - 12:25 / 12:15 A 21:45</v>
      </c>
      <c r="F41" s="59" t="str">
        <f>IF(Inicial!J41="SI",Inicial!F41,"N/A")</f>
        <v>N/A</v>
      </c>
      <c r="G41" s="59">
        <f>IF(Inicial!J41="SI",Inicial!G41,"N/A")</f>
        <v>2</v>
      </c>
      <c r="H41" s="59">
        <f>IF(Inicial!J41="SI",Inicial!H41,"N/A")</f>
        <v>23</v>
      </c>
      <c r="I41" s="61">
        <f>IF(Inicial!J41="SI",Inicial!I41,"N/A")</f>
        <v>17</v>
      </c>
      <c r="J41" s="50" t="s">
        <v>87</v>
      </c>
      <c r="K41" s="6" t="s">
        <v>65</v>
      </c>
      <c r="L41" s="6" t="s">
        <v>65</v>
      </c>
      <c r="M41" s="6" t="s">
        <v>65</v>
      </c>
      <c r="N41" s="6" t="s">
        <v>65</v>
      </c>
      <c r="O41" s="6" t="s">
        <v>65</v>
      </c>
      <c r="P41" s="6" t="str">
        <f>IF(OR(J41="NO",K41="NO",L41="NO",M41="NO",N41="NO",O41="NO"),"No Aceptable","Aceptable")</f>
        <v>No Aceptable</v>
      </c>
      <c r="Q41" s="6" t="s">
        <v>87</v>
      </c>
      <c r="R41" s="6" t="s">
        <v>87</v>
      </c>
      <c r="S41" s="6" t="s">
        <v>87</v>
      </c>
      <c r="T41" s="6" t="s">
        <v>87</v>
      </c>
      <c r="U41" s="6" t="s">
        <v>87</v>
      </c>
      <c r="V41" s="6" t="s">
        <v>87</v>
      </c>
      <c r="W41" s="6" t="str">
        <f t="shared" si="1"/>
        <v>No Critico</v>
      </c>
    </row>
    <row r="42" spans="1:23" ht="24" customHeight="1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60" t="str">
        <f>Inicial!D42</f>
        <v>Pesador de nudillos</v>
      </c>
      <c r="E42" s="58" t="str">
        <f>IF(Inicial!J42="SI",Inicial!E42,"N/A")</f>
        <v>04:05 - 12:25 / 12:15 A 21:45</v>
      </c>
      <c r="F42" s="59" t="str">
        <f>IF(Inicial!J42="SI",Inicial!F42,"N/A")</f>
        <v>N/A</v>
      </c>
      <c r="G42" s="59">
        <f>IF(Inicial!J42="SI",Inicial!G42,"N/A")</f>
        <v>2</v>
      </c>
      <c r="H42" s="59">
        <f>IF(Inicial!J42="SI",Inicial!H42,"N/A")</f>
        <v>23</v>
      </c>
      <c r="I42" s="61">
        <f>IF(Inicial!J42="SI",Inicial!I42,"N/A")</f>
        <v>17</v>
      </c>
      <c r="J42" s="50" t="s">
        <v>87</v>
      </c>
      <c r="K42" s="6" t="s">
        <v>65</v>
      </c>
      <c r="L42" s="6" t="s">
        <v>65</v>
      </c>
      <c r="M42" s="6" t="s">
        <v>65</v>
      </c>
      <c r="N42" s="6" t="s">
        <v>65</v>
      </c>
      <c r="O42" s="6" t="s">
        <v>65</v>
      </c>
      <c r="P42" s="6" t="str">
        <f t="shared" si="0"/>
        <v>No Aceptable</v>
      </c>
      <c r="Q42" s="6" t="s">
        <v>87</v>
      </c>
      <c r="R42" s="6" t="s">
        <v>87</v>
      </c>
      <c r="S42" s="6" t="s">
        <v>87</v>
      </c>
      <c r="T42" s="6" t="s">
        <v>87</v>
      </c>
      <c r="U42" s="6" t="s">
        <v>87</v>
      </c>
      <c r="V42" s="6" t="s">
        <v>87</v>
      </c>
      <c r="W42" s="6" t="str">
        <f t="shared" si="1"/>
        <v>No Critico</v>
      </c>
    </row>
    <row r="43" spans="1:23" ht="24" customHeight="1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60" t="str">
        <f>Inicial!D43</f>
        <v>Maquinista Garras</v>
      </c>
      <c r="E43" s="58" t="str">
        <f>IF(Inicial!J43="SI",Inicial!E43,"N/A")</f>
        <v>N/A</v>
      </c>
      <c r="F43" s="59" t="str">
        <f>IF(Inicial!J43="SI",Inicial!F43,"N/A")</f>
        <v>N/A</v>
      </c>
      <c r="G43" s="59" t="str">
        <f>IF(Inicial!J43="SI",Inicial!G43,"N/A")</f>
        <v>N/A</v>
      </c>
      <c r="H43" s="59" t="str">
        <f>IF(Inicial!J43="SI",Inicial!H43,"N/A")</f>
        <v>N/A</v>
      </c>
      <c r="I43" s="61" t="str">
        <f>IF(Inicial!J43="SI",Inicial!I43,"N/A")</f>
        <v>N/A</v>
      </c>
      <c r="J43" s="50"/>
      <c r="K43" s="6"/>
      <c r="L43" s="6"/>
      <c r="M43" s="6"/>
      <c r="N43" s="6"/>
      <c r="O43" s="6"/>
      <c r="P43" s="6" t="str">
        <f t="shared" si="0"/>
        <v>Aceptable</v>
      </c>
      <c r="Q43" s="6"/>
      <c r="R43" s="6"/>
      <c r="S43" s="6"/>
      <c r="T43" s="6"/>
      <c r="U43" s="6"/>
      <c r="V43" s="6"/>
      <c r="W43" s="6" t="str">
        <f t="shared" si="1"/>
        <v>Critico</v>
      </c>
    </row>
    <row r="44" spans="1:23" ht="24" customHeight="1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60" t="str">
        <f>Inicial!D44</f>
        <v xml:space="preserve">Jefe de Línea </v>
      </c>
      <c r="E44" s="58" t="str">
        <f>IF(Inicial!J44="SI",Inicial!E44,"N/A")</f>
        <v>N/A</v>
      </c>
      <c r="F44" s="59" t="str">
        <f>IF(Inicial!J44="SI",Inicial!F44,"N/A")</f>
        <v>N/A</v>
      </c>
      <c r="G44" s="59" t="str">
        <f>IF(Inicial!J44="SI",Inicial!G44,"N/A")</f>
        <v>N/A</v>
      </c>
      <c r="H44" s="59" t="str">
        <f>IF(Inicial!J44="SI",Inicial!H44,"N/A")</f>
        <v>N/A</v>
      </c>
      <c r="I44" s="61" t="str">
        <f>IF(Inicial!J44="SI",Inicial!I44,"N/A")</f>
        <v>N/A</v>
      </c>
      <c r="J44" s="50"/>
      <c r="K44" s="6"/>
      <c r="L44" s="6"/>
      <c r="M44" s="6"/>
      <c r="N44" s="6"/>
      <c r="O44" s="6"/>
      <c r="P44" s="6" t="str">
        <f t="shared" si="0"/>
        <v>Aceptable</v>
      </c>
      <c r="Q44" s="6"/>
      <c r="R44" s="6"/>
      <c r="S44" s="6"/>
      <c r="T44" s="6"/>
      <c r="U44" s="6"/>
      <c r="V44" s="6"/>
      <c r="W44" s="6" t="str">
        <f t="shared" si="1"/>
        <v>Critico</v>
      </c>
    </row>
    <row r="45" spans="1:23" ht="24" customHeight="1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60" t="str">
        <f>Inicial!D45</f>
        <v>Colgador aves frias</v>
      </c>
      <c r="E45" s="58" t="str">
        <f>IF(Inicial!J45="SI",Inicial!E45,"N/A")</f>
        <v>05:30-13:50 / 13:50-23:25</v>
      </c>
      <c r="F45" s="59" t="str">
        <f>IF(Inicial!J45="SI",Inicial!F45,"N/A")</f>
        <v>N/A</v>
      </c>
      <c r="G45" s="59">
        <f>IF(Inicial!J45="SI",Inicial!G45,"N/A")</f>
        <v>2</v>
      </c>
      <c r="H45" s="59">
        <f>IF(Inicial!J45="SI",Inicial!H45,"N/A")</f>
        <v>81</v>
      </c>
      <c r="I45" s="61">
        <f>IF(Inicial!J45="SI",Inicial!I45,"N/A")</f>
        <v>0</v>
      </c>
      <c r="J45" s="50" t="s">
        <v>87</v>
      </c>
      <c r="K45" s="6" t="s">
        <v>65</v>
      </c>
      <c r="L45" s="6" t="s">
        <v>65</v>
      </c>
      <c r="M45" s="6" t="s">
        <v>65</v>
      </c>
      <c r="N45" s="6" t="s">
        <v>65</v>
      </c>
      <c r="O45" s="6" t="s">
        <v>65</v>
      </c>
      <c r="P45" s="6" t="str">
        <f t="shared" si="0"/>
        <v>No Aceptable</v>
      </c>
      <c r="Q45" s="6" t="s">
        <v>87</v>
      </c>
      <c r="R45" s="6" t="s">
        <v>87</v>
      </c>
      <c r="S45" s="6" t="s">
        <v>87</v>
      </c>
      <c r="T45" s="6" t="s">
        <v>87</v>
      </c>
      <c r="U45" s="6" t="s">
        <v>87</v>
      </c>
      <c r="V45" s="6" t="s">
        <v>87</v>
      </c>
      <c r="W45" s="6" t="str">
        <f t="shared" si="1"/>
        <v>No Critico</v>
      </c>
    </row>
    <row r="46" spans="1:23" ht="24" customHeight="1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60" t="str">
        <f>Inicial!D46</f>
        <v>Embolsador de pana</v>
      </c>
      <c r="E46" s="58" t="str">
        <f>IF(Inicial!J46="SI",Inicial!E46,"N/A")</f>
        <v>05:30-13:50 / 13:50-23:25</v>
      </c>
      <c r="F46" s="59" t="str">
        <f>IF(Inicial!J46="SI",Inicial!F46,"N/A")</f>
        <v>N/A</v>
      </c>
      <c r="G46" s="59">
        <f>IF(Inicial!J46="SI",Inicial!G46,"N/A")</f>
        <v>2</v>
      </c>
      <c r="H46" s="59">
        <f>IF(Inicial!J46="SI",Inicial!H46,"N/A")</f>
        <v>81</v>
      </c>
      <c r="I46" s="61">
        <f>IF(Inicial!J46="SI",Inicial!I46,"N/A")</f>
        <v>3</v>
      </c>
      <c r="J46" s="50" t="s">
        <v>87</v>
      </c>
      <c r="K46" s="6" t="s">
        <v>65</v>
      </c>
      <c r="L46" s="6" t="s">
        <v>65</v>
      </c>
      <c r="M46" s="6" t="s">
        <v>65</v>
      </c>
      <c r="N46" s="6" t="s">
        <v>65</v>
      </c>
      <c r="O46" s="6" t="s">
        <v>65</v>
      </c>
      <c r="P46" s="6" t="str">
        <f t="shared" si="0"/>
        <v>No Aceptable</v>
      </c>
      <c r="Q46" s="6" t="s">
        <v>87</v>
      </c>
      <c r="R46" s="6" t="s">
        <v>87</v>
      </c>
      <c r="S46" s="6" t="s">
        <v>87</v>
      </c>
      <c r="T46" s="6" t="s">
        <v>87</v>
      </c>
      <c r="U46" s="6" t="s">
        <v>87</v>
      </c>
      <c r="V46" s="6" t="s">
        <v>87</v>
      </c>
      <c r="W46" s="6" t="str">
        <f t="shared" si="1"/>
        <v>No Critico</v>
      </c>
    </row>
    <row r="47" spans="1:23" ht="24" customHeight="1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60" t="str">
        <f>Inicial!D47</f>
        <v>Embalador de producto</v>
      </c>
      <c r="E47" s="58" t="str">
        <f>IF(Inicial!J47="SI",Inicial!E47,"N/A")</f>
        <v>05:30-13:50 / 13:50-23:25</v>
      </c>
      <c r="F47" s="59" t="str">
        <f>IF(Inicial!J47="SI",Inicial!F47,"N/A")</f>
        <v>N/A</v>
      </c>
      <c r="G47" s="59">
        <f>IF(Inicial!J47="SI",Inicial!G47,"N/A")</f>
        <v>2</v>
      </c>
      <c r="H47" s="59">
        <f>IF(Inicial!J47="SI",Inicial!H47,"N/A")</f>
        <v>81</v>
      </c>
      <c r="I47" s="61">
        <f>IF(Inicial!J47="SI",Inicial!I47,"N/A")</f>
        <v>3</v>
      </c>
      <c r="J47" s="50" t="s">
        <v>87</v>
      </c>
      <c r="K47" s="6" t="s">
        <v>65</v>
      </c>
      <c r="L47" s="6" t="s">
        <v>65</v>
      </c>
      <c r="M47" s="6" t="s">
        <v>65</v>
      </c>
      <c r="N47" s="6" t="s">
        <v>65</v>
      </c>
      <c r="O47" s="6" t="s">
        <v>65</v>
      </c>
      <c r="P47" s="6" t="str">
        <f t="shared" si="0"/>
        <v>No Aceptable</v>
      </c>
      <c r="Q47" s="6" t="s">
        <v>87</v>
      </c>
      <c r="R47" s="6" t="s">
        <v>87</v>
      </c>
      <c r="S47" s="6" t="s">
        <v>87</v>
      </c>
      <c r="T47" s="6" t="s">
        <v>87</v>
      </c>
      <c r="U47" s="6" t="s">
        <v>87</v>
      </c>
      <c r="V47" s="6" t="s">
        <v>87</v>
      </c>
      <c r="W47" s="6" t="str">
        <f t="shared" si="1"/>
        <v>No Critico</v>
      </c>
    </row>
    <row r="48" spans="1:23" ht="24" customHeight="1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60" t="str">
        <f>Inicial!D48</f>
        <v>Embolsado de corazon</v>
      </c>
      <c r="E48" s="58" t="str">
        <f>IF(Inicial!J48="SI",Inicial!E48,"N/A")</f>
        <v>05:30-13:50 / 13:50-23:25</v>
      </c>
      <c r="F48" s="59" t="str">
        <f>IF(Inicial!J48="SI",Inicial!F48,"N/A")</f>
        <v>N/A</v>
      </c>
      <c r="G48" s="59">
        <f>IF(Inicial!J48="SI",Inicial!G48,"N/A")</f>
        <v>2</v>
      </c>
      <c r="H48" s="59">
        <f>IF(Inicial!J48="SI",Inicial!H48,"N/A")</f>
        <v>81</v>
      </c>
      <c r="I48" s="61">
        <f>IF(Inicial!J48="SI",Inicial!I48,"N/A")</f>
        <v>3</v>
      </c>
      <c r="J48" s="50" t="s">
        <v>87</v>
      </c>
      <c r="K48" s="6" t="s">
        <v>65</v>
      </c>
      <c r="L48" s="6" t="s">
        <v>65</v>
      </c>
      <c r="M48" s="6" t="s">
        <v>65</v>
      </c>
      <c r="N48" s="6" t="s">
        <v>65</v>
      </c>
      <c r="O48" s="6" t="s">
        <v>65</v>
      </c>
      <c r="P48" s="6" t="str">
        <f t="shared" si="0"/>
        <v>No Aceptable</v>
      </c>
      <c r="Q48" s="6" t="s">
        <v>87</v>
      </c>
      <c r="R48" s="6" t="s">
        <v>87</v>
      </c>
      <c r="S48" s="6" t="s">
        <v>87</v>
      </c>
      <c r="T48" s="6" t="s">
        <v>87</v>
      </c>
      <c r="U48" s="6" t="s">
        <v>87</v>
      </c>
      <c r="V48" s="6" t="s">
        <v>87</v>
      </c>
      <c r="W48" s="6" t="str">
        <f t="shared" si="1"/>
        <v>No Critico</v>
      </c>
    </row>
    <row r="49" spans="1:23" ht="24" customHeight="1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60" t="str">
        <f>Inicial!D49</f>
        <v>Pesador de corazon</v>
      </c>
      <c r="E49" s="58" t="str">
        <f>IF(Inicial!J49="SI",Inicial!E49,"N/A")</f>
        <v>05:30-13:50 / 13:50-23:25</v>
      </c>
      <c r="F49" s="59" t="str">
        <f>IF(Inicial!J49="SI",Inicial!F49,"N/A")</f>
        <v>N/A</v>
      </c>
      <c r="G49" s="59">
        <f>IF(Inicial!J49="SI",Inicial!G49,"N/A")</f>
        <v>2</v>
      </c>
      <c r="H49" s="59">
        <f>IF(Inicial!J49="SI",Inicial!H49,"N/A")</f>
        <v>81</v>
      </c>
      <c r="I49" s="61">
        <f>IF(Inicial!J49="SI",Inicial!I49,"N/A")</f>
        <v>3</v>
      </c>
      <c r="J49" s="50" t="s">
        <v>87</v>
      </c>
      <c r="K49" s="6" t="s">
        <v>65</v>
      </c>
      <c r="L49" s="6" t="s">
        <v>65</v>
      </c>
      <c r="M49" s="6" t="s">
        <v>65</v>
      </c>
      <c r="N49" s="6" t="s">
        <v>65</v>
      </c>
      <c r="O49" s="6" t="s">
        <v>65</v>
      </c>
      <c r="P49" s="6" t="str">
        <f t="shared" si="0"/>
        <v>No Aceptable</v>
      </c>
      <c r="Q49" s="6" t="s">
        <v>87</v>
      </c>
      <c r="R49" s="6" t="s">
        <v>87</v>
      </c>
      <c r="S49" s="6" t="s">
        <v>87</v>
      </c>
      <c r="T49" s="6" t="s">
        <v>87</v>
      </c>
      <c r="U49" s="6" t="s">
        <v>87</v>
      </c>
      <c r="V49" s="6" t="s">
        <v>87</v>
      </c>
      <c r="W49" s="6" t="str">
        <f t="shared" si="1"/>
        <v>No Critico</v>
      </c>
    </row>
    <row r="50" spans="1:23" ht="24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60" t="str">
        <f>Inicial!D50</f>
        <v>Selección de corazon</v>
      </c>
      <c r="E50" s="58" t="str">
        <f>IF(Inicial!J50="SI",Inicial!E50,"N/A")</f>
        <v>N/A</v>
      </c>
      <c r="F50" s="59" t="str">
        <f>IF(Inicial!J50="SI",Inicial!F50,"N/A")</f>
        <v>N/A</v>
      </c>
      <c r="G50" s="59" t="str">
        <f>IF(Inicial!J50="SI",Inicial!G50,"N/A")</f>
        <v>N/A</v>
      </c>
      <c r="H50" s="59" t="str">
        <f>IF(Inicial!J50="SI",Inicial!H50,"N/A")</f>
        <v>N/A</v>
      </c>
      <c r="I50" s="61" t="str">
        <f>IF(Inicial!J50="SI",Inicial!I50,"N/A")</f>
        <v>N/A</v>
      </c>
      <c r="J50" s="50" t="s">
        <v>65</v>
      </c>
      <c r="K50" s="6" t="s">
        <v>65</v>
      </c>
      <c r="L50" s="6" t="s">
        <v>65</v>
      </c>
      <c r="M50" s="6" t="s">
        <v>65</v>
      </c>
      <c r="N50" s="6" t="s">
        <v>65</v>
      </c>
      <c r="O50" s="6" t="s">
        <v>65</v>
      </c>
      <c r="P50" s="6" t="str">
        <f t="shared" si="0"/>
        <v>Aceptable</v>
      </c>
      <c r="Q50" s="6" t="s">
        <v>87</v>
      </c>
      <c r="R50" s="6" t="s">
        <v>87</v>
      </c>
      <c r="S50" s="6" t="s">
        <v>87</v>
      </c>
      <c r="T50" s="6" t="s">
        <v>87</v>
      </c>
      <c r="U50" s="6" t="s">
        <v>87</v>
      </c>
      <c r="V50" s="6" t="s">
        <v>87</v>
      </c>
      <c r="W50" s="6" t="str">
        <f t="shared" si="1"/>
        <v>No Critico</v>
      </c>
    </row>
    <row r="51" spans="1:23" ht="24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60" t="str">
        <f>Inicial!D51</f>
        <v>Embalador de contre</v>
      </c>
      <c r="E51" s="58" t="str">
        <f>IF(Inicial!J51="SI",Inicial!E51,"N/A")</f>
        <v>05:30-13:50 / 13:50-23:25</v>
      </c>
      <c r="F51" s="59" t="str">
        <f>IF(Inicial!J51="SI",Inicial!F51,"N/A")</f>
        <v>N/A</v>
      </c>
      <c r="G51" s="59">
        <f>IF(Inicial!J51="SI",Inicial!G51,"N/A")</f>
        <v>2</v>
      </c>
      <c r="H51" s="59">
        <f>IF(Inicial!J51="SI",Inicial!H51,"N/A")</f>
        <v>81</v>
      </c>
      <c r="I51" s="61">
        <f>IF(Inicial!J51="SI",Inicial!I51,"N/A")</f>
        <v>3</v>
      </c>
      <c r="J51" s="50" t="s">
        <v>87</v>
      </c>
      <c r="K51" s="6" t="s">
        <v>65</v>
      </c>
      <c r="L51" s="6" t="s">
        <v>65</v>
      </c>
      <c r="M51" s="6" t="s">
        <v>65</v>
      </c>
      <c r="N51" s="6" t="s">
        <v>65</v>
      </c>
      <c r="O51" s="6" t="s">
        <v>65</v>
      </c>
      <c r="P51" s="6" t="str">
        <f t="shared" si="0"/>
        <v>No Aceptable</v>
      </c>
      <c r="Q51" s="6" t="s">
        <v>87</v>
      </c>
      <c r="R51" s="6" t="s">
        <v>87</v>
      </c>
      <c r="S51" s="6" t="s">
        <v>87</v>
      </c>
      <c r="T51" s="6" t="s">
        <v>87</v>
      </c>
      <c r="U51" s="6" t="s">
        <v>87</v>
      </c>
      <c r="V51" s="6" t="s">
        <v>87</v>
      </c>
      <c r="W51" s="6" t="str">
        <f t="shared" si="1"/>
        <v>No Critico</v>
      </c>
    </row>
    <row r="52" spans="1:23" ht="24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60" t="str">
        <f>Inicial!D52</f>
        <v>Limpiador de pana</v>
      </c>
      <c r="E52" s="58" t="str">
        <f>IF(Inicial!J52="SI",Inicial!E52,"N/A")</f>
        <v>05:30-13:50 / 13:50-23:25</v>
      </c>
      <c r="F52" s="59" t="str">
        <f>IF(Inicial!J52="SI",Inicial!F52,"N/A")</f>
        <v>N/A</v>
      </c>
      <c r="G52" s="59">
        <f>IF(Inicial!J52="SI",Inicial!G52,"N/A")</f>
        <v>2</v>
      </c>
      <c r="H52" s="59">
        <f>IF(Inicial!J52="SI",Inicial!H52,"N/A")</f>
        <v>81</v>
      </c>
      <c r="I52" s="61">
        <f>IF(Inicial!J52="SI",Inicial!I52,"N/A")</f>
        <v>3</v>
      </c>
      <c r="J52" s="50" t="s">
        <v>87</v>
      </c>
      <c r="K52" s="6" t="s">
        <v>65</v>
      </c>
      <c r="L52" s="6" t="s">
        <v>65</v>
      </c>
      <c r="M52" s="6" t="s">
        <v>65</v>
      </c>
      <c r="N52" s="6" t="s">
        <v>65</v>
      </c>
      <c r="O52" s="6" t="s">
        <v>65</v>
      </c>
      <c r="P52" s="6" t="str">
        <f t="shared" si="0"/>
        <v>No Aceptable</v>
      </c>
      <c r="Q52" s="6" t="s">
        <v>87</v>
      </c>
      <c r="R52" s="6" t="s">
        <v>87</v>
      </c>
      <c r="S52" s="6" t="s">
        <v>87</v>
      </c>
      <c r="T52" s="6" t="s">
        <v>87</v>
      </c>
      <c r="U52" s="6" t="s">
        <v>87</v>
      </c>
      <c r="V52" s="6" t="s">
        <v>87</v>
      </c>
      <c r="W52" s="6" t="str">
        <f t="shared" si="1"/>
        <v>No Critico</v>
      </c>
    </row>
    <row r="53" spans="1:23" ht="24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60" t="str">
        <f>Inicial!D53</f>
        <v>Embolsador de contre</v>
      </c>
      <c r="E53" s="58" t="str">
        <f>IF(Inicial!J53="SI",Inicial!E53,"N/A")</f>
        <v>05:30-13:50 / 13:50-23:25</v>
      </c>
      <c r="F53" s="59" t="str">
        <f>IF(Inicial!J53="SI",Inicial!F53,"N/A")</f>
        <v>N/A</v>
      </c>
      <c r="G53" s="59">
        <f>IF(Inicial!J53="SI",Inicial!G53,"N/A")</f>
        <v>2</v>
      </c>
      <c r="H53" s="59">
        <f>IF(Inicial!J53="SI",Inicial!H53,"N/A")</f>
        <v>81</v>
      </c>
      <c r="I53" s="61">
        <f>IF(Inicial!J53="SI",Inicial!I53,"N/A")</f>
        <v>3</v>
      </c>
      <c r="J53" s="50" t="s">
        <v>87</v>
      </c>
      <c r="K53" s="6" t="s">
        <v>65</v>
      </c>
      <c r="L53" s="6" t="s">
        <v>65</v>
      </c>
      <c r="M53" s="6" t="s">
        <v>65</v>
      </c>
      <c r="N53" s="6" t="s">
        <v>65</v>
      </c>
      <c r="O53" s="6" t="s">
        <v>65</v>
      </c>
      <c r="P53" s="6" t="str">
        <f t="shared" si="0"/>
        <v>No Aceptable</v>
      </c>
      <c r="Q53" s="6" t="s">
        <v>87</v>
      </c>
      <c r="R53" s="6" t="s">
        <v>87</v>
      </c>
      <c r="S53" s="6" t="s">
        <v>87</v>
      </c>
      <c r="T53" s="6" t="s">
        <v>87</v>
      </c>
      <c r="U53" s="6" t="s">
        <v>87</v>
      </c>
      <c r="V53" s="6" t="s">
        <v>87</v>
      </c>
      <c r="W53" s="6" t="str">
        <f t="shared" si="1"/>
        <v>No Critico</v>
      </c>
    </row>
    <row r="54" spans="1:23" ht="24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60" t="str">
        <f>Inicial!D54</f>
        <v>Embalador de Pana</v>
      </c>
      <c r="E54" s="58" t="str">
        <f>IF(Inicial!J54="SI",Inicial!E54,"N/A")</f>
        <v>05:30-13:50 / 13:50-23:25</v>
      </c>
      <c r="F54" s="59" t="str">
        <f>IF(Inicial!J54="SI",Inicial!F54,"N/A")</f>
        <v>N/A</v>
      </c>
      <c r="G54" s="59">
        <f>IF(Inicial!J54="SI",Inicial!G54,"N/A")</f>
        <v>2</v>
      </c>
      <c r="H54" s="59">
        <f>IF(Inicial!J54="SI",Inicial!H54,"N/A")</f>
        <v>81</v>
      </c>
      <c r="I54" s="61">
        <f>IF(Inicial!J54="SI",Inicial!I54,"N/A")</f>
        <v>3</v>
      </c>
      <c r="J54" s="50" t="s">
        <v>87</v>
      </c>
      <c r="K54" s="6" t="s">
        <v>65</v>
      </c>
      <c r="L54" s="6" t="s">
        <v>65</v>
      </c>
      <c r="M54" s="6" t="s">
        <v>65</v>
      </c>
      <c r="N54" s="6" t="s">
        <v>65</v>
      </c>
      <c r="O54" s="6" t="s">
        <v>65</v>
      </c>
      <c r="P54" s="6" t="str">
        <f t="shared" si="0"/>
        <v>No Aceptable</v>
      </c>
      <c r="Q54" s="6" t="s">
        <v>87</v>
      </c>
      <c r="R54" s="6" t="s">
        <v>87</v>
      </c>
      <c r="S54" s="6" t="s">
        <v>87</v>
      </c>
      <c r="T54" s="6" t="s">
        <v>87</v>
      </c>
      <c r="U54" s="6" t="s">
        <v>87</v>
      </c>
      <c r="V54" s="6" t="s">
        <v>87</v>
      </c>
      <c r="W54" s="6" t="str">
        <f t="shared" si="1"/>
        <v>No Critico</v>
      </c>
    </row>
    <row r="55" spans="1:23" ht="24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60" t="str">
        <f>Inicial!D55</f>
        <v>Selección de Contre</v>
      </c>
      <c r="E55" s="58" t="str">
        <f>IF(Inicial!J55="SI",Inicial!E55,"N/A")</f>
        <v>05:30-13:50 / 13:50-23:25</v>
      </c>
      <c r="F55" s="59" t="str">
        <f>IF(Inicial!J55="SI",Inicial!F55,"N/A")</f>
        <v>N/A</v>
      </c>
      <c r="G55" s="59">
        <f>IF(Inicial!J55="SI",Inicial!G55,"N/A")</f>
        <v>2</v>
      </c>
      <c r="H55" s="59">
        <f>IF(Inicial!J55="SI",Inicial!H55,"N/A")</f>
        <v>81</v>
      </c>
      <c r="I55" s="61">
        <f>IF(Inicial!J55="SI",Inicial!I55,"N/A")</f>
        <v>3</v>
      </c>
      <c r="J55" s="50" t="s">
        <v>65</v>
      </c>
      <c r="K55" s="6" t="s">
        <v>65</v>
      </c>
      <c r="L55" s="6" t="s">
        <v>65</v>
      </c>
      <c r="M55" s="6" t="s">
        <v>65</v>
      </c>
      <c r="N55" s="6" t="s">
        <v>65</v>
      </c>
      <c r="O55" s="6" t="s">
        <v>65</v>
      </c>
      <c r="P55" s="6" t="str">
        <f t="shared" si="0"/>
        <v>Aceptable</v>
      </c>
      <c r="Q55" s="6" t="s">
        <v>87</v>
      </c>
      <c r="R55" s="6" t="s">
        <v>87</v>
      </c>
      <c r="S55" s="6" t="s">
        <v>87</v>
      </c>
      <c r="T55" s="6" t="s">
        <v>87</v>
      </c>
      <c r="U55" s="6" t="s">
        <v>87</v>
      </c>
      <c r="V55" s="6" t="s">
        <v>87</v>
      </c>
      <c r="W55" s="6" t="str">
        <f t="shared" si="1"/>
        <v>No Critico</v>
      </c>
    </row>
    <row r="56" spans="1:23" ht="24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60" t="str">
        <f>Inicial!D56</f>
        <v>Maquinista chiller</v>
      </c>
      <c r="E56" s="58" t="str">
        <f>IF(Inicial!J56="SI",Inicial!E56,"N/A")</f>
        <v>N/A</v>
      </c>
      <c r="F56" s="59" t="str">
        <f>IF(Inicial!J56="SI",Inicial!F56,"N/A")</f>
        <v>N/A</v>
      </c>
      <c r="G56" s="59" t="str">
        <f>IF(Inicial!J56="SI",Inicial!G56,"N/A")</f>
        <v>N/A</v>
      </c>
      <c r="H56" s="59" t="str">
        <f>IF(Inicial!J56="SI",Inicial!H56,"N/A")</f>
        <v>N/A</v>
      </c>
      <c r="I56" s="61" t="str">
        <f>IF(Inicial!J56="SI",Inicial!I56,"N/A")</f>
        <v>N/A</v>
      </c>
      <c r="J56" s="50"/>
      <c r="K56" s="6"/>
      <c r="L56" s="6"/>
      <c r="M56" s="6"/>
      <c r="N56" s="6"/>
      <c r="O56" s="6"/>
      <c r="P56" s="6" t="str">
        <f t="shared" si="0"/>
        <v>Aceptable</v>
      </c>
      <c r="Q56" s="6"/>
      <c r="R56" s="6"/>
      <c r="S56" s="6"/>
      <c r="T56" s="6"/>
      <c r="U56" s="6"/>
      <c r="V56" s="6"/>
      <c r="W56" s="6" t="str">
        <f t="shared" si="1"/>
        <v>Critico</v>
      </c>
    </row>
    <row r="57" spans="1:23" ht="20.45" customHeight="1">
      <c r="A57" s="58">
        <f>Inicial!A57</f>
        <v>55</v>
      </c>
      <c r="B57" s="59" t="str">
        <f>Inicial!B57</f>
        <v>Faenación</v>
      </c>
      <c r="C57" s="59" t="str">
        <f>Inicial!C57</f>
        <v>Empaque - Chiller</v>
      </c>
      <c r="D57" s="60" t="str">
        <f>Inicial!D57</f>
        <v>Corchetera</v>
      </c>
      <c r="E57" s="58" t="str">
        <f>IF(Inicial!J57="SI",Inicial!E57,"N/A")</f>
        <v>05:30-13:50 / 13:50-23:25</v>
      </c>
      <c r="F57" s="59" t="str">
        <f>IF(Inicial!J57="SI",Inicial!F57,"N/A")</f>
        <v>N/A</v>
      </c>
      <c r="G57" s="59">
        <f>IF(Inicial!J57="SI",Inicial!G57,"N/A")</f>
        <v>2</v>
      </c>
      <c r="H57" s="59">
        <f>IF(Inicial!J57="SI",Inicial!H57,"N/A")</f>
        <v>81</v>
      </c>
      <c r="I57" s="61">
        <f>IF(Inicial!J57="SI",Inicial!I57,"N/A")</f>
        <v>3</v>
      </c>
      <c r="J57" s="50" t="s">
        <v>87</v>
      </c>
      <c r="K57" s="6" t="s">
        <v>65</v>
      </c>
      <c r="L57" s="6" t="s">
        <v>65</v>
      </c>
      <c r="M57" s="6" t="s">
        <v>65</v>
      </c>
      <c r="N57" s="6" t="s">
        <v>65</v>
      </c>
      <c r="O57" s="6" t="s">
        <v>65</v>
      </c>
      <c r="P57" s="6" t="str">
        <f t="shared" si="0"/>
        <v>No Aceptable</v>
      </c>
      <c r="Q57" s="6" t="s">
        <v>87</v>
      </c>
      <c r="R57" s="6" t="s">
        <v>87</v>
      </c>
      <c r="S57" s="6" t="s">
        <v>87</v>
      </c>
      <c r="T57" s="6" t="s">
        <v>87</v>
      </c>
      <c r="U57" s="6" t="s">
        <v>87</v>
      </c>
      <c r="V57" s="6" t="s">
        <v>87</v>
      </c>
      <c r="W57" s="6" t="str">
        <f t="shared" si="1"/>
        <v>No Critico</v>
      </c>
    </row>
    <row r="58" spans="1:23" ht="20.45" customHeight="1">
      <c r="A58" s="58">
        <f>Inicial!A58</f>
        <v>56</v>
      </c>
      <c r="B58" s="59" t="str">
        <f>Inicial!B58</f>
        <v>Faenación</v>
      </c>
      <c r="C58" s="59" t="str">
        <f>Inicial!C58</f>
        <v>Empaque - Chiller</v>
      </c>
      <c r="D58" s="60" t="str">
        <f>Inicial!D58</f>
        <v>Pesador menudencia</v>
      </c>
      <c r="E58" s="58" t="str">
        <f>IF(Inicial!J58="SI",Inicial!E58,"N/A")</f>
        <v>05:30-13:50 / 13:50-23:25</v>
      </c>
      <c r="F58" s="59" t="str">
        <f>IF(Inicial!J58="SI",Inicial!F58,"N/A")</f>
        <v>N/A</v>
      </c>
      <c r="G58" s="59">
        <f>IF(Inicial!J58="SI",Inicial!G58,"N/A")</f>
        <v>2</v>
      </c>
      <c r="H58" s="59">
        <f>IF(Inicial!J58="SI",Inicial!H58,"N/A")</f>
        <v>81</v>
      </c>
      <c r="I58" s="61">
        <f>IF(Inicial!J58="SI",Inicial!I58,"N/A")</f>
        <v>3</v>
      </c>
      <c r="J58" s="50" t="s">
        <v>87</v>
      </c>
      <c r="K58" s="6" t="s">
        <v>65</v>
      </c>
      <c r="L58" s="6" t="s">
        <v>65</v>
      </c>
      <c r="M58" s="6" t="s">
        <v>65</v>
      </c>
      <c r="N58" s="6" t="s">
        <v>65</v>
      </c>
      <c r="O58" s="6" t="s">
        <v>65</v>
      </c>
      <c r="P58" s="6" t="str">
        <f t="shared" si="0"/>
        <v>No Aceptable</v>
      </c>
      <c r="Q58" s="6" t="s">
        <v>87</v>
      </c>
      <c r="R58" s="6" t="s">
        <v>87</v>
      </c>
      <c r="S58" s="6" t="s">
        <v>87</v>
      </c>
      <c r="T58" s="6" t="s">
        <v>87</v>
      </c>
      <c r="U58" s="6" t="s">
        <v>87</v>
      </c>
      <c r="V58" s="6" t="s">
        <v>87</v>
      </c>
      <c r="W58" s="6" t="str">
        <f t="shared" si="1"/>
        <v>No Critico</v>
      </c>
    </row>
    <row r="59" spans="1:23" ht="20.45" customHeight="1">
      <c r="A59" s="58">
        <f>Inicial!A59</f>
        <v>57</v>
      </c>
      <c r="B59" s="59" t="str">
        <f>Inicial!B59</f>
        <v>Faenación</v>
      </c>
      <c r="C59" s="59" t="str">
        <f>Inicial!C59</f>
        <v>Empaque - Chiller</v>
      </c>
      <c r="D59" s="60" t="str">
        <f>Inicial!D59</f>
        <v>Encargado de registro</v>
      </c>
      <c r="E59" s="58" t="str">
        <f>IF(Inicial!J59="SI",Inicial!E59,"N/A")</f>
        <v>N/A</v>
      </c>
      <c r="F59" s="59" t="str">
        <f>IF(Inicial!J59="SI",Inicial!F59,"N/A")</f>
        <v>N/A</v>
      </c>
      <c r="G59" s="59" t="str">
        <f>IF(Inicial!J59="SI",Inicial!G59,"N/A")</f>
        <v>N/A</v>
      </c>
      <c r="H59" s="59" t="str">
        <f>IF(Inicial!J59="SI",Inicial!H59,"N/A")</f>
        <v>N/A</v>
      </c>
      <c r="I59" s="61" t="str">
        <f>IF(Inicial!J59="SI",Inicial!I59,"N/A")</f>
        <v>N/A</v>
      </c>
      <c r="J59" s="50"/>
      <c r="K59" s="6"/>
      <c r="L59" s="6"/>
      <c r="M59" s="6"/>
      <c r="N59" s="6"/>
      <c r="O59" s="6"/>
      <c r="P59" s="6" t="str">
        <f t="shared" si="0"/>
        <v>Aceptable</v>
      </c>
      <c r="Q59" s="6"/>
      <c r="R59" s="6"/>
      <c r="S59" s="6"/>
      <c r="T59" s="6"/>
      <c r="U59" s="6"/>
      <c r="V59" s="6"/>
      <c r="W59" s="6" t="str">
        <f t="shared" si="1"/>
        <v>Critico</v>
      </c>
    </row>
    <row r="60" spans="1:23" ht="24.6" customHeight="1">
      <c r="A60" s="58">
        <f>Inicial!A60</f>
        <v>58</v>
      </c>
      <c r="B60" s="59" t="str">
        <f>Inicial!B60</f>
        <v>Faenación</v>
      </c>
      <c r="C60" s="59" t="str">
        <f>Inicial!C60</f>
        <v>Empaque - Chiller</v>
      </c>
      <c r="D60" s="60" t="str">
        <f>Inicial!D60</f>
        <v>Fechado</v>
      </c>
      <c r="E60" s="58" t="str">
        <f>IF(Inicial!J60="SI",Inicial!E60,"N/A")</f>
        <v>05:30-13:50 / 13:50-23:25</v>
      </c>
      <c r="F60" s="59" t="str">
        <f>IF(Inicial!J60="SI",Inicial!F60,"N/A")</f>
        <v>N/A</v>
      </c>
      <c r="G60" s="59">
        <f>IF(Inicial!J60="SI",Inicial!G60,"N/A")</f>
        <v>2</v>
      </c>
      <c r="H60" s="59">
        <f>IF(Inicial!J60="SI",Inicial!H60,"N/A")</f>
        <v>81</v>
      </c>
      <c r="I60" s="61">
        <f>IF(Inicial!J60="SI",Inicial!I60,"N/A")</f>
        <v>3</v>
      </c>
      <c r="J60" s="50" t="s">
        <v>65</v>
      </c>
      <c r="K60" s="6" t="s">
        <v>65</v>
      </c>
      <c r="L60" s="6" t="s">
        <v>65</v>
      </c>
      <c r="M60" s="6" t="s">
        <v>65</v>
      </c>
      <c r="N60" s="6" t="s">
        <v>65</v>
      </c>
      <c r="O60" s="6" t="s">
        <v>65</v>
      </c>
      <c r="P60" s="6" t="str">
        <f t="shared" si="0"/>
        <v>Aceptable</v>
      </c>
      <c r="Q60" s="6" t="s">
        <v>87</v>
      </c>
      <c r="R60" s="6" t="s">
        <v>87</v>
      </c>
      <c r="S60" s="6" t="s">
        <v>87</v>
      </c>
      <c r="T60" s="6" t="s">
        <v>87</v>
      </c>
      <c r="U60" s="6" t="s">
        <v>87</v>
      </c>
      <c r="V60" s="6" t="s">
        <v>87</v>
      </c>
      <c r="W60" s="6" t="str">
        <f t="shared" si="1"/>
        <v>No Critico</v>
      </c>
    </row>
    <row r="61" spans="1:23" ht="25.15" customHeight="1">
      <c r="A61" s="58">
        <f>Inicial!A61</f>
        <v>59</v>
      </c>
      <c r="B61" s="59" t="str">
        <f>Inicial!B61</f>
        <v>Faenación</v>
      </c>
      <c r="C61" s="59" t="str">
        <f>Inicial!C61</f>
        <v>Empaque - Chiller</v>
      </c>
      <c r="D61" s="60" t="str">
        <f>Inicial!D61</f>
        <v>Paletizador</v>
      </c>
      <c r="E61" s="58" t="str">
        <f>IF(Inicial!J61="SI",Inicial!E61,"N/A")</f>
        <v>05:30-13:50 / 13:50-23:25</v>
      </c>
      <c r="F61" s="59" t="str">
        <f>IF(Inicial!J61="SI",Inicial!F61,"N/A")</f>
        <v>N/A</v>
      </c>
      <c r="G61" s="59">
        <f>IF(Inicial!J61="SI",Inicial!G61,"N/A")</f>
        <v>2</v>
      </c>
      <c r="H61" s="59">
        <f>IF(Inicial!J61="SI",Inicial!H61,"N/A")</f>
        <v>81</v>
      </c>
      <c r="I61" s="61">
        <f>IF(Inicial!J61="SI",Inicial!I61,"N/A")</f>
        <v>0</v>
      </c>
      <c r="J61" s="50" t="s">
        <v>65</v>
      </c>
      <c r="K61" s="6" t="s">
        <v>65</v>
      </c>
      <c r="L61" s="6" t="s">
        <v>65</v>
      </c>
      <c r="M61" s="6" t="s">
        <v>65</v>
      </c>
      <c r="N61" s="6" t="s">
        <v>65</v>
      </c>
      <c r="O61" s="6" t="s">
        <v>65</v>
      </c>
      <c r="P61" s="6" t="str">
        <f t="shared" si="0"/>
        <v>Aceptable</v>
      </c>
      <c r="Q61" s="6" t="s">
        <v>87</v>
      </c>
      <c r="R61" s="6" t="s">
        <v>87</v>
      </c>
      <c r="S61" s="6" t="s">
        <v>87</v>
      </c>
      <c r="T61" s="6" t="s">
        <v>87</v>
      </c>
      <c r="U61" s="6" t="s">
        <v>87</v>
      </c>
      <c r="V61" s="6" t="s">
        <v>87</v>
      </c>
      <c r="W61" s="6" t="str">
        <f t="shared" si="1"/>
        <v>No Critico</v>
      </c>
    </row>
    <row r="62" spans="1:23" ht="20.45" customHeight="1">
      <c r="A62" s="58">
        <f>Inicial!A62</f>
        <v>60</v>
      </c>
      <c r="B62" s="59" t="str">
        <f>Inicial!B62</f>
        <v>Faenación</v>
      </c>
      <c r="C62" s="59" t="str">
        <f>Inicial!C62</f>
        <v>Empaque - Chiller</v>
      </c>
      <c r="D62" s="60" t="str">
        <f>Inicial!D62</f>
        <v>Transpaletero</v>
      </c>
      <c r="E62" s="58" t="str">
        <f>IF(Inicial!J62="SI",Inicial!E62,"N/A")</f>
        <v>N/A</v>
      </c>
      <c r="F62" s="59" t="str">
        <f>IF(Inicial!J62="SI",Inicial!F62,"N/A")</f>
        <v>N/A</v>
      </c>
      <c r="G62" s="59" t="str">
        <f>IF(Inicial!J62="SI",Inicial!G62,"N/A")</f>
        <v>N/A</v>
      </c>
      <c r="H62" s="59" t="str">
        <f>IF(Inicial!J62="SI",Inicial!H62,"N/A")</f>
        <v>N/A</v>
      </c>
      <c r="I62" s="61" t="str">
        <f>IF(Inicial!J62="SI",Inicial!I62,"N/A")</f>
        <v>N/A</v>
      </c>
      <c r="J62" s="50"/>
      <c r="K62" s="6"/>
      <c r="L62" s="6"/>
      <c r="M62" s="6"/>
      <c r="N62" s="6"/>
      <c r="O62" s="6"/>
      <c r="P62" s="6" t="str">
        <f t="shared" si="0"/>
        <v>Aceptable</v>
      </c>
      <c r="Q62" s="6"/>
      <c r="R62" s="6"/>
      <c r="S62" s="6"/>
      <c r="T62" s="6"/>
      <c r="U62" s="6"/>
      <c r="V62" s="6"/>
      <c r="W62" s="6" t="str">
        <f t="shared" si="1"/>
        <v>Critico</v>
      </c>
    </row>
    <row r="63" spans="1:23" ht="27.75" customHeight="1">
      <c r="A63" s="58">
        <f>Inicial!A63</f>
        <v>61</v>
      </c>
      <c r="B63" s="59" t="str">
        <f>Inicial!B63</f>
        <v>Faenación</v>
      </c>
      <c r="C63" s="59" t="str">
        <f>Inicial!C63</f>
        <v>Empaque - Chiller</v>
      </c>
      <c r="D63" s="60" t="str">
        <f>Inicial!D63</f>
        <v xml:space="preserve">Jefe de Línea </v>
      </c>
      <c r="E63" s="58" t="str">
        <f>IF(Inicial!J63="SI",Inicial!E63,"N/A")</f>
        <v>N/A</v>
      </c>
      <c r="F63" s="59" t="str">
        <f>IF(Inicial!J63="SI",Inicial!F63,"N/A")</f>
        <v>N/A</v>
      </c>
      <c r="G63" s="59" t="str">
        <f>IF(Inicial!J63="SI",Inicial!G63,"N/A")</f>
        <v>N/A</v>
      </c>
      <c r="H63" s="59" t="str">
        <f>IF(Inicial!J63="SI",Inicial!H63,"N/A")</f>
        <v>N/A</v>
      </c>
      <c r="I63" s="61" t="str">
        <f>IF(Inicial!J63="SI",Inicial!I63,"N/A")</f>
        <v>N/A</v>
      </c>
      <c r="J63" s="50"/>
      <c r="K63" s="6"/>
      <c r="L63" s="6"/>
      <c r="M63" s="6"/>
      <c r="N63" s="6"/>
      <c r="O63" s="6"/>
      <c r="P63" s="6" t="str">
        <f t="shared" ref="P63:P126" si="2">IF(OR(J63="NO",K63="NO",L63="NO",M63="NO",N63="NO",O63="NO"),"No Aceptable","Aceptable")</f>
        <v>Aceptable</v>
      </c>
      <c r="Q63" s="6"/>
      <c r="R63" s="6"/>
      <c r="S63" s="6"/>
      <c r="T63" s="6"/>
      <c r="U63" s="6"/>
      <c r="V63" s="6"/>
      <c r="W63" s="6" t="str">
        <f t="shared" si="1"/>
        <v>Critico</v>
      </c>
    </row>
    <row r="64" spans="1:23" ht="20.45" customHeight="1">
      <c r="A64" s="58">
        <f>Inicial!A64</f>
        <v>0</v>
      </c>
      <c r="B64" s="59">
        <f>Inicial!B64</f>
        <v>0</v>
      </c>
      <c r="C64" s="59">
        <f>Inicial!C64</f>
        <v>0</v>
      </c>
      <c r="D64" s="60">
        <f>Inicial!D64</f>
        <v>0</v>
      </c>
      <c r="E64" s="58" t="str">
        <f>IF(Inicial!J64="SI",Inicial!E64,"N/A")</f>
        <v>N/A</v>
      </c>
      <c r="F64" s="59" t="str">
        <f>IF(Inicial!J64="SI",Inicial!F64,"N/A")</f>
        <v>N/A</v>
      </c>
      <c r="G64" s="59" t="str">
        <f>IF(Inicial!J64="SI",Inicial!G64,"N/A")</f>
        <v>N/A</v>
      </c>
      <c r="H64" s="59" t="str">
        <f>IF(Inicial!J64="SI",Inicial!H64,"N/A")</f>
        <v>N/A</v>
      </c>
      <c r="I64" s="61" t="str">
        <f>IF(Inicial!J64="SI",Inicial!I64,"N/A")</f>
        <v>N/A</v>
      </c>
      <c r="J64" s="50"/>
      <c r="K64" s="6"/>
      <c r="L64" s="6"/>
      <c r="M64" s="6"/>
      <c r="N64" s="6"/>
      <c r="O64" s="6"/>
      <c r="P64" s="6" t="str">
        <f t="shared" si="2"/>
        <v>Aceptable</v>
      </c>
      <c r="Q64" s="6"/>
      <c r="R64" s="6"/>
      <c r="S64" s="6"/>
      <c r="T64" s="6"/>
      <c r="U64" s="6"/>
      <c r="V64" s="6"/>
      <c r="W64" s="6" t="str">
        <f t="shared" ref="W64:W127" si="3">IF(AND(Q64="NO",R64="NO",S64="NO",T64="NO",U64="NO",V64="NO"),"No Critico","Critico")</f>
        <v>Critico</v>
      </c>
    </row>
    <row r="65" spans="1:23" ht="20.45" customHeight="1">
      <c r="A65" s="58">
        <f>Inicial!A65</f>
        <v>0</v>
      </c>
      <c r="B65" s="59">
        <f>Inicial!B65</f>
        <v>0</v>
      </c>
      <c r="C65" s="59">
        <f>Inicial!C65</f>
        <v>0</v>
      </c>
      <c r="D65" s="60">
        <f>Inicial!D65</f>
        <v>0</v>
      </c>
      <c r="E65" s="58" t="str">
        <f>IF(Inicial!J65="SI",Inicial!E65,"N/A")</f>
        <v>N/A</v>
      </c>
      <c r="F65" s="59" t="str">
        <f>IF(Inicial!J65="SI",Inicial!F65,"N/A")</f>
        <v>N/A</v>
      </c>
      <c r="G65" s="59" t="str">
        <f>IF(Inicial!J65="SI",Inicial!G65,"N/A")</f>
        <v>N/A</v>
      </c>
      <c r="H65" s="59" t="str">
        <f>IF(Inicial!J65="SI",Inicial!H65,"N/A")</f>
        <v>N/A</v>
      </c>
      <c r="I65" s="61" t="str">
        <f>IF(Inicial!J65="SI",Inicial!I65,"N/A")</f>
        <v>N/A</v>
      </c>
      <c r="J65" s="50"/>
      <c r="K65" s="6"/>
      <c r="L65" s="6"/>
      <c r="M65" s="6"/>
      <c r="N65" s="6"/>
      <c r="O65" s="6"/>
      <c r="P65" s="6" t="str">
        <f t="shared" si="2"/>
        <v>Aceptable</v>
      </c>
      <c r="Q65" s="6"/>
      <c r="R65" s="6"/>
      <c r="S65" s="6"/>
      <c r="T65" s="6"/>
      <c r="U65" s="6"/>
      <c r="V65" s="6"/>
      <c r="W65" s="6" t="str">
        <f t="shared" si="3"/>
        <v>Critico</v>
      </c>
    </row>
    <row r="66" spans="1:23" ht="20.45" customHeight="1">
      <c r="A66" s="58">
        <f>Inicial!A66</f>
        <v>0</v>
      </c>
      <c r="B66" s="59">
        <f>Inicial!B66</f>
        <v>0</v>
      </c>
      <c r="C66" s="59">
        <f>Inicial!C66</f>
        <v>0</v>
      </c>
      <c r="D66" s="60">
        <f>Inicial!D66</f>
        <v>0</v>
      </c>
      <c r="E66" s="58" t="str">
        <f>IF(Inicial!J66="SI",Inicial!E66,"N/A")</f>
        <v>N/A</v>
      </c>
      <c r="F66" s="59" t="str">
        <f>IF(Inicial!J66="SI",Inicial!F66,"N/A")</f>
        <v>N/A</v>
      </c>
      <c r="G66" s="59" t="str">
        <f>IF(Inicial!J66="SI",Inicial!G66,"N/A")</f>
        <v>N/A</v>
      </c>
      <c r="H66" s="59" t="str">
        <f>IF(Inicial!J66="SI",Inicial!H66,"N/A")</f>
        <v>N/A</v>
      </c>
      <c r="I66" s="61" t="str">
        <f>IF(Inicial!J66="SI",Inicial!I66,"N/A")</f>
        <v>N/A</v>
      </c>
      <c r="J66" s="50"/>
      <c r="K66" s="6"/>
      <c r="L66" s="6"/>
      <c r="M66" s="6"/>
      <c r="N66" s="6"/>
      <c r="O66" s="6"/>
      <c r="P66" s="6" t="str">
        <f t="shared" si="2"/>
        <v>Aceptable</v>
      </c>
      <c r="Q66" s="6"/>
      <c r="R66" s="6"/>
      <c r="S66" s="6"/>
      <c r="T66" s="6"/>
      <c r="U66" s="6"/>
      <c r="V66" s="6"/>
      <c r="W66" s="6" t="str">
        <f t="shared" si="3"/>
        <v>Critico</v>
      </c>
    </row>
    <row r="67" spans="1:23" ht="20.45" customHeight="1">
      <c r="A67" s="58">
        <f>Inicial!A67</f>
        <v>0</v>
      </c>
      <c r="B67" s="59">
        <f>Inicial!B67</f>
        <v>0</v>
      </c>
      <c r="C67" s="59">
        <f>Inicial!C67</f>
        <v>0</v>
      </c>
      <c r="D67" s="60">
        <f>Inicial!D67</f>
        <v>0</v>
      </c>
      <c r="E67" s="58" t="str">
        <f>IF(Inicial!J67="SI",Inicial!E67,"N/A")</f>
        <v>N/A</v>
      </c>
      <c r="F67" s="59" t="str">
        <f>IF(Inicial!J67="SI",Inicial!F67,"N/A")</f>
        <v>N/A</v>
      </c>
      <c r="G67" s="59" t="str">
        <f>IF(Inicial!J67="SI",Inicial!G67,"N/A")</f>
        <v>N/A</v>
      </c>
      <c r="H67" s="59" t="str">
        <f>IF(Inicial!J67="SI",Inicial!H67,"N/A")</f>
        <v>N/A</v>
      </c>
      <c r="I67" s="61" t="str">
        <f>IF(Inicial!J67="SI",Inicial!I67,"N/A")</f>
        <v>N/A</v>
      </c>
      <c r="J67" s="50"/>
      <c r="K67" s="6"/>
      <c r="L67" s="6"/>
      <c r="M67" s="6"/>
      <c r="N67" s="6"/>
      <c r="O67" s="6"/>
      <c r="P67" s="6" t="str">
        <f t="shared" si="2"/>
        <v>Aceptable</v>
      </c>
      <c r="Q67" s="6"/>
      <c r="R67" s="6"/>
      <c r="S67" s="6"/>
      <c r="T67" s="6"/>
      <c r="U67" s="6"/>
      <c r="V67" s="6"/>
      <c r="W67" s="6" t="str">
        <f t="shared" si="3"/>
        <v>Critico</v>
      </c>
    </row>
    <row r="68" spans="1:23" ht="20.45" customHeight="1">
      <c r="A68" s="58">
        <f>Inicial!A68</f>
        <v>0</v>
      </c>
      <c r="B68" s="59">
        <f>Inicial!B68</f>
        <v>0</v>
      </c>
      <c r="C68" s="59">
        <f>Inicial!C68</f>
        <v>0</v>
      </c>
      <c r="D68" s="60">
        <f>Inicial!D68</f>
        <v>0</v>
      </c>
      <c r="E68" s="58" t="str">
        <f>IF(Inicial!J68="SI",Inicial!E68,"N/A")</f>
        <v>N/A</v>
      </c>
      <c r="F68" s="59" t="str">
        <f>IF(Inicial!J68="SI",Inicial!F68,"N/A")</f>
        <v>N/A</v>
      </c>
      <c r="G68" s="59" t="str">
        <f>IF(Inicial!J68="SI",Inicial!G68,"N/A")</f>
        <v>N/A</v>
      </c>
      <c r="H68" s="59" t="str">
        <f>IF(Inicial!J68="SI",Inicial!H68,"N/A")</f>
        <v>N/A</v>
      </c>
      <c r="I68" s="61" t="str">
        <f>IF(Inicial!J68="SI",Inicial!I68,"N/A")</f>
        <v>N/A</v>
      </c>
      <c r="J68" s="50"/>
      <c r="K68" s="6"/>
      <c r="L68" s="6"/>
      <c r="M68" s="6"/>
      <c r="N68" s="6"/>
      <c r="O68" s="6"/>
      <c r="P68" s="6" t="str">
        <f t="shared" si="2"/>
        <v>Aceptable</v>
      </c>
      <c r="Q68" s="6"/>
      <c r="R68" s="6"/>
      <c r="S68" s="6"/>
      <c r="T68" s="6"/>
      <c r="U68" s="6"/>
      <c r="V68" s="6"/>
      <c r="W68" s="6" t="str">
        <f t="shared" si="3"/>
        <v>Critico</v>
      </c>
    </row>
    <row r="69" spans="1:23" ht="20.45" customHeight="1">
      <c r="A69" s="58">
        <f>Inicial!A69</f>
        <v>0</v>
      </c>
      <c r="B69" s="59">
        <f>Inicial!B69</f>
        <v>0</v>
      </c>
      <c r="C69" s="59">
        <f>Inicial!C69</f>
        <v>0</v>
      </c>
      <c r="D69" s="60">
        <f>Inicial!D69</f>
        <v>0</v>
      </c>
      <c r="E69" s="58" t="str">
        <f>IF(Inicial!J69="SI",Inicial!E69,"N/A")</f>
        <v>N/A</v>
      </c>
      <c r="F69" s="59" t="str">
        <f>IF(Inicial!J69="SI",Inicial!F69,"N/A")</f>
        <v>N/A</v>
      </c>
      <c r="G69" s="59" t="str">
        <f>IF(Inicial!J69="SI",Inicial!G69,"N/A")</f>
        <v>N/A</v>
      </c>
      <c r="H69" s="59" t="str">
        <f>IF(Inicial!J69="SI",Inicial!H69,"N/A")</f>
        <v>N/A</v>
      </c>
      <c r="I69" s="61" t="str">
        <f>IF(Inicial!J69="SI",Inicial!I69,"N/A")</f>
        <v>N/A</v>
      </c>
      <c r="J69" s="50"/>
      <c r="K69" s="6"/>
      <c r="L69" s="6"/>
      <c r="M69" s="6"/>
      <c r="N69" s="6"/>
      <c r="O69" s="6"/>
      <c r="P69" s="6" t="str">
        <f t="shared" si="2"/>
        <v>Aceptable</v>
      </c>
      <c r="Q69" s="6"/>
      <c r="R69" s="6"/>
      <c r="S69" s="6"/>
      <c r="T69" s="6"/>
      <c r="U69" s="6"/>
      <c r="V69" s="6"/>
      <c r="W69" s="6" t="str">
        <f t="shared" si="3"/>
        <v>Critico</v>
      </c>
    </row>
    <row r="70" spans="1:23" ht="20.45" customHeight="1">
      <c r="A70" s="58">
        <f>Inicial!A70</f>
        <v>0</v>
      </c>
      <c r="B70" s="59">
        <f>Inicial!B70</f>
        <v>0</v>
      </c>
      <c r="C70" s="59">
        <f>Inicial!C70</f>
        <v>0</v>
      </c>
      <c r="D70" s="60">
        <f>Inicial!D70</f>
        <v>0</v>
      </c>
      <c r="E70" s="58" t="str">
        <f>IF(Inicial!J70="SI",Inicial!E70,"N/A")</f>
        <v>N/A</v>
      </c>
      <c r="F70" s="59" t="str">
        <f>IF(Inicial!J70="SI",Inicial!F70,"N/A")</f>
        <v>N/A</v>
      </c>
      <c r="G70" s="59" t="str">
        <f>IF(Inicial!J70="SI",Inicial!G70,"N/A")</f>
        <v>N/A</v>
      </c>
      <c r="H70" s="59" t="str">
        <f>IF(Inicial!J70="SI",Inicial!H70,"N/A")</f>
        <v>N/A</v>
      </c>
      <c r="I70" s="61" t="str">
        <f>IF(Inicial!J70="SI",Inicial!I70,"N/A")</f>
        <v>N/A</v>
      </c>
      <c r="J70" s="50"/>
      <c r="K70" s="6"/>
      <c r="L70" s="6"/>
      <c r="M70" s="6"/>
      <c r="N70" s="6"/>
      <c r="O70" s="6"/>
      <c r="P70" s="6" t="str">
        <f t="shared" si="2"/>
        <v>Aceptable</v>
      </c>
      <c r="Q70" s="6"/>
      <c r="R70" s="6"/>
      <c r="S70" s="6"/>
      <c r="T70" s="6"/>
      <c r="U70" s="6"/>
      <c r="V70" s="6"/>
      <c r="W70" s="6" t="str">
        <f t="shared" si="3"/>
        <v>Critico</v>
      </c>
    </row>
    <row r="71" spans="1:23" ht="20.45" customHeight="1">
      <c r="A71" s="58">
        <f>Inicial!A71</f>
        <v>0</v>
      </c>
      <c r="B71" s="59">
        <f>Inicial!B71</f>
        <v>0</v>
      </c>
      <c r="C71" s="59">
        <f>Inicial!C71</f>
        <v>0</v>
      </c>
      <c r="D71" s="60">
        <f>Inicial!D71</f>
        <v>0</v>
      </c>
      <c r="E71" s="58" t="str">
        <f>IF(Inicial!J71="SI",Inicial!E71,"N/A")</f>
        <v>N/A</v>
      </c>
      <c r="F71" s="59" t="str">
        <f>IF(Inicial!J71="SI",Inicial!F71,"N/A")</f>
        <v>N/A</v>
      </c>
      <c r="G71" s="59" t="str">
        <f>IF(Inicial!J71="SI",Inicial!G71,"N/A")</f>
        <v>N/A</v>
      </c>
      <c r="H71" s="59" t="str">
        <f>IF(Inicial!J71="SI",Inicial!H71,"N/A")</f>
        <v>N/A</v>
      </c>
      <c r="I71" s="61" t="str">
        <f>IF(Inicial!J71="SI",Inicial!I71,"N/A")</f>
        <v>N/A</v>
      </c>
      <c r="J71" s="50"/>
      <c r="K71" s="6"/>
      <c r="L71" s="6"/>
      <c r="M71" s="6"/>
      <c r="N71" s="6"/>
      <c r="O71" s="6"/>
      <c r="P71" s="6" t="str">
        <f t="shared" si="2"/>
        <v>Aceptable</v>
      </c>
      <c r="Q71" s="6"/>
      <c r="R71" s="6"/>
      <c r="S71" s="6"/>
      <c r="T71" s="6"/>
      <c r="U71" s="6"/>
      <c r="V71" s="6"/>
      <c r="W71" s="6" t="str">
        <f t="shared" si="3"/>
        <v>Critico</v>
      </c>
    </row>
    <row r="72" spans="1:23" ht="20.45" customHeight="1">
      <c r="A72" s="58">
        <f>Inicial!A72</f>
        <v>0</v>
      </c>
      <c r="B72" s="59">
        <f>Inicial!B72</f>
        <v>0</v>
      </c>
      <c r="C72" s="59">
        <f>Inicial!C72</f>
        <v>0</v>
      </c>
      <c r="D72" s="60">
        <f>Inicial!D72</f>
        <v>0</v>
      </c>
      <c r="E72" s="58" t="str">
        <f>IF(Inicial!J72="SI",Inicial!E72,"N/A")</f>
        <v>N/A</v>
      </c>
      <c r="F72" s="59" t="str">
        <f>IF(Inicial!J72="SI",Inicial!F72,"N/A")</f>
        <v>N/A</v>
      </c>
      <c r="G72" s="59" t="str">
        <f>IF(Inicial!J72="SI",Inicial!G72,"N/A")</f>
        <v>N/A</v>
      </c>
      <c r="H72" s="59" t="str">
        <f>IF(Inicial!J72="SI",Inicial!H72,"N/A")</f>
        <v>N/A</v>
      </c>
      <c r="I72" s="61" t="str">
        <f>IF(Inicial!J72="SI",Inicial!I72,"N/A")</f>
        <v>N/A</v>
      </c>
      <c r="J72" s="50"/>
      <c r="K72" s="6"/>
      <c r="L72" s="6"/>
      <c r="M72" s="6"/>
      <c r="N72" s="6"/>
      <c r="O72" s="6"/>
      <c r="P72" s="6" t="str">
        <f t="shared" si="2"/>
        <v>Aceptable</v>
      </c>
      <c r="Q72" s="6"/>
      <c r="R72" s="6"/>
      <c r="S72" s="6"/>
      <c r="T72" s="6"/>
      <c r="U72" s="6"/>
      <c r="V72" s="6"/>
      <c r="W72" s="6" t="str">
        <f t="shared" si="3"/>
        <v>Critico</v>
      </c>
    </row>
    <row r="73" spans="1:23" ht="20.45" customHeight="1">
      <c r="A73" s="58">
        <f>Inicial!A73</f>
        <v>0</v>
      </c>
      <c r="B73" s="59">
        <f>Inicial!B73</f>
        <v>0</v>
      </c>
      <c r="C73" s="59">
        <f>Inicial!C73</f>
        <v>0</v>
      </c>
      <c r="D73" s="60">
        <f>Inicial!D73</f>
        <v>0</v>
      </c>
      <c r="E73" s="58" t="str">
        <f>IF(Inicial!J73="SI",Inicial!E73,"N/A")</f>
        <v>N/A</v>
      </c>
      <c r="F73" s="59" t="str">
        <f>IF(Inicial!J73="SI",Inicial!F73,"N/A")</f>
        <v>N/A</v>
      </c>
      <c r="G73" s="59" t="str">
        <f>IF(Inicial!J73="SI",Inicial!G73,"N/A")</f>
        <v>N/A</v>
      </c>
      <c r="H73" s="59" t="str">
        <f>IF(Inicial!J73="SI",Inicial!H73,"N/A")</f>
        <v>N/A</v>
      </c>
      <c r="I73" s="61" t="str">
        <f>IF(Inicial!J73="SI",Inicial!I73,"N/A")</f>
        <v>N/A</v>
      </c>
      <c r="J73" s="50"/>
      <c r="K73" s="6"/>
      <c r="L73" s="6"/>
      <c r="M73" s="6"/>
      <c r="N73" s="6"/>
      <c r="O73" s="6"/>
      <c r="P73" s="6" t="str">
        <f t="shared" si="2"/>
        <v>Aceptable</v>
      </c>
      <c r="Q73" s="6"/>
      <c r="R73" s="6"/>
      <c r="S73" s="6"/>
      <c r="T73" s="6"/>
      <c r="U73" s="6"/>
      <c r="V73" s="6"/>
      <c r="W73" s="6" t="str">
        <f t="shared" si="3"/>
        <v>Critico</v>
      </c>
    </row>
    <row r="74" spans="1:23" ht="20.45" customHeight="1">
      <c r="A74" s="58">
        <f>Inicial!A74</f>
        <v>0</v>
      </c>
      <c r="B74" s="59">
        <f>Inicial!B74</f>
        <v>0</v>
      </c>
      <c r="C74" s="59">
        <f>Inicial!C74</f>
        <v>0</v>
      </c>
      <c r="D74" s="60">
        <f>Inicial!D74</f>
        <v>0</v>
      </c>
      <c r="E74" s="58" t="str">
        <f>IF(Inicial!J74="SI",Inicial!E74,"N/A")</f>
        <v>N/A</v>
      </c>
      <c r="F74" s="59" t="str">
        <f>IF(Inicial!J74="SI",Inicial!F74,"N/A")</f>
        <v>N/A</v>
      </c>
      <c r="G74" s="59" t="str">
        <f>IF(Inicial!J74="SI",Inicial!G74,"N/A")</f>
        <v>N/A</v>
      </c>
      <c r="H74" s="59" t="str">
        <f>IF(Inicial!J74="SI",Inicial!H74,"N/A")</f>
        <v>N/A</v>
      </c>
      <c r="I74" s="61" t="str">
        <f>IF(Inicial!J74="SI",Inicial!I74,"N/A")</f>
        <v>N/A</v>
      </c>
      <c r="J74" s="50"/>
      <c r="K74" s="6"/>
      <c r="L74" s="6"/>
      <c r="M74" s="6"/>
      <c r="N74" s="6"/>
      <c r="O74" s="6"/>
      <c r="P74" s="6" t="str">
        <f t="shared" si="2"/>
        <v>Aceptable</v>
      </c>
      <c r="Q74" s="6"/>
      <c r="R74" s="6"/>
      <c r="S74" s="6"/>
      <c r="T74" s="6"/>
      <c r="U74" s="6"/>
      <c r="V74" s="6"/>
      <c r="W74" s="6" t="str">
        <f t="shared" si="3"/>
        <v>Critico</v>
      </c>
    </row>
    <row r="75" spans="1:23" ht="20.45" customHeight="1">
      <c r="A75" s="58">
        <f>Inicial!A75</f>
        <v>0</v>
      </c>
      <c r="B75" s="59">
        <f>Inicial!B75</f>
        <v>0</v>
      </c>
      <c r="C75" s="59">
        <f>Inicial!C75</f>
        <v>0</v>
      </c>
      <c r="D75" s="60">
        <f>Inicial!D75</f>
        <v>0</v>
      </c>
      <c r="E75" s="58" t="str">
        <f>IF(Inicial!J75="SI",Inicial!E75,"N/A")</f>
        <v>N/A</v>
      </c>
      <c r="F75" s="59" t="str">
        <f>IF(Inicial!J75="SI",Inicial!F75,"N/A")</f>
        <v>N/A</v>
      </c>
      <c r="G75" s="59" t="str">
        <f>IF(Inicial!J75="SI",Inicial!G75,"N/A")</f>
        <v>N/A</v>
      </c>
      <c r="H75" s="59" t="str">
        <f>IF(Inicial!J75="SI",Inicial!H75,"N/A")</f>
        <v>N/A</v>
      </c>
      <c r="I75" s="61" t="str">
        <f>IF(Inicial!J75="SI",Inicial!I75,"N/A")</f>
        <v>N/A</v>
      </c>
      <c r="J75" s="50"/>
      <c r="K75" s="6"/>
      <c r="L75" s="6"/>
      <c r="M75" s="6"/>
      <c r="N75" s="6"/>
      <c r="O75" s="6"/>
      <c r="P75" s="6" t="str">
        <f t="shared" si="2"/>
        <v>Aceptable</v>
      </c>
      <c r="Q75" s="6"/>
      <c r="R75" s="6"/>
      <c r="S75" s="6"/>
      <c r="T75" s="6"/>
      <c r="U75" s="6"/>
      <c r="V75" s="6"/>
      <c r="W75" s="6" t="str">
        <f t="shared" si="3"/>
        <v>Critico</v>
      </c>
    </row>
    <row r="76" spans="1:23" ht="20.45" customHeight="1">
      <c r="A76" s="58">
        <f>Inicial!A76</f>
        <v>0</v>
      </c>
      <c r="B76" s="59">
        <f>Inicial!B76</f>
        <v>0</v>
      </c>
      <c r="C76" s="59">
        <f>Inicial!C76</f>
        <v>0</v>
      </c>
      <c r="D76" s="60">
        <f>Inicial!D76</f>
        <v>0</v>
      </c>
      <c r="E76" s="58" t="str">
        <f>IF(Inicial!J76="SI",Inicial!E76,"N/A")</f>
        <v>N/A</v>
      </c>
      <c r="F76" s="59" t="str">
        <f>IF(Inicial!J76="SI",Inicial!F76,"N/A")</f>
        <v>N/A</v>
      </c>
      <c r="G76" s="59" t="str">
        <f>IF(Inicial!J76="SI",Inicial!G76,"N/A")</f>
        <v>N/A</v>
      </c>
      <c r="H76" s="59" t="str">
        <f>IF(Inicial!J76="SI",Inicial!H76,"N/A")</f>
        <v>N/A</v>
      </c>
      <c r="I76" s="61" t="str">
        <f>IF(Inicial!J76="SI",Inicial!I76,"N/A")</f>
        <v>N/A</v>
      </c>
      <c r="J76" s="50"/>
      <c r="K76" s="6"/>
      <c r="L76" s="6"/>
      <c r="M76" s="6"/>
      <c r="N76" s="6"/>
      <c r="O76" s="6"/>
      <c r="P76" s="6" t="str">
        <f t="shared" si="2"/>
        <v>Aceptable</v>
      </c>
      <c r="Q76" s="6"/>
      <c r="R76" s="6"/>
      <c r="S76" s="6"/>
      <c r="T76" s="6"/>
      <c r="U76" s="6"/>
      <c r="V76" s="6"/>
      <c r="W76" s="6" t="str">
        <f t="shared" si="3"/>
        <v>Critico</v>
      </c>
    </row>
    <row r="77" spans="1:23" ht="20.45" customHeight="1">
      <c r="A77" s="58">
        <f>Inicial!A77</f>
        <v>0</v>
      </c>
      <c r="B77" s="59">
        <f>Inicial!B77</f>
        <v>0</v>
      </c>
      <c r="C77" s="59">
        <f>Inicial!C77</f>
        <v>0</v>
      </c>
      <c r="D77" s="60">
        <f>Inicial!D77</f>
        <v>0</v>
      </c>
      <c r="E77" s="58" t="str">
        <f>IF(Inicial!J77="SI",Inicial!E77,"N/A")</f>
        <v>N/A</v>
      </c>
      <c r="F77" s="59" t="str">
        <f>IF(Inicial!J77="SI",Inicial!F77,"N/A")</f>
        <v>N/A</v>
      </c>
      <c r="G77" s="59" t="str">
        <f>IF(Inicial!J77="SI",Inicial!G77,"N/A")</f>
        <v>N/A</v>
      </c>
      <c r="H77" s="59" t="str">
        <f>IF(Inicial!J77="SI",Inicial!H77,"N/A")</f>
        <v>N/A</v>
      </c>
      <c r="I77" s="61" t="str">
        <f>IF(Inicial!J77="SI",Inicial!I77,"N/A")</f>
        <v>N/A</v>
      </c>
      <c r="J77" s="50"/>
      <c r="K77" s="6"/>
      <c r="L77" s="6"/>
      <c r="M77" s="6"/>
      <c r="N77" s="6"/>
      <c r="O77" s="6"/>
      <c r="P77" s="6" t="str">
        <f t="shared" si="2"/>
        <v>Aceptable</v>
      </c>
      <c r="Q77" s="6"/>
      <c r="R77" s="6"/>
      <c r="S77" s="6"/>
      <c r="T77" s="6"/>
      <c r="U77" s="6"/>
      <c r="V77" s="6"/>
      <c r="W77" s="6" t="str">
        <f t="shared" si="3"/>
        <v>Critico</v>
      </c>
    </row>
    <row r="78" spans="1:23" ht="20.45" customHeight="1">
      <c r="A78" s="58">
        <f>Inicial!A78</f>
        <v>0</v>
      </c>
      <c r="B78" s="59">
        <f>Inicial!B78</f>
        <v>0</v>
      </c>
      <c r="C78" s="59">
        <f>Inicial!C78</f>
        <v>0</v>
      </c>
      <c r="D78" s="60">
        <f>Inicial!D78</f>
        <v>0</v>
      </c>
      <c r="E78" s="58" t="str">
        <f>IF(Inicial!J78="SI",Inicial!E78,"N/A")</f>
        <v>N/A</v>
      </c>
      <c r="F78" s="59" t="str">
        <f>IF(Inicial!J78="SI",Inicial!F78,"N/A")</f>
        <v>N/A</v>
      </c>
      <c r="G78" s="59" t="str">
        <f>IF(Inicial!J78="SI",Inicial!G78,"N/A")</f>
        <v>N/A</v>
      </c>
      <c r="H78" s="59" t="str">
        <f>IF(Inicial!J78="SI",Inicial!H78,"N/A")</f>
        <v>N/A</v>
      </c>
      <c r="I78" s="61" t="str">
        <f>IF(Inicial!J78="SI",Inicial!I78,"N/A")</f>
        <v>N/A</v>
      </c>
      <c r="J78" s="50"/>
      <c r="K78" s="6"/>
      <c r="L78" s="6"/>
      <c r="M78" s="6"/>
      <c r="N78" s="6"/>
      <c r="O78" s="6"/>
      <c r="P78" s="6" t="str">
        <f t="shared" si="2"/>
        <v>Aceptable</v>
      </c>
      <c r="Q78" s="6"/>
      <c r="R78" s="6"/>
      <c r="S78" s="6"/>
      <c r="T78" s="6"/>
      <c r="U78" s="6"/>
      <c r="V78" s="6"/>
      <c r="W78" s="6" t="str">
        <f t="shared" si="3"/>
        <v>Critico</v>
      </c>
    </row>
    <row r="79" spans="1:23" ht="20.45" customHeight="1">
      <c r="A79" s="58">
        <f>Inicial!A79</f>
        <v>0</v>
      </c>
      <c r="B79" s="59">
        <f>Inicial!B79</f>
        <v>0</v>
      </c>
      <c r="C79" s="59">
        <f>Inicial!C79</f>
        <v>0</v>
      </c>
      <c r="D79" s="60">
        <f>Inicial!D79</f>
        <v>0</v>
      </c>
      <c r="E79" s="58" t="str">
        <f>IF(Inicial!J79="SI",Inicial!E79,"N/A")</f>
        <v>N/A</v>
      </c>
      <c r="F79" s="59" t="str">
        <f>IF(Inicial!J79="SI",Inicial!F79,"N/A")</f>
        <v>N/A</v>
      </c>
      <c r="G79" s="59" t="str">
        <f>IF(Inicial!J79="SI",Inicial!G79,"N/A")</f>
        <v>N/A</v>
      </c>
      <c r="H79" s="59" t="str">
        <f>IF(Inicial!J79="SI",Inicial!H79,"N/A")</f>
        <v>N/A</v>
      </c>
      <c r="I79" s="61" t="str">
        <f>IF(Inicial!J79="SI",Inicial!I79,"N/A")</f>
        <v>N/A</v>
      </c>
      <c r="J79" s="50"/>
      <c r="K79" s="6"/>
      <c r="L79" s="6"/>
      <c r="M79" s="6"/>
      <c r="N79" s="6"/>
      <c r="O79" s="6"/>
      <c r="P79" s="6" t="str">
        <f t="shared" si="2"/>
        <v>Aceptable</v>
      </c>
      <c r="Q79" s="6"/>
      <c r="R79" s="6"/>
      <c r="S79" s="6"/>
      <c r="T79" s="6"/>
      <c r="U79" s="6"/>
      <c r="V79" s="6"/>
      <c r="W79" s="6" t="str">
        <f t="shared" si="3"/>
        <v>Critico</v>
      </c>
    </row>
    <row r="80" spans="1:23" ht="20.45" customHeight="1">
      <c r="A80" s="58">
        <f>Inicial!A80</f>
        <v>0</v>
      </c>
      <c r="B80" s="59">
        <f>Inicial!B80</f>
        <v>0</v>
      </c>
      <c r="C80" s="59">
        <f>Inicial!C80</f>
        <v>0</v>
      </c>
      <c r="D80" s="60">
        <f>Inicial!D80</f>
        <v>0</v>
      </c>
      <c r="E80" s="58" t="str">
        <f>IF(Inicial!J80="SI",Inicial!E80,"N/A")</f>
        <v>N/A</v>
      </c>
      <c r="F80" s="59" t="str">
        <f>IF(Inicial!J80="SI",Inicial!F80,"N/A")</f>
        <v>N/A</v>
      </c>
      <c r="G80" s="59" t="str">
        <f>IF(Inicial!J80="SI",Inicial!G80,"N/A")</f>
        <v>N/A</v>
      </c>
      <c r="H80" s="59" t="str">
        <f>IF(Inicial!J80="SI",Inicial!H80,"N/A")</f>
        <v>N/A</v>
      </c>
      <c r="I80" s="61" t="str">
        <f>IF(Inicial!J80="SI",Inicial!I80,"N/A")</f>
        <v>N/A</v>
      </c>
      <c r="J80" s="50"/>
      <c r="K80" s="6"/>
      <c r="L80" s="6"/>
      <c r="M80" s="6"/>
      <c r="N80" s="6"/>
      <c r="O80" s="6"/>
      <c r="P80" s="6" t="str">
        <f t="shared" si="2"/>
        <v>Aceptable</v>
      </c>
      <c r="Q80" s="6"/>
      <c r="R80" s="6"/>
      <c r="S80" s="6"/>
      <c r="T80" s="6"/>
      <c r="U80" s="6"/>
      <c r="V80" s="6"/>
      <c r="W80" s="6" t="str">
        <f t="shared" si="3"/>
        <v>Critico</v>
      </c>
    </row>
    <row r="81" spans="1:23" ht="20.45" customHeight="1">
      <c r="A81" s="58">
        <f>Inicial!A81</f>
        <v>0</v>
      </c>
      <c r="B81" s="59">
        <f>Inicial!B81</f>
        <v>0</v>
      </c>
      <c r="C81" s="59">
        <f>Inicial!C81</f>
        <v>0</v>
      </c>
      <c r="D81" s="60">
        <f>Inicial!D81</f>
        <v>0</v>
      </c>
      <c r="E81" s="58" t="str">
        <f>IF(Inicial!J81="SI",Inicial!E81,"N/A")</f>
        <v>N/A</v>
      </c>
      <c r="F81" s="59" t="str">
        <f>IF(Inicial!J81="SI",Inicial!F81,"N/A")</f>
        <v>N/A</v>
      </c>
      <c r="G81" s="59" t="str">
        <f>IF(Inicial!J81="SI",Inicial!G81,"N/A")</f>
        <v>N/A</v>
      </c>
      <c r="H81" s="59" t="str">
        <f>IF(Inicial!J81="SI",Inicial!H81,"N/A")</f>
        <v>N/A</v>
      </c>
      <c r="I81" s="61" t="str">
        <f>IF(Inicial!J81="SI",Inicial!I81,"N/A")</f>
        <v>N/A</v>
      </c>
      <c r="J81" s="50"/>
      <c r="K81" s="6"/>
      <c r="L81" s="6"/>
      <c r="M81" s="6"/>
      <c r="N81" s="6"/>
      <c r="O81" s="6"/>
      <c r="P81" s="6" t="str">
        <f t="shared" si="2"/>
        <v>Aceptable</v>
      </c>
      <c r="Q81" s="6"/>
      <c r="R81" s="6"/>
      <c r="S81" s="6"/>
      <c r="T81" s="6"/>
      <c r="U81" s="6"/>
      <c r="V81" s="6"/>
      <c r="W81" s="6" t="str">
        <f t="shared" si="3"/>
        <v>Critico</v>
      </c>
    </row>
    <row r="82" spans="1:23" ht="20.45" customHeight="1">
      <c r="A82" s="58">
        <f>Inicial!A82</f>
        <v>0</v>
      </c>
      <c r="B82" s="59">
        <f>Inicial!B82</f>
        <v>0</v>
      </c>
      <c r="C82" s="59">
        <f>Inicial!C82</f>
        <v>0</v>
      </c>
      <c r="D82" s="60">
        <f>Inicial!D82</f>
        <v>0</v>
      </c>
      <c r="E82" s="58" t="str">
        <f>IF(Inicial!J82="SI",Inicial!E82,"N/A")</f>
        <v>N/A</v>
      </c>
      <c r="F82" s="59" t="str">
        <f>IF(Inicial!J82="SI",Inicial!F82,"N/A")</f>
        <v>N/A</v>
      </c>
      <c r="G82" s="59" t="str">
        <f>IF(Inicial!J82="SI",Inicial!G82,"N/A")</f>
        <v>N/A</v>
      </c>
      <c r="H82" s="59" t="str">
        <f>IF(Inicial!J82="SI",Inicial!H82,"N/A")</f>
        <v>N/A</v>
      </c>
      <c r="I82" s="61" t="str">
        <f>IF(Inicial!J82="SI",Inicial!I82,"N/A")</f>
        <v>N/A</v>
      </c>
      <c r="J82" s="50"/>
      <c r="K82" s="6"/>
      <c r="L82" s="6"/>
      <c r="M82" s="6"/>
      <c r="N82" s="6"/>
      <c r="O82" s="6"/>
      <c r="P82" s="6" t="str">
        <f t="shared" si="2"/>
        <v>Aceptable</v>
      </c>
      <c r="Q82" s="6"/>
      <c r="R82" s="6"/>
      <c r="S82" s="6"/>
      <c r="T82" s="6"/>
      <c r="U82" s="6"/>
      <c r="V82" s="6"/>
      <c r="W82" s="6" t="str">
        <f t="shared" si="3"/>
        <v>Critico</v>
      </c>
    </row>
    <row r="83" spans="1:23" ht="20.45" customHeight="1">
      <c r="A83" s="58">
        <f>Inicial!A83</f>
        <v>0</v>
      </c>
      <c r="B83" s="59">
        <f>Inicial!B83</f>
        <v>0</v>
      </c>
      <c r="C83" s="59">
        <f>Inicial!C83</f>
        <v>0</v>
      </c>
      <c r="D83" s="60">
        <f>Inicial!D83</f>
        <v>0</v>
      </c>
      <c r="E83" s="58" t="str">
        <f>IF(Inicial!J83="SI",Inicial!E83,"N/A")</f>
        <v>N/A</v>
      </c>
      <c r="F83" s="59" t="str">
        <f>IF(Inicial!J83="SI",Inicial!F83,"N/A")</f>
        <v>N/A</v>
      </c>
      <c r="G83" s="59" t="str">
        <f>IF(Inicial!J83="SI",Inicial!G83,"N/A")</f>
        <v>N/A</v>
      </c>
      <c r="H83" s="59" t="str">
        <f>IF(Inicial!J83="SI",Inicial!H83,"N/A")</f>
        <v>N/A</v>
      </c>
      <c r="I83" s="61" t="str">
        <f>IF(Inicial!J83="SI",Inicial!I83,"N/A")</f>
        <v>N/A</v>
      </c>
      <c r="J83" s="50"/>
      <c r="K83" s="6"/>
      <c r="L83" s="6"/>
      <c r="M83" s="6"/>
      <c r="N83" s="6"/>
      <c r="O83" s="6"/>
      <c r="P83" s="6" t="str">
        <f t="shared" si="2"/>
        <v>Aceptable</v>
      </c>
      <c r="Q83" s="6"/>
      <c r="R83" s="6"/>
      <c r="S83" s="6"/>
      <c r="T83" s="6"/>
      <c r="U83" s="6"/>
      <c r="V83" s="6"/>
      <c r="W83" s="6" t="str">
        <f t="shared" si="3"/>
        <v>Critico</v>
      </c>
    </row>
    <row r="84" spans="1:23" ht="20.45" customHeight="1">
      <c r="A84" s="58">
        <f>Inicial!A84</f>
        <v>0</v>
      </c>
      <c r="B84" s="59">
        <f>Inicial!B84</f>
        <v>0</v>
      </c>
      <c r="C84" s="59">
        <f>Inicial!C84</f>
        <v>0</v>
      </c>
      <c r="D84" s="60">
        <f>Inicial!D84</f>
        <v>0</v>
      </c>
      <c r="E84" s="58" t="str">
        <f>IF(Inicial!J84="SI",Inicial!E84,"N/A")</f>
        <v>N/A</v>
      </c>
      <c r="F84" s="59" t="str">
        <f>IF(Inicial!J84="SI",Inicial!F84,"N/A")</f>
        <v>N/A</v>
      </c>
      <c r="G84" s="59" t="str">
        <f>IF(Inicial!J84="SI",Inicial!G84,"N/A")</f>
        <v>N/A</v>
      </c>
      <c r="H84" s="59" t="str">
        <f>IF(Inicial!J84="SI",Inicial!H84,"N/A")</f>
        <v>N/A</v>
      </c>
      <c r="I84" s="61" t="str">
        <f>IF(Inicial!J84="SI",Inicial!I84,"N/A")</f>
        <v>N/A</v>
      </c>
      <c r="J84" s="50"/>
      <c r="K84" s="6"/>
      <c r="L84" s="6"/>
      <c r="M84" s="6"/>
      <c r="N84" s="6"/>
      <c r="O84" s="6"/>
      <c r="P84" s="6" t="str">
        <f t="shared" si="2"/>
        <v>Aceptable</v>
      </c>
      <c r="Q84" s="6"/>
      <c r="R84" s="6"/>
      <c r="S84" s="6"/>
      <c r="T84" s="6"/>
      <c r="U84" s="6"/>
      <c r="V84" s="6"/>
      <c r="W84" s="6" t="str">
        <f t="shared" si="3"/>
        <v>Critico</v>
      </c>
    </row>
    <row r="85" spans="1:23" ht="20.45" customHeight="1">
      <c r="A85" s="58">
        <f>Inicial!A85</f>
        <v>0</v>
      </c>
      <c r="B85" s="59">
        <f>Inicial!B85</f>
        <v>0</v>
      </c>
      <c r="C85" s="59">
        <f>Inicial!C85</f>
        <v>0</v>
      </c>
      <c r="D85" s="60">
        <f>Inicial!D85</f>
        <v>0</v>
      </c>
      <c r="E85" s="58" t="str">
        <f>IF(Inicial!J85="SI",Inicial!E85,"N/A")</f>
        <v>N/A</v>
      </c>
      <c r="F85" s="59" t="str">
        <f>IF(Inicial!J85="SI",Inicial!F85,"N/A")</f>
        <v>N/A</v>
      </c>
      <c r="G85" s="59" t="str">
        <f>IF(Inicial!J85="SI",Inicial!G85,"N/A")</f>
        <v>N/A</v>
      </c>
      <c r="H85" s="59" t="str">
        <f>IF(Inicial!J85="SI",Inicial!H85,"N/A")</f>
        <v>N/A</v>
      </c>
      <c r="I85" s="61" t="str">
        <f>IF(Inicial!J85="SI",Inicial!I85,"N/A")</f>
        <v>N/A</v>
      </c>
      <c r="J85" s="50"/>
      <c r="K85" s="6"/>
      <c r="L85" s="6"/>
      <c r="M85" s="6"/>
      <c r="N85" s="6"/>
      <c r="O85" s="6"/>
      <c r="P85" s="6" t="str">
        <f t="shared" si="2"/>
        <v>Aceptable</v>
      </c>
      <c r="Q85" s="6"/>
      <c r="R85" s="6"/>
      <c r="S85" s="6"/>
      <c r="T85" s="6"/>
      <c r="U85" s="6"/>
      <c r="V85" s="6"/>
      <c r="W85" s="6" t="str">
        <f t="shared" si="3"/>
        <v>Critico</v>
      </c>
    </row>
    <row r="86" spans="1:23" ht="20.45" customHeight="1">
      <c r="A86" s="58">
        <f>Inicial!A86</f>
        <v>0</v>
      </c>
      <c r="B86" s="59">
        <f>Inicial!B86</f>
        <v>0</v>
      </c>
      <c r="C86" s="59">
        <f>Inicial!C86</f>
        <v>0</v>
      </c>
      <c r="D86" s="60">
        <f>Inicial!D86</f>
        <v>0</v>
      </c>
      <c r="E86" s="58" t="str">
        <f>IF(Inicial!J86="SI",Inicial!E86,"N/A")</f>
        <v>N/A</v>
      </c>
      <c r="F86" s="59" t="str">
        <f>IF(Inicial!J86="SI",Inicial!F86,"N/A")</f>
        <v>N/A</v>
      </c>
      <c r="G86" s="59" t="str">
        <f>IF(Inicial!J86="SI",Inicial!G86,"N/A")</f>
        <v>N/A</v>
      </c>
      <c r="H86" s="59" t="str">
        <f>IF(Inicial!J86="SI",Inicial!H86,"N/A")</f>
        <v>N/A</v>
      </c>
      <c r="I86" s="61" t="str">
        <f>IF(Inicial!J86="SI",Inicial!I86,"N/A")</f>
        <v>N/A</v>
      </c>
      <c r="J86" s="50"/>
      <c r="K86" s="6"/>
      <c r="L86" s="6"/>
      <c r="M86" s="6"/>
      <c r="N86" s="6"/>
      <c r="O86" s="6"/>
      <c r="P86" s="6" t="str">
        <f t="shared" si="2"/>
        <v>Aceptable</v>
      </c>
      <c r="Q86" s="6"/>
      <c r="R86" s="6"/>
      <c r="S86" s="6"/>
      <c r="T86" s="6"/>
      <c r="U86" s="6"/>
      <c r="V86" s="6"/>
      <c r="W86" s="6" t="str">
        <f t="shared" si="3"/>
        <v>Critico</v>
      </c>
    </row>
    <row r="87" spans="1:23" ht="20.45" customHeight="1">
      <c r="A87" s="58">
        <f>Inicial!A87</f>
        <v>0</v>
      </c>
      <c r="B87" s="59">
        <f>Inicial!B87</f>
        <v>0</v>
      </c>
      <c r="C87" s="59">
        <f>Inicial!C87</f>
        <v>0</v>
      </c>
      <c r="D87" s="60">
        <f>Inicial!D87</f>
        <v>0</v>
      </c>
      <c r="E87" s="58" t="str">
        <f>IF(Inicial!J87="SI",Inicial!E87,"N/A")</f>
        <v>N/A</v>
      </c>
      <c r="F87" s="59" t="str">
        <f>IF(Inicial!J87="SI",Inicial!F87,"N/A")</f>
        <v>N/A</v>
      </c>
      <c r="G87" s="59" t="str">
        <f>IF(Inicial!J87="SI",Inicial!G87,"N/A")</f>
        <v>N/A</v>
      </c>
      <c r="H87" s="59" t="str">
        <f>IF(Inicial!J87="SI",Inicial!H87,"N/A")</f>
        <v>N/A</v>
      </c>
      <c r="I87" s="61" t="str">
        <f>IF(Inicial!J87="SI",Inicial!I87,"N/A")</f>
        <v>N/A</v>
      </c>
      <c r="J87" s="50"/>
      <c r="K87" s="6"/>
      <c r="L87" s="6"/>
      <c r="M87" s="6"/>
      <c r="N87" s="6"/>
      <c r="O87" s="6"/>
      <c r="P87" s="6" t="str">
        <f t="shared" si="2"/>
        <v>Aceptable</v>
      </c>
      <c r="Q87" s="6"/>
      <c r="R87" s="6"/>
      <c r="S87" s="6"/>
      <c r="T87" s="6"/>
      <c r="U87" s="6"/>
      <c r="V87" s="6"/>
      <c r="W87" s="6" t="str">
        <f t="shared" si="3"/>
        <v>Critico</v>
      </c>
    </row>
    <row r="88" spans="1:23" ht="20.45" customHeight="1">
      <c r="A88" s="58">
        <f>Inicial!A88</f>
        <v>0</v>
      </c>
      <c r="B88" s="59">
        <f>Inicial!B88</f>
        <v>0</v>
      </c>
      <c r="C88" s="59">
        <f>Inicial!C88</f>
        <v>0</v>
      </c>
      <c r="D88" s="60">
        <f>Inicial!D88</f>
        <v>0</v>
      </c>
      <c r="E88" s="58" t="str">
        <f>IF(Inicial!J88="SI",Inicial!E88,"N/A")</f>
        <v>N/A</v>
      </c>
      <c r="F88" s="59" t="str">
        <f>IF(Inicial!J88="SI",Inicial!F88,"N/A")</f>
        <v>N/A</v>
      </c>
      <c r="G88" s="59" t="str">
        <f>IF(Inicial!J88="SI",Inicial!G88,"N/A")</f>
        <v>N/A</v>
      </c>
      <c r="H88" s="59" t="str">
        <f>IF(Inicial!J88="SI",Inicial!H88,"N/A")</f>
        <v>N/A</v>
      </c>
      <c r="I88" s="61" t="str">
        <f>IF(Inicial!J88="SI",Inicial!I88,"N/A")</f>
        <v>N/A</v>
      </c>
      <c r="J88" s="50"/>
      <c r="K88" s="6"/>
      <c r="L88" s="6"/>
      <c r="M88" s="6"/>
      <c r="N88" s="6"/>
      <c r="O88" s="6"/>
      <c r="P88" s="6" t="str">
        <f t="shared" si="2"/>
        <v>Aceptable</v>
      </c>
      <c r="Q88" s="6"/>
      <c r="R88" s="6"/>
      <c r="S88" s="6"/>
      <c r="T88" s="6"/>
      <c r="U88" s="6"/>
      <c r="V88" s="6"/>
      <c r="W88" s="6" t="str">
        <f t="shared" si="3"/>
        <v>Critico</v>
      </c>
    </row>
    <row r="89" spans="1:23" ht="20.45" customHeight="1">
      <c r="A89" s="58">
        <f>Inicial!A89</f>
        <v>0</v>
      </c>
      <c r="B89" s="59">
        <f>Inicial!B89</f>
        <v>0</v>
      </c>
      <c r="C89" s="59">
        <f>Inicial!C89</f>
        <v>0</v>
      </c>
      <c r="D89" s="60">
        <f>Inicial!D89</f>
        <v>0</v>
      </c>
      <c r="E89" s="58" t="str">
        <f>IF(Inicial!J89="SI",Inicial!E89,"N/A")</f>
        <v>N/A</v>
      </c>
      <c r="F89" s="59" t="str">
        <f>IF(Inicial!J89="SI",Inicial!F89,"N/A")</f>
        <v>N/A</v>
      </c>
      <c r="G89" s="59" t="str">
        <f>IF(Inicial!J89="SI",Inicial!G89,"N/A")</f>
        <v>N/A</v>
      </c>
      <c r="H89" s="59" t="str">
        <f>IF(Inicial!J89="SI",Inicial!H89,"N/A")</f>
        <v>N/A</v>
      </c>
      <c r="I89" s="61" t="str">
        <f>IF(Inicial!J89="SI",Inicial!I89,"N/A")</f>
        <v>N/A</v>
      </c>
      <c r="J89" s="50"/>
      <c r="K89" s="6"/>
      <c r="L89" s="6"/>
      <c r="M89" s="6"/>
      <c r="N89" s="6"/>
      <c r="O89" s="6"/>
      <c r="P89" s="6" t="str">
        <f t="shared" si="2"/>
        <v>Aceptable</v>
      </c>
      <c r="Q89" s="6"/>
      <c r="R89" s="6"/>
      <c r="S89" s="6"/>
      <c r="T89" s="6"/>
      <c r="U89" s="6"/>
      <c r="V89" s="6"/>
      <c r="W89" s="6" t="str">
        <f t="shared" si="3"/>
        <v>Critico</v>
      </c>
    </row>
    <row r="90" spans="1:23" ht="20.45" customHeight="1">
      <c r="A90" s="58">
        <f>Inicial!A90</f>
        <v>0</v>
      </c>
      <c r="B90" s="59">
        <f>Inicial!B90</f>
        <v>0</v>
      </c>
      <c r="C90" s="59">
        <f>Inicial!C90</f>
        <v>0</v>
      </c>
      <c r="D90" s="60">
        <f>Inicial!D90</f>
        <v>0</v>
      </c>
      <c r="E90" s="58" t="str">
        <f>IF(Inicial!J90="SI",Inicial!E90,"N/A")</f>
        <v>N/A</v>
      </c>
      <c r="F90" s="59" t="str">
        <f>IF(Inicial!J90="SI",Inicial!F90,"N/A")</f>
        <v>N/A</v>
      </c>
      <c r="G90" s="59" t="str">
        <f>IF(Inicial!J90="SI",Inicial!G90,"N/A")</f>
        <v>N/A</v>
      </c>
      <c r="H90" s="59" t="str">
        <f>IF(Inicial!J90="SI",Inicial!H90,"N/A")</f>
        <v>N/A</v>
      </c>
      <c r="I90" s="61" t="str">
        <f>IF(Inicial!J90="SI",Inicial!I90,"N/A")</f>
        <v>N/A</v>
      </c>
      <c r="J90" s="50"/>
      <c r="K90" s="6"/>
      <c r="L90" s="6"/>
      <c r="M90" s="6"/>
      <c r="N90" s="6"/>
      <c r="O90" s="6"/>
      <c r="P90" s="6" t="str">
        <f t="shared" si="2"/>
        <v>Aceptable</v>
      </c>
      <c r="Q90" s="6"/>
      <c r="R90" s="6"/>
      <c r="S90" s="6"/>
      <c r="T90" s="6"/>
      <c r="U90" s="6"/>
      <c r="V90" s="6"/>
      <c r="W90" s="6" t="str">
        <f t="shared" si="3"/>
        <v>Critico</v>
      </c>
    </row>
    <row r="91" spans="1:23" ht="20.45" customHeight="1">
      <c r="A91" s="58">
        <f>Inicial!A91</f>
        <v>0</v>
      </c>
      <c r="B91" s="59">
        <f>Inicial!B91</f>
        <v>0</v>
      </c>
      <c r="C91" s="59">
        <f>Inicial!C91</f>
        <v>0</v>
      </c>
      <c r="D91" s="60">
        <f>Inicial!D91</f>
        <v>0</v>
      </c>
      <c r="E91" s="58" t="str">
        <f>IF(Inicial!J91="SI",Inicial!E91,"N/A")</f>
        <v>N/A</v>
      </c>
      <c r="F91" s="59" t="str">
        <f>IF(Inicial!J91="SI",Inicial!F91,"N/A")</f>
        <v>N/A</v>
      </c>
      <c r="G91" s="59" t="str">
        <f>IF(Inicial!J91="SI",Inicial!G91,"N/A")</f>
        <v>N/A</v>
      </c>
      <c r="H91" s="59" t="str">
        <f>IF(Inicial!J91="SI",Inicial!H91,"N/A")</f>
        <v>N/A</v>
      </c>
      <c r="I91" s="61" t="str">
        <f>IF(Inicial!J91="SI",Inicial!I91,"N/A")</f>
        <v>N/A</v>
      </c>
      <c r="J91" s="50"/>
      <c r="K91" s="6"/>
      <c r="L91" s="6"/>
      <c r="M91" s="6"/>
      <c r="N91" s="6"/>
      <c r="O91" s="6"/>
      <c r="P91" s="6" t="str">
        <f t="shared" si="2"/>
        <v>Aceptable</v>
      </c>
      <c r="Q91" s="6"/>
      <c r="R91" s="6"/>
      <c r="S91" s="6"/>
      <c r="T91" s="6"/>
      <c r="U91" s="6"/>
      <c r="V91" s="6"/>
      <c r="W91" s="6" t="str">
        <f t="shared" si="3"/>
        <v>Critico</v>
      </c>
    </row>
    <row r="92" spans="1:23" ht="20.45" customHeight="1">
      <c r="A92" s="58">
        <f>Inicial!A92</f>
        <v>0</v>
      </c>
      <c r="B92" s="59">
        <f>Inicial!B92</f>
        <v>0</v>
      </c>
      <c r="C92" s="59">
        <f>Inicial!C92</f>
        <v>0</v>
      </c>
      <c r="D92" s="60">
        <f>Inicial!D92</f>
        <v>0</v>
      </c>
      <c r="E92" s="58" t="str">
        <f>IF(Inicial!J92="SI",Inicial!E92,"N/A")</f>
        <v>N/A</v>
      </c>
      <c r="F92" s="59" t="str">
        <f>IF(Inicial!J92="SI",Inicial!F92,"N/A")</f>
        <v>N/A</v>
      </c>
      <c r="G92" s="59" t="str">
        <f>IF(Inicial!J92="SI",Inicial!G92,"N/A")</f>
        <v>N/A</v>
      </c>
      <c r="H92" s="59" t="str">
        <f>IF(Inicial!J92="SI",Inicial!H92,"N/A")</f>
        <v>N/A</v>
      </c>
      <c r="I92" s="61" t="str">
        <f>IF(Inicial!J92="SI",Inicial!I92,"N/A")</f>
        <v>N/A</v>
      </c>
      <c r="J92" s="50"/>
      <c r="K92" s="6"/>
      <c r="L92" s="6"/>
      <c r="M92" s="6"/>
      <c r="N92" s="6"/>
      <c r="O92" s="6"/>
      <c r="P92" s="6" t="str">
        <f t="shared" si="2"/>
        <v>Aceptable</v>
      </c>
      <c r="Q92" s="6"/>
      <c r="R92" s="6"/>
      <c r="S92" s="6"/>
      <c r="T92" s="6"/>
      <c r="U92" s="6"/>
      <c r="V92" s="6"/>
      <c r="W92" s="6" t="str">
        <f t="shared" si="3"/>
        <v>Critico</v>
      </c>
    </row>
    <row r="93" spans="1:23" ht="20.45" customHeight="1">
      <c r="A93" s="58">
        <f>Inicial!A93</f>
        <v>0</v>
      </c>
      <c r="B93" s="59">
        <f>Inicial!B93</f>
        <v>0</v>
      </c>
      <c r="C93" s="59">
        <f>Inicial!C93</f>
        <v>0</v>
      </c>
      <c r="D93" s="60">
        <f>Inicial!D93</f>
        <v>0</v>
      </c>
      <c r="E93" s="58" t="str">
        <f>IF(Inicial!J93="SI",Inicial!E93,"N/A")</f>
        <v>N/A</v>
      </c>
      <c r="F93" s="59" t="str">
        <f>IF(Inicial!J93="SI",Inicial!F93,"N/A")</f>
        <v>N/A</v>
      </c>
      <c r="G93" s="59" t="str">
        <f>IF(Inicial!J93="SI",Inicial!G93,"N/A")</f>
        <v>N/A</v>
      </c>
      <c r="H93" s="59" t="str">
        <f>IF(Inicial!J93="SI",Inicial!H93,"N/A")</f>
        <v>N/A</v>
      </c>
      <c r="I93" s="61" t="str">
        <f>IF(Inicial!J93="SI",Inicial!I93,"N/A")</f>
        <v>N/A</v>
      </c>
      <c r="J93" s="50"/>
      <c r="K93" s="6"/>
      <c r="L93" s="6"/>
      <c r="M93" s="6"/>
      <c r="N93" s="6"/>
      <c r="O93" s="6"/>
      <c r="P93" s="6" t="str">
        <f t="shared" si="2"/>
        <v>Aceptable</v>
      </c>
      <c r="Q93" s="6"/>
      <c r="R93" s="6"/>
      <c r="S93" s="6"/>
      <c r="T93" s="6"/>
      <c r="U93" s="6"/>
      <c r="V93" s="6"/>
      <c r="W93" s="6" t="str">
        <f t="shared" si="3"/>
        <v>Critico</v>
      </c>
    </row>
    <row r="94" spans="1:23" ht="20.45" customHeight="1">
      <c r="A94" s="58">
        <f>Inicial!A94</f>
        <v>0</v>
      </c>
      <c r="B94" s="59">
        <f>Inicial!B94</f>
        <v>0</v>
      </c>
      <c r="C94" s="59">
        <f>Inicial!C94</f>
        <v>0</v>
      </c>
      <c r="D94" s="60">
        <f>Inicial!D94</f>
        <v>0</v>
      </c>
      <c r="E94" s="58" t="str">
        <f>IF(Inicial!J94="SI",Inicial!E94,"N/A")</f>
        <v>N/A</v>
      </c>
      <c r="F94" s="59" t="str">
        <f>IF(Inicial!J94="SI",Inicial!F94,"N/A")</f>
        <v>N/A</v>
      </c>
      <c r="G94" s="59" t="str">
        <f>IF(Inicial!J94="SI",Inicial!G94,"N/A")</f>
        <v>N/A</v>
      </c>
      <c r="H94" s="59" t="str">
        <f>IF(Inicial!J94="SI",Inicial!H94,"N/A")</f>
        <v>N/A</v>
      </c>
      <c r="I94" s="61" t="str">
        <f>IF(Inicial!J94="SI",Inicial!I94,"N/A")</f>
        <v>N/A</v>
      </c>
      <c r="J94" s="50"/>
      <c r="K94" s="6"/>
      <c r="L94" s="6"/>
      <c r="M94" s="6"/>
      <c r="N94" s="6"/>
      <c r="O94" s="6"/>
      <c r="P94" s="6" t="str">
        <f t="shared" si="2"/>
        <v>Aceptable</v>
      </c>
      <c r="Q94" s="6"/>
      <c r="R94" s="6"/>
      <c r="S94" s="6"/>
      <c r="T94" s="6"/>
      <c r="U94" s="6"/>
      <c r="V94" s="6"/>
      <c r="W94" s="6" t="str">
        <f t="shared" si="3"/>
        <v>Critico</v>
      </c>
    </row>
    <row r="95" spans="1:23" ht="20.45" customHeight="1">
      <c r="A95" s="58">
        <f>Inicial!A95</f>
        <v>0</v>
      </c>
      <c r="B95" s="59">
        <f>Inicial!B95</f>
        <v>0</v>
      </c>
      <c r="C95" s="59">
        <f>Inicial!C95</f>
        <v>0</v>
      </c>
      <c r="D95" s="60">
        <f>Inicial!D95</f>
        <v>0</v>
      </c>
      <c r="E95" s="58" t="str">
        <f>IF(Inicial!J95="SI",Inicial!E95,"N/A")</f>
        <v>N/A</v>
      </c>
      <c r="F95" s="59" t="str">
        <f>IF(Inicial!J95="SI",Inicial!F95,"N/A")</f>
        <v>N/A</v>
      </c>
      <c r="G95" s="59" t="str">
        <f>IF(Inicial!J95="SI",Inicial!G95,"N/A")</f>
        <v>N/A</v>
      </c>
      <c r="H95" s="59" t="str">
        <f>IF(Inicial!J95="SI",Inicial!H95,"N/A")</f>
        <v>N/A</v>
      </c>
      <c r="I95" s="61" t="str">
        <f>IF(Inicial!J95="SI",Inicial!I95,"N/A")</f>
        <v>N/A</v>
      </c>
      <c r="J95" s="50"/>
      <c r="K95" s="6"/>
      <c r="L95" s="6"/>
      <c r="M95" s="6"/>
      <c r="N95" s="6"/>
      <c r="O95" s="6"/>
      <c r="P95" s="6" t="str">
        <f t="shared" si="2"/>
        <v>Aceptable</v>
      </c>
      <c r="Q95" s="6"/>
      <c r="R95" s="6"/>
      <c r="S95" s="6"/>
      <c r="T95" s="6"/>
      <c r="U95" s="6"/>
      <c r="V95" s="6"/>
      <c r="W95" s="6" t="str">
        <f t="shared" si="3"/>
        <v>Critico</v>
      </c>
    </row>
    <row r="96" spans="1:23" ht="20.45" customHeight="1">
      <c r="A96" s="58">
        <f>Inicial!A96</f>
        <v>0</v>
      </c>
      <c r="B96" s="59">
        <f>Inicial!B96</f>
        <v>0</v>
      </c>
      <c r="C96" s="59">
        <f>Inicial!C96</f>
        <v>0</v>
      </c>
      <c r="D96" s="60">
        <f>Inicial!D96</f>
        <v>0</v>
      </c>
      <c r="E96" s="58" t="str">
        <f>IF(Inicial!J96="SI",Inicial!E96,"N/A")</f>
        <v>N/A</v>
      </c>
      <c r="F96" s="59" t="str">
        <f>IF(Inicial!J96="SI",Inicial!F96,"N/A")</f>
        <v>N/A</v>
      </c>
      <c r="G96" s="59" t="str">
        <f>IF(Inicial!J96="SI",Inicial!G96,"N/A")</f>
        <v>N/A</v>
      </c>
      <c r="H96" s="59" t="str">
        <f>IF(Inicial!J96="SI",Inicial!H96,"N/A")</f>
        <v>N/A</v>
      </c>
      <c r="I96" s="61" t="str">
        <f>IF(Inicial!J96="SI",Inicial!I96,"N/A")</f>
        <v>N/A</v>
      </c>
      <c r="J96" s="50"/>
      <c r="K96" s="6"/>
      <c r="L96" s="6"/>
      <c r="M96" s="6"/>
      <c r="N96" s="6"/>
      <c r="O96" s="6"/>
      <c r="P96" s="6" t="str">
        <f t="shared" si="2"/>
        <v>Aceptable</v>
      </c>
      <c r="Q96" s="6"/>
      <c r="R96" s="6"/>
      <c r="S96" s="6"/>
      <c r="T96" s="6"/>
      <c r="U96" s="6"/>
      <c r="V96" s="6"/>
      <c r="W96" s="6" t="str">
        <f t="shared" si="3"/>
        <v>Critico</v>
      </c>
    </row>
    <row r="97" spans="1:23" ht="20.45" customHeight="1">
      <c r="A97" s="58">
        <f>Inicial!A97</f>
        <v>0</v>
      </c>
      <c r="B97" s="59">
        <f>Inicial!B97</f>
        <v>0</v>
      </c>
      <c r="C97" s="59">
        <f>Inicial!C97</f>
        <v>0</v>
      </c>
      <c r="D97" s="60">
        <f>Inicial!D97</f>
        <v>0</v>
      </c>
      <c r="E97" s="58" t="str">
        <f>IF(Inicial!J97="SI",Inicial!E97,"N/A")</f>
        <v>N/A</v>
      </c>
      <c r="F97" s="59" t="str">
        <f>IF(Inicial!J97="SI",Inicial!F97,"N/A")</f>
        <v>N/A</v>
      </c>
      <c r="G97" s="59" t="str">
        <f>IF(Inicial!J97="SI",Inicial!G97,"N/A")</f>
        <v>N/A</v>
      </c>
      <c r="H97" s="59" t="str">
        <f>IF(Inicial!J97="SI",Inicial!H97,"N/A")</f>
        <v>N/A</v>
      </c>
      <c r="I97" s="61" t="str">
        <f>IF(Inicial!J97="SI",Inicial!I97,"N/A")</f>
        <v>N/A</v>
      </c>
      <c r="J97" s="50"/>
      <c r="K97" s="6"/>
      <c r="L97" s="6"/>
      <c r="M97" s="6"/>
      <c r="N97" s="6"/>
      <c r="O97" s="6"/>
      <c r="P97" s="6" t="str">
        <f t="shared" si="2"/>
        <v>Aceptable</v>
      </c>
      <c r="Q97" s="6"/>
      <c r="R97" s="6"/>
      <c r="S97" s="6"/>
      <c r="T97" s="6"/>
      <c r="U97" s="6"/>
      <c r="V97" s="6"/>
      <c r="W97" s="6" t="str">
        <f t="shared" si="3"/>
        <v>Critico</v>
      </c>
    </row>
    <row r="98" spans="1:23" ht="20.45" customHeight="1">
      <c r="A98" s="58">
        <f>Inicial!A98</f>
        <v>0</v>
      </c>
      <c r="B98" s="59">
        <f>Inicial!B98</f>
        <v>0</v>
      </c>
      <c r="C98" s="59">
        <f>Inicial!C98</f>
        <v>0</v>
      </c>
      <c r="D98" s="60">
        <f>Inicial!D98</f>
        <v>0</v>
      </c>
      <c r="E98" s="58" t="str">
        <f>IF(Inicial!J98="SI",Inicial!E98,"N/A")</f>
        <v>N/A</v>
      </c>
      <c r="F98" s="59" t="str">
        <f>IF(Inicial!J98="SI",Inicial!F98,"N/A")</f>
        <v>N/A</v>
      </c>
      <c r="G98" s="59" t="str">
        <f>IF(Inicial!J98="SI",Inicial!G98,"N/A")</f>
        <v>N/A</v>
      </c>
      <c r="H98" s="59" t="str">
        <f>IF(Inicial!J98="SI",Inicial!H98,"N/A")</f>
        <v>N/A</v>
      </c>
      <c r="I98" s="61" t="str">
        <f>IF(Inicial!J98="SI",Inicial!I98,"N/A")</f>
        <v>N/A</v>
      </c>
      <c r="J98" s="50"/>
      <c r="K98" s="6"/>
      <c r="L98" s="6"/>
      <c r="M98" s="6"/>
      <c r="N98" s="6"/>
      <c r="O98" s="6"/>
      <c r="P98" s="6" t="str">
        <f t="shared" si="2"/>
        <v>Aceptable</v>
      </c>
      <c r="Q98" s="6"/>
      <c r="R98" s="6"/>
      <c r="S98" s="6"/>
      <c r="T98" s="6"/>
      <c r="U98" s="6"/>
      <c r="V98" s="6"/>
      <c r="W98" s="6" t="str">
        <f t="shared" si="3"/>
        <v>Critico</v>
      </c>
    </row>
    <row r="99" spans="1:23" ht="20.45" customHeight="1">
      <c r="A99" s="58">
        <f>Inicial!A99</f>
        <v>0</v>
      </c>
      <c r="B99" s="59">
        <f>Inicial!B99</f>
        <v>0</v>
      </c>
      <c r="C99" s="59">
        <f>Inicial!C99</f>
        <v>0</v>
      </c>
      <c r="D99" s="60">
        <f>Inicial!D99</f>
        <v>0</v>
      </c>
      <c r="E99" s="58" t="str">
        <f>IF(Inicial!J99="SI",Inicial!E99,"N/A")</f>
        <v>N/A</v>
      </c>
      <c r="F99" s="59" t="str">
        <f>IF(Inicial!J99="SI",Inicial!F99,"N/A")</f>
        <v>N/A</v>
      </c>
      <c r="G99" s="59" t="str">
        <f>IF(Inicial!J99="SI",Inicial!G99,"N/A")</f>
        <v>N/A</v>
      </c>
      <c r="H99" s="59" t="str">
        <f>IF(Inicial!J99="SI",Inicial!H99,"N/A")</f>
        <v>N/A</v>
      </c>
      <c r="I99" s="61" t="str">
        <f>IF(Inicial!J99="SI",Inicial!I99,"N/A")</f>
        <v>N/A</v>
      </c>
      <c r="J99" s="50"/>
      <c r="K99" s="6"/>
      <c r="L99" s="6"/>
      <c r="M99" s="6"/>
      <c r="N99" s="6"/>
      <c r="O99" s="6"/>
      <c r="P99" s="6" t="str">
        <f t="shared" si="2"/>
        <v>Aceptable</v>
      </c>
      <c r="Q99" s="6"/>
      <c r="R99" s="6"/>
      <c r="S99" s="6"/>
      <c r="T99" s="6"/>
      <c r="U99" s="6"/>
      <c r="V99" s="6"/>
      <c r="W99" s="6" t="str">
        <f t="shared" si="3"/>
        <v>Critico</v>
      </c>
    </row>
    <row r="100" spans="1:23" ht="20.45" customHeight="1">
      <c r="A100" s="58">
        <f>Inicial!A100</f>
        <v>0</v>
      </c>
      <c r="B100" s="59">
        <f>Inicial!B100</f>
        <v>0</v>
      </c>
      <c r="C100" s="59">
        <f>Inicial!C100</f>
        <v>0</v>
      </c>
      <c r="D100" s="60">
        <f>Inicial!D100</f>
        <v>0</v>
      </c>
      <c r="E100" s="58" t="str">
        <f>IF(Inicial!J100="SI",Inicial!E100,"N/A")</f>
        <v>N/A</v>
      </c>
      <c r="F100" s="59" t="str">
        <f>IF(Inicial!J100="SI",Inicial!F100,"N/A")</f>
        <v>N/A</v>
      </c>
      <c r="G100" s="59" t="str">
        <f>IF(Inicial!J100="SI",Inicial!G100,"N/A")</f>
        <v>N/A</v>
      </c>
      <c r="H100" s="59" t="str">
        <f>IF(Inicial!J100="SI",Inicial!H100,"N/A")</f>
        <v>N/A</v>
      </c>
      <c r="I100" s="61" t="str">
        <f>IF(Inicial!J100="SI",Inicial!I100,"N/A")</f>
        <v>N/A</v>
      </c>
      <c r="J100" s="50"/>
      <c r="K100" s="6"/>
      <c r="L100" s="6"/>
      <c r="M100" s="6"/>
      <c r="N100" s="6"/>
      <c r="O100" s="6"/>
      <c r="P100" s="6" t="str">
        <f t="shared" si="2"/>
        <v>Aceptable</v>
      </c>
      <c r="Q100" s="6"/>
      <c r="R100" s="6"/>
      <c r="S100" s="6"/>
      <c r="T100" s="6"/>
      <c r="U100" s="6"/>
      <c r="V100" s="6"/>
      <c r="W100" s="6" t="str">
        <f t="shared" si="3"/>
        <v>Critico</v>
      </c>
    </row>
    <row r="101" spans="1:23" ht="20.45" customHeight="1">
      <c r="A101" s="58">
        <f>Inicial!A101</f>
        <v>0</v>
      </c>
      <c r="B101" s="59">
        <f>Inicial!B101</f>
        <v>0</v>
      </c>
      <c r="C101" s="59">
        <f>Inicial!C101</f>
        <v>0</v>
      </c>
      <c r="D101" s="60">
        <f>Inicial!D101</f>
        <v>0</v>
      </c>
      <c r="E101" s="58" t="str">
        <f>IF(Inicial!J101="SI",Inicial!E101,"N/A")</f>
        <v>N/A</v>
      </c>
      <c r="F101" s="59" t="str">
        <f>IF(Inicial!J101="SI",Inicial!F101,"N/A")</f>
        <v>N/A</v>
      </c>
      <c r="G101" s="59" t="str">
        <f>IF(Inicial!J101="SI",Inicial!G101,"N/A")</f>
        <v>N/A</v>
      </c>
      <c r="H101" s="59" t="str">
        <f>IF(Inicial!J101="SI",Inicial!H101,"N/A")</f>
        <v>N/A</v>
      </c>
      <c r="I101" s="61" t="str">
        <f>IF(Inicial!J101="SI",Inicial!I101,"N/A")</f>
        <v>N/A</v>
      </c>
      <c r="J101" s="50"/>
      <c r="K101" s="6"/>
      <c r="L101" s="6"/>
      <c r="M101" s="6"/>
      <c r="N101" s="6"/>
      <c r="O101" s="6"/>
      <c r="P101" s="6" t="str">
        <f t="shared" si="2"/>
        <v>Aceptable</v>
      </c>
      <c r="Q101" s="6"/>
      <c r="R101" s="6"/>
      <c r="S101" s="6"/>
      <c r="T101" s="6"/>
      <c r="U101" s="6"/>
      <c r="V101" s="6"/>
      <c r="W101" s="6" t="str">
        <f t="shared" si="3"/>
        <v>Critico</v>
      </c>
    </row>
    <row r="102" spans="1:23" ht="20.45" customHeight="1">
      <c r="A102" s="58">
        <f>Inicial!A102</f>
        <v>0</v>
      </c>
      <c r="B102" s="59">
        <f>Inicial!B102</f>
        <v>0</v>
      </c>
      <c r="C102" s="59">
        <f>Inicial!C102</f>
        <v>0</v>
      </c>
      <c r="D102" s="60">
        <f>Inicial!D102</f>
        <v>0</v>
      </c>
      <c r="E102" s="58" t="str">
        <f>IF(Inicial!J102="SI",Inicial!E102,"N/A")</f>
        <v>N/A</v>
      </c>
      <c r="F102" s="59" t="str">
        <f>IF(Inicial!J102="SI",Inicial!F102,"N/A")</f>
        <v>N/A</v>
      </c>
      <c r="G102" s="59" t="str">
        <f>IF(Inicial!J102="SI",Inicial!G102,"N/A")</f>
        <v>N/A</v>
      </c>
      <c r="H102" s="59" t="str">
        <f>IF(Inicial!J102="SI",Inicial!H102,"N/A")</f>
        <v>N/A</v>
      </c>
      <c r="I102" s="61" t="str">
        <f>IF(Inicial!J102="SI",Inicial!I102,"N/A")</f>
        <v>N/A</v>
      </c>
      <c r="J102" s="50"/>
      <c r="K102" s="6"/>
      <c r="L102" s="6"/>
      <c r="M102" s="6"/>
      <c r="N102" s="6"/>
      <c r="O102" s="6"/>
      <c r="P102" s="6" t="str">
        <f t="shared" si="2"/>
        <v>Aceptable</v>
      </c>
      <c r="Q102" s="6"/>
      <c r="R102" s="6"/>
      <c r="S102" s="6"/>
      <c r="T102" s="6"/>
      <c r="U102" s="6"/>
      <c r="V102" s="6"/>
      <c r="W102" s="6" t="str">
        <f t="shared" si="3"/>
        <v>Critico</v>
      </c>
    </row>
    <row r="103" spans="1:23" ht="20.45" customHeight="1">
      <c r="A103" s="58">
        <f>Inicial!A103</f>
        <v>0</v>
      </c>
      <c r="B103" s="59">
        <f>Inicial!B103</f>
        <v>0</v>
      </c>
      <c r="C103" s="59">
        <f>Inicial!C103</f>
        <v>0</v>
      </c>
      <c r="D103" s="60">
        <f>Inicial!D103</f>
        <v>0</v>
      </c>
      <c r="E103" s="58" t="str">
        <f>IF(Inicial!J103="SI",Inicial!E103,"N/A")</f>
        <v>N/A</v>
      </c>
      <c r="F103" s="59" t="str">
        <f>IF(Inicial!J103="SI",Inicial!F103,"N/A")</f>
        <v>N/A</v>
      </c>
      <c r="G103" s="59" t="str">
        <f>IF(Inicial!J103="SI",Inicial!G103,"N/A")</f>
        <v>N/A</v>
      </c>
      <c r="H103" s="59" t="str">
        <f>IF(Inicial!J103="SI",Inicial!H103,"N/A")</f>
        <v>N/A</v>
      </c>
      <c r="I103" s="61" t="str">
        <f>IF(Inicial!J103="SI",Inicial!I103,"N/A")</f>
        <v>N/A</v>
      </c>
      <c r="J103" s="50"/>
      <c r="K103" s="6"/>
      <c r="L103" s="6"/>
      <c r="M103" s="6"/>
      <c r="N103" s="6"/>
      <c r="O103" s="6"/>
      <c r="P103" s="6" t="str">
        <f t="shared" si="2"/>
        <v>Aceptable</v>
      </c>
      <c r="Q103" s="6"/>
      <c r="R103" s="6"/>
      <c r="S103" s="6"/>
      <c r="T103" s="6"/>
      <c r="U103" s="6"/>
      <c r="V103" s="6"/>
      <c r="W103" s="6" t="str">
        <f t="shared" si="3"/>
        <v>Critico</v>
      </c>
    </row>
    <row r="104" spans="1:23" ht="20.45" customHeight="1">
      <c r="A104" s="58">
        <f>Inicial!A104</f>
        <v>0</v>
      </c>
      <c r="B104" s="59">
        <f>Inicial!B104</f>
        <v>0</v>
      </c>
      <c r="C104" s="59">
        <f>Inicial!C104</f>
        <v>0</v>
      </c>
      <c r="D104" s="60">
        <f>Inicial!D104</f>
        <v>0</v>
      </c>
      <c r="E104" s="58" t="str">
        <f>IF(Inicial!J104="SI",Inicial!E104,"N/A")</f>
        <v>N/A</v>
      </c>
      <c r="F104" s="59" t="str">
        <f>IF(Inicial!J104="SI",Inicial!F104,"N/A")</f>
        <v>N/A</v>
      </c>
      <c r="G104" s="59" t="str">
        <f>IF(Inicial!J104="SI",Inicial!G104,"N/A")</f>
        <v>N/A</v>
      </c>
      <c r="H104" s="59" t="str">
        <f>IF(Inicial!J104="SI",Inicial!H104,"N/A")</f>
        <v>N/A</v>
      </c>
      <c r="I104" s="61" t="str">
        <f>IF(Inicial!J104="SI",Inicial!I104,"N/A")</f>
        <v>N/A</v>
      </c>
      <c r="J104" s="50"/>
      <c r="K104" s="6"/>
      <c r="L104" s="6"/>
      <c r="M104" s="6"/>
      <c r="N104" s="6"/>
      <c r="O104" s="6"/>
      <c r="P104" s="6" t="str">
        <f t="shared" si="2"/>
        <v>Aceptable</v>
      </c>
      <c r="Q104" s="6"/>
      <c r="R104" s="6"/>
      <c r="S104" s="6"/>
      <c r="T104" s="6"/>
      <c r="U104" s="6"/>
      <c r="V104" s="6"/>
      <c r="W104" s="6" t="str">
        <f t="shared" si="3"/>
        <v>Critico</v>
      </c>
    </row>
    <row r="105" spans="1:23" ht="20.45" customHeight="1">
      <c r="A105" s="58">
        <f>Inicial!A105</f>
        <v>0</v>
      </c>
      <c r="B105" s="59">
        <f>Inicial!B105</f>
        <v>0</v>
      </c>
      <c r="C105" s="59">
        <f>Inicial!C105</f>
        <v>0</v>
      </c>
      <c r="D105" s="60">
        <f>Inicial!D105</f>
        <v>0</v>
      </c>
      <c r="E105" s="58" t="str">
        <f>IF(Inicial!J105="SI",Inicial!E105,"N/A")</f>
        <v>N/A</v>
      </c>
      <c r="F105" s="59" t="str">
        <f>IF(Inicial!J105="SI",Inicial!F105,"N/A")</f>
        <v>N/A</v>
      </c>
      <c r="G105" s="59" t="str">
        <f>IF(Inicial!J105="SI",Inicial!G105,"N/A")</f>
        <v>N/A</v>
      </c>
      <c r="H105" s="59" t="str">
        <f>IF(Inicial!J105="SI",Inicial!H105,"N/A")</f>
        <v>N/A</v>
      </c>
      <c r="I105" s="61" t="str">
        <f>IF(Inicial!J105="SI",Inicial!I105,"N/A")</f>
        <v>N/A</v>
      </c>
      <c r="J105" s="50"/>
      <c r="K105" s="6"/>
      <c r="L105" s="6"/>
      <c r="M105" s="6"/>
      <c r="N105" s="6"/>
      <c r="O105" s="6"/>
      <c r="P105" s="6" t="str">
        <f t="shared" si="2"/>
        <v>Aceptable</v>
      </c>
      <c r="Q105" s="6"/>
      <c r="R105" s="6"/>
      <c r="S105" s="6"/>
      <c r="T105" s="6"/>
      <c r="U105" s="6"/>
      <c r="V105" s="6"/>
      <c r="W105" s="6" t="str">
        <f t="shared" si="3"/>
        <v>Critico</v>
      </c>
    </row>
    <row r="106" spans="1:23" ht="20.45" customHeight="1">
      <c r="A106" s="58">
        <f>Inicial!A106</f>
        <v>0</v>
      </c>
      <c r="B106" s="59">
        <f>Inicial!B106</f>
        <v>0</v>
      </c>
      <c r="C106" s="59">
        <f>Inicial!C106</f>
        <v>0</v>
      </c>
      <c r="D106" s="60">
        <f>Inicial!D106</f>
        <v>0</v>
      </c>
      <c r="E106" s="58" t="str">
        <f>IF(Inicial!J106="SI",Inicial!E106,"N/A")</f>
        <v>N/A</v>
      </c>
      <c r="F106" s="59" t="str">
        <f>IF(Inicial!J106="SI",Inicial!F106,"N/A")</f>
        <v>N/A</v>
      </c>
      <c r="G106" s="59" t="str">
        <f>IF(Inicial!J106="SI",Inicial!G106,"N/A")</f>
        <v>N/A</v>
      </c>
      <c r="H106" s="59" t="str">
        <f>IF(Inicial!J106="SI",Inicial!H106,"N/A")</f>
        <v>N/A</v>
      </c>
      <c r="I106" s="61" t="str">
        <f>IF(Inicial!J106="SI",Inicial!I106,"N/A")</f>
        <v>N/A</v>
      </c>
      <c r="J106" s="50"/>
      <c r="K106" s="6"/>
      <c r="L106" s="6"/>
      <c r="M106" s="6"/>
      <c r="N106" s="6"/>
      <c r="O106" s="6"/>
      <c r="P106" s="6" t="str">
        <f t="shared" si="2"/>
        <v>Aceptable</v>
      </c>
      <c r="Q106" s="6"/>
      <c r="R106" s="6"/>
      <c r="S106" s="6"/>
      <c r="T106" s="6"/>
      <c r="U106" s="6"/>
      <c r="V106" s="6"/>
      <c r="W106" s="6" t="str">
        <f t="shared" si="3"/>
        <v>Critico</v>
      </c>
    </row>
    <row r="107" spans="1:23" ht="20.45" customHeight="1">
      <c r="A107" s="58">
        <f>Inicial!A107</f>
        <v>0</v>
      </c>
      <c r="B107" s="59">
        <f>Inicial!B107</f>
        <v>0</v>
      </c>
      <c r="C107" s="59">
        <f>Inicial!C107</f>
        <v>0</v>
      </c>
      <c r="D107" s="60">
        <f>Inicial!D107</f>
        <v>0</v>
      </c>
      <c r="E107" s="58" t="str">
        <f>IF(Inicial!J107="SI",Inicial!E107,"N/A")</f>
        <v>N/A</v>
      </c>
      <c r="F107" s="59" t="str">
        <f>IF(Inicial!J107="SI",Inicial!F107,"N/A")</f>
        <v>N/A</v>
      </c>
      <c r="G107" s="59" t="str">
        <f>IF(Inicial!J107="SI",Inicial!G107,"N/A")</f>
        <v>N/A</v>
      </c>
      <c r="H107" s="59" t="str">
        <f>IF(Inicial!J107="SI",Inicial!H107,"N/A")</f>
        <v>N/A</v>
      </c>
      <c r="I107" s="61" t="str">
        <f>IF(Inicial!J107="SI",Inicial!I107,"N/A")</f>
        <v>N/A</v>
      </c>
      <c r="J107" s="50"/>
      <c r="K107" s="6"/>
      <c r="L107" s="6"/>
      <c r="M107" s="6"/>
      <c r="N107" s="6"/>
      <c r="O107" s="6"/>
      <c r="P107" s="6" t="str">
        <f t="shared" si="2"/>
        <v>Aceptable</v>
      </c>
      <c r="Q107" s="6"/>
      <c r="R107" s="6"/>
      <c r="S107" s="6"/>
      <c r="T107" s="6"/>
      <c r="U107" s="6"/>
      <c r="V107" s="6"/>
      <c r="W107" s="6" t="str">
        <f t="shared" si="3"/>
        <v>Critico</v>
      </c>
    </row>
    <row r="108" spans="1:23" ht="20.45" customHeight="1">
      <c r="A108" s="58">
        <f>Inicial!A108</f>
        <v>0</v>
      </c>
      <c r="B108" s="59">
        <f>Inicial!B108</f>
        <v>0</v>
      </c>
      <c r="C108" s="59">
        <f>Inicial!C108</f>
        <v>0</v>
      </c>
      <c r="D108" s="60">
        <f>Inicial!D108</f>
        <v>0</v>
      </c>
      <c r="E108" s="58" t="str">
        <f>IF(Inicial!J108="SI",Inicial!E108,"N/A")</f>
        <v>N/A</v>
      </c>
      <c r="F108" s="59" t="str">
        <f>IF(Inicial!J108="SI",Inicial!F108,"N/A")</f>
        <v>N/A</v>
      </c>
      <c r="G108" s="59" t="str">
        <f>IF(Inicial!J108="SI",Inicial!G108,"N/A")</f>
        <v>N/A</v>
      </c>
      <c r="H108" s="59" t="str">
        <f>IF(Inicial!J108="SI",Inicial!H108,"N/A")</f>
        <v>N/A</v>
      </c>
      <c r="I108" s="61" t="str">
        <f>IF(Inicial!J108="SI",Inicial!I108,"N/A")</f>
        <v>N/A</v>
      </c>
      <c r="J108" s="50"/>
      <c r="K108" s="6"/>
      <c r="L108" s="6"/>
      <c r="M108" s="6"/>
      <c r="N108" s="6"/>
      <c r="O108" s="6"/>
      <c r="P108" s="6" t="str">
        <f t="shared" si="2"/>
        <v>Aceptable</v>
      </c>
      <c r="Q108" s="6"/>
      <c r="R108" s="6"/>
      <c r="S108" s="6"/>
      <c r="T108" s="6"/>
      <c r="U108" s="6"/>
      <c r="V108" s="6"/>
      <c r="W108" s="6" t="str">
        <f t="shared" si="3"/>
        <v>Critico</v>
      </c>
    </row>
    <row r="109" spans="1:23" ht="20.45" customHeight="1">
      <c r="A109" s="58">
        <f>Inicial!A109</f>
        <v>0</v>
      </c>
      <c r="B109" s="59">
        <f>Inicial!B109</f>
        <v>0</v>
      </c>
      <c r="C109" s="59">
        <f>Inicial!C109</f>
        <v>0</v>
      </c>
      <c r="D109" s="60">
        <f>Inicial!D109</f>
        <v>0</v>
      </c>
      <c r="E109" s="58" t="str">
        <f>IF(Inicial!J109="SI",Inicial!E109,"N/A")</f>
        <v>N/A</v>
      </c>
      <c r="F109" s="59" t="str">
        <f>IF(Inicial!J109="SI",Inicial!F109,"N/A")</f>
        <v>N/A</v>
      </c>
      <c r="G109" s="59" t="str">
        <f>IF(Inicial!J109="SI",Inicial!G109,"N/A")</f>
        <v>N/A</v>
      </c>
      <c r="H109" s="59" t="str">
        <f>IF(Inicial!J109="SI",Inicial!H109,"N/A")</f>
        <v>N/A</v>
      </c>
      <c r="I109" s="61" t="str">
        <f>IF(Inicial!J109="SI",Inicial!I109,"N/A")</f>
        <v>N/A</v>
      </c>
      <c r="J109" s="50"/>
      <c r="K109" s="6"/>
      <c r="L109" s="6"/>
      <c r="M109" s="6"/>
      <c r="N109" s="6"/>
      <c r="O109" s="6"/>
      <c r="P109" s="6" t="str">
        <f t="shared" si="2"/>
        <v>Aceptable</v>
      </c>
      <c r="Q109" s="6"/>
      <c r="R109" s="6"/>
      <c r="S109" s="6"/>
      <c r="T109" s="6"/>
      <c r="U109" s="6"/>
      <c r="V109" s="6"/>
      <c r="W109" s="6" t="str">
        <f t="shared" si="3"/>
        <v>Critico</v>
      </c>
    </row>
    <row r="110" spans="1:23" ht="20.45" customHeight="1">
      <c r="A110" s="58">
        <f>Inicial!A110</f>
        <v>0</v>
      </c>
      <c r="B110" s="59">
        <f>Inicial!B110</f>
        <v>0</v>
      </c>
      <c r="C110" s="59">
        <f>Inicial!C110</f>
        <v>0</v>
      </c>
      <c r="D110" s="60">
        <f>Inicial!D110</f>
        <v>0</v>
      </c>
      <c r="E110" s="58" t="str">
        <f>IF(Inicial!J110="SI",Inicial!E110,"N/A")</f>
        <v>N/A</v>
      </c>
      <c r="F110" s="59" t="str">
        <f>IF(Inicial!J110="SI",Inicial!F110,"N/A")</f>
        <v>N/A</v>
      </c>
      <c r="G110" s="59" t="str">
        <f>IF(Inicial!J110="SI",Inicial!G110,"N/A")</f>
        <v>N/A</v>
      </c>
      <c r="H110" s="59" t="str">
        <f>IF(Inicial!J110="SI",Inicial!H110,"N/A")</f>
        <v>N/A</v>
      </c>
      <c r="I110" s="61" t="str">
        <f>IF(Inicial!J110="SI",Inicial!I110,"N/A")</f>
        <v>N/A</v>
      </c>
      <c r="J110" s="50"/>
      <c r="K110" s="6"/>
      <c r="L110" s="6"/>
      <c r="M110" s="6"/>
      <c r="N110" s="6"/>
      <c r="O110" s="6"/>
      <c r="P110" s="6" t="str">
        <f t="shared" si="2"/>
        <v>Aceptable</v>
      </c>
      <c r="Q110" s="6"/>
      <c r="R110" s="6"/>
      <c r="S110" s="6"/>
      <c r="T110" s="6"/>
      <c r="U110" s="6"/>
      <c r="V110" s="6"/>
      <c r="W110" s="6" t="str">
        <f t="shared" si="3"/>
        <v>Critico</v>
      </c>
    </row>
    <row r="111" spans="1:23" ht="20.45" customHeight="1">
      <c r="A111" s="58">
        <f>Inicial!A111</f>
        <v>0</v>
      </c>
      <c r="B111" s="59">
        <f>Inicial!B111</f>
        <v>0</v>
      </c>
      <c r="C111" s="59">
        <f>Inicial!C111</f>
        <v>0</v>
      </c>
      <c r="D111" s="60">
        <f>Inicial!D111</f>
        <v>0</v>
      </c>
      <c r="E111" s="58" t="str">
        <f>IF(Inicial!J111="SI",Inicial!E111,"N/A")</f>
        <v>N/A</v>
      </c>
      <c r="F111" s="59" t="str">
        <f>IF(Inicial!J111="SI",Inicial!F111,"N/A")</f>
        <v>N/A</v>
      </c>
      <c r="G111" s="59" t="str">
        <f>IF(Inicial!J111="SI",Inicial!G111,"N/A")</f>
        <v>N/A</v>
      </c>
      <c r="H111" s="59" t="str">
        <f>IF(Inicial!J111="SI",Inicial!H111,"N/A")</f>
        <v>N/A</v>
      </c>
      <c r="I111" s="61" t="str">
        <f>IF(Inicial!J111="SI",Inicial!I111,"N/A")</f>
        <v>N/A</v>
      </c>
      <c r="J111" s="50"/>
      <c r="K111" s="6"/>
      <c r="L111" s="6"/>
      <c r="M111" s="6"/>
      <c r="N111" s="6"/>
      <c r="O111" s="6"/>
      <c r="P111" s="6" t="str">
        <f t="shared" si="2"/>
        <v>Aceptable</v>
      </c>
      <c r="Q111" s="6"/>
      <c r="R111" s="6"/>
      <c r="S111" s="6"/>
      <c r="T111" s="6"/>
      <c r="U111" s="6"/>
      <c r="V111" s="6"/>
      <c r="W111" s="6" t="str">
        <f t="shared" si="3"/>
        <v>Critico</v>
      </c>
    </row>
    <row r="112" spans="1:23" ht="20.45" customHeight="1">
      <c r="A112" s="58">
        <f>Inicial!A112</f>
        <v>0</v>
      </c>
      <c r="B112" s="59">
        <f>Inicial!B112</f>
        <v>0</v>
      </c>
      <c r="C112" s="59">
        <f>Inicial!C112</f>
        <v>0</v>
      </c>
      <c r="D112" s="60">
        <f>Inicial!D112</f>
        <v>0</v>
      </c>
      <c r="E112" s="58" t="str">
        <f>IF(Inicial!J112="SI",Inicial!E112,"N/A")</f>
        <v>N/A</v>
      </c>
      <c r="F112" s="59" t="str">
        <f>IF(Inicial!J112="SI",Inicial!F112,"N/A")</f>
        <v>N/A</v>
      </c>
      <c r="G112" s="59" t="str">
        <f>IF(Inicial!J112="SI",Inicial!G112,"N/A")</f>
        <v>N/A</v>
      </c>
      <c r="H112" s="59" t="str">
        <f>IF(Inicial!J112="SI",Inicial!H112,"N/A")</f>
        <v>N/A</v>
      </c>
      <c r="I112" s="61" t="str">
        <f>IF(Inicial!J112="SI",Inicial!I112,"N/A")</f>
        <v>N/A</v>
      </c>
      <c r="P112" s="6" t="str">
        <f t="shared" si="2"/>
        <v>Aceptable</v>
      </c>
      <c r="Q112" s="6"/>
      <c r="R112" s="6"/>
      <c r="S112" s="6"/>
      <c r="T112" s="6"/>
      <c r="U112" s="6"/>
      <c r="V112" s="6"/>
      <c r="W112" s="6" t="str">
        <f t="shared" si="3"/>
        <v>Critico</v>
      </c>
    </row>
    <row r="113" spans="1:23" ht="20.45" customHeight="1">
      <c r="A113" s="58">
        <f>Inicial!A113</f>
        <v>0</v>
      </c>
      <c r="B113" s="59">
        <f>Inicial!B113</f>
        <v>0</v>
      </c>
      <c r="C113" s="59">
        <f>Inicial!C113</f>
        <v>0</v>
      </c>
      <c r="D113" s="60">
        <f>Inicial!D113</f>
        <v>0</v>
      </c>
      <c r="E113" s="58" t="str">
        <f>IF(Inicial!J113="SI",Inicial!E113,"N/A")</f>
        <v>N/A</v>
      </c>
      <c r="F113" s="59" t="str">
        <f>IF(Inicial!J113="SI",Inicial!F113,"N/A")</f>
        <v>N/A</v>
      </c>
      <c r="G113" s="59" t="str">
        <f>IF(Inicial!J113="SI",Inicial!G113,"N/A")</f>
        <v>N/A</v>
      </c>
      <c r="H113" s="59" t="str">
        <f>IF(Inicial!J113="SI",Inicial!H113,"N/A")</f>
        <v>N/A</v>
      </c>
      <c r="I113" s="61" t="str">
        <f>IF(Inicial!J113="SI",Inicial!I113,"N/A")</f>
        <v>N/A</v>
      </c>
      <c r="P113" s="6" t="str">
        <f t="shared" si="2"/>
        <v>Aceptable</v>
      </c>
      <c r="Q113" s="6"/>
      <c r="R113" s="6"/>
      <c r="S113" s="6"/>
      <c r="T113" s="6"/>
      <c r="U113" s="6"/>
      <c r="V113" s="6"/>
      <c r="W113" s="6" t="str">
        <f t="shared" si="3"/>
        <v>Critico</v>
      </c>
    </row>
    <row r="114" spans="1:23" ht="20.45" customHeight="1">
      <c r="A114" s="58">
        <f>Inicial!A114</f>
        <v>0</v>
      </c>
      <c r="B114" s="59">
        <f>Inicial!B114</f>
        <v>0</v>
      </c>
      <c r="C114" s="59">
        <f>Inicial!C114</f>
        <v>0</v>
      </c>
      <c r="D114" s="60">
        <f>Inicial!D114</f>
        <v>0</v>
      </c>
      <c r="E114" s="58" t="str">
        <f>IF(Inicial!J114="SI",Inicial!E114,"N/A")</f>
        <v>N/A</v>
      </c>
      <c r="F114" s="59" t="str">
        <f>IF(Inicial!J114="SI",Inicial!F114,"N/A")</f>
        <v>N/A</v>
      </c>
      <c r="G114" s="59" t="str">
        <f>IF(Inicial!J114="SI",Inicial!G114,"N/A")</f>
        <v>N/A</v>
      </c>
      <c r="H114" s="59" t="str">
        <f>IF(Inicial!J114="SI",Inicial!H114,"N/A")</f>
        <v>N/A</v>
      </c>
      <c r="I114" s="61" t="str">
        <f>IF(Inicial!J114="SI",Inicial!I114,"N/A")</f>
        <v>N/A</v>
      </c>
      <c r="P114" s="6" t="str">
        <f t="shared" si="2"/>
        <v>Aceptable</v>
      </c>
      <c r="Q114" s="6"/>
      <c r="R114" s="6"/>
      <c r="S114" s="6"/>
      <c r="T114" s="6"/>
      <c r="U114" s="6"/>
      <c r="V114" s="6"/>
      <c r="W114" s="6" t="str">
        <f t="shared" si="3"/>
        <v>Critico</v>
      </c>
    </row>
    <row r="115" spans="1:23" ht="20.45" customHeight="1">
      <c r="A115" s="58">
        <f>Inicial!A115</f>
        <v>0</v>
      </c>
      <c r="B115" s="59">
        <f>Inicial!B115</f>
        <v>0</v>
      </c>
      <c r="C115" s="59">
        <f>Inicial!C115</f>
        <v>0</v>
      </c>
      <c r="D115" s="60">
        <f>Inicial!D115</f>
        <v>0</v>
      </c>
      <c r="E115" s="58" t="str">
        <f>IF(Inicial!J115="SI",Inicial!E115,"N/A")</f>
        <v>N/A</v>
      </c>
      <c r="F115" s="59" t="str">
        <f>IF(Inicial!J115="SI",Inicial!F115,"N/A")</f>
        <v>N/A</v>
      </c>
      <c r="G115" s="59" t="str">
        <f>IF(Inicial!J115="SI",Inicial!G115,"N/A")</f>
        <v>N/A</v>
      </c>
      <c r="H115" s="59" t="str">
        <f>IF(Inicial!J115="SI",Inicial!H115,"N/A")</f>
        <v>N/A</v>
      </c>
      <c r="I115" s="61" t="str">
        <f>IF(Inicial!J115="SI",Inicial!I115,"N/A")</f>
        <v>N/A</v>
      </c>
      <c r="P115" s="6" t="str">
        <f t="shared" si="2"/>
        <v>Aceptable</v>
      </c>
      <c r="Q115" s="6"/>
      <c r="R115" s="6"/>
      <c r="S115" s="6"/>
      <c r="T115" s="6"/>
      <c r="U115" s="6"/>
      <c r="V115" s="6"/>
      <c r="W115" s="6" t="str">
        <f t="shared" si="3"/>
        <v>Critico</v>
      </c>
    </row>
    <row r="116" spans="1:23" ht="20.45" customHeight="1">
      <c r="A116" s="58">
        <f>Inicial!A116</f>
        <v>0</v>
      </c>
      <c r="B116" s="59">
        <f>Inicial!B116</f>
        <v>0</v>
      </c>
      <c r="C116" s="59">
        <f>Inicial!C116</f>
        <v>0</v>
      </c>
      <c r="D116" s="60">
        <f>Inicial!D116</f>
        <v>0</v>
      </c>
      <c r="E116" s="58" t="str">
        <f>IF(Inicial!J116="SI",Inicial!E116,"N/A")</f>
        <v>N/A</v>
      </c>
      <c r="F116" s="59" t="str">
        <f>IF(Inicial!J116="SI",Inicial!F116,"N/A")</f>
        <v>N/A</v>
      </c>
      <c r="G116" s="59" t="str">
        <f>IF(Inicial!J116="SI",Inicial!G116,"N/A")</f>
        <v>N/A</v>
      </c>
      <c r="H116" s="59" t="str">
        <f>IF(Inicial!J116="SI",Inicial!H116,"N/A")</f>
        <v>N/A</v>
      </c>
      <c r="I116" s="61" t="str">
        <f>IF(Inicial!J116="SI",Inicial!I116,"N/A")</f>
        <v>N/A</v>
      </c>
      <c r="P116" s="6" t="str">
        <f t="shared" si="2"/>
        <v>Aceptable</v>
      </c>
      <c r="Q116" s="6"/>
      <c r="R116" s="6"/>
      <c r="S116" s="6"/>
      <c r="T116" s="6"/>
      <c r="U116" s="6"/>
      <c r="V116" s="6"/>
      <c r="W116" s="6" t="str">
        <f t="shared" si="3"/>
        <v>Critico</v>
      </c>
    </row>
    <row r="117" spans="1:23" ht="20.45" customHeight="1">
      <c r="A117" s="58">
        <f>Inicial!A117</f>
        <v>0</v>
      </c>
      <c r="B117" s="59">
        <f>Inicial!B117</f>
        <v>0</v>
      </c>
      <c r="C117" s="59">
        <f>Inicial!C117</f>
        <v>0</v>
      </c>
      <c r="D117" s="60">
        <f>Inicial!D117</f>
        <v>0</v>
      </c>
      <c r="E117" s="58" t="str">
        <f>IF(Inicial!J117="SI",Inicial!E117,"N/A")</f>
        <v>N/A</v>
      </c>
      <c r="F117" s="59" t="str">
        <f>IF(Inicial!J117="SI",Inicial!F117,"N/A")</f>
        <v>N/A</v>
      </c>
      <c r="G117" s="59" t="str">
        <f>IF(Inicial!J117="SI",Inicial!G117,"N/A")</f>
        <v>N/A</v>
      </c>
      <c r="H117" s="59" t="str">
        <f>IF(Inicial!J117="SI",Inicial!H117,"N/A")</f>
        <v>N/A</v>
      </c>
      <c r="I117" s="61" t="str">
        <f>IF(Inicial!J117="SI",Inicial!I117,"N/A")</f>
        <v>N/A</v>
      </c>
      <c r="P117" s="6" t="str">
        <f t="shared" si="2"/>
        <v>Aceptable</v>
      </c>
      <c r="Q117" s="6"/>
      <c r="R117" s="6"/>
      <c r="S117" s="6"/>
      <c r="T117" s="6"/>
      <c r="U117" s="6"/>
      <c r="V117" s="6"/>
      <c r="W117" s="6" t="str">
        <f t="shared" si="3"/>
        <v>Critico</v>
      </c>
    </row>
    <row r="118" spans="1:23" ht="20.45" customHeight="1">
      <c r="A118" s="58">
        <f>Inicial!A118</f>
        <v>0</v>
      </c>
      <c r="B118" s="59">
        <f>Inicial!B118</f>
        <v>0</v>
      </c>
      <c r="C118" s="59">
        <f>Inicial!C118</f>
        <v>0</v>
      </c>
      <c r="D118" s="60">
        <f>Inicial!D118</f>
        <v>0</v>
      </c>
      <c r="E118" s="58" t="str">
        <f>IF(Inicial!J118="SI",Inicial!E118,"N/A")</f>
        <v>N/A</v>
      </c>
      <c r="F118" s="59" t="str">
        <f>IF(Inicial!J118="SI",Inicial!F118,"N/A")</f>
        <v>N/A</v>
      </c>
      <c r="G118" s="59" t="str">
        <f>IF(Inicial!J118="SI",Inicial!G118,"N/A")</f>
        <v>N/A</v>
      </c>
      <c r="H118" s="59" t="str">
        <f>IF(Inicial!J118="SI",Inicial!H118,"N/A")</f>
        <v>N/A</v>
      </c>
      <c r="I118" s="61" t="str">
        <f>IF(Inicial!J118="SI",Inicial!I118,"N/A")</f>
        <v>N/A</v>
      </c>
      <c r="P118" s="6" t="str">
        <f t="shared" si="2"/>
        <v>Aceptable</v>
      </c>
      <c r="Q118" s="6"/>
      <c r="R118" s="6"/>
      <c r="S118" s="6"/>
      <c r="T118" s="6"/>
      <c r="U118" s="6"/>
      <c r="V118" s="6"/>
      <c r="W118" s="6" t="str">
        <f t="shared" si="3"/>
        <v>Critico</v>
      </c>
    </row>
    <row r="119" spans="1:23" ht="20.45" customHeight="1">
      <c r="A119" s="58">
        <f>Inicial!A119</f>
        <v>0</v>
      </c>
      <c r="B119" s="59">
        <f>Inicial!B119</f>
        <v>0</v>
      </c>
      <c r="C119" s="59">
        <f>Inicial!C119</f>
        <v>0</v>
      </c>
      <c r="D119" s="60">
        <f>Inicial!D119</f>
        <v>0</v>
      </c>
      <c r="E119" s="58" t="str">
        <f>IF(Inicial!J119="SI",Inicial!E119,"N/A")</f>
        <v>N/A</v>
      </c>
      <c r="F119" s="59" t="str">
        <f>IF(Inicial!J119="SI",Inicial!F119,"N/A")</f>
        <v>N/A</v>
      </c>
      <c r="G119" s="59" t="str">
        <f>IF(Inicial!J119="SI",Inicial!G119,"N/A")</f>
        <v>N/A</v>
      </c>
      <c r="H119" s="59" t="str">
        <f>IF(Inicial!J119="SI",Inicial!H119,"N/A")</f>
        <v>N/A</v>
      </c>
      <c r="I119" s="61" t="str">
        <f>IF(Inicial!J119="SI",Inicial!I119,"N/A")</f>
        <v>N/A</v>
      </c>
      <c r="P119" s="6" t="str">
        <f t="shared" si="2"/>
        <v>Aceptable</v>
      </c>
      <c r="Q119" s="6"/>
      <c r="R119" s="6"/>
      <c r="S119" s="6"/>
      <c r="T119" s="6"/>
      <c r="U119" s="6"/>
      <c r="V119" s="6"/>
      <c r="W119" s="6" t="str">
        <f t="shared" si="3"/>
        <v>Critico</v>
      </c>
    </row>
    <row r="120" spans="1:23" ht="20.45" customHeight="1">
      <c r="A120" s="58">
        <f>Inicial!A120</f>
        <v>0</v>
      </c>
      <c r="B120" s="59">
        <f>Inicial!B120</f>
        <v>0</v>
      </c>
      <c r="C120" s="59">
        <f>Inicial!C120</f>
        <v>0</v>
      </c>
      <c r="D120" s="60">
        <f>Inicial!D120</f>
        <v>0</v>
      </c>
      <c r="E120" s="58" t="str">
        <f>IF(Inicial!J120="SI",Inicial!E120,"N/A")</f>
        <v>N/A</v>
      </c>
      <c r="F120" s="59" t="str">
        <f>IF(Inicial!J120="SI",Inicial!F120,"N/A")</f>
        <v>N/A</v>
      </c>
      <c r="G120" s="59" t="str">
        <f>IF(Inicial!J120="SI",Inicial!G120,"N/A")</f>
        <v>N/A</v>
      </c>
      <c r="H120" s="59" t="str">
        <f>IF(Inicial!J120="SI",Inicial!H120,"N/A")</f>
        <v>N/A</v>
      </c>
      <c r="I120" s="61" t="str">
        <f>IF(Inicial!J120="SI",Inicial!I120,"N/A")</f>
        <v>N/A</v>
      </c>
      <c r="P120" s="6" t="str">
        <f t="shared" si="2"/>
        <v>Aceptable</v>
      </c>
      <c r="Q120" s="6"/>
      <c r="R120" s="6"/>
      <c r="S120" s="6"/>
      <c r="T120" s="6"/>
      <c r="U120" s="6"/>
      <c r="V120" s="6"/>
      <c r="W120" s="6" t="str">
        <f t="shared" si="3"/>
        <v>Critico</v>
      </c>
    </row>
    <row r="121" spans="1:23" ht="20.45" customHeight="1">
      <c r="A121" s="58">
        <f>Inicial!A121</f>
        <v>0</v>
      </c>
      <c r="B121" s="59">
        <f>Inicial!B121</f>
        <v>0</v>
      </c>
      <c r="C121" s="59">
        <f>Inicial!C121</f>
        <v>0</v>
      </c>
      <c r="D121" s="60">
        <f>Inicial!D121</f>
        <v>0</v>
      </c>
      <c r="E121" s="58" t="str">
        <f>IF(Inicial!J121="SI",Inicial!E121,"N/A")</f>
        <v>N/A</v>
      </c>
      <c r="F121" s="59" t="str">
        <f>IF(Inicial!J121="SI",Inicial!F121,"N/A")</f>
        <v>N/A</v>
      </c>
      <c r="G121" s="59" t="str">
        <f>IF(Inicial!J121="SI",Inicial!G121,"N/A")</f>
        <v>N/A</v>
      </c>
      <c r="H121" s="59" t="str">
        <f>IF(Inicial!J121="SI",Inicial!H121,"N/A")</f>
        <v>N/A</v>
      </c>
      <c r="I121" s="61" t="str">
        <f>IF(Inicial!J121="SI",Inicial!I121,"N/A")</f>
        <v>N/A</v>
      </c>
      <c r="P121" s="6" t="str">
        <f t="shared" si="2"/>
        <v>Aceptable</v>
      </c>
      <c r="Q121" s="6"/>
      <c r="R121" s="6"/>
      <c r="S121" s="6"/>
      <c r="T121" s="6"/>
      <c r="U121" s="6"/>
      <c r="V121" s="6"/>
      <c r="W121" s="6" t="str">
        <f t="shared" si="3"/>
        <v>Critico</v>
      </c>
    </row>
    <row r="122" spans="1:23" ht="20.45" customHeight="1">
      <c r="A122" s="58">
        <f>Inicial!A122</f>
        <v>0</v>
      </c>
      <c r="B122" s="59">
        <f>Inicial!B122</f>
        <v>0</v>
      </c>
      <c r="C122" s="59">
        <f>Inicial!C122</f>
        <v>0</v>
      </c>
      <c r="D122" s="60">
        <f>Inicial!D122</f>
        <v>0</v>
      </c>
      <c r="E122" s="58" t="str">
        <f>IF(Inicial!J122="SI",Inicial!E122,"N/A")</f>
        <v>N/A</v>
      </c>
      <c r="F122" s="59" t="str">
        <f>IF(Inicial!J122="SI",Inicial!F122,"N/A")</f>
        <v>N/A</v>
      </c>
      <c r="G122" s="59" t="str">
        <f>IF(Inicial!J122="SI",Inicial!G122,"N/A")</f>
        <v>N/A</v>
      </c>
      <c r="H122" s="59" t="str">
        <f>IF(Inicial!J122="SI",Inicial!H122,"N/A")</f>
        <v>N/A</v>
      </c>
      <c r="I122" s="61" t="str">
        <f>IF(Inicial!J122="SI",Inicial!I122,"N/A")</f>
        <v>N/A</v>
      </c>
      <c r="P122" s="6" t="str">
        <f t="shared" si="2"/>
        <v>Aceptable</v>
      </c>
      <c r="Q122" s="6"/>
      <c r="R122" s="6"/>
      <c r="S122" s="6"/>
      <c r="T122" s="6"/>
      <c r="U122" s="6"/>
      <c r="V122" s="6"/>
      <c r="W122" s="6" t="str">
        <f t="shared" si="3"/>
        <v>Critico</v>
      </c>
    </row>
    <row r="123" spans="1:23" ht="20.45" customHeight="1">
      <c r="A123" s="58">
        <f>Inicial!A123</f>
        <v>0</v>
      </c>
      <c r="B123" s="59">
        <f>Inicial!B123</f>
        <v>0</v>
      </c>
      <c r="C123" s="59">
        <f>Inicial!C123</f>
        <v>0</v>
      </c>
      <c r="D123" s="60">
        <f>Inicial!D123</f>
        <v>0</v>
      </c>
      <c r="E123" s="58" t="str">
        <f>IF(Inicial!J123="SI",Inicial!E123,"N/A")</f>
        <v>N/A</v>
      </c>
      <c r="F123" s="59" t="str">
        <f>IF(Inicial!J123="SI",Inicial!F123,"N/A")</f>
        <v>N/A</v>
      </c>
      <c r="G123" s="59" t="str">
        <f>IF(Inicial!J123="SI",Inicial!G123,"N/A")</f>
        <v>N/A</v>
      </c>
      <c r="H123" s="59" t="str">
        <f>IF(Inicial!J123="SI",Inicial!H123,"N/A")</f>
        <v>N/A</v>
      </c>
      <c r="I123" s="61" t="str">
        <f>IF(Inicial!J123="SI",Inicial!I123,"N/A")</f>
        <v>N/A</v>
      </c>
      <c r="P123" s="6" t="str">
        <f t="shared" si="2"/>
        <v>Aceptable</v>
      </c>
      <c r="Q123" s="6"/>
      <c r="R123" s="6"/>
      <c r="S123" s="6"/>
      <c r="T123" s="6"/>
      <c r="U123" s="6"/>
      <c r="V123" s="6"/>
      <c r="W123" s="6" t="str">
        <f t="shared" si="3"/>
        <v>Critico</v>
      </c>
    </row>
    <row r="124" spans="1:23" ht="20.45" customHeight="1">
      <c r="A124" s="58">
        <f>Inicial!A124</f>
        <v>0</v>
      </c>
      <c r="B124" s="59">
        <f>Inicial!B124</f>
        <v>0</v>
      </c>
      <c r="C124" s="59">
        <f>Inicial!C124</f>
        <v>0</v>
      </c>
      <c r="D124" s="60">
        <f>Inicial!D124</f>
        <v>0</v>
      </c>
      <c r="E124" s="58" t="str">
        <f>IF(Inicial!J124="SI",Inicial!E124,"N/A")</f>
        <v>N/A</v>
      </c>
      <c r="F124" s="59" t="str">
        <f>IF(Inicial!J124="SI",Inicial!F124,"N/A")</f>
        <v>N/A</v>
      </c>
      <c r="G124" s="59" t="str">
        <f>IF(Inicial!J124="SI",Inicial!G124,"N/A")</f>
        <v>N/A</v>
      </c>
      <c r="H124" s="59" t="str">
        <f>IF(Inicial!J124="SI",Inicial!H124,"N/A")</f>
        <v>N/A</v>
      </c>
      <c r="I124" s="61" t="str">
        <f>IF(Inicial!J124="SI",Inicial!I124,"N/A")</f>
        <v>N/A</v>
      </c>
      <c r="P124" s="6" t="str">
        <f t="shared" si="2"/>
        <v>Aceptable</v>
      </c>
      <c r="Q124" s="6"/>
      <c r="R124" s="6"/>
      <c r="S124" s="6"/>
      <c r="T124" s="6"/>
      <c r="U124" s="6"/>
      <c r="V124" s="6"/>
      <c r="W124" s="6" t="str">
        <f t="shared" si="3"/>
        <v>Critico</v>
      </c>
    </row>
    <row r="125" spans="1:23" ht="20.45" customHeight="1">
      <c r="A125" s="58">
        <f>Inicial!A125</f>
        <v>0</v>
      </c>
      <c r="B125" s="59">
        <f>Inicial!B125</f>
        <v>0</v>
      </c>
      <c r="C125" s="59">
        <f>Inicial!C125</f>
        <v>0</v>
      </c>
      <c r="D125" s="60">
        <f>Inicial!D125</f>
        <v>0</v>
      </c>
      <c r="E125" s="58" t="str">
        <f>IF(Inicial!J125="SI",Inicial!E125,"N/A")</f>
        <v>N/A</v>
      </c>
      <c r="F125" s="59" t="str">
        <f>IF(Inicial!J125="SI",Inicial!F125,"N/A")</f>
        <v>N/A</v>
      </c>
      <c r="G125" s="59" t="str">
        <f>IF(Inicial!J125="SI",Inicial!G125,"N/A")</f>
        <v>N/A</v>
      </c>
      <c r="H125" s="59" t="str">
        <f>IF(Inicial!J125="SI",Inicial!H125,"N/A")</f>
        <v>N/A</v>
      </c>
      <c r="I125" s="61" t="str">
        <f>IF(Inicial!J125="SI",Inicial!I125,"N/A")</f>
        <v>N/A</v>
      </c>
      <c r="P125" s="6" t="str">
        <f t="shared" si="2"/>
        <v>Aceptable</v>
      </c>
      <c r="Q125" s="6"/>
      <c r="R125" s="6"/>
      <c r="S125" s="6"/>
      <c r="T125" s="6"/>
      <c r="U125" s="6"/>
      <c r="V125" s="6"/>
      <c r="W125" s="6" t="str">
        <f t="shared" si="3"/>
        <v>Critico</v>
      </c>
    </row>
    <row r="126" spans="1:23" ht="20.45" customHeight="1">
      <c r="A126" s="58">
        <f>Inicial!A126</f>
        <v>0</v>
      </c>
      <c r="B126" s="59">
        <f>Inicial!B126</f>
        <v>0</v>
      </c>
      <c r="C126" s="59">
        <f>Inicial!C126</f>
        <v>0</v>
      </c>
      <c r="D126" s="60">
        <f>Inicial!D126</f>
        <v>0</v>
      </c>
      <c r="E126" s="58" t="str">
        <f>IF(Inicial!J126="SI",Inicial!E126,"N/A")</f>
        <v>N/A</v>
      </c>
      <c r="F126" s="59" t="str">
        <f>IF(Inicial!J126="SI",Inicial!F126,"N/A")</f>
        <v>N/A</v>
      </c>
      <c r="G126" s="59" t="str">
        <f>IF(Inicial!J126="SI",Inicial!G126,"N/A")</f>
        <v>N/A</v>
      </c>
      <c r="H126" s="59" t="str">
        <f>IF(Inicial!J126="SI",Inicial!H126,"N/A")</f>
        <v>N/A</v>
      </c>
      <c r="I126" s="61" t="str">
        <f>IF(Inicial!J126="SI",Inicial!I126,"N/A")</f>
        <v>N/A</v>
      </c>
      <c r="P126" s="6" t="str">
        <f t="shared" si="2"/>
        <v>Aceptable</v>
      </c>
      <c r="Q126" s="6"/>
      <c r="R126" s="6"/>
      <c r="S126" s="6"/>
      <c r="T126" s="6"/>
      <c r="U126" s="6"/>
      <c r="V126" s="6"/>
      <c r="W126" s="6" t="str">
        <f t="shared" si="3"/>
        <v>Critico</v>
      </c>
    </row>
    <row r="127" spans="1:23" ht="20.45" customHeight="1">
      <c r="A127" s="58">
        <f>Inicial!A127</f>
        <v>0</v>
      </c>
      <c r="B127" s="59">
        <f>Inicial!B127</f>
        <v>0</v>
      </c>
      <c r="C127" s="59">
        <f>Inicial!C127</f>
        <v>0</v>
      </c>
      <c r="D127" s="60">
        <f>Inicial!D127</f>
        <v>0</v>
      </c>
      <c r="E127" s="58" t="str">
        <f>IF(Inicial!J127="SI",Inicial!E127,"N/A")</f>
        <v>N/A</v>
      </c>
      <c r="F127" s="59" t="str">
        <f>IF(Inicial!J127="SI",Inicial!F127,"N/A")</f>
        <v>N/A</v>
      </c>
      <c r="G127" s="59" t="str">
        <f>IF(Inicial!J127="SI",Inicial!G127,"N/A")</f>
        <v>N/A</v>
      </c>
      <c r="H127" s="59" t="str">
        <f>IF(Inicial!J127="SI",Inicial!H127,"N/A")</f>
        <v>N/A</v>
      </c>
      <c r="I127" s="61" t="str">
        <f>IF(Inicial!J127="SI",Inicial!I127,"N/A")</f>
        <v>N/A</v>
      </c>
      <c r="P127" s="6" t="str">
        <f t="shared" ref="P127:P190" si="4">IF(OR(J127="NO",K127="NO",L127="NO",M127="NO",N127="NO",O127="NO"),"No Aceptable","Aceptable")</f>
        <v>Aceptable</v>
      </c>
      <c r="Q127" s="6"/>
      <c r="R127" s="6"/>
      <c r="S127" s="6"/>
      <c r="T127" s="6"/>
      <c r="U127" s="6"/>
      <c r="V127" s="6"/>
      <c r="W127" s="6" t="str">
        <f t="shared" si="3"/>
        <v>Critico</v>
      </c>
    </row>
    <row r="128" spans="1:23" ht="20.45" customHeight="1">
      <c r="A128" s="58">
        <f>Inicial!A128</f>
        <v>0</v>
      </c>
      <c r="B128" s="59">
        <f>Inicial!B128</f>
        <v>0</v>
      </c>
      <c r="C128" s="59">
        <f>Inicial!C128</f>
        <v>0</v>
      </c>
      <c r="D128" s="60">
        <f>Inicial!D128</f>
        <v>0</v>
      </c>
      <c r="E128" s="58" t="str">
        <f>IF(Inicial!J128="SI",Inicial!E128,"N/A")</f>
        <v>N/A</v>
      </c>
      <c r="F128" s="59" t="str">
        <f>IF(Inicial!J128="SI",Inicial!F128,"N/A")</f>
        <v>N/A</v>
      </c>
      <c r="G128" s="59" t="str">
        <f>IF(Inicial!J128="SI",Inicial!G128,"N/A")</f>
        <v>N/A</v>
      </c>
      <c r="H128" s="59" t="str">
        <f>IF(Inicial!J128="SI",Inicial!H128,"N/A")</f>
        <v>N/A</v>
      </c>
      <c r="I128" s="61" t="str">
        <f>IF(Inicial!J128="SI",Inicial!I128,"N/A")</f>
        <v>N/A</v>
      </c>
      <c r="P128" s="6" t="str">
        <f t="shared" si="4"/>
        <v>Aceptable</v>
      </c>
      <c r="Q128" s="6"/>
      <c r="R128" s="6"/>
      <c r="S128" s="6"/>
      <c r="T128" s="6"/>
      <c r="U128" s="6"/>
      <c r="V128" s="6"/>
      <c r="W128" s="6" t="str">
        <f t="shared" ref="W128:W191" si="5">IF(AND(Q128="NO",R128="NO",S128="NO",T128="NO",U128="NO",V128="NO"),"No Critico","Critico")</f>
        <v>Critico</v>
      </c>
    </row>
    <row r="129" spans="1:23" ht="20.45" customHeight="1">
      <c r="A129" s="58">
        <f>Inicial!A129</f>
        <v>0</v>
      </c>
      <c r="B129" s="59">
        <f>Inicial!B129</f>
        <v>0</v>
      </c>
      <c r="C129" s="59">
        <f>Inicial!C129</f>
        <v>0</v>
      </c>
      <c r="D129" s="60">
        <f>Inicial!D129</f>
        <v>0</v>
      </c>
      <c r="E129" s="58" t="str">
        <f>IF(Inicial!J129="SI",Inicial!E129,"N/A")</f>
        <v>N/A</v>
      </c>
      <c r="F129" s="59" t="str">
        <f>IF(Inicial!J129="SI",Inicial!F129,"N/A")</f>
        <v>N/A</v>
      </c>
      <c r="G129" s="59" t="str">
        <f>IF(Inicial!J129="SI",Inicial!G129,"N/A")</f>
        <v>N/A</v>
      </c>
      <c r="H129" s="59" t="str">
        <f>IF(Inicial!J129="SI",Inicial!H129,"N/A")</f>
        <v>N/A</v>
      </c>
      <c r="I129" s="61" t="str">
        <f>IF(Inicial!J129="SI",Inicial!I129,"N/A")</f>
        <v>N/A</v>
      </c>
      <c r="P129" s="6" t="str">
        <f t="shared" si="4"/>
        <v>Aceptable</v>
      </c>
      <c r="Q129" s="6"/>
      <c r="R129" s="6"/>
      <c r="S129" s="6"/>
      <c r="T129" s="6"/>
      <c r="U129" s="6"/>
      <c r="V129" s="6"/>
      <c r="W129" s="6" t="str">
        <f t="shared" si="5"/>
        <v>Critico</v>
      </c>
    </row>
    <row r="130" spans="1:23" ht="15">
      <c r="A130" s="58">
        <f>Inicial!A130</f>
        <v>0</v>
      </c>
      <c r="B130" s="59">
        <f>Inicial!B130</f>
        <v>0</v>
      </c>
      <c r="C130" s="59">
        <f>Inicial!C130</f>
        <v>0</v>
      </c>
      <c r="D130" s="60">
        <f>Inicial!D130</f>
        <v>0</v>
      </c>
      <c r="E130" s="58" t="str">
        <f>IF(Inicial!J130="SI",Inicial!E130,"N/A")</f>
        <v>N/A</v>
      </c>
      <c r="F130" s="59" t="str">
        <f>IF(Inicial!J130="SI",Inicial!F130,"N/A")</f>
        <v>N/A</v>
      </c>
      <c r="G130" s="59" t="str">
        <f>IF(Inicial!J130="SI",Inicial!G130,"N/A")</f>
        <v>N/A</v>
      </c>
      <c r="H130" s="59" t="str">
        <f>IF(Inicial!J130="SI",Inicial!H130,"N/A")</f>
        <v>N/A</v>
      </c>
      <c r="I130" s="61" t="str">
        <f>IF(Inicial!J130="SI",Inicial!I130,"N/A")</f>
        <v>N/A</v>
      </c>
      <c r="P130" s="6" t="str">
        <f t="shared" si="4"/>
        <v>Aceptable</v>
      </c>
      <c r="Q130" s="6"/>
      <c r="R130" s="6"/>
      <c r="S130" s="6"/>
      <c r="T130" s="6"/>
      <c r="U130" s="6"/>
      <c r="V130" s="6"/>
      <c r="W130" s="6" t="str">
        <f t="shared" si="5"/>
        <v>Critico</v>
      </c>
    </row>
    <row r="131" spans="1:23" ht="15">
      <c r="A131" s="58">
        <f>Inicial!A131</f>
        <v>0</v>
      </c>
      <c r="B131" s="59">
        <f>Inicial!B131</f>
        <v>0</v>
      </c>
      <c r="C131" s="59">
        <f>Inicial!C131</f>
        <v>0</v>
      </c>
      <c r="D131" s="60">
        <f>Inicial!D131</f>
        <v>0</v>
      </c>
      <c r="E131" s="58" t="str">
        <f>IF(Inicial!J131="SI",Inicial!E131,"N/A")</f>
        <v>N/A</v>
      </c>
      <c r="F131" s="59" t="str">
        <f>IF(Inicial!J131="SI",Inicial!F131,"N/A")</f>
        <v>N/A</v>
      </c>
      <c r="G131" s="59" t="str">
        <f>IF(Inicial!J131="SI",Inicial!G131,"N/A")</f>
        <v>N/A</v>
      </c>
      <c r="H131" s="59" t="str">
        <f>IF(Inicial!J131="SI",Inicial!H131,"N/A")</f>
        <v>N/A</v>
      </c>
      <c r="I131" s="61" t="str">
        <f>IF(Inicial!J131="SI",Inicial!I131,"N/A")</f>
        <v>N/A</v>
      </c>
      <c r="P131" s="6" t="str">
        <f t="shared" si="4"/>
        <v>Aceptable</v>
      </c>
      <c r="Q131" s="6"/>
      <c r="R131" s="6"/>
      <c r="S131" s="6"/>
      <c r="T131" s="6"/>
      <c r="U131" s="6"/>
      <c r="V131" s="6"/>
      <c r="W131" s="6" t="str">
        <f t="shared" si="5"/>
        <v>Critico</v>
      </c>
    </row>
    <row r="132" spans="1:23" ht="15">
      <c r="A132" s="58">
        <f>Inicial!A132</f>
        <v>0</v>
      </c>
      <c r="B132" s="59">
        <f>Inicial!B132</f>
        <v>0</v>
      </c>
      <c r="C132" s="59">
        <f>Inicial!C132</f>
        <v>0</v>
      </c>
      <c r="D132" s="60">
        <f>Inicial!D132</f>
        <v>0</v>
      </c>
      <c r="E132" s="58" t="str">
        <f>IF(Inicial!J132="SI",Inicial!E132,"N/A")</f>
        <v>N/A</v>
      </c>
      <c r="F132" s="59" t="str">
        <f>IF(Inicial!J132="SI",Inicial!F132,"N/A")</f>
        <v>N/A</v>
      </c>
      <c r="G132" s="59" t="str">
        <f>IF(Inicial!J132="SI",Inicial!G132,"N/A")</f>
        <v>N/A</v>
      </c>
      <c r="H132" s="59" t="str">
        <f>IF(Inicial!J132="SI",Inicial!H132,"N/A")</f>
        <v>N/A</v>
      </c>
      <c r="I132" s="61" t="str">
        <f>IF(Inicial!J132="SI",Inicial!I132,"N/A")</f>
        <v>N/A</v>
      </c>
      <c r="P132" s="6" t="str">
        <f t="shared" si="4"/>
        <v>Aceptable</v>
      </c>
      <c r="Q132" s="6"/>
      <c r="R132" s="6"/>
      <c r="S132" s="6"/>
      <c r="T132" s="6"/>
      <c r="U132" s="6"/>
      <c r="V132" s="6"/>
      <c r="W132" s="6" t="str">
        <f t="shared" si="5"/>
        <v>Critico</v>
      </c>
    </row>
    <row r="133" spans="1:23" ht="15">
      <c r="A133" s="58">
        <f>Inicial!A133</f>
        <v>0</v>
      </c>
      <c r="B133" s="59">
        <f>Inicial!B133</f>
        <v>0</v>
      </c>
      <c r="C133" s="59">
        <f>Inicial!C133</f>
        <v>0</v>
      </c>
      <c r="D133" s="60">
        <f>Inicial!D133</f>
        <v>0</v>
      </c>
      <c r="E133" s="58" t="str">
        <f>IF(Inicial!J133="SI",Inicial!E133,"N/A")</f>
        <v>N/A</v>
      </c>
      <c r="F133" s="59" t="str">
        <f>IF(Inicial!J133="SI",Inicial!F133,"N/A")</f>
        <v>N/A</v>
      </c>
      <c r="G133" s="59" t="str">
        <f>IF(Inicial!J133="SI",Inicial!G133,"N/A")</f>
        <v>N/A</v>
      </c>
      <c r="H133" s="59" t="str">
        <f>IF(Inicial!J133="SI",Inicial!H133,"N/A")</f>
        <v>N/A</v>
      </c>
      <c r="I133" s="61" t="str">
        <f>IF(Inicial!J133="SI",Inicial!I133,"N/A")</f>
        <v>N/A</v>
      </c>
      <c r="P133" s="6" t="str">
        <f t="shared" si="4"/>
        <v>Aceptable</v>
      </c>
      <c r="Q133" s="6"/>
      <c r="R133" s="6"/>
      <c r="S133" s="6"/>
      <c r="T133" s="6"/>
      <c r="U133" s="6"/>
      <c r="V133" s="6"/>
      <c r="W133" s="6" t="str">
        <f t="shared" si="5"/>
        <v>Critico</v>
      </c>
    </row>
    <row r="134" spans="1:23" ht="15">
      <c r="A134" s="58">
        <f>Inicial!A134</f>
        <v>0</v>
      </c>
      <c r="B134" s="59">
        <f>Inicial!B134</f>
        <v>0</v>
      </c>
      <c r="C134" s="59">
        <f>Inicial!C134</f>
        <v>0</v>
      </c>
      <c r="D134" s="60">
        <f>Inicial!D134</f>
        <v>0</v>
      </c>
      <c r="E134" s="58" t="str">
        <f>IF(Inicial!J134="SI",Inicial!E134,"N/A")</f>
        <v>N/A</v>
      </c>
      <c r="F134" s="59" t="str">
        <f>IF(Inicial!J134="SI",Inicial!F134,"N/A")</f>
        <v>N/A</v>
      </c>
      <c r="G134" s="59" t="str">
        <f>IF(Inicial!J134="SI",Inicial!G134,"N/A")</f>
        <v>N/A</v>
      </c>
      <c r="H134" s="59" t="str">
        <f>IF(Inicial!J134="SI",Inicial!H134,"N/A")</f>
        <v>N/A</v>
      </c>
      <c r="I134" s="61" t="str">
        <f>IF(Inicial!J134="SI",Inicial!I134,"N/A")</f>
        <v>N/A</v>
      </c>
      <c r="P134" s="6" t="str">
        <f t="shared" si="4"/>
        <v>Aceptable</v>
      </c>
      <c r="Q134" s="6"/>
      <c r="R134" s="6"/>
      <c r="S134" s="6"/>
      <c r="T134" s="6"/>
      <c r="U134" s="6"/>
      <c r="V134" s="6"/>
      <c r="W134" s="6" t="str">
        <f t="shared" si="5"/>
        <v>Critico</v>
      </c>
    </row>
    <row r="135" spans="1:23" ht="15">
      <c r="A135" s="58">
        <f>Inicial!A135</f>
        <v>0</v>
      </c>
      <c r="B135" s="59">
        <f>Inicial!B135</f>
        <v>0</v>
      </c>
      <c r="C135" s="59">
        <f>Inicial!C135</f>
        <v>0</v>
      </c>
      <c r="D135" s="60">
        <f>Inicial!D135</f>
        <v>0</v>
      </c>
      <c r="E135" s="58" t="str">
        <f>IF(Inicial!J135="SI",Inicial!E135,"N/A")</f>
        <v>N/A</v>
      </c>
      <c r="F135" s="59" t="str">
        <f>IF(Inicial!J135="SI",Inicial!F135,"N/A")</f>
        <v>N/A</v>
      </c>
      <c r="G135" s="59" t="str">
        <f>IF(Inicial!J135="SI",Inicial!G135,"N/A")</f>
        <v>N/A</v>
      </c>
      <c r="H135" s="59" t="str">
        <f>IF(Inicial!J135="SI",Inicial!H135,"N/A")</f>
        <v>N/A</v>
      </c>
      <c r="I135" s="61" t="str">
        <f>IF(Inicial!J135="SI",Inicial!I135,"N/A")</f>
        <v>N/A</v>
      </c>
      <c r="P135" s="6" t="str">
        <f t="shared" si="4"/>
        <v>Aceptable</v>
      </c>
      <c r="Q135" s="6"/>
      <c r="R135" s="6"/>
      <c r="S135" s="6"/>
      <c r="T135" s="6"/>
      <c r="U135" s="6"/>
      <c r="V135" s="6"/>
      <c r="W135" s="6" t="str">
        <f t="shared" si="5"/>
        <v>Critico</v>
      </c>
    </row>
    <row r="136" spans="1:23" ht="15">
      <c r="A136" s="58">
        <f>Inicial!A136</f>
        <v>0</v>
      </c>
      <c r="B136" s="59">
        <f>Inicial!B136</f>
        <v>0</v>
      </c>
      <c r="C136" s="59">
        <f>Inicial!C136</f>
        <v>0</v>
      </c>
      <c r="D136" s="60">
        <f>Inicial!D136</f>
        <v>0</v>
      </c>
      <c r="E136" s="58" t="str">
        <f>IF(Inicial!J136="SI",Inicial!E136,"N/A")</f>
        <v>N/A</v>
      </c>
      <c r="F136" s="59" t="str">
        <f>IF(Inicial!J136="SI",Inicial!F136,"N/A")</f>
        <v>N/A</v>
      </c>
      <c r="G136" s="59" t="str">
        <f>IF(Inicial!J136="SI",Inicial!G136,"N/A")</f>
        <v>N/A</v>
      </c>
      <c r="H136" s="59" t="str">
        <f>IF(Inicial!J136="SI",Inicial!H136,"N/A")</f>
        <v>N/A</v>
      </c>
      <c r="I136" s="61" t="str">
        <f>IF(Inicial!J136="SI",Inicial!I136,"N/A")</f>
        <v>N/A</v>
      </c>
      <c r="P136" s="6" t="str">
        <f t="shared" si="4"/>
        <v>Aceptable</v>
      </c>
      <c r="Q136" s="6"/>
      <c r="R136" s="6"/>
      <c r="S136" s="6"/>
      <c r="T136" s="6"/>
      <c r="U136" s="6"/>
      <c r="V136" s="6"/>
      <c r="W136" s="6" t="str">
        <f t="shared" si="5"/>
        <v>Critico</v>
      </c>
    </row>
    <row r="137" spans="1:23" ht="15">
      <c r="A137" s="58">
        <f>Inicial!A137</f>
        <v>0</v>
      </c>
      <c r="B137" s="59">
        <f>Inicial!B137</f>
        <v>0</v>
      </c>
      <c r="C137" s="59">
        <f>Inicial!C137</f>
        <v>0</v>
      </c>
      <c r="D137" s="60">
        <f>Inicial!D137</f>
        <v>0</v>
      </c>
      <c r="E137" s="58" t="str">
        <f>IF(Inicial!J137="SI",Inicial!E137,"N/A")</f>
        <v>N/A</v>
      </c>
      <c r="F137" s="59" t="str">
        <f>IF(Inicial!J137="SI",Inicial!F137,"N/A")</f>
        <v>N/A</v>
      </c>
      <c r="G137" s="59" t="str">
        <f>IF(Inicial!J137="SI",Inicial!G137,"N/A")</f>
        <v>N/A</v>
      </c>
      <c r="H137" s="59" t="str">
        <f>IF(Inicial!J137="SI",Inicial!H137,"N/A")</f>
        <v>N/A</v>
      </c>
      <c r="I137" s="61" t="str">
        <f>IF(Inicial!J137="SI",Inicial!I137,"N/A")</f>
        <v>N/A</v>
      </c>
      <c r="P137" s="6" t="str">
        <f t="shared" si="4"/>
        <v>Aceptable</v>
      </c>
      <c r="Q137" s="6"/>
      <c r="R137" s="6"/>
      <c r="S137" s="6"/>
      <c r="T137" s="6"/>
      <c r="U137" s="6"/>
      <c r="V137" s="6"/>
      <c r="W137" s="6" t="str">
        <f t="shared" si="5"/>
        <v>Critico</v>
      </c>
    </row>
    <row r="138" spans="1:23" ht="15">
      <c r="A138" s="58">
        <f>Inicial!A138</f>
        <v>0</v>
      </c>
      <c r="B138" s="59">
        <f>Inicial!B138</f>
        <v>0</v>
      </c>
      <c r="C138" s="59">
        <f>Inicial!C138</f>
        <v>0</v>
      </c>
      <c r="D138" s="60">
        <f>Inicial!D138</f>
        <v>0</v>
      </c>
      <c r="E138" s="58" t="str">
        <f>IF(Inicial!J138="SI",Inicial!E138,"N/A")</f>
        <v>N/A</v>
      </c>
      <c r="F138" s="59" t="str">
        <f>IF(Inicial!J138="SI",Inicial!F138,"N/A")</f>
        <v>N/A</v>
      </c>
      <c r="G138" s="59" t="str">
        <f>IF(Inicial!J138="SI",Inicial!G138,"N/A")</f>
        <v>N/A</v>
      </c>
      <c r="H138" s="59" t="str">
        <f>IF(Inicial!J138="SI",Inicial!H138,"N/A")</f>
        <v>N/A</v>
      </c>
      <c r="I138" s="61" t="str">
        <f>IF(Inicial!J138="SI",Inicial!I138,"N/A")</f>
        <v>N/A</v>
      </c>
      <c r="P138" s="6" t="str">
        <f t="shared" si="4"/>
        <v>Aceptable</v>
      </c>
      <c r="Q138" s="6"/>
      <c r="R138" s="6"/>
      <c r="S138" s="6"/>
      <c r="T138" s="6"/>
      <c r="U138" s="6"/>
      <c r="V138" s="6"/>
      <c r="W138" s="6" t="str">
        <f t="shared" si="5"/>
        <v>Critico</v>
      </c>
    </row>
    <row r="139" spans="1:23" ht="15">
      <c r="A139" s="58">
        <f>Inicial!A139</f>
        <v>0</v>
      </c>
      <c r="B139" s="59">
        <f>Inicial!B139</f>
        <v>0</v>
      </c>
      <c r="C139" s="59">
        <f>Inicial!C139</f>
        <v>0</v>
      </c>
      <c r="D139" s="60">
        <f>Inicial!D139</f>
        <v>0</v>
      </c>
      <c r="E139" s="58" t="str">
        <f>IF(Inicial!J139="SI",Inicial!E139,"N/A")</f>
        <v>N/A</v>
      </c>
      <c r="F139" s="59" t="str">
        <f>IF(Inicial!J139="SI",Inicial!F139,"N/A")</f>
        <v>N/A</v>
      </c>
      <c r="G139" s="59" t="str">
        <f>IF(Inicial!J139="SI",Inicial!G139,"N/A")</f>
        <v>N/A</v>
      </c>
      <c r="H139" s="59" t="str">
        <f>IF(Inicial!J139="SI",Inicial!H139,"N/A")</f>
        <v>N/A</v>
      </c>
      <c r="I139" s="61" t="str">
        <f>IF(Inicial!J139="SI",Inicial!I139,"N/A")</f>
        <v>N/A</v>
      </c>
      <c r="P139" s="6" t="str">
        <f t="shared" si="4"/>
        <v>Aceptable</v>
      </c>
      <c r="Q139" s="6"/>
      <c r="R139" s="6"/>
      <c r="S139" s="6"/>
      <c r="T139" s="6"/>
      <c r="U139" s="6"/>
      <c r="V139" s="6"/>
      <c r="W139" s="6" t="str">
        <f t="shared" si="5"/>
        <v>Critico</v>
      </c>
    </row>
    <row r="140" spans="1:23" ht="15">
      <c r="A140" s="58">
        <f>Inicial!A140</f>
        <v>0</v>
      </c>
      <c r="B140" s="59">
        <f>Inicial!B140</f>
        <v>0</v>
      </c>
      <c r="C140" s="59">
        <f>Inicial!C140</f>
        <v>0</v>
      </c>
      <c r="D140" s="60">
        <f>Inicial!D140</f>
        <v>0</v>
      </c>
      <c r="E140" s="58" t="str">
        <f>IF(Inicial!J140="SI",Inicial!E140,"N/A")</f>
        <v>N/A</v>
      </c>
      <c r="F140" s="59" t="str">
        <f>IF(Inicial!J140="SI",Inicial!F140,"N/A")</f>
        <v>N/A</v>
      </c>
      <c r="G140" s="59" t="str">
        <f>IF(Inicial!J140="SI",Inicial!G140,"N/A")</f>
        <v>N/A</v>
      </c>
      <c r="H140" s="59" t="str">
        <f>IF(Inicial!J140="SI",Inicial!H140,"N/A")</f>
        <v>N/A</v>
      </c>
      <c r="I140" s="61" t="str">
        <f>IF(Inicial!J140="SI",Inicial!I140,"N/A")</f>
        <v>N/A</v>
      </c>
      <c r="P140" s="6" t="str">
        <f t="shared" si="4"/>
        <v>Aceptable</v>
      </c>
      <c r="Q140" s="6"/>
      <c r="R140" s="6"/>
      <c r="S140" s="6"/>
      <c r="T140" s="6"/>
      <c r="U140" s="6"/>
      <c r="V140" s="6"/>
      <c r="W140" s="6" t="str">
        <f t="shared" si="5"/>
        <v>Critico</v>
      </c>
    </row>
    <row r="141" spans="1:23" ht="15">
      <c r="A141" s="58">
        <f>Inicial!A141</f>
        <v>0</v>
      </c>
      <c r="B141" s="59">
        <f>Inicial!B141</f>
        <v>0</v>
      </c>
      <c r="C141" s="59">
        <f>Inicial!C141</f>
        <v>0</v>
      </c>
      <c r="D141" s="60">
        <f>Inicial!D141</f>
        <v>0</v>
      </c>
      <c r="E141" s="58" t="str">
        <f>IF(Inicial!J141="SI",Inicial!E141,"N/A")</f>
        <v>N/A</v>
      </c>
      <c r="F141" s="59" t="str">
        <f>IF(Inicial!J141="SI",Inicial!F141,"N/A")</f>
        <v>N/A</v>
      </c>
      <c r="G141" s="59" t="str">
        <f>IF(Inicial!J141="SI",Inicial!G141,"N/A")</f>
        <v>N/A</v>
      </c>
      <c r="H141" s="59" t="str">
        <f>IF(Inicial!J141="SI",Inicial!H141,"N/A")</f>
        <v>N/A</v>
      </c>
      <c r="I141" s="61" t="str">
        <f>IF(Inicial!J141="SI",Inicial!I141,"N/A")</f>
        <v>N/A</v>
      </c>
      <c r="P141" s="6" t="str">
        <f t="shared" si="4"/>
        <v>Aceptable</v>
      </c>
      <c r="Q141" s="6"/>
      <c r="R141" s="6"/>
      <c r="S141" s="6"/>
      <c r="T141" s="6"/>
      <c r="U141" s="6"/>
      <c r="V141" s="6"/>
      <c r="W141" s="6" t="str">
        <f t="shared" si="5"/>
        <v>Critico</v>
      </c>
    </row>
    <row r="142" spans="1:23" ht="15">
      <c r="A142" s="58">
        <f>Inicial!A142</f>
        <v>0</v>
      </c>
      <c r="B142" s="59">
        <f>Inicial!B142</f>
        <v>0</v>
      </c>
      <c r="C142" s="59">
        <f>Inicial!C142</f>
        <v>0</v>
      </c>
      <c r="D142" s="60">
        <f>Inicial!D142</f>
        <v>0</v>
      </c>
      <c r="E142" s="58" t="str">
        <f>IF(Inicial!J142="SI",Inicial!E142,"N/A")</f>
        <v>N/A</v>
      </c>
      <c r="F142" s="59" t="str">
        <f>IF(Inicial!J142="SI",Inicial!F142,"N/A")</f>
        <v>N/A</v>
      </c>
      <c r="G142" s="59" t="str">
        <f>IF(Inicial!J142="SI",Inicial!G142,"N/A")</f>
        <v>N/A</v>
      </c>
      <c r="H142" s="59" t="str">
        <f>IF(Inicial!J142="SI",Inicial!H142,"N/A")</f>
        <v>N/A</v>
      </c>
      <c r="I142" s="61" t="str">
        <f>IF(Inicial!J142="SI",Inicial!I142,"N/A")</f>
        <v>N/A</v>
      </c>
      <c r="P142" s="6" t="str">
        <f t="shared" si="4"/>
        <v>Aceptable</v>
      </c>
      <c r="Q142" s="6"/>
      <c r="R142" s="6"/>
      <c r="S142" s="6"/>
      <c r="T142" s="6"/>
      <c r="U142" s="6"/>
      <c r="V142" s="6"/>
      <c r="W142" s="6" t="str">
        <f t="shared" si="5"/>
        <v>Critico</v>
      </c>
    </row>
    <row r="143" spans="1:23" ht="15">
      <c r="A143" s="58">
        <f>Inicial!A143</f>
        <v>0</v>
      </c>
      <c r="B143" s="59">
        <f>Inicial!B143</f>
        <v>0</v>
      </c>
      <c r="C143" s="59">
        <f>Inicial!C143</f>
        <v>0</v>
      </c>
      <c r="D143" s="60">
        <f>Inicial!D143</f>
        <v>0</v>
      </c>
      <c r="E143" s="58" t="str">
        <f>IF(Inicial!J143="SI",Inicial!E143,"N/A")</f>
        <v>N/A</v>
      </c>
      <c r="F143" s="59" t="str">
        <f>IF(Inicial!J143="SI",Inicial!F143,"N/A")</f>
        <v>N/A</v>
      </c>
      <c r="G143" s="59" t="str">
        <f>IF(Inicial!J143="SI",Inicial!G143,"N/A")</f>
        <v>N/A</v>
      </c>
      <c r="H143" s="59" t="str">
        <f>IF(Inicial!J143="SI",Inicial!H143,"N/A")</f>
        <v>N/A</v>
      </c>
      <c r="I143" s="61" t="str">
        <f>IF(Inicial!J143="SI",Inicial!I143,"N/A")</f>
        <v>N/A</v>
      </c>
      <c r="P143" s="6" t="str">
        <f t="shared" si="4"/>
        <v>Aceptable</v>
      </c>
      <c r="Q143" s="6"/>
      <c r="R143" s="6"/>
      <c r="S143" s="6"/>
      <c r="T143" s="6"/>
      <c r="U143" s="6"/>
      <c r="V143" s="6"/>
      <c r="W143" s="6" t="str">
        <f t="shared" si="5"/>
        <v>Critico</v>
      </c>
    </row>
    <row r="144" spans="1:23" ht="15">
      <c r="A144" s="58">
        <f>Inicial!A144</f>
        <v>0</v>
      </c>
      <c r="B144" s="59">
        <f>Inicial!B144</f>
        <v>0</v>
      </c>
      <c r="C144" s="59">
        <f>Inicial!C144</f>
        <v>0</v>
      </c>
      <c r="D144" s="60">
        <f>Inicial!D144</f>
        <v>0</v>
      </c>
      <c r="E144" s="58" t="str">
        <f>IF(Inicial!J144="SI",Inicial!E144,"N/A")</f>
        <v>N/A</v>
      </c>
      <c r="F144" s="59" t="str">
        <f>IF(Inicial!J144="SI",Inicial!F144,"N/A")</f>
        <v>N/A</v>
      </c>
      <c r="G144" s="59" t="str">
        <f>IF(Inicial!J144="SI",Inicial!G144,"N/A")</f>
        <v>N/A</v>
      </c>
      <c r="H144" s="59" t="str">
        <f>IF(Inicial!J144="SI",Inicial!H144,"N/A")</f>
        <v>N/A</v>
      </c>
      <c r="I144" s="61" t="str">
        <f>IF(Inicial!J144="SI",Inicial!I144,"N/A")</f>
        <v>N/A</v>
      </c>
      <c r="P144" s="6" t="str">
        <f t="shared" si="4"/>
        <v>Aceptable</v>
      </c>
      <c r="Q144" s="6"/>
      <c r="R144" s="6"/>
      <c r="S144" s="6"/>
      <c r="T144" s="6"/>
      <c r="U144" s="6"/>
      <c r="V144" s="6"/>
      <c r="W144" s="6" t="str">
        <f t="shared" si="5"/>
        <v>Critico</v>
      </c>
    </row>
    <row r="145" spans="1:23" ht="15">
      <c r="A145" s="58">
        <f>Inicial!A145</f>
        <v>0</v>
      </c>
      <c r="B145" s="59">
        <f>Inicial!B145</f>
        <v>0</v>
      </c>
      <c r="C145" s="59">
        <f>Inicial!C145</f>
        <v>0</v>
      </c>
      <c r="D145" s="60">
        <f>Inicial!D145</f>
        <v>0</v>
      </c>
      <c r="E145" s="58" t="str">
        <f>IF(Inicial!J145="SI",Inicial!E145,"N/A")</f>
        <v>N/A</v>
      </c>
      <c r="F145" s="59" t="str">
        <f>IF(Inicial!J145="SI",Inicial!F145,"N/A")</f>
        <v>N/A</v>
      </c>
      <c r="G145" s="59" t="str">
        <f>IF(Inicial!J145="SI",Inicial!G145,"N/A")</f>
        <v>N/A</v>
      </c>
      <c r="H145" s="59" t="str">
        <f>IF(Inicial!J145="SI",Inicial!H145,"N/A")</f>
        <v>N/A</v>
      </c>
      <c r="I145" s="61" t="str">
        <f>IF(Inicial!J145="SI",Inicial!I145,"N/A")</f>
        <v>N/A</v>
      </c>
      <c r="P145" s="6" t="str">
        <f t="shared" si="4"/>
        <v>Aceptable</v>
      </c>
      <c r="Q145" s="6"/>
      <c r="R145" s="6"/>
      <c r="S145" s="6"/>
      <c r="T145" s="6"/>
      <c r="U145" s="6"/>
      <c r="V145" s="6"/>
      <c r="W145" s="6" t="str">
        <f t="shared" si="5"/>
        <v>Critico</v>
      </c>
    </row>
    <row r="146" spans="1:23" ht="15">
      <c r="A146" s="58">
        <f>Inicial!A146</f>
        <v>0</v>
      </c>
      <c r="B146" s="59">
        <f>Inicial!B146</f>
        <v>0</v>
      </c>
      <c r="C146" s="59">
        <f>Inicial!C146</f>
        <v>0</v>
      </c>
      <c r="D146" s="60">
        <f>Inicial!D146</f>
        <v>0</v>
      </c>
      <c r="E146" s="58" t="str">
        <f>IF(Inicial!J146="SI",Inicial!E146,"N/A")</f>
        <v>N/A</v>
      </c>
      <c r="F146" s="59" t="str">
        <f>IF(Inicial!J146="SI",Inicial!F146,"N/A")</f>
        <v>N/A</v>
      </c>
      <c r="G146" s="59" t="str">
        <f>IF(Inicial!J146="SI",Inicial!G146,"N/A")</f>
        <v>N/A</v>
      </c>
      <c r="H146" s="59" t="str">
        <f>IF(Inicial!J146="SI",Inicial!H146,"N/A")</f>
        <v>N/A</v>
      </c>
      <c r="I146" s="61" t="str">
        <f>IF(Inicial!J146="SI",Inicial!I146,"N/A")</f>
        <v>N/A</v>
      </c>
      <c r="P146" s="6" t="str">
        <f t="shared" si="4"/>
        <v>Aceptable</v>
      </c>
      <c r="Q146" s="6"/>
      <c r="R146" s="6"/>
      <c r="S146" s="6"/>
      <c r="T146" s="6"/>
      <c r="U146" s="6"/>
      <c r="V146" s="6"/>
      <c r="W146" s="6" t="str">
        <f t="shared" si="5"/>
        <v>Critico</v>
      </c>
    </row>
    <row r="147" spans="1:23" ht="15">
      <c r="A147" s="58">
        <f>Inicial!A147</f>
        <v>0</v>
      </c>
      <c r="B147" s="59">
        <f>Inicial!B147</f>
        <v>0</v>
      </c>
      <c r="C147" s="59">
        <f>Inicial!C147</f>
        <v>0</v>
      </c>
      <c r="D147" s="60">
        <f>Inicial!D147</f>
        <v>0</v>
      </c>
      <c r="E147" s="58" t="str">
        <f>IF(Inicial!J147="SI",Inicial!E147,"N/A")</f>
        <v>N/A</v>
      </c>
      <c r="F147" s="59" t="str">
        <f>IF(Inicial!J147="SI",Inicial!F147,"N/A")</f>
        <v>N/A</v>
      </c>
      <c r="G147" s="59" t="str">
        <f>IF(Inicial!J147="SI",Inicial!G147,"N/A")</f>
        <v>N/A</v>
      </c>
      <c r="H147" s="59" t="str">
        <f>IF(Inicial!J147="SI",Inicial!H147,"N/A")</f>
        <v>N/A</v>
      </c>
      <c r="I147" s="61" t="str">
        <f>IF(Inicial!J147="SI",Inicial!I147,"N/A")</f>
        <v>N/A</v>
      </c>
      <c r="P147" s="6" t="str">
        <f t="shared" si="4"/>
        <v>Aceptable</v>
      </c>
      <c r="Q147" s="6"/>
      <c r="R147" s="6"/>
      <c r="S147" s="6"/>
      <c r="T147" s="6"/>
      <c r="U147" s="6"/>
      <c r="V147" s="6"/>
      <c r="W147" s="6" t="str">
        <f t="shared" si="5"/>
        <v>Critico</v>
      </c>
    </row>
    <row r="148" spans="1:23" ht="15">
      <c r="A148" s="58">
        <f>Inicial!A148</f>
        <v>0</v>
      </c>
      <c r="B148" s="59">
        <f>Inicial!B148</f>
        <v>0</v>
      </c>
      <c r="C148" s="59">
        <f>Inicial!C148</f>
        <v>0</v>
      </c>
      <c r="D148" s="60">
        <f>Inicial!D148</f>
        <v>0</v>
      </c>
      <c r="E148" s="58" t="str">
        <f>IF(Inicial!J148="SI",Inicial!E148,"N/A")</f>
        <v>N/A</v>
      </c>
      <c r="F148" s="59" t="str">
        <f>IF(Inicial!J148="SI",Inicial!F148,"N/A")</f>
        <v>N/A</v>
      </c>
      <c r="G148" s="59" t="str">
        <f>IF(Inicial!J148="SI",Inicial!G148,"N/A")</f>
        <v>N/A</v>
      </c>
      <c r="H148" s="59" t="str">
        <f>IF(Inicial!J148="SI",Inicial!H148,"N/A")</f>
        <v>N/A</v>
      </c>
      <c r="I148" s="61" t="str">
        <f>IF(Inicial!J148="SI",Inicial!I148,"N/A")</f>
        <v>N/A</v>
      </c>
      <c r="P148" s="6" t="str">
        <f t="shared" si="4"/>
        <v>Aceptable</v>
      </c>
      <c r="Q148" s="6"/>
      <c r="R148" s="6"/>
      <c r="S148" s="6"/>
      <c r="T148" s="6"/>
      <c r="U148" s="6"/>
      <c r="V148" s="6"/>
      <c r="W148" s="6" t="str">
        <f t="shared" si="5"/>
        <v>Critico</v>
      </c>
    </row>
    <row r="149" spans="1:23" ht="15">
      <c r="A149" s="58">
        <f>Inicial!A149</f>
        <v>0</v>
      </c>
      <c r="B149" s="59">
        <f>Inicial!B149</f>
        <v>0</v>
      </c>
      <c r="C149" s="59">
        <f>Inicial!C149</f>
        <v>0</v>
      </c>
      <c r="D149" s="60">
        <f>Inicial!D149</f>
        <v>0</v>
      </c>
      <c r="E149" s="58" t="str">
        <f>IF(Inicial!J149="SI",Inicial!E149,"N/A")</f>
        <v>N/A</v>
      </c>
      <c r="F149" s="59" t="str">
        <f>IF(Inicial!J149="SI",Inicial!F149,"N/A")</f>
        <v>N/A</v>
      </c>
      <c r="G149" s="59" t="str">
        <f>IF(Inicial!J149="SI",Inicial!G149,"N/A")</f>
        <v>N/A</v>
      </c>
      <c r="H149" s="59" t="str">
        <f>IF(Inicial!J149="SI",Inicial!H149,"N/A")</f>
        <v>N/A</v>
      </c>
      <c r="I149" s="61" t="str">
        <f>IF(Inicial!J149="SI",Inicial!I149,"N/A")</f>
        <v>N/A</v>
      </c>
      <c r="P149" s="6" t="str">
        <f t="shared" si="4"/>
        <v>Aceptable</v>
      </c>
      <c r="Q149" s="6"/>
      <c r="R149" s="6"/>
      <c r="S149" s="6"/>
      <c r="T149" s="6"/>
      <c r="U149" s="6"/>
      <c r="V149" s="6"/>
      <c r="W149" s="6" t="str">
        <f t="shared" si="5"/>
        <v>Critico</v>
      </c>
    </row>
    <row r="150" spans="1:23" ht="15">
      <c r="A150" s="58">
        <f>Inicial!A150</f>
        <v>0</v>
      </c>
      <c r="B150" s="59">
        <f>Inicial!B150</f>
        <v>0</v>
      </c>
      <c r="C150" s="59">
        <f>Inicial!C150</f>
        <v>0</v>
      </c>
      <c r="D150" s="60">
        <f>Inicial!D150</f>
        <v>0</v>
      </c>
      <c r="E150" s="58" t="str">
        <f>IF(Inicial!J150="SI",Inicial!E150,"N/A")</f>
        <v>N/A</v>
      </c>
      <c r="F150" s="59" t="str">
        <f>IF(Inicial!J150="SI",Inicial!F150,"N/A")</f>
        <v>N/A</v>
      </c>
      <c r="G150" s="59" t="str">
        <f>IF(Inicial!J150="SI",Inicial!G150,"N/A")</f>
        <v>N/A</v>
      </c>
      <c r="H150" s="59" t="str">
        <f>IF(Inicial!J150="SI",Inicial!H150,"N/A")</f>
        <v>N/A</v>
      </c>
      <c r="I150" s="61" t="str">
        <f>IF(Inicial!J150="SI",Inicial!I150,"N/A")</f>
        <v>N/A</v>
      </c>
      <c r="P150" s="6" t="str">
        <f t="shared" si="4"/>
        <v>Aceptable</v>
      </c>
      <c r="Q150" s="6"/>
      <c r="R150" s="6"/>
      <c r="S150" s="6"/>
      <c r="T150" s="6"/>
      <c r="U150" s="6"/>
      <c r="V150" s="6"/>
      <c r="W150" s="6" t="str">
        <f t="shared" si="5"/>
        <v>Critico</v>
      </c>
    </row>
    <row r="151" spans="1:23" ht="15">
      <c r="A151" s="58">
        <f>Inicial!A151</f>
        <v>0</v>
      </c>
      <c r="B151" s="59">
        <f>Inicial!B151</f>
        <v>0</v>
      </c>
      <c r="C151" s="59">
        <f>Inicial!C151</f>
        <v>0</v>
      </c>
      <c r="D151" s="60">
        <f>Inicial!D151</f>
        <v>0</v>
      </c>
      <c r="E151" s="58" t="str">
        <f>IF(Inicial!J151="SI",Inicial!E151,"N/A")</f>
        <v>N/A</v>
      </c>
      <c r="F151" s="59" t="str">
        <f>IF(Inicial!J151="SI",Inicial!F151,"N/A")</f>
        <v>N/A</v>
      </c>
      <c r="G151" s="59" t="str">
        <f>IF(Inicial!J151="SI",Inicial!G151,"N/A")</f>
        <v>N/A</v>
      </c>
      <c r="H151" s="59" t="str">
        <f>IF(Inicial!J151="SI",Inicial!H151,"N/A")</f>
        <v>N/A</v>
      </c>
      <c r="I151" s="61" t="str">
        <f>IF(Inicial!J151="SI",Inicial!I151,"N/A")</f>
        <v>N/A</v>
      </c>
      <c r="P151" s="6" t="str">
        <f t="shared" si="4"/>
        <v>Aceptable</v>
      </c>
      <c r="Q151" s="6"/>
      <c r="R151" s="6"/>
      <c r="S151" s="6"/>
      <c r="T151" s="6"/>
      <c r="U151" s="6"/>
      <c r="V151" s="6"/>
      <c r="W151" s="6" t="str">
        <f t="shared" si="5"/>
        <v>Critico</v>
      </c>
    </row>
    <row r="152" spans="1:23" ht="15">
      <c r="A152" s="58">
        <f>Inicial!A152</f>
        <v>0</v>
      </c>
      <c r="B152" s="59">
        <f>Inicial!B152</f>
        <v>0</v>
      </c>
      <c r="C152" s="59">
        <f>Inicial!C152</f>
        <v>0</v>
      </c>
      <c r="D152" s="60">
        <f>Inicial!D152</f>
        <v>0</v>
      </c>
      <c r="E152" s="58" t="str">
        <f>IF(Inicial!J152="SI",Inicial!E152,"N/A")</f>
        <v>N/A</v>
      </c>
      <c r="F152" s="59" t="str">
        <f>IF(Inicial!J152="SI",Inicial!F152,"N/A")</f>
        <v>N/A</v>
      </c>
      <c r="G152" s="59" t="str">
        <f>IF(Inicial!J152="SI",Inicial!G152,"N/A")</f>
        <v>N/A</v>
      </c>
      <c r="H152" s="59" t="str">
        <f>IF(Inicial!J152="SI",Inicial!H152,"N/A")</f>
        <v>N/A</v>
      </c>
      <c r="I152" s="61" t="str">
        <f>IF(Inicial!J152="SI",Inicial!I152,"N/A")</f>
        <v>N/A</v>
      </c>
      <c r="P152" s="6" t="str">
        <f t="shared" si="4"/>
        <v>Aceptable</v>
      </c>
      <c r="Q152" s="6"/>
      <c r="R152" s="6"/>
      <c r="S152" s="6"/>
      <c r="T152" s="6"/>
      <c r="U152" s="6"/>
      <c r="V152" s="6"/>
      <c r="W152" s="6" t="str">
        <f t="shared" si="5"/>
        <v>Critico</v>
      </c>
    </row>
    <row r="153" spans="1:23" ht="15">
      <c r="A153" s="58">
        <f>Inicial!A153</f>
        <v>0</v>
      </c>
      <c r="B153" s="59">
        <f>Inicial!B153</f>
        <v>0</v>
      </c>
      <c r="C153" s="59">
        <f>Inicial!C153</f>
        <v>0</v>
      </c>
      <c r="D153" s="60">
        <f>Inicial!D153</f>
        <v>0</v>
      </c>
      <c r="E153" s="58" t="str">
        <f>IF(Inicial!J153="SI",Inicial!E153,"N/A")</f>
        <v>N/A</v>
      </c>
      <c r="F153" s="59" t="str">
        <f>IF(Inicial!J153="SI",Inicial!F153,"N/A")</f>
        <v>N/A</v>
      </c>
      <c r="G153" s="59" t="str">
        <f>IF(Inicial!J153="SI",Inicial!G153,"N/A")</f>
        <v>N/A</v>
      </c>
      <c r="H153" s="59" t="str">
        <f>IF(Inicial!J153="SI",Inicial!H153,"N/A")</f>
        <v>N/A</v>
      </c>
      <c r="I153" s="61" t="str">
        <f>IF(Inicial!J153="SI",Inicial!I153,"N/A")</f>
        <v>N/A</v>
      </c>
      <c r="P153" s="6" t="str">
        <f t="shared" si="4"/>
        <v>Aceptable</v>
      </c>
      <c r="Q153" s="6"/>
      <c r="R153" s="6"/>
      <c r="S153" s="6"/>
      <c r="T153" s="6"/>
      <c r="U153" s="6"/>
      <c r="V153" s="6"/>
      <c r="W153" s="6" t="str">
        <f t="shared" si="5"/>
        <v>Critico</v>
      </c>
    </row>
    <row r="154" spans="1:23" ht="15">
      <c r="A154" s="58">
        <f>Inicial!A154</f>
        <v>0</v>
      </c>
      <c r="B154" s="59">
        <f>Inicial!B154</f>
        <v>0</v>
      </c>
      <c r="C154" s="59">
        <f>Inicial!C154</f>
        <v>0</v>
      </c>
      <c r="D154" s="60">
        <f>Inicial!D154</f>
        <v>0</v>
      </c>
      <c r="E154" s="58" t="str">
        <f>IF(Inicial!J154="SI",Inicial!E154,"N/A")</f>
        <v>N/A</v>
      </c>
      <c r="F154" s="59" t="str">
        <f>IF(Inicial!J154="SI",Inicial!F154,"N/A")</f>
        <v>N/A</v>
      </c>
      <c r="G154" s="59" t="str">
        <f>IF(Inicial!J154="SI",Inicial!G154,"N/A")</f>
        <v>N/A</v>
      </c>
      <c r="H154" s="59" t="str">
        <f>IF(Inicial!J154="SI",Inicial!H154,"N/A")</f>
        <v>N/A</v>
      </c>
      <c r="I154" s="61" t="str">
        <f>IF(Inicial!J154="SI",Inicial!I154,"N/A")</f>
        <v>N/A</v>
      </c>
      <c r="P154" s="6" t="str">
        <f t="shared" si="4"/>
        <v>Aceptable</v>
      </c>
      <c r="Q154" s="6"/>
      <c r="R154" s="6"/>
      <c r="S154" s="6"/>
      <c r="T154" s="6"/>
      <c r="U154" s="6"/>
      <c r="V154" s="6"/>
      <c r="W154" s="6" t="str">
        <f t="shared" si="5"/>
        <v>Critico</v>
      </c>
    </row>
    <row r="155" spans="1:23" ht="15">
      <c r="A155" s="58">
        <f>Inicial!A155</f>
        <v>0</v>
      </c>
      <c r="B155" s="59">
        <f>Inicial!B155</f>
        <v>0</v>
      </c>
      <c r="C155" s="59">
        <f>Inicial!C155</f>
        <v>0</v>
      </c>
      <c r="D155" s="60">
        <f>Inicial!D155</f>
        <v>0</v>
      </c>
      <c r="E155" s="58" t="str">
        <f>IF(Inicial!J155="SI",Inicial!E155,"N/A")</f>
        <v>N/A</v>
      </c>
      <c r="F155" s="59" t="str">
        <f>IF(Inicial!J155="SI",Inicial!F155,"N/A")</f>
        <v>N/A</v>
      </c>
      <c r="G155" s="59" t="str">
        <f>IF(Inicial!J155="SI",Inicial!G155,"N/A")</f>
        <v>N/A</v>
      </c>
      <c r="H155" s="59" t="str">
        <f>IF(Inicial!J155="SI",Inicial!H155,"N/A")</f>
        <v>N/A</v>
      </c>
      <c r="I155" s="61" t="str">
        <f>IF(Inicial!J155="SI",Inicial!I155,"N/A")</f>
        <v>N/A</v>
      </c>
      <c r="P155" s="6" t="str">
        <f t="shared" si="4"/>
        <v>Aceptable</v>
      </c>
      <c r="Q155" s="6"/>
      <c r="R155" s="6"/>
      <c r="S155" s="6"/>
      <c r="T155" s="6"/>
      <c r="U155" s="6"/>
      <c r="V155" s="6"/>
      <c r="W155" s="6" t="str">
        <f t="shared" si="5"/>
        <v>Critico</v>
      </c>
    </row>
    <row r="156" spans="1:23" ht="15">
      <c r="A156" s="58">
        <f>Inicial!A156</f>
        <v>0</v>
      </c>
      <c r="B156" s="59">
        <f>Inicial!B156</f>
        <v>0</v>
      </c>
      <c r="C156" s="59">
        <f>Inicial!C156</f>
        <v>0</v>
      </c>
      <c r="D156" s="60">
        <f>Inicial!D156</f>
        <v>0</v>
      </c>
      <c r="E156" s="58" t="str">
        <f>IF(Inicial!J156="SI",Inicial!E156,"N/A")</f>
        <v>N/A</v>
      </c>
      <c r="F156" s="59" t="str">
        <f>IF(Inicial!J156="SI",Inicial!F156,"N/A")</f>
        <v>N/A</v>
      </c>
      <c r="G156" s="59" t="str">
        <f>IF(Inicial!J156="SI",Inicial!G156,"N/A")</f>
        <v>N/A</v>
      </c>
      <c r="H156" s="59" t="str">
        <f>IF(Inicial!J156="SI",Inicial!H156,"N/A")</f>
        <v>N/A</v>
      </c>
      <c r="I156" s="61" t="str">
        <f>IF(Inicial!J156="SI",Inicial!I156,"N/A")</f>
        <v>N/A</v>
      </c>
      <c r="P156" s="6" t="str">
        <f t="shared" si="4"/>
        <v>Aceptable</v>
      </c>
      <c r="Q156" s="6"/>
      <c r="R156" s="6"/>
      <c r="S156" s="6"/>
      <c r="T156" s="6"/>
      <c r="U156" s="6"/>
      <c r="V156" s="6"/>
      <c r="W156" s="6" t="str">
        <f t="shared" si="5"/>
        <v>Critico</v>
      </c>
    </row>
    <row r="157" spans="1:23" ht="15">
      <c r="A157" s="58">
        <f>Inicial!A157</f>
        <v>0</v>
      </c>
      <c r="B157" s="59">
        <f>Inicial!B157</f>
        <v>0</v>
      </c>
      <c r="C157" s="59">
        <f>Inicial!C157</f>
        <v>0</v>
      </c>
      <c r="D157" s="60">
        <f>Inicial!D157</f>
        <v>0</v>
      </c>
      <c r="E157" s="58" t="str">
        <f>IF(Inicial!J157="SI",Inicial!E157,"N/A")</f>
        <v>N/A</v>
      </c>
      <c r="F157" s="59" t="str">
        <f>IF(Inicial!J157="SI",Inicial!F157,"N/A")</f>
        <v>N/A</v>
      </c>
      <c r="G157" s="59" t="str">
        <f>IF(Inicial!J157="SI",Inicial!G157,"N/A")</f>
        <v>N/A</v>
      </c>
      <c r="H157" s="59" t="str">
        <f>IF(Inicial!J157="SI",Inicial!H157,"N/A")</f>
        <v>N/A</v>
      </c>
      <c r="I157" s="61" t="str">
        <f>IF(Inicial!J157="SI",Inicial!I157,"N/A")</f>
        <v>N/A</v>
      </c>
      <c r="P157" s="6" t="str">
        <f t="shared" si="4"/>
        <v>Aceptable</v>
      </c>
      <c r="Q157" s="6"/>
      <c r="R157" s="6"/>
      <c r="S157" s="6"/>
      <c r="T157" s="6"/>
      <c r="U157" s="6"/>
      <c r="V157" s="6"/>
      <c r="W157" s="6" t="str">
        <f t="shared" si="5"/>
        <v>Critico</v>
      </c>
    </row>
    <row r="158" spans="1:23" ht="15">
      <c r="A158" s="58">
        <f>Inicial!A158</f>
        <v>0</v>
      </c>
      <c r="B158" s="59">
        <f>Inicial!B158</f>
        <v>0</v>
      </c>
      <c r="C158" s="59">
        <f>Inicial!C158</f>
        <v>0</v>
      </c>
      <c r="D158" s="60">
        <f>Inicial!D158</f>
        <v>0</v>
      </c>
      <c r="E158" s="58" t="str">
        <f>IF(Inicial!J158="SI",Inicial!E158,"N/A")</f>
        <v>N/A</v>
      </c>
      <c r="F158" s="59" t="str">
        <f>IF(Inicial!J158="SI",Inicial!F158,"N/A")</f>
        <v>N/A</v>
      </c>
      <c r="G158" s="59" t="str">
        <f>IF(Inicial!J158="SI",Inicial!G158,"N/A")</f>
        <v>N/A</v>
      </c>
      <c r="H158" s="59" t="str">
        <f>IF(Inicial!J158="SI",Inicial!H158,"N/A")</f>
        <v>N/A</v>
      </c>
      <c r="I158" s="61" t="str">
        <f>IF(Inicial!J158="SI",Inicial!I158,"N/A")</f>
        <v>N/A</v>
      </c>
      <c r="P158" s="6" t="str">
        <f t="shared" si="4"/>
        <v>Aceptable</v>
      </c>
      <c r="Q158" s="6"/>
      <c r="R158" s="6"/>
      <c r="S158" s="6"/>
      <c r="T158" s="6"/>
      <c r="U158" s="6"/>
      <c r="V158" s="6"/>
      <c r="W158" s="6" t="str">
        <f t="shared" si="5"/>
        <v>Critico</v>
      </c>
    </row>
    <row r="159" spans="1:23" ht="15">
      <c r="A159" s="58">
        <f>Inicial!A159</f>
        <v>0</v>
      </c>
      <c r="B159" s="59">
        <f>Inicial!B159</f>
        <v>0</v>
      </c>
      <c r="C159" s="59">
        <f>Inicial!C159</f>
        <v>0</v>
      </c>
      <c r="D159" s="60">
        <f>Inicial!D159</f>
        <v>0</v>
      </c>
      <c r="E159" s="58" t="str">
        <f>IF(Inicial!J159="SI",Inicial!E159,"N/A")</f>
        <v>N/A</v>
      </c>
      <c r="F159" s="59" t="str">
        <f>IF(Inicial!J159="SI",Inicial!F159,"N/A")</f>
        <v>N/A</v>
      </c>
      <c r="G159" s="59" t="str">
        <f>IF(Inicial!J159="SI",Inicial!G159,"N/A")</f>
        <v>N/A</v>
      </c>
      <c r="H159" s="59" t="str">
        <f>IF(Inicial!J159="SI",Inicial!H159,"N/A")</f>
        <v>N/A</v>
      </c>
      <c r="I159" s="61" t="str">
        <f>IF(Inicial!J159="SI",Inicial!I159,"N/A")</f>
        <v>N/A</v>
      </c>
      <c r="P159" s="6" t="str">
        <f t="shared" si="4"/>
        <v>Aceptable</v>
      </c>
      <c r="Q159" s="6"/>
      <c r="R159" s="6"/>
      <c r="S159" s="6"/>
      <c r="T159" s="6"/>
      <c r="U159" s="6"/>
      <c r="V159" s="6"/>
      <c r="W159" s="6" t="str">
        <f t="shared" si="5"/>
        <v>Critico</v>
      </c>
    </row>
    <row r="160" spans="1:23" ht="15">
      <c r="A160" s="58">
        <f>Inicial!A160</f>
        <v>0</v>
      </c>
      <c r="B160" s="59">
        <f>Inicial!B160</f>
        <v>0</v>
      </c>
      <c r="C160" s="59">
        <f>Inicial!C160</f>
        <v>0</v>
      </c>
      <c r="D160" s="60">
        <f>Inicial!D160</f>
        <v>0</v>
      </c>
      <c r="E160" s="58" t="str">
        <f>IF(Inicial!J160="SI",Inicial!E160,"N/A")</f>
        <v>N/A</v>
      </c>
      <c r="F160" s="59" t="str">
        <f>IF(Inicial!J160="SI",Inicial!F160,"N/A")</f>
        <v>N/A</v>
      </c>
      <c r="G160" s="59" t="str">
        <f>IF(Inicial!J160="SI",Inicial!G160,"N/A")</f>
        <v>N/A</v>
      </c>
      <c r="H160" s="59" t="str">
        <f>IF(Inicial!J160="SI",Inicial!H160,"N/A")</f>
        <v>N/A</v>
      </c>
      <c r="I160" s="61" t="str">
        <f>IF(Inicial!J160="SI",Inicial!I160,"N/A")</f>
        <v>N/A</v>
      </c>
      <c r="P160" s="6" t="str">
        <f t="shared" si="4"/>
        <v>Aceptable</v>
      </c>
      <c r="Q160" s="6"/>
      <c r="R160" s="6"/>
      <c r="S160" s="6"/>
      <c r="T160" s="6"/>
      <c r="U160" s="6"/>
      <c r="V160" s="6"/>
      <c r="W160" s="6" t="str">
        <f t="shared" si="5"/>
        <v>Critico</v>
      </c>
    </row>
    <row r="161" spans="1:23" ht="15">
      <c r="A161" s="58">
        <f>Inicial!A161</f>
        <v>0</v>
      </c>
      <c r="B161" s="59">
        <f>Inicial!B161</f>
        <v>0</v>
      </c>
      <c r="C161" s="59">
        <f>Inicial!C161</f>
        <v>0</v>
      </c>
      <c r="D161" s="60">
        <f>Inicial!D161</f>
        <v>0</v>
      </c>
      <c r="E161" s="58" t="str">
        <f>IF(Inicial!J161="SI",Inicial!E161,"N/A")</f>
        <v>N/A</v>
      </c>
      <c r="F161" s="59" t="str">
        <f>IF(Inicial!J161="SI",Inicial!F161,"N/A")</f>
        <v>N/A</v>
      </c>
      <c r="G161" s="59" t="str">
        <f>IF(Inicial!J161="SI",Inicial!G161,"N/A")</f>
        <v>N/A</v>
      </c>
      <c r="H161" s="59" t="str">
        <f>IF(Inicial!J161="SI",Inicial!H161,"N/A")</f>
        <v>N/A</v>
      </c>
      <c r="I161" s="61" t="str">
        <f>IF(Inicial!J161="SI",Inicial!I161,"N/A")</f>
        <v>N/A</v>
      </c>
      <c r="P161" s="6" t="str">
        <f t="shared" si="4"/>
        <v>Aceptable</v>
      </c>
      <c r="Q161" s="6"/>
      <c r="R161" s="6"/>
      <c r="S161" s="6"/>
      <c r="T161" s="6"/>
      <c r="U161" s="6"/>
      <c r="V161" s="6"/>
      <c r="W161" s="6" t="str">
        <f t="shared" si="5"/>
        <v>Critico</v>
      </c>
    </row>
    <row r="162" spans="1:23" ht="15">
      <c r="A162" s="58">
        <f>Inicial!A162</f>
        <v>0</v>
      </c>
      <c r="B162" s="59">
        <f>Inicial!B162</f>
        <v>0</v>
      </c>
      <c r="C162" s="59">
        <f>Inicial!C162</f>
        <v>0</v>
      </c>
      <c r="D162" s="60">
        <f>Inicial!D162</f>
        <v>0</v>
      </c>
      <c r="E162" s="58" t="str">
        <f>IF(Inicial!J162="SI",Inicial!E162,"N/A")</f>
        <v>N/A</v>
      </c>
      <c r="F162" s="59" t="str">
        <f>IF(Inicial!J162="SI",Inicial!F162,"N/A")</f>
        <v>N/A</v>
      </c>
      <c r="G162" s="59" t="str">
        <f>IF(Inicial!J162="SI",Inicial!G162,"N/A")</f>
        <v>N/A</v>
      </c>
      <c r="H162" s="59" t="str">
        <f>IF(Inicial!J162="SI",Inicial!H162,"N/A")</f>
        <v>N/A</v>
      </c>
      <c r="I162" s="61" t="str">
        <f>IF(Inicial!J162="SI",Inicial!I162,"N/A")</f>
        <v>N/A</v>
      </c>
      <c r="P162" s="6" t="str">
        <f t="shared" si="4"/>
        <v>Aceptable</v>
      </c>
      <c r="Q162" s="6"/>
      <c r="R162" s="6"/>
      <c r="S162" s="6"/>
      <c r="T162" s="6"/>
      <c r="U162" s="6"/>
      <c r="V162" s="6"/>
      <c r="W162" s="6" t="str">
        <f t="shared" si="5"/>
        <v>Critico</v>
      </c>
    </row>
    <row r="163" spans="1:23" ht="15">
      <c r="A163" s="58">
        <f>Inicial!A163</f>
        <v>0</v>
      </c>
      <c r="B163" s="59">
        <f>Inicial!B163</f>
        <v>0</v>
      </c>
      <c r="C163" s="59">
        <f>Inicial!C163</f>
        <v>0</v>
      </c>
      <c r="D163" s="60">
        <f>Inicial!D163</f>
        <v>0</v>
      </c>
      <c r="E163" s="58" t="str">
        <f>IF(Inicial!J163="SI",Inicial!E163,"N/A")</f>
        <v>N/A</v>
      </c>
      <c r="F163" s="59" t="str">
        <f>IF(Inicial!J163="SI",Inicial!F163,"N/A")</f>
        <v>N/A</v>
      </c>
      <c r="G163" s="59" t="str">
        <f>IF(Inicial!J163="SI",Inicial!G163,"N/A")</f>
        <v>N/A</v>
      </c>
      <c r="H163" s="59" t="str">
        <f>IF(Inicial!J163="SI",Inicial!H163,"N/A")</f>
        <v>N/A</v>
      </c>
      <c r="I163" s="61" t="str">
        <f>IF(Inicial!J163="SI",Inicial!I163,"N/A")</f>
        <v>N/A</v>
      </c>
      <c r="P163" s="6" t="str">
        <f t="shared" si="4"/>
        <v>Aceptable</v>
      </c>
      <c r="Q163" s="6"/>
      <c r="R163" s="6"/>
      <c r="S163" s="6"/>
      <c r="T163" s="6"/>
      <c r="U163" s="6"/>
      <c r="V163" s="6"/>
      <c r="W163" s="6" t="str">
        <f t="shared" si="5"/>
        <v>Critico</v>
      </c>
    </row>
    <row r="164" spans="1:23" ht="15">
      <c r="A164" s="58">
        <f>Inicial!A164</f>
        <v>0</v>
      </c>
      <c r="B164" s="59">
        <f>Inicial!B164</f>
        <v>0</v>
      </c>
      <c r="C164" s="59">
        <f>Inicial!C164</f>
        <v>0</v>
      </c>
      <c r="D164" s="60">
        <f>Inicial!D164</f>
        <v>0</v>
      </c>
      <c r="E164" s="58" t="str">
        <f>IF(Inicial!J164="SI",Inicial!E164,"N/A")</f>
        <v>N/A</v>
      </c>
      <c r="F164" s="59" t="str">
        <f>IF(Inicial!J164="SI",Inicial!F164,"N/A")</f>
        <v>N/A</v>
      </c>
      <c r="G164" s="59" t="str">
        <f>IF(Inicial!J164="SI",Inicial!G164,"N/A")</f>
        <v>N/A</v>
      </c>
      <c r="H164" s="59" t="str">
        <f>IF(Inicial!J164="SI",Inicial!H164,"N/A")</f>
        <v>N/A</v>
      </c>
      <c r="I164" s="61" t="str">
        <f>IF(Inicial!J164="SI",Inicial!I164,"N/A")</f>
        <v>N/A</v>
      </c>
      <c r="P164" s="6" t="str">
        <f t="shared" si="4"/>
        <v>Aceptable</v>
      </c>
      <c r="Q164" s="6"/>
      <c r="R164" s="6"/>
      <c r="S164" s="6"/>
      <c r="T164" s="6"/>
      <c r="U164" s="6"/>
      <c r="V164" s="6"/>
      <c r="W164" s="6" t="str">
        <f t="shared" si="5"/>
        <v>Critico</v>
      </c>
    </row>
    <row r="165" spans="1:23" ht="15">
      <c r="A165" s="58">
        <f>Inicial!A165</f>
        <v>0</v>
      </c>
      <c r="B165" s="59">
        <f>Inicial!B165</f>
        <v>0</v>
      </c>
      <c r="C165" s="59">
        <f>Inicial!C165</f>
        <v>0</v>
      </c>
      <c r="D165" s="60">
        <f>Inicial!D165</f>
        <v>0</v>
      </c>
      <c r="E165" s="58" t="str">
        <f>IF(Inicial!J165="SI",Inicial!E165,"N/A")</f>
        <v>N/A</v>
      </c>
      <c r="F165" s="59" t="str">
        <f>IF(Inicial!J165="SI",Inicial!F165,"N/A")</f>
        <v>N/A</v>
      </c>
      <c r="G165" s="59" t="str">
        <f>IF(Inicial!J165="SI",Inicial!G165,"N/A")</f>
        <v>N/A</v>
      </c>
      <c r="H165" s="59" t="str">
        <f>IF(Inicial!J165="SI",Inicial!H165,"N/A")</f>
        <v>N/A</v>
      </c>
      <c r="I165" s="61" t="str">
        <f>IF(Inicial!J165="SI",Inicial!I165,"N/A")</f>
        <v>N/A</v>
      </c>
      <c r="P165" s="6" t="str">
        <f t="shared" si="4"/>
        <v>Aceptable</v>
      </c>
      <c r="Q165" s="6"/>
      <c r="R165" s="6"/>
      <c r="S165" s="6"/>
      <c r="T165" s="6"/>
      <c r="U165" s="6"/>
      <c r="V165" s="6"/>
      <c r="W165" s="6" t="str">
        <f t="shared" si="5"/>
        <v>Critico</v>
      </c>
    </row>
    <row r="166" spans="1:23" ht="15">
      <c r="A166" s="58">
        <f>Inicial!A166</f>
        <v>0</v>
      </c>
      <c r="B166" s="59">
        <f>Inicial!B166</f>
        <v>0</v>
      </c>
      <c r="C166" s="59">
        <f>Inicial!C166</f>
        <v>0</v>
      </c>
      <c r="D166" s="60">
        <f>Inicial!D166</f>
        <v>0</v>
      </c>
      <c r="E166" s="58" t="str">
        <f>IF(Inicial!J166="SI",Inicial!E166,"N/A")</f>
        <v>N/A</v>
      </c>
      <c r="F166" s="59" t="str">
        <f>IF(Inicial!J166="SI",Inicial!F166,"N/A")</f>
        <v>N/A</v>
      </c>
      <c r="G166" s="59" t="str">
        <f>IF(Inicial!J166="SI",Inicial!G166,"N/A")</f>
        <v>N/A</v>
      </c>
      <c r="H166" s="59" t="str">
        <f>IF(Inicial!J166="SI",Inicial!H166,"N/A")</f>
        <v>N/A</v>
      </c>
      <c r="I166" s="61" t="str">
        <f>IF(Inicial!J166="SI",Inicial!I166,"N/A")</f>
        <v>N/A</v>
      </c>
      <c r="P166" s="6" t="str">
        <f t="shared" si="4"/>
        <v>Aceptable</v>
      </c>
      <c r="Q166" s="6"/>
      <c r="R166" s="6"/>
      <c r="S166" s="6"/>
      <c r="T166" s="6"/>
      <c r="U166" s="6"/>
      <c r="V166" s="6"/>
      <c r="W166" s="6" t="str">
        <f t="shared" si="5"/>
        <v>Critico</v>
      </c>
    </row>
    <row r="167" spans="1:23" ht="15">
      <c r="A167" s="58">
        <f>Inicial!A167</f>
        <v>0</v>
      </c>
      <c r="B167" s="59">
        <f>Inicial!B167</f>
        <v>0</v>
      </c>
      <c r="C167" s="59">
        <f>Inicial!C167</f>
        <v>0</v>
      </c>
      <c r="D167" s="60">
        <f>Inicial!D167</f>
        <v>0</v>
      </c>
      <c r="E167" s="58" t="str">
        <f>IF(Inicial!J167="SI",Inicial!E167,"N/A")</f>
        <v>N/A</v>
      </c>
      <c r="F167" s="59" t="str">
        <f>IF(Inicial!J167="SI",Inicial!F167,"N/A")</f>
        <v>N/A</v>
      </c>
      <c r="G167" s="59" t="str">
        <f>IF(Inicial!J167="SI",Inicial!G167,"N/A")</f>
        <v>N/A</v>
      </c>
      <c r="H167" s="59" t="str">
        <f>IF(Inicial!J167="SI",Inicial!H167,"N/A")</f>
        <v>N/A</v>
      </c>
      <c r="I167" s="61" t="str">
        <f>IF(Inicial!J167="SI",Inicial!I167,"N/A")</f>
        <v>N/A</v>
      </c>
      <c r="P167" s="6" t="str">
        <f t="shared" si="4"/>
        <v>Aceptable</v>
      </c>
      <c r="Q167" s="6"/>
      <c r="R167" s="6"/>
      <c r="S167" s="6"/>
      <c r="T167" s="6"/>
      <c r="U167" s="6"/>
      <c r="V167" s="6"/>
      <c r="W167" s="6" t="str">
        <f t="shared" si="5"/>
        <v>Critico</v>
      </c>
    </row>
    <row r="168" spans="1:23" ht="15">
      <c r="A168" s="58">
        <f>Inicial!A168</f>
        <v>0</v>
      </c>
      <c r="B168" s="59">
        <f>Inicial!B168</f>
        <v>0</v>
      </c>
      <c r="C168" s="59">
        <f>Inicial!C168</f>
        <v>0</v>
      </c>
      <c r="D168" s="60">
        <f>Inicial!D168</f>
        <v>0</v>
      </c>
      <c r="E168" s="58" t="str">
        <f>IF(Inicial!J168="SI",Inicial!E168,"N/A")</f>
        <v>N/A</v>
      </c>
      <c r="F168" s="59" t="str">
        <f>IF(Inicial!J168="SI",Inicial!F168,"N/A")</f>
        <v>N/A</v>
      </c>
      <c r="G168" s="59" t="str">
        <f>IF(Inicial!J168="SI",Inicial!G168,"N/A")</f>
        <v>N/A</v>
      </c>
      <c r="H168" s="59" t="str">
        <f>IF(Inicial!J168="SI",Inicial!H168,"N/A")</f>
        <v>N/A</v>
      </c>
      <c r="I168" s="61" t="str">
        <f>IF(Inicial!J168="SI",Inicial!I168,"N/A")</f>
        <v>N/A</v>
      </c>
      <c r="P168" s="6" t="str">
        <f t="shared" si="4"/>
        <v>Aceptable</v>
      </c>
      <c r="Q168" s="6"/>
      <c r="R168" s="6"/>
      <c r="S168" s="6"/>
      <c r="T168" s="6"/>
      <c r="U168" s="6"/>
      <c r="V168" s="6"/>
      <c r="W168" s="6" t="str">
        <f t="shared" si="5"/>
        <v>Critico</v>
      </c>
    </row>
    <row r="169" spans="1:23" ht="15">
      <c r="A169" s="58">
        <f>Inicial!A169</f>
        <v>0</v>
      </c>
      <c r="B169" s="59">
        <f>Inicial!B169</f>
        <v>0</v>
      </c>
      <c r="C169" s="59">
        <f>Inicial!C169</f>
        <v>0</v>
      </c>
      <c r="D169" s="60">
        <f>Inicial!D169</f>
        <v>0</v>
      </c>
      <c r="E169" s="58" t="str">
        <f>IF(Inicial!J169="SI",Inicial!E169,"N/A")</f>
        <v>N/A</v>
      </c>
      <c r="F169" s="59" t="str">
        <f>IF(Inicial!J169="SI",Inicial!F169,"N/A")</f>
        <v>N/A</v>
      </c>
      <c r="G169" s="59" t="str">
        <f>IF(Inicial!J169="SI",Inicial!G169,"N/A")</f>
        <v>N/A</v>
      </c>
      <c r="H169" s="59" t="str">
        <f>IF(Inicial!J169="SI",Inicial!H169,"N/A")</f>
        <v>N/A</v>
      </c>
      <c r="I169" s="61" t="str">
        <f>IF(Inicial!J169="SI",Inicial!I169,"N/A")</f>
        <v>N/A</v>
      </c>
      <c r="P169" s="6" t="str">
        <f t="shared" si="4"/>
        <v>Aceptable</v>
      </c>
      <c r="Q169" s="6"/>
      <c r="R169" s="6"/>
      <c r="S169" s="6"/>
      <c r="T169" s="6"/>
      <c r="U169" s="6"/>
      <c r="V169" s="6"/>
      <c r="W169" s="6" t="str">
        <f t="shared" si="5"/>
        <v>Critico</v>
      </c>
    </row>
    <row r="170" spans="1:23" ht="15">
      <c r="A170" s="58">
        <f>Inicial!A170</f>
        <v>0</v>
      </c>
      <c r="B170" s="59">
        <f>Inicial!B170</f>
        <v>0</v>
      </c>
      <c r="C170" s="59">
        <f>Inicial!C170</f>
        <v>0</v>
      </c>
      <c r="D170" s="60">
        <f>Inicial!D170</f>
        <v>0</v>
      </c>
      <c r="E170" s="58" t="str">
        <f>IF(Inicial!J170="SI",Inicial!E170,"N/A")</f>
        <v>N/A</v>
      </c>
      <c r="F170" s="59" t="str">
        <f>IF(Inicial!J170="SI",Inicial!F170,"N/A")</f>
        <v>N/A</v>
      </c>
      <c r="G170" s="59" t="str">
        <f>IF(Inicial!J170="SI",Inicial!G170,"N/A")</f>
        <v>N/A</v>
      </c>
      <c r="H170" s="59" t="str">
        <f>IF(Inicial!J170="SI",Inicial!H170,"N/A")</f>
        <v>N/A</v>
      </c>
      <c r="I170" s="61" t="str">
        <f>IF(Inicial!J170="SI",Inicial!I170,"N/A")</f>
        <v>N/A</v>
      </c>
      <c r="P170" s="6" t="str">
        <f t="shared" si="4"/>
        <v>Aceptable</v>
      </c>
      <c r="Q170" s="6"/>
      <c r="R170" s="6"/>
      <c r="S170" s="6"/>
      <c r="T170" s="6"/>
      <c r="U170" s="6"/>
      <c r="V170" s="6"/>
      <c r="W170" s="6" t="str">
        <f t="shared" si="5"/>
        <v>Critico</v>
      </c>
    </row>
    <row r="171" spans="1:23" ht="15">
      <c r="A171" s="58">
        <f>Inicial!A171</f>
        <v>0</v>
      </c>
      <c r="B171" s="59">
        <f>Inicial!B171</f>
        <v>0</v>
      </c>
      <c r="C171" s="59">
        <f>Inicial!C171</f>
        <v>0</v>
      </c>
      <c r="D171" s="60">
        <f>Inicial!D171</f>
        <v>0</v>
      </c>
      <c r="E171" s="58" t="str">
        <f>IF(Inicial!J171="SI",Inicial!E171,"N/A")</f>
        <v>N/A</v>
      </c>
      <c r="F171" s="59" t="str">
        <f>IF(Inicial!J171="SI",Inicial!F171,"N/A")</f>
        <v>N/A</v>
      </c>
      <c r="G171" s="59" t="str">
        <f>IF(Inicial!J171="SI",Inicial!G171,"N/A")</f>
        <v>N/A</v>
      </c>
      <c r="H171" s="59" t="str">
        <f>IF(Inicial!J171="SI",Inicial!H171,"N/A")</f>
        <v>N/A</v>
      </c>
      <c r="I171" s="61" t="str">
        <f>IF(Inicial!J171="SI",Inicial!I171,"N/A")</f>
        <v>N/A</v>
      </c>
      <c r="P171" s="6" t="str">
        <f t="shared" si="4"/>
        <v>Aceptable</v>
      </c>
      <c r="Q171" s="6"/>
      <c r="R171" s="6"/>
      <c r="S171" s="6"/>
      <c r="T171" s="6"/>
      <c r="U171" s="6"/>
      <c r="V171" s="6"/>
      <c r="W171" s="6" t="str">
        <f t="shared" si="5"/>
        <v>Critico</v>
      </c>
    </row>
    <row r="172" spans="1:23" ht="15">
      <c r="A172" s="58">
        <f>Inicial!A172</f>
        <v>0</v>
      </c>
      <c r="B172" s="59">
        <f>Inicial!B172</f>
        <v>0</v>
      </c>
      <c r="C172" s="59">
        <f>Inicial!C172</f>
        <v>0</v>
      </c>
      <c r="D172" s="60">
        <f>Inicial!D172</f>
        <v>0</v>
      </c>
      <c r="E172" s="58" t="str">
        <f>IF(Inicial!J172="SI",Inicial!E172,"N/A")</f>
        <v>N/A</v>
      </c>
      <c r="F172" s="59" t="str">
        <f>IF(Inicial!J172="SI",Inicial!F172,"N/A")</f>
        <v>N/A</v>
      </c>
      <c r="G172" s="59" t="str">
        <f>IF(Inicial!J172="SI",Inicial!G172,"N/A")</f>
        <v>N/A</v>
      </c>
      <c r="H172" s="59" t="str">
        <f>IF(Inicial!J172="SI",Inicial!H172,"N/A")</f>
        <v>N/A</v>
      </c>
      <c r="I172" s="61" t="str">
        <f>IF(Inicial!J172="SI",Inicial!I172,"N/A")</f>
        <v>N/A</v>
      </c>
      <c r="P172" s="6" t="str">
        <f t="shared" si="4"/>
        <v>Aceptable</v>
      </c>
      <c r="Q172" s="6"/>
      <c r="R172" s="6"/>
      <c r="S172" s="6"/>
      <c r="T172" s="6"/>
      <c r="U172" s="6"/>
      <c r="V172" s="6"/>
      <c r="W172" s="6" t="str">
        <f t="shared" si="5"/>
        <v>Critico</v>
      </c>
    </row>
    <row r="173" spans="1:23" ht="15">
      <c r="A173" s="58">
        <f>Inicial!A173</f>
        <v>0</v>
      </c>
      <c r="B173" s="59">
        <f>Inicial!B173</f>
        <v>0</v>
      </c>
      <c r="C173" s="59">
        <f>Inicial!C173</f>
        <v>0</v>
      </c>
      <c r="D173" s="60">
        <f>Inicial!D173</f>
        <v>0</v>
      </c>
      <c r="E173" s="58" t="str">
        <f>IF(Inicial!J173="SI",Inicial!E173,"N/A")</f>
        <v>N/A</v>
      </c>
      <c r="F173" s="59" t="str">
        <f>IF(Inicial!J173="SI",Inicial!F173,"N/A")</f>
        <v>N/A</v>
      </c>
      <c r="G173" s="59" t="str">
        <f>IF(Inicial!J173="SI",Inicial!G173,"N/A")</f>
        <v>N/A</v>
      </c>
      <c r="H173" s="59" t="str">
        <f>IF(Inicial!J173="SI",Inicial!H173,"N/A")</f>
        <v>N/A</v>
      </c>
      <c r="I173" s="61" t="str">
        <f>IF(Inicial!J173="SI",Inicial!I173,"N/A")</f>
        <v>N/A</v>
      </c>
      <c r="P173" s="6" t="str">
        <f t="shared" si="4"/>
        <v>Aceptable</v>
      </c>
      <c r="Q173" s="6"/>
      <c r="R173" s="6"/>
      <c r="S173" s="6"/>
      <c r="T173" s="6"/>
      <c r="U173" s="6"/>
      <c r="V173" s="6"/>
      <c r="W173" s="6" t="str">
        <f t="shared" si="5"/>
        <v>Critico</v>
      </c>
    </row>
    <row r="174" spans="1:23" ht="15">
      <c r="A174" s="58">
        <f>Inicial!A174</f>
        <v>0</v>
      </c>
      <c r="B174" s="59">
        <f>Inicial!B174</f>
        <v>0</v>
      </c>
      <c r="C174" s="59">
        <f>Inicial!C174</f>
        <v>0</v>
      </c>
      <c r="D174" s="60">
        <f>Inicial!D174</f>
        <v>0</v>
      </c>
      <c r="E174" s="58" t="str">
        <f>IF(Inicial!J174="SI",Inicial!E174,"N/A")</f>
        <v>N/A</v>
      </c>
      <c r="F174" s="59" t="str">
        <f>IF(Inicial!J174="SI",Inicial!F174,"N/A")</f>
        <v>N/A</v>
      </c>
      <c r="G174" s="59" t="str">
        <f>IF(Inicial!J174="SI",Inicial!G174,"N/A")</f>
        <v>N/A</v>
      </c>
      <c r="H174" s="59" t="str">
        <f>IF(Inicial!J174="SI",Inicial!H174,"N/A")</f>
        <v>N/A</v>
      </c>
      <c r="I174" s="61" t="str">
        <f>IF(Inicial!J174="SI",Inicial!I174,"N/A")</f>
        <v>N/A</v>
      </c>
      <c r="P174" s="6" t="str">
        <f t="shared" si="4"/>
        <v>Aceptable</v>
      </c>
      <c r="Q174" s="6"/>
      <c r="R174" s="6"/>
      <c r="S174" s="6"/>
      <c r="T174" s="6"/>
      <c r="U174" s="6"/>
      <c r="V174" s="6"/>
      <c r="W174" s="6" t="str">
        <f t="shared" si="5"/>
        <v>Critico</v>
      </c>
    </row>
    <row r="175" spans="1:23" ht="15">
      <c r="A175" s="58">
        <f>Inicial!A175</f>
        <v>0</v>
      </c>
      <c r="B175" s="59">
        <f>Inicial!B175</f>
        <v>0</v>
      </c>
      <c r="C175" s="59">
        <f>Inicial!C175</f>
        <v>0</v>
      </c>
      <c r="D175" s="60">
        <f>Inicial!D175</f>
        <v>0</v>
      </c>
      <c r="E175" s="58" t="str">
        <f>IF(Inicial!J175="SI",Inicial!E175,"N/A")</f>
        <v>N/A</v>
      </c>
      <c r="F175" s="59" t="str">
        <f>IF(Inicial!J175="SI",Inicial!F175,"N/A")</f>
        <v>N/A</v>
      </c>
      <c r="G175" s="59" t="str">
        <f>IF(Inicial!J175="SI",Inicial!G175,"N/A")</f>
        <v>N/A</v>
      </c>
      <c r="H175" s="59" t="str">
        <f>IF(Inicial!J175="SI",Inicial!H175,"N/A")</f>
        <v>N/A</v>
      </c>
      <c r="I175" s="61" t="str">
        <f>IF(Inicial!J175="SI",Inicial!I175,"N/A")</f>
        <v>N/A</v>
      </c>
      <c r="P175" s="6" t="str">
        <f t="shared" si="4"/>
        <v>Aceptable</v>
      </c>
      <c r="Q175" s="6"/>
      <c r="R175" s="6"/>
      <c r="S175" s="6"/>
      <c r="T175" s="6"/>
      <c r="U175" s="6"/>
      <c r="V175" s="6"/>
      <c r="W175" s="6" t="str">
        <f t="shared" si="5"/>
        <v>Critico</v>
      </c>
    </row>
    <row r="176" spans="1:23" ht="15">
      <c r="A176" s="58">
        <f>Inicial!A176</f>
        <v>0</v>
      </c>
      <c r="B176" s="59">
        <f>Inicial!B176</f>
        <v>0</v>
      </c>
      <c r="C176" s="59">
        <f>Inicial!C176</f>
        <v>0</v>
      </c>
      <c r="D176" s="60">
        <f>Inicial!D176</f>
        <v>0</v>
      </c>
      <c r="E176" s="58" t="str">
        <f>IF(Inicial!J176="SI",Inicial!E176,"N/A")</f>
        <v>N/A</v>
      </c>
      <c r="F176" s="59" t="str">
        <f>IF(Inicial!J176="SI",Inicial!F176,"N/A")</f>
        <v>N/A</v>
      </c>
      <c r="G176" s="59" t="str">
        <f>IF(Inicial!J176="SI",Inicial!G176,"N/A")</f>
        <v>N/A</v>
      </c>
      <c r="H176" s="59" t="str">
        <f>IF(Inicial!J176="SI",Inicial!H176,"N/A")</f>
        <v>N/A</v>
      </c>
      <c r="I176" s="61" t="str">
        <f>IF(Inicial!J176="SI",Inicial!I176,"N/A")</f>
        <v>N/A</v>
      </c>
      <c r="P176" s="6" t="str">
        <f t="shared" si="4"/>
        <v>Aceptable</v>
      </c>
      <c r="Q176" s="6"/>
      <c r="R176" s="6"/>
      <c r="S176" s="6"/>
      <c r="T176" s="6"/>
      <c r="U176" s="6"/>
      <c r="V176" s="6"/>
      <c r="W176" s="6" t="str">
        <f t="shared" si="5"/>
        <v>Critico</v>
      </c>
    </row>
    <row r="177" spans="1:23" ht="15">
      <c r="A177" s="58">
        <f>Inicial!A177</f>
        <v>0</v>
      </c>
      <c r="B177" s="59">
        <f>Inicial!B177</f>
        <v>0</v>
      </c>
      <c r="C177" s="59">
        <f>Inicial!C177</f>
        <v>0</v>
      </c>
      <c r="D177" s="60">
        <f>Inicial!D177</f>
        <v>0</v>
      </c>
      <c r="E177" s="58" t="str">
        <f>IF(Inicial!J177="SI",Inicial!E177,"N/A")</f>
        <v>N/A</v>
      </c>
      <c r="F177" s="59" t="str">
        <f>IF(Inicial!J177="SI",Inicial!F177,"N/A")</f>
        <v>N/A</v>
      </c>
      <c r="G177" s="59" t="str">
        <f>IF(Inicial!J177="SI",Inicial!G177,"N/A")</f>
        <v>N/A</v>
      </c>
      <c r="H177" s="59" t="str">
        <f>IF(Inicial!J177="SI",Inicial!H177,"N/A")</f>
        <v>N/A</v>
      </c>
      <c r="I177" s="61" t="str">
        <f>IF(Inicial!J177="SI",Inicial!I177,"N/A")</f>
        <v>N/A</v>
      </c>
      <c r="P177" s="6" t="str">
        <f t="shared" si="4"/>
        <v>Aceptable</v>
      </c>
      <c r="Q177" s="6"/>
      <c r="R177" s="6"/>
      <c r="S177" s="6"/>
      <c r="T177" s="6"/>
      <c r="U177" s="6"/>
      <c r="V177" s="6"/>
      <c r="W177" s="6" t="str">
        <f t="shared" si="5"/>
        <v>Critico</v>
      </c>
    </row>
    <row r="178" spans="1:23" ht="15">
      <c r="A178" s="58">
        <f>Inicial!A178</f>
        <v>0</v>
      </c>
      <c r="B178" s="59">
        <f>Inicial!B178</f>
        <v>0</v>
      </c>
      <c r="C178" s="59">
        <f>Inicial!C178</f>
        <v>0</v>
      </c>
      <c r="D178" s="60">
        <f>Inicial!D178</f>
        <v>0</v>
      </c>
      <c r="E178" s="58" t="str">
        <f>IF(Inicial!J178="SI",Inicial!E178,"N/A")</f>
        <v>N/A</v>
      </c>
      <c r="F178" s="59" t="str">
        <f>IF(Inicial!J178="SI",Inicial!F178,"N/A")</f>
        <v>N/A</v>
      </c>
      <c r="G178" s="59" t="str">
        <f>IF(Inicial!J178="SI",Inicial!G178,"N/A")</f>
        <v>N/A</v>
      </c>
      <c r="H178" s="59" t="str">
        <f>IF(Inicial!J178="SI",Inicial!H178,"N/A")</f>
        <v>N/A</v>
      </c>
      <c r="I178" s="61" t="str">
        <f>IF(Inicial!J178="SI",Inicial!I178,"N/A")</f>
        <v>N/A</v>
      </c>
      <c r="P178" s="6" t="str">
        <f t="shared" si="4"/>
        <v>Aceptable</v>
      </c>
      <c r="Q178" s="6"/>
      <c r="R178" s="6"/>
      <c r="S178" s="6"/>
      <c r="T178" s="6"/>
      <c r="U178" s="6"/>
      <c r="V178" s="6"/>
      <c r="W178" s="6" t="str">
        <f t="shared" si="5"/>
        <v>Critico</v>
      </c>
    </row>
    <row r="179" spans="1:23" ht="15">
      <c r="A179" s="58">
        <f>Inicial!A179</f>
        <v>0</v>
      </c>
      <c r="B179" s="59">
        <f>Inicial!B179</f>
        <v>0</v>
      </c>
      <c r="C179" s="59">
        <f>Inicial!C179</f>
        <v>0</v>
      </c>
      <c r="D179" s="60">
        <f>Inicial!D179</f>
        <v>0</v>
      </c>
      <c r="E179" s="58" t="str">
        <f>IF(Inicial!J179="SI",Inicial!E179,"N/A")</f>
        <v>N/A</v>
      </c>
      <c r="F179" s="59" t="str">
        <f>IF(Inicial!J179="SI",Inicial!F179,"N/A")</f>
        <v>N/A</v>
      </c>
      <c r="G179" s="59" t="str">
        <f>IF(Inicial!J179="SI",Inicial!G179,"N/A")</f>
        <v>N/A</v>
      </c>
      <c r="H179" s="59" t="str">
        <f>IF(Inicial!J179="SI",Inicial!H179,"N/A")</f>
        <v>N/A</v>
      </c>
      <c r="I179" s="61" t="str">
        <f>IF(Inicial!J179="SI",Inicial!I179,"N/A")</f>
        <v>N/A</v>
      </c>
      <c r="P179" s="6" t="str">
        <f t="shared" si="4"/>
        <v>Aceptable</v>
      </c>
      <c r="Q179" s="6"/>
      <c r="R179" s="6"/>
      <c r="S179" s="6"/>
      <c r="T179" s="6"/>
      <c r="U179" s="6"/>
      <c r="V179" s="6"/>
      <c r="W179" s="6" t="str">
        <f t="shared" si="5"/>
        <v>Critico</v>
      </c>
    </row>
    <row r="180" spans="1:23" ht="15">
      <c r="A180" s="58">
        <f>Inicial!A180</f>
        <v>0</v>
      </c>
      <c r="B180" s="59">
        <f>Inicial!B180</f>
        <v>0</v>
      </c>
      <c r="C180" s="59">
        <f>Inicial!C180</f>
        <v>0</v>
      </c>
      <c r="D180" s="60">
        <f>Inicial!D180</f>
        <v>0</v>
      </c>
      <c r="E180" s="58" t="str">
        <f>IF(Inicial!J180="SI",Inicial!E180,"N/A")</f>
        <v>N/A</v>
      </c>
      <c r="F180" s="59" t="str">
        <f>IF(Inicial!J180="SI",Inicial!F180,"N/A")</f>
        <v>N/A</v>
      </c>
      <c r="G180" s="59" t="str">
        <f>IF(Inicial!J180="SI",Inicial!G180,"N/A")</f>
        <v>N/A</v>
      </c>
      <c r="H180" s="59" t="str">
        <f>IF(Inicial!J180="SI",Inicial!H180,"N/A")</f>
        <v>N/A</v>
      </c>
      <c r="I180" s="61" t="str">
        <f>IF(Inicial!J180="SI",Inicial!I180,"N/A")</f>
        <v>N/A</v>
      </c>
      <c r="P180" s="6" t="str">
        <f t="shared" si="4"/>
        <v>Aceptable</v>
      </c>
      <c r="Q180" s="6"/>
      <c r="R180" s="6"/>
      <c r="S180" s="6"/>
      <c r="T180" s="6"/>
      <c r="U180" s="6"/>
      <c r="V180" s="6"/>
      <c r="W180" s="6" t="str">
        <f t="shared" si="5"/>
        <v>Critico</v>
      </c>
    </row>
    <row r="181" spans="1:23" ht="15">
      <c r="A181" s="58">
        <f>Inicial!A181</f>
        <v>0</v>
      </c>
      <c r="B181" s="59">
        <f>Inicial!B181</f>
        <v>0</v>
      </c>
      <c r="C181" s="59">
        <f>Inicial!C181</f>
        <v>0</v>
      </c>
      <c r="D181" s="60">
        <f>Inicial!D181</f>
        <v>0</v>
      </c>
      <c r="E181" s="58" t="str">
        <f>IF(Inicial!J181="SI",Inicial!E181,"N/A")</f>
        <v>N/A</v>
      </c>
      <c r="F181" s="59" t="str">
        <f>IF(Inicial!J181="SI",Inicial!F181,"N/A")</f>
        <v>N/A</v>
      </c>
      <c r="G181" s="59" t="str">
        <f>IF(Inicial!J181="SI",Inicial!G181,"N/A")</f>
        <v>N/A</v>
      </c>
      <c r="H181" s="59" t="str">
        <f>IF(Inicial!J181="SI",Inicial!H181,"N/A")</f>
        <v>N/A</v>
      </c>
      <c r="I181" s="61" t="str">
        <f>IF(Inicial!J181="SI",Inicial!I181,"N/A")</f>
        <v>N/A</v>
      </c>
      <c r="P181" s="6" t="str">
        <f t="shared" si="4"/>
        <v>Aceptable</v>
      </c>
      <c r="Q181" s="6"/>
      <c r="R181" s="6"/>
      <c r="S181" s="6"/>
      <c r="T181" s="6"/>
      <c r="U181" s="6"/>
      <c r="V181" s="6"/>
      <c r="W181" s="6" t="str">
        <f t="shared" si="5"/>
        <v>Critico</v>
      </c>
    </row>
    <row r="182" spans="1:23" ht="15">
      <c r="A182" s="58">
        <f>Inicial!A182</f>
        <v>0</v>
      </c>
      <c r="B182" s="59">
        <f>Inicial!B182</f>
        <v>0</v>
      </c>
      <c r="C182" s="59">
        <f>Inicial!C182</f>
        <v>0</v>
      </c>
      <c r="D182" s="60">
        <f>Inicial!D182</f>
        <v>0</v>
      </c>
      <c r="E182" s="58" t="str">
        <f>IF(Inicial!J182="SI",Inicial!E182,"N/A")</f>
        <v>N/A</v>
      </c>
      <c r="F182" s="59" t="str">
        <f>IF(Inicial!J182="SI",Inicial!F182,"N/A")</f>
        <v>N/A</v>
      </c>
      <c r="G182" s="59" t="str">
        <f>IF(Inicial!J182="SI",Inicial!G182,"N/A")</f>
        <v>N/A</v>
      </c>
      <c r="H182" s="59" t="str">
        <f>IF(Inicial!J182="SI",Inicial!H182,"N/A")</f>
        <v>N/A</v>
      </c>
      <c r="I182" s="61" t="str">
        <f>IF(Inicial!J182="SI",Inicial!I182,"N/A")</f>
        <v>N/A</v>
      </c>
      <c r="P182" s="6" t="str">
        <f t="shared" si="4"/>
        <v>Aceptable</v>
      </c>
      <c r="Q182" s="6"/>
      <c r="R182" s="6"/>
      <c r="S182" s="6"/>
      <c r="T182" s="6"/>
      <c r="U182" s="6"/>
      <c r="V182" s="6"/>
      <c r="W182" s="6" t="str">
        <f t="shared" si="5"/>
        <v>Critico</v>
      </c>
    </row>
    <row r="183" spans="1:23" ht="15">
      <c r="A183" s="58">
        <f>Inicial!A183</f>
        <v>0</v>
      </c>
      <c r="B183" s="59">
        <f>Inicial!B183</f>
        <v>0</v>
      </c>
      <c r="C183" s="59">
        <f>Inicial!C183</f>
        <v>0</v>
      </c>
      <c r="D183" s="60">
        <f>Inicial!D183</f>
        <v>0</v>
      </c>
      <c r="E183" s="58" t="str">
        <f>IF(Inicial!J183="SI",Inicial!E183,"N/A")</f>
        <v>N/A</v>
      </c>
      <c r="F183" s="59" t="str">
        <f>IF(Inicial!J183="SI",Inicial!F183,"N/A")</f>
        <v>N/A</v>
      </c>
      <c r="G183" s="59" t="str">
        <f>IF(Inicial!J183="SI",Inicial!G183,"N/A")</f>
        <v>N/A</v>
      </c>
      <c r="H183" s="59" t="str">
        <f>IF(Inicial!J183="SI",Inicial!H183,"N/A")</f>
        <v>N/A</v>
      </c>
      <c r="I183" s="61" t="str">
        <f>IF(Inicial!J183="SI",Inicial!I183,"N/A")</f>
        <v>N/A</v>
      </c>
      <c r="P183" s="6" t="str">
        <f t="shared" si="4"/>
        <v>Aceptable</v>
      </c>
      <c r="Q183" s="6"/>
      <c r="R183" s="6"/>
      <c r="S183" s="6"/>
      <c r="T183" s="6"/>
      <c r="U183" s="6"/>
      <c r="V183" s="6"/>
      <c r="W183" s="6" t="str">
        <f t="shared" si="5"/>
        <v>Critico</v>
      </c>
    </row>
    <row r="184" spans="1:23" ht="15">
      <c r="A184" s="58">
        <f>Inicial!A184</f>
        <v>0</v>
      </c>
      <c r="B184" s="59">
        <f>Inicial!B184</f>
        <v>0</v>
      </c>
      <c r="C184" s="59">
        <f>Inicial!C184</f>
        <v>0</v>
      </c>
      <c r="D184" s="60">
        <f>Inicial!D184</f>
        <v>0</v>
      </c>
      <c r="E184" s="58" t="str">
        <f>IF(Inicial!J184="SI",Inicial!E184,"N/A")</f>
        <v>N/A</v>
      </c>
      <c r="F184" s="59" t="str">
        <f>IF(Inicial!J184="SI",Inicial!F184,"N/A")</f>
        <v>N/A</v>
      </c>
      <c r="G184" s="59" t="str">
        <f>IF(Inicial!J184="SI",Inicial!G184,"N/A")</f>
        <v>N/A</v>
      </c>
      <c r="H184" s="59" t="str">
        <f>IF(Inicial!J184="SI",Inicial!H184,"N/A")</f>
        <v>N/A</v>
      </c>
      <c r="I184" s="61" t="str">
        <f>IF(Inicial!J184="SI",Inicial!I184,"N/A")</f>
        <v>N/A</v>
      </c>
      <c r="P184" s="6" t="str">
        <f t="shared" si="4"/>
        <v>Aceptable</v>
      </c>
      <c r="Q184" s="6"/>
      <c r="R184" s="6"/>
      <c r="S184" s="6"/>
      <c r="T184" s="6"/>
      <c r="U184" s="6"/>
      <c r="V184" s="6"/>
      <c r="W184" s="6" t="str">
        <f t="shared" si="5"/>
        <v>Critico</v>
      </c>
    </row>
    <row r="185" spans="1:23" ht="15">
      <c r="A185" s="58">
        <f>Inicial!A185</f>
        <v>0</v>
      </c>
      <c r="B185" s="59">
        <f>Inicial!B185</f>
        <v>0</v>
      </c>
      <c r="C185" s="59">
        <f>Inicial!C185</f>
        <v>0</v>
      </c>
      <c r="D185" s="60">
        <f>Inicial!D185</f>
        <v>0</v>
      </c>
      <c r="E185" s="58" t="str">
        <f>IF(Inicial!J185="SI",Inicial!E185,"N/A")</f>
        <v>N/A</v>
      </c>
      <c r="F185" s="59" t="str">
        <f>IF(Inicial!J185="SI",Inicial!F185,"N/A")</f>
        <v>N/A</v>
      </c>
      <c r="G185" s="59" t="str">
        <f>IF(Inicial!J185="SI",Inicial!G185,"N/A")</f>
        <v>N/A</v>
      </c>
      <c r="H185" s="59" t="str">
        <f>IF(Inicial!J185="SI",Inicial!H185,"N/A")</f>
        <v>N/A</v>
      </c>
      <c r="I185" s="61" t="str">
        <f>IF(Inicial!J185="SI",Inicial!I185,"N/A")</f>
        <v>N/A</v>
      </c>
      <c r="P185" s="6" t="str">
        <f t="shared" si="4"/>
        <v>Aceptable</v>
      </c>
      <c r="Q185" s="6"/>
      <c r="R185" s="6"/>
      <c r="S185" s="6"/>
      <c r="T185" s="6"/>
      <c r="U185" s="6"/>
      <c r="V185" s="6"/>
      <c r="W185" s="6" t="str">
        <f t="shared" si="5"/>
        <v>Critico</v>
      </c>
    </row>
    <row r="186" spans="1:23" ht="15">
      <c r="A186" s="58">
        <f>Inicial!A186</f>
        <v>0</v>
      </c>
      <c r="B186" s="59">
        <f>Inicial!B186</f>
        <v>0</v>
      </c>
      <c r="C186" s="59">
        <f>Inicial!C186</f>
        <v>0</v>
      </c>
      <c r="D186" s="60">
        <f>Inicial!D186</f>
        <v>0</v>
      </c>
      <c r="E186" s="58" t="str">
        <f>IF(Inicial!J186="SI",Inicial!E186,"N/A")</f>
        <v>N/A</v>
      </c>
      <c r="F186" s="59" t="str">
        <f>IF(Inicial!J186="SI",Inicial!F186,"N/A")</f>
        <v>N/A</v>
      </c>
      <c r="G186" s="59" t="str">
        <f>IF(Inicial!J186="SI",Inicial!G186,"N/A")</f>
        <v>N/A</v>
      </c>
      <c r="H186" s="59" t="str">
        <f>IF(Inicial!J186="SI",Inicial!H186,"N/A")</f>
        <v>N/A</v>
      </c>
      <c r="I186" s="61" t="str">
        <f>IF(Inicial!J186="SI",Inicial!I186,"N/A")</f>
        <v>N/A</v>
      </c>
      <c r="P186" s="6" t="str">
        <f t="shared" si="4"/>
        <v>Aceptable</v>
      </c>
      <c r="Q186" s="6"/>
      <c r="R186" s="6"/>
      <c r="S186" s="6"/>
      <c r="T186" s="6"/>
      <c r="U186" s="6"/>
      <c r="V186" s="6"/>
      <c r="W186" s="6" t="str">
        <f t="shared" si="5"/>
        <v>Critico</v>
      </c>
    </row>
    <row r="187" spans="1:23" ht="15">
      <c r="A187" s="58">
        <f>Inicial!A187</f>
        <v>0</v>
      </c>
      <c r="B187" s="59">
        <f>Inicial!B187</f>
        <v>0</v>
      </c>
      <c r="C187" s="59">
        <f>Inicial!C187</f>
        <v>0</v>
      </c>
      <c r="D187" s="60">
        <f>Inicial!D187</f>
        <v>0</v>
      </c>
      <c r="E187" s="58" t="str">
        <f>IF(Inicial!J187="SI",Inicial!E187,"N/A")</f>
        <v>N/A</v>
      </c>
      <c r="F187" s="59" t="str">
        <f>IF(Inicial!J187="SI",Inicial!F187,"N/A")</f>
        <v>N/A</v>
      </c>
      <c r="G187" s="59" t="str">
        <f>IF(Inicial!J187="SI",Inicial!G187,"N/A")</f>
        <v>N/A</v>
      </c>
      <c r="H187" s="59" t="str">
        <f>IF(Inicial!J187="SI",Inicial!H187,"N/A")</f>
        <v>N/A</v>
      </c>
      <c r="I187" s="61" t="str">
        <f>IF(Inicial!J187="SI",Inicial!I187,"N/A")</f>
        <v>N/A</v>
      </c>
      <c r="P187" s="6" t="str">
        <f t="shared" si="4"/>
        <v>Aceptable</v>
      </c>
      <c r="Q187" s="6"/>
      <c r="R187" s="6"/>
      <c r="S187" s="6"/>
      <c r="T187" s="6"/>
      <c r="U187" s="6"/>
      <c r="V187" s="6"/>
      <c r="W187" s="6" t="str">
        <f t="shared" si="5"/>
        <v>Critico</v>
      </c>
    </row>
    <row r="188" spans="1:23" ht="15">
      <c r="A188" s="58">
        <f>Inicial!A188</f>
        <v>0</v>
      </c>
      <c r="B188" s="59">
        <f>Inicial!B188</f>
        <v>0</v>
      </c>
      <c r="C188" s="59">
        <f>Inicial!C188</f>
        <v>0</v>
      </c>
      <c r="D188" s="60">
        <f>Inicial!D188</f>
        <v>0</v>
      </c>
      <c r="E188" s="58" t="str">
        <f>IF(Inicial!J188="SI",Inicial!E188,"N/A")</f>
        <v>N/A</v>
      </c>
      <c r="F188" s="59" t="str">
        <f>IF(Inicial!J188="SI",Inicial!F188,"N/A")</f>
        <v>N/A</v>
      </c>
      <c r="G188" s="59" t="str">
        <f>IF(Inicial!J188="SI",Inicial!G188,"N/A")</f>
        <v>N/A</v>
      </c>
      <c r="H188" s="59" t="str">
        <f>IF(Inicial!J188="SI",Inicial!H188,"N/A")</f>
        <v>N/A</v>
      </c>
      <c r="I188" s="61" t="str">
        <f>IF(Inicial!J188="SI",Inicial!I188,"N/A")</f>
        <v>N/A</v>
      </c>
      <c r="P188" s="6" t="str">
        <f t="shared" si="4"/>
        <v>Aceptable</v>
      </c>
      <c r="Q188" s="6"/>
      <c r="R188" s="6"/>
      <c r="S188" s="6"/>
      <c r="T188" s="6"/>
      <c r="U188" s="6"/>
      <c r="V188" s="6"/>
      <c r="W188" s="6" t="str">
        <f t="shared" si="5"/>
        <v>Critico</v>
      </c>
    </row>
    <row r="189" spans="1:23" ht="15">
      <c r="A189" s="58">
        <f>Inicial!A189</f>
        <v>0</v>
      </c>
      <c r="B189" s="59">
        <f>Inicial!B189</f>
        <v>0</v>
      </c>
      <c r="C189" s="59">
        <f>Inicial!C189</f>
        <v>0</v>
      </c>
      <c r="D189" s="60">
        <f>Inicial!D189</f>
        <v>0</v>
      </c>
      <c r="E189" s="58" t="str">
        <f>IF(Inicial!J189="SI",Inicial!E189,"N/A")</f>
        <v>N/A</v>
      </c>
      <c r="F189" s="59" t="str">
        <f>IF(Inicial!J189="SI",Inicial!F189,"N/A")</f>
        <v>N/A</v>
      </c>
      <c r="G189" s="59" t="str">
        <f>IF(Inicial!J189="SI",Inicial!G189,"N/A")</f>
        <v>N/A</v>
      </c>
      <c r="H189" s="59" t="str">
        <f>IF(Inicial!J189="SI",Inicial!H189,"N/A")</f>
        <v>N/A</v>
      </c>
      <c r="I189" s="61" t="str">
        <f>IF(Inicial!J189="SI",Inicial!I189,"N/A")</f>
        <v>N/A</v>
      </c>
      <c r="P189" s="6" t="str">
        <f t="shared" si="4"/>
        <v>Aceptable</v>
      </c>
      <c r="Q189" s="6"/>
      <c r="R189" s="6"/>
      <c r="S189" s="6"/>
      <c r="T189" s="6"/>
      <c r="U189" s="6"/>
      <c r="V189" s="6"/>
      <c r="W189" s="6" t="str">
        <f t="shared" si="5"/>
        <v>Critico</v>
      </c>
    </row>
    <row r="190" spans="1:23" ht="15">
      <c r="A190" s="58">
        <f>Inicial!A190</f>
        <v>0</v>
      </c>
      <c r="B190" s="59">
        <f>Inicial!B190</f>
        <v>0</v>
      </c>
      <c r="C190" s="59">
        <f>Inicial!C190</f>
        <v>0</v>
      </c>
      <c r="D190" s="60">
        <f>Inicial!D190</f>
        <v>0</v>
      </c>
      <c r="E190" s="58" t="str">
        <f>IF(Inicial!J190="SI",Inicial!E190,"N/A")</f>
        <v>N/A</v>
      </c>
      <c r="F190" s="59" t="str">
        <f>IF(Inicial!J190="SI",Inicial!F190,"N/A")</f>
        <v>N/A</v>
      </c>
      <c r="G190" s="59" t="str">
        <f>IF(Inicial!J190="SI",Inicial!G190,"N/A")</f>
        <v>N/A</v>
      </c>
      <c r="H190" s="59" t="str">
        <f>IF(Inicial!J190="SI",Inicial!H190,"N/A")</f>
        <v>N/A</v>
      </c>
      <c r="I190" s="61" t="str">
        <f>IF(Inicial!J190="SI",Inicial!I190,"N/A")</f>
        <v>N/A</v>
      </c>
      <c r="P190" s="6" t="str">
        <f t="shared" si="4"/>
        <v>Aceptable</v>
      </c>
      <c r="Q190" s="6"/>
      <c r="R190" s="6"/>
      <c r="S190" s="6"/>
      <c r="T190" s="6"/>
      <c r="U190" s="6"/>
      <c r="V190" s="6"/>
      <c r="W190" s="6" t="str">
        <f t="shared" si="5"/>
        <v>Critico</v>
      </c>
    </row>
    <row r="191" spans="1:23" ht="15">
      <c r="A191" s="58">
        <f>Inicial!A191</f>
        <v>0</v>
      </c>
      <c r="B191" s="59">
        <f>Inicial!B191</f>
        <v>0</v>
      </c>
      <c r="C191" s="59">
        <f>Inicial!C191</f>
        <v>0</v>
      </c>
      <c r="D191" s="60">
        <f>Inicial!D191</f>
        <v>0</v>
      </c>
      <c r="E191" s="58" t="str">
        <f>IF(Inicial!J191="SI",Inicial!E191,"N/A")</f>
        <v>N/A</v>
      </c>
      <c r="F191" s="59" t="str">
        <f>IF(Inicial!J191="SI",Inicial!F191,"N/A")</f>
        <v>N/A</v>
      </c>
      <c r="G191" s="59" t="str">
        <f>IF(Inicial!J191="SI",Inicial!G191,"N/A")</f>
        <v>N/A</v>
      </c>
      <c r="H191" s="59" t="str">
        <f>IF(Inicial!J191="SI",Inicial!H191,"N/A")</f>
        <v>N/A</v>
      </c>
      <c r="I191" s="61" t="str">
        <f>IF(Inicial!J191="SI",Inicial!I191,"N/A")</f>
        <v>N/A</v>
      </c>
      <c r="P191" s="6" t="str">
        <f t="shared" ref="P191:P246" si="6">IF(OR(J191="NO",K191="NO",L191="NO",M191="NO",N191="NO",O191="NO"),"No Aceptable","Aceptable")</f>
        <v>Aceptable</v>
      </c>
      <c r="Q191" s="6"/>
      <c r="R191" s="6"/>
      <c r="S191" s="6"/>
      <c r="T191" s="6"/>
      <c r="U191" s="6"/>
      <c r="V191" s="6"/>
      <c r="W191" s="6" t="str">
        <f t="shared" si="5"/>
        <v>Critico</v>
      </c>
    </row>
    <row r="192" spans="1:23" ht="15">
      <c r="A192" s="58">
        <f>Inicial!A192</f>
        <v>0</v>
      </c>
      <c r="B192" s="59">
        <f>Inicial!B192</f>
        <v>0</v>
      </c>
      <c r="C192" s="59">
        <f>Inicial!C192</f>
        <v>0</v>
      </c>
      <c r="D192" s="60">
        <f>Inicial!D192</f>
        <v>0</v>
      </c>
      <c r="E192" s="58" t="str">
        <f>IF(Inicial!J192="SI",Inicial!E192,"N/A")</f>
        <v>N/A</v>
      </c>
      <c r="F192" s="59" t="str">
        <f>IF(Inicial!J192="SI",Inicial!F192,"N/A")</f>
        <v>N/A</v>
      </c>
      <c r="G192" s="59" t="str">
        <f>IF(Inicial!J192="SI",Inicial!G192,"N/A")</f>
        <v>N/A</v>
      </c>
      <c r="H192" s="59" t="str">
        <f>IF(Inicial!J192="SI",Inicial!H192,"N/A")</f>
        <v>N/A</v>
      </c>
      <c r="I192" s="61" t="str">
        <f>IF(Inicial!J192="SI",Inicial!I192,"N/A")</f>
        <v>N/A</v>
      </c>
      <c r="P192" s="6" t="str">
        <f t="shared" si="6"/>
        <v>Aceptable</v>
      </c>
      <c r="Q192" s="6"/>
      <c r="R192" s="6"/>
      <c r="S192" s="6"/>
      <c r="T192" s="6"/>
      <c r="U192" s="6"/>
      <c r="V192" s="6"/>
      <c r="W192" s="6" t="str">
        <f t="shared" ref="W192:W246" si="7">IF(AND(Q192="NO",R192="NO",S192="NO",T192="NO",U192="NO",V192="NO"),"No Critico","Critico")</f>
        <v>Critico</v>
      </c>
    </row>
    <row r="193" spans="1:23" ht="15">
      <c r="A193" s="58">
        <f>Inicial!A193</f>
        <v>0</v>
      </c>
      <c r="B193" s="59">
        <f>Inicial!B193</f>
        <v>0</v>
      </c>
      <c r="C193" s="59">
        <f>Inicial!C193</f>
        <v>0</v>
      </c>
      <c r="D193" s="60">
        <f>Inicial!D193</f>
        <v>0</v>
      </c>
      <c r="E193" s="58" t="str">
        <f>IF(Inicial!J193="SI",Inicial!E193,"N/A")</f>
        <v>N/A</v>
      </c>
      <c r="F193" s="59" t="str">
        <f>IF(Inicial!J193="SI",Inicial!F193,"N/A")</f>
        <v>N/A</v>
      </c>
      <c r="G193" s="59" t="str">
        <f>IF(Inicial!J193="SI",Inicial!G193,"N/A")</f>
        <v>N/A</v>
      </c>
      <c r="H193" s="59" t="str">
        <f>IF(Inicial!J193="SI",Inicial!H193,"N/A")</f>
        <v>N/A</v>
      </c>
      <c r="I193" s="61" t="str">
        <f>IF(Inicial!J193="SI",Inicial!I193,"N/A")</f>
        <v>N/A</v>
      </c>
      <c r="P193" s="6" t="str">
        <f t="shared" si="6"/>
        <v>Aceptable</v>
      </c>
      <c r="Q193" s="6"/>
      <c r="R193" s="6"/>
      <c r="S193" s="6"/>
      <c r="T193" s="6"/>
      <c r="U193" s="6"/>
      <c r="V193" s="6"/>
      <c r="W193" s="6" t="str">
        <f t="shared" si="7"/>
        <v>Critico</v>
      </c>
    </row>
    <row r="194" spans="1:23" ht="15">
      <c r="A194" s="58">
        <f>Inicial!A194</f>
        <v>0</v>
      </c>
      <c r="B194" s="59">
        <f>Inicial!B194</f>
        <v>0</v>
      </c>
      <c r="C194" s="59">
        <f>Inicial!C194</f>
        <v>0</v>
      </c>
      <c r="D194" s="60">
        <f>Inicial!D194</f>
        <v>0</v>
      </c>
      <c r="E194" s="58" t="str">
        <f>IF(Inicial!J194="SI",Inicial!E194,"N/A")</f>
        <v>N/A</v>
      </c>
      <c r="F194" s="59" t="str">
        <f>IF(Inicial!J194="SI",Inicial!F194,"N/A")</f>
        <v>N/A</v>
      </c>
      <c r="G194" s="59" t="str">
        <f>IF(Inicial!J194="SI",Inicial!G194,"N/A")</f>
        <v>N/A</v>
      </c>
      <c r="H194" s="59" t="str">
        <f>IF(Inicial!J194="SI",Inicial!H194,"N/A")</f>
        <v>N/A</v>
      </c>
      <c r="I194" s="61" t="str">
        <f>IF(Inicial!J194="SI",Inicial!I194,"N/A")</f>
        <v>N/A</v>
      </c>
      <c r="P194" s="6" t="str">
        <f t="shared" si="6"/>
        <v>Aceptable</v>
      </c>
      <c r="Q194" s="6"/>
      <c r="R194" s="6"/>
      <c r="S194" s="6"/>
      <c r="T194" s="6"/>
      <c r="U194" s="6"/>
      <c r="V194" s="6"/>
      <c r="W194" s="6" t="str">
        <f t="shared" si="7"/>
        <v>Critico</v>
      </c>
    </row>
    <row r="195" spans="1:23" ht="15">
      <c r="A195" s="58">
        <f>Inicial!A195</f>
        <v>0</v>
      </c>
      <c r="B195" s="59">
        <f>Inicial!B195</f>
        <v>0</v>
      </c>
      <c r="C195" s="59">
        <f>Inicial!C195</f>
        <v>0</v>
      </c>
      <c r="D195" s="60">
        <f>Inicial!D195</f>
        <v>0</v>
      </c>
      <c r="E195" s="58" t="str">
        <f>IF(Inicial!J195="SI",Inicial!E195,"N/A")</f>
        <v>N/A</v>
      </c>
      <c r="F195" s="59" t="str">
        <f>IF(Inicial!J195="SI",Inicial!F195,"N/A")</f>
        <v>N/A</v>
      </c>
      <c r="G195" s="59" t="str">
        <f>IF(Inicial!J195="SI",Inicial!G195,"N/A")</f>
        <v>N/A</v>
      </c>
      <c r="H195" s="59" t="str">
        <f>IF(Inicial!J195="SI",Inicial!H195,"N/A")</f>
        <v>N/A</v>
      </c>
      <c r="I195" s="61" t="str">
        <f>IF(Inicial!J195="SI",Inicial!I195,"N/A")</f>
        <v>N/A</v>
      </c>
      <c r="P195" s="6" t="str">
        <f t="shared" si="6"/>
        <v>Aceptable</v>
      </c>
      <c r="Q195" s="6"/>
      <c r="R195" s="6"/>
      <c r="S195" s="6"/>
      <c r="T195" s="6"/>
      <c r="U195" s="6"/>
      <c r="V195" s="6"/>
      <c r="W195" s="6" t="str">
        <f t="shared" si="7"/>
        <v>Critico</v>
      </c>
    </row>
    <row r="196" spans="1:23" ht="15">
      <c r="A196" s="58">
        <f>Inicial!A196</f>
        <v>0</v>
      </c>
      <c r="B196" s="59">
        <f>Inicial!B196</f>
        <v>0</v>
      </c>
      <c r="C196" s="59">
        <f>Inicial!C196</f>
        <v>0</v>
      </c>
      <c r="D196" s="60">
        <f>Inicial!D196</f>
        <v>0</v>
      </c>
      <c r="E196" s="58" t="str">
        <f>IF(Inicial!J196="SI",Inicial!E196,"N/A")</f>
        <v>N/A</v>
      </c>
      <c r="F196" s="59" t="str">
        <f>IF(Inicial!J196="SI",Inicial!F196,"N/A")</f>
        <v>N/A</v>
      </c>
      <c r="G196" s="59" t="str">
        <f>IF(Inicial!J196="SI",Inicial!G196,"N/A")</f>
        <v>N/A</v>
      </c>
      <c r="H196" s="59" t="str">
        <f>IF(Inicial!J196="SI",Inicial!H196,"N/A")</f>
        <v>N/A</v>
      </c>
      <c r="I196" s="61" t="str">
        <f>IF(Inicial!J196="SI",Inicial!I196,"N/A")</f>
        <v>N/A</v>
      </c>
      <c r="P196" s="6" t="str">
        <f t="shared" si="6"/>
        <v>Aceptable</v>
      </c>
      <c r="Q196" s="6"/>
      <c r="R196" s="6"/>
      <c r="S196" s="6"/>
      <c r="T196" s="6"/>
      <c r="U196" s="6"/>
      <c r="V196" s="6"/>
      <c r="W196" s="6" t="str">
        <f t="shared" si="7"/>
        <v>Critico</v>
      </c>
    </row>
    <row r="197" spans="1:23" ht="15">
      <c r="A197" s="58">
        <f>Inicial!A197</f>
        <v>0</v>
      </c>
      <c r="B197" s="59">
        <f>Inicial!B197</f>
        <v>0</v>
      </c>
      <c r="C197" s="59">
        <f>Inicial!C197</f>
        <v>0</v>
      </c>
      <c r="D197" s="60">
        <f>Inicial!D197</f>
        <v>0</v>
      </c>
      <c r="E197" s="58" t="str">
        <f>IF(Inicial!J197="SI",Inicial!E197,"N/A")</f>
        <v>N/A</v>
      </c>
      <c r="F197" s="59" t="str">
        <f>IF(Inicial!J197="SI",Inicial!F197,"N/A")</f>
        <v>N/A</v>
      </c>
      <c r="G197" s="59" t="str">
        <f>IF(Inicial!J197="SI",Inicial!G197,"N/A")</f>
        <v>N/A</v>
      </c>
      <c r="H197" s="59" t="str">
        <f>IF(Inicial!J197="SI",Inicial!H197,"N/A")</f>
        <v>N/A</v>
      </c>
      <c r="I197" s="61" t="str">
        <f>IF(Inicial!J197="SI",Inicial!I197,"N/A")</f>
        <v>N/A</v>
      </c>
      <c r="P197" s="6" t="str">
        <f t="shared" si="6"/>
        <v>Aceptable</v>
      </c>
      <c r="Q197" s="6"/>
      <c r="R197" s="6"/>
      <c r="S197" s="6"/>
      <c r="T197" s="6"/>
      <c r="U197" s="6"/>
      <c r="V197" s="6"/>
      <c r="W197" s="6" t="str">
        <f t="shared" si="7"/>
        <v>Critico</v>
      </c>
    </row>
    <row r="198" spans="1:23" ht="15">
      <c r="A198" s="58">
        <f>Inicial!A198</f>
        <v>0</v>
      </c>
      <c r="B198" s="59">
        <f>Inicial!B198</f>
        <v>0</v>
      </c>
      <c r="C198" s="59">
        <f>Inicial!C198</f>
        <v>0</v>
      </c>
      <c r="D198" s="60">
        <f>Inicial!D198</f>
        <v>0</v>
      </c>
      <c r="E198" s="58" t="str">
        <f>IF(Inicial!J198="SI",Inicial!E198,"N/A")</f>
        <v>N/A</v>
      </c>
      <c r="F198" s="59" t="str">
        <f>IF(Inicial!J198="SI",Inicial!F198,"N/A")</f>
        <v>N/A</v>
      </c>
      <c r="G198" s="59" t="str">
        <f>IF(Inicial!J198="SI",Inicial!G198,"N/A")</f>
        <v>N/A</v>
      </c>
      <c r="H198" s="59" t="str">
        <f>IF(Inicial!J198="SI",Inicial!H198,"N/A")</f>
        <v>N/A</v>
      </c>
      <c r="I198" s="61" t="str">
        <f>IF(Inicial!J198="SI",Inicial!I198,"N/A")</f>
        <v>N/A</v>
      </c>
      <c r="P198" s="6" t="str">
        <f t="shared" si="6"/>
        <v>Aceptable</v>
      </c>
      <c r="Q198" s="6"/>
      <c r="R198" s="6"/>
      <c r="S198" s="6"/>
      <c r="T198" s="6"/>
      <c r="U198" s="6"/>
      <c r="V198" s="6"/>
      <c r="W198" s="6" t="str">
        <f t="shared" si="7"/>
        <v>Critico</v>
      </c>
    </row>
    <row r="199" spans="1:23" ht="15">
      <c r="A199" s="58">
        <f>Inicial!A199</f>
        <v>0</v>
      </c>
      <c r="B199" s="59">
        <f>Inicial!B199</f>
        <v>0</v>
      </c>
      <c r="C199" s="59">
        <f>Inicial!C199</f>
        <v>0</v>
      </c>
      <c r="D199" s="60">
        <f>Inicial!D199</f>
        <v>0</v>
      </c>
      <c r="E199" s="58" t="str">
        <f>IF(Inicial!J199="SI",Inicial!E199,"N/A")</f>
        <v>N/A</v>
      </c>
      <c r="F199" s="59" t="str">
        <f>IF(Inicial!J199="SI",Inicial!F199,"N/A")</f>
        <v>N/A</v>
      </c>
      <c r="G199" s="59" t="str">
        <f>IF(Inicial!J199="SI",Inicial!G199,"N/A")</f>
        <v>N/A</v>
      </c>
      <c r="H199" s="59" t="str">
        <f>IF(Inicial!J199="SI",Inicial!H199,"N/A")</f>
        <v>N/A</v>
      </c>
      <c r="I199" s="61" t="str">
        <f>IF(Inicial!J199="SI",Inicial!I199,"N/A")</f>
        <v>N/A</v>
      </c>
      <c r="P199" s="6" t="str">
        <f t="shared" si="6"/>
        <v>Aceptable</v>
      </c>
      <c r="Q199" s="6"/>
      <c r="R199" s="6"/>
      <c r="S199" s="6"/>
      <c r="T199" s="6"/>
      <c r="U199" s="6"/>
      <c r="V199" s="6"/>
      <c r="W199" s="6" t="str">
        <f t="shared" si="7"/>
        <v>Critico</v>
      </c>
    </row>
    <row r="200" spans="1:23" ht="15">
      <c r="A200" s="58">
        <f>Inicial!A200</f>
        <v>0</v>
      </c>
      <c r="B200" s="59">
        <f>Inicial!B200</f>
        <v>0</v>
      </c>
      <c r="C200" s="59">
        <f>Inicial!C200</f>
        <v>0</v>
      </c>
      <c r="D200" s="60">
        <f>Inicial!D200</f>
        <v>0</v>
      </c>
      <c r="E200" s="58" t="str">
        <f>IF(Inicial!J200="SI",Inicial!E200,"N/A")</f>
        <v>N/A</v>
      </c>
      <c r="F200" s="59" t="str">
        <f>IF(Inicial!J200="SI",Inicial!F200,"N/A")</f>
        <v>N/A</v>
      </c>
      <c r="G200" s="59" t="str">
        <f>IF(Inicial!J200="SI",Inicial!G200,"N/A")</f>
        <v>N/A</v>
      </c>
      <c r="H200" s="59" t="str">
        <f>IF(Inicial!J200="SI",Inicial!H200,"N/A")</f>
        <v>N/A</v>
      </c>
      <c r="I200" s="61" t="str">
        <f>IF(Inicial!J200="SI",Inicial!I200,"N/A")</f>
        <v>N/A</v>
      </c>
      <c r="P200" s="6" t="str">
        <f t="shared" si="6"/>
        <v>Aceptable</v>
      </c>
      <c r="Q200" s="6"/>
      <c r="R200" s="6"/>
      <c r="S200" s="6"/>
      <c r="T200" s="6"/>
      <c r="U200" s="6"/>
      <c r="V200" s="6"/>
      <c r="W200" s="6" t="str">
        <f t="shared" si="7"/>
        <v>Critico</v>
      </c>
    </row>
    <row r="201" spans="1:23" ht="15">
      <c r="A201" s="58">
        <f>Inicial!A201</f>
        <v>0</v>
      </c>
      <c r="B201" s="59">
        <f>Inicial!B201</f>
        <v>0</v>
      </c>
      <c r="C201" s="59">
        <f>Inicial!C201</f>
        <v>0</v>
      </c>
      <c r="D201" s="60">
        <f>Inicial!D201</f>
        <v>0</v>
      </c>
      <c r="E201" s="58" t="str">
        <f>IF(Inicial!J201="SI",Inicial!E201,"N/A")</f>
        <v>N/A</v>
      </c>
      <c r="F201" s="59" t="str">
        <f>IF(Inicial!J201="SI",Inicial!F201,"N/A")</f>
        <v>N/A</v>
      </c>
      <c r="G201" s="59" t="str">
        <f>IF(Inicial!J201="SI",Inicial!G201,"N/A")</f>
        <v>N/A</v>
      </c>
      <c r="H201" s="59" t="str">
        <f>IF(Inicial!J201="SI",Inicial!H201,"N/A")</f>
        <v>N/A</v>
      </c>
      <c r="I201" s="61" t="str">
        <f>IF(Inicial!J201="SI",Inicial!I201,"N/A")</f>
        <v>N/A</v>
      </c>
      <c r="P201" s="6" t="str">
        <f t="shared" si="6"/>
        <v>Aceptable</v>
      </c>
      <c r="Q201" s="6"/>
      <c r="R201" s="6"/>
      <c r="S201" s="6"/>
      <c r="T201" s="6"/>
      <c r="U201" s="6"/>
      <c r="V201" s="6"/>
      <c r="W201" s="6" t="str">
        <f t="shared" si="7"/>
        <v>Critico</v>
      </c>
    </row>
    <row r="202" spans="1:23" ht="15">
      <c r="A202" s="58">
        <f>Inicial!A202</f>
        <v>0</v>
      </c>
      <c r="B202" s="59">
        <f>Inicial!B202</f>
        <v>0</v>
      </c>
      <c r="C202" s="59">
        <f>Inicial!C202</f>
        <v>0</v>
      </c>
      <c r="D202" s="60">
        <f>Inicial!D202</f>
        <v>0</v>
      </c>
      <c r="E202" s="58" t="str">
        <f>IF(Inicial!J202="SI",Inicial!E202,"N/A")</f>
        <v>N/A</v>
      </c>
      <c r="F202" s="59" t="str">
        <f>IF(Inicial!J202="SI",Inicial!F202,"N/A")</f>
        <v>N/A</v>
      </c>
      <c r="G202" s="59" t="str">
        <f>IF(Inicial!J202="SI",Inicial!G202,"N/A")</f>
        <v>N/A</v>
      </c>
      <c r="H202" s="59" t="str">
        <f>IF(Inicial!J202="SI",Inicial!H202,"N/A")</f>
        <v>N/A</v>
      </c>
      <c r="I202" s="61" t="str">
        <f>IF(Inicial!J202="SI",Inicial!I202,"N/A")</f>
        <v>N/A</v>
      </c>
      <c r="P202" s="6" t="str">
        <f t="shared" si="6"/>
        <v>Aceptable</v>
      </c>
      <c r="Q202" s="6"/>
      <c r="R202" s="6"/>
      <c r="S202" s="6"/>
      <c r="T202" s="6"/>
      <c r="U202" s="6"/>
      <c r="V202" s="6"/>
      <c r="W202" s="6" t="str">
        <f t="shared" si="7"/>
        <v>Critico</v>
      </c>
    </row>
    <row r="203" spans="1:23" ht="15">
      <c r="A203" s="58">
        <f>Inicial!A203</f>
        <v>0</v>
      </c>
      <c r="B203" s="59">
        <f>Inicial!B203</f>
        <v>0</v>
      </c>
      <c r="C203" s="59">
        <f>Inicial!C203</f>
        <v>0</v>
      </c>
      <c r="D203" s="60">
        <f>Inicial!D203</f>
        <v>0</v>
      </c>
      <c r="E203" s="58" t="str">
        <f>IF(Inicial!J203="SI",Inicial!E203,"N/A")</f>
        <v>N/A</v>
      </c>
      <c r="F203" s="59" t="str">
        <f>IF(Inicial!J203="SI",Inicial!F203,"N/A")</f>
        <v>N/A</v>
      </c>
      <c r="G203" s="59" t="str">
        <f>IF(Inicial!J203="SI",Inicial!G203,"N/A")</f>
        <v>N/A</v>
      </c>
      <c r="H203" s="59" t="str">
        <f>IF(Inicial!J203="SI",Inicial!H203,"N/A")</f>
        <v>N/A</v>
      </c>
      <c r="I203" s="61" t="str">
        <f>IF(Inicial!J203="SI",Inicial!I203,"N/A")</f>
        <v>N/A</v>
      </c>
      <c r="P203" s="6" t="str">
        <f t="shared" si="6"/>
        <v>Aceptable</v>
      </c>
      <c r="Q203" s="6"/>
      <c r="R203" s="6"/>
      <c r="S203" s="6"/>
      <c r="T203" s="6"/>
      <c r="U203" s="6"/>
      <c r="V203" s="6"/>
      <c r="W203" s="6" t="str">
        <f t="shared" si="7"/>
        <v>Critico</v>
      </c>
    </row>
    <row r="204" spans="1:23" ht="15">
      <c r="A204" s="58">
        <f>Inicial!A204</f>
        <v>0</v>
      </c>
      <c r="B204" s="59">
        <f>Inicial!B204</f>
        <v>0</v>
      </c>
      <c r="C204" s="59">
        <f>Inicial!C204</f>
        <v>0</v>
      </c>
      <c r="D204" s="60">
        <f>Inicial!D204</f>
        <v>0</v>
      </c>
      <c r="E204" s="58" t="str">
        <f>IF(Inicial!J204="SI",Inicial!E204,"N/A")</f>
        <v>N/A</v>
      </c>
      <c r="F204" s="59" t="str">
        <f>IF(Inicial!J204="SI",Inicial!F204,"N/A")</f>
        <v>N/A</v>
      </c>
      <c r="G204" s="59" t="str">
        <f>IF(Inicial!J204="SI",Inicial!G204,"N/A")</f>
        <v>N/A</v>
      </c>
      <c r="H204" s="59" t="str">
        <f>IF(Inicial!J204="SI",Inicial!H204,"N/A")</f>
        <v>N/A</v>
      </c>
      <c r="I204" s="61" t="str">
        <f>IF(Inicial!J204="SI",Inicial!I204,"N/A")</f>
        <v>N/A</v>
      </c>
      <c r="P204" s="6" t="str">
        <f t="shared" si="6"/>
        <v>Aceptable</v>
      </c>
      <c r="Q204" s="6"/>
      <c r="R204" s="6"/>
      <c r="S204" s="6"/>
      <c r="T204" s="6"/>
      <c r="U204" s="6"/>
      <c r="V204" s="6"/>
      <c r="W204" s="6" t="str">
        <f t="shared" si="7"/>
        <v>Critico</v>
      </c>
    </row>
    <row r="205" spans="1:23" ht="15">
      <c r="A205" s="58">
        <f>Inicial!A205</f>
        <v>0</v>
      </c>
      <c r="B205" s="59">
        <f>Inicial!B205</f>
        <v>0</v>
      </c>
      <c r="C205" s="59">
        <f>Inicial!C205</f>
        <v>0</v>
      </c>
      <c r="D205" s="60">
        <f>Inicial!D205</f>
        <v>0</v>
      </c>
      <c r="E205" s="58" t="str">
        <f>IF(Inicial!J205="SI",Inicial!E205,"N/A")</f>
        <v>N/A</v>
      </c>
      <c r="F205" s="59" t="str">
        <f>IF(Inicial!J205="SI",Inicial!F205,"N/A")</f>
        <v>N/A</v>
      </c>
      <c r="G205" s="59" t="str">
        <f>IF(Inicial!J205="SI",Inicial!G205,"N/A")</f>
        <v>N/A</v>
      </c>
      <c r="H205" s="59" t="str">
        <f>IF(Inicial!J205="SI",Inicial!H205,"N/A")</f>
        <v>N/A</v>
      </c>
      <c r="I205" s="61" t="str">
        <f>IF(Inicial!J205="SI",Inicial!I205,"N/A")</f>
        <v>N/A</v>
      </c>
      <c r="P205" s="6" t="str">
        <f t="shared" si="6"/>
        <v>Aceptable</v>
      </c>
      <c r="Q205" s="6"/>
      <c r="R205" s="6"/>
      <c r="S205" s="6"/>
      <c r="T205" s="6"/>
      <c r="U205" s="6"/>
      <c r="V205" s="6"/>
      <c r="W205" s="6" t="str">
        <f t="shared" si="7"/>
        <v>Critico</v>
      </c>
    </row>
    <row r="206" spans="1:23" ht="15">
      <c r="A206" s="58">
        <f>Inicial!A206</f>
        <v>0</v>
      </c>
      <c r="B206" s="59">
        <f>Inicial!B206</f>
        <v>0</v>
      </c>
      <c r="C206" s="59">
        <f>Inicial!C206</f>
        <v>0</v>
      </c>
      <c r="D206" s="60">
        <f>Inicial!D206</f>
        <v>0</v>
      </c>
      <c r="E206" s="58" t="str">
        <f>IF(Inicial!J206="SI",Inicial!E206,"N/A")</f>
        <v>N/A</v>
      </c>
      <c r="F206" s="59" t="str">
        <f>IF(Inicial!J206="SI",Inicial!F206,"N/A")</f>
        <v>N/A</v>
      </c>
      <c r="G206" s="59" t="str">
        <f>IF(Inicial!J206="SI",Inicial!G206,"N/A")</f>
        <v>N/A</v>
      </c>
      <c r="H206" s="59" t="str">
        <f>IF(Inicial!J206="SI",Inicial!H206,"N/A")</f>
        <v>N/A</v>
      </c>
      <c r="I206" s="61" t="str">
        <f>IF(Inicial!J206="SI",Inicial!I206,"N/A")</f>
        <v>N/A</v>
      </c>
      <c r="P206" s="6" t="str">
        <f t="shared" si="6"/>
        <v>Aceptable</v>
      </c>
      <c r="Q206" s="6"/>
      <c r="R206" s="6"/>
      <c r="S206" s="6"/>
      <c r="T206" s="6"/>
      <c r="U206" s="6"/>
      <c r="V206" s="6"/>
      <c r="W206" s="6" t="str">
        <f t="shared" si="7"/>
        <v>Critico</v>
      </c>
    </row>
    <row r="207" spans="1:23" ht="15">
      <c r="A207" s="58">
        <f>Inicial!A207</f>
        <v>0</v>
      </c>
      <c r="B207" s="59">
        <f>Inicial!B207</f>
        <v>0</v>
      </c>
      <c r="C207" s="59">
        <f>Inicial!C207</f>
        <v>0</v>
      </c>
      <c r="D207" s="60">
        <f>Inicial!D207</f>
        <v>0</v>
      </c>
      <c r="E207" s="58" t="str">
        <f>IF(Inicial!J207="SI",Inicial!E207,"N/A")</f>
        <v>N/A</v>
      </c>
      <c r="F207" s="59" t="str">
        <f>IF(Inicial!J207="SI",Inicial!F207,"N/A")</f>
        <v>N/A</v>
      </c>
      <c r="G207" s="59" t="str">
        <f>IF(Inicial!J207="SI",Inicial!G207,"N/A")</f>
        <v>N/A</v>
      </c>
      <c r="H207" s="59" t="str">
        <f>IF(Inicial!J207="SI",Inicial!H207,"N/A")</f>
        <v>N/A</v>
      </c>
      <c r="I207" s="61" t="str">
        <f>IF(Inicial!J207="SI",Inicial!I207,"N/A")</f>
        <v>N/A</v>
      </c>
      <c r="P207" s="6" t="str">
        <f t="shared" si="6"/>
        <v>Aceptable</v>
      </c>
      <c r="Q207" s="6"/>
      <c r="R207" s="6"/>
      <c r="S207" s="6"/>
      <c r="T207" s="6"/>
      <c r="U207" s="6"/>
      <c r="V207" s="6"/>
      <c r="W207" s="6" t="str">
        <f t="shared" si="7"/>
        <v>Critico</v>
      </c>
    </row>
    <row r="208" spans="1:23" ht="15">
      <c r="A208" s="58">
        <f>Inicial!A208</f>
        <v>0</v>
      </c>
      <c r="B208" s="59">
        <f>Inicial!B208</f>
        <v>0</v>
      </c>
      <c r="C208" s="59">
        <f>Inicial!C208</f>
        <v>0</v>
      </c>
      <c r="D208" s="60">
        <f>Inicial!D208</f>
        <v>0</v>
      </c>
      <c r="E208" s="58" t="str">
        <f>IF(Inicial!J208="SI",Inicial!E208,"N/A")</f>
        <v>N/A</v>
      </c>
      <c r="F208" s="59" t="str">
        <f>IF(Inicial!J208="SI",Inicial!F208,"N/A")</f>
        <v>N/A</v>
      </c>
      <c r="G208" s="59" t="str">
        <f>IF(Inicial!J208="SI",Inicial!G208,"N/A")</f>
        <v>N/A</v>
      </c>
      <c r="H208" s="59" t="str">
        <f>IF(Inicial!J208="SI",Inicial!H208,"N/A")</f>
        <v>N/A</v>
      </c>
      <c r="I208" s="61" t="str">
        <f>IF(Inicial!J208="SI",Inicial!I208,"N/A")</f>
        <v>N/A</v>
      </c>
      <c r="P208" s="6" t="str">
        <f t="shared" si="6"/>
        <v>Aceptable</v>
      </c>
      <c r="Q208" s="6"/>
      <c r="R208" s="6"/>
      <c r="S208" s="6"/>
      <c r="T208" s="6"/>
      <c r="U208" s="6"/>
      <c r="V208" s="6"/>
      <c r="W208" s="6" t="str">
        <f t="shared" si="7"/>
        <v>Critico</v>
      </c>
    </row>
    <row r="209" spans="1:23" ht="15">
      <c r="A209" s="58">
        <f>Inicial!A209</f>
        <v>0</v>
      </c>
      <c r="B209" s="59">
        <f>Inicial!B209</f>
        <v>0</v>
      </c>
      <c r="C209" s="59">
        <f>Inicial!C209</f>
        <v>0</v>
      </c>
      <c r="D209" s="60">
        <f>Inicial!D209</f>
        <v>0</v>
      </c>
      <c r="E209" s="58" t="str">
        <f>IF(Inicial!J209="SI",Inicial!E209,"N/A")</f>
        <v>N/A</v>
      </c>
      <c r="F209" s="59" t="str">
        <f>IF(Inicial!J209="SI",Inicial!F209,"N/A")</f>
        <v>N/A</v>
      </c>
      <c r="G209" s="59" t="str">
        <f>IF(Inicial!J209="SI",Inicial!G209,"N/A")</f>
        <v>N/A</v>
      </c>
      <c r="H209" s="59" t="str">
        <f>IF(Inicial!J209="SI",Inicial!H209,"N/A")</f>
        <v>N/A</v>
      </c>
      <c r="I209" s="61" t="str">
        <f>IF(Inicial!J209="SI",Inicial!I209,"N/A")</f>
        <v>N/A</v>
      </c>
      <c r="P209" s="6" t="str">
        <f t="shared" si="6"/>
        <v>Aceptable</v>
      </c>
      <c r="Q209" s="6"/>
      <c r="R209" s="6"/>
      <c r="S209" s="6"/>
      <c r="T209" s="6"/>
      <c r="U209" s="6"/>
      <c r="V209" s="6"/>
      <c r="W209" s="6" t="str">
        <f t="shared" si="7"/>
        <v>Critico</v>
      </c>
    </row>
    <row r="210" spans="1:23" ht="15">
      <c r="A210" s="58">
        <f>Inicial!A210</f>
        <v>0</v>
      </c>
      <c r="B210" s="59">
        <f>Inicial!B210</f>
        <v>0</v>
      </c>
      <c r="C210" s="59">
        <f>Inicial!C210</f>
        <v>0</v>
      </c>
      <c r="D210" s="60">
        <f>Inicial!D210</f>
        <v>0</v>
      </c>
      <c r="E210" s="58" t="str">
        <f>IF(Inicial!J210="SI",Inicial!E210,"N/A")</f>
        <v>N/A</v>
      </c>
      <c r="F210" s="59" t="str">
        <f>IF(Inicial!J210="SI",Inicial!F210,"N/A")</f>
        <v>N/A</v>
      </c>
      <c r="G210" s="59" t="str">
        <f>IF(Inicial!J210="SI",Inicial!G210,"N/A")</f>
        <v>N/A</v>
      </c>
      <c r="H210" s="59" t="str">
        <f>IF(Inicial!J210="SI",Inicial!H210,"N/A")</f>
        <v>N/A</v>
      </c>
      <c r="I210" s="61" t="str">
        <f>IF(Inicial!J210="SI",Inicial!I210,"N/A")</f>
        <v>N/A</v>
      </c>
      <c r="P210" s="6" t="str">
        <f t="shared" si="6"/>
        <v>Aceptable</v>
      </c>
      <c r="Q210" s="6"/>
      <c r="R210" s="6"/>
      <c r="S210" s="6"/>
      <c r="T210" s="6"/>
      <c r="U210" s="6"/>
      <c r="V210" s="6"/>
      <c r="W210" s="6" t="str">
        <f t="shared" si="7"/>
        <v>Critico</v>
      </c>
    </row>
    <row r="211" spans="1:23" ht="15">
      <c r="A211" s="58">
        <f>Inicial!A211</f>
        <v>0</v>
      </c>
      <c r="B211" s="59">
        <f>Inicial!B211</f>
        <v>0</v>
      </c>
      <c r="C211" s="59">
        <f>Inicial!C211</f>
        <v>0</v>
      </c>
      <c r="D211" s="60">
        <f>Inicial!D211</f>
        <v>0</v>
      </c>
      <c r="E211" s="58" t="str">
        <f>IF(Inicial!J211="SI",Inicial!E211,"N/A")</f>
        <v>N/A</v>
      </c>
      <c r="F211" s="59" t="str">
        <f>IF(Inicial!J211="SI",Inicial!F211,"N/A")</f>
        <v>N/A</v>
      </c>
      <c r="G211" s="59" t="str">
        <f>IF(Inicial!J211="SI",Inicial!G211,"N/A")</f>
        <v>N/A</v>
      </c>
      <c r="H211" s="59" t="str">
        <f>IF(Inicial!J211="SI",Inicial!H211,"N/A")</f>
        <v>N/A</v>
      </c>
      <c r="I211" s="61" t="str">
        <f>IF(Inicial!J211="SI",Inicial!I211,"N/A")</f>
        <v>N/A</v>
      </c>
      <c r="P211" s="6" t="str">
        <f t="shared" si="6"/>
        <v>Aceptable</v>
      </c>
      <c r="Q211" s="6"/>
      <c r="R211" s="6"/>
      <c r="S211" s="6"/>
      <c r="T211" s="6"/>
      <c r="U211" s="6"/>
      <c r="V211" s="6"/>
      <c r="W211" s="6" t="str">
        <f t="shared" si="7"/>
        <v>Critico</v>
      </c>
    </row>
    <row r="212" spans="1:23" ht="15">
      <c r="A212" s="58">
        <f>Inicial!A212</f>
        <v>0</v>
      </c>
      <c r="B212" s="59">
        <f>Inicial!B212</f>
        <v>0</v>
      </c>
      <c r="C212" s="59">
        <f>Inicial!C212</f>
        <v>0</v>
      </c>
      <c r="D212" s="60">
        <f>Inicial!D212</f>
        <v>0</v>
      </c>
      <c r="E212" s="58" t="str">
        <f>IF(Inicial!J212="SI",Inicial!E212,"N/A")</f>
        <v>N/A</v>
      </c>
      <c r="F212" s="59" t="str">
        <f>IF(Inicial!J212="SI",Inicial!F212,"N/A")</f>
        <v>N/A</v>
      </c>
      <c r="G212" s="59" t="str">
        <f>IF(Inicial!J212="SI",Inicial!G212,"N/A")</f>
        <v>N/A</v>
      </c>
      <c r="H212" s="59" t="str">
        <f>IF(Inicial!J212="SI",Inicial!H212,"N/A")</f>
        <v>N/A</v>
      </c>
      <c r="I212" s="61" t="str">
        <f>IF(Inicial!J212="SI",Inicial!I212,"N/A")</f>
        <v>N/A</v>
      </c>
      <c r="P212" s="6" t="str">
        <f t="shared" si="6"/>
        <v>Aceptable</v>
      </c>
      <c r="Q212" s="6"/>
      <c r="R212" s="6"/>
      <c r="S212" s="6"/>
      <c r="T212" s="6"/>
      <c r="U212" s="6"/>
      <c r="V212" s="6"/>
      <c r="W212" s="6" t="str">
        <f t="shared" si="7"/>
        <v>Critico</v>
      </c>
    </row>
    <row r="213" spans="1:23" ht="15">
      <c r="A213" s="58">
        <f>Inicial!A213</f>
        <v>0</v>
      </c>
      <c r="B213" s="59">
        <f>Inicial!B213</f>
        <v>0</v>
      </c>
      <c r="C213" s="59">
        <f>Inicial!C213</f>
        <v>0</v>
      </c>
      <c r="D213" s="60">
        <f>Inicial!D213</f>
        <v>0</v>
      </c>
      <c r="E213" s="58" t="str">
        <f>IF(Inicial!J213="SI",Inicial!E213,"N/A")</f>
        <v>N/A</v>
      </c>
      <c r="F213" s="59" t="str">
        <f>IF(Inicial!J213="SI",Inicial!F213,"N/A")</f>
        <v>N/A</v>
      </c>
      <c r="G213" s="59" t="str">
        <f>IF(Inicial!J213="SI",Inicial!G213,"N/A")</f>
        <v>N/A</v>
      </c>
      <c r="H213" s="59" t="str">
        <f>IF(Inicial!J213="SI",Inicial!H213,"N/A")</f>
        <v>N/A</v>
      </c>
      <c r="I213" s="61" t="str">
        <f>IF(Inicial!J213="SI",Inicial!I213,"N/A")</f>
        <v>N/A</v>
      </c>
      <c r="P213" s="6" t="str">
        <f t="shared" si="6"/>
        <v>Aceptable</v>
      </c>
      <c r="Q213" s="6"/>
      <c r="R213" s="6"/>
      <c r="S213" s="6"/>
      <c r="T213" s="6"/>
      <c r="U213" s="6"/>
      <c r="V213" s="6"/>
      <c r="W213" s="6" t="str">
        <f t="shared" si="7"/>
        <v>Critico</v>
      </c>
    </row>
    <row r="214" spans="1:23" ht="15">
      <c r="A214" s="58">
        <f>Inicial!A214</f>
        <v>0</v>
      </c>
      <c r="B214" s="59">
        <f>Inicial!B214</f>
        <v>0</v>
      </c>
      <c r="C214" s="59">
        <f>Inicial!C214</f>
        <v>0</v>
      </c>
      <c r="D214" s="60">
        <f>Inicial!D214</f>
        <v>0</v>
      </c>
      <c r="E214" s="58" t="str">
        <f>IF(Inicial!J214="SI",Inicial!E214,"N/A")</f>
        <v>N/A</v>
      </c>
      <c r="F214" s="59" t="str">
        <f>IF(Inicial!J214="SI",Inicial!F214,"N/A")</f>
        <v>N/A</v>
      </c>
      <c r="G214" s="59" t="str">
        <f>IF(Inicial!J214="SI",Inicial!G214,"N/A")</f>
        <v>N/A</v>
      </c>
      <c r="H214" s="59" t="str">
        <f>IF(Inicial!J214="SI",Inicial!H214,"N/A")</f>
        <v>N/A</v>
      </c>
      <c r="I214" s="61" t="str">
        <f>IF(Inicial!J214="SI",Inicial!I214,"N/A")</f>
        <v>N/A</v>
      </c>
      <c r="P214" s="6" t="str">
        <f t="shared" si="6"/>
        <v>Aceptable</v>
      </c>
      <c r="Q214" s="6"/>
      <c r="R214" s="6"/>
      <c r="S214" s="6"/>
      <c r="T214" s="6"/>
      <c r="U214" s="6"/>
      <c r="V214" s="6"/>
      <c r="W214" s="6" t="str">
        <f t="shared" si="7"/>
        <v>Critico</v>
      </c>
    </row>
    <row r="215" spans="1:23" ht="15">
      <c r="A215" s="58">
        <f>Inicial!A215</f>
        <v>0</v>
      </c>
      <c r="P215" s="6" t="str">
        <f t="shared" si="6"/>
        <v>Aceptable</v>
      </c>
      <c r="Q215" s="6"/>
      <c r="R215" s="6"/>
      <c r="S215" s="6"/>
      <c r="T215" s="6"/>
      <c r="U215" s="6"/>
      <c r="V215" s="6"/>
      <c r="W215" s="6" t="str">
        <f t="shared" si="7"/>
        <v>Critico</v>
      </c>
    </row>
    <row r="216" spans="1:23" ht="15">
      <c r="A216" s="58">
        <f>Inicial!A216</f>
        <v>0</v>
      </c>
      <c r="P216" s="6" t="str">
        <f t="shared" si="6"/>
        <v>Aceptable</v>
      </c>
      <c r="Q216" s="6"/>
      <c r="R216" s="6"/>
      <c r="S216" s="6"/>
      <c r="T216" s="6"/>
      <c r="U216" s="6"/>
      <c r="V216" s="6"/>
      <c r="W216" s="6" t="str">
        <f t="shared" si="7"/>
        <v>Critico</v>
      </c>
    </row>
    <row r="217" spans="1:23" ht="15">
      <c r="A217" s="58">
        <f>Inicial!A217</f>
        <v>0</v>
      </c>
      <c r="P217" s="6" t="str">
        <f t="shared" si="6"/>
        <v>Aceptable</v>
      </c>
      <c r="Q217" s="6"/>
      <c r="R217" s="6"/>
      <c r="S217" s="6"/>
      <c r="T217" s="6"/>
      <c r="U217" s="6"/>
      <c r="V217" s="6"/>
      <c r="W217" s="6" t="str">
        <f t="shared" si="7"/>
        <v>Critico</v>
      </c>
    </row>
    <row r="218" spans="1:23" ht="15">
      <c r="A218" s="58">
        <f>Inicial!A218</f>
        <v>0</v>
      </c>
      <c r="P218" s="6" t="str">
        <f t="shared" si="6"/>
        <v>Aceptable</v>
      </c>
      <c r="Q218" s="6"/>
      <c r="R218" s="6"/>
      <c r="S218" s="6"/>
      <c r="T218" s="6"/>
      <c r="U218" s="6"/>
      <c r="V218" s="6"/>
      <c r="W218" s="6" t="str">
        <f t="shared" si="7"/>
        <v>Critico</v>
      </c>
    </row>
    <row r="219" spans="1:23" ht="15">
      <c r="A219" s="58">
        <f>Inicial!A219</f>
        <v>0</v>
      </c>
      <c r="P219" s="6" t="str">
        <f t="shared" si="6"/>
        <v>Aceptable</v>
      </c>
      <c r="Q219" s="6"/>
      <c r="R219" s="6"/>
      <c r="S219" s="6"/>
      <c r="T219" s="6"/>
      <c r="U219" s="6"/>
      <c r="V219" s="6"/>
      <c r="W219" s="6" t="str">
        <f t="shared" si="7"/>
        <v>Critico</v>
      </c>
    </row>
    <row r="220" spans="1:23" ht="15">
      <c r="A220" s="58">
        <f>Inicial!A220</f>
        <v>0</v>
      </c>
      <c r="P220" s="6" t="str">
        <f t="shared" si="6"/>
        <v>Aceptable</v>
      </c>
      <c r="Q220" s="6"/>
      <c r="R220" s="6"/>
      <c r="S220" s="6"/>
      <c r="T220" s="6"/>
      <c r="U220" s="6"/>
      <c r="V220" s="6"/>
      <c r="W220" s="6" t="str">
        <f t="shared" si="7"/>
        <v>Critico</v>
      </c>
    </row>
    <row r="221" spans="1:23" ht="15">
      <c r="A221" s="58">
        <f>Inicial!A221</f>
        <v>0</v>
      </c>
      <c r="P221" s="6" t="str">
        <f t="shared" si="6"/>
        <v>Aceptable</v>
      </c>
      <c r="Q221" s="6"/>
      <c r="R221" s="6"/>
      <c r="S221" s="6"/>
      <c r="T221" s="6"/>
      <c r="U221" s="6"/>
      <c r="V221" s="6"/>
      <c r="W221" s="6" t="str">
        <f t="shared" si="7"/>
        <v>Critico</v>
      </c>
    </row>
    <row r="222" spans="1:23" ht="15">
      <c r="A222" s="58">
        <f>Inicial!A222</f>
        <v>0</v>
      </c>
      <c r="P222" s="6" t="str">
        <f t="shared" si="6"/>
        <v>Aceptable</v>
      </c>
      <c r="Q222" s="6"/>
      <c r="R222" s="6"/>
      <c r="S222" s="6"/>
      <c r="T222" s="6"/>
      <c r="U222" s="6"/>
      <c r="V222" s="6"/>
      <c r="W222" s="6" t="str">
        <f t="shared" si="7"/>
        <v>Critico</v>
      </c>
    </row>
    <row r="223" spans="1:23" ht="15">
      <c r="A223" s="58">
        <f>Inicial!A223</f>
        <v>0</v>
      </c>
      <c r="P223" s="6" t="str">
        <f t="shared" si="6"/>
        <v>Aceptable</v>
      </c>
      <c r="Q223" s="6"/>
      <c r="R223" s="6"/>
      <c r="S223" s="6"/>
      <c r="T223" s="6"/>
      <c r="U223" s="6"/>
      <c r="V223" s="6"/>
      <c r="W223" s="6" t="str">
        <f t="shared" si="7"/>
        <v>Critico</v>
      </c>
    </row>
    <row r="224" spans="1:23" ht="15">
      <c r="A224" s="58">
        <f>Inicial!A224</f>
        <v>0</v>
      </c>
      <c r="P224" s="6" t="str">
        <f t="shared" si="6"/>
        <v>Aceptable</v>
      </c>
      <c r="Q224" s="6"/>
      <c r="R224" s="6"/>
      <c r="S224" s="6"/>
      <c r="T224" s="6"/>
      <c r="U224" s="6"/>
      <c r="V224" s="6"/>
      <c r="W224" s="6" t="str">
        <f t="shared" si="7"/>
        <v>Critico</v>
      </c>
    </row>
    <row r="225" spans="1:23" ht="15">
      <c r="A225" s="58">
        <f>Inicial!A225</f>
        <v>0</v>
      </c>
      <c r="P225" s="6" t="str">
        <f t="shared" si="6"/>
        <v>Aceptable</v>
      </c>
      <c r="Q225" s="6"/>
      <c r="R225" s="6"/>
      <c r="S225" s="6"/>
      <c r="T225" s="6"/>
      <c r="U225" s="6"/>
      <c r="V225" s="6"/>
      <c r="W225" s="6" t="str">
        <f t="shared" si="7"/>
        <v>Critico</v>
      </c>
    </row>
    <row r="226" spans="1:23" ht="15">
      <c r="A226" s="58">
        <f>Inicial!A226</f>
        <v>0</v>
      </c>
      <c r="P226" s="6" t="str">
        <f t="shared" si="6"/>
        <v>Aceptable</v>
      </c>
      <c r="Q226" s="6"/>
      <c r="R226" s="6"/>
      <c r="S226" s="6"/>
      <c r="T226" s="6"/>
      <c r="U226" s="6"/>
      <c r="V226" s="6"/>
      <c r="W226" s="6" t="str">
        <f t="shared" si="7"/>
        <v>Critico</v>
      </c>
    </row>
    <row r="227" spans="1:23" ht="15">
      <c r="A227" s="58">
        <f>Inicial!A227</f>
        <v>0</v>
      </c>
      <c r="P227" s="6" t="str">
        <f t="shared" si="6"/>
        <v>Aceptable</v>
      </c>
      <c r="Q227" s="6"/>
      <c r="R227" s="6"/>
      <c r="S227" s="6"/>
      <c r="T227" s="6"/>
      <c r="U227" s="6"/>
      <c r="V227" s="6"/>
      <c r="W227" s="6" t="str">
        <f t="shared" si="7"/>
        <v>Critico</v>
      </c>
    </row>
    <row r="228" spans="1:23" ht="15">
      <c r="A228" s="58">
        <f>Inicial!A228</f>
        <v>0</v>
      </c>
      <c r="P228" s="6" t="str">
        <f t="shared" si="6"/>
        <v>Aceptable</v>
      </c>
      <c r="Q228" s="6"/>
      <c r="R228" s="6"/>
      <c r="S228" s="6"/>
      <c r="T228" s="6"/>
      <c r="U228" s="6"/>
      <c r="V228" s="6"/>
      <c r="W228" s="6" t="str">
        <f t="shared" si="7"/>
        <v>Critico</v>
      </c>
    </row>
    <row r="229" spans="1:23" ht="15">
      <c r="A229" s="58">
        <f>Inicial!A229</f>
        <v>0</v>
      </c>
      <c r="P229" s="6" t="str">
        <f t="shared" si="6"/>
        <v>Aceptable</v>
      </c>
      <c r="Q229" s="6"/>
      <c r="R229" s="6"/>
      <c r="S229" s="6"/>
      <c r="T229" s="6"/>
      <c r="U229" s="6"/>
      <c r="V229" s="6"/>
      <c r="W229" s="6" t="str">
        <f t="shared" si="7"/>
        <v>Critico</v>
      </c>
    </row>
    <row r="230" spans="1:23" ht="15">
      <c r="A230" s="58">
        <f>Inicial!A230</f>
        <v>0</v>
      </c>
      <c r="P230" s="6" t="str">
        <f t="shared" si="6"/>
        <v>Aceptable</v>
      </c>
      <c r="Q230" s="6"/>
      <c r="R230" s="6"/>
      <c r="S230" s="6"/>
      <c r="T230" s="6"/>
      <c r="U230" s="6"/>
      <c r="V230" s="6"/>
      <c r="W230" s="6" t="str">
        <f t="shared" si="7"/>
        <v>Critico</v>
      </c>
    </row>
    <row r="231" spans="1:23" ht="15">
      <c r="A231" s="58">
        <f>Inicial!A231</f>
        <v>0</v>
      </c>
      <c r="P231" s="6" t="str">
        <f t="shared" si="6"/>
        <v>Aceptable</v>
      </c>
      <c r="Q231" s="6"/>
      <c r="R231" s="6"/>
      <c r="S231" s="6"/>
      <c r="T231" s="6"/>
      <c r="U231" s="6"/>
      <c r="V231" s="6"/>
      <c r="W231" s="6" t="str">
        <f t="shared" si="7"/>
        <v>Critico</v>
      </c>
    </row>
    <row r="232" spans="1:23" ht="15">
      <c r="A232" s="58">
        <f>Inicial!A232</f>
        <v>0</v>
      </c>
      <c r="P232" s="6" t="str">
        <f t="shared" si="6"/>
        <v>Aceptable</v>
      </c>
      <c r="Q232" s="6"/>
      <c r="R232" s="6"/>
      <c r="S232" s="6"/>
      <c r="T232" s="6"/>
      <c r="U232" s="6"/>
      <c r="V232" s="6"/>
      <c r="W232" s="6" t="str">
        <f t="shared" si="7"/>
        <v>Critico</v>
      </c>
    </row>
    <row r="233" spans="1:23" ht="15">
      <c r="A233" s="58">
        <f>Inicial!A233</f>
        <v>0</v>
      </c>
      <c r="P233" s="6" t="str">
        <f t="shared" si="6"/>
        <v>Aceptable</v>
      </c>
      <c r="Q233" s="6"/>
      <c r="R233" s="6"/>
      <c r="S233" s="6"/>
      <c r="T233" s="6"/>
      <c r="U233" s="6"/>
      <c r="V233" s="6"/>
      <c r="W233" s="6" t="str">
        <f t="shared" si="7"/>
        <v>Critico</v>
      </c>
    </row>
    <row r="234" spans="1:23" ht="15">
      <c r="A234" s="58">
        <f>Inicial!A234</f>
        <v>0</v>
      </c>
      <c r="P234" s="6" t="str">
        <f t="shared" si="6"/>
        <v>Aceptable</v>
      </c>
      <c r="Q234" s="6"/>
      <c r="R234" s="6"/>
      <c r="S234" s="6"/>
      <c r="T234" s="6"/>
      <c r="U234" s="6"/>
      <c r="V234" s="6"/>
      <c r="W234" s="6" t="str">
        <f t="shared" si="7"/>
        <v>Critico</v>
      </c>
    </row>
    <row r="235" spans="1:23" ht="15">
      <c r="A235" s="58">
        <f>Inicial!A235</f>
        <v>0</v>
      </c>
      <c r="P235" s="6" t="str">
        <f t="shared" si="6"/>
        <v>Aceptable</v>
      </c>
      <c r="Q235" s="6"/>
      <c r="R235" s="6"/>
      <c r="S235" s="6"/>
      <c r="T235" s="6"/>
      <c r="U235" s="6"/>
      <c r="V235" s="6"/>
      <c r="W235" s="6" t="str">
        <f t="shared" si="7"/>
        <v>Critico</v>
      </c>
    </row>
    <row r="236" spans="1:23" ht="15">
      <c r="A236" s="58">
        <f>Inicial!A236</f>
        <v>0</v>
      </c>
      <c r="P236" s="6" t="str">
        <f t="shared" si="6"/>
        <v>Aceptable</v>
      </c>
      <c r="Q236" s="6"/>
      <c r="R236" s="6"/>
      <c r="S236" s="6"/>
      <c r="T236" s="6"/>
      <c r="U236" s="6"/>
      <c r="V236" s="6"/>
      <c r="W236" s="6" t="str">
        <f t="shared" si="7"/>
        <v>Critico</v>
      </c>
    </row>
    <row r="237" spans="1:23" ht="15">
      <c r="A237" s="58">
        <f>Inicial!A237</f>
        <v>0</v>
      </c>
      <c r="P237" s="6" t="str">
        <f t="shared" si="6"/>
        <v>Aceptable</v>
      </c>
      <c r="Q237" s="6"/>
      <c r="R237" s="6"/>
      <c r="S237" s="6"/>
      <c r="T237" s="6"/>
      <c r="U237" s="6"/>
      <c r="V237" s="6"/>
      <c r="W237" s="6" t="str">
        <f t="shared" si="7"/>
        <v>Critico</v>
      </c>
    </row>
    <row r="238" spans="1:23" ht="15">
      <c r="A238" s="58">
        <f>Inicial!A238</f>
        <v>0</v>
      </c>
      <c r="P238" s="6" t="str">
        <f t="shared" si="6"/>
        <v>Aceptable</v>
      </c>
      <c r="Q238" s="6"/>
      <c r="R238" s="6"/>
      <c r="S238" s="6"/>
      <c r="T238" s="6"/>
      <c r="U238" s="6"/>
      <c r="V238" s="6"/>
      <c r="W238" s="6" t="str">
        <f t="shared" si="7"/>
        <v>Critico</v>
      </c>
    </row>
    <row r="239" spans="1:23" ht="15">
      <c r="A239" s="58">
        <f>Inicial!A239</f>
        <v>0</v>
      </c>
      <c r="P239" s="6" t="str">
        <f t="shared" si="6"/>
        <v>Aceptable</v>
      </c>
      <c r="Q239" s="6"/>
      <c r="R239" s="6"/>
      <c r="S239" s="6"/>
      <c r="T239" s="6"/>
      <c r="U239" s="6"/>
      <c r="V239" s="6"/>
      <c r="W239" s="6" t="str">
        <f t="shared" si="7"/>
        <v>Critico</v>
      </c>
    </row>
    <row r="240" spans="1:23" ht="15">
      <c r="A240" s="58">
        <f>Inicial!A240</f>
        <v>0</v>
      </c>
      <c r="P240" s="6" t="str">
        <f t="shared" si="6"/>
        <v>Aceptable</v>
      </c>
      <c r="Q240" s="6"/>
      <c r="R240" s="6"/>
      <c r="S240" s="6"/>
      <c r="T240" s="6"/>
      <c r="U240" s="6"/>
      <c r="V240" s="6"/>
      <c r="W240" s="6" t="str">
        <f t="shared" si="7"/>
        <v>Critico</v>
      </c>
    </row>
    <row r="241" spans="1:23" ht="15">
      <c r="A241" s="58">
        <f>Inicial!A241</f>
        <v>0</v>
      </c>
      <c r="P241" s="6" t="str">
        <f t="shared" si="6"/>
        <v>Aceptable</v>
      </c>
      <c r="Q241" s="6"/>
      <c r="R241" s="6"/>
      <c r="S241" s="6"/>
      <c r="T241" s="6"/>
      <c r="U241" s="6"/>
      <c r="V241" s="6"/>
      <c r="W241" s="6" t="str">
        <f t="shared" si="7"/>
        <v>Critico</v>
      </c>
    </row>
    <row r="242" spans="1:23" ht="15">
      <c r="A242" s="58">
        <f>Inicial!A242</f>
        <v>0</v>
      </c>
      <c r="P242" s="6" t="str">
        <f t="shared" si="6"/>
        <v>Aceptable</v>
      </c>
      <c r="Q242" s="6"/>
      <c r="R242" s="6"/>
      <c r="S242" s="6"/>
      <c r="T242" s="6"/>
      <c r="U242" s="6"/>
      <c r="V242" s="6"/>
      <c r="W242" s="6" t="str">
        <f t="shared" si="7"/>
        <v>Critico</v>
      </c>
    </row>
    <row r="243" spans="1:23" ht="15">
      <c r="A243" s="58">
        <f>Inicial!A243</f>
        <v>0</v>
      </c>
      <c r="P243" s="6" t="str">
        <f t="shared" si="6"/>
        <v>Aceptable</v>
      </c>
      <c r="Q243" s="6"/>
      <c r="R243" s="6"/>
      <c r="S243" s="6"/>
      <c r="T243" s="6"/>
      <c r="U243" s="6"/>
      <c r="V243" s="6"/>
      <c r="W243" s="6" t="str">
        <f t="shared" si="7"/>
        <v>Critico</v>
      </c>
    </row>
    <row r="244" spans="1:23" ht="15">
      <c r="A244" s="58">
        <f>Inicial!A244</f>
        <v>0</v>
      </c>
      <c r="P244" s="6" t="str">
        <f t="shared" si="6"/>
        <v>Aceptable</v>
      </c>
      <c r="Q244" s="6"/>
      <c r="R244" s="6"/>
      <c r="S244" s="6"/>
      <c r="T244" s="6"/>
      <c r="U244" s="6"/>
      <c r="V244" s="6"/>
      <c r="W244" s="6" t="str">
        <f t="shared" si="7"/>
        <v>Critico</v>
      </c>
    </row>
    <row r="245" spans="1:23" ht="15">
      <c r="A245" s="58">
        <f>Inicial!A245</f>
        <v>0</v>
      </c>
      <c r="P245" s="6" t="str">
        <f t="shared" si="6"/>
        <v>Aceptable</v>
      </c>
      <c r="Q245" s="6"/>
      <c r="R245" s="6"/>
      <c r="S245" s="6"/>
      <c r="T245" s="6"/>
      <c r="U245" s="6"/>
      <c r="V245" s="6"/>
      <c r="W245" s="6" t="str">
        <f t="shared" si="7"/>
        <v>Critico</v>
      </c>
    </row>
    <row r="246" spans="1:23" ht="15">
      <c r="A246" s="58">
        <f>Inicial!A246</f>
        <v>0</v>
      </c>
      <c r="P246" s="6" t="str">
        <f t="shared" si="6"/>
        <v>Aceptable</v>
      </c>
      <c r="Q246" s="6"/>
      <c r="R246" s="6"/>
      <c r="S246" s="6"/>
      <c r="T246" s="6"/>
      <c r="U246" s="6"/>
      <c r="V246" s="6"/>
      <c r="W246" s="6" t="str">
        <f t="shared" si="7"/>
        <v>Critico</v>
      </c>
    </row>
    <row r="247" spans="1:23">
      <c r="Q247" s="6"/>
      <c r="R247" s="6"/>
      <c r="S247" s="6"/>
      <c r="T247" s="6"/>
      <c r="U247" s="6"/>
      <c r="V247" s="6"/>
    </row>
    <row r="248" spans="1:23">
      <c r="Q248" s="6"/>
      <c r="R248" s="6"/>
      <c r="S248" s="6"/>
      <c r="T248" s="6"/>
      <c r="U248" s="6"/>
      <c r="V248" s="6"/>
    </row>
    <row r="249" spans="1:23">
      <c r="Q249" s="6"/>
      <c r="R249" s="6"/>
      <c r="S249" s="6"/>
      <c r="T249" s="6"/>
      <c r="U249" s="6"/>
      <c r="V249" s="6"/>
    </row>
    <row r="250" spans="1:23">
      <c r="Q250" s="6"/>
      <c r="R250" s="6"/>
      <c r="S250" s="6"/>
      <c r="T250" s="6"/>
      <c r="U250" s="6"/>
      <c r="V250" s="6"/>
    </row>
    <row r="251" spans="1:23">
      <c r="Q251" s="6"/>
      <c r="R251" s="6"/>
      <c r="S251" s="6"/>
      <c r="T251" s="6"/>
      <c r="U251" s="6"/>
      <c r="V251" s="6"/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</sheetData>
  <autoFilter ref="A2:AC2" xr:uid="{92FED02D-6D46-46C4-94A2-A8488AC0AEFD}"/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7" operator="equal">
      <formula>"NO"</formula>
    </cfRule>
    <cfRule type="cellIs" dxfId="63" priority="8" operator="equal">
      <formula>"SI"</formula>
    </cfRule>
  </conditionalFormatting>
  <conditionalFormatting sqref="P3:P1048576">
    <cfRule type="cellIs" dxfId="62" priority="9" operator="equal">
      <formula>"No Aceptable"</formula>
    </cfRule>
    <cfRule type="cellIs" dxfId="61" priority="10" operator="equal">
      <formula>"Aceptable"</formula>
    </cfRule>
  </conditionalFormatting>
  <conditionalFormatting sqref="Q3:V297">
    <cfRule type="cellIs" dxfId="60" priority="3" operator="equal">
      <formula>"SI"</formula>
    </cfRule>
    <cfRule type="cellIs" dxfId="59" priority="4" operator="equal">
      <formula>"NO"</formula>
    </cfRule>
  </conditionalFormatting>
  <conditionalFormatting sqref="W3:W246">
    <cfRule type="cellIs" dxfId="58" priority="1" operator="equal">
      <formula>"No Critico"</formula>
    </cfRule>
    <cfRule type="cellIs" dxfId="57" priority="2" operator="equal">
      <formula>"Critico"</formula>
    </cfRule>
  </conditionalFormatting>
  <dataValidations count="1">
    <dataValidation type="list" allowBlank="1" showInputMessage="1" showErrorMessage="1" sqref="J3:O111 Q3:V297" xr:uid="{9CC706B0-5768-48BE-9FF6-CA6C40CD340B}">
      <formula1>"SI,NO,N/A"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3"/>
  <sheetViews>
    <sheetView workbookViewId="0">
      <pane xSplit="4" ySplit="2" topLeftCell="S49" activePane="bottomRight" state="frozen"/>
      <selection pane="topRight" activeCell="E1" sqref="E1"/>
      <selection pane="bottomLeft" activeCell="A3" sqref="A3"/>
      <selection pane="bottomRight" activeCell="A57" sqref="A57"/>
    </sheetView>
  </sheetViews>
  <sheetFormatPr baseColWidth="10" defaultColWidth="11.5" defaultRowHeight="14.25"/>
  <cols>
    <col min="1" max="1" width="3.125" style="57" customWidth="1"/>
    <col min="2" max="3" width="11.5" style="3" customWidth="1"/>
    <col min="4" max="4" width="14.375" style="56" customWidth="1"/>
    <col min="5" max="5" width="13.5" style="3" customWidth="1"/>
    <col min="6" max="6" width="11.5" style="3"/>
    <col min="7" max="8" width="11.5" style="7"/>
    <col min="9" max="9" width="11.5" style="108" customWidth="1"/>
    <col min="10" max="10" width="11.5" style="106"/>
    <col min="11" max="11" width="20.5" style="72" customWidth="1"/>
    <col min="12" max="12" width="12.5" style="72" customWidth="1"/>
    <col min="13" max="14" width="11.5" style="72"/>
    <col min="15" max="15" width="18.625" style="72" customWidth="1"/>
    <col min="16" max="28" width="11.5" style="72"/>
    <col min="29" max="29" width="11.5" style="73"/>
    <col min="30" max="30" width="11.5" style="75"/>
    <col min="31" max="31" width="11.5" style="74"/>
    <col min="32" max="37" width="11.5" style="72"/>
    <col min="38" max="38" width="14.375" style="72" customWidth="1"/>
    <col min="39" max="39" width="11.5" style="72"/>
    <col min="40" max="40" width="13.5" style="72" customWidth="1"/>
    <col min="41" max="54" width="11.5" style="72"/>
  </cols>
  <sheetData>
    <row r="1" spans="1:54" ht="22.15" customHeight="1">
      <c r="A1" s="148" t="s">
        <v>344</v>
      </c>
      <c r="B1" s="139"/>
      <c r="C1" s="139"/>
      <c r="D1" s="139"/>
      <c r="E1" s="139"/>
      <c r="F1" s="139" t="s">
        <v>315</v>
      </c>
      <c r="G1" s="139"/>
      <c r="H1" s="139" t="s">
        <v>316</v>
      </c>
      <c r="I1" s="140"/>
      <c r="J1" s="141" t="s">
        <v>345</v>
      </c>
      <c r="K1" s="142"/>
      <c r="L1" s="142"/>
      <c r="M1" s="142"/>
      <c r="N1" s="142"/>
      <c r="O1" s="142"/>
      <c r="P1" s="142"/>
      <c r="Q1" s="141" t="s">
        <v>346</v>
      </c>
      <c r="R1" s="142"/>
      <c r="S1" s="142"/>
      <c r="T1" s="142"/>
      <c r="U1" s="142"/>
      <c r="V1" s="142"/>
      <c r="W1" s="142"/>
      <c r="X1" s="147" t="s">
        <v>347</v>
      </c>
      <c r="Y1" s="142"/>
      <c r="Z1" s="142"/>
      <c r="AA1" s="142"/>
      <c r="AB1" s="142"/>
      <c r="AC1" s="142"/>
      <c r="AD1" s="143"/>
      <c r="AE1" s="141" t="s">
        <v>348</v>
      </c>
      <c r="AF1" s="142"/>
      <c r="AG1" s="142"/>
      <c r="AH1" s="142"/>
      <c r="AI1" s="142"/>
      <c r="AJ1" s="142"/>
      <c r="AK1" s="142"/>
      <c r="AL1" s="141" t="s">
        <v>349</v>
      </c>
      <c r="AM1" s="142"/>
      <c r="AN1" s="142"/>
      <c r="AO1" s="142"/>
      <c r="AP1" s="143"/>
      <c r="AQ1" s="141" t="s">
        <v>350</v>
      </c>
      <c r="AR1" s="142"/>
      <c r="AS1" s="142"/>
      <c r="AT1" s="142"/>
      <c r="AU1" s="142"/>
      <c r="AV1" s="143"/>
      <c r="AW1" s="144" t="s">
        <v>351</v>
      </c>
      <c r="AX1" s="145"/>
      <c r="AY1" s="145"/>
      <c r="AZ1" s="145"/>
      <c r="BA1" s="145"/>
      <c r="BB1" s="146"/>
    </row>
    <row r="2" spans="1:54" ht="88.15" customHeight="1">
      <c r="A2" s="54" t="s">
        <v>35</v>
      </c>
      <c r="B2" s="9" t="s">
        <v>36</v>
      </c>
      <c r="C2" s="9" t="s">
        <v>297</v>
      </c>
      <c r="D2" s="55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55" t="s">
        <v>323</v>
      </c>
      <c r="J2" s="110" t="s">
        <v>352</v>
      </c>
      <c r="K2" s="111" t="s">
        <v>353</v>
      </c>
      <c r="L2" s="111" t="s">
        <v>354</v>
      </c>
      <c r="M2" s="111" t="s">
        <v>355</v>
      </c>
      <c r="N2" s="111" t="s">
        <v>356</v>
      </c>
      <c r="O2" s="111" t="s">
        <v>357</v>
      </c>
      <c r="P2" s="112" t="s">
        <v>358</v>
      </c>
      <c r="Q2" s="110" t="s">
        <v>359</v>
      </c>
      <c r="R2" s="113" t="s">
        <v>360</v>
      </c>
      <c r="S2" s="113" t="s">
        <v>361</v>
      </c>
      <c r="T2" s="113" t="s">
        <v>362</v>
      </c>
      <c r="U2" s="113" t="s">
        <v>363</v>
      </c>
      <c r="V2" s="113" t="s">
        <v>364</v>
      </c>
      <c r="W2" s="114" t="s">
        <v>365</v>
      </c>
      <c r="X2" s="110" t="s">
        <v>359</v>
      </c>
      <c r="Y2" s="111" t="s">
        <v>366</v>
      </c>
      <c r="Z2" s="111" t="s">
        <v>367</v>
      </c>
      <c r="AA2" s="111" t="s">
        <v>368</v>
      </c>
      <c r="AB2" s="111" t="s">
        <v>369</v>
      </c>
      <c r="AC2" s="115" t="s">
        <v>370</v>
      </c>
      <c r="AD2" s="116" t="s">
        <v>330</v>
      </c>
      <c r="AE2" s="111" t="s">
        <v>371</v>
      </c>
      <c r="AF2" s="111" t="s">
        <v>372</v>
      </c>
      <c r="AG2" s="111" t="s">
        <v>373</v>
      </c>
      <c r="AH2" s="111" t="s">
        <v>374</v>
      </c>
      <c r="AI2" s="111" t="s">
        <v>375</v>
      </c>
      <c r="AJ2" s="111" t="s">
        <v>376</v>
      </c>
      <c r="AK2" s="111" t="s">
        <v>377</v>
      </c>
      <c r="AL2" s="111" t="s">
        <v>378</v>
      </c>
      <c r="AM2" s="111" t="s">
        <v>379</v>
      </c>
      <c r="AN2" s="111" t="s">
        <v>380</v>
      </c>
      <c r="AO2" s="111" t="s">
        <v>381</v>
      </c>
      <c r="AP2" s="111" t="s">
        <v>382</v>
      </c>
      <c r="AQ2" s="111" t="s">
        <v>383</v>
      </c>
      <c r="AR2" s="111" t="s">
        <v>384</v>
      </c>
      <c r="AS2" s="111" t="s">
        <v>385</v>
      </c>
      <c r="AT2" s="111" t="s">
        <v>386</v>
      </c>
      <c r="AU2" s="111" t="s">
        <v>387</v>
      </c>
      <c r="AV2" s="111" t="s">
        <v>337</v>
      </c>
      <c r="AW2" s="111" t="s">
        <v>338</v>
      </c>
      <c r="AX2" s="111" t="s">
        <v>339</v>
      </c>
      <c r="AY2" s="111" t="s">
        <v>340</v>
      </c>
      <c r="AZ2" s="111" t="s">
        <v>341</v>
      </c>
      <c r="BA2" s="111" t="s">
        <v>342</v>
      </c>
      <c r="BB2" s="111" t="s">
        <v>343</v>
      </c>
    </row>
    <row r="3" spans="1:54" s="5" customFormat="1" ht="90.6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59" t="str">
        <f>Inicial!D3</f>
        <v>Colgado de aves</v>
      </c>
      <c r="E3" s="59" t="str">
        <f>IF(Inicial!K3="SI",Inicial!E3,"N/A")</f>
        <v>N/A</v>
      </c>
      <c r="F3" s="59" t="str">
        <f>IF(Inicial!K3="SI",Inicial!F3,"N/A")</f>
        <v>N/A</v>
      </c>
      <c r="G3" s="59" t="str">
        <f>IF(Inicial!K3="SI",Inicial!G3,"N/A")</f>
        <v>N/A</v>
      </c>
      <c r="H3" s="59" t="str">
        <f>IF(Inicial!K3="SI",Inicial!H3,"N/A")</f>
        <v>N/A</v>
      </c>
      <c r="I3" s="61" t="str">
        <f>IF(Inicial!K3="SI",Inicial!I3,"N/A")</f>
        <v>N/A</v>
      </c>
      <c r="J3" s="5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43" t="str">
        <f>IF(OR(J3="NO",K3="NO",L3="NO",M3="NO",N3="NO",O3="NO",P3="NO",R3="NO",S3="NO",T3="NO",U3="NO", V3="NO",W3="NO",Y3="NO",Z3="NO",AA3="NO",AB3="NO",AC3="NO"),"No aceptable","Aceptable")</f>
        <v>Aceptable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43" t="str" cm="1">
        <f t="array" ref="AV3">IF(OR(AE3:AU3="SI"),"Critico","No critico")</f>
        <v>No critico</v>
      </c>
      <c r="AW3" s="104"/>
      <c r="AX3" s="104"/>
      <c r="AY3" s="104"/>
      <c r="AZ3" s="104"/>
      <c r="BA3" s="104"/>
      <c r="BB3" s="104"/>
    </row>
    <row r="4" spans="1:54" ht="33.6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59" t="str">
        <f>Inicial!D4</f>
        <v>Revision de contenedores</v>
      </c>
      <c r="E4" s="59" t="str">
        <f>IF(Inicial!K4="SI",Inicial!E4,"N/A")</f>
        <v>N/A</v>
      </c>
      <c r="F4" s="59" t="str">
        <f>IF(Inicial!K4="SI",Inicial!F4,"N/A")</f>
        <v>N/A</v>
      </c>
      <c r="G4" s="59" t="str">
        <f>IF(Inicial!K4="SI",Inicial!G4,"N/A")</f>
        <v>N/A</v>
      </c>
      <c r="H4" s="59" t="str">
        <f>IF(Inicial!K4="SI",Inicial!H4,"N/A")</f>
        <v>N/A</v>
      </c>
      <c r="I4" s="61" t="str">
        <f>IF(Inicial!K4="SI",Inicial!I4,"N/A")</f>
        <v>N/A</v>
      </c>
      <c r="J4" s="5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43" t="str">
        <f t="shared" ref="AD4:AD65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43" t="str" cm="1">
        <f t="array" ref="AV4">IF(OR(AE4:AU4="SI"),"Critico","No critico")</f>
        <v>No critico</v>
      </c>
      <c r="AW4" s="104"/>
      <c r="AX4" s="104"/>
      <c r="AY4" s="104"/>
      <c r="AZ4" s="104"/>
      <c r="BA4" s="104"/>
      <c r="BB4" s="104"/>
    </row>
    <row r="5" spans="1:54" ht="25.5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59" t="str">
        <f>Inicial!D5</f>
        <v>Extracción de pollo mortecino</v>
      </c>
      <c r="E5" s="59" t="str">
        <f>IF(Inicial!K5="SI",Inicial!E5,"N/A")</f>
        <v>N/A</v>
      </c>
      <c r="F5" s="59" t="str">
        <f>IF(Inicial!K5="SI",Inicial!F5,"N/A")</f>
        <v>N/A</v>
      </c>
      <c r="G5" s="59" t="str">
        <f>IF(Inicial!K5="SI",Inicial!G5,"N/A")</f>
        <v>N/A</v>
      </c>
      <c r="H5" s="59" t="str">
        <f>IF(Inicial!K5="SI",Inicial!H5,"N/A")</f>
        <v>N/A</v>
      </c>
      <c r="I5" s="61" t="str">
        <f>IF(Inicial!K5="SI",Inicial!I5,"N/A")</f>
        <v>N/A</v>
      </c>
      <c r="J5" s="5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43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43" t="str" cm="1">
        <f t="array" ref="AV5">IF(OR(AE5:AU5="SI"),"Critico","No critico")</f>
        <v>No critico</v>
      </c>
      <c r="AW5" s="43"/>
      <c r="AX5" s="43"/>
      <c r="AY5" s="43"/>
      <c r="AZ5" s="43"/>
      <c r="BA5" s="43"/>
      <c r="BB5" s="43"/>
    </row>
    <row r="6" spans="1:54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59" t="str">
        <f>Inicial!D6</f>
        <v>Gruero</v>
      </c>
      <c r="E6" s="59" t="str">
        <f>IF(Inicial!K6="SI",Inicial!E6,"N/A")</f>
        <v>N/A</v>
      </c>
      <c r="F6" s="59" t="str">
        <f>IF(Inicial!K6="SI",Inicial!F6,"N/A")</f>
        <v>N/A</v>
      </c>
      <c r="G6" s="59" t="str">
        <f>IF(Inicial!K6="SI",Inicial!G6,"N/A")</f>
        <v>N/A</v>
      </c>
      <c r="H6" s="59" t="str">
        <f>IF(Inicial!K6="SI",Inicial!H6,"N/A")</f>
        <v>N/A</v>
      </c>
      <c r="I6" s="61" t="str">
        <f>IF(Inicial!K6="SI",Inicial!I6,"N/A")</f>
        <v>N/A</v>
      </c>
      <c r="J6" s="5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43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43" t="str" cm="1">
        <f t="array" ref="AV6">IF(OR(AE6:AU6="SI"),"Critico","No critico")</f>
        <v>No critico</v>
      </c>
      <c r="AW6" s="43"/>
      <c r="AX6" s="43"/>
      <c r="AY6" s="43"/>
      <c r="AZ6" s="43"/>
      <c r="BA6" s="43"/>
      <c r="BB6" s="43"/>
    </row>
    <row r="7" spans="1:54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59" t="str">
        <f>Inicial!D7</f>
        <v xml:space="preserve">Jefe de línea </v>
      </c>
      <c r="E7" s="59" t="str">
        <f>IF(Inicial!K7="SI",Inicial!E7,"N/A")</f>
        <v>N/A</v>
      </c>
      <c r="F7" s="59" t="str">
        <f>IF(Inicial!K7="SI",Inicial!F7,"N/A")</f>
        <v>N/A</v>
      </c>
      <c r="G7" s="59" t="str">
        <f>IF(Inicial!K7="SI",Inicial!G7,"N/A")</f>
        <v>N/A</v>
      </c>
      <c r="H7" s="59" t="str">
        <f>IF(Inicial!K7="SI",Inicial!H7,"N/A")</f>
        <v>N/A</v>
      </c>
      <c r="I7" s="61" t="str">
        <f>IF(Inicial!K7="SI",Inicial!I7,"N/A")</f>
        <v>N/A</v>
      </c>
      <c r="J7" s="5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43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43" t="str" cm="1">
        <f t="array" ref="AV7">IF(OR(AE7:AU7="SI"),"Critico","No critico")</f>
        <v>No critico</v>
      </c>
      <c r="AW7" s="43"/>
      <c r="AX7" s="43"/>
      <c r="AY7" s="43"/>
      <c r="AZ7" s="43"/>
      <c r="BA7" s="43"/>
      <c r="BB7" s="43"/>
    </row>
    <row r="8" spans="1:54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59" t="str">
        <f>Inicial!D8</f>
        <v>Secretario</v>
      </c>
      <c r="E8" s="59" t="str">
        <f>IF(Inicial!K8="SI",Inicial!E8,"N/A")</f>
        <v>N/A</v>
      </c>
      <c r="F8" s="59" t="str">
        <f>IF(Inicial!K8="SI",Inicial!F8,"N/A")</f>
        <v>N/A</v>
      </c>
      <c r="G8" s="59" t="str">
        <f>IF(Inicial!K8="SI",Inicial!G8,"N/A")</f>
        <v>N/A</v>
      </c>
      <c r="H8" s="59" t="str">
        <f>IF(Inicial!K8="SI",Inicial!H8,"N/A")</f>
        <v>N/A</v>
      </c>
      <c r="I8" s="61" t="str">
        <f>IF(Inicial!K8="SI",Inicial!I8,"N/A")</f>
        <v>N/A</v>
      </c>
      <c r="J8" s="5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43" t="str">
        <f t="shared" si="0"/>
        <v>Aceptable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43" t="str" cm="1">
        <f t="array" ref="AV8">IF(OR(AE8:AU8="SI"),"Critico","No critico")</f>
        <v>No critico</v>
      </c>
      <c r="AW8" s="43"/>
      <c r="AX8" s="43"/>
      <c r="AY8" s="43"/>
      <c r="AZ8" s="43"/>
      <c r="BA8" s="43"/>
      <c r="BB8" s="43"/>
    </row>
    <row r="9" spans="1:54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59" t="str">
        <f>Inicial!D9</f>
        <v>Recepcion de guia</v>
      </c>
      <c r="E9" s="59" t="str">
        <f>IF(Inicial!K9="SI",Inicial!E9,"N/A")</f>
        <v>N/A</v>
      </c>
      <c r="F9" s="59" t="str">
        <f>IF(Inicial!K9="SI",Inicial!F9,"N/A")</f>
        <v>N/A</v>
      </c>
      <c r="G9" s="59" t="str">
        <f>IF(Inicial!K9="SI",Inicial!G9,"N/A")</f>
        <v>N/A</v>
      </c>
      <c r="H9" s="59" t="str">
        <f>IF(Inicial!K9="SI",Inicial!H9,"N/A")</f>
        <v>N/A</v>
      </c>
      <c r="I9" s="61" t="str">
        <f>IF(Inicial!K9="SI",Inicial!I9,"N/A")</f>
        <v>N/A</v>
      </c>
      <c r="J9" s="5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43" t="str">
        <f t="shared" si="0"/>
        <v>Aceptable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43" t="str" cm="1">
        <f t="array" ref="AV9">IF(OR(AE9:AU9="SI"),"Critico","No critico")</f>
        <v>No critico</v>
      </c>
      <c r="AW9" s="43"/>
      <c r="AX9" s="43"/>
      <c r="AY9" s="43"/>
      <c r="AZ9" s="43"/>
      <c r="BA9" s="43"/>
      <c r="BB9" s="43"/>
    </row>
    <row r="10" spans="1:54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59" t="str">
        <f>Inicial!D10</f>
        <v>Encargado de PC</v>
      </c>
      <c r="E10" s="59" t="str">
        <f>IF(Inicial!K10="SI",Inicial!E10,"N/A")</f>
        <v>N/A</v>
      </c>
      <c r="F10" s="59" t="str">
        <f>IF(Inicial!K10="SI",Inicial!F10,"N/A")</f>
        <v>N/A</v>
      </c>
      <c r="G10" s="59" t="str">
        <f>IF(Inicial!K10="SI",Inicial!G10,"N/A")</f>
        <v>N/A</v>
      </c>
      <c r="H10" s="59" t="str">
        <f>IF(Inicial!K10="SI",Inicial!H10,"N/A")</f>
        <v>N/A</v>
      </c>
      <c r="I10" s="61" t="str">
        <f>IF(Inicial!K10="SI",Inicial!I10,"N/A")</f>
        <v>N/A</v>
      </c>
      <c r="J10" s="5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43" t="str">
        <f t="shared" si="0"/>
        <v>Aceptable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43" t="str" cm="1">
        <f t="array" ref="AV10">IF(OR(AE10:AU10="SI"),"Critico","No critico")</f>
        <v>No critico</v>
      </c>
      <c r="AW10" s="43"/>
      <c r="AX10" s="43"/>
      <c r="AY10" s="43"/>
      <c r="AZ10" s="43"/>
      <c r="BA10" s="43"/>
      <c r="BB10" s="43"/>
    </row>
    <row r="11" spans="1:54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59" t="str">
        <f>Inicial!D11</f>
        <v>Pollo Chico</v>
      </c>
      <c r="E11" s="59" t="str">
        <f>IF(Inicial!K11="SI",Inicial!E11,"N/A")</f>
        <v>N/A</v>
      </c>
      <c r="F11" s="59" t="str">
        <f>IF(Inicial!K11="SI",Inicial!F11,"N/A")</f>
        <v>N/A</v>
      </c>
      <c r="G11" s="59" t="str">
        <f>IF(Inicial!K11="SI",Inicial!G11,"N/A")</f>
        <v>N/A</v>
      </c>
      <c r="H11" s="59" t="str">
        <f>IF(Inicial!K11="SI",Inicial!H11,"N/A")</f>
        <v>N/A</v>
      </c>
      <c r="I11" s="61" t="str">
        <f>IF(Inicial!K11="SI",Inicial!I11,"N/A")</f>
        <v>N/A</v>
      </c>
      <c r="J11" s="5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43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43" t="str" cm="1">
        <f t="array" ref="AV11">IF(OR(AE11:AU11="SI"),"Critico","No critico")</f>
        <v>No critico</v>
      </c>
      <c r="AW11" s="43"/>
      <c r="AX11" s="43"/>
      <c r="AY11" s="43"/>
      <c r="AZ11" s="43"/>
      <c r="BA11" s="43"/>
      <c r="BB11" s="43"/>
    </row>
    <row r="12" spans="1:54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59" t="str">
        <f>Inicial!D12</f>
        <v>Desgollador</v>
      </c>
      <c r="E12" s="59" t="str">
        <f>IF(Inicial!K12="SI",Inicial!E12,"N/A")</f>
        <v>N/A</v>
      </c>
      <c r="F12" s="59" t="str">
        <f>IF(Inicial!K12="SI",Inicial!F12,"N/A")</f>
        <v>N/A</v>
      </c>
      <c r="G12" s="59" t="str">
        <f>IF(Inicial!K12="SI",Inicial!G12,"N/A")</f>
        <v>N/A</v>
      </c>
      <c r="H12" s="59" t="str">
        <f>IF(Inicial!K12="SI",Inicial!H12,"N/A")</f>
        <v>N/A</v>
      </c>
      <c r="I12" s="61" t="str">
        <f>IF(Inicial!K12="SI",Inicial!I12,"N/A")</f>
        <v>N/A</v>
      </c>
      <c r="J12" s="5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43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43" t="str" cm="1">
        <f t="array" ref="AV12">IF(OR(AE12:AU12="SI"),"Critico","No critico")</f>
        <v>No critico</v>
      </c>
      <c r="AW12" s="43"/>
      <c r="AX12" s="43"/>
      <c r="AY12" s="43"/>
      <c r="AZ12" s="43"/>
      <c r="BA12" s="43"/>
      <c r="BB12" s="43"/>
    </row>
    <row r="13" spans="1:54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59" t="str">
        <f>Inicial!D13</f>
        <v>Repase de pluma</v>
      </c>
      <c r="E13" s="59" t="str">
        <f>IF(Inicial!K13="SI",Inicial!E13,"N/A")</f>
        <v>N/A</v>
      </c>
      <c r="F13" s="59" t="str">
        <f>IF(Inicial!K13="SI",Inicial!F13,"N/A")</f>
        <v>N/A</v>
      </c>
      <c r="G13" s="59" t="str">
        <f>IF(Inicial!K13="SI",Inicial!G13,"N/A")</f>
        <v>N/A</v>
      </c>
      <c r="H13" s="59" t="str">
        <f>IF(Inicial!K13="SI",Inicial!H13,"N/A")</f>
        <v>N/A</v>
      </c>
      <c r="I13" s="61" t="str">
        <f>IF(Inicial!K13="SI",Inicial!I13,"N/A")</f>
        <v>N/A</v>
      </c>
      <c r="J13" s="5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43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43" t="str" cm="1">
        <f t="array" ref="AV13">IF(OR(AE13:AU13="SI"),"Critico","No critico")</f>
        <v>No critico</v>
      </c>
      <c r="AW13" s="43"/>
      <c r="AX13" s="43"/>
      <c r="AY13" s="43"/>
      <c r="AZ13" s="43"/>
      <c r="BA13" s="43"/>
      <c r="BB13" s="43"/>
    </row>
    <row r="14" spans="1:54" ht="25.5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59" t="str">
        <f>Inicial!D14</f>
        <v>Maquinista sacrificio</v>
      </c>
      <c r="E14" s="59" t="str">
        <f>IF(Inicial!K14="SI",Inicial!E14,"N/A")</f>
        <v>N/A</v>
      </c>
      <c r="F14" s="59" t="str">
        <f>IF(Inicial!K14="SI",Inicial!F14,"N/A")</f>
        <v>N/A</v>
      </c>
      <c r="G14" s="59" t="str">
        <f>IF(Inicial!K14="SI",Inicial!G14,"N/A")</f>
        <v>N/A</v>
      </c>
      <c r="H14" s="59" t="str">
        <f>IF(Inicial!K14="SI",Inicial!H14,"N/A")</f>
        <v>N/A</v>
      </c>
      <c r="I14" s="61" t="str">
        <f>IF(Inicial!K14="SI",Inicial!I14,"N/A")</f>
        <v>N/A</v>
      </c>
      <c r="J14" s="50" t="s">
        <v>65</v>
      </c>
      <c r="K14" s="50" t="s">
        <v>65</v>
      </c>
      <c r="L14" s="50" t="s">
        <v>65</v>
      </c>
      <c r="M14" s="50" t="s">
        <v>65</v>
      </c>
      <c r="N14" s="50" t="s">
        <v>65</v>
      </c>
      <c r="O14" s="50" t="s">
        <v>65</v>
      </c>
      <c r="P14" s="50" t="s">
        <v>65</v>
      </c>
      <c r="Q14" s="50" t="s">
        <v>65</v>
      </c>
      <c r="R14" s="50" t="s">
        <v>65</v>
      </c>
      <c r="S14" s="50" t="s">
        <v>65</v>
      </c>
      <c r="T14" s="50" t="s">
        <v>65</v>
      </c>
      <c r="U14" s="50" t="s">
        <v>65</v>
      </c>
      <c r="V14" s="50" t="s">
        <v>65</v>
      </c>
      <c r="W14" s="50" t="s">
        <v>65</v>
      </c>
      <c r="X14" s="50" t="s">
        <v>65</v>
      </c>
      <c r="Y14" s="50" t="s">
        <v>65</v>
      </c>
      <c r="Z14" s="50" t="s">
        <v>65</v>
      </c>
      <c r="AA14" s="50" t="s">
        <v>65</v>
      </c>
      <c r="AB14" s="50" t="s">
        <v>65</v>
      </c>
      <c r="AC14" s="50" t="s">
        <v>65</v>
      </c>
      <c r="AD14" s="43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43" t="str" cm="1">
        <f t="array" ref="AV14">IF(OR(AE14:AU14="SI"),"Critico","No critico")</f>
        <v>No critico</v>
      </c>
      <c r="AW14" s="43"/>
      <c r="AX14" s="43"/>
      <c r="AY14" s="43"/>
      <c r="AZ14" s="43"/>
      <c r="BA14" s="43"/>
      <c r="BB14" s="43"/>
    </row>
    <row r="15" spans="1:54" ht="25.5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59" t="str">
        <f>Inicial!D15</f>
        <v>Maquinista eviscerado</v>
      </c>
      <c r="E15" s="59" t="str">
        <f>IF(Inicial!K15="SI",Inicial!E15,"N/A")</f>
        <v>N/A</v>
      </c>
      <c r="F15" s="59" t="str">
        <f>IF(Inicial!K15="SI",Inicial!F15,"N/A")</f>
        <v>N/A</v>
      </c>
      <c r="G15" s="59" t="str">
        <f>IF(Inicial!K15="SI",Inicial!G15,"N/A")</f>
        <v>N/A</v>
      </c>
      <c r="H15" s="59" t="str">
        <f>IF(Inicial!K15="SI",Inicial!H15,"N/A")</f>
        <v>N/A</v>
      </c>
      <c r="I15" s="61" t="str">
        <f>IF(Inicial!K15="SI",Inicial!I15,"N/A")</f>
        <v>N/A</v>
      </c>
      <c r="J15" s="5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43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43" t="str" cm="1">
        <f t="array" ref="AV15">IF(OR(AE15:AU15="SI"),"Critico","No critico")</f>
        <v>No critico</v>
      </c>
      <c r="AW15" s="43"/>
      <c r="AX15" s="43"/>
      <c r="AY15" s="43"/>
      <c r="AZ15" s="43"/>
      <c r="BA15" s="43"/>
      <c r="BB15" s="43"/>
    </row>
    <row r="16" spans="1:54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59" t="str">
        <f>Inicial!D16</f>
        <v>Transferidor</v>
      </c>
      <c r="E16" s="59" t="str">
        <f>IF(Inicial!K16="SI",Inicial!E16,"N/A")</f>
        <v>N/A</v>
      </c>
      <c r="F16" s="59" t="str">
        <f>IF(Inicial!K16="SI",Inicial!F16,"N/A")</f>
        <v>N/A</v>
      </c>
      <c r="G16" s="59" t="str">
        <f>IF(Inicial!K16="SI",Inicial!G16,"N/A")</f>
        <v>N/A</v>
      </c>
      <c r="H16" s="59" t="str">
        <f>IF(Inicial!K16="SI",Inicial!H16,"N/A")</f>
        <v>N/A</v>
      </c>
      <c r="I16" s="61" t="str">
        <f>IF(Inicial!K16="SI",Inicial!I16,"N/A")</f>
        <v>N/A</v>
      </c>
      <c r="J16" s="5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43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43" t="str" cm="1">
        <f t="array" ref="AV16">IF(OR(AE16:AU16="SI"),"Critico","No critico")</f>
        <v>No critico</v>
      </c>
      <c r="AW16" s="43"/>
      <c r="AX16" s="43"/>
      <c r="AY16" s="43"/>
      <c r="AZ16" s="43"/>
      <c r="BA16" s="43"/>
      <c r="BB16" s="43"/>
    </row>
    <row r="17" spans="1:54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59" t="str">
        <f>Inicial!D17</f>
        <v>Expurgo Visceras</v>
      </c>
      <c r="E17" s="59" t="str">
        <f>IF(Inicial!K17="SI",Inicial!E17,"N/A")</f>
        <v>N/A</v>
      </c>
      <c r="F17" s="59" t="str">
        <f>IF(Inicial!K17="SI",Inicial!F17,"N/A")</f>
        <v>N/A</v>
      </c>
      <c r="G17" s="59" t="str">
        <f>IF(Inicial!K17="SI",Inicial!G17,"N/A")</f>
        <v>N/A</v>
      </c>
      <c r="H17" s="59" t="str">
        <f>IF(Inicial!K17="SI",Inicial!H17,"N/A")</f>
        <v>N/A</v>
      </c>
      <c r="I17" s="61" t="str">
        <f>IF(Inicial!K17="SI",Inicial!I17,"N/A")</f>
        <v>N/A</v>
      </c>
      <c r="J17" s="5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43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43" t="str" cm="1">
        <f t="array" ref="AV17">IF(OR(AE17:AU17="SI"),"Critico","No critico")</f>
        <v>No critico</v>
      </c>
      <c r="AW17" s="43"/>
      <c r="AX17" s="43"/>
      <c r="AY17" s="43"/>
      <c r="AZ17" s="43"/>
      <c r="BA17" s="43"/>
      <c r="BB17" s="43"/>
    </row>
    <row r="18" spans="1:54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59" t="str">
        <f>Inicial!D18</f>
        <v>Repaso de contre</v>
      </c>
      <c r="E18" s="59" t="str">
        <f>IF(Inicial!K18="SI",Inicial!E18,"N/A")</f>
        <v>N/A</v>
      </c>
      <c r="F18" s="59" t="str">
        <f>IF(Inicial!K18="SI",Inicial!F18,"N/A")</f>
        <v>N/A</v>
      </c>
      <c r="G18" s="59" t="str">
        <f>IF(Inicial!K18="SI",Inicial!G18,"N/A")</f>
        <v>N/A</v>
      </c>
      <c r="H18" s="59" t="str">
        <f>IF(Inicial!K18="SI",Inicial!H18,"N/A")</f>
        <v>N/A</v>
      </c>
      <c r="I18" s="61" t="str">
        <f>IF(Inicial!K18="SI",Inicial!I18,"N/A")</f>
        <v>N/A</v>
      </c>
      <c r="J18" s="5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43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43" t="str" cm="1">
        <f t="array" ref="AV18">IF(OR(AE18:AU18="SI"),"Critico","No critico")</f>
        <v>No critico</v>
      </c>
      <c r="AW18" s="43"/>
      <c r="AX18" s="43"/>
      <c r="AY18" s="43"/>
      <c r="AZ18" s="43"/>
      <c r="BA18" s="43"/>
      <c r="BB18" s="43"/>
    </row>
    <row r="19" spans="1:54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59" t="str">
        <f>Inicial!D19</f>
        <v>Panas</v>
      </c>
      <c r="E19" s="59" t="str">
        <f>IF(Inicial!K19="SI",Inicial!E19,"N/A")</f>
        <v>N/A</v>
      </c>
      <c r="F19" s="59" t="str">
        <f>IF(Inicial!K19="SI",Inicial!F19,"N/A")</f>
        <v>N/A</v>
      </c>
      <c r="G19" s="59" t="str">
        <f>IF(Inicial!K19="SI",Inicial!G19,"N/A")</f>
        <v>N/A</v>
      </c>
      <c r="H19" s="59" t="str">
        <f>IF(Inicial!K19="SI",Inicial!H19,"N/A")</f>
        <v>N/A</v>
      </c>
      <c r="I19" s="61" t="str">
        <f>IF(Inicial!K19="SI",Inicial!I19,"N/A")</f>
        <v>N/A</v>
      </c>
      <c r="J19" s="5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43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43" t="str" cm="1">
        <f t="array" ref="AV19">IF(OR(AE19:AU19="SI"),"Critico","No critico")</f>
        <v>No critico</v>
      </c>
      <c r="AW19" s="43"/>
      <c r="AX19" s="43"/>
      <c r="AY19" s="43"/>
      <c r="AZ19" s="43"/>
      <c r="BA19" s="43"/>
      <c r="BB19" s="43"/>
    </row>
    <row r="20" spans="1:54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59" t="str">
        <f>Inicial!D20</f>
        <v>Expurgo Inscision</v>
      </c>
      <c r="E20" s="59" t="str">
        <f>IF(Inicial!K20="SI",Inicial!E20,"N/A")</f>
        <v>N/A</v>
      </c>
      <c r="F20" s="59" t="str">
        <f>IF(Inicial!K20="SI",Inicial!F20,"N/A")</f>
        <v>N/A</v>
      </c>
      <c r="G20" s="59" t="str">
        <f>IF(Inicial!K20="SI",Inicial!G20,"N/A")</f>
        <v>N/A</v>
      </c>
      <c r="H20" s="59" t="str">
        <f>IF(Inicial!K20="SI",Inicial!H20,"N/A")</f>
        <v>N/A</v>
      </c>
      <c r="I20" s="61" t="str">
        <f>IF(Inicial!K20="SI",Inicial!I20,"N/A")</f>
        <v>N/A</v>
      </c>
      <c r="J20" s="5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43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43" t="str" cm="1">
        <f t="array" ref="AV20">IF(OR(AE20:AU20="SI"),"Critico","No critico")</f>
        <v>No critico</v>
      </c>
      <c r="AW20" s="43"/>
      <c r="AX20" s="43"/>
      <c r="AY20" s="43"/>
      <c r="AZ20" s="43"/>
      <c r="BA20" s="43"/>
      <c r="BB20" s="43"/>
    </row>
    <row r="21" spans="1:54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59" t="str">
        <f>Inicial!D21</f>
        <v>Lavado/ Aspirado</v>
      </c>
      <c r="E21" s="59" t="str">
        <f>IF(Inicial!K21="SI",Inicial!E21,"N/A")</f>
        <v>N/A</v>
      </c>
      <c r="F21" s="59" t="str">
        <f>IF(Inicial!K21="SI",Inicial!F21,"N/A")</f>
        <v>N/A</v>
      </c>
      <c r="G21" s="59" t="str">
        <f>IF(Inicial!K21="SI",Inicial!G21,"N/A")</f>
        <v>N/A</v>
      </c>
      <c r="H21" s="59" t="str">
        <f>IF(Inicial!K21="SI",Inicial!H21,"N/A")</f>
        <v>N/A</v>
      </c>
      <c r="I21" s="61" t="str">
        <f>IF(Inicial!K21="SI",Inicial!I21,"N/A")</f>
        <v>N/A</v>
      </c>
      <c r="J21" s="5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43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43" t="str" cm="1">
        <f t="array" ref="AV21">IF(OR(AE21:AU21="SI"),"Critico","No critico")</f>
        <v>No critico</v>
      </c>
      <c r="AW21" s="43"/>
      <c r="AX21" s="43"/>
      <c r="AY21" s="43"/>
      <c r="AZ21" s="43"/>
      <c r="BA21" s="43"/>
      <c r="BB21" s="43"/>
    </row>
    <row r="22" spans="1:54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59" t="str">
        <f>Inicial!D22</f>
        <v>Repase de visceras</v>
      </c>
      <c r="E22" s="59" t="str">
        <f>IF(Inicial!K22="SI",Inicial!E22,"N/A")</f>
        <v>N/A</v>
      </c>
      <c r="F22" s="59" t="str">
        <f>IF(Inicial!K22="SI",Inicial!F22,"N/A")</f>
        <v>N/A</v>
      </c>
      <c r="G22" s="59" t="str">
        <f>IF(Inicial!K22="SI",Inicial!G22,"N/A")</f>
        <v>N/A</v>
      </c>
      <c r="H22" s="59" t="str">
        <f>IF(Inicial!K22="SI",Inicial!H22,"N/A")</f>
        <v>N/A</v>
      </c>
      <c r="I22" s="61" t="str">
        <f>IF(Inicial!K22="SI",Inicial!I22,"N/A")</f>
        <v>N/A</v>
      </c>
      <c r="J22" s="5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43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43" t="str" cm="1">
        <f t="array" ref="AV22">IF(OR(AE22:AU22="SI"),"Critico","No critico")</f>
        <v>No critico</v>
      </c>
      <c r="AW22" s="43"/>
      <c r="AX22" s="43"/>
      <c r="AY22" s="43"/>
      <c r="AZ22" s="43"/>
      <c r="BA22" s="43"/>
      <c r="BB22" s="43"/>
    </row>
    <row r="23" spans="1:54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59" t="str">
        <f>Inicial!D23</f>
        <v>Recolgado</v>
      </c>
      <c r="E23" s="59" t="str">
        <f>IF(Inicial!K23="SI",Inicial!E23,"N/A")</f>
        <v>N/A</v>
      </c>
      <c r="F23" s="59" t="str">
        <f>IF(Inicial!K23="SI",Inicial!F23,"N/A")</f>
        <v>N/A</v>
      </c>
      <c r="G23" s="59" t="str">
        <f>IF(Inicial!K23="SI",Inicial!G23,"N/A")</f>
        <v>N/A</v>
      </c>
      <c r="H23" s="59" t="str">
        <f>IF(Inicial!K23="SI",Inicial!H23,"N/A")</f>
        <v>N/A</v>
      </c>
      <c r="I23" s="61" t="str">
        <f>IF(Inicial!K23="SI",Inicial!I23,"N/A")</f>
        <v>N/A</v>
      </c>
      <c r="J23" s="5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43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43" t="str" cm="1">
        <f t="array" ref="AV23">IF(OR(AE23:AU23="SI"),"Critico","No critico")</f>
        <v>No critico</v>
      </c>
      <c r="AW23" s="43"/>
      <c r="AX23" s="43"/>
      <c r="AY23" s="43"/>
      <c r="AZ23" s="43"/>
      <c r="BA23" s="43"/>
      <c r="BB23" s="43"/>
    </row>
    <row r="24" spans="1:54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59" t="str">
        <f>Inicial!D24</f>
        <v>Expurgo de Ala</v>
      </c>
      <c r="E24" s="59" t="str">
        <f>IF(Inicial!K24="SI",Inicial!E24,"N/A")</f>
        <v>N/A</v>
      </c>
      <c r="F24" s="59" t="str">
        <f>IF(Inicial!K24="SI",Inicial!F24,"N/A")</f>
        <v>N/A</v>
      </c>
      <c r="G24" s="59" t="str">
        <f>IF(Inicial!K24="SI",Inicial!G24,"N/A")</f>
        <v>N/A</v>
      </c>
      <c r="H24" s="59" t="str">
        <f>IF(Inicial!K24="SI",Inicial!H24,"N/A")</f>
        <v>N/A</v>
      </c>
      <c r="I24" s="61" t="str">
        <f>IF(Inicial!K24="SI",Inicial!I24,"N/A")</f>
        <v>N/A</v>
      </c>
      <c r="J24" s="5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43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43" t="str" cm="1">
        <f t="array" ref="AV24">IF(OR(AE24:AU24="SI"),"Critico","No critico")</f>
        <v>No critico</v>
      </c>
      <c r="AW24" s="43"/>
      <c r="AX24" s="43"/>
      <c r="AY24" s="43"/>
      <c r="AZ24" s="43"/>
      <c r="BA24" s="43"/>
      <c r="BB24" s="43"/>
    </row>
    <row r="25" spans="1:54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59" t="str">
        <f>Inicial!D25</f>
        <v>Punto de inspeccion</v>
      </c>
      <c r="E25" s="59" t="str">
        <f>IF(Inicial!K25="SI",Inicial!E25,"N/A")</f>
        <v>N/A</v>
      </c>
      <c r="F25" s="59" t="str">
        <f>IF(Inicial!K25="SI",Inicial!F25,"N/A")</f>
        <v>N/A</v>
      </c>
      <c r="G25" s="59" t="str">
        <f>IF(Inicial!K25="SI",Inicial!G25,"N/A")</f>
        <v>N/A</v>
      </c>
      <c r="H25" s="59" t="str">
        <f>IF(Inicial!K25="SI",Inicial!H25,"N/A")</f>
        <v>N/A</v>
      </c>
      <c r="I25" s="61" t="str">
        <f>IF(Inicial!K25="SI",Inicial!I25,"N/A")</f>
        <v>N/A</v>
      </c>
      <c r="J25" s="5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43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43" t="str" cm="1">
        <f t="array" ref="AV25">IF(OR(AE25:AU25="SI"),"Critico","No critico")</f>
        <v>No critico</v>
      </c>
      <c r="AW25" s="43"/>
      <c r="AX25" s="43"/>
      <c r="AY25" s="43"/>
      <c r="AZ25" s="43"/>
      <c r="BA25" s="43"/>
      <c r="BB25" s="43"/>
    </row>
    <row r="26" spans="1:54" ht="25.5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59" t="str">
        <f>Inicial!D26</f>
        <v>Revision post lavadora</v>
      </c>
      <c r="E26" s="59" t="str">
        <f>IF(Inicial!K26="SI",Inicial!E26,"N/A")</f>
        <v>N/A</v>
      </c>
      <c r="F26" s="59" t="str">
        <f>IF(Inicial!K26="SI",Inicial!F26,"N/A")</f>
        <v>N/A</v>
      </c>
      <c r="G26" s="59" t="str">
        <f>IF(Inicial!K26="SI",Inicial!G26,"N/A")</f>
        <v>N/A</v>
      </c>
      <c r="H26" s="59" t="str">
        <f>IF(Inicial!K26="SI",Inicial!H26,"N/A")</f>
        <v>N/A</v>
      </c>
      <c r="I26" s="61" t="str">
        <f>IF(Inicial!K26="SI",Inicial!I26,"N/A")</f>
        <v>N/A</v>
      </c>
      <c r="J26" s="5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43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43" t="str" cm="1">
        <f t="array" ref="AV26">IF(OR(AE26:AU26="SI"),"Critico","No critico")</f>
        <v>No critico</v>
      </c>
      <c r="AW26" s="43"/>
      <c r="AX26" s="43"/>
      <c r="AY26" s="43"/>
      <c r="AZ26" s="43"/>
      <c r="BA26" s="43"/>
      <c r="BB26" s="43"/>
    </row>
    <row r="27" spans="1:54" ht="25.5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59" t="str">
        <f>Inicial!D27</f>
        <v>Recuperacion de peritonitis</v>
      </c>
      <c r="E27" s="59" t="str">
        <f>IF(Inicial!K27="SI",Inicial!E27,"N/A")</f>
        <v>N/A</v>
      </c>
      <c r="F27" s="59" t="str">
        <f>IF(Inicial!K27="SI",Inicial!F27,"N/A")</f>
        <v>N/A</v>
      </c>
      <c r="G27" s="59" t="str">
        <f>IF(Inicial!K27="SI",Inicial!G27,"N/A")</f>
        <v>N/A</v>
      </c>
      <c r="H27" s="59" t="str">
        <f>IF(Inicial!K27="SI",Inicial!H27,"N/A")</f>
        <v>N/A</v>
      </c>
      <c r="I27" s="61" t="str">
        <f>IF(Inicial!K27="SI",Inicial!I27,"N/A")</f>
        <v>N/A</v>
      </c>
      <c r="J27" s="5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43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43" t="str" cm="1">
        <f t="array" ref="AV27">IF(OR(AE27:AU27="SI"),"Critico","No critico")</f>
        <v>No critico</v>
      </c>
      <c r="AW27" s="43"/>
      <c r="AX27" s="43"/>
      <c r="AY27" s="43"/>
      <c r="AZ27" s="43"/>
      <c r="BA27" s="43"/>
      <c r="BB27" s="43"/>
    </row>
    <row r="28" spans="1:54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59" t="str">
        <f>Inicial!D28</f>
        <v>Decomiso</v>
      </c>
      <c r="E28" s="59" t="str">
        <f>IF(Inicial!K28="SI",Inicial!E28,"N/A")</f>
        <v>N/A</v>
      </c>
      <c r="F28" s="59" t="str">
        <f>IF(Inicial!K28="SI",Inicial!F28,"N/A")</f>
        <v>N/A</v>
      </c>
      <c r="G28" s="59" t="str">
        <f>IF(Inicial!K28="SI",Inicial!G28,"N/A")</f>
        <v>N/A</v>
      </c>
      <c r="H28" s="59" t="str">
        <f>IF(Inicial!K28="SI",Inicial!H28,"N/A")</f>
        <v>N/A</v>
      </c>
      <c r="I28" s="61" t="str">
        <f>IF(Inicial!K28="SI",Inicial!I28,"N/A")</f>
        <v>N/A</v>
      </c>
      <c r="J28" s="5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43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43" t="str" cm="1">
        <f t="array" ref="AV28">IF(OR(AE28:AU28="SI"),"Critico","No critico")</f>
        <v>No critico</v>
      </c>
      <c r="AW28" s="43"/>
      <c r="AX28" s="43"/>
      <c r="AY28" s="43"/>
      <c r="AZ28" s="43"/>
      <c r="BA28" s="43"/>
      <c r="BB28" s="43"/>
    </row>
    <row r="29" spans="1:54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59" t="str">
        <f>Inicial!D29</f>
        <v>Auroceculitis</v>
      </c>
      <c r="E29" s="59" t="str">
        <f>IF(Inicial!K29="SI",Inicial!E29,"N/A")</f>
        <v>N/A</v>
      </c>
      <c r="F29" s="59" t="str">
        <f>IF(Inicial!K29="SI",Inicial!F29,"N/A")</f>
        <v>N/A</v>
      </c>
      <c r="G29" s="59" t="str">
        <f>IF(Inicial!K29="SI",Inicial!G29,"N/A")</f>
        <v>N/A</v>
      </c>
      <c r="H29" s="59" t="str">
        <f>IF(Inicial!K29="SI",Inicial!H29,"N/A")</f>
        <v>N/A</v>
      </c>
      <c r="I29" s="61" t="str">
        <f>IF(Inicial!K29="SI",Inicial!I29,"N/A")</f>
        <v>N/A</v>
      </c>
      <c r="J29" s="5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43" t="str">
        <f t="shared" si="0"/>
        <v>Aceptable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43" t="str" cm="1">
        <f t="array" ref="AV29">IF(OR(AE29:AU29="SI"),"Critico","No critico")</f>
        <v>No critico</v>
      </c>
      <c r="AW29" s="43"/>
      <c r="AX29" s="43"/>
      <c r="AY29" s="43"/>
      <c r="AZ29" s="43"/>
      <c r="BA29" s="43"/>
      <c r="BB29" s="43"/>
    </row>
    <row r="30" spans="1:54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59" t="str">
        <f>Inicial!D30</f>
        <v xml:space="preserve">Jefe de línea </v>
      </c>
      <c r="E30" s="59" t="str">
        <f>IF(Inicial!K30="SI",Inicial!E30,"N/A")</f>
        <v>N/A</v>
      </c>
      <c r="F30" s="59" t="str">
        <f>IF(Inicial!K30="SI",Inicial!F30,"N/A")</f>
        <v>N/A</v>
      </c>
      <c r="G30" s="59" t="str">
        <f>IF(Inicial!K30="SI",Inicial!G30,"N/A")</f>
        <v>N/A</v>
      </c>
      <c r="H30" s="59" t="str">
        <f>IF(Inicial!K30="SI",Inicial!H30,"N/A")</f>
        <v>N/A</v>
      </c>
      <c r="I30" s="61" t="str">
        <f>IF(Inicial!K30="SI",Inicial!I30,"N/A")</f>
        <v>N/A</v>
      </c>
      <c r="J30" s="5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43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43" t="str" cm="1">
        <f t="array" ref="AV30">IF(OR(AE30:AU30="SI"),"Critico","No critico")</f>
        <v>No critico</v>
      </c>
      <c r="AW30" s="43"/>
      <c r="AX30" s="43"/>
      <c r="AY30" s="43"/>
      <c r="AZ30" s="43"/>
      <c r="BA30" s="43"/>
      <c r="BB30" s="43"/>
    </row>
    <row r="31" spans="1:54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59" t="str">
        <f>Inicial!D31</f>
        <v>Supervisor</v>
      </c>
      <c r="E31" s="59" t="str">
        <f>IF(Inicial!K31="SI",Inicial!E31,"N/A")</f>
        <v>N/A</v>
      </c>
      <c r="F31" s="59" t="str">
        <f>IF(Inicial!K31="SI",Inicial!F31,"N/A")</f>
        <v>N/A</v>
      </c>
      <c r="G31" s="59" t="str">
        <f>IF(Inicial!K31="SI",Inicial!G31,"N/A")</f>
        <v>N/A</v>
      </c>
      <c r="H31" s="59" t="str">
        <f>IF(Inicial!K31="SI",Inicial!H31,"N/A")</f>
        <v>N/A</v>
      </c>
      <c r="I31" s="61" t="str">
        <f>IF(Inicial!K31="SI",Inicial!I31,"N/A")</f>
        <v>N/A</v>
      </c>
      <c r="J31" s="5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43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43" t="str" cm="1">
        <f t="array" ref="AV31">IF(OR(AE31:AU31="SI"),"Critico","No critico")</f>
        <v>No critico</v>
      </c>
      <c r="AW31" s="43"/>
      <c r="AX31" s="43"/>
      <c r="AY31" s="43"/>
      <c r="AZ31" s="43"/>
      <c r="BA31" s="43"/>
      <c r="BB31" s="43"/>
    </row>
    <row r="32" spans="1:54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59" t="str">
        <f>Inicial!D32</f>
        <v>Cinta Decomiso</v>
      </c>
      <c r="E32" s="59" t="str">
        <f>IF(Inicial!K32="SI",Inicial!E32,"N/A")</f>
        <v>N/A</v>
      </c>
      <c r="F32" s="59" t="str">
        <f>IF(Inicial!K32="SI",Inicial!F32,"N/A")</f>
        <v>N/A</v>
      </c>
      <c r="G32" s="59" t="str">
        <f>IF(Inicial!K32="SI",Inicial!G32,"N/A")</f>
        <v>N/A</v>
      </c>
      <c r="H32" s="59" t="str">
        <f>IF(Inicial!K32="SI",Inicial!H32,"N/A")</f>
        <v>N/A</v>
      </c>
      <c r="I32" s="61" t="str">
        <f>IF(Inicial!K32="SI",Inicial!I32,"N/A")</f>
        <v>N/A</v>
      </c>
      <c r="J32" s="5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43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43" t="str" cm="1">
        <f t="array" ref="AV32">IF(OR(AE32:AU32="SI"),"Critico","No critico")</f>
        <v>No critico</v>
      </c>
      <c r="AW32" s="43"/>
      <c r="AX32" s="43"/>
      <c r="AY32" s="43"/>
      <c r="AZ32" s="43"/>
      <c r="BA32" s="43"/>
      <c r="BB32" s="43"/>
    </row>
    <row r="33" spans="1:54" ht="38.25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59" t="str">
        <f>Inicial!D33</f>
        <v>Embolsado Tolva/Seleccionador de Garras en Tolva</v>
      </c>
      <c r="E33" s="59" t="str">
        <f>IF(Inicial!K33="SI",Inicial!E33,"N/A")</f>
        <v>N/A</v>
      </c>
      <c r="F33" s="59" t="str">
        <f>IF(Inicial!K33="SI",Inicial!F33,"N/A")</f>
        <v>N/A</v>
      </c>
      <c r="G33" s="59" t="str">
        <f>IF(Inicial!K33="SI",Inicial!G33,"N/A")</f>
        <v>N/A</v>
      </c>
      <c r="H33" s="59" t="str">
        <f>IF(Inicial!K33="SI",Inicial!H33,"N/A")</f>
        <v>N/A</v>
      </c>
      <c r="I33" s="61" t="str">
        <f>IF(Inicial!K33="SI",Inicial!I33,"N/A")</f>
        <v>N/A</v>
      </c>
      <c r="J33" s="5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43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43" t="str" cm="1">
        <f t="array" ref="AV33">IF(OR(AE33:AU33="SI"),"Critico","No critico")</f>
        <v>No critico</v>
      </c>
      <c r="AW33" s="43"/>
      <c r="AX33" s="43"/>
      <c r="AY33" s="43"/>
      <c r="AZ33" s="43"/>
      <c r="BA33" s="43"/>
      <c r="BB33" s="43"/>
    </row>
    <row r="34" spans="1:54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59" t="str">
        <f>Inicial!D34</f>
        <v>Pesador de garras</v>
      </c>
      <c r="E34" s="59" t="str">
        <f>IF(Inicial!K34="SI",Inicial!E34,"N/A")</f>
        <v>N/A</v>
      </c>
      <c r="F34" s="59" t="str">
        <f>IF(Inicial!K34="SI",Inicial!F34,"N/A")</f>
        <v>N/A</v>
      </c>
      <c r="G34" s="59" t="str">
        <f>IF(Inicial!K34="SI",Inicial!G34,"N/A")</f>
        <v>N/A</v>
      </c>
      <c r="H34" s="59" t="str">
        <f>IF(Inicial!K34="SI",Inicial!H34,"N/A")</f>
        <v>N/A</v>
      </c>
      <c r="I34" s="61" t="str">
        <f>IF(Inicial!K34="SI",Inicial!I34,"N/A")</f>
        <v>N/A</v>
      </c>
      <c r="J34" s="5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43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43" t="str" cm="1">
        <f t="array" ref="AV34">IF(OR(AE34:AU34="SI"),"Critico","No critico")</f>
        <v>No critico</v>
      </c>
      <c r="AW34" s="43"/>
      <c r="AX34" s="43"/>
      <c r="AY34" s="43"/>
      <c r="AZ34" s="43"/>
      <c r="BA34" s="43"/>
      <c r="BB34" s="43"/>
    </row>
    <row r="35" spans="1:54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59" t="str">
        <f>Inicial!D35</f>
        <v>Repaso de callos</v>
      </c>
      <c r="E35" s="59" t="str">
        <f>IF(Inicial!K35="SI",Inicial!E35,"N/A")</f>
        <v>N/A</v>
      </c>
      <c r="F35" s="59" t="str">
        <f>IF(Inicial!K35="SI",Inicial!F35,"N/A")</f>
        <v>N/A</v>
      </c>
      <c r="G35" s="59" t="str">
        <f>IF(Inicial!K35="SI",Inicial!G35,"N/A")</f>
        <v>N/A</v>
      </c>
      <c r="H35" s="59" t="str">
        <f>IF(Inicial!K35="SI",Inicial!H35,"N/A")</f>
        <v>N/A</v>
      </c>
      <c r="I35" s="61" t="str">
        <f>IF(Inicial!K35="SI",Inicial!I35,"N/A")</f>
        <v>N/A</v>
      </c>
      <c r="J35" s="50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43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43" t="str" cm="1">
        <f t="array" ref="AV35">IF(OR(AE35:AU35="SI"),"Critico","No critico")</f>
        <v>No critico</v>
      </c>
      <c r="AW35" s="43"/>
      <c r="AX35" s="43"/>
      <c r="AY35" s="43"/>
      <c r="AZ35" s="43"/>
      <c r="BA35" s="43"/>
      <c r="BB35" s="43"/>
    </row>
    <row r="36" spans="1:54" ht="25.5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59" t="str">
        <f>Inicial!D36</f>
        <v>Traslado de Garra Larga</v>
      </c>
      <c r="E36" s="59" t="str">
        <f>IF(Inicial!K36="SI",Inicial!E36,"N/A")</f>
        <v>N/A</v>
      </c>
      <c r="F36" s="59" t="str">
        <f>IF(Inicial!K36="SI",Inicial!F36,"N/A")</f>
        <v>N/A</v>
      </c>
      <c r="G36" s="59" t="str">
        <f>IF(Inicial!K36="SI",Inicial!G36,"N/A")</f>
        <v>N/A</v>
      </c>
      <c r="H36" s="59" t="str">
        <f>IF(Inicial!K36="SI",Inicial!H36,"N/A")</f>
        <v>N/A</v>
      </c>
      <c r="I36" s="61" t="str">
        <f>IF(Inicial!K36="SI",Inicial!I36,"N/A")</f>
        <v>N/A</v>
      </c>
      <c r="J36" s="5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43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43" t="str" cm="1">
        <f t="array" ref="AV36">IF(OR(AE36:AU36="SI"),"Critico","No critico")</f>
        <v>No critico</v>
      </c>
      <c r="AW36" s="43"/>
      <c r="AX36" s="43"/>
      <c r="AY36" s="43"/>
      <c r="AZ36" s="43"/>
      <c r="BA36" s="43"/>
      <c r="BB36" s="43"/>
    </row>
    <row r="37" spans="1:54" ht="25.5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59" t="str">
        <f>Inicial!D37</f>
        <v>Seleccionador de garra</v>
      </c>
      <c r="E37" s="59" t="str">
        <f>IF(Inicial!K37="SI",Inicial!E37,"N/A")</f>
        <v>N/A</v>
      </c>
      <c r="F37" s="59" t="str">
        <f>IF(Inicial!K37="SI",Inicial!F37,"N/A")</f>
        <v>N/A</v>
      </c>
      <c r="G37" s="59" t="str">
        <f>IF(Inicial!K37="SI",Inicial!G37,"N/A")</f>
        <v>N/A</v>
      </c>
      <c r="H37" s="59" t="str">
        <f>IF(Inicial!K37="SI",Inicial!H37,"N/A")</f>
        <v>N/A</v>
      </c>
      <c r="I37" s="61" t="str">
        <f>IF(Inicial!K37="SI",Inicial!I37,"N/A")</f>
        <v>N/A</v>
      </c>
      <c r="J37" s="50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43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43" t="str" cm="1">
        <f t="array" ref="AV37">IF(OR(AE37:AU37="SI"),"Critico","No critico")</f>
        <v>No critico</v>
      </c>
      <c r="AW37" s="43"/>
      <c r="AX37" s="43"/>
      <c r="AY37" s="43"/>
      <c r="AZ37" s="43"/>
      <c r="BA37" s="43"/>
      <c r="BB37" s="43"/>
    </row>
    <row r="38" spans="1:54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59" t="str">
        <f>Inicial!D38</f>
        <v>Embalando garras</v>
      </c>
      <c r="E38" s="59" t="str">
        <f>IF(Inicial!K38="SI",Inicial!E38,"N/A")</f>
        <v>N/A</v>
      </c>
      <c r="F38" s="59" t="str">
        <f>IF(Inicial!K38="SI",Inicial!F38,"N/A")</f>
        <v>N/A</v>
      </c>
      <c r="G38" s="59" t="str">
        <f>IF(Inicial!K38="SI",Inicial!G38,"N/A")</f>
        <v>N/A</v>
      </c>
      <c r="H38" s="59" t="str">
        <f>IF(Inicial!K38="SI",Inicial!H38,"N/A")</f>
        <v>N/A</v>
      </c>
      <c r="I38" s="61" t="str">
        <f>IF(Inicial!K38="SI",Inicial!I38,"N/A")</f>
        <v>N/A</v>
      </c>
      <c r="J38" s="5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43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43" t="str" cm="1">
        <f t="array" ref="AV38">IF(OR(AE38:AU38="SI"),"Critico","No critico")</f>
        <v>No critico</v>
      </c>
      <c r="AW38" s="43"/>
      <c r="AX38" s="43"/>
      <c r="AY38" s="43"/>
      <c r="AZ38" s="43"/>
      <c r="BA38" s="43"/>
      <c r="BB38" s="43"/>
    </row>
    <row r="39" spans="1:54" ht="25.5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59" t="str">
        <f>Inicial!D39</f>
        <v>Cortadora de garra larga</v>
      </c>
      <c r="E39" s="59" t="str">
        <f>IF(Inicial!K39="SI",Inicial!E39,"N/A")</f>
        <v>N/A</v>
      </c>
      <c r="F39" s="59" t="str">
        <f>IF(Inicial!K39="SI",Inicial!F39,"N/A")</f>
        <v>N/A</v>
      </c>
      <c r="G39" s="59" t="str">
        <f>IF(Inicial!K39="SI",Inicial!G39,"N/A")</f>
        <v>N/A</v>
      </c>
      <c r="H39" s="59" t="str">
        <f>IF(Inicial!K39="SI",Inicial!H39,"N/A")</f>
        <v>N/A</v>
      </c>
      <c r="I39" s="61" t="str">
        <f>IF(Inicial!K39="SI",Inicial!I39,"N/A")</f>
        <v>N/A</v>
      </c>
      <c r="J39" s="5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43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43" t="str" cm="1">
        <f t="array" ref="AV39">IF(OR(AE39:AU39="SI"),"Critico","No critico")</f>
        <v>No critico</v>
      </c>
      <c r="AW39" s="43"/>
      <c r="AX39" s="43"/>
      <c r="AY39" s="43"/>
      <c r="AZ39" s="43"/>
      <c r="BA39" s="43"/>
      <c r="BB39" s="43"/>
    </row>
    <row r="40" spans="1:54" ht="25.5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59" t="str">
        <f>Inicial!D40</f>
        <v>Etiquetado en mesa de embalaje</v>
      </c>
      <c r="E40" s="59" t="str">
        <f>IF(Inicial!K40="SI",Inicial!E40,"N/A")</f>
        <v>N/A</v>
      </c>
      <c r="F40" s="59" t="str">
        <f>IF(Inicial!K40="SI",Inicial!F40,"N/A")</f>
        <v>N/A</v>
      </c>
      <c r="G40" s="59" t="str">
        <f>IF(Inicial!K40="SI",Inicial!G40,"N/A")</f>
        <v>N/A</v>
      </c>
      <c r="H40" s="59" t="str">
        <f>IF(Inicial!K40="SI",Inicial!H40,"N/A")</f>
        <v>N/A</v>
      </c>
      <c r="I40" s="61" t="str">
        <f>IF(Inicial!K40="SI",Inicial!I40,"N/A")</f>
        <v>N/A</v>
      </c>
      <c r="J40" s="5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43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43" t="str" cm="1">
        <f t="array" ref="AV40">IF(OR(AE40:AU40="SI"),"Critico","No critico")</f>
        <v>No critico</v>
      </c>
      <c r="AW40" s="43"/>
      <c r="AX40" s="43"/>
      <c r="AY40" s="43"/>
      <c r="AZ40" s="43"/>
      <c r="BA40" s="43"/>
      <c r="BB40" s="43"/>
    </row>
    <row r="41" spans="1:54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59" t="str">
        <f>Inicial!D41</f>
        <v>Nudillos</v>
      </c>
      <c r="E41" s="59" t="str">
        <f>IF(Inicial!K41="SI",Inicial!E41,"N/A")</f>
        <v>N/A</v>
      </c>
      <c r="F41" s="59" t="str">
        <f>IF(Inicial!K41="SI",Inicial!F41,"N/A")</f>
        <v>N/A</v>
      </c>
      <c r="G41" s="59" t="str">
        <f>IF(Inicial!K41="SI",Inicial!G41,"N/A")</f>
        <v>N/A</v>
      </c>
      <c r="H41" s="59" t="str">
        <f>IF(Inicial!K41="SI",Inicial!H41,"N/A")</f>
        <v>N/A</v>
      </c>
      <c r="I41" s="61" t="str">
        <f>IF(Inicial!K41="SI",Inicial!I41,"N/A")</f>
        <v>N/A</v>
      </c>
      <c r="J41" s="50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43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43" t="str" cm="1">
        <f t="array" ref="AV41">IF(OR(AE41:AU41="SI"),"Critico","No critico")</f>
        <v>No critico</v>
      </c>
      <c r="AW41" s="43"/>
      <c r="AX41" s="43"/>
      <c r="AY41" s="43"/>
      <c r="AZ41" s="43"/>
      <c r="BA41" s="43"/>
      <c r="BB41" s="43"/>
    </row>
    <row r="42" spans="1:54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59" t="str">
        <f>Inicial!D42</f>
        <v>Pesador de nudillos</v>
      </c>
      <c r="E42" s="59" t="str">
        <f>IF(Inicial!K42="SI",Inicial!E42,"N/A")</f>
        <v>N/A</v>
      </c>
      <c r="F42" s="59" t="str">
        <f>IF(Inicial!K42="SI",Inicial!F42,"N/A")</f>
        <v>N/A</v>
      </c>
      <c r="G42" s="59" t="str">
        <f>IF(Inicial!K42="SI",Inicial!G42,"N/A")</f>
        <v>N/A</v>
      </c>
      <c r="H42" s="59" t="str">
        <f>IF(Inicial!K42="SI",Inicial!H42,"N/A")</f>
        <v>N/A</v>
      </c>
      <c r="I42" s="61" t="str">
        <f>IF(Inicial!K42="SI",Inicial!I42,"N/A")</f>
        <v>N/A</v>
      </c>
      <c r="J42" s="5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43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43" t="str" cm="1">
        <f t="array" ref="AV42">IF(OR(AE42:AU42="SI"),"Critico","No critico")</f>
        <v>No critico</v>
      </c>
      <c r="AW42" s="43"/>
      <c r="AX42" s="43"/>
      <c r="AY42" s="43"/>
      <c r="AZ42" s="43"/>
      <c r="BA42" s="43"/>
      <c r="BB42" s="43"/>
    </row>
    <row r="43" spans="1:54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59" t="str">
        <f>Inicial!D43</f>
        <v>Maquinista Garras</v>
      </c>
      <c r="E43" s="59" t="str">
        <f>IF(Inicial!K43="SI",Inicial!E43,"N/A")</f>
        <v>N/A</v>
      </c>
      <c r="F43" s="59" t="str">
        <f>IF(Inicial!K43="SI",Inicial!F43,"N/A")</f>
        <v>N/A</v>
      </c>
      <c r="G43" s="59" t="str">
        <f>IF(Inicial!K43="SI",Inicial!G43,"N/A")</f>
        <v>N/A</v>
      </c>
      <c r="H43" s="59" t="str">
        <f>IF(Inicial!K43="SI",Inicial!H43,"N/A")</f>
        <v>N/A</v>
      </c>
      <c r="I43" s="61" t="str">
        <f>IF(Inicial!K43="SI",Inicial!I43,"N/A")</f>
        <v>N/A</v>
      </c>
      <c r="J43" s="5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43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43" t="str" cm="1">
        <f t="array" ref="AV43">IF(OR(AE43:AU43="SI"),"Critico","No critico")</f>
        <v>No critico</v>
      </c>
      <c r="AW43" s="43"/>
      <c r="AX43" s="43"/>
      <c r="AY43" s="43"/>
      <c r="AZ43" s="43"/>
      <c r="BA43" s="43"/>
      <c r="BB43" s="43"/>
    </row>
    <row r="44" spans="1:54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59" t="str">
        <f>Inicial!D44</f>
        <v xml:space="preserve">Jefe de Línea </v>
      </c>
      <c r="E44" s="59" t="str">
        <f>IF(Inicial!K44="SI",Inicial!E44,"N/A")</f>
        <v>N/A</v>
      </c>
      <c r="F44" s="59" t="str">
        <f>IF(Inicial!K44="SI",Inicial!F44,"N/A")</f>
        <v>N/A</v>
      </c>
      <c r="G44" s="59" t="str">
        <f>IF(Inicial!K44="SI",Inicial!G44,"N/A")</f>
        <v>N/A</v>
      </c>
      <c r="H44" s="59" t="str">
        <f>IF(Inicial!K44="SI",Inicial!H44,"N/A")</f>
        <v>N/A</v>
      </c>
      <c r="I44" s="61" t="str">
        <f>IF(Inicial!K44="SI",Inicial!I44,"N/A")</f>
        <v>N/A</v>
      </c>
      <c r="J44" s="50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43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43" t="str" cm="1">
        <f t="array" ref="AV44">IF(OR(AE44:AU44="SI"),"Critico","No critico")</f>
        <v>No critico</v>
      </c>
      <c r="AW44" s="43"/>
      <c r="AX44" s="43"/>
      <c r="AY44" s="43"/>
      <c r="AZ44" s="43"/>
      <c r="BA44" s="43"/>
      <c r="BB44" s="43"/>
    </row>
    <row r="45" spans="1:54" ht="25.5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59" t="str">
        <f>Inicial!D45</f>
        <v>Colgador aves frias</v>
      </c>
      <c r="E45" s="59" t="str">
        <f>IF(Inicial!K45="SI",Inicial!E45,"N/A")</f>
        <v>N/A</v>
      </c>
      <c r="F45" s="59" t="str">
        <f>IF(Inicial!K45="SI",Inicial!F45,"N/A")</f>
        <v>N/A</v>
      </c>
      <c r="G45" s="59" t="str">
        <f>IF(Inicial!K45="SI",Inicial!G45,"N/A")</f>
        <v>N/A</v>
      </c>
      <c r="H45" s="59" t="str">
        <f>IF(Inicial!K45="SI",Inicial!H45,"N/A")</f>
        <v>N/A</v>
      </c>
      <c r="I45" s="61" t="str">
        <f>IF(Inicial!K45="SI",Inicial!I45,"N/A")</f>
        <v>N/A</v>
      </c>
      <c r="J45" s="5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43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43" t="str" cm="1">
        <f t="array" ref="AV45">IF(OR(AE45:AU45="SI"),"Critico","No critico")</f>
        <v>No critico</v>
      </c>
      <c r="AW45" s="43"/>
      <c r="AX45" s="43"/>
      <c r="AY45" s="43"/>
      <c r="AZ45" s="43"/>
      <c r="BA45" s="43"/>
      <c r="BB45" s="43"/>
    </row>
    <row r="46" spans="1:54" ht="25.5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59" t="str">
        <f>Inicial!D46</f>
        <v>Embolsador de pana</v>
      </c>
      <c r="E46" s="59" t="str">
        <f>IF(Inicial!K46="SI",Inicial!E46,"N/A")</f>
        <v>N/A</v>
      </c>
      <c r="F46" s="59" t="str">
        <f>IF(Inicial!K46="SI",Inicial!F46,"N/A")</f>
        <v>N/A</v>
      </c>
      <c r="G46" s="59" t="str">
        <f>IF(Inicial!K46="SI",Inicial!G46,"N/A")</f>
        <v>N/A</v>
      </c>
      <c r="H46" s="59" t="str">
        <f>IF(Inicial!K46="SI",Inicial!H46,"N/A")</f>
        <v>N/A</v>
      </c>
      <c r="I46" s="61" t="str">
        <f>IF(Inicial!K46="SI",Inicial!I46,"N/A")</f>
        <v>N/A</v>
      </c>
      <c r="J46" s="50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43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43" t="str" cm="1">
        <f t="array" ref="AV46">IF(OR(AE46:AU46="SI"),"Critico","No critico")</f>
        <v>No critico</v>
      </c>
      <c r="AW46" s="43"/>
      <c r="AX46" s="43"/>
      <c r="AY46" s="43"/>
      <c r="AZ46" s="43"/>
      <c r="BA46" s="43"/>
      <c r="BB46" s="43"/>
    </row>
    <row r="47" spans="1:54" ht="25.5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59" t="str">
        <f>Inicial!D47</f>
        <v>Embalador de producto</v>
      </c>
      <c r="E47" s="59" t="str">
        <f>IF(Inicial!K47="SI",Inicial!E47,"N/A")</f>
        <v>N/A</v>
      </c>
      <c r="F47" s="59" t="str">
        <f>IF(Inicial!K47="SI",Inicial!F47,"N/A")</f>
        <v>N/A</v>
      </c>
      <c r="G47" s="59" t="str">
        <f>IF(Inicial!K47="SI",Inicial!G47,"N/A")</f>
        <v>N/A</v>
      </c>
      <c r="H47" s="59" t="str">
        <f>IF(Inicial!K47="SI",Inicial!H47,"N/A")</f>
        <v>N/A</v>
      </c>
      <c r="I47" s="61" t="str">
        <f>IF(Inicial!K47="SI",Inicial!I47,"N/A")</f>
        <v>N/A</v>
      </c>
      <c r="J47" s="5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43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43" t="str" cm="1">
        <f t="array" ref="AV47">IF(OR(AE47:AU47="SI"),"Critico","No critico")</f>
        <v>No critico</v>
      </c>
      <c r="AW47" s="43"/>
      <c r="AX47" s="43"/>
      <c r="AY47" s="43"/>
      <c r="AZ47" s="43"/>
      <c r="BA47" s="43"/>
      <c r="BB47" s="43"/>
    </row>
    <row r="48" spans="1:54" ht="25.5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59" t="str">
        <f>Inicial!D48</f>
        <v>Embolsado de corazon</v>
      </c>
      <c r="E48" s="59" t="str">
        <f>IF(Inicial!K48="SI",Inicial!E48,"N/A")</f>
        <v>N/A</v>
      </c>
      <c r="F48" s="59" t="str">
        <f>IF(Inicial!K48="SI",Inicial!F48,"N/A")</f>
        <v>N/A</v>
      </c>
      <c r="G48" s="59" t="str">
        <f>IF(Inicial!K48="SI",Inicial!G48,"N/A")</f>
        <v>N/A</v>
      </c>
      <c r="H48" s="59" t="str">
        <f>IF(Inicial!K48="SI",Inicial!H48,"N/A")</f>
        <v>N/A</v>
      </c>
      <c r="I48" s="61" t="str">
        <f>IF(Inicial!K48="SI",Inicial!I48,"N/A")</f>
        <v>N/A</v>
      </c>
      <c r="J48" s="5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43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43" t="str" cm="1">
        <f t="array" ref="AV48">IF(OR(AE48:AU48="SI"),"Critico","No critico")</f>
        <v>No critico</v>
      </c>
      <c r="AW48" s="43"/>
      <c r="AX48" s="43"/>
      <c r="AY48" s="43"/>
      <c r="AZ48" s="43"/>
      <c r="BA48" s="43"/>
      <c r="BB48" s="43"/>
    </row>
    <row r="49" spans="1:54" ht="25.5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59" t="str">
        <f>Inicial!D49</f>
        <v>Pesador de corazon</v>
      </c>
      <c r="E49" s="59" t="str">
        <f>IF(Inicial!K49="SI",Inicial!E49,"N/A")</f>
        <v>N/A</v>
      </c>
      <c r="F49" s="59" t="str">
        <f>IF(Inicial!K49="SI",Inicial!F49,"N/A")</f>
        <v>N/A</v>
      </c>
      <c r="G49" s="59" t="str">
        <f>IF(Inicial!K49="SI",Inicial!G49,"N/A")</f>
        <v>N/A</v>
      </c>
      <c r="H49" s="59" t="str">
        <f>IF(Inicial!K49="SI",Inicial!H49,"N/A")</f>
        <v>N/A</v>
      </c>
      <c r="I49" s="61" t="str">
        <f>IF(Inicial!K49="SI",Inicial!I49,"N/A")</f>
        <v>N/A</v>
      </c>
      <c r="J49" s="5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43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43" t="str" cm="1">
        <f t="array" ref="AV49">IF(OR(AE49:AU49="SI"),"Critico","No critico")</f>
        <v>No critico</v>
      </c>
      <c r="AW49" s="43"/>
      <c r="AX49" s="43"/>
      <c r="AY49" s="43"/>
      <c r="AZ49" s="43"/>
      <c r="BA49" s="43"/>
      <c r="BB49" s="43"/>
    </row>
    <row r="50" spans="1:54" ht="25.9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59" t="str">
        <f>Inicial!D50</f>
        <v>Selección de corazon</v>
      </c>
      <c r="E50" s="59" t="str">
        <f>IF(Inicial!K50="SI",Inicial!E50,"N/A")</f>
        <v>05:30-13:50 / 13:50-23:25</v>
      </c>
      <c r="F50" s="59" t="str">
        <f>IF(Inicial!K50="SI",Inicial!F50,"N/A")</f>
        <v>N/A</v>
      </c>
      <c r="G50" s="59">
        <f>IF(Inicial!K50="SI",Inicial!G50,"N/A")</f>
        <v>2</v>
      </c>
      <c r="H50" s="59">
        <f>IF(Inicial!K50="SI",Inicial!H50,"N/A")</f>
        <v>81</v>
      </c>
      <c r="I50" s="61">
        <f>IF(Inicial!K50="SI",Inicial!I50,"N/A")</f>
        <v>3</v>
      </c>
      <c r="J50" s="50" t="s">
        <v>87</v>
      </c>
      <c r="K50" s="6" t="s">
        <v>65</v>
      </c>
      <c r="L50" s="6" t="s">
        <v>65</v>
      </c>
      <c r="M50" s="6" t="s">
        <v>65</v>
      </c>
      <c r="N50" s="6" t="s">
        <v>87</v>
      </c>
      <c r="O50" s="6" t="s">
        <v>87</v>
      </c>
      <c r="P50" s="6" t="s">
        <v>65</v>
      </c>
      <c r="Q50" s="6" t="s">
        <v>388</v>
      </c>
      <c r="R50" s="6" t="s">
        <v>65</v>
      </c>
      <c r="S50" s="6" t="s">
        <v>65</v>
      </c>
      <c r="T50" s="6" t="s">
        <v>65</v>
      </c>
      <c r="U50" s="6" t="s">
        <v>65</v>
      </c>
      <c r="V50" s="6" t="s">
        <v>65</v>
      </c>
      <c r="W50" s="6" t="s">
        <v>65</v>
      </c>
      <c r="X50" s="6" t="s">
        <v>389</v>
      </c>
      <c r="Y50" s="6" t="s">
        <v>65</v>
      </c>
      <c r="Z50" s="6" t="s">
        <v>65</v>
      </c>
      <c r="AA50" s="6" t="s">
        <v>65</v>
      </c>
      <c r="AB50" s="6" t="s">
        <v>65</v>
      </c>
      <c r="AC50" s="6" t="s">
        <v>65</v>
      </c>
      <c r="AD50" s="43" t="str">
        <f>IF(OR(J50="NO",K50="NO",L50="NO",M50="NO",N50="NO",O50="NO",P50="NO",R50="NO",S50="NO",T50="NO",U50="NO", V50="NO",W50="NO",Y50="NO",Z50="NO",AA50="NO",AB50="NO",AC50="NO"),"No aceptable","Aceptable")</f>
        <v>No aceptable</v>
      </c>
      <c r="AE50" s="6" t="s">
        <v>87</v>
      </c>
      <c r="AF50" s="6" t="s">
        <v>87</v>
      </c>
      <c r="AG50" s="6" t="s">
        <v>87</v>
      </c>
      <c r="AH50" s="6" t="s">
        <v>87</v>
      </c>
      <c r="AI50" s="6" t="s">
        <v>87</v>
      </c>
      <c r="AJ50" s="6" t="s">
        <v>87</v>
      </c>
      <c r="AK50" s="6" t="s">
        <v>87</v>
      </c>
      <c r="AL50" s="6" t="s">
        <v>87</v>
      </c>
      <c r="AM50" s="6" t="s">
        <v>87</v>
      </c>
      <c r="AN50" s="6" t="s">
        <v>87</v>
      </c>
      <c r="AO50" s="6" t="s">
        <v>87</v>
      </c>
      <c r="AP50" s="6" t="s">
        <v>87</v>
      </c>
      <c r="AQ50" s="6" t="s">
        <v>87</v>
      </c>
      <c r="AR50" s="6" t="s">
        <v>87</v>
      </c>
      <c r="AS50" s="6" t="s">
        <v>87</v>
      </c>
      <c r="AT50" s="6" t="s">
        <v>87</v>
      </c>
      <c r="AU50" s="6" t="s">
        <v>87</v>
      </c>
      <c r="AV50" s="43" t="str" cm="1">
        <f t="array" ref="AV50">IF(OR(AE50:AU50="SI"),"Critico","No critico")</f>
        <v>No critico</v>
      </c>
      <c r="AW50" s="43"/>
      <c r="AX50" s="43"/>
      <c r="AY50" s="43"/>
      <c r="AZ50" s="43"/>
      <c r="BA50" s="43"/>
      <c r="BB50" s="43"/>
    </row>
    <row r="51" spans="1:54" ht="19.899999999999999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59" t="str">
        <f>Inicial!D51</f>
        <v>Embalador de contre</v>
      </c>
      <c r="E51" s="59" t="str">
        <f>IF(Inicial!K51="SI",Inicial!E51,"N/A")</f>
        <v>N/A</v>
      </c>
      <c r="F51" s="59" t="str">
        <f>IF(Inicial!K51="SI",Inicial!F51,"N/A")</f>
        <v>N/A</v>
      </c>
      <c r="G51" s="59" t="str">
        <f>IF(Inicial!K51="SI",Inicial!G51,"N/A")</f>
        <v>N/A</v>
      </c>
      <c r="H51" s="59" t="str">
        <f>IF(Inicial!K51="SI",Inicial!H51,"N/A")</f>
        <v>N/A</v>
      </c>
      <c r="I51" s="61" t="str">
        <f>IF(Inicial!K51="SI",Inicial!I51,"N/A")</f>
        <v>N/A</v>
      </c>
      <c r="J51" s="5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43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43" t="str" cm="1">
        <f t="array" ref="AV51">IF(OR(AE51:AU51="SI"),"Critico","No critico")</f>
        <v>No critico</v>
      </c>
      <c r="AW51" s="43"/>
      <c r="AX51" s="43"/>
      <c r="AY51" s="43"/>
      <c r="AZ51" s="43"/>
      <c r="BA51" s="43"/>
      <c r="BB51" s="43"/>
    </row>
    <row r="52" spans="1:54" ht="19.899999999999999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59" t="str">
        <f>Inicial!D52</f>
        <v>Limpiador de pana</v>
      </c>
      <c r="E52" s="59" t="str">
        <f>IF(Inicial!K52="SI",Inicial!E52,"N/A")</f>
        <v>N/A</v>
      </c>
      <c r="F52" s="59" t="str">
        <f>IF(Inicial!K52="SI",Inicial!F52,"N/A")</f>
        <v>N/A</v>
      </c>
      <c r="G52" s="59" t="str">
        <f>IF(Inicial!K52="SI",Inicial!G52,"N/A")</f>
        <v>N/A</v>
      </c>
      <c r="H52" s="59" t="str">
        <f>IF(Inicial!K52="SI",Inicial!H52,"N/A")</f>
        <v>N/A</v>
      </c>
      <c r="I52" s="61" t="str">
        <f>IF(Inicial!K52="SI",Inicial!I52,"N/A")</f>
        <v>N/A</v>
      </c>
      <c r="J52" s="50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43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43" t="str" cm="1">
        <f t="array" ref="AV52">IF(OR(AE52:AU52="SI"),"Critico","No critico")</f>
        <v>No critico</v>
      </c>
      <c r="AW52" s="43"/>
      <c r="AX52" s="43"/>
      <c r="AY52" s="43"/>
      <c r="AZ52" s="43"/>
      <c r="BA52" s="43"/>
      <c r="BB52" s="43"/>
    </row>
    <row r="53" spans="1:54" ht="19.899999999999999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59" t="str">
        <f>Inicial!D53</f>
        <v>Embolsador de contre</v>
      </c>
      <c r="E53" s="59" t="str">
        <f>IF(Inicial!K53="SI",Inicial!E53,"N/A")</f>
        <v>N/A</v>
      </c>
      <c r="F53" s="59" t="str">
        <f>IF(Inicial!K53="SI",Inicial!F53,"N/A")</f>
        <v>N/A</v>
      </c>
      <c r="G53" s="59" t="str">
        <f>IF(Inicial!K53="SI",Inicial!G53,"N/A")</f>
        <v>N/A</v>
      </c>
      <c r="H53" s="59" t="str">
        <f>IF(Inicial!K53="SI",Inicial!H53,"N/A")</f>
        <v>N/A</v>
      </c>
      <c r="I53" s="61" t="str">
        <f>IF(Inicial!K53="SI",Inicial!I53,"N/A")</f>
        <v>N/A</v>
      </c>
      <c r="J53" s="50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43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43" t="str" cm="1">
        <f t="array" ref="AV53">IF(OR(AE53:AU53="SI"),"Critico","No critico")</f>
        <v>No critico</v>
      </c>
      <c r="AW53" s="43"/>
      <c r="AX53" s="43"/>
      <c r="AY53" s="43"/>
      <c r="AZ53" s="43"/>
      <c r="BA53" s="43"/>
      <c r="BB53" s="43"/>
    </row>
    <row r="54" spans="1:54" ht="19.899999999999999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59" t="str">
        <f>Inicial!D54</f>
        <v>Embalador de Pana</v>
      </c>
      <c r="E54" s="59" t="str">
        <f>IF(Inicial!K54="SI",Inicial!E54,"N/A")</f>
        <v>N/A</v>
      </c>
      <c r="F54" s="59" t="str">
        <f>IF(Inicial!K54="SI",Inicial!F54,"N/A")</f>
        <v>N/A</v>
      </c>
      <c r="G54" s="59" t="str">
        <f>IF(Inicial!K54="SI",Inicial!G54,"N/A")</f>
        <v>N/A</v>
      </c>
      <c r="H54" s="59" t="str">
        <f>IF(Inicial!K54="SI",Inicial!H54,"N/A")</f>
        <v>N/A</v>
      </c>
      <c r="I54" s="61" t="str">
        <f>IF(Inicial!K54="SI",Inicial!I54,"N/A")</f>
        <v>N/A</v>
      </c>
      <c r="J54" s="50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43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43" t="str" cm="1">
        <f t="array" ref="AV54">IF(OR(AE54:AU54="SI"),"Critico","No critico")</f>
        <v>No critico</v>
      </c>
      <c r="AW54" s="43"/>
      <c r="AX54" s="43"/>
      <c r="AY54" s="43"/>
      <c r="AZ54" s="43"/>
      <c r="BA54" s="43"/>
      <c r="BB54" s="43"/>
    </row>
    <row r="55" spans="1:54" ht="19.899999999999999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59" t="str">
        <f>Inicial!D55</f>
        <v>Selección de Contre</v>
      </c>
      <c r="E55" s="59" t="str">
        <f>IF(Inicial!K55="SI",Inicial!E55,"N/A")</f>
        <v>05:30-13:50 / 13:50-23:25</v>
      </c>
      <c r="F55" s="59" t="str">
        <f>IF(Inicial!K55="SI",Inicial!F55,"N/A")</f>
        <v>N/A</v>
      </c>
      <c r="G55" s="59">
        <f>IF(Inicial!K55="SI",Inicial!G55,"N/A")</f>
        <v>2</v>
      </c>
      <c r="H55" s="59">
        <f>IF(Inicial!K55="SI",Inicial!H55,"N/A")</f>
        <v>81</v>
      </c>
      <c r="I55" s="61">
        <f>IF(Inicial!K55="SI",Inicial!I55,"N/A")</f>
        <v>3</v>
      </c>
      <c r="J55" s="50" t="s">
        <v>87</v>
      </c>
      <c r="K55" s="6" t="s">
        <v>65</v>
      </c>
      <c r="L55" s="6" t="s">
        <v>65</v>
      </c>
      <c r="M55" s="6" t="s">
        <v>65</v>
      </c>
      <c r="N55" s="6" t="s">
        <v>87</v>
      </c>
      <c r="O55" s="6" t="s">
        <v>87</v>
      </c>
      <c r="P55" s="6" t="s">
        <v>65</v>
      </c>
      <c r="Q55" s="6" t="s">
        <v>388</v>
      </c>
      <c r="R55" s="6" t="s">
        <v>65</v>
      </c>
      <c r="S55" s="6" t="s">
        <v>65</v>
      </c>
      <c r="T55" s="6" t="s">
        <v>65</v>
      </c>
      <c r="U55" s="6" t="s">
        <v>65</v>
      </c>
      <c r="V55" s="6" t="s">
        <v>65</v>
      </c>
      <c r="W55" s="6" t="s">
        <v>65</v>
      </c>
      <c r="X55" s="6" t="s">
        <v>389</v>
      </c>
      <c r="Y55" s="6" t="s">
        <v>65</v>
      </c>
      <c r="Z55" s="6" t="s">
        <v>65</v>
      </c>
      <c r="AA55" s="6" t="s">
        <v>65</v>
      </c>
      <c r="AB55" s="6" t="s">
        <v>65</v>
      </c>
      <c r="AC55" s="6" t="s">
        <v>65</v>
      </c>
      <c r="AD55" s="43" t="str">
        <f t="shared" si="0"/>
        <v>No aceptable</v>
      </c>
      <c r="AE55" s="6" t="s">
        <v>87</v>
      </c>
      <c r="AF55" s="6" t="s">
        <v>87</v>
      </c>
      <c r="AG55" s="6" t="s">
        <v>87</v>
      </c>
      <c r="AH55" s="6" t="s">
        <v>87</v>
      </c>
      <c r="AI55" s="6" t="s">
        <v>87</v>
      </c>
      <c r="AJ55" s="6" t="s">
        <v>87</v>
      </c>
      <c r="AK55" s="6" t="s">
        <v>87</v>
      </c>
      <c r="AL55" s="6" t="s">
        <v>87</v>
      </c>
      <c r="AM55" s="6" t="s">
        <v>87</v>
      </c>
      <c r="AN55" s="6" t="s">
        <v>87</v>
      </c>
      <c r="AO55" s="6" t="s">
        <v>87</v>
      </c>
      <c r="AP55" s="6" t="s">
        <v>87</v>
      </c>
      <c r="AQ55" s="6" t="s">
        <v>87</v>
      </c>
      <c r="AR55" s="6" t="s">
        <v>87</v>
      </c>
      <c r="AS55" s="6" t="s">
        <v>87</v>
      </c>
      <c r="AT55" s="6" t="s">
        <v>87</v>
      </c>
      <c r="AU55" s="6" t="s">
        <v>87</v>
      </c>
      <c r="AV55" s="43" t="str" cm="1">
        <f t="array" ref="AV55">IF(OR(AE55:AU55="SI"),"Critico","No critico")</f>
        <v>No critico</v>
      </c>
      <c r="AW55" s="43"/>
      <c r="AX55" s="43"/>
      <c r="AY55" s="43"/>
      <c r="AZ55" s="43"/>
      <c r="BA55" s="43"/>
      <c r="BB55" s="43"/>
    </row>
    <row r="56" spans="1:54" ht="19.899999999999999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59" t="str">
        <f>Inicial!D56</f>
        <v>Maquinista chiller</v>
      </c>
      <c r="E56" s="59" t="str">
        <f>IF(Inicial!K56="SI",Inicial!E56,"N/A")</f>
        <v>N/A</v>
      </c>
      <c r="F56" s="59" t="str">
        <f>IF(Inicial!K56="SI",Inicial!F56,"N/A")</f>
        <v>N/A</v>
      </c>
      <c r="G56" s="59" t="str">
        <f>IF(Inicial!K56="SI",Inicial!G56,"N/A")</f>
        <v>N/A</v>
      </c>
      <c r="H56" s="59" t="str">
        <f>IF(Inicial!K56="SI",Inicial!H56,"N/A")</f>
        <v>N/A</v>
      </c>
      <c r="I56" s="61" t="str">
        <f>IF(Inicial!K56="SI",Inicial!I56,"N/A")</f>
        <v>N/A</v>
      </c>
      <c r="J56" s="5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43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43" t="str" cm="1">
        <f t="array" ref="AV56">IF(OR(AE56:AU56="SI"),"Critico","No critico")</f>
        <v>No critico</v>
      </c>
      <c r="AW56" s="43"/>
      <c r="AX56" s="43"/>
      <c r="AY56" s="43"/>
      <c r="AZ56" s="43"/>
      <c r="BA56" s="43"/>
      <c r="BB56" s="43"/>
    </row>
    <row r="57" spans="1:54" ht="19.899999999999999" customHeight="1">
      <c r="A57" s="58" t="e">
        <f>Inicial!#REF!</f>
        <v>#REF!</v>
      </c>
      <c r="B57" s="59" t="e">
        <f>Inicial!#REF!</f>
        <v>#REF!</v>
      </c>
      <c r="C57" s="59" t="e">
        <f>Inicial!#REF!</f>
        <v>#REF!</v>
      </c>
      <c r="D57" s="59" t="e">
        <f>Inicial!#REF!</f>
        <v>#REF!</v>
      </c>
      <c r="E57" s="59" t="e">
        <f>IF(Inicial!#REF!="SI",Inicial!#REF!,"N/A")</f>
        <v>#REF!</v>
      </c>
      <c r="F57" s="59" t="e">
        <f>IF(Inicial!#REF!="SI",Inicial!#REF!,"N/A")</f>
        <v>#REF!</v>
      </c>
      <c r="G57" s="59" t="e">
        <f>IF(Inicial!#REF!="SI",Inicial!#REF!,"N/A")</f>
        <v>#REF!</v>
      </c>
      <c r="H57" s="59" t="e">
        <f>IF(Inicial!#REF!="SI",Inicial!#REF!,"N/A")</f>
        <v>#REF!</v>
      </c>
      <c r="I57" s="61" t="e">
        <f>IF(Inicial!#REF!="SI",Inicial!#REF!,"N/A")</f>
        <v>#REF!</v>
      </c>
      <c r="J57" s="5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43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43" t="str" cm="1">
        <f t="array" ref="AV57">IF(OR(AE57:AU57="SI"),"Critico","No critico")</f>
        <v>No critico</v>
      </c>
      <c r="AW57" s="43"/>
      <c r="AX57" s="43"/>
      <c r="AY57" s="43"/>
      <c r="AZ57" s="43"/>
      <c r="BA57" s="43"/>
      <c r="BB57" s="43"/>
    </row>
    <row r="58" spans="1:54" ht="19.899999999999999" customHeight="1">
      <c r="A58" s="58">
        <f>Inicial!A57</f>
        <v>55</v>
      </c>
      <c r="B58" s="59" t="str">
        <f>Inicial!B57</f>
        <v>Faenación</v>
      </c>
      <c r="C58" s="59" t="str">
        <f>Inicial!C57</f>
        <v>Empaque - Chiller</v>
      </c>
      <c r="D58" s="59" t="str">
        <f>Inicial!D57</f>
        <v>Corchetera</v>
      </c>
      <c r="E58" s="59" t="str">
        <f>IF(Inicial!K57="SI",Inicial!E57,"N/A")</f>
        <v>N/A</v>
      </c>
      <c r="F58" s="59" t="str">
        <f>IF(Inicial!K57="SI",Inicial!F57,"N/A")</f>
        <v>N/A</v>
      </c>
      <c r="G58" s="59" t="str">
        <f>IF(Inicial!K57="SI",Inicial!G57,"N/A")</f>
        <v>N/A</v>
      </c>
      <c r="H58" s="59" t="str">
        <f>IF(Inicial!K57="SI",Inicial!H57,"N/A")</f>
        <v>N/A</v>
      </c>
      <c r="I58" s="61" t="str">
        <f>IF(Inicial!K57="SI",Inicial!I57,"N/A")</f>
        <v>N/A</v>
      </c>
      <c r="J58" s="5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43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43" t="str" cm="1">
        <f t="array" ref="AV58">IF(OR(AE58:AU58="SI"),"Critico","No critico")</f>
        <v>No critico</v>
      </c>
      <c r="AW58" s="43"/>
      <c r="AX58" s="43"/>
      <c r="AY58" s="43"/>
      <c r="AZ58" s="43"/>
      <c r="BA58" s="43"/>
      <c r="BB58" s="43"/>
    </row>
    <row r="59" spans="1:54" ht="19.899999999999999" customHeight="1">
      <c r="A59" s="58">
        <f>Inicial!A58</f>
        <v>56</v>
      </c>
      <c r="B59" s="59" t="str">
        <f>Inicial!B58</f>
        <v>Faenación</v>
      </c>
      <c r="C59" s="59" t="str">
        <f>Inicial!C58</f>
        <v>Empaque - Chiller</v>
      </c>
      <c r="D59" s="59" t="str">
        <f>Inicial!D58</f>
        <v>Pesador menudencia</v>
      </c>
      <c r="E59" s="59" t="str">
        <f>IF(Inicial!K58="SI",Inicial!E58,"N/A")</f>
        <v>N/A</v>
      </c>
      <c r="F59" s="59" t="str">
        <f>IF(Inicial!K58="SI",Inicial!F58,"N/A")</f>
        <v>N/A</v>
      </c>
      <c r="G59" s="59" t="str">
        <f>IF(Inicial!K58="SI",Inicial!G58,"N/A")</f>
        <v>N/A</v>
      </c>
      <c r="H59" s="59" t="str">
        <f>IF(Inicial!K58="SI",Inicial!H58,"N/A")</f>
        <v>N/A</v>
      </c>
      <c r="I59" s="61" t="str">
        <f>IF(Inicial!K58="SI",Inicial!I58,"N/A")</f>
        <v>N/A</v>
      </c>
      <c r="J59" s="50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43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43" t="str" cm="1">
        <f t="array" ref="AV59">IF(OR(AE59:AU59="SI"),"Critico","No critico")</f>
        <v>No critico</v>
      </c>
      <c r="AW59" s="43"/>
      <c r="AX59" s="43"/>
      <c r="AY59" s="43"/>
      <c r="AZ59" s="43"/>
      <c r="BA59" s="43"/>
      <c r="BB59" s="43"/>
    </row>
    <row r="60" spans="1:54" ht="19.899999999999999" customHeight="1">
      <c r="A60" s="58" t="e">
        <f>Inicial!#REF!</f>
        <v>#REF!</v>
      </c>
      <c r="B60" s="59" t="e">
        <f>Inicial!#REF!</f>
        <v>#REF!</v>
      </c>
      <c r="C60" s="59" t="e">
        <f>Inicial!#REF!</f>
        <v>#REF!</v>
      </c>
      <c r="D60" s="59" t="e">
        <f>Inicial!#REF!</f>
        <v>#REF!</v>
      </c>
      <c r="E60" s="59" t="e">
        <f>IF(Inicial!#REF!="SI",Inicial!#REF!,"N/A")</f>
        <v>#REF!</v>
      </c>
      <c r="F60" s="59" t="e">
        <f>IF(Inicial!#REF!="SI",Inicial!#REF!,"N/A")</f>
        <v>#REF!</v>
      </c>
      <c r="G60" s="59" t="e">
        <f>IF(Inicial!#REF!="SI",Inicial!#REF!,"N/A")</f>
        <v>#REF!</v>
      </c>
      <c r="H60" s="59" t="e">
        <f>IF(Inicial!#REF!="SI",Inicial!#REF!,"N/A")</f>
        <v>#REF!</v>
      </c>
      <c r="I60" s="61" t="e">
        <f>IF(Inicial!#REF!="SI",Inicial!#REF!,"N/A")</f>
        <v>#REF!</v>
      </c>
      <c r="J60" s="5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43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43" t="str" cm="1">
        <f t="array" ref="AV60">IF(OR(AE60:AU60="SI"),"Critico","No critico")</f>
        <v>No critico</v>
      </c>
      <c r="AW60" s="43"/>
      <c r="AX60" s="43"/>
      <c r="AY60" s="43"/>
      <c r="AZ60" s="43"/>
      <c r="BA60" s="43"/>
      <c r="BB60" s="43"/>
    </row>
    <row r="61" spans="1:54" ht="19.899999999999999" customHeight="1">
      <c r="A61" s="58">
        <f>Inicial!A59</f>
        <v>57</v>
      </c>
      <c r="B61" s="59" t="str">
        <f>Inicial!B59</f>
        <v>Faenación</v>
      </c>
      <c r="C61" s="59" t="str">
        <f>Inicial!C59</f>
        <v>Empaque - Chiller</v>
      </c>
      <c r="D61" s="59" t="str">
        <f>Inicial!D59</f>
        <v>Encargado de registro</v>
      </c>
      <c r="E61" s="59" t="str">
        <f>IF(Inicial!K59="SI",Inicial!E59,"N/A")</f>
        <v>N/A</v>
      </c>
      <c r="F61" s="59" t="str">
        <f>IF(Inicial!K59="SI",Inicial!F59,"N/A")</f>
        <v>N/A</v>
      </c>
      <c r="G61" s="59" t="str">
        <f>IF(Inicial!K59="SI",Inicial!G59,"N/A")</f>
        <v>N/A</v>
      </c>
      <c r="H61" s="59" t="str">
        <f>IF(Inicial!K59="SI",Inicial!H59,"N/A")</f>
        <v>N/A</v>
      </c>
      <c r="I61" s="61" t="str">
        <f>IF(Inicial!K59="SI",Inicial!I59,"N/A")</f>
        <v>N/A</v>
      </c>
      <c r="J61" s="5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43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43" t="str" cm="1">
        <f t="array" ref="AV61">IF(OR(AE61:AU61="SI"),"Critico","No critico")</f>
        <v>No critico</v>
      </c>
      <c r="AW61" s="43"/>
      <c r="AX61" s="43"/>
      <c r="AY61" s="43"/>
      <c r="AZ61" s="43"/>
      <c r="BA61" s="43"/>
      <c r="BB61" s="43"/>
    </row>
    <row r="62" spans="1:54" ht="19.899999999999999" customHeight="1">
      <c r="A62" s="58">
        <f>Inicial!A60</f>
        <v>58</v>
      </c>
      <c r="B62" s="59" t="str">
        <f>Inicial!B60</f>
        <v>Faenación</v>
      </c>
      <c r="C62" s="59" t="str">
        <f>Inicial!C60</f>
        <v>Empaque - Chiller</v>
      </c>
      <c r="D62" s="59" t="str">
        <f>Inicial!D60</f>
        <v>Fechado</v>
      </c>
      <c r="E62" s="59" t="str">
        <f>IF(Inicial!K60="SI",Inicial!E60,"N/A")</f>
        <v>N/A</v>
      </c>
      <c r="F62" s="59" t="str">
        <f>IF(Inicial!K60="SI",Inicial!F60,"N/A")</f>
        <v>N/A</v>
      </c>
      <c r="G62" s="59" t="str">
        <f>IF(Inicial!K60="SI",Inicial!G60,"N/A")</f>
        <v>N/A</v>
      </c>
      <c r="H62" s="59" t="str">
        <f>IF(Inicial!K60="SI",Inicial!H60,"N/A")</f>
        <v>N/A</v>
      </c>
      <c r="I62" s="61" t="str">
        <f>IF(Inicial!K60="SI",Inicial!I60,"N/A")</f>
        <v>N/A</v>
      </c>
      <c r="J62" s="50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43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43" t="str" cm="1">
        <f t="array" ref="AV62">IF(OR(AE62:AU62="SI"),"Critico","No critico")</f>
        <v>No critico</v>
      </c>
      <c r="AW62" s="43"/>
      <c r="AX62" s="43"/>
      <c r="AY62" s="43"/>
      <c r="AZ62" s="43"/>
      <c r="BA62" s="43"/>
      <c r="BB62" s="43"/>
    </row>
    <row r="63" spans="1:54" ht="19.899999999999999" customHeight="1">
      <c r="A63" s="58">
        <f>Inicial!A61</f>
        <v>59</v>
      </c>
      <c r="B63" s="59" t="str">
        <f>Inicial!B61</f>
        <v>Faenación</v>
      </c>
      <c r="C63" s="59" t="str">
        <f>Inicial!C61</f>
        <v>Empaque - Chiller</v>
      </c>
      <c r="D63" s="59" t="str">
        <f>Inicial!D61</f>
        <v>Paletizador</v>
      </c>
      <c r="E63" s="59" t="str">
        <f>IF(Inicial!K61="SI",Inicial!E61,"N/A")</f>
        <v>N/A</v>
      </c>
      <c r="F63" s="59" t="str">
        <f>IF(Inicial!K61="SI",Inicial!F61,"N/A")</f>
        <v>N/A</v>
      </c>
      <c r="G63" s="59" t="str">
        <f>IF(Inicial!K61="SI",Inicial!G61,"N/A")</f>
        <v>N/A</v>
      </c>
      <c r="H63" s="59" t="str">
        <f>IF(Inicial!K61="SI",Inicial!H61,"N/A")</f>
        <v>N/A</v>
      </c>
      <c r="I63" s="61" t="str">
        <f>IF(Inicial!K61="SI",Inicial!I61,"N/A")</f>
        <v>N/A</v>
      </c>
      <c r="J63" s="5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43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43" t="str" cm="1">
        <f t="array" ref="AV63">IF(OR(AE63:AU63="SI"),"Critico","No critico")</f>
        <v>No critico</v>
      </c>
      <c r="AW63" s="43"/>
      <c r="AX63" s="43"/>
      <c r="AY63" s="43"/>
      <c r="AZ63" s="43"/>
      <c r="BA63" s="43"/>
      <c r="BB63" s="43"/>
    </row>
    <row r="64" spans="1:54" ht="19.899999999999999" customHeight="1">
      <c r="A64" s="58">
        <f>Inicial!A62</f>
        <v>60</v>
      </c>
      <c r="B64" s="59" t="str">
        <f>Inicial!B62</f>
        <v>Faenación</v>
      </c>
      <c r="C64" s="59" t="str">
        <f>Inicial!C62</f>
        <v>Empaque - Chiller</v>
      </c>
      <c r="D64" s="59" t="str">
        <f>Inicial!D62</f>
        <v>Transpaletero</v>
      </c>
      <c r="E64" s="59" t="str">
        <f>IF(Inicial!K62="SI",Inicial!E62,"N/A")</f>
        <v>N/A</v>
      </c>
      <c r="F64" s="59" t="str">
        <f>IF(Inicial!K62="SI",Inicial!F62,"N/A")</f>
        <v>N/A</v>
      </c>
      <c r="G64" s="59" t="str">
        <f>IF(Inicial!K62="SI",Inicial!G62,"N/A")</f>
        <v>N/A</v>
      </c>
      <c r="H64" s="59" t="str">
        <f>IF(Inicial!K62="SI",Inicial!H62,"N/A")</f>
        <v>N/A</v>
      </c>
      <c r="I64" s="61" t="str">
        <f>IF(Inicial!K62="SI",Inicial!I62,"N/A")</f>
        <v>N/A</v>
      </c>
      <c r="J64" s="5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43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43" t="str" cm="1">
        <f t="array" ref="AV64">IF(OR(AE64:AU64="SI"),"Critico","No critico")</f>
        <v>No critico</v>
      </c>
      <c r="AW64" s="43"/>
      <c r="AX64" s="43"/>
      <c r="AY64" s="43"/>
      <c r="AZ64" s="43"/>
      <c r="BA64" s="43"/>
      <c r="BB64" s="43"/>
    </row>
    <row r="65" spans="1:54" ht="25.5">
      <c r="A65" s="58">
        <f>Inicial!A63</f>
        <v>61</v>
      </c>
      <c r="B65" s="59" t="str">
        <f>Inicial!B63</f>
        <v>Faenación</v>
      </c>
      <c r="C65" s="59" t="str">
        <f>Inicial!C63</f>
        <v>Empaque - Chiller</v>
      </c>
      <c r="D65" s="59" t="str">
        <f>Inicial!D63</f>
        <v xml:space="preserve">Jefe de Línea </v>
      </c>
      <c r="E65" s="59" t="str">
        <f>IF(Inicial!K63="SI",Inicial!E63,"N/A")</f>
        <v>N/A</v>
      </c>
      <c r="F65" s="59" t="str">
        <f>IF(Inicial!K63="SI",Inicial!F63,"N/A")</f>
        <v>N/A</v>
      </c>
      <c r="G65" s="59" t="str">
        <f>IF(Inicial!K63="SI",Inicial!G63,"N/A")</f>
        <v>N/A</v>
      </c>
      <c r="H65" s="59" t="str">
        <f>IF(Inicial!K63="SI",Inicial!H63,"N/A")</f>
        <v>N/A</v>
      </c>
      <c r="I65" s="61" t="str">
        <f>IF(Inicial!K63="SI",Inicial!I63,"N/A")</f>
        <v>N/A</v>
      </c>
      <c r="J65" s="5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43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43" t="str" cm="1">
        <f t="array" ref="AV65">IF(OR(AE65:AU65="SI"),"Critico","No critico")</f>
        <v>No critico</v>
      </c>
      <c r="AW65" s="43"/>
      <c r="AX65" s="43"/>
      <c r="AY65" s="43"/>
      <c r="AZ65" s="43"/>
      <c r="BA65" s="43"/>
      <c r="BB65" s="43"/>
    </row>
    <row r="66" spans="1:54">
      <c r="A66" s="58">
        <f>Inicial!A64</f>
        <v>0</v>
      </c>
      <c r="B66" s="59">
        <f>Inicial!B64</f>
        <v>0</v>
      </c>
      <c r="C66" s="59">
        <f>Inicial!C64</f>
        <v>0</v>
      </c>
      <c r="D66" s="59">
        <f>Inicial!D64</f>
        <v>0</v>
      </c>
      <c r="E66" s="59" t="str">
        <f>IF(Inicial!K64="SI",Inicial!E64,"N/A")</f>
        <v>N/A</v>
      </c>
      <c r="F66" s="59" t="str">
        <f>IF(Inicial!K64="SI",Inicial!F64,"N/A")</f>
        <v>N/A</v>
      </c>
      <c r="G66" s="59" t="str">
        <f>IF(Inicial!K64="SI",Inicial!G64,"N/A")</f>
        <v>N/A</v>
      </c>
      <c r="H66" s="59" t="str">
        <f>IF(Inicial!K64="SI",Inicial!H64,"N/A")</f>
        <v>N/A</v>
      </c>
      <c r="I66" s="61" t="str">
        <f>IF(Inicial!K64="SI",Inicial!I64,"N/A")</f>
        <v>N/A</v>
      </c>
      <c r="J66" s="5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43" t="str">
        <f t="shared" ref="AD66" si="1">IF(OR(J66="NO",K66="NO",L66="NO",M66="NO",N66="NO",O66="NO",P66="NO",R66="NO",S66="NO",T66="NO",U66="NO", V66="NO",W66="NO",Y66="NO",Z66="NO",AA66="NO",AB66="NO",AC66="NO"),"No aceptable","Aceptable")</f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43" t="str" cm="1">
        <f t="array" ref="AV66">IF(OR(AE66:AU66="SI"),"Critico","No critico")</f>
        <v>No critico</v>
      </c>
      <c r="AW66" s="43"/>
      <c r="AX66" s="43"/>
      <c r="AY66" s="43"/>
      <c r="AZ66" s="43"/>
      <c r="BA66" s="43"/>
      <c r="BB66" s="43"/>
    </row>
    <row r="67" spans="1:54">
      <c r="A67" s="98"/>
      <c r="B67" s="99"/>
      <c r="C67" s="99"/>
      <c r="D67" s="100"/>
      <c r="E67" s="98"/>
      <c r="F67" s="99"/>
      <c r="G67" s="99"/>
      <c r="H67" s="99"/>
      <c r="I67" s="107"/>
      <c r="J67" s="105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2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43"/>
      <c r="AW67" s="103"/>
      <c r="AX67" s="103"/>
      <c r="AY67" s="103"/>
      <c r="AZ67" s="103"/>
      <c r="BA67" s="103"/>
      <c r="BB67" s="103"/>
    </row>
    <row r="68" spans="1:54">
      <c r="A68" s="58"/>
      <c r="B68" s="59"/>
      <c r="C68" s="59"/>
      <c r="D68" s="60"/>
      <c r="E68" s="58"/>
      <c r="F68" s="59"/>
      <c r="G68" s="59"/>
      <c r="H68" s="59"/>
      <c r="I68" s="6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</row>
    <row r="69" spans="1:54">
      <c r="A69" s="58"/>
      <c r="B69" s="59"/>
      <c r="C69" s="59"/>
      <c r="D69" s="60"/>
      <c r="E69" s="58"/>
      <c r="F69" s="59"/>
      <c r="G69" s="59"/>
      <c r="H69" s="59"/>
      <c r="I69" s="6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</row>
    <row r="70" spans="1:54">
      <c r="A70" s="58"/>
      <c r="B70" s="59"/>
      <c r="C70" s="59"/>
      <c r="D70" s="60"/>
      <c r="E70" s="58"/>
      <c r="F70" s="59"/>
      <c r="G70" s="59"/>
      <c r="H70" s="59"/>
      <c r="I70" s="6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</row>
    <row r="71" spans="1:54">
      <c r="A71" s="58"/>
      <c r="B71" s="59"/>
      <c r="C71" s="59"/>
      <c r="D71" s="60"/>
      <c r="E71" s="58"/>
      <c r="F71" s="59"/>
      <c r="G71" s="59"/>
      <c r="H71" s="59"/>
      <c r="I71" s="6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</row>
    <row r="72" spans="1:54">
      <c r="A72" s="58"/>
      <c r="B72" s="59"/>
      <c r="C72" s="59"/>
      <c r="D72" s="60"/>
      <c r="E72" s="58"/>
      <c r="F72" s="59"/>
      <c r="G72" s="59"/>
      <c r="H72" s="59"/>
      <c r="I72" s="6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</row>
    <row r="73" spans="1:54">
      <c r="A73" s="58"/>
      <c r="B73" s="59"/>
      <c r="C73" s="59"/>
      <c r="D73" s="60"/>
      <c r="E73" s="58"/>
      <c r="F73" s="59"/>
      <c r="G73" s="59"/>
      <c r="H73" s="59"/>
      <c r="I73" s="6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</row>
    <row r="74" spans="1:54">
      <c r="A74" s="58"/>
      <c r="B74" s="59"/>
      <c r="C74" s="59"/>
      <c r="D74" s="60"/>
      <c r="E74" s="58"/>
      <c r="F74" s="59"/>
      <c r="G74" s="59"/>
      <c r="H74" s="59"/>
      <c r="I74" s="6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</row>
    <row r="75" spans="1:54">
      <c r="A75" s="58"/>
      <c r="B75" s="59"/>
      <c r="C75" s="59"/>
      <c r="D75" s="60"/>
      <c r="E75" s="58"/>
      <c r="F75" s="59"/>
      <c r="G75" s="59"/>
      <c r="H75" s="59"/>
      <c r="I75" s="6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</row>
    <row r="76" spans="1:54">
      <c r="A76" s="58"/>
      <c r="B76" s="59"/>
      <c r="C76" s="59"/>
      <c r="D76" s="60"/>
      <c r="E76" s="58"/>
      <c r="F76" s="59"/>
      <c r="G76" s="59"/>
      <c r="H76" s="59"/>
      <c r="I76" s="6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</row>
    <row r="77" spans="1:54">
      <c r="A77" s="58"/>
      <c r="B77" s="59"/>
      <c r="C77" s="59"/>
      <c r="D77" s="60"/>
      <c r="E77" s="58"/>
      <c r="F77" s="59"/>
      <c r="G77" s="59"/>
      <c r="H77" s="59"/>
      <c r="I77" s="6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</row>
    <row r="78" spans="1:54">
      <c r="A78" s="58"/>
      <c r="B78" s="59"/>
      <c r="C78" s="59"/>
      <c r="D78" s="60"/>
      <c r="E78" s="58"/>
      <c r="F78" s="59"/>
      <c r="G78" s="59"/>
      <c r="H78" s="59"/>
      <c r="I78" s="6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</row>
    <row r="79" spans="1:54">
      <c r="A79" s="58"/>
      <c r="B79" s="59"/>
      <c r="C79" s="59"/>
      <c r="D79" s="60"/>
      <c r="E79" s="58"/>
      <c r="F79" s="59"/>
      <c r="G79" s="59"/>
      <c r="H79" s="59"/>
      <c r="I79" s="6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</row>
    <row r="80" spans="1:54">
      <c r="A80" s="58"/>
      <c r="B80" s="59"/>
      <c r="C80" s="59"/>
      <c r="D80" s="60"/>
      <c r="E80" s="58"/>
      <c r="F80" s="59"/>
      <c r="G80" s="59"/>
      <c r="H80" s="59"/>
      <c r="I80" s="6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</row>
    <row r="81" spans="1:47">
      <c r="A81" s="58"/>
      <c r="B81" s="59"/>
      <c r="C81" s="59"/>
      <c r="D81" s="60"/>
      <c r="E81" s="58"/>
      <c r="F81" s="59"/>
      <c r="G81" s="59"/>
      <c r="H81" s="59"/>
      <c r="I81" s="6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</row>
    <row r="82" spans="1:47">
      <c r="A82" s="58"/>
      <c r="B82" s="59"/>
      <c r="C82" s="59"/>
      <c r="D82" s="60"/>
      <c r="E82" s="58"/>
      <c r="F82" s="59"/>
      <c r="G82" s="59"/>
      <c r="H82" s="59"/>
      <c r="I82" s="6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</row>
    <row r="83" spans="1:47">
      <c r="A83" s="58"/>
      <c r="B83" s="59"/>
      <c r="C83" s="59"/>
      <c r="D83" s="60"/>
      <c r="E83" s="58"/>
      <c r="F83" s="59"/>
      <c r="G83" s="59"/>
      <c r="H83" s="59"/>
      <c r="I83" s="6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</row>
    <row r="84" spans="1:47">
      <c r="A84" s="58"/>
      <c r="B84" s="59"/>
      <c r="C84" s="59"/>
      <c r="D84" s="60"/>
      <c r="E84" s="58"/>
      <c r="F84" s="59"/>
      <c r="G84" s="59"/>
      <c r="H84" s="59"/>
      <c r="I84" s="6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</row>
    <row r="85" spans="1:47">
      <c r="A85" s="58"/>
      <c r="B85" s="59"/>
      <c r="C85" s="59"/>
      <c r="D85" s="60"/>
      <c r="E85" s="58"/>
      <c r="F85" s="59"/>
      <c r="G85" s="59"/>
      <c r="H85" s="59"/>
      <c r="I85" s="6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</row>
    <row r="86" spans="1:47">
      <c r="A86" s="58"/>
      <c r="B86" s="59"/>
      <c r="C86" s="59"/>
      <c r="D86" s="60"/>
      <c r="E86" s="58"/>
      <c r="F86" s="59"/>
      <c r="G86" s="59"/>
      <c r="H86" s="59"/>
      <c r="I86" s="6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</row>
    <row r="87" spans="1:47">
      <c r="A87" s="58"/>
      <c r="B87" s="59"/>
      <c r="C87" s="59"/>
      <c r="D87" s="60"/>
      <c r="E87" s="58"/>
      <c r="F87" s="59"/>
      <c r="G87" s="59"/>
      <c r="H87" s="59"/>
      <c r="I87" s="6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</row>
    <row r="88" spans="1:47">
      <c r="A88" s="58"/>
      <c r="B88" s="59"/>
      <c r="C88" s="59"/>
      <c r="D88" s="60"/>
      <c r="E88" s="58"/>
      <c r="F88" s="59"/>
      <c r="G88" s="59"/>
      <c r="H88" s="59"/>
      <c r="I88" s="6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</row>
    <row r="89" spans="1:47">
      <c r="A89" s="58"/>
      <c r="B89" s="59"/>
      <c r="C89" s="59"/>
      <c r="D89" s="60"/>
      <c r="E89" s="58"/>
      <c r="F89" s="59"/>
      <c r="G89" s="59"/>
      <c r="H89" s="59"/>
      <c r="I89" s="6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</row>
    <row r="90" spans="1:47">
      <c r="A90" s="58"/>
      <c r="B90" s="59"/>
      <c r="C90" s="59"/>
      <c r="D90" s="60"/>
      <c r="E90" s="58"/>
      <c r="F90" s="59"/>
      <c r="G90" s="59"/>
      <c r="H90" s="59"/>
      <c r="I90" s="6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</row>
    <row r="91" spans="1:47">
      <c r="A91" s="58"/>
      <c r="B91" s="59"/>
      <c r="C91" s="59"/>
      <c r="D91" s="60"/>
      <c r="E91" s="58"/>
      <c r="F91" s="59"/>
      <c r="G91" s="59"/>
      <c r="H91" s="59"/>
      <c r="I91" s="6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</row>
    <row r="92" spans="1:47">
      <c r="A92" s="58"/>
      <c r="B92" s="59"/>
      <c r="C92" s="59"/>
      <c r="D92" s="60"/>
      <c r="E92" s="58"/>
      <c r="F92" s="59"/>
      <c r="G92" s="59"/>
      <c r="H92" s="59"/>
      <c r="I92" s="6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</row>
    <row r="93" spans="1:47">
      <c r="A93" s="58"/>
      <c r="B93" s="59"/>
      <c r="C93" s="59"/>
      <c r="D93" s="60"/>
      <c r="E93" s="58"/>
      <c r="F93" s="59"/>
      <c r="G93" s="59"/>
      <c r="H93" s="59"/>
      <c r="I93" s="6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</row>
    <row r="94" spans="1:47">
      <c r="A94" s="58"/>
      <c r="B94" s="59"/>
      <c r="C94" s="59"/>
      <c r="D94" s="60"/>
      <c r="E94" s="58"/>
      <c r="F94" s="59"/>
      <c r="G94" s="59"/>
      <c r="H94" s="59"/>
      <c r="I94" s="6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</row>
    <row r="95" spans="1:47">
      <c r="A95" s="58"/>
      <c r="B95" s="59"/>
      <c r="C95" s="59"/>
      <c r="D95" s="60"/>
      <c r="E95" s="58"/>
      <c r="F95" s="59"/>
      <c r="G95" s="59"/>
      <c r="H95" s="59"/>
      <c r="I95" s="6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</row>
    <row r="96" spans="1:47">
      <c r="A96" s="58"/>
      <c r="B96" s="59"/>
      <c r="C96" s="59"/>
      <c r="D96" s="60"/>
      <c r="E96" s="58"/>
      <c r="F96" s="59"/>
      <c r="G96" s="59"/>
      <c r="H96" s="59"/>
      <c r="I96" s="6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</row>
    <row r="97" spans="1:47">
      <c r="A97" s="58"/>
      <c r="B97" s="59"/>
      <c r="C97" s="59"/>
      <c r="D97" s="60"/>
      <c r="E97" s="58"/>
      <c r="F97" s="59"/>
      <c r="G97" s="59"/>
      <c r="H97" s="59"/>
      <c r="I97" s="6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</row>
    <row r="98" spans="1:47">
      <c r="A98" s="58"/>
      <c r="B98" s="59"/>
      <c r="C98" s="59"/>
      <c r="D98" s="60"/>
      <c r="E98" s="58"/>
      <c r="F98" s="59"/>
      <c r="G98" s="59"/>
      <c r="H98" s="59"/>
      <c r="I98" s="6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</row>
    <row r="99" spans="1:47">
      <c r="A99" s="58"/>
      <c r="B99" s="59"/>
      <c r="C99" s="59"/>
      <c r="D99" s="60"/>
      <c r="E99" s="58"/>
      <c r="F99" s="59"/>
      <c r="G99" s="59"/>
      <c r="H99" s="59"/>
      <c r="I99" s="6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</row>
    <row r="100" spans="1:47">
      <c r="A100" s="58"/>
      <c r="B100" s="59"/>
      <c r="C100" s="59"/>
      <c r="D100" s="60"/>
      <c r="E100" s="58"/>
      <c r="F100" s="59"/>
      <c r="G100" s="59"/>
      <c r="H100" s="59"/>
      <c r="I100" s="6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</row>
    <row r="101" spans="1:47">
      <c r="A101" s="58"/>
      <c r="B101" s="59"/>
      <c r="C101" s="59"/>
      <c r="D101" s="60"/>
      <c r="E101" s="58"/>
      <c r="F101" s="59"/>
      <c r="G101" s="59"/>
      <c r="H101" s="59"/>
      <c r="I101" s="6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</row>
    <row r="102" spans="1:47">
      <c r="A102" s="58"/>
      <c r="B102" s="59"/>
      <c r="C102" s="59"/>
      <c r="D102" s="60"/>
      <c r="E102" s="58"/>
      <c r="F102" s="59"/>
      <c r="G102" s="59"/>
      <c r="H102" s="59"/>
      <c r="I102" s="6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</row>
    <row r="103" spans="1:47">
      <c r="A103" s="58"/>
      <c r="B103" s="59"/>
      <c r="C103" s="59"/>
      <c r="D103" s="60"/>
      <c r="E103" s="58"/>
      <c r="F103" s="59"/>
      <c r="G103" s="59"/>
      <c r="H103" s="59"/>
      <c r="I103" s="6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</row>
    <row r="104" spans="1:47">
      <c r="A104" s="58"/>
      <c r="B104" s="59"/>
      <c r="C104" s="59"/>
      <c r="D104" s="60"/>
      <c r="E104" s="58"/>
      <c r="F104" s="59"/>
      <c r="G104" s="59"/>
      <c r="H104" s="59"/>
      <c r="I104" s="6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</row>
    <row r="105" spans="1:47">
      <c r="A105" s="58"/>
      <c r="B105" s="59"/>
      <c r="C105" s="59"/>
      <c r="D105" s="60"/>
      <c r="E105" s="58"/>
      <c r="F105" s="59"/>
      <c r="G105" s="59"/>
      <c r="H105" s="59"/>
      <c r="I105" s="6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</row>
    <row r="106" spans="1:47">
      <c r="A106" s="58"/>
      <c r="B106" s="59"/>
      <c r="C106" s="59"/>
      <c r="D106" s="60"/>
      <c r="E106" s="58"/>
      <c r="F106" s="59"/>
      <c r="G106" s="59"/>
      <c r="H106" s="59"/>
      <c r="I106" s="6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</row>
    <row r="107" spans="1:47">
      <c r="A107" s="58"/>
      <c r="B107" s="59"/>
      <c r="C107" s="59"/>
      <c r="D107" s="60"/>
      <c r="E107" s="58"/>
      <c r="F107" s="59"/>
      <c r="G107" s="59"/>
      <c r="H107" s="59"/>
      <c r="I107" s="6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</row>
    <row r="108" spans="1:47">
      <c r="A108" s="58"/>
      <c r="B108" s="59"/>
      <c r="C108" s="59"/>
      <c r="D108" s="60"/>
      <c r="E108" s="58"/>
      <c r="F108" s="59"/>
      <c r="G108" s="59"/>
      <c r="H108" s="59"/>
      <c r="I108" s="6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</row>
    <row r="109" spans="1:47">
      <c r="A109" s="58"/>
      <c r="B109" s="59"/>
      <c r="C109" s="59"/>
      <c r="D109" s="60"/>
      <c r="E109" s="58"/>
      <c r="F109" s="59"/>
      <c r="G109" s="59"/>
      <c r="H109" s="59"/>
      <c r="I109" s="6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</row>
    <row r="110" spans="1:47">
      <c r="A110" s="58"/>
      <c r="B110" s="59"/>
      <c r="C110" s="59"/>
      <c r="D110" s="60"/>
      <c r="E110" s="58"/>
      <c r="F110" s="59"/>
      <c r="G110" s="59"/>
      <c r="H110" s="59"/>
      <c r="I110" s="6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</row>
    <row r="111" spans="1:47">
      <c r="A111" s="58"/>
      <c r="B111" s="59"/>
      <c r="C111" s="59"/>
      <c r="D111" s="60"/>
      <c r="E111" s="58"/>
      <c r="F111" s="59"/>
      <c r="G111" s="59"/>
      <c r="H111" s="59"/>
      <c r="I111" s="6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</row>
    <row r="112" spans="1:47">
      <c r="A112" s="58"/>
      <c r="B112" s="59"/>
      <c r="C112" s="59"/>
      <c r="D112" s="60"/>
      <c r="E112" s="58"/>
      <c r="F112" s="59"/>
      <c r="G112" s="59"/>
      <c r="H112" s="59"/>
      <c r="I112" s="6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</row>
    <row r="113" spans="1:47">
      <c r="A113" s="58"/>
      <c r="B113" s="59"/>
      <c r="C113" s="59"/>
      <c r="D113" s="60"/>
      <c r="E113" s="58"/>
      <c r="F113" s="59"/>
      <c r="G113" s="59"/>
      <c r="H113" s="59"/>
      <c r="I113" s="6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</row>
    <row r="114" spans="1:47">
      <c r="A114" s="58"/>
      <c r="B114" s="59"/>
      <c r="C114" s="59"/>
      <c r="D114" s="60"/>
      <c r="E114" s="58"/>
      <c r="F114" s="59"/>
      <c r="G114" s="59"/>
      <c r="H114" s="59"/>
      <c r="I114" s="6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</row>
    <row r="115" spans="1:47">
      <c r="A115" s="58"/>
      <c r="B115" s="59"/>
      <c r="C115" s="59"/>
      <c r="D115" s="60"/>
      <c r="E115" s="58"/>
      <c r="F115" s="59"/>
      <c r="G115" s="59"/>
      <c r="H115" s="59"/>
      <c r="I115" s="6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</row>
    <row r="116" spans="1:47">
      <c r="A116" s="58"/>
      <c r="B116" s="59"/>
      <c r="C116" s="59"/>
      <c r="D116" s="60"/>
      <c r="E116" s="58"/>
      <c r="F116" s="59"/>
      <c r="G116" s="59"/>
      <c r="H116" s="59"/>
      <c r="I116" s="6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</row>
    <row r="117" spans="1:47">
      <c r="A117" s="58"/>
      <c r="B117" s="59"/>
      <c r="C117" s="59"/>
      <c r="D117" s="60"/>
      <c r="E117" s="58"/>
      <c r="F117" s="59"/>
      <c r="G117" s="59"/>
      <c r="H117" s="59"/>
      <c r="I117" s="6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</row>
    <row r="118" spans="1:47">
      <c r="A118" s="58"/>
      <c r="B118" s="59"/>
      <c r="C118" s="59"/>
      <c r="D118" s="60"/>
      <c r="E118" s="58"/>
      <c r="F118" s="59"/>
      <c r="G118" s="59"/>
      <c r="H118" s="59"/>
      <c r="I118" s="6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</row>
    <row r="119" spans="1:47">
      <c r="A119" s="58"/>
      <c r="B119" s="59"/>
      <c r="C119" s="59"/>
      <c r="D119" s="60"/>
      <c r="E119" s="58"/>
      <c r="F119" s="59"/>
      <c r="G119" s="59"/>
      <c r="H119" s="59"/>
      <c r="I119" s="6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</row>
    <row r="120" spans="1:47">
      <c r="A120" s="58"/>
      <c r="B120" s="59"/>
      <c r="C120" s="59"/>
      <c r="D120" s="60"/>
      <c r="E120" s="58"/>
      <c r="F120" s="59"/>
      <c r="G120" s="59"/>
      <c r="H120" s="59"/>
      <c r="I120" s="6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</row>
    <row r="121" spans="1:47">
      <c r="A121" s="58"/>
      <c r="B121" s="59"/>
      <c r="C121" s="59"/>
      <c r="D121" s="60"/>
      <c r="E121" s="58"/>
      <c r="F121" s="59"/>
      <c r="G121" s="59"/>
      <c r="H121" s="59"/>
      <c r="I121" s="6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</row>
    <row r="122" spans="1:47">
      <c r="A122" s="58"/>
      <c r="B122" s="59"/>
      <c r="C122" s="59"/>
      <c r="D122" s="60"/>
      <c r="E122" s="58"/>
      <c r="F122" s="59"/>
      <c r="G122" s="59"/>
      <c r="H122" s="59"/>
      <c r="I122" s="6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</row>
    <row r="123" spans="1:47">
      <c r="A123" s="58"/>
      <c r="B123" s="59"/>
      <c r="C123" s="59"/>
      <c r="D123" s="60"/>
      <c r="E123" s="58"/>
      <c r="F123" s="59"/>
      <c r="G123" s="59"/>
      <c r="H123" s="59"/>
      <c r="I123" s="6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</row>
    <row r="124" spans="1:47">
      <c r="A124" s="58"/>
      <c r="B124" s="59"/>
      <c r="C124" s="59"/>
      <c r="D124" s="60"/>
      <c r="E124" s="58"/>
      <c r="F124" s="59"/>
      <c r="G124" s="59"/>
      <c r="H124" s="59"/>
      <c r="I124" s="6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</row>
    <row r="125" spans="1:47">
      <c r="A125" s="58"/>
      <c r="B125" s="59"/>
      <c r="C125" s="59"/>
      <c r="D125" s="60"/>
      <c r="E125" s="58"/>
      <c r="F125" s="59"/>
      <c r="G125" s="59"/>
      <c r="H125" s="59"/>
      <c r="I125" s="6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</row>
    <row r="126" spans="1:47">
      <c r="A126" s="58"/>
      <c r="B126" s="59"/>
      <c r="C126" s="59"/>
      <c r="D126" s="60"/>
      <c r="E126" s="58"/>
      <c r="F126" s="59"/>
      <c r="G126" s="59"/>
      <c r="H126" s="59"/>
      <c r="I126" s="6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</row>
    <row r="127" spans="1:47">
      <c r="A127" s="58"/>
      <c r="B127" s="59"/>
      <c r="C127" s="59"/>
      <c r="D127" s="60"/>
      <c r="E127" s="58"/>
      <c r="F127" s="59"/>
      <c r="G127" s="59"/>
      <c r="H127" s="59"/>
      <c r="I127" s="6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</row>
    <row r="128" spans="1:47">
      <c r="A128" s="58"/>
      <c r="B128" s="59"/>
      <c r="C128" s="59"/>
      <c r="D128" s="60"/>
      <c r="E128" s="58"/>
      <c r="F128" s="59"/>
      <c r="G128" s="59"/>
      <c r="H128" s="59"/>
      <c r="I128" s="6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</row>
    <row r="129" spans="1:47">
      <c r="A129" s="58"/>
      <c r="B129" s="59"/>
      <c r="C129" s="59"/>
      <c r="D129" s="60"/>
      <c r="E129" s="58"/>
      <c r="F129" s="59"/>
      <c r="G129" s="59"/>
      <c r="H129" s="59"/>
      <c r="I129" s="6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</row>
    <row r="130" spans="1:47">
      <c r="A130" s="58"/>
      <c r="B130" s="59"/>
      <c r="C130" s="59"/>
      <c r="D130" s="60"/>
      <c r="E130" s="58"/>
      <c r="F130" s="59"/>
      <c r="G130" s="59"/>
      <c r="H130" s="59"/>
      <c r="I130" s="6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</row>
    <row r="131" spans="1:47">
      <c r="A131" s="58"/>
      <c r="B131" s="59"/>
      <c r="C131" s="59"/>
      <c r="D131" s="60"/>
      <c r="E131" s="58"/>
      <c r="F131" s="59"/>
      <c r="G131" s="59"/>
      <c r="H131" s="59"/>
      <c r="I131" s="6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</row>
    <row r="132" spans="1:47">
      <c r="A132" s="58"/>
      <c r="B132" s="59"/>
      <c r="C132" s="59"/>
      <c r="D132" s="60"/>
      <c r="E132" s="58"/>
      <c r="F132" s="59"/>
      <c r="G132" s="59"/>
      <c r="H132" s="59"/>
      <c r="I132" s="6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</row>
    <row r="133" spans="1:47">
      <c r="A133" s="58"/>
      <c r="B133" s="59"/>
      <c r="C133" s="59"/>
      <c r="D133" s="60"/>
      <c r="E133" s="58"/>
      <c r="F133" s="59"/>
      <c r="G133" s="59"/>
      <c r="H133" s="59"/>
      <c r="I133" s="6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</row>
    <row r="134" spans="1:47">
      <c r="A134" s="58"/>
      <c r="B134" s="59"/>
      <c r="C134" s="59"/>
      <c r="D134" s="60"/>
      <c r="E134" s="58"/>
      <c r="F134" s="59"/>
      <c r="G134" s="59"/>
      <c r="H134" s="59"/>
      <c r="I134" s="6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</row>
    <row r="135" spans="1:47">
      <c r="A135" s="58"/>
      <c r="B135" s="59"/>
      <c r="C135" s="59"/>
      <c r="D135" s="60"/>
      <c r="E135" s="58"/>
      <c r="F135" s="59"/>
      <c r="G135" s="59"/>
      <c r="H135" s="59"/>
      <c r="I135" s="6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</row>
    <row r="136" spans="1:47">
      <c r="A136" s="58"/>
      <c r="B136" s="59"/>
      <c r="C136" s="59"/>
      <c r="D136" s="60"/>
      <c r="E136" s="58"/>
      <c r="F136" s="59"/>
      <c r="G136" s="59"/>
      <c r="H136" s="59"/>
      <c r="I136" s="6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</row>
    <row r="137" spans="1:47">
      <c r="A137" s="58"/>
      <c r="B137" s="59"/>
      <c r="C137" s="59"/>
      <c r="D137" s="60"/>
      <c r="E137" s="58"/>
      <c r="F137" s="59"/>
      <c r="G137" s="59"/>
      <c r="H137" s="59"/>
      <c r="I137" s="6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</row>
    <row r="138" spans="1:47">
      <c r="A138" s="58"/>
      <c r="B138" s="59"/>
      <c r="C138" s="59"/>
      <c r="D138" s="60"/>
      <c r="E138" s="58"/>
      <c r="F138" s="59"/>
      <c r="G138" s="59"/>
      <c r="H138" s="59"/>
      <c r="I138" s="6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</row>
    <row r="139" spans="1:47">
      <c r="A139" s="58"/>
      <c r="B139" s="59"/>
      <c r="C139" s="59"/>
      <c r="D139" s="60"/>
      <c r="E139" s="58"/>
      <c r="F139" s="59"/>
      <c r="G139" s="59"/>
      <c r="H139" s="59"/>
      <c r="I139" s="6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</row>
    <row r="140" spans="1:47">
      <c r="A140" s="58"/>
      <c r="B140" s="59"/>
      <c r="C140" s="59"/>
      <c r="D140" s="60"/>
      <c r="E140" s="58"/>
      <c r="F140" s="59"/>
      <c r="G140" s="59"/>
      <c r="H140" s="59"/>
      <c r="I140" s="6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</row>
    <row r="141" spans="1:47">
      <c r="A141" s="58"/>
      <c r="B141" s="59"/>
      <c r="C141" s="59"/>
      <c r="D141" s="60"/>
      <c r="E141" s="58"/>
      <c r="F141" s="59"/>
      <c r="G141" s="59"/>
      <c r="H141" s="59"/>
      <c r="I141" s="6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</row>
    <row r="142" spans="1:47">
      <c r="A142" s="58"/>
      <c r="B142" s="59"/>
      <c r="C142" s="59"/>
      <c r="D142" s="60"/>
      <c r="E142" s="58"/>
      <c r="F142" s="59"/>
      <c r="G142" s="59"/>
      <c r="H142" s="59"/>
      <c r="I142" s="6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</row>
    <row r="143" spans="1:47">
      <c r="A143" s="58"/>
      <c r="B143" s="59"/>
      <c r="C143" s="59"/>
      <c r="D143" s="60"/>
      <c r="E143" s="58"/>
      <c r="F143" s="59"/>
      <c r="G143" s="59"/>
      <c r="H143" s="59"/>
      <c r="I143" s="6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</row>
    <row r="144" spans="1:47">
      <c r="A144" s="58"/>
      <c r="B144" s="59"/>
      <c r="C144" s="59"/>
      <c r="D144" s="60"/>
      <c r="E144" s="58"/>
      <c r="F144" s="59"/>
      <c r="G144" s="59"/>
      <c r="H144" s="59"/>
      <c r="I144" s="6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</row>
    <row r="145" spans="1:47">
      <c r="A145" s="58"/>
      <c r="B145" s="59"/>
      <c r="C145" s="59"/>
      <c r="D145" s="60"/>
      <c r="E145" s="58"/>
      <c r="F145" s="59"/>
      <c r="G145" s="59"/>
      <c r="H145" s="59"/>
      <c r="I145" s="6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</row>
    <row r="146" spans="1:47">
      <c r="A146" s="58"/>
      <c r="B146" s="59"/>
      <c r="C146" s="59"/>
      <c r="D146" s="60"/>
      <c r="E146" s="58"/>
      <c r="F146" s="59"/>
      <c r="G146" s="59"/>
      <c r="H146" s="59"/>
      <c r="I146" s="6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</row>
    <row r="147" spans="1:47">
      <c r="A147" s="58"/>
      <c r="B147" s="59"/>
      <c r="C147" s="59"/>
      <c r="D147" s="60"/>
      <c r="E147" s="58"/>
      <c r="F147" s="59"/>
      <c r="G147" s="59"/>
      <c r="H147" s="59"/>
      <c r="I147" s="6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</row>
    <row r="148" spans="1:47">
      <c r="A148" s="58"/>
      <c r="B148" s="59"/>
      <c r="C148" s="59"/>
      <c r="D148" s="60"/>
      <c r="E148" s="58"/>
      <c r="F148" s="59"/>
      <c r="G148" s="59"/>
      <c r="H148" s="59"/>
      <c r="I148" s="6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</row>
    <row r="149" spans="1:47">
      <c r="A149" s="58"/>
      <c r="B149" s="59"/>
      <c r="C149" s="59"/>
      <c r="D149" s="60"/>
      <c r="E149" s="58"/>
      <c r="F149" s="59"/>
      <c r="G149" s="59"/>
      <c r="H149" s="59"/>
      <c r="I149" s="6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</row>
    <row r="150" spans="1:47">
      <c r="A150" s="58"/>
      <c r="B150" s="59"/>
      <c r="C150" s="59"/>
      <c r="D150" s="60"/>
      <c r="E150" s="58"/>
      <c r="F150" s="59"/>
      <c r="G150" s="59"/>
      <c r="H150" s="59"/>
      <c r="I150" s="6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</row>
    <row r="151" spans="1:47">
      <c r="A151" s="58"/>
      <c r="B151" s="59"/>
      <c r="C151" s="59"/>
      <c r="D151" s="60"/>
      <c r="E151" s="58"/>
      <c r="F151" s="59"/>
      <c r="G151" s="59"/>
      <c r="H151" s="59"/>
      <c r="I151" s="6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</row>
    <row r="152" spans="1:47">
      <c r="A152" s="58"/>
      <c r="B152" s="59"/>
      <c r="C152" s="59"/>
      <c r="D152" s="60"/>
      <c r="E152" s="58"/>
      <c r="F152" s="59"/>
      <c r="G152" s="59"/>
      <c r="H152" s="59"/>
      <c r="I152" s="6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</row>
    <row r="153" spans="1:47">
      <c r="A153" s="58"/>
      <c r="B153" s="59"/>
      <c r="C153" s="59"/>
      <c r="D153" s="60"/>
      <c r="E153" s="58"/>
      <c r="F153" s="59"/>
      <c r="G153" s="59"/>
      <c r="H153" s="59"/>
      <c r="I153" s="6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</row>
    <row r="154" spans="1:47">
      <c r="A154" s="58"/>
      <c r="B154" s="59"/>
      <c r="C154" s="59"/>
      <c r="D154" s="60"/>
      <c r="E154" s="58"/>
      <c r="F154" s="59"/>
      <c r="G154" s="59"/>
      <c r="H154" s="59"/>
      <c r="I154" s="6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</row>
    <row r="155" spans="1:47">
      <c r="A155" s="58"/>
      <c r="B155" s="59"/>
      <c r="C155" s="59"/>
      <c r="D155" s="60"/>
      <c r="E155" s="58"/>
      <c r="F155" s="59"/>
      <c r="G155" s="59"/>
      <c r="H155" s="59"/>
      <c r="I155" s="6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</row>
    <row r="156" spans="1:47">
      <c r="A156" s="58"/>
      <c r="B156" s="59"/>
      <c r="C156" s="59"/>
      <c r="D156" s="60"/>
      <c r="E156" s="58"/>
      <c r="F156" s="59"/>
      <c r="G156" s="59"/>
      <c r="H156" s="59"/>
      <c r="I156" s="6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</row>
    <row r="157" spans="1:47">
      <c r="A157" s="58"/>
      <c r="B157" s="59"/>
      <c r="C157" s="59"/>
      <c r="D157" s="60"/>
      <c r="E157" s="58"/>
      <c r="F157" s="59"/>
      <c r="G157" s="59"/>
      <c r="H157" s="59"/>
      <c r="I157" s="6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</row>
    <row r="158" spans="1:47">
      <c r="A158" s="58"/>
      <c r="B158" s="59"/>
      <c r="C158" s="59"/>
      <c r="D158" s="60"/>
      <c r="E158" s="58"/>
      <c r="F158" s="59"/>
      <c r="G158" s="59"/>
      <c r="H158" s="59"/>
      <c r="I158" s="6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</row>
    <row r="159" spans="1:47">
      <c r="A159" s="58"/>
      <c r="B159" s="59"/>
      <c r="C159" s="59"/>
      <c r="D159" s="60"/>
      <c r="E159" s="58"/>
      <c r="F159" s="59"/>
      <c r="G159" s="59"/>
      <c r="H159" s="59"/>
      <c r="I159" s="6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</row>
    <row r="160" spans="1:47">
      <c r="A160" s="58"/>
      <c r="B160" s="59"/>
      <c r="C160" s="59"/>
      <c r="D160" s="60"/>
      <c r="E160" s="58"/>
      <c r="F160" s="59"/>
      <c r="G160" s="59"/>
      <c r="H160" s="59"/>
      <c r="I160" s="6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</row>
    <row r="161" spans="1:47">
      <c r="A161" s="58"/>
      <c r="B161" s="59"/>
      <c r="C161" s="59"/>
      <c r="D161" s="60"/>
      <c r="E161" s="58"/>
      <c r="F161" s="59"/>
      <c r="G161" s="59"/>
      <c r="H161" s="59"/>
      <c r="I161" s="6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</row>
    <row r="162" spans="1:47">
      <c r="A162" s="58"/>
      <c r="B162" s="59"/>
      <c r="C162" s="59"/>
      <c r="D162" s="60"/>
      <c r="E162" s="58"/>
      <c r="F162" s="59"/>
      <c r="G162" s="59"/>
      <c r="H162" s="59"/>
      <c r="I162" s="6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</row>
    <row r="163" spans="1:47">
      <c r="A163" s="58"/>
      <c r="B163" s="59"/>
      <c r="C163" s="59"/>
      <c r="D163" s="60"/>
      <c r="E163" s="58"/>
      <c r="F163" s="59"/>
      <c r="G163" s="59"/>
      <c r="H163" s="59"/>
      <c r="I163" s="6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</row>
    <row r="164" spans="1:47">
      <c r="A164" s="58"/>
      <c r="B164" s="59"/>
      <c r="C164" s="59"/>
      <c r="D164" s="60"/>
      <c r="E164" s="58"/>
      <c r="F164" s="59"/>
      <c r="G164" s="59"/>
      <c r="H164" s="59"/>
      <c r="I164" s="6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</row>
    <row r="165" spans="1:47">
      <c r="A165" s="58"/>
      <c r="B165" s="59"/>
      <c r="C165" s="59"/>
      <c r="D165" s="60"/>
      <c r="E165" s="58"/>
      <c r="F165" s="59"/>
      <c r="G165" s="59"/>
      <c r="H165" s="59"/>
      <c r="I165" s="6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</row>
    <row r="166" spans="1:47">
      <c r="A166" s="58"/>
      <c r="B166" s="59"/>
      <c r="C166" s="59"/>
      <c r="D166" s="60"/>
      <c r="E166" s="58"/>
      <c r="F166" s="59"/>
      <c r="G166" s="59"/>
      <c r="H166" s="59"/>
      <c r="I166" s="6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</row>
    <row r="167" spans="1:47">
      <c r="A167" s="58"/>
      <c r="B167" s="59"/>
      <c r="C167" s="59"/>
      <c r="D167" s="60"/>
      <c r="E167" s="58"/>
      <c r="F167" s="59"/>
      <c r="G167" s="59"/>
      <c r="H167" s="59"/>
      <c r="I167" s="6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</row>
    <row r="168" spans="1:47">
      <c r="A168" s="58"/>
      <c r="B168" s="59"/>
      <c r="C168" s="59"/>
      <c r="D168" s="60"/>
      <c r="E168" s="58"/>
      <c r="F168" s="59"/>
      <c r="G168" s="59"/>
      <c r="H168" s="59"/>
      <c r="I168" s="6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</row>
    <row r="169" spans="1:47">
      <c r="A169" s="58"/>
      <c r="B169" s="59"/>
      <c r="C169" s="59"/>
      <c r="D169" s="60"/>
      <c r="E169" s="58"/>
      <c r="F169" s="59"/>
      <c r="G169" s="59"/>
      <c r="H169" s="59"/>
      <c r="I169" s="6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</row>
    <row r="170" spans="1:47">
      <c r="A170" s="58"/>
      <c r="B170" s="59"/>
      <c r="C170" s="59"/>
      <c r="D170" s="60"/>
      <c r="E170" s="58"/>
      <c r="F170" s="59"/>
      <c r="G170" s="59"/>
      <c r="H170" s="59"/>
      <c r="I170" s="6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</row>
    <row r="171" spans="1:47">
      <c r="A171" s="58"/>
      <c r="B171" s="59"/>
      <c r="C171" s="59"/>
      <c r="D171" s="60"/>
      <c r="E171" s="58"/>
      <c r="F171" s="59"/>
      <c r="G171" s="59"/>
      <c r="H171" s="59"/>
      <c r="I171" s="6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</row>
    <row r="172" spans="1:47">
      <c r="A172" s="58"/>
      <c r="B172" s="59"/>
      <c r="C172" s="59"/>
      <c r="D172" s="60"/>
      <c r="E172" s="58"/>
      <c r="F172" s="59"/>
      <c r="G172" s="59"/>
      <c r="H172" s="59"/>
      <c r="I172" s="6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</row>
    <row r="173" spans="1:47">
      <c r="A173" s="58"/>
      <c r="B173" s="59"/>
      <c r="C173" s="59"/>
      <c r="D173" s="60"/>
      <c r="E173" s="58"/>
      <c r="F173" s="59"/>
      <c r="G173" s="59"/>
      <c r="H173" s="59"/>
      <c r="I173" s="6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</row>
    <row r="174" spans="1:47">
      <c r="A174" s="58"/>
      <c r="B174" s="59"/>
      <c r="C174" s="59"/>
      <c r="D174" s="60"/>
      <c r="E174" s="58"/>
      <c r="F174" s="59"/>
      <c r="G174" s="59"/>
      <c r="H174" s="59"/>
      <c r="I174" s="6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</row>
    <row r="175" spans="1:47">
      <c r="A175" s="58"/>
      <c r="B175" s="59"/>
      <c r="C175" s="59"/>
      <c r="D175" s="60"/>
      <c r="E175" s="58"/>
      <c r="F175" s="59"/>
      <c r="G175" s="59"/>
      <c r="H175" s="59"/>
      <c r="I175" s="6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</row>
    <row r="176" spans="1:47">
      <c r="A176" s="58"/>
      <c r="B176" s="59"/>
      <c r="C176" s="59"/>
      <c r="D176" s="60"/>
      <c r="E176" s="58"/>
      <c r="F176" s="59"/>
      <c r="G176" s="59"/>
      <c r="H176" s="59"/>
      <c r="I176" s="6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</row>
    <row r="177" spans="1:29">
      <c r="A177" s="58"/>
      <c r="B177" s="59"/>
      <c r="C177" s="59"/>
      <c r="D177" s="60"/>
      <c r="E177" s="58"/>
      <c r="F177" s="59"/>
      <c r="G177" s="59"/>
      <c r="H177" s="59"/>
      <c r="I177" s="6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</row>
    <row r="178" spans="1:29">
      <c r="A178" s="58"/>
      <c r="B178" s="59"/>
      <c r="C178" s="59"/>
      <c r="D178" s="60"/>
      <c r="E178" s="58"/>
      <c r="F178" s="59"/>
      <c r="G178" s="59"/>
      <c r="H178" s="59"/>
      <c r="I178" s="6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</row>
    <row r="179" spans="1:29">
      <c r="A179" s="58"/>
      <c r="B179" s="59"/>
      <c r="C179" s="59"/>
      <c r="D179" s="60"/>
      <c r="E179" s="58"/>
      <c r="F179" s="59"/>
      <c r="G179" s="59"/>
      <c r="H179" s="59"/>
      <c r="I179" s="6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</row>
    <row r="180" spans="1:29">
      <c r="A180" s="58"/>
      <c r="B180" s="59"/>
      <c r="C180" s="59"/>
      <c r="D180" s="60"/>
      <c r="E180" s="58"/>
      <c r="F180" s="59"/>
      <c r="G180" s="59"/>
      <c r="H180" s="59"/>
      <c r="I180" s="6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</row>
    <row r="181" spans="1:29">
      <c r="A181" s="58"/>
      <c r="B181" s="59"/>
      <c r="C181" s="59"/>
      <c r="D181" s="60"/>
      <c r="E181" s="58"/>
      <c r="F181" s="59"/>
      <c r="G181" s="59"/>
      <c r="H181" s="59"/>
      <c r="I181" s="6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</row>
    <row r="182" spans="1:29">
      <c r="A182" s="58"/>
      <c r="B182" s="59"/>
      <c r="C182" s="59"/>
      <c r="D182" s="60"/>
      <c r="E182" s="58"/>
      <c r="F182" s="59"/>
      <c r="G182" s="59"/>
      <c r="H182" s="59"/>
      <c r="I182" s="6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</row>
    <row r="183" spans="1:29">
      <c r="A183" s="58"/>
      <c r="B183" s="59"/>
      <c r="C183" s="59"/>
      <c r="D183" s="60"/>
      <c r="E183" s="58"/>
      <c r="F183" s="59"/>
      <c r="G183" s="59"/>
      <c r="H183" s="59"/>
      <c r="I183" s="6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</row>
    <row r="184" spans="1:29">
      <c r="A184" s="58"/>
      <c r="B184" s="59"/>
      <c r="C184" s="59"/>
      <c r="D184" s="60"/>
      <c r="E184" s="58"/>
      <c r="F184" s="59"/>
      <c r="G184" s="59"/>
      <c r="H184" s="59"/>
      <c r="I184" s="6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</row>
    <row r="185" spans="1:29">
      <c r="A185" s="58"/>
      <c r="B185" s="59"/>
      <c r="C185" s="59"/>
      <c r="D185" s="60"/>
      <c r="E185" s="58"/>
      <c r="F185" s="59"/>
      <c r="G185" s="59"/>
      <c r="H185" s="59"/>
      <c r="I185" s="6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</row>
    <row r="186" spans="1:29">
      <c r="A186" s="58"/>
      <c r="B186" s="59"/>
      <c r="C186" s="59"/>
      <c r="D186" s="60"/>
      <c r="E186" s="58"/>
      <c r="F186" s="59"/>
      <c r="G186" s="59"/>
      <c r="H186" s="59"/>
      <c r="I186" s="6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</row>
    <row r="187" spans="1:29">
      <c r="A187" s="58"/>
      <c r="B187" s="59"/>
      <c r="C187" s="59"/>
      <c r="D187" s="60"/>
      <c r="E187" s="58"/>
      <c r="F187" s="59"/>
      <c r="G187" s="59"/>
      <c r="H187" s="59"/>
      <c r="I187" s="6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</row>
    <row r="188" spans="1:29">
      <c r="A188" s="58"/>
      <c r="B188" s="59"/>
      <c r="C188" s="59"/>
      <c r="D188" s="60"/>
      <c r="E188" s="58"/>
      <c r="F188" s="59"/>
      <c r="G188" s="59"/>
      <c r="H188" s="59"/>
      <c r="I188" s="6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</row>
    <row r="189" spans="1:29">
      <c r="A189" s="58"/>
      <c r="B189" s="59"/>
      <c r="C189" s="59"/>
      <c r="D189" s="60"/>
      <c r="E189" s="58"/>
      <c r="F189" s="59"/>
      <c r="G189" s="59"/>
      <c r="H189" s="59"/>
      <c r="I189" s="6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</row>
    <row r="190" spans="1:29">
      <c r="A190" s="58"/>
      <c r="B190" s="59"/>
      <c r="C190" s="59"/>
      <c r="D190" s="60"/>
      <c r="E190" s="58"/>
      <c r="F190" s="59"/>
      <c r="G190" s="59"/>
      <c r="H190" s="59"/>
      <c r="I190" s="6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</row>
    <row r="191" spans="1:29">
      <c r="A191" s="58"/>
      <c r="B191" s="59"/>
      <c r="C191" s="59"/>
      <c r="D191" s="60"/>
      <c r="E191" s="58"/>
      <c r="F191" s="59"/>
      <c r="G191" s="59"/>
      <c r="H191" s="59"/>
      <c r="I191" s="6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</row>
    <row r="192" spans="1:29">
      <c r="A192" s="58"/>
      <c r="B192" s="59"/>
      <c r="C192" s="59"/>
      <c r="D192" s="60"/>
      <c r="E192" s="58"/>
      <c r="F192" s="59"/>
      <c r="G192" s="59"/>
      <c r="H192" s="59"/>
      <c r="I192" s="6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</row>
    <row r="193" spans="1:29">
      <c r="A193" s="58"/>
      <c r="B193" s="59"/>
      <c r="C193" s="59"/>
      <c r="D193" s="60"/>
      <c r="E193" s="58"/>
      <c r="F193" s="59"/>
      <c r="G193" s="59"/>
      <c r="H193" s="59"/>
      <c r="I193" s="6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</row>
    <row r="194" spans="1:29">
      <c r="A194" s="58"/>
      <c r="B194" s="59"/>
      <c r="C194" s="59"/>
      <c r="D194" s="60"/>
      <c r="E194" s="58"/>
      <c r="F194" s="59"/>
      <c r="G194" s="59"/>
      <c r="H194" s="59"/>
      <c r="I194" s="6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</row>
    <row r="195" spans="1:29">
      <c r="A195" s="58"/>
      <c r="B195" s="59"/>
      <c r="C195" s="59"/>
      <c r="D195" s="60"/>
      <c r="E195" s="58"/>
      <c r="F195" s="59"/>
      <c r="G195" s="59"/>
      <c r="H195" s="59"/>
      <c r="I195" s="6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</row>
    <row r="196" spans="1:29">
      <c r="A196" s="58"/>
      <c r="B196" s="59"/>
      <c r="C196" s="59"/>
      <c r="D196" s="60"/>
      <c r="E196" s="58"/>
      <c r="F196" s="59"/>
      <c r="G196" s="59"/>
      <c r="H196" s="59"/>
      <c r="I196" s="6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</row>
    <row r="197" spans="1:29">
      <c r="A197" s="58"/>
      <c r="B197" s="59"/>
      <c r="C197" s="59"/>
      <c r="D197" s="60"/>
      <c r="E197" s="58"/>
      <c r="F197" s="59"/>
      <c r="G197" s="59"/>
      <c r="H197" s="59"/>
      <c r="I197" s="6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</row>
    <row r="198" spans="1:29">
      <c r="A198" s="58"/>
      <c r="B198" s="59"/>
      <c r="C198" s="59"/>
      <c r="D198" s="60"/>
      <c r="E198" s="58"/>
      <c r="F198" s="59"/>
      <c r="G198" s="59"/>
      <c r="H198" s="59"/>
      <c r="I198" s="6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</row>
    <row r="199" spans="1:29">
      <c r="A199" s="58"/>
      <c r="B199" s="59"/>
      <c r="C199" s="59"/>
      <c r="D199" s="60"/>
      <c r="E199" s="58"/>
      <c r="F199" s="59"/>
      <c r="G199" s="59"/>
      <c r="H199" s="59"/>
      <c r="I199" s="6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</row>
    <row r="200" spans="1:29">
      <c r="A200" s="58"/>
      <c r="B200" s="59"/>
      <c r="C200" s="59"/>
      <c r="D200" s="60"/>
      <c r="E200" s="58"/>
      <c r="F200" s="59"/>
      <c r="G200" s="59"/>
      <c r="H200" s="59"/>
      <c r="I200" s="6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</row>
    <row r="201" spans="1:29">
      <c r="A201" s="58"/>
      <c r="B201" s="59"/>
      <c r="C201" s="59"/>
      <c r="D201" s="60"/>
      <c r="E201" s="58"/>
      <c r="F201" s="59"/>
      <c r="G201" s="59"/>
      <c r="H201" s="59"/>
      <c r="I201" s="6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</row>
    <row r="202" spans="1:29">
      <c r="A202" s="58"/>
      <c r="B202" s="59"/>
      <c r="C202" s="59"/>
      <c r="D202" s="60"/>
      <c r="E202" s="58"/>
      <c r="F202" s="59"/>
      <c r="G202" s="59"/>
      <c r="H202" s="59"/>
      <c r="I202" s="6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</row>
    <row r="203" spans="1:29">
      <c r="A203" s="58"/>
      <c r="B203" s="59"/>
      <c r="C203" s="59"/>
      <c r="D203" s="60"/>
      <c r="E203" s="58"/>
      <c r="F203" s="59"/>
      <c r="G203" s="59"/>
      <c r="H203" s="59"/>
      <c r="I203" s="6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</row>
    <row r="204" spans="1:29">
      <c r="A204" s="58"/>
      <c r="B204" s="59"/>
      <c r="C204" s="59"/>
      <c r="D204" s="60"/>
      <c r="E204" s="58"/>
      <c r="F204" s="59"/>
      <c r="G204" s="59"/>
      <c r="H204" s="59"/>
      <c r="I204" s="6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</row>
    <row r="205" spans="1:29">
      <c r="A205" s="58"/>
      <c r="B205" s="59"/>
      <c r="C205" s="59"/>
      <c r="D205" s="60"/>
      <c r="E205" s="58"/>
      <c r="F205" s="59"/>
      <c r="G205" s="59"/>
      <c r="H205" s="59"/>
      <c r="I205" s="6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</row>
    <row r="206" spans="1:29">
      <c r="A206" s="58"/>
      <c r="B206" s="59"/>
      <c r="C206" s="59"/>
      <c r="D206" s="60"/>
      <c r="E206" s="58"/>
      <c r="F206" s="59"/>
      <c r="G206" s="59"/>
      <c r="H206" s="59"/>
      <c r="I206" s="6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</row>
    <row r="207" spans="1:29">
      <c r="A207" s="58"/>
      <c r="B207" s="59"/>
      <c r="C207" s="59"/>
      <c r="D207" s="60"/>
      <c r="E207" s="58"/>
      <c r="F207" s="59"/>
      <c r="G207" s="59"/>
      <c r="H207" s="59"/>
      <c r="I207" s="6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</row>
    <row r="208" spans="1:29">
      <c r="A208" s="58"/>
      <c r="B208" s="59"/>
      <c r="C208" s="59"/>
      <c r="D208" s="60"/>
      <c r="E208" s="58"/>
      <c r="F208" s="59"/>
      <c r="G208" s="59"/>
      <c r="H208" s="59"/>
      <c r="I208" s="6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</row>
    <row r="209" spans="1:29">
      <c r="A209" s="58"/>
      <c r="B209" s="59"/>
      <c r="C209" s="59"/>
      <c r="D209" s="60"/>
      <c r="E209" s="58"/>
      <c r="F209" s="59"/>
      <c r="G209" s="59"/>
      <c r="H209" s="59"/>
      <c r="I209" s="6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</row>
    <row r="210" spans="1:29">
      <c r="A210" s="58"/>
      <c r="B210" s="59"/>
      <c r="C210" s="59"/>
      <c r="D210" s="60"/>
      <c r="E210" s="58"/>
      <c r="F210" s="59"/>
      <c r="G210" s="59"/>
      <c r="H210" s="59"/>
      <c r="I210" s="6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</row>
    <row r="211" spans="1:29">
      <c r="A211" s="58"/>
      <c r="B211" s="59"/>
      <c r="C211" s="59"/>
      <c r="D211" s="60"/>
      <c r="E211" s="58"/>
      <c r="F211" s="59"/>
      <c r="G211" s="59"/>
      <c r="H211" s="59"/>
      <c r="I211" s="6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</row>
    <row r="212" spans="1:29">
      <c r="A212" s="58"/>
      <c r="B212" s="59"/>
      <c r="C212" s="59"/>
      <c r="D212" s="60"/>
      <c r="E212" s="58"/>
      <c r="F212" s="59"/>
      <c r="G212" s="59"/>
      <c r="H212" s="59"/>
      <c r="I212" s="6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</row>
    <row r="213" spans="1:29">
      <c r="A213" s="58"/>
      <c r="B213" s="59"/>
      <c r="C213" s="59"/>
      <c r="D213" s="60"/>
      <c r="E213" s="58"/>
      <c r="F213" s="59"/>
      <c r="G213" s="59"/>
      <c r="H213" s="59"/>
      <c r="I213" s="6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</row>
    <row r="214" spans="1:29">
      <c r="A214" s="58"/>
      <c r="B214" s="59"/>
      <c r="C214" s="59"/>
      <c r="D214" s="60"/>
      <c r="E214" s="58"/>
      <c r="F214" s="59"/>
      <c r="G214" s="59"/>
      <c r="H214" s="59"/>
      <c r="I214" s="6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</row>
    <row r="215" spans="1:29">
      <c r="A215" s="58"/>
      <c r="B215" s="59"/>
      <c r="C215" s="59"/>
      <c r="D215" s="60"/>
      <c r="E215" s="58"/>
      <c r="F215" s="59"/>
      <c r="G215" s="59"/>
      <c r="H215" s="59"/>
      <c r="I215" s="6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</row>
    <row r="216" spans="1:29">
      <c r="A216" s="58"/>
      <c r="B216" s="59"/>
      <c r="C216" s="59"/>
      <c r="D216" s="60"/>
      <c r="E216" s="58"/>
      <c r="F216" s="59"/>
      <c r="G216" s="59"/>
      <c r="H216" s="59"/>
      <c r="I216" s="6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</row>
    <row r="217" spans="1:29">
      <c r="A217" s="58"/>
      <c r="B217" s="59"/>
      <c r="C217" s="59"/>
      <c r="D217" s="60"/>
      <c r="E217" s="58"/>
      <c r="F217" s="59"/>
      <c r="G217" s="59"/>
      <c r="H217" s="59"/>
      <c r="I217" s="6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</row>
    <row r="218" spans="1:29">
      <c r="A218" s="58"/>
      <c r="B218" s="59"/>
      <c r="C218" s="59"/>
      <c r="D218" s="60"/>
      <c r="E218" s="58"/>
      <c r="F218" s="59"/>
      <c r="G218" s="59"/>
      <c r="H218" s="59"/>
      <c r="I218" s="6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</row>
    <row r="219" spans="1:29">
      <c r="A219" s="58"/>
      <c r="B219" s="59"/>
      <c r="C219" s="59"/>
      <c r="D219" s="60"/>
      <c r="E219" s="58"/>
      <c r="F219" s="59"/>
      <c r="G219" s="59"/>
      <c r="H219" s="59"/>
      <c r="I219" s="6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</row>
    <row r="220" spans="1:29">
      <c r="A220" s="58"/>
      <c r="B220" s="59"/>
      <c r="C220" s="59"/>
      <c r="D220" s="60"/>
      <c r="E220" s="58"/>
      <c r="F220" s="59"/>
      <c r="G220" s="59"/>
      <c r="H220" s="59"/>
      <c r="I220" s="6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</row>
    <row r="221" spans="1:29">
      <c r="A221" s="58"/>
      <c r="B221" s="59"/>
      <c r="C221" s="59"/>
      <c r="D221" s="60"/>
      <c r="E221" s="58"/>
      <c r="F221" s="59"/>
      <c r="G221" s="59"/>
      <c r="H221" s="59"/>
      <c r="I221" s="6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</row>
    <row r="222" spans="1:29">
      <c r="A222" s="58"/>
      <c r="B222" s="59"/>
      <c r="C222" s="59"/>
      <c r="D222" s="60"/>
      <c r="E222" s="58"/>
      <c r="F222" s="59"/>
      <c r="G222" s="59"/>
      <c r="H222" s="59"/>
      <c r="I222" s="6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</row>
    <row r="223" spans="1:29">
      <c r="A223" s="58"/>
      <c r="B223" s="59"/>
      <c r="C223" s="59"/>
      <c r="D223" s="60"/>
      <c r="E223" s="58"/>
      <c r="F223" s="59"/>
      <c r="G223" s="59"/>
      <c r="H223" s="59"/>
      <c r="I223" s="6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</row>
    <row r="224" spans="1:29">
      <c r="A224" s="58"/>
      <c r="B224" s="59"/>
      <c r="C224" s="59"/>
      <c r="D224" s="60"/>
      <c r="E224" s="58"/>
      <c r="F224" s="59"/>
      <c r="G224" s="59"/>
      <c r="H224" s="59"/>
      <c r="I224" s="6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</row>
    <row r="225" spans="1:29">
      <c r="A225" s="58"/>
      <c r="B225" s="59"/>
      <c r="C225" s="59"/>
      <c r="D225" s="60"/>
      <c r="E225" s="58"/>
      <c r="F225" s="59"/>
      <c r="G225" s="59"/>
      <c r="H225" s="59"/>
      <c r="I225" s="6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</row>
    <row r="226" spans="1:29">
      <c r="A226" s="58"/>
      <c r="B226" s="59"/>
      <c r="C226" s="59"/>
      <c r="D226" s="60"/>
      <c r="E226" s="58"/>
      <c r="F226" s="59"/>
      <c r="G226" s="59"/>
      <c r="H226" s="59"/>
      <c r="I226" s="61"/>
    </row>
    <row r="227" spans="1:29">
      <c r="A227" s="58"/>
      <c r="B227" s="59"/>
      <c r="C227" s="59"/>
      <c r="D227" s="60"/>
      <c r="E227" s="58"/>
      <c r="F227" s="59"/>
      <c r="G227" s="59"/>
      <c r="H227" s="59"/>
      <c r="I227" s="61"/>
    </row>
    <row r="228" spans="1:29">
      <c r="A228" s="58"/>
      <c r="B228" s="59"/>
      <c r="C228" s="59"/>
      <c r="D228" s="60"/>
      <c r="E228" s="58"/>
      <c r="F228" s="59"/>
      <c r="G228" s="59"/>
      <c r="H228" s="59"/>
      <c r="I228" s="61"/>
    </row>
    <row r="229" spans="1:29">
      <c r="A229" s="58"/>
      <c r="B229" s="59"/>
      <c r="C229" s="59"/>
      <c r="D229" s="60"/>
      <c r="E229" s="58"/>
      <c r="F229" s="59"/>
      <c r="G229" s="59"/>
      <c r="H229" s="59"/>
      <c r="I229" s="61"/>
    </row>
    <row r="230" spans="1:29">
      <c r="A230" s="58"/>
      <c r="B230" s="59"/>
      <c r="C230" s="59"/>
      <c r="D230" s="60"/>
      <c r="E230" s="58"/>
      <c r="F230" s="59"/>
      <c r="G230" s="59"/>
      <c r="H230" s="59"/>
      <c r="I230" s="61"/>
    </row>
    <row r="231" spans="1:29">
      <c r="A231" s="58"/>
      <c r="B231" s="59"/>
      <c r="C231" s="59"/>
      <c r="D231" s="60"/>
      <c r="E231" s="58"/>
      <c r="F231" s="59"/>
      <c r="G231" s="59"/>
      <c r="H231" s="59"/>
      <c r="I231" s="61"/>
    </row>
    <row r="232" spans="1:29">
      <c r="A232" s="58"/>
      <c r="B232" s="59"/>
      <c r="C232" s="59"/>
      <c r="D232" s="60"/>
      <c r="E232" s="58"/>
      <c r="F232" s="59"/>
      <c r="G232" s="59"/>
      <c r="H232" s="59"/>
      <c r="I232" s="61"/>
    </row>
    <row r="233" spans="1:29">
      <c r="A233" s="58"/>
      <c r="B233" s="59"/>
      <c r="C233" s="59"/>
      <c r="D233" s="60"/>
      <c r="E233" s="58"/>
      <c r="F233" s="59"/>
      <c r="G233" s="59"/>
      <c r="H233" s="59"/>
      <c r="I233" s="61"/>
    </row>
    <row r="234" spans="1:29">
      <c r="A234" s="58"/>
      <c r="B234" s="59"/>
      <c r="C234" s="59"/>
      <c r="D234" s="60"/>
      <c r="E234" s="58"/>
      <c r="F234" s="59"/>
      <c r="G234" s="59"/>
      <c r="H234" s="59"/>
      <c r="I234" s="61"/>
    </row>
    <row r="235" spans="1:29">
      <c r="A235" s="58"/>
      <c r="B235" s="59"/>
      <c r="C235" s="59"/>
      <c r="D235" s="60"/>
      <c r="E235" s="58"/>
      <c r="F235" s="59"/>
      <c r="G235" s="59"/>
      <c r="H235" s="59"/>
      <c r="I235" s="61"/>
    </row>
    <row r="236" spans="1:29">
      <c r="A236" s="58"/>
      <c r="B236" s="59"/>
      <c r="C236" s="59"/>
      <c r="D236" s="60"/>
      <c r="E236" s="58"/>
      <c r="F236" s="59"/>
      <c r="G236" s="59"/>
      <c r="H236" s="59"/>
      <c r="I236" s="61"/>
    </row>
    <row r="237" spans="1:29">
      <c r="A237" s="58"/>
      <c r="B237" s="59"/>
      <c r="C237" s="59"/>
      <c r="D237" s="60"/>
      <c r="E237" s="58"/>
      <c r="F237" s="59"/>
      <c r="G237" s="59"/>
      <c r="H237" s="59"/>
      <c r="I237" s="61"/>
    </row>
    <row r="238" spans="1:29">
      <c r="A238" s="58"/>
      <c r="B238" s="59"/>
      <c r="C238" s="59"/>
      <c r="D238" s="60"/>
      <c r="E238" s="58"/>
      <c r="F238" s="59"/>
      <c r="G238" s="59"/>
      <c r="H238" s="59"/>
      <c r="I238" s="61"/>
    </row>
    <row r="239" spans="1:29">
      <c r="A239" s="58"/>
      <c r="B239" s="59"/>
      <c r="C239" s="59"/>
      <c r="D239" s="60"/>
      <c r="E239" s="58"/>
      <c r="F239" s="59"/>
      <c r="G239" s="59"/>
      <c r="H239" s="59"/>
      <c r="I239" s="61"/>
    </row>
    <row r="240" spans="1:29">
      <c r="A240" s="58"/>
      <c r="B240" s="59"/>
      <c r="C240" s="59"/>
      <c r="D240" s="60"/>
      <c r="E240" s="58"/>
      <c r="F240" s="59"/>
      <c r="G240" s="59"/>
      <c r="H240" s="59"/>
      <c r="I240" s="61"/>
    </row>
    <row r="241" spans="1:9">
      <c r="A241" s="58"/>
      <c r="B241" s="59"/>
      <c r="C241" s="59"/>
      <c r="D241" s="60"/>
      <c r="E241" s="58"/>
      <c r="F241" s="59"/>
      <c r="G241" s="59"/>
      <c r="H241" s="59"/>
      <c r="I241" s="61"/>
    </row>
    <row r="242" spans="1:9">
      <c r="A242" s="58"/>
      <c r="B242" s="59"/>
      <c r="C242" s="59"/>
      <c r="D242" s="60"/>
      <c r="E242" s="58"/>
      <c r="F242" s="59"/>
      <c r="G242" s="59"/>
      <c r="H242" s="59"/>
      <c r="I242" s="61"/>
    </row>
    <row r="243" spans="1:9">
      <c r="A243" s="58"/>
      <c r="B243" s="59"/>
      <c r="C243" s="59"/>
      <c r="D243" s="60"/>
      <c r="E243" s="58"/>
      <c r="F243" s="59"/>
      <c r="G243" s="59"/>
      <c r="H243" s="59"/>
      <c r="I243" s="61"/>
    </row>
    <row r="244" spans="1:9">
      <c r="A244" s="58"/>
      <c r="B244" s="59"/>
      <c r="C244" s="59"/>
      <c r="D244" s="60"/>
      <c r="E244" s="58"/>
      <c r="F244" s="59"/>
      <c r="G244" s="59"/>
      <c r="H244" s="59"/>
      <c r="I244" s="61"/>
    </row>
    <row r="245" spans="1:9">
      <c r="A245" s="58"/>
      <c r="B245" s="59"/>
      <c r="C245" s="59"/>
      <c r="D245" s="60"/>
      <c r="E245" s="58"/>
      <c r="F245" s="59"/>
      <c r="G245" s="59"/>
      <c r="H245" s="59"/>
      <c r="I245" s="61"/>
    </row>
    <row r="246" spans="1:9">
      <c r="A246" s="58"/>
      <c r="B246" s="59"/>
      <c r="C246" s="59"/>
      <c r="D246" s="60"/>
      <c r="E246" s="58"/>
      <c r="F246" s="59"/>
      <c r="G246" s="59"/>
      <c r="H246" s="59"/>
      <c r="I246" s="61"/>
    </row>
    <row r="247" spans="1:9">
      <c r="A247" s="58"/>
      <c r="B247" s="59"/>
      <c r="C247" s="59"/>
      <c r="D247" s="60"/>
      <c r="E247" s="58"/>
      <c r="F247" s="59"/>
      <c r="G247" s="59"/>
      <c r="H247" s="59"/>
      <c r="I247" s="61"/>
    </row>
    <row r="248" spans="1:9">
      <c r="A248" s="58"/>
      <c r="B248" s="59"/>
      <c r="C248" s="59"/>
      <c r="D248" s="60"/>
      <c r="E248" s="58"/>
      <c r="F248" s="59"/>
      <c r="G248" s="59"/>
      <c r="H248" s="59"/>
      <c r="I248" s="61"/>
    </row>
    <row r="249" spans="1:9">
      <c r="A249" s="58"/>
      <c r="B249" s="59"/>
      <c r="C249" s="59"/>
      <c r="D249" s="60"/>
      <c r="E249" s="58"/>
      <c r="F249" s="59"/>
      <c r="G249" s="59"/>
      <c r="H249" s="59"/>
      <c r="I249" s="61"/>
    </row>
    <row r="250" spans="1:9">
      <c r="A250" s="58"/>
      <c r="B250" s="59"/>
      <c r="C250" s="59"/>
      <c r="D250" s="60"/>
      <c r="E250" s="58"/>
      <c r="F250" s="59"/>
      <c r="G250" s="59"/>
      <c r="H250" s="59"/>
      <c r="I250" s="61"/>
    </row>
    <row r="251" spans="1:9">
      <c r="A251" s="58"/>
      <c r="B251" s="59"/>
      <c r="C251" s="59"/>
      <c r="D251" s="60"/>
      <c r="E251" s="58"/>
      <c r="F251" s="59"/>
      <c r="G251" s="59"/>
      <c r="H251" s="59"/>
      <c r="I251" s="61"/>
    </row>
    <row r="252" spans="1:9">
      <c r="A252" s="58"/>
      <c r="B252" s="59"/>
      <c r="C252" s="59"/>
      <c r="D252" s="60"/>
      <c r="E252" s="58"/>
      <c r="F252" s="59"/>
      <c r="G252" s="59"/>
      <c r="H252" s="59"/>
      <c r="I252" s="61"/>
    </row>
    <row r="253" spans="1:9">
      <c r="A253" s="58"/>
      <c r="B253" s="59"/>
      <c r="C253" s="59"/>
      <c r="D253" s="60"/>
      <c r="E253" s="58"/>
      <c r="F253" s="59"/>
      <c r="G253" s="59"/>
      <c r="H253" s="59"/>
      <c r="I253" s="61"/>
    </row>
    <row r="254" spans="1:9">
      <c r="A254" s="58"/>
      <c r="B254" s="59"/>
      <c r="C254" s="59"/>
      <c r="D254" s="60"/>
      <c r="E254" s="58"/>
      <c r="F254" s="59"/>
      <c r="G254" s="59"/>
      <c r="H254" s="59"/>
      <c r="I254" s="61"/>
    </row>
    <row r="255" spans="1:9">
      <c r="A255" s="58"/>
      <c r="B255" s="59"/>
      <c r="C255" s="59"/>
      <c r="D255" s="60"/>
      <c r="E255" s="58"/>
      <c r="F255" s="59"/>
      <c r="G255" s="59"/>
      <c r="H255" s="59"/>
      <c r="I255" s="61"/>
    </row>
    <row r="256" spans="1:9">
      <c r="A256" s="58"/>
      <c r="B256" s="59"/>
      <c r="C256" s="59"/>
      <c r="D256" s="60"/>
      <c r="E256" s="58"/>
      <c r="F256" s="59"/>
      <c r="G256" s="59"/>
      <c r="H256" s="59"/>
      <c r="I256" s="61"/>
    </row>
    <row r="257" spans="1:9">
      <c r="A257" s="58"/>
      <c r="B257" s="59"/>
      <c r="C257" s="59"/>
      <c r="D257" s="60"/>
      <c r="E257" s="58"/>
      <c r="F257" s="59"/>
      <c r="G257" s="59"/>
      <c r="H257" s="59"/>
      <c r="I257" s="61"/>
    </row>
    <row r="258" spans="1:9">
      <c r="A258" s="58"/>
      <c r="B258" s="59"/>
      <c r="C258" s="59"/>
      <c r="D258" s="60"/>
      <c r="E258" s="58"/>
      <c r="F258" s="59"/>
      <c r="G258" s="59"/>
      <c r="H258" s="59"/>
      <c r="I258" s="61"/>
    </row>
    <row r="259" spans="1:9">
      <c r="A259" s="58"/>
      <c r="B259" s="59"/>
      <c r="C259" s="59"/>
      <c r="D259" s="60"/>
      <c r="E259" s="58"/>
      <c r="F259" s="59"/>
      <c r="G259" s="59"/>
      <c r="H259" s="59"/>
      <c r="I259" s="61"/>
    </row>
    <row r="260" spans="1:9">
      <c r="A260" s="58"/>
      <c r="B260" s="59"/>
      <c r="C260" s="59"/>
      <c r="D260" s="60"/>
      <c r="E260" s="58"/>
      <c r="F260" s="59"/>
      <c r="G260" s="59"/>
      <c r="H260" s="59"/>
      <c r="I260" s="61"/>
    </row>
    <row r="261" spans="1:9">
      <c r="A261" s="58"/>
      <c r="B261" s="59"/>
      <c r="C261" s="59"/>
      <c r="D261" s="60"/>
      <c r="E261" s="58"/>
      <c r="F261" s="59"/>
      <c r="G261" s="59"/>
      <c r="H261" s="59"/>
      <c r="I261" s="61"/>
    </row>
    <row r="262" spans="1:9">
      <c r="A262" s="58"/>
      <c r="B262" s="59"/>
      <c r="C262" s="59"/>
      <c r="D262" s="60"/>
      <c r="E262" s="58"/>
      <c r="F262" s="59"/>
      <c r="G262" s="59"/>
      <c r="H262" s="59"/>
      <c r="I262" s="61"/>
    </row>
    <row r="263" spans="1:9">
      <c r="A263" s="58"/>
      <c r="B263" s="59"/>
      <c r="C263" s="59"/>
      <c r="D263" s="60"/>
      <c r="E263" s="58"/>
      <c r="F263" s="59"/>
      <c r="G263" s="59"/>
      <c r="H263" s="59"/>
      <c r="I263" s="61"/>
    </row>
    <row r="264" spans="1:9">
      <c r="A264" s="58"/>
      <c r="B264" s="59"/>
      <c r="C264" s="59"/>
      <c r="D264" s="60"/>
      <c r="E264" s="58"/>
      <c r="F264" s="59"/>
      <c r="G264" s="59"/>
      <c r="H264" s="59"/>
      <c r="I264" s="61"/>
    </row>
    <row r="265" spans="1:9">
      <c r="A265" s="58"/>
      <c r="B265" s="59"/>
      <c r="C265" s="59"/>
      <c r="D265" s="60"/>
      <c r="E265" s="58"/>
      <c r="F265" s="59"/>
      <c r="G265" s="59"/>
      <c r="H265" s="59"/>
      <c r="I265" s="61"/>
    </row>
    <row r="266" spans="1:9">
      <c r="A266" s="58"/>
      <c r="B266" s="59"/>
      <c r="C266" s="59"/>
      <c r="D266" s="60"/>
      <c r="E266" s="58"/>
      <c r="F266" s="59"/>
      <c r="G266" s="59"/>
      <c r="H266" s="59"/>
      <c r="I266" s="61"/>
    </row>
    <row r="267" spans="1:9">
      <c r="A267" s="58"/>
      <c r="B267" s="59"/>
      <c r="C267" s="59"/>
      <c r="D267" s="60"/>
      <c r="E267" s="58"/>
      <c r="F267" s="59"/>
      <c r="G267" s="59"/>
      <c r="H267" s="59"/>
      <c r="I267" s="61"/>
    </row>
    <row r="268" spans="1:9">
      <c r="A268" s="58"/>
      <c r="B268" s="59"/>
      <c r="C268" s="59"/>
      <c r="D268" s="60"/>
      <c r="E268" s="58"/>
      <c r="F268" s="59"/>
      <c r="G268" s="59"/>
      <c r="H268" s="59"/>
      <c r="I268" s="61"/>
    </row>
    <row r="269" spans="1:9">
      <c r="A269" s="58"/>
      <c r="B269" s="59"/>
      <c r="C269" s="59"/>
      <c r="D269" s="60"/>
      <c r="E269" s="58"/>
      <c r="F269" s="59"/>
      <c r="G269" s="59"/>
      <c r="H269" s="59"/>
      <c r="I269" s="61"/>
    </row>
    <row r="270" spans="1:9">
      <c r="A270" s="58"/>
      <c r="B270" s="59"/>
      <c r="C270" s="59"/>
      <c r="D270" s="60"/>
      <c r="E270" s="58"/>
      <c r="F270" s="59"/>
      <c r="G270" s="59"/>
      <c r="H270" s="59"/>
      <c r="I270" s="61"/>
    </row>
    <row r="271" spans="1:9">
      <c r="A271" s="58"/>
      <c r="B271" s="59"/>
      <c r="C271" s="59"/>
      <c r="D271" s="60"/>
      <c r="E271" s="58"/>
      <c r="F271" s="59"/>
      <c r="G271" s="59"/>
      <c r="H271" s="59"/>
      <c r="I271" s="61"/>
    </row>
    <row r="272" spans="1:9">
      <c r="A272" s="58"/>
      <c r="B272" s="59"/>
      <c r="C272" s="59"/>
      <c r="D272" s="60"/>
      <c r="E272" s="58"/>
      <c r="F272" s="59"/>
      <c r="G272" s="59"/>
      <c r="H272" s="59"/>
      <c r="I272" s="61"/>
    </row>
    <row r="273" spans="1:9">
      <c r="A273" s="58"/>
      <c r="B273" s="59"/>
      <c r="C273" s="59"/>
      <c r="D273" s="60"/>
      <c r="E273" s="58"/>
      <c r="F273" s="59"/>
      <c r="G273" s="59"/>
      <c r="H273" s="59"/>
      <c r="I273" s="61"/>
    </row>
    <row r="274" spans="1:9">
      <c r="A274" s="58"/>
      <c r="B274" s="59"/>
      <c r="C274" s="59"/>
      <c r="D274" s="60"/>
      <c r="E274" s="58"/>
      <c r="F274" s="59"/>
      <c r="G274" s="59"/>
      <c r="H274" s="59"/>
      <c r="I274" s="61"/>
    </row>
    <row r="275" spans="1:9">
      <c r="A275" s="58"/>
      <c r="B275" s="59"/>
      <c r="C275" s="59"/>
      <c r="D275" s="60"/>
      <c r="E275" s="58"/>
      <c r="F275" s="59"/>
      <c r="G275" s="59"/>
      <c r="H275" s="59"/>
      <c r="I275" s="61"/>
    </row>
    <row r="276" spans="1:9">
      <c r="A276" s="58"/>
      <c r="B276" s="59"/>
      <c r="C276" s="59"/>
      <c r="D276" s="60"/>
      <c r="E276" s="58"/>
      <c r="F276" s="59"/>
      <c r="G276" s="59"/>
      <c r="H276" s="59"/>
      <c r="I276" s="61"/>
    </row>
    <row r="277" spans="1:9">
      <c r="A277" s="58"/>
      <c r="B277" s="59"/>
      <c r="C277" s="59"/>
      <c r="D277" s="60"/>
      <c r="E277" s="58"/>
      <c r="F277" s="59"/>
      <c r="G277" s="59"/>
      <c r="H277" s="59"/>
      <c r="I277" s="61"/>
    </row>
    <row r="278" spans="1:9">
      <c r="A278" s="58"/>
      <c r="B278" s="59"/>
      <c r="C278" s="59"/>
      <c r="D278" s="60"/>
      <c r="E278" s="58"/>
      <c r="F278" s="59"/>
      <c r="G278" s="59"/>
      <c r="H278" s="59"/>
      <c r="I278" s="61"/>
    </row>
    <row r="279" spans="1:9">
      <c r="A279" s="58"/>
      <c r="B279" s="59"/>
      <c r="C279" s="59"/>
      <c r="D279" s="60"/>
      <c r="E279" s="58"/>
      <c r="F279" s="59"/>
      <c r="G279" s="59"/>
      <c r="H279" s="59"/>
      <c r="I279" s="61"/>
    </row>
    <row r="280" spans="1:9">
      <c r="A280" s="58"/>
      <c r="B280" s="59"/>
      <c r="C280" s="59"/>
      <c r="D280" s="60"/>
      <c r="E280" s="58"/>
      <c r="F280" s="59"/>
      <c r="G280" s="59"/>
      <c r="H280" s="59"/>
      <c r="I280" s="61"/>
    </row>
    <row r="281" spans="1:9">
      <c r="A281" s="58"/>
      <c r="B281" s="59"/>
      <c r="C281" s="59"/>
      <c r="D281" s="60"/>
      <c r="E281" s="58"/>
      <c r="F281" s="59"/>
      <c r="G281" s="59"/>
      <c r="H281" s="59"/>
      <c r="I281" s="61"/>
    </row>
    <row r="282" spans="1:9">
      <c r="A282" s="58"/>
      <c r="B282" s="59"/>
      <c r="C282" s="59"/>
      <c r="D282" s="60"/>
      <c r="E282" s="58"/>
      <c r="F282" s="59"/>
      <c r="G282" s="59"/>
      <c r="H282" s="59"/>
      <c r="I282" s="61"/>
    </row>
    <row r="283" spans="1:9">
      <c r="A283" s="58"/>
      <c r="B283" s="59"/>
      <c r="C283" s="59"/>
      <c r="D283" s="60"/>
      <c r="E283" s="58"/>
      <c r="F283" s="59"/>
      <c r="G283" s="59"/>
      <c r="H283" s="59"/>
      <c r="I283" s="61"/>
    </row>
    <row r="284" spans="1:9">
      <c r="A284" s="58"/>
      <c r="B284" s="59"/>
      <c r="C284" s="59"/>
      <c r="D284" s="60"/>
      <c r="E284" s="58"/>
      <c r="F284" s="59"/>
      <c r="G284" s="59"/>
      <c r="H284" s="59"/>
      <c r="I284" s="61"/>
    </row>
    <row r="285" spans="1:9">
      <c r="A285" s="58"/>
      <c r="B285" s="59"/>
      <c r="C285" s="59"/>
      <c r="D285" s="60"/>
      <c r="E285" s="58"/>
      <c r="F285" s="59"/>
      <c r="G285" s="59"/>
      <c r="H285" s="59"/>
      <c r="I285" s="61"/>
    </row>
    <row r="286" spans="1:9">
      <c r="A286" s="58"/>
      <c r="B286" s="59"/>
      <c r="C286" s="59"/>
      <c r="D286" s="60"/>
      <c r="E286" s="58"/>
      <c r="F286" s="59"/>
      <c r="G286" s="59"/>
      <c r="H286" s="59"/>
      <c r="I286" s="61"/>
    </row>
    <row r="287" spans="1:9">
      <c r="A287" s="58"/>
      <c r="B287" s="59"/>
      <c r="C287" s="59"/>
      <c r="D287" s="60"/>
      <c r="E287" s="58"/>
      <c r="F287" s="59"/>
      <c r="G287" s="59"/>
      <c r="H287" s="59"/>
      <c r="I287" s="61"/>
    </row>
    <row r="288" spans="1:9">
      <c r="A288" s="58"/>
      <c r="B288" s="59"/>
      <c r="C288" s="59"/>
      <c r="D288" s="60"/>
      <c r="E288" s="58"/>
      <c r="F288" s="59"/>
      <c r="G288" s="59"/>
      <c r="H288" s="59"/>
      <c r="I288" s="61"/>
    </row>
    <row r="289" spans="1:9">
      <c r="A289" s="58"/>
      <c r="B289" s="59"/>
      <c r="C289" s="59"/>
      <c r="D289" s="60"/>
      <c r="E289" s="58"/>
      <c r="F289" s="59"/>
      <c r="G289" s="59"/>
      <c r="H289" s="59"/>
      <c r="I289" s="61"/>
    </row>
    <row r="290" spans="1:9">
      <c r="A290" s="58"/>
      <c r="B290" s="59"/>
      <c r="C290" s="59"/>
      <c r="D290" s="60"/>
      <c r="E290" s="58"/>
      <c r="F290" s="59"/>
      <c r="G290" s="59"/>
      <c r="H290" s="59"/>
      <c r="I290" s="61"/>
    </row>
    <row r="291" spans="1:9">
      <c r="A291" s="58"/>
      <c r="B291" s="59"/>
      <c r="C291" s="59"/>
      <c r="D291" s="60"/>
      <c r="E291" s="58"/>
      <c r="F291" s="59"/>
      <c r="G291" s="59"/>
      <c r="H291" s="59"/>
      <c r="I291" s="61"/>
    </row>
    <row r="292" spans="1:9">
      <c r="A292" s="58"/>
      <c r="B292" s="59"/>
      <c r="C292" s="59"/>
      <c r="D292" s="60"/>
      <c r="E292" s="58"/>
      <c r="F292" s="59"/>
      <c r="G292" s="59"/>
      <c r="H292" s="59"/>
      <c r="I292" s="61"/>
    </row>
    <row r="293" spans="1:9">
      <c r="A293" s="58"/>
      <c r="B293" s="59"/>
      <c r="C293" s="59"/>
      <c r="D293" s="60"/>
      <c r="E293" s="58"/>
      <c r="F293" s="59"/>
      <c r="G293" s="59"/>
      <c r="H293" s="59"/>
      <c r="I293" s="61"/>
    </row>
  </sheetData>
  <mergeCells count="10">
    <mergeCell ref="F1:G1"/>
    <mergeCell ref="H1:I1"/>
    <mergeCell ref="A1:E1"/>
    <mergeCell ref="AE1:AK1"/>
    <mergeCell ref="AL1:AP1"/>
    <mergeCell ref="AQ1:AV1"/>
    <mergeCell ref="AW1:BB1"/>
    <mergeCell ref="J1:P1"/>
    <mergeCell ref="Q1:W1"/>
    <mergeCell ref="X1:AD1"/>
  </mergeCells>
  <conditionalFormatting sqref="J3:AC1048576">
    <cfRule type="cellIs" dxfId="56" priority="9" operator="equal">
      <formula>"NO"</formula>
    </cfRule>
    <cfRule type="cellIs" dxfId="55" priority="10" operator="equal">
      <formula>"SI"</formula>
    </cfRule>
  </conditionalFormatting>
  <conditionalFormatting sqref="AD3:AD66">
    <cfRule type="cellIs" dxfId="54" priority="7" operator="equal">
      <formula>"No Aceptable"</formula>
    </cfRule>
    <cfRule type="cellIs" dxfId="53" priority="8" operator="equal">
      <formula>"Aceptable"</formula>
    </cfRule>
  </conditionalFormatting>
  <conditionalFormatting sqref="AE3:AU170">
    <cfRule type="cellIs" dxfId="52" priority="4" operator="equal">
      <formula>"SI"</formula>
    </cfRule>
    <cfRule type="cellIs" dxfId="51" priority="5" operator="equal">
      <formula>"NO"</formula>
    </cfRule>
  </conditionalFormatting>
  <conditionalFormatting sqref="AV3:AV67">
    <cfRule type="cellIs" dxfId="50" priority="1" operator="equal">
      <formula>"Critico"</formula>
    </cfRule>
    <cfRule type="cellIs" dxfId="49" priority="2" operator="equal">
      <formula>"No Critico"</formula>
    </cfRule>
  </conditionalFormatting>
  <dataValidations count="3">
    <dataValidation type="list" allowBlank="1" showInputMessage="1" showErrorMessage="1" sqref="Q67:Q225 X67:X225 Y3:AC13 R3:W13 K3:P13 K14:AC14 K15:P225 J3:J225 Y15:AC225 R15:W225" xr:uid="{8A5CA8CE-11D8-45B4-B8DC-ECF22B7EB625}">
      <formula1>"SI,NO,N/A"</formula1>
    </dataValidation>
    <dataValidation type="list" allowBlank="1" showInputMessage="1" showErrorMessage="1" sqref="X3:X13 Q3:Q13 Q15:Q66 X15:X66" xr:uid="{A608A6AC-D38A-42DE-860D-545FAE835BAF}">
      <formula1>"Derecha,Izquierda,Ambos"</formula1>
    </dataValidation>
    <dataValidation type="list" allowBlank="1" showInputMessage="1" showErrorMessage="1" sqref="AE3:AU170" xr:uid="{0AE6C5F9-7F5C-4C2D-8E42-58A14CBFD23F}">
      <formula1>"SI,NO"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J295"/>
  <sheetViews>
    <sheetView workbookViewId="0">
      <pane xSplit="9" ySplit="2" topLeftCell="AW51" activePane="bottomRight" state="frozen"/>
      <selection pane="topRight" activeCell="J1" sqref="J1"/>
      <selection pane="bottomLeft" activeCell="A3" sqref="A3"/>
      <selection pane="bottomRight" activeCell="BG36" sqref="BG36"/>
    </sheetView>
  </sheetViews>
  <sheetFormatPr baseColWidth="10" defaultColWidth="11.5" defaultRowHeight="14.25"/>
  <cols>
    <col min="1" max="1" width="3.125" style="4" customWidth="1"/>
    <col min="2" max="3" width="11.5" style="1" customWidth="1"/>
    <col min="4" max="4" width="14.375" style="1" customWidth="1"/>
    <col min="5" max="5" width="13.5" style="80" customWidth="1"/>
    <col min="6" max="6" width="11.5" style="1"/>
    <col min="9" max="9" width="11.5" style="81" customWidth="1"/>
    <col min="10" max="10" width="15.875" style="1" customWidth="1"/>
    <col min="11" max="11" width="18.375" customWidth="1"/>
    <col min="12" max="12" width="17.875" customWidth="1"/>
    <col min="13" max="13" width="15" customWidth="1"/>
    <col min="14" max="14" width="14.375" customWidth="1"/>
    <col min="15" max="15" width="18.375" customWidth="1"/>
    <col min="16" max="16" width="19.875" customWidth="1"/>
    <col min="17" max="17" width="20.375" customWidth="1"/>
    <col min="18" max="18" width="13.375" customWidth="1"/>
    <col min="19" max="19" width="19.5" customWidth="1"/>
    <col min="20" max="20" width="22" customWidth="1"/>
    <col min="25" max="25" width="40.625" customWidth="1"/>
    <col min="28" max="28" width="16.375" customWidth="1"/>
    <col min="32" max="32" width="14" customWidth="1"/>
    <col min="33" max="33" width="13.375" customWidth="1"/>
    <col min="34" max="34" width="30.125" customWidth="1"/>
    <col min="35" max="35" width="14.625" customWidth="1"/>
    <col min="36" max="36" width="30.5" customWidth="1"/>
    <col min="39" max="39" width="14.375" style="4" customWidth="1"/>
    <col min="40" max="40" width="11.5" style="4"/>
    <col min="41" max="41" width="20" style="4" customWidth="1"/>
    <col min="42" max="42" width="15.5" style="4" customWidth="1"/>
    <col min="43" max="43" width="11.5" style="4"/>
    <col min="56" max="56" width="13.625" customWidth="1"/>
  </cols>
  <sheetData>
    <row r="1" spans="1:62" ht="51.6" customHeight="1" thickBot="1">
      <c r="A1" s="151" t="s">
        <v>390</v>
      </c>
      <c r="B1" s="138"/>
      <c r="C1" s="138"/>
      <c r="D1" s="138"/>
      <c r="E1" s="138"/>
      <c r="F1" s="138" t="s">
        <v>315</v>
      </c>
      <c r="G1" s="138"/>
      <c r="H1" s="138" t="s">
        <v>316</v>
      </c>
      <c r="I1" s="138"/>
      <c r="J1" s="155" t="s">
        <v>391</v>
      </c>
      <c r="K1" s="156"/>
      <c r="L1" s="157"/>
      <c r="M1" s="155" t="s">
        <v>392</v>
      </c>
      <c r="N1" s="156"/>
      <c r="O1" s="156"/>
      <c r="P1" s="157"/>
      <c r="Q1" s="155" t="s">
        <v>393</v>
      </c>
      <c r="R1" s="156"/>
      <c r="S1" s="156"/>
      <c r="T1" s="157"/>
      <c r="U1" s="155" t="s">
        <v>394</v>
      </c>
      <c r="V1" s="156"/>
      <c r="W1" s="156"/>
      <c r="X1" s="157"/>
      <c r="Y1" s="15" t="s">
        <v>395</v>
      </c>
      <c r="Z1" s="155" t="s">
        <v>396</v>
      </c>
      <c r="AA1" s="156"/>
      <c r="AB1" s="156"/>
      <c r="AC1" s="155" t="s">
        <v>397</v>
      </c>
      <c r="AD1" s="156"/>
      <c r="AE1" s="156"/>
      <c r="AF1" s="149" t="s">
        <v>398</v>
      </c>
      <c r="AG1" s="10" t="s">
        <v>399</v>
      </c>
      <c r="AH1" s="155" t="s">
        <v>400</v>
      </c>
      <c r="AI1" s="156"/>
      <c r="AJ1" s="156"/>
      <c r="AK1" s="156" t="s">
        <v>401</v>
      </c>
      <c r="AL1" s="156"/>
      <c r="AM1" s="156"/>
      <c r="AN1" s="157"/>
      <c r="AO1" s="16" t="s">
        <v>402</v>
      </c>
      <c r="AP1" s="155" t="s">
        <v>403</v>
      </c>
      <c r="AQ1" s="156"/>
      <c r="AR1" s="156"/>
      <c r="AS1" s="156"/>
      <c r="AT1" s="156"/>
      <c r="AU1" s="156"/>
      <c r="AV1" s="157"/>
      <c r="AW1" s="158" t="s">
        <v>404</v>
      </c>
      <c r="AX1" s="158"/>
      <c r="AY1" s="158"/>
      <c r="AZ1" s="158"/>
      <c r="BA1" s="158"/>
      <c r="BB1" s="158" t="s">
        <v>405</v>
      </c>
      <c r="BC1" s="155"/>
      <c r="BD1" s="17" t="s">
        <v>399</v>
      </c>
      <c r="BE1" s="152" t="s">
        <v>319</v>
      </c>
      <c r="BF1" s="153"/>
      <c r="BG1" s="153"/>
      <c r="BH1" s="153"/>
      <c r="BI1" s="153"/>
      <c r="BJ1" s="154"/>
    </row>
    <row r="2" spans="1:62" ht="88.15" customHeight="1">
      <c r="A2" s="8" t="s">
        <v>35</v>
      </c>
      <c r="B2" s="9" t="s">
        <v>36</v>
      </c>
      <c r="C2" s="9" t="s">
        <v>297</v>
      </c>
      <c r="D2" s="9" t="s">
        <v>38</v>
      </c>
      <c r="E2" s="76" t="s">
        <v>40</v>
      </c>
      <c r="F2" s="77" t="s">
        <v>320</v>
      </c>
      <c r="G2" s="77" t="s">
        <v>321</v>
      </c>
      <c r="H2" s="77" t="s">
        <v>322</v>
      </c>
      <c r="I2" s="78" t="s">
        <v>323</v>
      </c>
      <c r="J2" s="79" t="s">
        <v>406</v>
      </c>
      <c r="K2" s="13" t="s">
        <v>407</v>
      </c>
      <c r="L2" s="13" t="s">
        <v>408</v>
      </c>
      <c r="M2" s="13" t="s">
        <v>409</v>
      </c>
      <c r="N2" s="13" t="s">
        <v>410</v>
      </c>
      <c r="O2" s="13" t="s">
        <v>411</v>
      </c>
      <c r="P2" s="13" t="s">
        <v>412</v>
      </c>
      <c r="Q2" s="13" t="s">
        <v>413</v>
      </c>
      <c r="R2" s="13" t="s">
        <v>414</v>
      </c>
      <c r="S2" s="13" t="s">
        <v>415</v>
      </c>
      <c r="T2" s="13" t="s">
        <v>416</v>
      </c>
      <c r="U2" s="13" t="s">
        <v>413</v>
      </c>
      <c r="V2" s="13" t="s">
        <v>414</v>
      </c>
      <c r="W2" s="13" t="s">
        <v>415</v>
      </c>
      <c r="X2" s="13" t="s">
        <v>417</v>
      </c>
      <c r="Y2" s="13" t="s">
        <v>418</v>
      </c>
      <c r="Z2" s="13" t="s">
        <v>419</v>
      </c>
      <c r="AA2" s="13" t="s">
        <v>420</v>
      </c>
      <c r="AB2" s="13" t="s">
        <v>421</v>
      </c>
      <c r="AC2" s="13" t="s">
        <v>422</v>
      </c>
      <c r="AD2" s="13" t="s">
        <v>423</v>
      </c>
      <c r="AE2" s="13" t="s">
        <v>424</v>
      </c>
      <c r="AF2" s="150"/>
      <c r="AG2" s="10" t="s">
        <v>330</v>
      </c>
      <c r="AH2" s="13" t="s">
        <v>425</v>
      </c>
      <c r="AI2" s="13" t="s">
        <v>426</v>
      </c>
      <c r="AJ2" s="13" t="s">
        <v>427</v>
      </c>
      <c r="AK2" s="13" t="s">
        <v>428</v>
      </c>
      <c r="AL2" s="13" t="s">
        <v>429</v>
      </c>
      <c r="AM2" s="13" t="s">
        <v>430</v>
      </c>
      <c r="AN2" s="13" t="s">
        <v>431</v>
      </c>
      <c r="AO2" s="13" t="s">
        <v>432</v>
      </c>
      <c r="AP2" s="13" t="s">
        <v>433</v>
      </c>
      <c r="AQ2" s="13" t="s">
        <v>434</v>
      </c>
      <c r="AR2" s="13" t="s">
        <v>435</v>
      </c>
      <c r="AS2" s="13" t="s">
        <v>436</v>
      </c>
      <c r="AT2" s="13" t="s">
        <v>437</v>
      </c>
      <c r="AU2" s="13" t="s">
        <v>438</v>
      </c>
      <c r="AV2" s="13" t="s">
        <v>439</v>
      </c>
      <c r="AW2" s="13" t="s">
        <v>440</v>
      </c>
      <c r="AX2" s="13" t="s">
        <v>441</v>
      </c>
      <c r="AY2" s="13" t="s">
        <v>442</v>
      </c>
      <c r="AZ2" s="13" t="s">
        <v>443</v>
      </c>
      <c r="BA2" s="13" t="s">
        <v>444</v>
      </c>
      <c r="BB2" s="13" t="s">
        <v>445</v>
      </c>
      <c r="BC2" s="13" t="s">
        <v>446</v>
      </c>
      <c r="BD2" s="13" t="s">
        <v>337</v>
      </c>
      <c r="BE2" s="13" t="s">
        <v>338</v>
      </c>
      <c r="BF2" s="13" t="s">
        <v>339</v>
      </c>
      <c r="BG2" s="13" t="s">
        <v>340</v>
      </c>
      <c r="BH2" s="13" t="s">
        <v>341</v>
      </c>
      <c r="BI2" s="13" t="s">
        <v>342</v>
      </c>
      <c r="BJ2" s="13" t="s">
        <v>343</v>
      </c>
    </row>
    <row r="3" spans="1:62" s="5" customFormat="1" ht="27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IF(Inicial!L3="SI",Inicial!E3,"N/A")</f>
        <v>N/A</v>
      </c>
      <c r="F3" s="59" t="str">
        <f>IF(Inicial!L3="SI",Inicial!F3,"N/A")</f>
        <v>N/A</v>
      </c>
      <c r="G3" s="59" t="str">
        <f>IF(Inicial!L3="SI",Inicial!G3,"N/A")</f>
        <v>N/A</v>
      </c>
      <c r="H3" s="59" t="str">
        <f>IF(Inicial!L3="SI",Inicial!H3,"N/A")</f>
        <v>N/A</v>
      </c>
      <c r="I3" s="61" t="str">
        <f>IF(Inicial!L3="SI",Inicial!I3,"N/A")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 t="str" cm="1">
        <f t="array" ref="AG3">IF(OR(M3:AF3="NO"),"No aceptable","Aceptable")</f>
        <v>Aceptable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21" t="str" cm="1">
        <f t="array" ref="BD3">IF(OR(AK3:BC3="SI"),"Critico","No Critico")</f>
        <v>No Critico</v>
      </c>
      <c r="BE3" s="1"/>
      <c r="BF3" s="1"/>
      <c r="BG3" s="1"/>
      <c r="BH3" s="1"/>
      <c r="BI3" s="1"/>
      <c r="BJ3" s="1"/>
    </row>
    <row r="4" spans="1:62" ht="27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IF(Inicial!L4="SI",Inicial!E4,"N/A")</f>
        <v>N/A</v>
      </c>
      <c r="F4" s="59" t="str">
        <f>IF(Inicial!L4="SI",Inicial!F4,"N/A")</f>
        <v>N/A</v>
      </c>
      <c r="G4" s="59" t="str">
        <f>IF(Inicial!L4="SI",Inicial!G4,"N/A")</f>
        <v>N/A</v>
      </c>
      <c r="H4" s="59" t="str">
        <f>IF(Inicial!L4="SI",Inicial!H4,"N/A")</f>
        <v>N/A</v>
      </c>
      <c r="I4" s="61" t="str">
        <f>IF(Inicial!L4="SI",Inicial!I4,"N/A")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 t="str" cm="1">
        <f t="array" ref="AG4">IF(OR(M4:AF4="NO"),"No aceptable","Aceptable")</f>
        <v>Aceptable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21" t="str" cm="1">
        <f t="array" ref="BD4">IF(OR(AK4:BC4="SI"),"Critico","No Critico")</f>
        <v>No Critico</v>
      </c>
      <c r="BE4" s="1"/>
      <c r="BF4" s="1"/>
      <c r="BG4" s="1"/>
      <c r="BH4" s="1"/>
      <c r="BI4" s="1"/>
      <c r="BJ4" s="1"/>
    </row>
    <row r="5" spans="1:62" ht="27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IF(Inicial!L5="SI",Inicial!E5,"N/A")</f>
        <v>N/A</v>
      </c>
      <c r="F5" s="59" t="str">
        <f>IF(Inicial!L5="SI",Inicial!F5,"N/A")</f>
        <v>N/A</v>
      </c>
      <c r="G5" s="59" t="str">
        <f>IF(Inicial!L5="SI",Inicial!G5,"N/A")</f>
        <v>N/A</v>
      </c>
      <c r="H5" s="59" t="str">
        <f>IF(Inicial!L5="SI",Inicial!H5,"N/A")</f>
        <v>N/A</v>
      </c>
      <c r="I5" s="61" t="str">
        <f>IF(Inicial!L5="SI",Inicial!I5,"N/A")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 t="str" cm="1">
        <f t="array" ref="AG5">IF(OR(M5:AF5="NO"),"No aceptable","Aceptable")</f>
        <v>Aceptable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21" t="str" cm="1">
        <f t="array" ref="BD5">IF(OR(AK5:BC5="SI"),"Critico","No Critico")</f>
        <v>No Critico</v>
      </c>
      <c r="BE5" s="1"/>
      <c r="BF5" s="1"/>
      <c r="BG5" s="1"/>
      <c r="BH5" s="1"/>
      <c r="BI5" s="1"/>
      <c r="BJ5" s="1"/>
    </row>
    <row r="6" spans="1:62" ht="27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IF(Inicial!L6="SI",Inicial!E6,"N/A")</f>
        <v>N/A</v>
      </c>
      <c r="F6" s="59" t="str">
        <f>IF(Inicial!L6="SI",Inicial!F6,"N/A")</f>
        <v>N/A</v>
      </c>
      <c r="G6" s="59" t="str">
        <f>IF(Inicial!L6="SI",Inicial!G6,"N/A")</f>
        <v>N/A</v>
      </c>
      <c r="H6" s="59" t="str">
        <f>IF(Inicial!L6="SI",Inicial!H6,"N/A")</f>
        <v>N/A</v>
      </c>
      <c r="I6" s="61" t="str">
        <f>IF(Inicial!L6="SI",Inicial!I6,"N/A")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 t="str" cm="1">
        <f t="array" ref="AG6">IF(OR(M6:AF6="NO"),"No aceptable","Aceptable")</f>
        <v>Aceptable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21" t="str" cm="1">
        <f t="array" ref="BD6">IF(OR(AK6:BC6="SI"),"Critico","No Critico")</f>
        <v>No Critico</v>
      </c>
    </row>
    <row r="7" spans="1:62" ht="27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IF(Inicial!L7="SI",Inicial!E7,"N/A")</f>
        <v>N/A</v>
      </c>
      <c r="F7" s="59" t="str">
        <f>IF(Inicial!L7="SI",Inicial!F7,"N/A")</f>
        <v>N/A</v>
      </c>
      <c r="G7" s="59" t="str">
        <f>IF(Inicial!L7="SI",Inicial!G7,"N/A")</f>
        <v>N/A</v>
      </c>
      <c r="H7" s="59" t="str">
        <f>IF(Inicial!L7="SI",Inicial!H7,"N/A")</f>
        <v>N/A</v>
      </c>
      <c r="I7" s="61" t="str">
        <f>IF(Inicial!L7="SI",Inicial!I7,"N/A")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 t="str" cm="1">
        <f t="array" ref="AG7">IF(OR(M7:AF7="NO"),"No aceptable","Aceptable")</f>
        <v>Aceptable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21" t="str" cm="1">
        <f t="array" ref="BD7">IF(OR(AK7:BC7="SI"),"Critico","No Critico")</f>
        <v>No Critico</v>
      </c>
    </row>
    <row r="8" spans="1:62" ht="27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IF(Inicial!L8="SI",Inicial!E8,"N/A")</f>
        <v>N/A</v>
      </c>
      <c r="F8" s="59" t="str">
        <f>IF(Inicial!L8="SI",Inicial!F8,"N/A")</f>
        <v>N/A</v>
      </c>
      <c r="G8" s="59" t="str">
        <f>IF(Inicial!L8="SI",Inicial!G8,"N/A")</f>
        <v>N/A</v>
      </c>
      <c r="H8" s="59" t="str">
        <f>IF(Inicial!L8="SI",Inicial!H8,"N/A")</f>
        <v>N/A</v>
      </c>
      <c r="I8" s="61" t="str">
        <f>IF(Inicial!L8="SI",Inicial!I8,"N/A")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 t="str" cm="1">
        <f t="array" ref="AG8">IF(OR(M8:AF8="NO"),"No aceptable","Aceptable")</f>
        <v>Aceptable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21" t="str" cm="1">
        <f t="array" ref="BD8">IF(OR(AK8:BC8="SI"),"Critico","No Critico")</f>
        <v>No Critico</v>
      </c>
    </row>
    <row r="9" spans="1:62" ht="27" customHeight="1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IF(Inicial!L9="SI",Inicial!E9,"N/A")</f>
        <v>N/A</v>
      </c>
      <c r="F9" s="59" t="str">
        <f>IF(Inicial!L9="SI",Inicial!F9,"N/A")</f>
        <v>N/A</v>
      </c>
      <c r="G9" s="59" t="str">
        <f>IF(Inicial!L9="SI",Inicial!G9,"N/A")</f>
        <v>N/A</v>
      </c>
      <c r="H9" s="59" t="str">
        <f>IF(Inicial!L9="SI",Inicial!H9,"N/A")</f>
        <v>N/A</v>
      </c>
      <c r="I9" s="61" t="str">
        <f>IF(Inicial!L9="SI",Inicial!I9,"N/A")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 t="str" cm="1">
        <f t="array" ref="AG9">IF(OR(M9:AF9="NO"),"No aceptable","Aceptable")</f>
        <v>Aceptable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21" t="str" cm="1">
        <f t="array" ref="BD9">IF(OR(AK9:BC9="SI"),"Critico","No Critico")</f>
        <v>No Critico</v>
      </c>
    </row>
    <row r="10" spans="1:62" ht="27" customHeight="1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IF(Inicial!L10="SI",Inicial!E10,"N/A")</f>
        <v>N/A</v>
      </c>
      <c r="F10" s="59" t="str">
        <f>IF(Inicial!L10="SI",Inicial!F10,"N/A")</f>
        <v>N/A</v>
      </c>
      <c r="G10" s="59" t="str">
        <f>IF(Inicial!L10="SI",Inicial!G10,"N/A")</f>
        <v>N/A</v>
      </c>
      <c r="H10" s="59" t="str">
        <f>IF(Inicial!L10="SI",Inicial!H10,"N/A")</f>
        <v>N/A</v>
      </c>
      <c r="I10" s="61" t="str">
        <f>IF(Inicial!L10="SI",Inicial!I10,"N/A")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 t="str" cm="1">
        <f t="array" ref="AG10">IF(OR(M10:AF10="NO"),"No aceptable","Aceptable")</f>
        <v>Aceptable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21" t="str" cm="1">
        <f t="array" ref="BD10">IF(OR(AK10:BC10="SI"),"Critico","No Critico")</f>
        <v>No Critico</v>
      </c>
    </row>
    <row r="11" spans="1:62" ht="27" customHeight="1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IF(Inicial!L11="SI",Inicial!E11,"N/A")</f>
        <v>N/A</v>
      </c>
      <c r="F11" s="59" t="str">
        <f>IF(Inicial!L11="SI",Inicial!F11,"N/A")</f>
        <v>N/A</v>
      </c>
      <c r="G11" s="59" t="str">
        <f>IF(Inicial!L11="SI",Inicial!G11,"N/A")</f>
        <v>N/A</v>
      </c>
      <c r="H11" s="59" t="str">
        <f>IF(Inicial!L11="SI",Inicial!H11,"N/A")</f>
        <v>N/A</v>
      </c>
      <c r="I11" s="61" t="str">
        <f>IF(Inicial!L11="SI",Inicial!I11,"N/A")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 t="str" cm="1">
        <f t="array" ref="AG11">IF(OR(M11:AF11="NO"),"No aceptable","Aceptable")</f>
        <v>Aceptable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21" t="str" cm="1">
        <f t="array" ref="BD11">IF(OR(AK11:BC11="SI"),"Critico","No Critico")</f>
        <v>No Critico</v>
      </c>
    </row>
    <row r="12" spans="1:62" ht="27" customHeight="1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IF(Inicial!L12="SI",Inicial!E12,"N/A")</f>
        <v>N/A</v>
      </c>
      <c r="F12" s="59" t="str">
        <f>IF(Inicial!L12="SI",Inicial!F12,"N/A")</f>
        <v>N/A</v>
      </c>
      <c r="G12" s="59" t="str">
        <f>IF(Inicial!L12="SI",Inicial!G12,"N/A")</f>
        <v>N/A</v>
      </c>
      <c r="H12" s="59" t="str">
        <f>IF(Inicial!L12="SI",Inicial!H12,"N/A")</f>
        <v>N/A</v>
      </c>
      <c r="I12" s="61" t="str">
        <f>IF(Inicial!L12="SI",Inicial!I12,"N/A")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 t="str" cm="1">
        <f t="array" ref="AG12">IF(OR(M12:AF12="NO"),"No aceptable","Aceptable")</f>
        <v>Aceptable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21" t="str" cm="1">
        <f t="array" ref="BD12">IF(OR(AK12:BC12="SI"),"Critico","No Critico")</f>
        <v>No Critico</v>
      </c>
    </row>
    <row r="13" spans="1:62" ht="27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IF(Inicial!L13="SI",Inicial!E13,"N/A")</f>
        <v>N/A</v>
      </c>
      <c r="F13" s="59" t="str">
        <f>IF(Inicial!L13="SI",Inicial!F13,"N/A")</f>
        <v>N/A</v>
      </c>
      <c r="G13" s="59" t="str">
        <f>IF(Inicial!L13="SI",Inicial!G13,"N/A")</f>
        <v>N/A</v>
      </c>
      <c r="H13" s="59" t="str">
        <f>IF(Inicial!L13="SI",Inicial!H13,"N/A")</f>
        <v>N/A</v>
      </c>
      <c r="I13" s="61" t="str">
        <f>IF(Inicial!L13="SI",Inicial!I13,"N/A")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 t="str" cm="1">
        <f t="array" ref="AG13">IF(OR(M13:AF13="NO"),"No aceptable","Aceptable")</f>
        <v>Aceptable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21" t="str" cm="1">
        <f t="array" ref="BD13">IF(OR(AK13:BC13="SI"),"Critico","No Critico")</f>
        <v>No Critico</v>
      </c>
    </row>
    <row r="14" spans="1:62" ht="27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IF(Inicial!L14="SI",Inicial!E14,"N/A")</f>
        <v>N/A</v>
      </c>
      <c r="F14" s="59" t="str">
        <f>IF(Inicial!L14="SI",Inicial!F14,"N/A")</f>
        <v>N/A</v>
      </c>
      <c r="G14" s="59" t="str">
        <f>IF(Inicial!L14="SI",Inicial!G14,"N/A")</f>
        <v>N/A</v>
      </c>
      <c r="H14" s="59" t="str">
        <f>IF(Inicial!L14="SI",Inicial!H14,"N/A")</f>
        <v>N/A</v>
      </c>
      <c r="I14" s="61" t="str">
        <f>IF(Inicial!L14="SI",Inicial!I14,"N/A")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 t="str" cm="1">
        <f t="array" ref="AG14">IF(OR(M14:AF14="NO"),"No aceptable","Aceptable")</f>
        <v>Aceptable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21" t="str" cm="1">
        <f t="array" ref="BD14">IF(OR(AK14:BC14="SI"),"Critico","No Critico")</f>
        <v>No Critico</v>
      </c>
    </row>
    <row r="15" spans="1:62" ht="27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IF(Inicial!L15="SI",Inicial!E15,"N/A")</f>
        <v>N/A</v>
      </c>
      <c r="F15" s="59" t="str">
        <f>IF(Inicial!L15="SI",Inicial!F15,"N/A")</f>
        <v>N/A</v>
      </c>
      <c r="G15" s="59" t="str">
        <f>IF(Inicial!L15="SI",Inicial!G15,"N/A")</f>
        <v>N/A</v>
      </c>
      <c r="H15" s="59" t="str">
        <f>IF(Inicial!L15="SI",Inicial!H15,"N/A")</f>
        <v>N/A</v>
      </c>
      <c r="I15" s="61" t="str">
        <f>IF(Inicial!L15="SI",Inicial!I15,"N/A")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 t="str" cm="1">
        <f t="array" ref="AG15">IF(OR(M15:AF15="NO"),"No aceptable","Aceptable")</f>
        <v>Aceptable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21" t="str" cm="1">
        <f t="array" ref="BD15">IF(OR(AK15:BC15="SI"),"Critico","No Critico")</f>
        <v>No Critico</v>
      </c>
    </row>
    <row r="16" spans="1:62" ht="27" customHeight="1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IF(Inicial!L16="SI",Inicial!E16,"N/A")</f>
        <v>N/A</v>
      </c>
      <c r="F16" s="59" t="str">
        <f>IF(Inicial!L16="SI",Inicial!F16,"N/A")</f>
        <v>N/A</v>
      </c>
      <c r="G16" s="59" t="str">
        <f>IF(Inicial!L16="SI",Inicial!G16,"N/A")</f>
        <v>N/A</v>
      </c>
      <c r="H16" s="59" t="str">
        <f>IF(Inicial!L16="SI",Inicial!H16,"N/A")</f>
        <v>N/A</v>
      </c>
      <c r="I16" s="61" t="str">
        <f>IF(Inicial!L16="SI",Inicial!I16,"N/A")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 t="str" cm="1">
        <f t="array" ref="AG16">IF(OR(M16:AF16="NO"),"No aceptable","Aceptable")</f>
        <v>Aceptable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21" t="str" cm="1">
        <f t="array" ref="BD16">IF(OR(AK16:BC16="SI"),"Critico","No Critico")</f>
        <v>No Critico</v>
      </c>
    </row>
    <row r="17" spans="1:56" ht="27" customHeight="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IF(Inicial!L17="SI",Inicial!E17,"N/A")</f>
        <v>N/A</v>
      </c>
      <c r="F17" s="59" t="str">
        <f>IF(Inicial!L17="SI",Inicial!F17,"N/A")</f>
        <v>N/A</v>
      </c>
      <c r="G17" s="59" t="str">
        <f>IF(Inicial!L17="SI",Inicial!G17,"N/A")</f>
        <v>N/A</v>
      </c>
      <c r="H17" s="59" t="str">
        <f>IF(Inicial!L17="SI",Inicial!H17,"N/A")</f>
        <v>N/A</v>
      </c>
      <c r="I17" s="61" t="str">
        <f>IF(Inicial!L17="SI",Inicial!I17,"N/A")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 t="str" cm="1">
        <f t="array" ref="AG17">IF(OR(M17:AF17="NO"),"No aceptable","Aceptable")</f>
        <v>Aceptable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21" t="str" cm="1">
        <f t="array" ref="BD17">IF(OR(AK17:BC17="SI"),"Critico","No Critico")</f>
        <v>No Critico</v>
      </c>
    </row>
    <row r="18" spans="1:56" ht="27" customHeight="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IF(Inicial!L18="SI",Inicial!E18,"N/A")</f>
        <v>N/A</v>
      </c>
      <c r="F18" s="59" t="str">
        <f>IF(Inicial!L18="SI",Inicial!F18,"N/A")</f>
        <v>N/A</v>
      </c>
      <c r="G18" s="59" t="str">
        <f>IF(Inicial!L18="SI",Inicial!G18,"N/A")</f>
        <v>N/A</v>
      </c>
      <c r="H18" s="59" t="str">
        <f>IF(Inicial!L18="SI",Inicial!H18,"N/A")</f>
        <v>N/A</v>
      </c>
      <c r="I18" s="61" t="str">
        <f>IF(Inicial!L18="SI",Inicial!I18,"N/A")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 t="str" cm="1">
        <f t="array" ref="AG18">IF(OR(M18:AF18="NO"),"No aceptable","Aceptable")</f>
        <v>Aceptable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21" t="str" cm="1">
        <f t="array" ref="BD18">IF(OR(AK18:BC18="SI"),"Critico","No Critico")</f>
        <v>No Critico</v>
      </c>
    </row>
    <row r="19" spans="1:56" ht="27" customHeight="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IF(Inicial!L19="SI",Inicial!E19,"N/A")</f>
        <v>N/A</v>
      </c>
      <c r="F19" s="59" t="str">
        <f>IF(Inicial!L19="SI",Inicial!F19,"N/A")</f>
        <v>N/A</v>
      </c>
      <c r="G19" s="59" t="str">
        <f>IF(Inicial!L19="SI",Inicial!G19,"N/A")</f>
        <v>N/A</v>
      </c>
      <c r="H19" s="59" t="str">
        <f>IF(Inicial!L19="SI",Inicial!H19,"N/A")</f>
        <v>N/A</v>
      </c>
      <c r="I19" s="61" t="str">
        <f>IF(Inicial!L19="SI",Inicial!I19,"N/A")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 t="str" cm="1">
        <f t="array" ref="AG19">IF(OR(M19:AF19="NO"),"No aceptable","Aceptable")</f>
        <v>Aceptable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21" t="str" cm="1">
        <f t="array" ref="BD19">IF(OR(AK19:BC19="SI"),"Critico","No Critico")</f>
        <v>No Critico</v>
      </c>
    </row>
    <row r="20" spans="1:56" ht="27" customHeight="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IF(Inicial!L20="SI",Inicial!E20,"N/A")</f>
        <v>N/A</v>
      </c>
      <c r="F20" s="59" t="str">
        <f>IF(Inicial!L20="SI",Inicial!F20,"N/A")</f>
        <v>N/A</v>
      </c>
      <c r="G20" s="59" t="str">
        <f>IF(Inicial!L20="SI",Inicial!G20,"N/A")</f>
        <v>N/A</v>
      </c>
      <c r="H20" s="59" t="str">
        <f>IF(Inicial!L20="SI",Inicial!H20,"N/A")</f>
        <v>N/A</v>
      </c>
      <c r="I20" s="61" t="str">
        <f>IF(Inicial!L20="SI",Inicial!I20,"N/A")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str" cm="1">
        <f t="array" ref="AG20">IF(OR(M20:AF20="NO"),"No aceptable","Aceptable")</f>
        <v>Aceptable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21" t="str" cm="1">
        <f t="array" ref="BD20">IF(OR(AK20:BC20="SI"),"Critico","No Critico")</f>
        <v>No Critico</v>
      </c>
    </row>
    <row r="21" spans="1:56" ht="27" customHeight="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IF(Inicial!L21="SI",Inicial!E21,"N/A")</f>
        <v>N/A</v>
      </c>
      <c r="F21" s="59" t="str">
        <f>IF(Inicial!L21="SI",Inicial!F21,"N/A")</f>
        <v>N/A</v>
      </c>
      <c r="G21" s="59" t="str">
        <f>IF(Inicial!L21="SI",Inicial!G21,"N/A")</f>
        <v>N/A</v>
      </c>
      <c r="H21" s="59" t="str">
        <f>IF(Inicial!L21="SI",Inicial!H21,"N/A")</f>
        <v>N/A</v>
      </c>
      <c r="I21" s="61" t="str">
        <f>IF(Inicial!L21="SI",Inicial!I21,"N/A")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 t="str" cm="1">
        <f t="array" ref="AG21">IF(OR(M21:AF21="NO"),"No aceptable","Aceptable")</f>
        <v>Aceptable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21" t="str" cm="1">
        <f t="array" ref="BD21">IF(OR(AK21:BC21="SI"),"Critico","No Critico")</f>
        <v>No Critico</v>
      </c>
    </row>
    <row r="22" spans="1:56" ht="27" customHeight="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IF(Inicial!L22="SI",Inicial!E22,"N/A")</f>
        <v>N/A</v>
      </c>
      <c r="F22" s="59" t="str">
        <f>IF(Inicial!L22="SI",Inicial!F22,"N/A")</f>
        <v>N/A</v>
      </c>
      <c r="G22" s="59" t="str">
        <f>IF(Inicial!L22="SI",Inicial!G22,"N/A")</f>
        <v>N/A</v>
      </c>
      <c r="H22" s="59" t="str">
        <f>IF(Inicial!L22="SI",Inicial!H22,"N/A")</f>
        <v>N/A</v>
      </c>
      <c r="I22" s="61" t="str">
        <f>IF(Inicial!L22="SI",Inicial!I22,"N/A")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 t="str" cm="1">
        <f t="array" ref="AG22">IF(OR(M22:AF22="NO"),"No aceptable","Aceptable")</f>
        <v>Aceptable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21" t="str" cm="1">
        <f t="array" ref="BD22">IF(OR(AK22:BC22="SI"),"Critico","No Critico")</f>
        <v>No Critico</v>
      </c>
    </row>
    <row r="23" spans="1:56" ht="27" customHeight="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IF(Inicial!L23="SI",Inicial!E23,"N/A")</f>
        <v>N/A</v>
      </c>
      <c r="F23" s="59" t="str">
        <f>IF(Inicial!L23="SI",Inicial!F23,"N/A")</f>
        <v>N/A</v>
      </c>
      <c r="G23" s="59" t="str">
        <f>IF(Inicial!L23="SI",Inicial!G23,"N/A")</f>
        <v>N/A</v>
      </c>
      <c r="H23" s="59" t="str">
        <f>IF(Inicial!L23="SI",Inicial!H23,"N/A")</f>
        <v>N/A</v>
      </c>
      <c r="I23" s="61" t="str">
        <f>IF(Inicial!L23="SI",Inicial!I23,"N/A")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 t="str" cm="1">
        <f t="array" ref="AG23">IF(OR(M23:AF23="NO"),"No aceptable","Aceptable")</f>
        <v>Aceptable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21" t="str" cm="1">
        <f t="array" ref="BD23">IF(OR(AK23:BC23="SI"),"Critico","No Critico")</f>
        <v>No Critico</v>
      </c>
    </row>
    <row r="24" spans="1:56" ht="27" customHeight="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IF(Inicial!L24="SI",Inicial!E24,"N/A")</f>
        <v>N/A</v>
      </c>
      <c r="F24" s="59" t="str">
        <f>IF(Inicial!L24="SI",Inicial!F24,"N/A")</f>
        <v>N/A</v>
      </c>
      <c r="G24" s="59" t="str">
        <f>IF(Inicial!L24="SI",Inicial!G24,"N/A")</f>
        <v>N/A</v>
      </c>
      <c r="H24" s="59" t="str">
        <f>IF(Inicial!L24="SI",Inicial!H24,"N/A")</f>
        <v>N/A</v>
      </c>
      <c r="I24" s="61" t="str">
        <f>IF(Inicial!L24="SI",Inicial!I24,"N/A")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 t="str" cm="1">
        <f t="array" ref="AG24">IF(OR(M24:AF24="NO"),"No aceptable","Aceptable")</f>
        <v>Aceptable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21" t="str" cm="1">
        <f t="array" ref="BD24">IF(OR(AK24:BC24="SI"),"Critico","No Critico")</f>
        <v>No Critico</v>
      </c>
    </row>
    <row r="25" spans="1:56" ht="27" customHeight="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IF(Inicial!L25="SI",Inicial!E25,"N/A")</f>
        <v>N/A</v>
      </c>
      <c r="F25" s="59" t="str">
        <f>IF(Inicial!L25="SI",Inicial!F25,"N/A")</f>
        <v>N/A</v>
      </c>
      <c r="G25" s="59" t="str">
        <f>IF(Inicial!L25="SI",Inicial!G25,"N/A")</f>
        <v>N/A</v>
      </c>
      <c r="H25" s="59" t="str">
        <f>IF(Inicial!L25="SI",Inicial!H25,"N/A")</f>
        <v>N/A</v>
      </c>
      <c r="I25" s="61" t="str">
        <f>IF(Inicial!L25="SI",Inicial!I25,"N/A")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 t="str" cm="1">
        <f t="array" ref="AG25">IF(OR(M25:AF25="NO"),"No aceptable","Aceptable")</f>
        <v>Aceptable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21" t="str" cm="1">
        <f t="array" ref="BD25">IF(OR(AK25:BC25="SI"),"Critico","No Critico")</f>
        <v>No Critico</v>
      </c>
    </row>
    <row r="26" spans="1:56" ht="27" customHeight="1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IF(Inicial!L26="SI",Inicial!E26,"N/A")</f>
        <v>N/A</v>
      </c>
      <c r="F26" s="59" t="str">
        <f>IF(Inicial!L26="SI",Inicial!F26,"N/A")</f>
        <v>N/A</v>
      </c>
      <c r="G26" s="59" t="str">
        <f>IF(Inicial!L26="SI",Inicial!G26,"N/A")</f>
        <v>N/A</v>
      </c>
      <c r="H26" s="59" t="str">
        <f>IF(Inicial!L26="SI",Inicial!H26,"N/A")</f>
        <v>N/A</v>
      </c>
      <c r="I26" s="61" t="str">
        <f>IF(Inicial!L26="SI",Inicial!I26,"N/A")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 t="str" cm="1">
        <f t="array" ref="AG26">IF(OR(M26:AF26="NO"),"No aceptable","Aceptable")</f>
        <v>Aceptable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21" t="str" cm="1">
        <f t="array" ref="BD26">IF(OR(AK26:BC26="SI"),"Critico","No Critico")</f>
        <v>No Critico</v>
      </c>
    </row>
    <row r="27" spans="1:56" ht="27" customHeight="1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IF(Inicial!L27="SI",Inicial!E27,"N/A")</f>
        <v>N/A</v>
      </c>
      <c r="F27" s="59" t="str">
        <f>IF(Inicial!L27="SI",Inicial!F27,"N/A")</f>
        <v>N/A</v>
      </c>
      <c r="G27" s="59" t="str">
        <f>IF(Inicial!L27="SI",Inicial!G27,"N/A")</f>
        <v>N/A</v>
      </c>
      <c r="H27" s="59" t="str">
        <f>IF(Inicial!L27="SI",Inicial!H27,"N/A")</f>
        <v>N/A</v>
      </c>
      <c r="I27" s="61" t="str">
        <f>IF(Inicial!L27="SI",Inicial!I27,"N/A")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 t="str" cm="1">
        <f t="array" ref="AG27">IF(OR(M27:AF27="NO"),"No aceptable","Aceptable")</f>
        <v>Aceptable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21" t="str" cm="1">
        <f t="array" ref="BD27">IF(OR(AK27:BC27="SI"),"Critico","No Critico")</f>
        <v>No Critico</v>
      </c>
    </row>
    <row r="28" spans="1:56" ht="27" customHeight="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IF(Inicial!L28="SI",Inicial!E28,"N/A")</f>
        <v>03:30 - 11:50 / 11:50 - 21:15</v>
      </c>
      <c r="F28" s="59" t="str">
        <f>IF(Inicial!L28="SI",Inicial!F28,"N/A")</f>
        <v>N/A</v>
      </c>
      <c r="G28" s="59">
        <f>IF(Inicial!L28="SI",Inicial!G28,"N/A")</f>
        <v>2</v>
      </c>
      <c r="H28" s="59">
        <f>IF(Inicial!L28="SI",Inicial!H28,"N/A")</f>
        <v>87</v>
      </c>
      <c r="I28" s="61">
        <f>IF(Inicial!L28="SI",Inicial!I28,"N/A")</f>
        <v>0</v>
      </c>
      <c r="J28" s="11" t="s">
        <v>87</v>
      </c>
      <c r="K28" s="11" t="s">
        <v>65</v>
      </c>
      <c r="L28" s="11" t="s">
        <v>65</v>
      </c>
      <c r="M28" s="11" t="s">
        <v>65</v>
      </c>
      <c r="N28" s="11" t="s">
        <v>65</v>
      </c>
      <c r="O28" s="11" t="s">
        <v>65</v>
      </c>
      <c r="P28" s="11" t="s">
        <v>65</v>
      </c>
      <c r="Q28" s="11" t="s">
        <v>60</v>
      </c>
      <c r="R28" s="11" t="s">
        <v>60</v>
      </c>
      <c r="S28" s="11" t="s">
        <v>60</v>
      </c>
      <c r="T28" s="11" t="s">
        <v>60</v>
      </c>
      <c r="U28" s="11" t="s">
        <v>60</v>
      </c>
      <c r="V28" s="11" t="s">
        <v>60</v>
      </c>
      <c r="W28" s="11" t="s">
        <v>60</v>
      </c>
      <c r="X28" s="11" t="s">
        <v>60</v>
      </c>
      <c r="Y28" s="11" t="s">
        <v>87</v>
      </c>
      <c r="Z28" s="11" t="s">
        <v>65</v>
      </c>
      <c r="AA28" s="11" t="s">
        <v>65</v>
      </c>
      <c r="AB28" s="11" t="s">
        <v>65</v>
      </c>
      <c r="AC28" s="11" t="s">
        <v>65</v>
      </c>
      <c r="AD28" s="11" t="s">
        <v>65</v>
      </c>
      <c r="AE28" s="11" t="s">
        <v>65</v>
      </c>
      <c r="AF28" s="11" t="s">
        <v>65</v>
      </c>
      <c r="AG28" s="12" t="str" cm="1">
        <f t="array" ref="AG28">IF(OR(M28:AF28="NO"),"No aceptable","Aceptable")</f>
        <v>No aceptable</v>
      </c>
      <c r="AH28" s="11" t="s">
        <v>87</v>
      </c>
      <c r="AI28" s="11" t="s">
        <v>87</v>
      </c>
      <c r="AJ28" s="11" t="s">
        <v>87</v>
      </c>
      <c r="AK28" s="11" t="s">
        <v>87</v>
      </c>
      <c r="AL28" s="11" t="s">
        <v>87</v>
      </c>
      <c r="AM28" s="11" t="s">
        <v>87</v>
      </c>
      <c r="AN28" s="11" t="s">
        <v>87</v>
      </c>
      <c r="AO28" s="11" t="s">
        <v>87</v>
      </c>
      <c r="AP28" s="11" t="s">
        <v>87</v>
      </c>
      <c r="AQ28" s="11" t="s">
        <v>87</v>
      </c>
      <c r="AR28" s="11" t="s">
        <v>87</v>
      </c>
      <c r="AS28" s="11" t="s">
        <v>87</v>
      </c>
      <c r="AT28" s="11" t="s">
        <v>60</v>
      </c>
      <c r="AU28" s="11" t="s">
        <v>60</v>
      </c>
      <c r="AV28" s="11" t="s">
        <v>60</v>
      </c>
      <c r="AW28" s="11" t="s">
        <v>87</v>
      </c>
      <c r="AX28" s="11" t="s">
        <v>60</v>
      </c>
      <c r="AY28" s="11" t="s">
        <v>87</v>
      </c>
      <c r="AZ28" s="11" t="s">
        <v>60</v>
      </c>
      <c r="BA28" s="11" t="s">
        <v>60</v>
      </c>
      <c r="BB28" s="11" t="s">
        <v>87</v>
      </c>
      <c r="BC28" s="11" t="s">
        <v>87</v>
      </c>
      <c r="BD28" s="121" t="str" cm="1">
        <f t="array" ref="BD28">IF(OR(AK28:BC28="SI"),"Critico","No Critico")</f>
        <v>No Critico</v>
      </c>
    </row>
    <row r="29" spans="1:56" ht="27" customHeight="1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60" t="str">
        <f>Inicial!D29</f>
        <v>Auroceculitis</v>
      </c>
      <c r="E29" s="58" t="str">
        <f>IF(Inicial!L29="SI",Inicial!E29,"N/A")</f>
        <v>N/A</v>
      </c>
      <c r="F29" s="59" t="str">
        <f>IF(Inicial!L29="SI",Inicial!F29,"N/A")</f>
        <v>N/A</v>
      </c>
      <c r="G29" s="59" t="str">
        <f>IF(Inicial!L29="SI",Inicial!G29,"N/A")</f>
        <v>N/A</v>
      </c>
      <c r="H29" s="59" t="str">
        <f>IF(Inicial!L29="SI",Inicial!H29,"N/A")</f>
        <v>N/A</v>
      </c>
      <c r="I29" s="61" t="str">
        <f>IF(Inicial!L29="SI",Inicial!I29,"N/A")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 t="str" cm="1">
        <f t="array" ref="AG29">IF(OR(M29:AF29="NO"),"No aceptable","Aceptable")</f>
        <v>Aceptable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21" t="str" cm="1">
        <f t="array" ref="BD29">IF(OR(AK29:BC29="SI"),"Critico","No Critico")</f>
        <v>No Critico</v>
      </c>
    </row>
    <row r="30" spans="1:56" ht="27" customHeight="1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60" t="str">
        <f>Inicial!D30</f>
        <v xml:space="preserve">Jefe de línea </v>
      </c>
      <c r="E30" s="58" t="str">
        <f>IF(Inicial!L30="SI",Inicial!E30,"N/A")</f>
        <v>N/A</v>
      </c>
      <c r="F30" s="59" t="str">
        <f>IF(Inicial!L30="SI",Inicial!F30,"N/A")</f>
        <v>N/A</v>
      </c>
      <c r="G30" s="59" t="str">
        <f>IF(Inicial!L30="SI",Inicial!G30,"N/A")</f>
        <v>N/A</v>
      </c>
      <c r="H30" s="59" t="str">
        <f>IF(Inicial!L30="SI",Inicial!H30,"N/A")</f>
        <v>N/A</v>
      </c>
      <c r="I30" s="61" t="str">
        <f>IF(Inicial!L30="SI",Inicial!I30,"N/A")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 t="str" cm="1">
        <f t="array" ref="AG30">IF(OR(M30:AF30="NO"),"No aceptable","Aceptable")</f>
        <v>Aceptable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21" t="str" cm="1">
        <f t="array" ref="BD30">IF(OR(AK30:BC30="SI"),"Critico","No Critico")</f>
        <v>No Critico</v>
      </c>
    </row>
    <row r="31" spans="1:56" ht="27" customHeight="1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60" t="str">
        <f>Inicial!D31</f>
        <v>Supervisor</v>
      </c>
      <c r="E31" s="58" t="str">
        <f>IF(Inicial!L31="SI",Inicial!E31,"N/A")</f>
        <v>N/A</v>
      </c>
      <c r="F31" s="59" t="str">
        <f>IF(Inicial!L31="SI",Inicial!F31,"N/A")</f>
        <v>N/A</v>
      </c>
      <c r="G31" s="59" t="str">
        <f>IF(Inicial!L31="SI",Inicial!G31,"N/A")</f>
        <v>N/A</v>
      </c>
      <c r="H31" s="59" t="str">
        <f>IF(Inicial!L31="SI",Inicial!H31,"N/A")</f>
        <v>N/A</v>
      </c>
      <c r="I31" s="61" t="str">
        <f>IF(Inicial!L31="SI",Inicial!I31,"N/A")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 t="str" cm="1">
        <f t="array" ref="AG31">IF(OR(M31:AF31="NO"),"No aceptable","Aceptable")</f>
        <v>Aceptable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21" t="str" cm="1">
        <f t="array" ref="BD31">IF(OR(AK31:BC31="SI"),"Critico","No Critico")</f>
        <v>No Critico</v>
      </c>
    </row>
    <row r="32" spans="1:56" ht="27" customHeight="1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60" t="str">
        <f>Inicial!D32</f>
        <v>Cinta Decomiso</v>
      </c>
      <c r="E32" s="58" t="str">
        <f>IF(Inicial!L32="SI",Inicial!E32,"N/A")</f>
        <v>N/A</v>
      </c>
      <c r="F32" s="59" t="str">
        <f>IF(Inicial!L32="SI",Inicial!F32,"N/A")</f>
        <v>N/A</v>
      </c>
      <c r="G32" s="59" t="str">
        <f>IF(Inicial!L32="SI",Inicial!G32,"N/A")</f>
        <v>N/A</v>
      </c>
      <c r="H32" s="59" t="str">
        <f>IF(Inicial!L32="SI",Inicial!H32,"N/A")</f>
        <v>N/A</v>
      </c>
      <c r="I32" s="61" t="str">
        <f>IF(Inicial!L32="SI",Inicial!I32,"N/A")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 t="str" cm="1">
        <f t="array" ref="AG32">IF(OR(M32:AF32="NO"),"No aceptable","Aceptable")</f>
        <v>Aceptable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21" t="str" cm="1">
        <f t="array" ref="BD32">IF(OR(AK32:BC32="SI"),"Critico","No Critico")</f>
        <v>No Critico</v>
      </c>
    </row>
    <row r="33" spans="1:56" ht="27" customHeight="1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60" t="str">
        <f>Inicial!D33</f>
        <v>Embolsado Tolva/Seleccionador de Garras en Tolva</v>
      </c>
      <c r="E33" s="58" t="str">
        <f>IF(Inicial!L33="SI",Inicial!E33,"N/A")</f>
        <v>N/A</v>
      </c>
      <c r="F33" s="59" t="str">
        <f>IF(Inicial!L33="SI",Inicial!F33,"N/A")</f>
        <v>N/A</v>
      </c>
      <c r="G33" s="59" t="str">
        <f>IF(Inicial!L33="SI",Inicial!G33,"N/A")</f>
        <v>N/A</v>
      </c>
      <c r="H33" s="59" t="str">
        <f>IF(Inicial!L33="SI",Inicial!H33,"N/A")</f>
        <v>N/A</v>
      </c>
      <c r="I33" s="61" t="str">
        <f>IF(Inicial!L33="SI",Inicial!I33,"N/A")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 t="str" cm="1">
        <f t="array" ref="AG33">IF(OR(M33:AF33="NO"),"No aceptable","Aceptable")</f>
        <v>Aceptable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21" t="str" cm="1">
        <f t="array" ref="BD33">IF(OR(AK33:BC33="SI"),"Critico","No Critico")</f>
        <v>No Critico</v>
      </c>
    </row>
    <row r="34" spans="1:56" ht="27" customHeight="1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60" t="str">
        <f>Inicial!D34</f>
        <v>Pesador de garras</v>
      </c>
      <c r="E34" s="58" t="str">
        <f>IF(Inicial!L34="SI",Inicial!E34,"N/A")</f>
        <v>04:05 - 12:25 / 12:15 A 21:45</v>
      </c>
      <c r="F34" s="59" t="str">
        <f>IF(Inicial!L34="SI",Inicial!F34,"N/A")</f>
        <v>N/A</v>
      </c>
      <c r="G34" s="59">
        <f>IF(Inicial!L34="SI",Inicial!G34,"N/A")</f>
        <v>2</v>
      </c>
      <c r="H34" s="59">
        <f>IF(Inicial!L34="SI",Inicial!H34,"N/A")</f>
        <v>23</v>
      </c>
      <c r="I34" s="61">
        <f>IF(Inicial!L34="SI",Inicial!I34,"N/A")</f>
        <v>17</v>
      </c>
      <c r="J34" s="11" t="s">
        <v>87</v>
      </c>
      <c r="K34" s="11" t="s">
        <v>65</v>
      </c>
      <c r="L34" s="11" t="s">
        <v>65</v>
      </c>
      <c r="M34" s="11" t="s">
        <v>65</v>
      </c>
      <c r="N34" s="11" t="s">
        <v>65</v>
      </c>
      <c r="O34" s="11" t="s">
        <v>65</v>
      </c>
      <c r="P34" s="11" t="s">
        <v>65</v>
      </c>
      <c r="Q34" s="11" t="s">
        <v>60</v>
      </c>
      <c r="R34" s="11" t="s">
        <v>60</v>
      </c>
      <c r="S34" s="11" t="s">
        <v>60</v>
      </c>
      <c r="T34" s="11" t="s">
        <v>60</v>
      </c>
      <c r="U34" s="11" t="s">
        <v>65</v>
      </c>
      <c r="V34" s="11" t="s">
        <v>65</v>
      </c>
      <c r="W34" s="11" t="s">
        <v>65</v>
      </c>
      <c r="X34" s="11" t="s">
        <v>87</v>
      </c>
      <c r="Y34" s="11" t="s">
        <v>65</v>
      </c>
      <c r="Z34" s="11" t="s">
        <v>65</v>
      </c>
      <c r="AA34" s="11" t="s">
        <v>65</v>
      </c>
      <c r="AB34" s="11" t="s">
        <v>65</v>
      </c>
      <c r="AC34" s="11" t="s">
        <v>65</v>
      </c>
      <c r="AD34" s="11" t="s">
        <v>65</v>
      </c>
      <c r="AE34" s="11" t="s">
        <v>65</v>
      </c>
      <c r="AF34" s="11" t="s">
        <v>65</v>
      </c>
      <c r="AG34" s="12" t="str" cm="1">
        <f t="array" ref="AG34">IF(OR(M34:AF34="NO"),"No aceptable","Aceptable")</f>
        <v>No aceptable</v>
      </c>
      <c r="AH34" s="11" t="s">
        <v>87</v>
      </c>
      <c r="AI34" s="11" t="s">
        <v>87</v>
      </c>
      <c r="AJ34" s="11" t="s">
        <v>87</v>
      </c>
      <c r="AK34" s="11" t="s">
        <v>87</v>
      </c>
      <c r="AL34" s="11" t="s">
        <v>87</v>
      </c>
      <c r="AM34" s="11" t="s">
        <v>87</v>
      </c>
      <c r="AN34" s="11" t="s">
        <v>87</v>
      </c>
      <c r="AO34" s="11" t="s">
        <v>87</v>
      </c>
      <c r="AP34" s="11" t="s">
        <v>87</v>
      </c>
      <c r="AQ34" s="11" t="s">
        <v>87</v>
      </c>
      <c r="AR34" s="11" t="s">
        <v>87</v>
      </c>
      <c r="AS34" s="11" t="s">
        <v>87</v>
      </c>
      <c r="AT34" s="11" t="s">
        <v>87</v>
      </c>
      <c r="AU34" s="11" t="s">
        <v>87</v>
      </c>
      <c r="AV34" s="11" t="s">
        <v>87</v>
      </c>
      <c r="AW34" s="11" t="s">
        <v>87</v>
      </c>
      <c r="AX34" s="11" t="s">
        <v>87</v>
      </c>
      <c r="AY34" s="11" t="s">
        <v>60</v>
      </c>
      <c r="AZ34" s="11" t="s">
        <v>60</v>
      </c>
      <c r="BA34" s="11" t="s">
        <v>60</v>
      </c>
      <c r="BB34" s="11" t="s">
        <v>87</v>
      </c>
      <c r="BC34" s="11" t="s">
        <v>87</v>
      </c>
      <c r="BD34" s="121" t="str" cm="1">
        <f t="array" ref="BD34">IF(OR(AK34:BC34="SI"),"Critico","No Critico")</f>
        <v>No Critico</v>
      </c>
    </row>
    <row r="35" spans="1:56" ht="27" customHeight="1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60" t="str">
        <f>Inicial!D35</f>
        <v>Repaso de callos</v>
      </c>
      <c r="E35" s="58" t="str">
        <f>IF(Inicial!L35="SI",Inicial!E35,"N/A")</f>
        <v>N/A</v>
      </c>
      <c r="F35" s="59" t="str">
        <f>IF(Inicial!L35="SI",Inicial!F35,"N/A")</f>
        <v>N/A</v>
      </c>
      <c r="G35" s="59" t="str">
        <f>IF(Inicial!L35="SI",Inicial!G35,"N/A")</f>
        <v>N/A</v>
      </c>
      <c r="H35" s="59" t="str">
        <f>IF(Inicial!L35="SI",Inicial!H35,"N/A")</f>
        <v>N/A</v>
      </c>
      <c r="I35" s="61" t="str">
        <f>IF(Inicial!L35="SI",Inicial!I35,"N/A")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 t="str" cm="1">
        <f t="array" ref="AG35">IF(OR(M35:AF35="NO"),"No aceptable","Aceptable")</f>
        <v>Aceptable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21" t="str" cm="1">
        <f t="array" ref="BD35">IF(OR(AK35:BC35="SI"),"Critico","No Critico")</f>
        <v>No Critico</v>
      </c>
    </row>
    <row r="36" spans="1:56" ht="27" customHeight="1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60" t="str">
        <f>Inicial!D36</f>
        <v>Traslado de Garra Larga</v>
      </c>
      <c r="E36" s="58" t="str">
        <f>IF(Inicial!L36="SI",Inicial!E36,"N/A")</f>
        <v>04:05 - 12:25 / 12:15 A 21:45</v>
      </c>
      <c r="F36" s="59" t="str">
        <f>IF(Inicial!L36="SI",Inicial!F36,"N/A")</f>
        <v>N/A</v>
      </c>
      <c r="G36" s="59">
        <f>IF(Inicial!L36="SI",Inicial!G36,"N/A")</f>
        <v>2</v>
      </c>
      <c r="H36" s="59">
        <f>IF(Inicial!L36="SI",Inicial!H36,"N/A")</f>
        <v>23</v>
      </c>
      <c r="I36" s="61">
        <f>IF(Inicial!L36="SI",Inicial!I36,"N/A")</f>
        <v>17</v>
      </c>
      <c r="J36" s="11" t="s">
        <v>87</v>
      </c>
      <c r="K36" s="11" t="s">
        <v>65</v>
      </c>
      <c r="L36" s="11" t="s">
        <v>65</v>
      </c>
      <c r="M36" s="11" t="s">
        <v>65</v>
      </c>
      <c r="N36" s="11" t="s">
        <v>65</v>
      </c>
      <c r="O36" s="11" t="s">
        <v>65</v>
      </c>
      <c r="P36" s="11" t="s">
        <v>65</v>
      </c>
      <c r="Q36" s="11" t="s">
        <v>60</v>
      </c>
      <c r="R36" s="11" t="s">
        <v>60</v>
      </c>
      <c r="S36" s="11" t="s">
        <v>60</v>
      </c>
      <c r="T36" s="11" t="s">
        <v>60</v>
      </c>
      <c r="U36" s="11" t="s">
        <v>60</v>
      </c>
      <c r="V36" s="11" t="s">
        <v>60</v>
      </c>
      <c r="W36" s="11" t="s">
        <v>60</v>
      </c>
      <c r="X36" s="11" t="s">
        <v>60</v>
      </c>
      <c r="Y36" s="11" t="s">
        <v>87</v>
      </c>
      <c r="Z36" s="11" t="s">
        <v>65</v>
      </c>
      <c r="AA36" s="11" t="s">
        <v>65</v>
      </c>
      <c r="AB36" s="11" t="s">
        <v>65</v>
      </c>
      <c r="AC36" s="11" t="s">
        <v>65</v>
      </c>
      <c r="AD36" s="11" t="s">
        <v>65</v>
      </c>
      <c r="AE36" s="11" t="s">
        <v>65</v>
      </c>
      <c r="AF36" s="11" t="s">
        <v>65</v>
      </c>
      <c r="AG36" s="12" t="str" cm="1">
        <f t="array" ref="AG36">IF(OR(M36:AF36="NO"),"No aceptable","Aceptable")</f>
        <v>No aceptable</v>
      </c>
      <c r="AH36" s="11" t="s">
        <v>87</v>
      </c>
      <c r="AI36" s="11" t="s">
        <v>87</v>
      </c>
      <c r="AJ36" s="11" t="s">
        <v>87</v>
      </c>
      <c r="AK36" s="11" t="s">
        <v>87</v>
      </c>
      <c r="AL36" s="11" t="s">
        <v>87</v>
      </c>
      <c r="AM36" s="11" t="s">
        <v>87</v>
      </c>
      <c r="AN36" s="11" t="s">
        <v>87</v>
      </c>
      <c r="AO36" s="11" t="s">
        <v>87</v>
      </c>
      <c r="AP36" s="11" t="s">
        <v>87</v>
      </c>
      <c r="AQ36" s="11" t="s">
        <v>87</v>
      </c>
      <c r="AR36" s="11" t="s">
        <v>87</v>
      </c>
      <c r="AS36" s="11" t="s">
        <v>87</v>
      </c>
      <c r="AT36" s="11" t="s">
        <v>60</v>
      </c>
      <c r="AU36" s="11" t="s">
        <v>60</v>
      </c>
      <c r="AV36" s="11" t="s">
        <v>60</v>
      </c>
      <c r="AW36" s="11" t="s">
        <v>87</v>
      </c>
      <c r="AX36" s="11" t="s">
        <v>87</v>
      </c>
      <c r="AY36" s="11" t="s">
        <v>60</v>
      </c>
      <c r="AZ36" s="11" t="s">
        <v>60</v>
      </c>
      <c r="BA36" s="11" t="s">
        <v>60</v>
      </c>
      <c r="BB36" s="11" t="s">
        <v>87</v>
      </c>
      <c r="BC36" s="11" t="s">
        <v>87</v>
      </c>
      <c r="BD36" s="121" t="str" cm="1">
        <f t="array" ref="BD36">IF(OR(AK36:BC36="SI"),"Critico","No Critico")</f>
        <v>No Critico</v>
      </c>
    </row>
    <row r="37" spans="1:56" ht="27" customHeight="1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60" t="str">
        <f>Inicial!D37</f>
        <v>Seleccionador de garra</v>
      </c>
      <c r="E37" s="58" t="str">
        <f>IF(Inicial!L37="SI",Inicial!E37,"N/A")</f>
        <v>N/A</v>
      </c>
      <c r="F37" s="59" t="str">
        <f>IF(Inicial!L37="SI",Inicial!F37,"N/A")</f>
        <v>N/A</v>
      </c>
      <c r="G37" s="59" t="str">
        <f>IF(Inicial!L37="SI",Inicial!G37,"N/A")</f>
        <v>N/A</v>
      </c>
      <c r="H37" s="59" t="str">
        <f>IF(Inicial!L37="SI",Inicial!H37,"N/A")</f>
        <v>N/A</v>
      </c>
      <c r="I37" s="61" t="str">
        <f>IF(Inicial!L37="SI",Inicial!I37,"N/A")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 t="str" cm="1">
        <f t="array" ref="AG37">IF(OR(M37:AF37="NO"),"No aceptable","Aceptable")</f>
        <v>Aceptable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21" t="str" cm="1">
        <f t="array" ref="BD37">IF(OR(AK37:BC37="SI"),"Critico","No Critico")</f>
        <v>No Critico</v>
      </c>
    </row>
    <row r="38" spans="1:56" ht="27" customHeight="1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60" t="str">
        <f>Inicial!D38</f>
        <v>Embalando garras</v>
      </c>
      <c r="E38" s="58" t="str">
        <f>IF(Inicial!L38="SI",Inicial!E38,"N/A")</f>
        <v>N/A</v>
      </c>
      <c r="F38" s="59" t="str">
        <f>IF(Inicial!L38="SI",Inicial!F38,"N/A")</f>
        <v>N/A</v>
      </c>
      <c r="G38" s="59" t="str">
        <f>IF(Inicial!L38="SI",Inicial!G38,"N/A")</f>
        <v>N/A</v>
      </c>
      <c r="H38" s="59" t="str">
        <f>IF(Inicial!L38="SI",Inicial!H38,"N/A")</f>
        <v>N/A</v>
      </c>
      <c r="I38" s="61" t="str">
        <f>IF(Inicial!L38="SI",Inicial!I38,"N/A")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 t="str" cm="1">
        <f t="array" ref="AG38">IF(OR(M38:AF38="NO"),"No aceptable","Aceptable")</f>
        <v>Aceptable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21" t="str" cm="1">
        <f t="array" ref="BD38">IF(OR(AK38:BC38="SI"),"Critico","No Critico")</f>
        <v>No Critico</v>
      </c>
    </row>
    <row r="39" spans="1:56" ht="27" customHeight="1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60" t="str">
        <f>Inicial!D39</f>
        <v>Cortadora de garra larga</v>
      </c>
      <c r="E39" s="58" t="str">
        <f>IF(Inicial!L39="SI",Inicial!E39,"N/A")</f>
        <v>N/A</v>
      </c>
      <c r="F39" s="59" t="str">
        <f>IF(Inicial!L39="SI",Inicial!F39,"N/A")</f>
        <v>N/A</v>
      </c>
      <c r="G39" s="59" t="str">
        <f>IF(Inicial!L39="SI",Inicial!G39,"N/A")</f>
        <v>N/A</v>
      </c>
      <c r="H39" s="59" t="str">
        <f>IF(Inicial!L39="SI",Inicial!H39,"N/A")</f>
        <v>N/A</v>
      </c>
      <c r="I39" s="61" t="str">
        <f>IF(Inicial!L39="SI",Inicial!I39,"N/A")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 t="str" cm="1">
        <f t="array" ref="AG39">IF(OR(M39:AF39="NO"),"No aceptable","Aceptable")</f>
        <v>Aceptable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21" t="str" cm="1">
        <f t="array" ref="BD39">IF(OR(AK39:BC39="SI"),"Critico","No Critico")</f>
        <v>No Critico</v>
      </c>
    </row>
    <row r="40" spans="1:56" ht="27" customHeight="1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60" t="str">
        <f>Inicial!D40</f>
        <v>Etiquetado en mesa de embalaje</v>
      </c>
      <c r="E40" s="58" t="str">
        <f>IF(Inicial!L40="SI",Inicial!E40,"N/A")</f>
        <v>N/A</v>
      </c>
      <c r="F40" s="59" t="str">
        <f>IF(Inicial!L40="SI",Inicial!F40,"N/A")</f>
        <v>N/A</v>
      </c>
      <c r="G40" s="59" t="str">
        <f>IF(Inicial!L40="SI",Inicial!G40,"N/A")</f>
        <v>N/A</v>
      </c>
      <c r="H40" s="59" t="str">
        <f>IF(Inicial!L40="SI",Inicial!H40,"N/A")</f>
        <v>N/A</v>
      </c>
      <c r="I40" s="61" t="str">
        <f>IF(Inicial!L40="SI",Inicial!I40,"N/A")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 t="str" cm="1">
        <f t="array" ref="AG40">IF(OR(M40:AF40="NO"),"No aceptable","Aceptable")</f>
        <v>Aceptable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21" t="str" cm="1">
        <f t="array" ref="BD40">IF(OR(AK40:BC40="SI"),"Critico","No Critico")</f>
        <v>No Critico</v>
      </c>
    </row>
    <row r="41" spans="1:56" ht="27" customHeight="1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60" t="str">
        <f>Inicial!D41</f>
        <v>Nudillos</v>
      </c>
      <c r="E41" s="58" t="str">
        <f>IF(Inicial!L41="SI",Inicial!E41,"N/A")</f>
        <v>N/A</v>
      </c>
      <c r="F41" s="59" t="str">
        <f>IF(Inicial!L41="SI",Inicial!F41,"N/A")</f>
        <v>N/A</v>
      </c>
      <c r="G41" s="59" t="str">
        <f>IF(Inicial!L41="SI",Inicial!G41,"N/A")</f>
        <v>N/A</v>
      </c>
      <c r="H41" s="59" t="str">
        <f>IF(Inicial!L41="SI",Inicial!H41,"N/A")</f>
        <v>N/A</v>
      </c>
      <c r="I41" s="61" t="str">
        <f>IF(Inicial!L41="SI",Inicial!I41,"N/A")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 t="str" cm="1">
        <f t="array" ref="AG41">IF(OR(M41:AF41="NO"),"No aceptable","Aceptable")</f>
        <v>Aceptable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21" t="str" cm="1">
        <f t="array" ref="BD41">IF(OR(AK41:BC41="SI"),"Critico","No Critico")</f>
        <v>No Critico</v>
      </c>
    </row>
    <row r="42" spans="1:56" ht="27" customHeight="1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60" t="str">
        <f>Inicial!D42</f>
        <v>Pesador de nudillos</v>
      </c>
      <c r="E42" s="58" t="str">
        <f>IF(Inicial!L42="SI",Inicial!E42,"N/A")</f>
        <v>04:05 - 12:25 / 12:15 A 21:45</v>
      </c>
      <c r="F42" s="59" t="str">
        <f>IF(Inicial!L42="SI",Inicial!F42,"N/A")</f>
        <v>N/A</v>
      </c>
      <c r="G42" s="59">
        <f>IF(Inicial!L42="SI",Inicial!G42,"N/A")</f>
        <v>2</v>
      </c>
      <c r="H42" s="59">
        <f>IF(Inicial!L42="SI",Inicial!H42,"N/A")</f>
        <v>23</v>
      </c>
      <c r="I42" s="61">
        <f>IF(Inicial!L42="SI",Inicial!I42,"N/A")</f>
        <v>17</v>
      </c>
      <c r="J42" s="11" t="s">
        <v>87</v>
      </c>
      <c r="K42" s="11" t="s">
        <v>65</v>
      </c>
      <c r="L42" s="11" t="s">
        <v>65</v>
      </c>
      <c r="M42" s="11" t="s">
        <v>65</v>
      </c>
      <c r="N42" s="11" t="s">
        <v>65</v>
      </c>
      <c r="O42" s="11" t="s">
        <v>65</v>
      </c>
      <c r="P42" s="11" t="s">
        <v>65</v>
      </c>
      <c r="Q42" s="11" t="s">
        <v>60</v>
      </c>
      <c r="R42" s="11" t="s">
        <v>60</v>
      </c>
      <c r="S42" s="11" t="s">
        <v>60</v>
      </c>
      <c r="T42" s="11" t="s">
        <v>60</v>
      </c>
      <c r="U42" s="11" t="s">
        <v>65</v>
      </c>
      <c r="V42" s="11" t="s">
        <v>65</v>
      </c>
      <c r="W42" s="11" t="s">
        <v>65</v>
      </c>
      <c r="X42" s="11" t="s">
        <v>87</v>
      </c>
      <c r="Y42" s="11" t="s">
        <v>65</v>
      </c>
      <c r="Z42" s="11" t="s">
        <v>65</v>
      </c>
      <c r="AA42" s="11" t="s">
        <v>65</v>
      </c>
      <c r="AB42" s="11" t="s">
        <v>65</v>
      </c>
      <c r="AC42" s="11" t="s">
        <v>65</v>
      </c>
      <c r="AD42" s="11" t="s">
        <v>65</v>
      </c>
      <c r="AE42" s="11" t="s">
        <v>65</v>
      </c>
      <c r="AF42" s="11" t="s">
        <v>65</v>
      </c>
      <c r="AG42" s="12" t="str" cm="1">
        <f t="array" ref="AG42">IF(OR(M42:AF42="NO"),"No aceptable","Aceptable")</f>
        <v>No aceptable</v>
      </c>
      <c r="AH42" s="11" t="s">
        <v>87</v>
      </c>
      <c r="AI42" s="11" t="s">
        <v>87</v>
      </c>
      <c r="AJ42" s="11" t="s">
        <v>87</v>
      </c>
      <c r="AK42" s="11" t="s">
        <v>87</v>
      </c>
      <c r="AL42" s="11" t="s">
        <v>87</v>
      </c>
      <c r="AM42" s="11" t="s">
        <v>87</v>
      </c>
      <c r="AN42" s="11" t="s">
        <v>87</v>
      </c>
      <c r="AO42" s="11" t="s">
        <v>87</v>
      </c>
      <c r="AP42" s="11" t="s">
        <v>87</v>
      </c>
      <c r="AQ42" s="11" t="s">
        <v>87</v>
      </c>
      <c r="AR42" s="11" t="s">
        <v>87</v>
      </c>
      <c r="AS42" s="11" t="s">
        <v>87</v>
      </c>
      <c r="AT42" s="11" t="s">
        <v>87</v>
      </c>
      <c r="AU42" s="11" t="s">
        <v>87</v>
      </c>
      <c r="AV42" s="11" t="s">
        <v>87</v>
      </c>
      <c r="AW42" s="11" t="s">
        <v>87</v>
      </c>
      <c r="AX42" s="11" t="s">
        <v>87</v>
      </c>
      <c r="AY42" s="11" t="s">
        <v>60</v>
      </c>
      <c r="AZ42" s="11" t="s">
        <v>60</v>
      </c>
      <c r="BA42" s="11" t="s">
        <v>60</v>
      </c>
      <c r="BB42" s="11" t="s">
        <v>87</v>
      </c>
      <c r="BC42" s="11" t="s">
        <v>87</v>
      </c>
      <c r="BD42" s="121" t="str" cm="1">
        <f t="array" ref="BD42">IF(OR(AK42:BC42="SI"),"Critico","No Critico")</f>
        <v>No Critico</v>
      </c>
    </row>
    <row r="43" spans="1:56" ht="27" customHeight="1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60" t="str">
        <f>Inicial!D43</f>
        <v>Maquinista Garras</v>
      </c>
      <c r="E43" s="58" t="str">
        <f>IF(Inicial!L43="SI",Inicial!E43,"N/A")</f>
        <v>N/A</v>
      </c>
      <c r="F43" s="59" t="str">
        <f>IF(Inicial!L43="SI",Inicial!F43,"N/A")</f>
        <v>N/A</v>
      </c>
      <c r="G43" s="59" t="str">
        <f>IF(Inicial!L43="SI",Inicial!G43,"N/A")</f>
        <v>N/A</v>
      </c>
      <c r="H43" s="59" t="str">
        <f>IF(Inicial!L43="SI",Inicial!H43,"N/A")</f>
        <v>N/A</v>
      </c>
      <c r="I43" s="61" t="str">
        <f>IF(Inicial!L43="SI",Inicial!I43,"N/A")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 t="str" cm="1">
        <f t="array" ref="AG43">IF(OR(M43:AF43="NO"),"No aceptable","Aceptable")</f>
        <v>Aceptable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21" t="str" cm="1">
        <f t="array" ref="BD43">IF(OR(AK43:BC43="SI"),"Critico","No Critico")</f>
        <v>No Critico</v>
      </c>
    </row>
    <row r="44" spans="1:56" ht="27" customHeight="1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60" t="str">
        <f>Inicial!D44</f>
        <v xml:space="preserve">Jefe de Línea </v>
      </c>
      <c r="E44" s="58" t="str">
        <f>IF(Inicial!L44="SI",Inicial!E44,"N/A")</f>
        <v>N/A</v>
      </c>
      <c r="F44" s="59" t="str">
        <f>IF(Inicial!L44="SI",Inicial!F44,"N/A")</f>
        <v>N/A</v>
      </c>
      <c r="G44" s="59" t="str">
        <f>IF(Inicial!L44="SI",Inicial!G44,"N/A")</f>
        <v>N/A</v>
      </c>
      <c r="H44" s="59" t="str">
        <f>IF(Inicial!L44="SI",Inicial!H44,"N/A")</f>
        <v>N/A</v>
      </c>
      <c r="I44" s="61" t="str">
        <f>IF(Inicial!L44="SI",Inicial!I44,"N/A")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 t="str" cm="1">
        <f t="array" ref="AG44">IF(OR(M44:AF44="NO"),"No aceptable","Aceptable")</f>
        <v>Aceptable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21" t="str" cm="1">
        <f t="array" ref="BD44">IF(OR(AK44:BC44="SI"),"Critico","No Critico")</f>
        <v>No Critico</v>
      </c>
    </row>
    <row r="45" spans="1:56" ht="27" customHeight="1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60" t="str">
        <f>Inicial!D45</f>
        <v>Colgador aves frias</v>
      </c>
      <c r="E45" s="58" t="str">
        <f>IF(Inicial!L45="SI",Inicial!E45,"N/A")</f>
        <v>N/A</v>
      </c>
      <c r="F45" s="59" t="str">
        <f>IF(Inicial!L45="SI",Inicial!F45,"N/A")</f>
        <v>N/A</v>
      </c>
      <c r="G45" s="59" t="str">
        <f>IF(Inicial!L45="SI",Inicial!G45,"N/A")</f>
        <v>N/A</v>
      </c>
      <c r="H45" s="59" t="str">
        <f>IF(Inicial!L45="SI",Inicial!H45,"N/A")</f>
        <v>N/A</v>
      </c>
      <c r="I45" s="61" t="str">
        <f>IF(Inicial!L45="SI",Inicial!I45,"N/A")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 t="str" cm="1">
        <f t="array" ref="AG45">IF(OR(M45:AF45="NO"),"No aceptable","Aceptable")</f>
        <v>Aceptable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21" t="str" cm="1">
        <f t="array" ref="BD45">IF(OR(AK45:BC45="SI"),"Critico","No Critico")</f>
        <v>No Critico</v>
      </c>
    </row>
    <row r="46" spans="1:56" ht="27" customHeight="1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60" t="str">
        <f>Inicial!D46</f>
        <v>Embolsador de pana</v>
      </c>
      <c r="E46" s="58" t="str">
        <f>IF(Inicial!L46="SI",Inicial!E46,"N/A")</f>
        <v>N/A</v>
      </c>
      <c r="F46" s="59" t="str">
        <f>IF(Inicial!L46="SI",Inicial!F46,"N/A")</f>
        <v>N/A</v>
      </c>
      <c r="G46" s="59" t="str">
        <f>IF(Inicial!L46="SI",Inicial!G46,"N/A")</f>
        <v>N/A</v>
      </c>
      <c r="H46" s="59" t="str">
        <f>IF(Inicial!L46="SI",Inicial!H46,"N/A")</f>
        <v>N/A</v>
      </c>
      <c r="I46" s="61" t="str">
        <f>IF(Inicial!L46="SI",Inicial!I46,"N/A")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 t="str" cm="1">
        <f t="array" ref="AG46">IF(OR(M46:AF46="NO"),"No aceptable","Aceptable")</f>
        <v>Aceptable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21" t="str" cm="1">
        <f t="array" ref="BD46">IF(OR(AK46:BC46="SI"),"Critico","No Critico")</f>
        <v>No Critico</v>
      </c>
    </row>
    <row r="47" spans="1:56" ht="27" customHeight="1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60" t="str">
        <f>Inicial!D47</f>
        <v>Embalador de producto</v>
      </c>
      <c r="E47" s="58" t="str">
        <f>IF(Inicial!L47="SI",Inicial!E47,"N/A")</f>
        <v>N/A</v>
      </c>
      <c r="F47" s="59" t="str">
        <f>IF(Inicial!L47="SI",Inicial!F47,"N/A")</f>
        <v>N/A</v>
      </c>
      <c r="G47" s="59" t="str">
        <f>IF(Inicial!L47="SI",Inicial!G47,"N/A")</f>
        <v>N/A</v>
      </c>
      <c r="H47" s="59" t="str">
        <f>IF(Inicial!L47="SI",Inicial!H47,"N/A")</f>
        <v>N/A</v>
      </c>
      <c r="I47" s="61" t="str">
        <f>IF(Inicial!L47="SI",Inicial!I47,"N/A")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 t="str" cm="1">
        <f t="array" ref="AG47">IF(OR(M47:AF47="NO"),"No aceptable","Aceptable")</f>
        <v>Aceptable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21" t="str" cm="1">
        <f t="array" ref="BD47">IF(OR(AK47:BC47="SI"),"Critico","No Critico")</f>
        <v>No Critico</v>
      </c>
    </row>
    <row r="48" spans="1:56" ht="27" customHeight="1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60" t="str">
        <f>Inicial!D48</f>
        <v>Embolsado de corazon</v>
      </c>
      <c r="E48" s="58" t="str">
        <f>IF(Inicial!L48="SI",Inicial!E48,"N/A")</f>
        <v>N/A</v>
      </c>
      <c r="F48" s="59" t="str">
        <f>IF(Inicial!L48="SI",Inicial!F48,"N/A")</f>
        <v>N/A</v>
      </c>
      <c r="G48" s="59" t="str">
        <f>IF(Inicial!L48="SI",Inicial!G48,"N/A")</f>
        <v>N/A</v>
      </c>
      <c r="H48" s="59" t="str">
        <f>IF(Inicial!L48="SI",Inicial!H48,"N/A")</f>
        <v>N/A</v>
      </c>
      <c r="I48" s="61" t="str">
        <f>IF(Inicial!L48="SI",Inicial!I48,"N/A")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 t="str" cm="1">
        <f t="array" ref="AG48">IF(OR(M48:AF48="NO"),"No aceptable","Aceptable")</f>
        <v>Aceptable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21" t="str" cm="1">
        <f t="array" ref="BD48">IF(OR(AK48:BC48="SI"),"Critico","No Critico")</f>
        <v>No Critico</v>
      </c>
    </row>
    <row r="49" spans="1:56" ht="27" customHeight="1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60" t="str">
        <f>Inicial!D49</f>
        <v>Pesador de corazon</v>
      </c>
      <c r="E49" s="58" t="str">
        <f>IF(Inicial!L49="SI",Inicial!E49,"N/A")</f>
        <v>N/A</v>
      </c>
      <c r="F49" s="59" t="str">
        <f>IF(Inicial!L49="SI",Inicial!F49,"N/A")</f>
        <v>N/A</v>
      </c>
      <c r="G49" s="59" t="str">
        <f>IF(Inicial!L49="SI",Inicial!G49,"N/A")</f>
        <v>N/A</v>
      </c>
      <c r="H49" s="59" t="str">
        <f>IF(Inicial!L49="SI",Inicial!H49,"N/A")</f>
        <v>N/A</v>
      </c>
      <c r="I49" s="61" t="str">
        <f>IF(Inicial!L49="SI",Inicial!I49,"N/A")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 t="str" cm="1">
        <f t="array" ref="AG49">IF(OR(M49:AF49="NO"),"No aceptable","Aceptable")</f>
        <v>Aceptable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21" t="str" cm="1">
        <f t="array" ref="BD49">IF(OR(AK49:BC49="SI"),"Critico","No Critico")</f>
        <v>No Critico</v>
      </c>
    </row>
    <row r="50" spans="1:56" ht="27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60" t="str">
        <f>Inicial!D50</f>
        <v>Selección de corazon</v>
      </c>
      <c r="E50" s="58" t="str">
        <f>IF(Inicial!L50="SI",Inicial!E50,"N/A")</f>
        <v>N/A</v>
      </c>
      <c r="F50" s="59" t="str">
        <f>IF(Inicial!L50="SI",Inicial!F50,"N/A")</f>
        <v>N/A</v>
      </c>
      <c r="G50" s="59" t="str">
        <f>IF(Inicial!L50="SI",Inicial!G50,"N/A")</f>
        <v>N/A</v>
      </c>
      <c r="H50" s="59" t="str">
        <f>IF(Inicial!L50="SI",Inicial!H50,"N/A")</f>
        <v>N/A</v>
      </c>
      <c r="I50" s="61" t="str">
        <f>IF(Inicial!L50="SI",Inicial!I50,"N/A")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 t="str" cm="1">
        <f t="array" ref="AG50">IF(OR(M50:AF50="NO"),"No aceptable","Aceptable")</f>
        <v>Aceptable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21" t="str" cm="1">
        <f t="array" ref="BD50">IF(OR(AK50:BC50="SI"),"Critico","No Critico")</f>
        <v>No Critico</v>
      </c>
    </row>
    <row r="51" spans="1:56" ht="27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60" t="str">
        <f>Inicial!D51</f>
        <v>Embalador de contre</v>
      </c>
      <c r="E51" s="58" t="str">
        <f>IF(Inicial!L51="SI",Inicial!E51,"N/A")</f>
        <v>N/A</v>
      </c>
      <c r="F51" s="59" t="str">
        <f>IF(Inicial!L51="SI",Inicial!F51,"N/A")</f>
        <v>N/A</v>
      </c>
      <c r="G51" s="59" t="str">
        <f>IF(Inicial!L51="SI",Inicial!G51,"N/A")</f>
        <v>N/A</v>
      </c>
      <c r="H51" s="59" t="str">
        <f>IF(Inicial!L51="SI",Inicial!H51,"N/A")</f>
        <v>N/A</v>
      </c>
      <c r="I51" s="61" t="str">
        <f>IF(Inicial!L51="SI",Inicial!I51,"N/A")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 t="str" cm="1">
        <f t="array" ref="AG51">IF(OR(M51:AF51="NO"),"No aceptable","Aceptable")</f>
        <v>Aceptable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21" t="str" cm="1">
        <f t="array" ref="BD51">IF(OR(AK51:BC51="SI"),"Critico","No Critico")</f>
        <v>No Critico</v>
      </c>
    </row>
    <row r="52" spans="1:56" ht="27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60" t="str">
        <f>Inicial!D52</f>
        <v>Limpiador de pana</v>
      </c>
      <c r="E52" s="58" t="str">
        <f>IF(Inicial!L52="SI",Inicial!E52,"N/A")</f>
        <v>N/A</v>
      </c>
      <c r="F52" s="59" t="str">
        <f>IF(Inicial!L52="SI",Inicial!F52,"N/A")</f>
        <v>N/A</v>
      </c>
      <c r="G52" s="59" t="str">
        <f>IF(Inicial!L52="SI",Inicial!G52,"N/A")</f>
        <v>N/A</v>
      </c>
      <c r="H52" s="59" t="str">
        <f>IF(Inicial!L52="SI",Inicial!H52,"N/A")</f>
        <v>N/A</v>
      </c>
      <c r="I52" s="61" t="str">
        <f>IF(Inicial!L52="SI",Inicial!I52,"N/A")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 t="str" cm="1">
        <f t="array" ref="AG52">IF(OR(M52:AF52="NO"),"No aceptable","Aceptable")</f>
        <v>Aceptable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21" t="str" cm="1">
        <f t="array" ref="BD52">IF(OR(AK52:BC52="SI"),"Critico","No Critico")</f>
        <v>No Critico</v>
      </c>
    </row>
    <row r="53" spans="1:56" ht="27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60" t="str">
        <f>Inicial!D53</f>
        <v>Embolsador de contre</v>
      </c>
      <c r="E53" s="58" t="str">
        <f>IF(Inicial!L53="SI",Inicial!E53,"N/A")</f>
        <v>N/A</v>
      </c>
      <c r="F53" s="59" t="str">
        <f>IF(Inicial!L53="SI",Inicial!F53,"N/A")</f>
        <v>N/A</v>
      </c>
      <c r="G53" s="59" t="str">
        <f>IF(Inicial!L53="SI",Inicial!G53,"N/A")</f>
        <v>N/A</v>
      </c>
      <c r="H53" s="59" t="str">
        <f>IF(Inicial!L53="SI",Inicial!H53,"N/A")</f>
        <v>N/A</v>
      </c>
      <c r="I53" s="61" t="str">
        <f>IF(Inicial!L53="SI",Inicial!I53,"N/A")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 t="str" cm="1">
        <f t="array" ref="AG53">IF(OR(M53:AF53="NO"),"No aceptable","Aceptable")</f>
        <v>Aceptable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21" t="str" cm="1">
        <f t="array" ref="BD53">IF(OR(AK53:BC53="SI"),"Critico","No Critico")</f>
        <v>No Critico</v>
      </c>
    </row>
    <row r="54" spans="1:56" ht="27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60" t="str">
        <f>Inicial!D54</f>
        <v>Embalador de Pana</v>
      </c>
      <c r="E54" s="58" t="str">
        <f>IF(Inicial!L54="SI",Inicial!E54,"N/A")</f>
        <v>N/A</v>
      </c>
      <c r="F54" s="59" t="str">
        <f>IF(Inicial!L54="SI",Inicial!F54,"N/A")</f>
        <v>N/A</v>
      </c>
      <c r="G54" s="59" t="str">
        <f>IF(Inicial!L54="SI",Inicial!G54,"N/A")</f>
        <v>N/A</v>
      </c>
      <c r="H54" s="59" t="str">
        <f>IF(Inicial!L54="SI",Inicial!H54,"N/A")</f>
        <v>N/A</v>
      </c>
      <c r="I54" s="61" t="str">
        <f>IF(Inicial!L54="SI",Inicial!I54,"N/A")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 t="str" cm="1">
        <f t="array" ref="AG54">IF(OR(M54:AF54="NO"),"No aceptable","Aceptable")</f>
        <v>Aceptable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21" t="str" cm="1">
        <f t="array" ref="BD54">IF(OR(AK54:BC54="SI"),"Critico","No Critico")</f>
        <v>No Critico</v>
      </c>
    </row>
    <row r="55" spans="1:56" ht="27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60" t="str">
        <f>Inicial!D55</f>
        <v>Selección de Contre</v>
      </c>
      <c r="E55" s="58" t="str">
        <f>IF(Inicial!L55="SI",Inicial!E55,"N/A")</f>
        <v>N/A</v>
      </c>
      <c r="F55" s="59" t="str">
        <f>IF(Inicial!L55="SI",Inicial!F55,"N/A")</f>
        <v>N/A</v>
      </c>
      <c r="G55" s="59" t="str">
        <f>IF(Inicial!L55="SI",Inicial!G55,"N/A")</f>
        <v>N/A</v>
      </c>
      <c r="H55" s="59" t="str">
        <f>IF(Inicial!L55="SI",Inicial!H55,"N/A")</f>
        <v>N/A</v>
      </c>
      <c r="I55" s="61" t="str">
        <f>IF(Inicial!L55="SI",Inicial!I55,"N/A")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 t="str" cm="1">
        <f t="array" ref="AG55">IF(OR(M55:AF55="NO"),"No aceptable","Aceptable")</f>
        <v>Aceptable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21" t="str" cm="1">
        <f t="array" ref="BD55">IF(OR(AK55:BC55="SI"),"Critico","No Critico")</f>
        <v>No Critico</v>
      </c>
    </row>
    <row r="56" spans="1:56" ht="27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60" t="str">
        <f>Inicial!D56</f>
        <v>Maquinista chiller</v>
      </c>
      <c r="E56" s="58" t="str">
        <f>IF(Inicial!L56="SI",Inicial!E56,"N/A")</f>
        <v>N/A</v>
      </c>
      <c r="F56" s="59" t="str">
        <f>IF(Inicial!L56="SI",Inicial!F56,"N/A")</f>
        <v>N/A</v>
      </c>
      <c r="G56" s="59" t="str">
        <f>IF(Inicial!L56="SI",Inicial!G56,"N/A")</f>
        <v>N/A</v>
      </c>
      <c r="H56" s="59" t="str">
        <f>IF(Inicial!L56="SI",Inicial!H56,"N/A")</f>
        <v>N/A</v>
      </c>
      <c r="I56" s="61" t="str">
        <f>IF(Inicial!L56="SI",Inicial!I56,"N/A")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 t="str" cm="1">
        <f t="array" ref="AG56">IF(OR(M56:AF56="NO"),"No aceptable","Aceptable")</f>
        <v>Aceptable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21" t="str" cm="1">
        <f t="array" ref="BD56">IF(OR(AK56:BC56="SI"),"Critico","No Critico")</f>
        <v>No Critico</v>
      </c>
    </row>
    <row r="57" spans="1:56" ht="27" customHeight="1">
      <c r="A57" s="58">
        <f>Inicial!A57</f>
        <v>55</v>
      </c>
      <c r="B57" s="59" t="e">
        <f>Inicial!#REF!</f>
        <v>#REF!</v>
      </c>
      <c r="C57" s="59" t="e">
        <f>Inicial!#REF!</f>
        <v>#REF!</v>
      </c>
      <c r="D57" s="60" t="e">
        <f>Inicial!#REF!</f>
        <v>#REF!</v>
      </c>
      <c r="E57" s="58" t="e">
        <f>IF(Inicial!#REF!="SI",Inicial!#REF!,"N/A")</f>
        <v>#REF!</v>
      </c>
      <c r="F57" s="59" t="e">
        <f>IF(Inicial!#REF!="SI",Inicial!#REF!,"N/A")</f>
        <v>#REF!</v>
      </c>
      <c r="G57" s="59" t="e">
        <f>IF(Inicial!#REF!="SI",Inicial!#REF!,"N/A")</f>
        <v>#REF!</v>
      </c>
      <c r="H57" s="59" t="e">
        <f>IF(Inicial!#REF!="SI",Inicial!#REF!,"N/A")</f>
        <v>#REF!</v>
      </c>
      <c r="I57" s="61" t="e">
        <f>IF(Inicial!#REF!="SI",Inicial!#REF!,"N/A")</f>
        <v>#REF!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 t="str" cm="1">
        <f t="array" ref="AG57">IF(OR(M57:AF57="NO"),"No aceptable","Aceptable")</f>
        <v>Aceptable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21" t="str" cm="1">
        <f t="array" ref="BD57">IF(OR(AK57:BC57="SI"),"Critico","No Critico")</f>
        <v>No Critico</v>
      </c>
    </row>
    <row r="58" spans="1:56" ht="27" customHeight="1">
      <c r="A58" s="58">
        <f>Inicial!A58</f>
        <v>56</v>
      </c>
      <c r="B58" s="59" t="str">
        <f>Inicial!B57</f>
        <v>Faenación</v>
      </c>
      <c r="C58" s="59" t="str">
        <f>Inicial!C57</f>
        <v>Empaque - Chiller</v>
      </c>
      <c r="D58" s="60" t="str">
        <f>Inicial!D57</f>
        <v>Corchetera</v>
      </c>
      <c r="E58" s="58" t="str">
        <f>IF(Inicial!L57="SI",Inicial!E57,"N/A")</f>
        <v>N/A</v>
      </c>
      <c r="F58" s="59" t="str">
        <f>IF(Inicial!L57="SI",Inicial!F57,"N/A")</f>
        <v>N/A</v>
      </c>
      <c r="G58" s="59" t="str">
        <f>IF(Inicial!L57="SI",Inicial!G57,"N/A")</f>
        <v>N/A</v>
      </c>
      <c r="H58" s="59" t="str">
        <f>IF(Inicial!L57="SI",Inicial!H57,"N/A")</f>
        <v>N/A</v>
      </c>
      <c r="I58" s="61" t="str">
        <f>IF(Inicial!L57="SI",Inicial!I57,"N/A")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 t="str" cm="1">
        <f t="array" ref="AG58">IF(OR(M58:AF58="NO"),"No aceptable","Aceptable")</f>
        <v>Aceptable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21" t="str" cm="1">
        <f t="array" ref="BD58">IF(OR(AK58:BC58="SI"),"Critico","No Critico")</f>
        <v>No Critico</v>
      </c>
    </row>
    <row r="59" spans="1:56" ht="27" customHeight="1">
      <c r="A59" s="58">
        <f>Inicial!A59</f>
        <v>57</v>
      </c>
      <c r="B59" s="59" t="str">
        <f>Inicial!B58</f>
        <v>Faenación</v>
      </c>
      <c r="C59" s="59" t="str">
        <f>Inicial!C58</f>
        <v>Empaque - Chiller</v>
      </c>
      <c r="D59" s="60" t="str">
        <f>Inicial!D58</f>
        <v>Pesador menudencia</v>
      </c>
      <c r="E59" s="58" t="str">
        <f>IF(Inicial!L58="SI",Inicial!E58,"N/A")</f>
        <v>N/A</v>
      </c>
      <c r="F59" s="59" t="str">
        <f>IF(Inicial!L58="SI",Inicial!F58,"N/A")</f>
        <v>N/A</v>
      </c>
      <c r="G59" s="59" t="str">
        <f>IF(Inicial!L58="SI",Inicial!G58,"N/A")</f>
        <v>N/A</v>
      </c>
      <c r="H59" s="59" t="str">
        <f>IF(Inicial!L58="SI",Inicial!H58,"N/A")</f>
        <v>N/A</v>
      </c>
      <c r="I59" s="61" t="str">
        <f>IF(Inicial!L58="SI",Inicial!I58,"N/A")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 t="str" cm="1">
        <f t="array" ref="AG59">IF(OR(M59:AF59="NO"),"No aceptable","Aceptable")</f>
        <v>Aceptable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21" t="str" cm="1">
        <f t="array" ref="BD59">IF(OR(AK59:BC59="SI"),"Critico","No Critico")</f>
        <v>No Critico</v>
      </c>
    </row>
    <row r="60" spans="1:56" ht="27" customHeight="1">
      <c r="A60" s="58">
        <f>Inicial!A60</f>
        <v>58</v>
      </c>
      <c r="B60" s="59" t="e">
        <f>Inicial!#REF!</f>
        <v>#REF!</v>
      </c>
      <c r="C60" s="59" t="e">
        <f>Inicial!#REF!</f>
        <v>#REF!</v>
      </c>
      <c r="D60" s="60" t="e">
        <f>Inicial!#REF!</f>
        <v>#REF!</v>
      </c>
      <c r="E60" s="58" t="e">
        <f>IF(Inicial!#REF!="SI",Inicial!#REF!,"N/A")</f>
        <v>#REF!</v>
      </c>
      <c r="F60" s="59" t="e">
        <f>IF(Inicial!#REF!="SI",Inicial!#REF!,"N/A")</f>
        <v>#REF!</v>
      </c>
      <c r="G60" s="59" t="e">
        <f>IF(Inicial!#REF!="SI",Inicial!#REF!,"N/A")</f>
        <v>#REF!</v>
      </c>
      <c r="H60" s="59" t="e">
        <f>IF(Inicial!#REF!="SI",Inicial!#REF!,"N/A")</f>
        <v>#REF!</v>
      </c>
      <c r="I60" s="61" t="e">
        <f>IF(Inicial!#REF!="SI",Inicial!#REF!,"N/A")</f>
        <v>#REF!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 t="str" cm="1">
        <f t="array" ref="AG60">IF(OR(M60:AF60="NO"),"No aceptable","Aceptable")</f>
        <v>Aceptable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21" t="str" cm="1">
        <f t="array" ref="BD60">IF(OR(AK60:BC60="SI"),"Critico","No Critico")</f>
        <v>No Critico</v>
      </c>
    </row>
    <row r="61" spans="1:56" ht="27" customHeight="1">
      <c r="A61" s="58">
        <f>Inicial!A61</f>
        <v>59</v>
      </c>
      <c r="B61" s="59" t="str">
        <f>Inicial!B59</f>
        <v>Faenación</v>
      </c>
      <c r="C61" s="59" t="str">
        <f>Inicial!C59</f>
        <v>Empaque - Chiller</v>
      </c>
      <c r="D61" s="60" t="str">
        <f>Inicial!D59</f>
        <v>Encargado de registro</v>
      </c>
      <c r="E61" s="58" t="str">
        <f>IF(Inicial!L59="SI",Inicial!E59,"N/A")</f>
        <v>N/A</v>
      </c>
      <c r="F61" s="59" t="str">
        <f>IF(Inicial!L59="SI",Inicial!F59,"N/A")</f>
        <v>N/A</v>
      </c>
      <c r="G61" s="59" t="str">
        <f>IF(Inicial!L59="SI",Inicial!G59,"N/A")</f>
        <v>N/A</v>
      </c>
      <c r="H61" s="59" t="str">
        <f>IF(Inicial!L59="SI",Inicial!H59,"N/A")</f>
        <v>N/A</v>
      </c>
      <c r="I61" s="61" t="str">
        <f>IF(Inicial!L59="SI",Inicial!I59,"N/A")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 t="str" cm="1">
        <f t="array" ref="AG61">IF(OR(M61:AF61="NO"),"No aceptable","Aceptable")</f>
        <v>Aceptable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21" t="str" cm="1">
        <f t="array" ref="BD61">IF(OR(AK61:BC61="SI"),"Critico","No Critico")</f>
        <v>No Critico</v>
      </c>
    </row>
    <row r="62" spans="1:56" ht="27" customHeight="1">
      <c r="A62" s="58">
        <f>Inicial!A62</f>
        <v>60</v>
      </c>
      <c r="B62" s="59" t="str">
        <f>Inicial!B60</f>
        <v>Faenación</v>
      </c>
      <c r="C62" s="59" t="str">
        <f>Inicial!C60</f>
        <v>Empaque - Chiller</v>
      </c>
      <c r="D62" s="60" t="str">
        <f>Inicial!D60</f>
        <v>Fechado</v>
      </c>
      <c r="E62" s="58" t="str">
        <f>IF(Inicial!L60="SI",Inicial!E60,"N/A")</f>
        <v>N/A</v>
      </c>
      <c r="F62" s="59" t="str">
        <f>IF(Inicial!L60="SI",Inicial!F60,"N/A")</f>
        <v>N/A</v>
      </c>
      <c r="G62" s="59" t="str">
        <f>IF(Inicial!L60="SI",Inicial!G60,"N/A")</f>
        <v>N/A</v>
      </c>
      <c r="H62" s="59" t="str">
        <f>IF(Inicial!L60="SI",Inicial!H60,"N/A")</f>
        <v>N/A</v>
      </c>
      <c r="I62" s="61" t="str">
        <f>IF(Inicial!L60="SI",Inicial!I60,"N/A")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 t="str" cm="1">
        <f t="array" ref="AG62">IF(OR(M62:AF62="NO"),"No aceptable","Aceptable")</f>
        <v>Aceptable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21" t="str" cm="1">
        <f t="array" ref="BD62">IF(OR(AK62:BC62="SI"),"Critico","No Critico")</f>
        <v>No Critico</v>
      </c>
    </row>
    <row r="63" spans="1:56" ht="27" customHeight="1">
      <c r="A63" s="58">
        <f>Inicial!A63</f>
        <v>61</v>
      </c>
      <c r="B63" s="59" t="str">
        <f>Inicial!B61</f>
        <v>Faenación</v>
      </c>
      <c r="C63" s="59" t="str">
        <f>Inicial!C61</f>
        <v>Empaque - Chiller</v>
      </c>
      <c r="D63" s="60" t="str">
        <f>Inicial!D61</f>
        <v>Paletizador</v>
      </c>
      <c r="E63" s="58" t="str">
        <f>IF(Inicial!L61="SI",Inicial!E61,"N/A")</f>
        <v>05:30-13:50 / 13:50-23:25</v>
      </c>
      <c r="F63" s="59" t="str">
        <f>IF(Inicial!L61="SI",Inicial!F61,"N/A")</f>
        <v>N/A</v>
      </c>
      <c r="G63" s="59">
        <f>IF(Inicial!L61="SI",Inicial!G61,"N/A")</f>
        <v>2</v>
      </c>
      <c r="H63" s="59">
        <f>IF(Inicial!L61="SI",Inicial!H61,"N/A")</f>
        <v>81</v>
      </c>
      <c r="I63" s="61">
        <f>IF(Inicial!L61="SI",Inicial!I61,"N/A")</f>
        <v>0</v>
      </c>
      <c r="J63" s="11" t="s">
        <v>87</v>
      </c>
      <c r="K63" s="11" t="s">
        <v>65</v>
      </c>
      <c r="L63" s="11" t="s">
        <v>65</v>
      </c>
      <c r="M63" s="11" t="s">
        <v>65</v>
      </c>
      <c r="N63" s="11" t="s">
        <v>65</v>
      </c>
      <c r="O63" s="11" t="s">
        <v>65</v>
      </c>
      <c r="P63" s="11" t="s">
        <v>65</v>
      </c>
      <c r="Q63" s="11" t="s">
        <v>65</v>
      </c>
      <c r="R63" s="11" t="s">
        <v>65</v>
      </c>
      <c r="S63" s="11" t="s">
        <v>65</v>
      </c>
      <c r="T63" s="11" t="s">
        <v>65</v>
      </c>
      <c r="U63" s="11" t="s">
        <v>65</v>
      </c>
      <c r="V63" s="11" t="s">
        <v>65</v>
      </c>
      <c r="W63" s="11" t="s">
        <v>65</v>
      </c>
      <c r="X63" s="11" t="s">
        <v>65</v>
      </c>
      <c r="Y63" s="11" t="s">
        <v>87</v>
      </c>
      <c r="Z63" s="11" t="s">
        <v>65</v>
      </c>
      <c r="AA63" s="11" t="s">
        <v>65</v>
      </c>
      <c r="AB63" s="11" t="s">
        <v>65</v>
      </c>
      <c r="AC63" s="11" t="s">
        <v>60</v>
      </c>
      <c r="AD63" s="11" t="s">
        <v>60</v>
      </c>
      <c r="AE63" s="11" t="s">
        <v>60</v>
      </c>
      <c r="AF63" s="11" t="s">
        <v>65</v>
      </c>
      <c r="AG63" s="12" t="str" cm="1">
        <f t="array" ref="AG63">IF(OR(M63:AF63="NO"),"No aceptable","Aceptable")</f>
        <v>No aceptable</v>
      </c>
      <c r="AH63" s="11" t="s">
        <v>87</v>
      </c>
      <c r="AI63" s="11" t="s">
        <v>87</v>
      </c>
      <c r="AJ63" s="11" t="s">
        <v>87</v>
      </c>
      <c r="AK63" s="11" t="s">
        <v>87</v>
      </c>
      <c r="AL63" s="11" t="s">
        <v>87</v>
      </c>
      <c r="AM63" s="11" t="s">
        <v>87</v>
      </c>
      <c r="AN63" s="11" t="s">
        <v>87</v>
      </c>
      <c r="AO63" s="11" t="s">
        <v>87</v>
      </c>
      <c r="AP63" s="11" t="s">
        <v>87</v>
      </c>
      <c r="AQ63" s="11" t="s">
        <v>87</v>
      </c>
      <c r="AR63" s="11" t="s">
        <v>87</v>
      </c>
      <c r="AS63" s="11" t="s">
        <v>87</v>
      </c>
      <c r="AT63" s="11" t="s">
        <v>60</v>
      </c>
      <c r="AU63" s="11" t="s">
        <v>87</v>
      </c>
      <c r="AV63" s="11" t="s">
        <v>60</v>
      </c>
      <c r="AW63" s="11" t="s">
        <v>87</v>
      </c>
      <c r="AX63" s="11" t="s">
        <v>60</v>
      </c>
      <c r="AY63" s="11" t="s">
        <v>60</v>
      </c>
      <c r="AZ63" s="11" t="s">
        <v>60</v>
      </c>
      <c r="BA63" s="11" t="s">
        <v>60</v>
      </c>
      <c r="BB63" s="11" t="s">
        <v>60</v>
      </c>
      <c r="BC63" s="11" t="s">
        <v>87</v>
      </c>
      <c r="BD63" s="121" t="str" cm="1">
        <f t="array" ref="BD63">IF(OR(AK63:BC63="SI"),"Critico","No Critico")</f>
        <v>No Critico</v>
      </c>
    </row>
    <row r="64" spans="1:56" ht="27" customHeight="1">
      <c r="A64" s="58">
        <f>Inicial!A64</f>
        <v>0</v>
      </c>
      <c r="B64" s="59" t="str">
        <f>Inicial!B62</f>
        <v>Faenación</v>
      </c>
      <c r="C64" s="59" t="str">
        <f>Inicial!C62</f>
        <v>Empaque - Chiller</v>
      </c>
      <c r="D64" s="60" t="str">
        <f>Inicial!D62</f>
        <v>Transpaletero</v>
      </c>
      <c r="E64" s="58" t="str">
        <f>IF(Inicial!L62="SI",Inicial!E62,"N/A")</f>
        <v>N/A</v>
      </c>
      <c r="F64" s="59" t="str">
        <f>IF(Inicial!L62="SI",Inicial!F62,"N/A")</f>
        <v>N/A</v>
      </c>
      <c r="G64" s="59" t="str">
        <f>IF(Inicial!L62="SI",Inicial!G62,"N/A")</f>
        <v>N/A</v>
      </c>
      <c r="H64" s="59" t="str">
        <f>IF(Inicial!L62="SI",Inicial!H62,"N/A")</f>
        <v>N/A</v>
      </c>
      <c r="I64" s="61" t="str">
        <f>IF(Inicial!L62="SI",Inicial!I62,"N/A")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 t="str" cm="1">
        <f t="array" ref="AG64">IF(OR(M64:AF64="NO"),"No aceptable","Aceptable")</f>
        <v>Aceptable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21" t="str" cm="1">
        <f t="array" ref="BD64">IF(OR(AK64:BC64="SI"),"Critico","No Critico")</f>
        <v>No Critico</v>
      </c>
    </row>
    <row r="65" spans="1:56" ht="27" customHeight="1">
      <c r="A65" s="58">
        <f>Inicial!A65</f>
        <v>0</v>
      </c>
      <c r="B65" s="59" t="str">
        <f>Inicial!B63</f>
        <v>Faenación</v>
      </c>
      <c r="C65" s="59" t="str">
        <f>Inicial!C63</f>
        <v>Empaque - Chiller</v>
      </c>
      <c r="D65" s="60" t="str">
        <f>Inicial!D63</f>
        <v xml:space="preserve">Jefe de Línea </v>
      </c>
      <c r="E65" s="58" t="str">
        <f>IF(Inicial!L63="SI",Inicial!E63,"N/A")</f>
        <v>N/A</v>
      </c>
      <c r="F65" s="59" t="str">
        <f>IF(Inicial!L63="SI",Inicial!F63,"N/A")</f>
        <v>N/A</v>
      </c>
      <c r="G65" s="59" t="str">
        <f>IF(Inicial!L63="SI",Inicial!G63,"N/A")</f>
        <v>N/A</v>
      </c>
      <c r="H65" s="59" t="str">
        <f>IF(Inicial!L63="SI",Inicial!H63,"N/A")</f>
        <v>N/A</v>
      </c>
      <c r="I65" s="61" t="str">
        <f>IF(Inicial!L63="SI",Inicial!I63,"N/A")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 t="str" cm="1">
        <f t="array" ref="AG65">IF(OR(M65:AF65="NO"),"No aceptable","Aceptable")</f>
        <v>Aceptable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21" t="str" cm="1">
        <f t="array" ref="BD65">IF(OR(AK65:BC65="SI"),"Critico","No Critico")</f>
        <v>No Critico</v>
      </c>
    </row>
    <row r="66" spans="1:56" ht="27" customHeight="1">
      <c r="A66" s="58">
        <f>Inicial!A66</f>
        <v>0</v>
      </c>
      <c r="B66" s="59">
        <f>Inicial!B64</f>
        <v>0</v>
      </c>
      <c r="C66" s="59">
        <f>Inicial!C64</f>
        <v>0</v>
      </c>
      <c r="D66" s="60">
        <f>Inicial!D64</f>
        <v>0</v>
      </c>
      <c r="E66" s="58" t="str">
        <f>IF(Inicial!L64="SI",Inicial!E64,"N/A")</f>
        <v>N/A</v>
      </c>
      <c r="F66" s="59" t="str">
        <f>IF(Inicial!L64="SI",Inicial!F64,"N/A")</f>
        <v>N/A</v>
      </c>
      <c r="G66" s="59" t="str">
        <f>IF(Inicial!L64="SI",Inicial!G64,"N/A")</f>
        <v>N/A</v>
      </c>
      <c r="H66" s="59" t="str">
        <f>IF(Inicial!L64="SI",Inicial!H64,"N/A")</f>
        <v>N/A</v>
      </c>
      <c r="I66" s="61" t="str">
        <f>IF(Inicial!L64="SI",Inicial!I64,"N/A")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 t="str" cm="1">
        <f t="array" ref="AG66">IF(OR(M66:AF66="NO"),"No aceptable","Aceptable")</f>
        <v>Aceptable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21" t="str" cm="1">
        <f t="array" ref="BD66">IF(OR(AK66:BC66="SI"),"Critico","No Critico")</f>
        <v>No Critico</v>
      </c>
    </row>
    <row r="67" spans="1:56" ht="15">
      <c r="A67" s="58">
        <f>Inicial!A67</f>
        <v>0</v>
      </c>
      <c r="B67" s="59"/>
      <c r="C67" s="59"/>
      <c r="D67" s="60"/>
      <c r="E67" s="58"/>
      <c r="F67" s="59"/>
      <c r="G67" s="59"/>
      <c r="H67" s="59"/>
      <c r="I67" s="6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 t="str" cm="1">
        <f t="array" ref="AG67">IF(OR(M67:AF67="NO"),"No aceptable","Aceptable")</f>
        <v>Aceptable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21" t="str" cm="1">
        <f t="array" ref="BD67">IF(OR(AK67:BC67="SI"),"Critico","No Critico")</f>
        <v>No Critico</v>
      </c>
    </row>
    <row r="68" spans="1:56" ht="15">
      <c r="A68" s="58">
        <f>Inicial!A68</f>
        <v>0</v>
      </c>
      <c r="B68" s="59"/>
      <c r="C68" s="59"/>
      <c r="D68" s="60"/>
      <c r="E68" s="58"/>
      <c r="F68" s="59"/>
      <c r="G68" s="59"/>
      <c r="H68" s="59"/>
      <c r="I68" s="6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 t="str" cm="1">
        <f t="array" ref="AG68">IF(OR(M68:AF68="NO"),"No aceptable","Aceptable")</f>
        <v>Aceptable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21" t="str" cm="1">
        <f t="array" ref="BD68">IF(OR(AK68:BC68="SI"),"Critico","No Critico")</f>
        <v>No Critico</v>
      </c>
    </row>
    <row r="69" spans="1:56" ht="15">
      <c r="A69" s="58">
        <f>Inicial!A69</f>
        <v>0</v>
      </c>
      <c r="B69" s="59"/>
      <c r="C69" s="59"/>
      <c r="D69" s="60"/>
      <c r="E69" s="58"/>
      <c r="F69" s="59"/>
      <c r="G69" s="59"/>
      <c r="H69" s="59"/>
      <c r="I69" s="6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 t="str" cm="1">
        <f t="array" ref="AG69">IF(OR(M69:AF69="NO"),"No aceptable","Aceptable")</f>
        <v>Aceptable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21" t="str" cm="1">
        <f t="array" ref="BD69">IF(OR(AK69:BC69="SI"),"Critico","No Critico")</f>
        <v>No Critico</v>
      </c>
    </row>
    <row r="70" spans="1:56" ht="15">
      <c r="A70" s="58">
        <f>Inicial!A70</f>
        <v>0</v>
      </c>
      <c r="B70" s="59"/>
      <c r="C70" s="59"/>
      <c r="D70" s="60"/>
      <c r="E70" s="58"/>
      <c r="F70" s="59"/>
      <c r="G70" s="59"/>
      <c r="H70" s="59"/>
      <c r="I70" s="6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 t="str" cm="1">
        <f t="array" ref="AG70">IF(OR(M70:AF70="NO"),"No aceptable","Aceptable")</f>
        <v>Aceptable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21" t="str" cm="1">
        <f t="array" ref="BD70">IF(OR(AK70:BC70="SI"),"Critico","No Critico")</f>
        <v>No Critico</v>
      </c>
    </row>
    <row r="71" spans="1:56" ht="15">
      <c r="A71" s="58">
        <f>Inicial!A71</f>
        <v>0</v>
      </c>
      <c r="B71" s="59"/>
      <c r="C71" s="59"/>
      <c r="D71" s="60"/>
      <c r="E71" s="58"/>
      <c r="F71" s="59"/>
      <c r="G71" s="59"/>
      <c r="H71" s="59"/>
      <c r="I71" s="6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 t="str" cm="1">
        <f t="array" ref="AG71">IF(OR(M71:AF71="NO"),"No aceptable","Aceptable")</f>
        <v>Aceptable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21" t="str" cm="1">
        <f t="array" ref="BD71">IF(OR(AK71:BC71="SI"),"Critico","No Critico")</f>
        <v>No Critico</v>
      </c>
    </row>
    <row r="72" spans="1:56" ht="15">
      <c r="A72" s="58">
        <f>Inicial!A72</f>
        <v>0</v>
      </c>
      <c r="B72" s="59"/>
      <c r="C72" s="59"/>
      <c r="D72" s="60"/>
      <c r="E72" s="58"/>
      <c r="F72" s="59"/>
      <c r="G72" s="59"/>
      <c r="H72" s="59"/>
      <c r="I72" s="6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 t="str" cm="1">
        <f t="array" ref="AG72">IF(OR(M72:AF72="NO"),"No aceptable","Aceptable")</f>
        <v>Aceptable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21" t="str" cm="1">
        <f t="array" ref="BD72">IF(OR(AK72:BC72="SI"),"Critico","No Critico")</f>
        <v>No Critico</v>
      </c>
    </row>
    <row r="73" spans="1:56" ht="15">
      <c r="A73" s="58">
        <f>Inicial!A73</f>
        <v>0</v>
      </c>
      <c r="B73" s="59"/>
      <c r="C73" s="59"/>
      <c r="D73" s="60"/>
      <c r="E73" s="58"/>
      <c r="F73" s="59"/>
      <c r="G73" s="59"/>
      <c r="H73" s="59"/>
      <c r="I73" s="61"/>
      <c r="K73" s="1"/>
      <c r="L73" s="1"/>
      <c r="M73" s="1"/>
      <c r="N73" s="1"/>
      <c r="O73" s="1"/>
      <c r="P73" s="1"/>
      <c r="Y73" s="1"/>
      <c r="Z73" s="1"/>
      <c r="AA73" s="1"/>
      <c r="AB73" s="1"/>
      <c r="AC73" s="1"/>
      <c r="AG73" s="12" t="str" cm="1">
        <f t="array" ref="AG73">IF(OR(M73:AF73="NO"),"No aceptable","Aceptable")</f>
        <v>Aceptable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21" t="str" cm="1">
        <f t="array" ref="BD73">IF(OR(AK73:BC73="SI"),"Critico","No Critico")</f>
        <v>No Critico</v>
      </c>
    </row>
    <row r="74" spans="1:56" ht="15">
      <c r="A74" s="58">
        <f>Inicial!A74</f>
        <v>0</v>
      </c>
      <c r="B74" s="59"/>
      <c r="C74" s="59"/>
      <c r="D74" s="60"/>
      <c r="E74" s="58"/>
      <c r="F74" s="59"/>
      <c r="G74" s="59"/>
      <c r="H74" s="59"/>
      <c r="I74" s="61"/>
      <c r="K74" s="1"/>
      <c r="L74" s="1"/>
      <c r="M74" s="1"/>
      <c r="N74" s="1"/>
      <c r="O74" s="1"/>
      <c r="P74" s="1"/>
      <c r="Y74" s="1"/>
      <c r="Z74" s="1"/>
      <c r="AA74" s="1"/>
      <c r="AB74" s="1"/>
      <c r="AC74" s="1"/>
      <c r="AG74" s="12" t="str" cm="1">
        <f t="array" ref="AG74">IF(OR(M74:AF74="NO"),"No aceptable","Aceptable")</f>
        <v>Aceptable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21" t="str" cm="1">
        <f t="array" ref="BD74">IF(OR(AK74:BC74="SI"),"Critico","No Critico")</f>
        <v>No Critico</v>
      </c>
    </row>
    <row r="75" spans="1:56" ht="15">
      <c r="A75" s="58">
        <f>Inicial!A75</f>
        <v>0</v>
      </c>
      <c r="B75" s="59"/>
      <c r="C75" s="59"/>
      <c r="D75" s="60"/>
      <c r="E75" s="58"/>
      <c r="F75" s="59"/>
      <c r="G75" s="59"/>
      <c r="H75" s="59"/>
      <c r="I75" s="61"/>
      <c r="K75" s="1"/>
      <c r="L75" s="1"/>
      <c r="M75" s="1"/>
      <c r="N75" s="1"/>
      <c r="O75" s="1"/>
      <c r="P75" s="1"/>
      <c r="Y75" s="1"/>
      <c r="Z75" s="1"/>
      <c r="AA75" s="1"/>
      <c r="AB75" s="1"/>
      <c r="AC75" s="1"/>
      <c r="AG75" s="12" t="str" cm="1">
        <f t="array" ref="AG75">IF(OR(M75:AF75="NO"),"No aceptable","Aceptable")</f>
        <v>Aceptable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21" t="str" cm="1">
        <f t="array" ref="BD75">IF(OR(AK75:BC75="SI"),"Critico","No Critico")</f>
        <v>No Critico</v>
      </c>
    </row>
    <row r="76" spans="1:56" ht="15">
      <c r="A76" s="58">
        <f>Inicial!A76</f>
        <v>0</v>
      </c>
      <c r="B76" s="59"/>
      <c r="C76" s="59"/>
      <c r="D76" s="60"/>
      <c r="E76" s="58"/>
      <c r="F76" s="59"/>
      <c r="G76" s="59"/>
      <c r="H76" s="59"/>
      <c r="I76" s="61"/>
      <c r="K76" s="1"/>
      <c r="L76" s="1"/>
      <c r="M76" s="1"/>
      <c r="N76" s="1"/>
      <c r="O76" s="1"/>
      <c r="P76" s="1"/>
      <c r="AG76" s="12" t="str" cm="1">
        <f t="array" ref="AG76">IF(OR(M76:AF76="NO"),"No aceptable","Aceptable")</f>
        <v>Aceptable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21" t="str" cm="1">
        <f t="array" ref="BD76">IF(OR(AK76:BC76="SI"),"Critico","No Critico")</f>
        <v>No Critico</v>
      </c>
    </row>
    <row r="77" spans="1:56" ht="15">
      <c r="A77" s="58">
        <f>Inicial!A77</f>
        <v>0</v>
      </c>
      <c r="B77" s="59"/>
      <c r="C77" s="59"/>
      <c r="D77" s="60"/>
      <c r="E77" s="58"/>
      <c r="F77" s="59"/>
      <c r="G77" s="59"/>
      <c r="H77" s="59"/>
      <c r="I77" s="61"/>
      <c r="K77" s="1"/>
      <c r="L77" s="1"/>
      <c r="M77" s="1"/>
      <c r="N77" s="1"/>
      <c r="O77" s="1"/>
      <c r="P77" s="1"/>
      <c r="AG77" s="12" t="str" cm="1">
        <f t="array" ref="AG77">IF(OR(M77:AF77="NO"),"No aceptable","Aceptable")</f>
        <v>Aceptable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21" t="str" cm="1">
        <f t="array" ref="BD77">IF(OR(AK77:BC77="SI"),"Critico","No Critico")</f>
        <v>No Critico</v>
      </c>
    </row>
    <row r="78" spans="1:56" ht="15">
      <c r="A78" s="58">
        <f>Inicial!A78</f>
        <v>0</v>
      </c>
      <c r="B78" s="59"/>
      <c r="C78" s="59"/>
      <c r="D78" s="60"/>
      <c r="E78" s="58"/>
      <c r="F78" s="59"/>
      <c r="G78" s="59"/>
      <c r="H78" s="59"/>
      <c r="I78" s="61"/>
      <c r="K78" s="1"/>
      <c r="L78" s="1"/>
      <c r="M78" s="1"/>
      <c r="N78" s="1"/>
      <c r="O78" s="1"/>
      <c r="P78" s="1"/>
      <c r="AG78" s="12" t="str" cm="1">
        <f t="array" ref="AG78">IF(OR(M78:AF78="NO"),"No aceptable","Aceptable")</f>
        <v>Aceptable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21" t="str" cm="1">
        <f t="array" ref="BD78">IF(OR(AK78:BC78="SI"),"Critico","No Critico")</f>
        <v>No Critico</v>
      </c>
    </row>
    <row r="79" spans="1:56" ht="15">
      <c r="A79" s="58">
        <f>Inicial!A79</f>
        <v>0</v>
      </c>
      <c r="B79" s="59"/>
      <c r="C79" s="59"/>
      <c r="D79" s="60"/>
      <c r="E79" s="58"/>
      <c r="F79" s="59"/>
      <c r="G79" s="59"/>
      <c r="H79" s="59"/>
      <c r="I79" s="61"/>
      <c r="K79" s="1"/>
      <c r="L79" s="1"/>
      <c r="M79" s="1"/>
      <c r="N79" s="1"/>
      <c r="O79" s="1"/>
      <c r="P79" s="1"/>
      <c r="AG79" s="12" t="str" cm="1">
        <f t="array" ref="AG79">IF(OR(M79:AF79="NO"),"No aceptable","Aceptable")</f>
        <v>Aceptable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21" t="str" cm="1">
        <f t="array" ref="BD79">IF(OR(AK79:BC79="SI"),"Critico","No Critico")</f>
        <v>No Critico</v>
      </c>
    </row>
    <row r="80" spans="1:56" ht="15">
      <c r="A80" s="58">
        <f>Inicial!A80</f>
        <v>0</v>
      </c>
      <c r="B80" s="59"/>
      <c r="C80" s="59"/>
      <c r="D80" s="60"/>
      <c r="E80" s="58"/>
      <c r="F80" s="59"/>
      <c r="G80" s="59"/>
      <c r="H80" s="59"/>
      <c r="I80" s="61"/>
      <c r="K80" s="1"/>
      <c r="L80" s="1"/>
      <c r="M80" s="1"/>
      <c r="N80" s="1"/>
      <c r="O80" s="1"/>
      <c r="P80" s="1"/>
      <c r="AG80" s="12" t="str" cm="1">
        <f t="array" ref="AG80">IF(OR(M80:AF80="NO"),"No aceptable","Aceptable")</f>
        <v>Aceptable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21" t="str" cm="1">
        <f t="array" ref="BD80">IF(OR(AK80:BC80="SI"),"Critico","No Critico")</f>
        <v>No Critico</v>
      </c>
    </row>
    <row r="81" spans="1:56" ht="15">
      <c r="A81" s="58">
        <f>Inicial!A81</f>
        <v>0</v>
      </c>
      <c r="B81" s="59"/>
      <c r="C81" s="59"/>
      <c r="D81" s="60"/>
      <c r="E81" s="58"/>
      <c r="F81" s="59"/>
      <c r="G81" s="59"/>
      <c r="H81" s="59"/>
      <c r="I81" s="61"/>
      <c r="K81" s="1"/>
      <c r="L81" s="1"/>
      <c r="M81" s="1"/>
      <c r="N81" s="1"/>
      <c r="O81" s="1"/>
      <c r="P81" s="1"/>
      <c r="AG81" s="12" t="str" cm="1">
        <f t="array" ref="AG81">IF(OR(M81:AF81="NO"),"No aceptable","Aceptable")</f>
        <v>Aceptable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21" t="str" cm="1">
        <f t="array" ref="BD81">IF(OR(AK81:BC81="SI"),"Critico","No Critico")</f>
        <v>No Critico</v>
      </c>
    </row>
    <row r="82" spans="1:56" ht="15">
      <c r="A82" s="58">
        <f>Inicial!A82</f>
        <v>0</v>
      </c>
      <c r="B82" s="59"/>
      <c r="C82" s="59"/>
      <c r="D82" s="60"/>
      <c r="E82" s="58"/>
      <c r="F82" s="59"/>
      <c r="G82" s="59"/>
      <c r="H82" s="59"/>
      <c r="I82" s="61"/>
      <c r="K82" s="1"/>
      <c r="L82" s="1"/>
      <c r="M82" s="1"/>
      <c r="N82" s="1"/>
      <c r="O82" s="1"/>
      <c r="P82" s="1"/>
      <c r="AG82" s="12" t="str" cm="1">
        <f t="array" ref="AG82">IF(OR(M82:AF82="NO"),"No aceptable","Aceptable")</f>
        <v>Aceptable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21" t="str" cm="1">
        <f t="array" ref="BD82">IF(OR(AK82:BC82="SI"),"Critico","No Critico")</f>
        <v>No Critico</v>
      </c>
    </row>
    <row r="83" spans="1:56" ht="15">
      <c r="A83" s="58">
        <f>Inicial!A83</f>
        <v>0</v>
      </c>
      <c r="B83" s="59"/>
      <c r="C83" s="59"/>
      <c r="D83" s="60"/>
      <c r="E83" s="58"/>
      <c r="F83" s="59"/>
      <c r="G83" s="59"/>
      <c r="H83" s="59"/>
      <c r="I83" s="61"/>
      <c r="K83" s="1"/>
      <c r="L83" s="1"/>
      <c r="M83" s="1"/>
      <c r="N83" s="1"/>
      <c r="O83" s="1"/>
      <c r="P83" s="1"/>
      <c r="AG83" s="12" t="str" cm="1">
        <f t="array" ref="AG83">IF(OR(M83:AF83="NO"),"No aceptable","Aceptable")</f>
        <v>Aceptable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21" t="str" cm="1">
        <f t="array" ref="BD83">IF(OR(AK83:BC83="SI"),"Critico","No Critico")</f>
        <v>No Critico</v>
      </c>
    </row>
    <row r="84" spans="1:56" ht="15">
      <c r="A84" s="58">
        <f>Inicial!A84</f>
        <v>0</v>
      </c>
      <c r="B84" s="59"/>
      <c r="C84" s="59"/>
      <c r="D84" s="60"/>
      <c r="E84" s="58"/>
      <c r="F84" s="59"/>
      <c r="G84" s="59"/>
      <c r="H84" s="59"/>
      <c r="I84" s="61"/>
      <c r="K84" s="1"/>
      <c r="L84" s="1"/>
      <c r="M84" s="1"/>
      <c r="N84" s="1"/>
      <c r="O84" s="1"/>
      <c r="P84" s="1"/>
      <c r="AG84" s="12" t="str" cm="1">
        <f t="array" ref="AG84">IF(OR(M84:AF84="NO"),"No aceptable","Aceptable")</f>
        <v>Aceptable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21" t="str" cm="1">
        <f t="array" ref="BD84">IF(OR(AK84:BC84="SI"),"Critico","No Critico")</f>
        <v>No Critico</v>
      </c>
    </row>
    <row r="85" spans="1:56" ht="15">
      <c r="A85" s="58">
        <f>Inicial!A85</f>
        <v>0</v>
      </c>
      <c r="B85" s="59"/>
      <c r="C85" s="59"/>
      <c r="D85" s="60"/>
      <c r="E85" s="58"/>
      <c r="F85" s="59"/>
      <c r="G85" s="59"/>
      <c r="H85" s="59"/>
      <c r="I85" s="61"/>
      <c r="K85" s="1"/>
      <c r="L85" s="1"/>
      <c r="M85" s="1"/>
      <c r="N85" s="1"/>
      <c r="O85" s="1"/>
      <c r="P85" s="1"/>
      <c r="AG85" s="12" t="str" cm="1">
        <f t="array" ref="AG85">IF(OR(M85:AF85="NO"),"No aceptable","Aceptable")</f>
        <v>Aceptable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21" t="str" cm="1">
        <f t="array" ref="BD85">IF(OR(AK85:BC85="SI"),"Critico","No Critico")</f>
        <v>No Critico</v>
      </c>
    </row>
    <row r="86" spans="1:56" ht="15">
      <c r="A86" s="58">
        <f>Inicial!A86</f>
        <v>0</v>
      </c>
      <c r="B86" s="59"/>
      <c r="C86" s="59"/>
      <c r="D86" s="60"/>
      <c r="E86" s="58"/>
      <c r="F86" s="59"/>
      <c r="G86" s="59"/>
      <c r="H86" s="59"/>
      <c r="I86" s="61"/>
      <c r="K86" s="1"/>
      <c r="L86" s="1"/>
      <c r="M86" s="1"/>
      <c r="N86" s="1"/>
      <c r="O86" s="1"/>
      <c r="P86" s="1"/>
      <c r="AG86" s="12" t="str" cm="1">
        <f t="array" ref="AG86">IF(OR(M86:AF86="NO"),"No aceptable","Aceptable")</f>
        <v>Aceptable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21" t="str" cm="1">
        <f t="array" ref="BD86">IF(OR(AK86:BC86="SI"),"Critico","No Critico")</f>
        <v>No Critico</v>
      </c>
    </row>
    <row r="87" spans="1:56" ht="15">
      <c r="A87" s="58">
        <f>Inicial!A87</f>
        <v>0</v>
      </c>
      <c r="B87" s="59"/>
      <c r="C87" s="59"/>
      <c r="D87" s="60"/>
      <c r="E87" s="58"/>
      <c r="F87" s="59"/>
      <c r="G87" s="59"/>
      <c r="H87" s="59"/>
      <c r="I87" s="61"/>
      <c r="K87" s="1"/>
      <c r="L87" s="1"/>
      <c r="M87" s="1"/>
      <c r="N87" s="1"/>
      <c r="O87" s="1"/>
      <c r="P87" s="1"/>
      <c r="AG87" s="12" t="str" cm="1">
        <f t="array" ref="AG87">IF(OR(M87:AF87="NO"),"No aceptable","Aceptable")</f>
        <v>Aceptable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21" t="str" cm="1">
        <f t="array" ref="BD87">IF(OR(AK87:BC87="SI"),"Critico","No Critico")</f>
        <v>No Critico</v>
      </c>
    </row>
    <row r="88" spans="1:56" ht="15">
      <c r="A88" s="58">
        <f>Inicial!A88</f>
        <v>0</v>
      </c>
      <c r="B88" s="59"/>
      <c r="C88" s="59"/>
      <c r="D88" s="60"/>
      <c r="E88" s="58"/>
      <c r="F88" s="59"/>
      <c r="G88" s="59"/>
      <c r="H88" s="59"/>
      <c r="I88" s="61"/>
      <c r="K88" s="1"/>
      <c r="L88" s="1"/>
      <c r="M88" s="1"/>
      <c r="N88" s="1"/>
      <c r="O88" s="1"/>
      <c r="P88" s="1"/>
      <c r="AG88" s="12" t="str" cm="1">
        <f t="array" ref="AG88">IF(OR(M88:AF88="NO"),"No aceptable","Aceptable")</f>
        <v>Aceptable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3" t="str" cm="1">
        <f t="array" ref="BD88">IF(OR(AK88:BC88="SI"),"Critico","No Critico")</f>
        <v>No Critico</v>
      </c>
    </row>
    <row r="89" spans="1:56" ht="15">
      <c r="A89" s="58">
        <f>Inicial!A89</f>
        <v>0</v>
      </c>
      <c r="B89" s="59"/>
      <c r="C89" s="59"/>
      <c r="D89" s="60"/>
      <c r="E89" s="58"/>
      <c r="F89" s="59"/>
      <c r="G89" s="59"/>
      <c r="H89" s="59"/>
      <c r="I89" s="61"/>
      <c r="AG89" s="12" t="str" cm="1">
        <f t="array" ref="AG89">IF(OR(M89:AF89="NO"),"No aceptable","Aceptable")</f>
        <v>Aceptable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3" t="str" cm="1">
        <f t="array" ref="BD89">IF(OR(AK89:BC89="SI"),"Critico","No Critico")</f>
        <v>No Critico</v>
      </c>
    </row>
    <row r="90" spans="1:56" ht="15">
      <c r="A90" s="58">
        <f>Inicial!A90</f>
        <v>0</v>
      </c>
      <c r="B90" s="59"/>
      <c r="C90" s="59"/>
      <c r="D90" s="60"/>
      <c r="E90" s="58"/>
      <c r="F90" s="59"/>
      <c r="G90" s="59"/>
      <c r="H90" s="59"/>
      <c r="I90" s="61"/>
      <c r="AG90" s="12" t="str" cm="1">
        <f t="array" ref="AG90">IF(OR(M90:AF90="NO"),"No aceptable","Aceptable")</f>
        <v>Aceptable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3" t="str" cm="1">
        <f t="array" ref="BD90">IF(OR(AK90:BC90="SI"),"Critico","No Critico")</f>
        <v>No Critico</v>
      </c>
    </row>
    <row r="91" spans="1:56" ht="15">
      <c r="A91" s="58">
        <f>Inicial!A91</f>
        <v>0</v>
      </c>
      <c r="B91" s="59"/>
      <c r="C91" s="59"/>
      <c r="D91" s="60"/>
      <c r="E91" s="58"/>
      <c r="F91" s="59"/>
      <c r="G91" s="59"/>
      <c r="H91" s="59"/>
      <c r="I91" s="61"/>
      <c r="AG91" s="12" t="str" cm="1">
        <f t="array" ref="AG91">IF(OR(M91:AF91="NO"),"No aceptable","Aceptable")</f>
        <v>Aceptable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3" t="str" cm="1">
        <f t="array" ref="BD91">IF(OR(AK91:BC91="SI"),"Critico","No Critico")</f>
        <v>No Critico</v>
      </c>
    </row>
    <row r="92" spans="1:56" ht="15">
      <c r="A92" s="58">
        <f>Inicial!A92</f>
        <v>0</v>
      </c>
      <c r="B92" s="59"/>
      <c r="C92" s="59"/>
      <c r="D92" s="60"/>
      <c r="E92" s="58"/>
      <c r="F92" s="59"/>
      <c r="G92" s="59"/>
      <c r="H92" s="59"/>
      <c r="I92" s="61"/>
      <c r="AG92" s="12" t="str" cm="1">
        <f t="array" ref="AG92">IF(OR(M92:AF92="NO"),"No aceptable","Aceptable")</f>
        <v>Aceptable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3" t="str" cm="1">
        <f t="array" ref="BD92">IF(OR(AK92:BC92="SI"),"Critico","No Critico")</f>
        <v>No Critico</v>
      </c>
    </row>
    <row r="93" spans="1:56" ht="15">
      <c r="A93" s="58">
        <f>Inicial!A93</f>
        <v>0</v>
      </c>
      <c r="B93" s="59"/>
      <c r="C93" s="59"/>
      <c r="D93" s="60"/>
      <c r="E93" s="58"/>
      <c r="F93" s="59"/>
      <c r="G93" s="59"/>
      <c r="H93" s="59"/>
      <c r="I93" s="61"/>
      <c r="AG93" s="12" t="str" cm="1">
        <f t="array" ref="AG93">IF(OR(M93:AF93="NO"),"No aceptable","Aceptable")</f>
        <v>Aceptable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3" t="str" cm="1">
        <f t="array" ref="BD93">IF(OR(AK93:BC93="SI"),"Critico","No Critico")</f>
        <v>No Critico</v>
      </c>
    </row>
    <row r="94" spans="1:56" ht="15">
      <c r="A94" s="58">
        <f>Inicial!A94</f>
        <v>0</v>
      </c>
      <c r="B94" s="59"/>
      <c r="C94" s="59"/>
      <c r="D94" s="60"/>
      <c r="E94" s="58"/>
      <c r="F94" s="59"/>
      <c r="G94" s="59"/>
      <c r="H94" s="59"/>
      <c r="I94" s="61"/>
      <c r="AG94" s="12" t="str" cm="1">
        <f t="array" ref="AG94">IF(OR(M94:AF94="NO"),"No aceptable","Aceptable")</f>
        <v>Aceptable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3" t="str" cm="1">
        <f t="array" ref="BD94">IF(OR(AK94:BC94="SI"),"Critico","No Critico")</f>
        <v>No Critico</v>
      </c>
    </row>
    <row r="95" spans="1:56" ht="15">
      <c r="A95" s="58">
        <f>Inicial!A95</f>
        <v>0</v>
      </c>
      <c r="B95" s="59"/>
      <c r="C95" s="59"/>
      <c r="D95" s="60"/>
      <c r="E95" s="58"/>
      <c r="F95" s="59"/>
      <c r="G95" s="59"/>
      <c r="H95" s="59"/>
      <c r="I95" s="61"/>
      <c r="AG95" s="12" t="str" cm="1">
        <f t="array" ref="AG95">IF(OR(M95:AF95="NO"),"No aceptable","Aceptable")</f>
        <v>Aceptable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3" t="str" cm="1">
        <f t="array" ref="BD95">IF(OR(AK95:BC95="SI"),"Critico","No Critico")</f>
        <v>No Critico</v>
      </c>
    </row>
    <row r="96" spans="1:56" ht="15">
      <c r="A96" s="58">
        <f>Inicial!A96</f>
        <v>0</v>
      </c>
      <c r="B96" s="59"/>
      <c r="C96" s="59"/>
      <c r="D96" s="60"/>
      <c r="E96" s="58"/>
      <c r="F96" s="59"/>
      <c r="G96" s="59"/>
      <c r="H96" s="59"/>
      <c r="I96" s="61"/>
      <c r="AG96" s="12" t="str" cm="1">
        <f t="array" ref="AG96">IF(OR(M96:AF96="NO"),"No aceptable","Aceptable")</f>
        <v>Aceptable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3" t="str" cm="1">
        <f t="array" ref="BD96">IF(OR(AK96:BC96="SI"),"Critico","No Critico")</f>
        <v>No Critico</v>
      </c>
    </row>
    <row r="97" spans="1:56" ht="15">
      <c r="A97" s="58">
        <f>Inicial!A97</f>
        <v>0</v>
      </c>
      <c r="B97" s="59"/>
      <c r="C97" s="59"/>
      <c r="D97" s="60"/>
      <c r="E97" s="58"/>
      <c r="F97" s="59"/>
      <c r="G97" s="59"/>
      <c r="H97" s="59"/>
      <c r="I97" s="61"/>
      <c r="AG97" s="12" t="str" cm="1">
        <f t="array" ref="AG97">IF(OR(M97:AF97="NO"),"No aceptable","Aceptable")</f>
        <v>Aceptable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3" t="str" cm="1">
        <f t="array" ref="BD97">IF(OR(AK97:BC97="SI"),"Critico","No Critico")</f>
        <v>No Critico</v>
      </c>
    </row>
    <row r="98" spans="1:56" ht="15">
      <c r="A98" s="58">
        <f>Inicial!A98</f>
        <v>0</v>
      </c>
      <c r="B98" s="59"/>
      <c r="C98" s="59"/>
      <c r="D98" s="60"/>
      <c r="E98" s="58"/>
      <c r="F98" s="59"/>
      <c r="G98" s="59"/>
      <c r="H98" s="59"/>
      <c r="I98" s="61"/>
      <c r="AG98" s="12" t="str" cm="1">
        <f t="array" ref="AG98">IF(OR(M98:AF98="NO"),"No aceptable","Aceptable")</f>
        <v>Aceptable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3" t="str" cm="1">
        <f t="array" ref="BD98">IF(OR(AK98:BC98="SI"),"Critico","No Critico")</f>
        <v>No Critico</v>
      </c>
    </row>
    <row r="99" spans="1:56" ht="15">
      <c r="A99" s="58">
        <f>Inicial!A99</f>
        <v>0</v>
      </c>
      <c r="B99" s="59"/>
      <c r="C99" s="59"/>
      <c r="D99" s="60"/>
      <c r="E99" s="58"/>
      <c r="F99" s="59"/>
      <c r="G99" s="59"/>
      <c r="H99" s="59"/>
      <c r="I99" s="61"/>
      <c r="AG99" s="12" t="str" cm="1">
        <f t="array" ref="AG99">IF(OR(M99:AF99="NO"),"No aceptable","Aceptable")</f>
        <v>Aceptable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3" t="str" cm="1">
        <f t="array" ref="BD99">IF(OR(AK99:BC99="SI"),"Critico","No Critico")</f>
        <v>No Critico</v>
      </c>
    </row>
    <row r="100" spans="1:56" ht="15">
      <c r="A100" s="58">
        <f>Inicial!A100</f>
        <v>0</v>
      </c>
      <c r="B100" s="59"/>
      <c r="C100" s="59"/>
      <c r="D100" s="60"/>
      <c r="E100" s="58"/>
      <c r="F100" s="59"/>
      <c r="G100" s="59"/>
      <c r="H100" s="59"/>
      <c r="I100" s="61"/>
      <c r="AG100" s="12" t="str" cm="1">
        <f t="array" ref="AG100">IF(OR(M100:AF100="NO"),"No aceptable","Aceptable")</f>
        <v>Aceptable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3" t="str" cm="1">
        <f t="array" ref="BD100">IF(OR(AK100:BC100="SI"),"Critico","No Critico")</f>
        <v>No Critico</v>
      </c>
    </row>
    <row r="101" spans="1:56" ht="15">
      <c r="A101" s="58">
        <f>Inicial!A101</f>
        <v>0</v>
      </c>
      <c r="B101" s="59"/>
      <c r="C101" s="59"/>
      <c r="D101" s="60"/>
      <c r="E101" s="58"/>
      <c r="F101" s="59"/>
      <c r="G101" s="59"/>
      <c r="H101" s="59"/>
      <c r="I101" s="61"/>
      <c r="AG101" s="12" t="str" cm="1">
        <f t="array" ref="AG101">IF(OR(M101:AF101="NO"),"No aceptable","Aceptable")</f>
        <v>Aceptable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3" t="str" cm="1">
        <f t="array" ref="BD101">IF(OR(AK101:BC101="SI"),"Critico","No Critico")</f>
        <v>No Critico</v>
      </c>
    </row>
    <row r="102" spans="1:56" ht="15">
      <c r="A102" s="58">
        <f>Inicial!A102</f>
        <v>0</v>
      </c>
      <c r="B102" s="59"/>
      <c r="C102" s="59"/>
      <c r="D102" s="60"/>
      <c r="E102" s="58"/>
      <c r="F102" s="59"/>
      <c r="G102" s="59"/>
      <c r="H102" s="59"/>
      <c r="I102" s="61"/>
      <c r="AG102" s="12" t="str" cm="1">
        <f t="array" ref="AG102">IF(OR(M102:AF102="NO"),"No aceptable","Aceptable")</f>
        <v>Aceptable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3" t="str" cm="1">
        <f t="array" ref="BD102">IF(OR(AK102:BC102="SI"),"Critico","No Critico")</f>
        <v>No Critico</v>
      </c>
    </row>
    <row r="103" spans="1:56" ht="15">
      <c r="A103" s="58">
        <f>Inicial!A103</f>
        <v>0</v>
      </c>
      <c r="B103" s="59"/>
      <c r="C103" s="59"/>
      <c r="D103" s="60"/>
      <c r="E103" s="58"/>
      <c r="F103" s="59"/>
      <c r="G103" s="59"/>
      <c r="H103" s="59"/>
      <c r="I103" s="61"/>
      <c r="AG103" s="12" t="str" cm="1">
        <f t="array" ref="AG103">IF(OR(M103:AF103="NO"),"No aceptable","Aceptable")</f>
        <v>Aceptable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3" t="str" cm="1">
        <f t="array" ref="BD103">IF(OR(AK103:BC103="SI"),"Critico","No Critico")</f>
        <v>No Critico</v>
      </c>
    </row>
    <row r="104" spans="1:56" ht="15">
      <c r="A104" s="58">
        <f>Inicial!A104</f>
        <v>0</v>
      </c>
      <c r="B104" s="59"/>
      <c r="C104" s="59"/>
      <c r="D104" s="60"/>
      <c r="E104" s="58"/>
      <c r="F104" s="59"/>
      <c r="G104" s="59"/>
      <c r="H104" s="59"/>
      <c r="I104" s="61"/>
      <c r="AG104" s="12" t="str" cm="1">
        <f t="array" ref="AG104">IF(OR(M104:AF104="NO"),"No aceptable","Aceptable")</f>
        <v>Aceptable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3" t="str" cm="1">
        <f t="array" ref="BD104">IF(OR(AK104:BC104="SI"),"Critico","No Critico")</f>
        <v>No Critico</v>
      </c>
    </row>
    <row r="105" spans="1:56" ht="15">
      <c r="A105" s="58">
        <f>Inicial!A105</f>
        <v>0</v>
      </c>
      <c r="B105" s="59"/>
      <c r="C105" s="59"/>
      <c r="D105" s="60"/>
      <c r="E105" s="58"/>
      <c r="F105" s="59"/>
      <c r="G105" s="59"/>
      <c r="H105" s="59"/>
      <c r="I105" s="61"/>
      <c r="AG105" s="12" t="str" cm="1">
        <f t="array" ref="AG105">IF(OR(M105:AF105="NO"),"No aceptable","Aceptable")</f>
        <v>Aceptable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3" t="str" cm="1">
        <f t="array" ref="BD105">IF(OR(AK105:BC105="SI"),"Critico","No Critico")</f>
        <v>No Critico</v>
      </c>
    </row>
    <row r="106" spans="1:56" ht="15">
      <c r="A106" s="58">
        <f>Inicial!A106</f>
        <v>0</v>
      </c>
      <c r="B106" s="59"/>
      <c r="C106" s="59"/>
      <c r="D106" s="60"/>
      <c r="E106" s="58"/>
      <c r="F106" s="59"/>
      <c r="G106" s="59"/>
      <c r="H106" s="59"/>
      <c r="I106" s="61"/>
      <c r="AG106" s="12" t="str" cm="1">
        <f t="array" ref="AG106">IF(OR(M106:AF106="NO"),"No aceptable","Aceptable")</f>
        <v>Aceptable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3" t="str" cm="1">
        <f t="array" ref="BD106">IF(OR(AK106:BC106="SI"),"Critico","No Critico")</f>
        <v>No Critico</v>
      </c>
    </row>
    <row r="107" spans="1:56" ht="15">
      <c r="A107" s="58">
        <f>Inicial!A107</f>
        <v>0</v>
      </c>
      <c r="B107" s="59"/>
      <c r="C107" s="59"/>
      <c r="D107" s="60"/>
      <c r="E107" s="58"/>
      <c r="F107" s="59"/>
      <c r="G107" s="59"/>
      <c r="H107" s="59"/>
      <c r="I107" s="61"/>
      <c r="AG107" s="12" t="str" cm="1">
        <f t="array" ref="AG107">IF(OR(M107:AF107="NO"),"No aceptable","Aceptable")</f>
        <v>Aceptable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3" t="str" cm="1">
        <f t="array" ref="BD107">IF(OR(AK107:BC107="SI"),"Critico","No Critico")</f>
        <v>No Critico</v>
      </c>
    </row>
    <row r="108" spans="1:56" ht="15">
      <c r="A108" s="58">
        <f>Inicial!A108</f>
        <v>0</v>
      </c>
      <c r="B108" s="59"/>
      <c r="C108" s="59"/>
      <c r="D108" s="60"/>
      <c r="E108" s="58"/>
      <c r="F108" s="59"/>
      <c r="G108" s="59"/>
      <c r="H108" s="59"/>
      <c r="I108" s="61"/>
      <c r="AG108" s="12" t="str" cm="1">
        <f t="array" ref="AG108">IF(OR(M108:AF108="NO"),"No aceptable","Aceptable")</f>
        <v>Aceptable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3" t="str" cm="1">
        <f t="array" ref="BD108">IF(OR(AK108:BC108="SI"),"Critico","No Critico")</f>
        <v>No Critico</v>
      </c>
    </row>
    <row r="109" spans="1:56" ht="15">
      <c r="A109" s="58">
        <f>Inicial!A109</f>
        <v>0</v>
      </c>
      <c r="B109" s="59"/>
      <c r="C109" s="59"/>
      <c r="D109" s="60"/>
      <c r="E109" s="58"/>
      <c r="F109" s="59"/>
      <c r="G109" s="59"/>
      <c r="H109" s="59"/>
      <c r="I109" s="61"/>
      <c r="AG109" s="12" t="str" cm="1">
        <f t="array" ref="AG109">IF(OR(M109:AF109="NO"),"No aceptable","Aceptable")</f>
        <v>Aceptable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3" t="str" cm="1">
        <f t="array" ref="BD109">IF(OR(AK109:BC109="SI"),"Critico","No Critico")</f>
        <v>No Critico</v>
      </c>
    </row>
    <row r="110" spans="1:56" ht="15">
      <c r="A110" s="58">
        <f>Inicial!A110</f>
        <v>0</v>
      </c>
      <c r="B110" s="59"/>
      <c r="C110" s="59"/>
      <c r="D110" s="60"/>
      <c r="E110" s="58"/>
      <c r="F110" s="59"/>
      <c r="G110" s="59"/>
      <c r="H110" s="59"/>
      <c r="I110" s="61"/>
      <c r="AG110" s="12" t="str" cm="1">
        <f t="array" ref="AG110">IF(OR(M110:AF110="NO"),"No aceptable","Aceptable")</f>
        <v>Aceptable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3" t="str" cm="1">
        <f t="array" ref="BD110">IF(OR(AK110:BC110="SI"),"Critico","No Critico")</f>
        <v>No Critico</v>
      </c>
    </row>
    <row r="111" spans="1:56" ht="15">
      <c r="A111" s="58">
        <f>Inicial!A111</f>
        <v>0</v>
      </c>
      <c r="B111" s="59"/>
      <c r="C111" s="59"/>
      <c r="D111" s="60"/>
      <c r="E111" s="58"/>
      <c r="F111" s="59"/>
      <c r="G111" s="59"/>
      <c r="H111" s="59"/>
      <c r="I111" s="61"/>
      <c r="AG111" s="12" t="str" cm="1">
        <f t="array" ref="AG111">IF(OR(M111:AF111="NO"),"No aceptable","Aceptable")</f>
        <v>Aceptable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3" t="str" cm="1">
        <f t="array" ref="BD111">IF(OR(AK111:BC111="SI"),"Critico","No Critico")</f>
        <v>No Critico</v>
      </c>
    </row>
    <row r="112" spans="1:56" ht="15">
      <c r="A112" s="58">
        <f>Inicial!A112</f>
        <v>0</v>
      </c>
      <c r="B112" s="59"/>
      <c r="C112" s="59"/>
      <c r="D112" s="60"/>
      <c r="E112" s="58"/>
      <c r="F112" s="59"/>
      <c r="G112" s="59"/>
      <c r="H112" s="59"/>
      <c r="I112" s="61"/>
      <c r="AG112" s="12" t="str" cm="1">
        <f t="array" ref="AG112">IF(OR(M112:AF112="NO"),"No aceptable","Aceptable")</f>
        <v>Aceptable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3" t="str" cm="1">
        <f t="array" ref="BD112">IF(OR(AK112:BC112="SI"),"Critico","No Critico")</f>
        <v>No Critico</v>
      </c>
    </row>
    <row r="113" spans="1:56" ht="15">
      <c r="A113" s="58">
        <f>Inicial!A113</f>
        <v>0</v>
      </c>
      <c r="B113" s="59"/>
      <c r="C113" s="59"/>
      <c r="D113" s="60"/>
      <c r="E113" s="58"/>
      <c r="F113" s="59"/>
      <c r="G113" s="59"/>
      <c r="H113" s="59"/>
      <c r="I113" s="61"/>
      <c r="AG113" s="12" t="str" cm="1">
        <f t="array" ref="AG113">IF(OR(M113:AF113="NO"),"No aceptable","Aceptable")</f>
        <v>Aceptable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3" t="str" cm="1">
        <f t="array" ref="BD113">IF(OR(AK113:BC113="SI"),"Critico","No Critico")</f>
        <v>No Critico</v>
      </c>
    </row>
    <row r="114" spans="1:56" ht="15">
      <c r="A114" s="58">
        <f>Inicial!A114</f>
        <v>0</v>
      </c>
      <c r="B114" s="59"/>
      <c r="C114" s="59"/>
      <c r="D114" s="60"/>
      <c r="E114" s="58"/>
      <c r="F114" s="59"/>
      <c r="G114" s="59"/>
      <c r="H114" s="59"/>
      <c r="I114" s="61"/>
      <c r="AG114" s="12" t="str" cm="1">
        <f t="array" ref="AG114">IF(OR(M114:AF114="NO"),"No aceptable","Aceptable")</f>
        <v>Aceptable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3" t="str" cm="1">
        <f t="array" ref="BD114">IF(OR(AK114:BC114="SI"),"Critico","No Critico")</f>
        <v>No Critico</v>
      </c>
    </row>
    <row r="115" spans="1:56" ht="15">
      <c r="A115" s="58">
        <f>Inicial!A115</f>
        <v>0</v>
      </c>
      <c r="B115" s="59"/>
      <c r="C115" s="59"/>
      <c r="D115" s="60"/>
      <c r="E115" s="58"/>
      <c r="F115" s="59"/>
      <c r="G115" s="59"/>
      <c r="H115" s="59"/>
      <c r="I115" s="61"/>
      <c r="AG115" s="12" t="str" cm="1">
        <f t="array" ref="AG115">IF(OR(M115:AF115="NO"),"No aceptable","Aceptable")</f>
        <v>Aceptable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3" t="str" cm="1">
        <f t="array" ref="BD115">IF(OR(AK115:BC115="SI"),"Critico","No Critico")</f>
        <v>No Critico</v>
      </c>
    </row>
    <row r="116" spans="1:56" ht="15">
      <c r="A116" s="58">
        <f>Inicial!A116</f>
        <v>0</v>
      </c>
      <c r="B116" s="59"/>
      <c r="C116" s="59"/>
      <c r="D116" s="60"/>
      <c r="E116" s="58"/>
      <c r="F116" s="59"/>
      <c r="G116" s="59"/>
      <c r="H116" s="59"/>
      <c r="I116" s="61"/>
      <c r="AG116" s="12" t="str" cm="1">
        <f t="array" ref="AG116">IF(OR(M116:AF116="NO"),"No aceptable","Aceptable")</f>
        <v>Aceptable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3" t="str" cm="1">
        <f t="array" ref="BD116">IF(OR(AK116:BC116="SI"),"Critico","No Critico")</f>
        <v>No Critico</v>
      </c>
    </row>
    <row r="117" spans="1:56" ht="15">
      <c r="A117" s="58">
        <f>Inicial!A117</f>
        <v>0</v>
      </c>
      <c r="B117" s="59"/>
      <c r="C117" s="59"/>
      <c r="D117" s="60"/>
      <c r="E117" s="58"/>
      <c r="F117" s="59"/>
      <c r="G117" s="59"/>
      <c r="H117" s="59"/>
      <c r="I117" s="61"/>
      <c r="AG117" s="12" t="str" cm="1">
        <f t="array" ref="AG117">IF(OR(M117:AF117="NO"),"No aceptable","Aceptable")</f>
        <v>Aceptable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3" t="str" cm="1">
        <f t="array" ref="BD117">IF(OR(AK117:BC117="SI"),"Critico","No Critico")</f>
        <v>No Critico</v>
      </c>
    </row>
    <row r="118" spans="1:56" ht="15">
      <c r="A118" s="58">
        <f>Inicial!A118</f>
        <v>0</v>
      </c>
      <c r="B118" s="59"/>
      <c r="C118" s="59"/>
      <c r="D118" s="60"/>
      <c r="E118" s="58"/>
      <c r="F118" s="59"/>
      <c r="G118" s="59"/>
      <c r="H118" s="59"/>
      <c r="I118" s="61"/>
      <c r="AG118" s="12" t="str" cm="1">
        <f t="array" ref="AG118">IF(OR(M118:AF118="NO"),"No aceptable","Aceptable")</f>
        <v>Aceptable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3" t="str" cm="1">
        <f t="array" ref="BD118">IF(OR(AK118:BC118="SI"),"Critico","No Critico")</f>
        <v>No Critico</v>
      </c>
    </row>
    <row r="119" spans="1:56" ht="15">
      <c r="A119" s="58">
        <f>Inicial!A119</f>
        <v>0</v>
      </c>
      <c r="B119" s="59"/>
      <c r="C119" s="59"/>
      <c r="D119" s="60"/>
      <c r="E119" s="58"/>
      <c r="F119" s="59"/>
      <c r="G119" s="59"/>
      <c r="H119" s="59"/>
      <c r="I119" s="61"/>
      <c r="AG119" s="12" t="str" cm="1">
        <f t="array" ref="AG119">IF(OR(M119:AF119="NO"),"No aceptable","Aceptable")</f>
        <v>Aceptable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3" t="str" cm="1">
        <f t="array" ref="BD119">IF(OR(AK119:BC119="SI"),"Critico","No Critico")</f>
        <v>No Critico</v>
      </c>
    </row>
    <row r="120" spans="1:56" ht="15">
      <c r="A120" s="58">
        <f>Inicial!A120</f>
        <v>0</v>
      </c>
      <c r="B120" s="59"/>
      <c r="C120" s="59"/>
      <c r="D120" s="60"/>
      <c r="E120" s="58"/>
      <c r="F120" s="59"/>
      <c r="G120" s="59"/>
      <c r="H120" s="59"/>
      <c r="I120" s="61"/>
      <c r="AG120" s="12" t="str" cm="1">
        <f t="array" ref="AG120">IF(OR(M120:AF120="NO"),"No aceptable","Aceptable")</f>
        <v>Aceptable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3" t="str" cm="1">
        <f t="array" ref="BD120">IF(OR(AK120:BC120="SI"),"Critico","No Critico")</f>
        <v>No Critico</v>
      </c>
    </row>
    <row r="121" spans="1:56" ht="15">
      <c r="A121" s="58">
        <f>Inicial!A121</f>
        <v>0</v>
      </c>
      <c r="B121" s="59"/>
      <c r="C121" s="59"/>
      <c r="D121" s="60"/>
      <c r="E121" s="58"/>
      <c r="F121" s="59"/>
      <c r="G121" s="59"/>
      <c r="H121" s="59"/>
      <c r="I121" s="61"/>
      <c r="AG121" s="12" t="str" cm="1">
        <f t="array" ref="AG121">IF(OR(M121:AF121="NO"),"No aceptable","Aceptable")</f>
        <v>Aceptable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3" t="str" cm="1">
        <f t="array" ref="BD121">IF(OR(AK121:BC121="SI"),"Critico","No Critico")</f>
        <v>No Critico</v>
      </c>
    </row>
    <row r="122" spans="1:56" ht="15">
      <c r="A122" s="58">
        <f>Inicial!A122</f>
        <v>0</v>
      </c>
      <c r="B122" s="59"/>
      <c r="C122" s="59"/>
      <c r="D122" s="60"/>
      <c r="E122" s="58"/>
      <c r="F122" s="59"/>
      <c r="G122" s="59"/>
      <c r="H122" s="59"/>
      <c r="I122" s="61"/>
      <c r="AG122" s="12" t="str" cm="1">
        <f t="array" ref="AG122">IF(OR(M122:AF122="NO"),"No aceptable","Aceptable")</f>
        <v>Aceptable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3" t="str" cm="1">
        <f t="array" ref="BD122">IF(OR(AK122:BC122="SI"),"Critico","No Critico")</f>
        <v>No Critico</v>
      </c>
    </row>
    <row r="123" spans="1:56" ht="15">
      <c r="A123" s="58">
        <f>Inicial!A123</f>
        <v>0</v>
      </c>
      <c r="B123" s="59"/>
      <c r="C123" s="59"/>
      <c r="D123" s="60"/>
      <c r="E123" s="58"/>
      <c r="F123" s="59"/>
      <c r="G123" s="59"/>
      <c r="H123" s="59"/>
      <c r="I123" s="61"/>
      <c r="AG123" s="12" t="str" cm="1">
        <f t="array" ref="AG123">IF(OR(M123:AF123="NO"),"No aceptable","Aceptable")</f>
        <v>Aceptable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3" t="str" cm="1">
        <f t="array" ref="BD123">IF(OR(AK123:BC123="SI"),"Critico","No Critico")</f>
        <v>No Critico</v>
      </c>
    </row>
    <row r="124" spans="1:56" ht="15">
      <c r="A124" s="58">
        <f>Inicial!A124</f>
        <v>0</v>
      </c>
      <c r="B124" s="59"/>
      <c r="C124" s="59"/>
      <c r="D124" s="60"/>
      <c r="E124" s="58"/>
      <c r="F124" s="59"/>
      <c r="G124" s="59"/>
      <c r="H124" s="59"/>
      <c r="I124" s="61"/>
      <c r="AG124" s="12" t="str" cm="1">
        <f t="array" ref="AG124">IF(OR(M124:AF124="NO"),"No aceptable","Aceptable")</f>
        <v>Aceptable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3" t="str" cm="1">
        <f t="array" ref="BD124">IF(OR(AK124:BC124="SI"),"Critico","No Critico")</f>
        <v>No Critico</v>
      </c>
    </row>
    <row r="125" spans="1:56" ht="15">
      <c r="A125" s="58">
        <f>Inicial!A125</f>
        <v>0</v>
      </c>
      <c r="B125" s="59"/>
      <c r="C125" s="59"/>
      <c r="D125" s="60"/>
      <c r="E125" s="58"/>
      <c r="F125" s="59"/>
      <c r="G125" s="59"/>
      <c r="H125" s="59"/>
      <c r="I125" s="61"/>
      <c r="AG125" s="12" t="str" cm="1">
        <f t="array" ref="AG125">IF(OR(M125:AF125="NO"),"No aceptable","Aceptable")</f>
        <v>Aceptable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3" t="str" cm="1">
        <f t="array" ref="BD125">IF(OR(AK125:BC125="SI"),"Critico","No Critico")</f>
        <v>No Critico</v>
      </c>
    </row>
    <row r="126" spans="1:56" ht="15">
      <c r="A126" s="58">
        <f>Inicial!A126</f>
        <v>0</v>
      </c>
      <c r="B126" s="59"/>
      <c r="C126" s="59"/>
      <c r="D126" s="60"/>
      <c r="E126" s="58"/>
      <c r="F126" s="59"/>
      <c r="G126" s="59"/>
      <c r="H126" s="59"/>
      <c r="I126" s="61"/>
      <c r="AG126" s="12" t="str" cm="1">
        <f t="array" ref="AG126">IF(OR(M126:AF126="NO"),"No aceptable","Aceptable")</f>
        <v>Aceptable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3" t="str" cm="1">
        <f t="array" ref="BD126">IF(OR(AK126:BC126="SI"),"Critico","No Critico")</f>
        <v>No Critico</v>
      </c>
    </row>
    <row r="127" spans="1:56" ht="15">
      <c r="A127" s="58">
        <f>Inicial!A127</f>
        <v>0</v>
      </c>
      <c r="B127" s="59"/>
      <c r="C127" s="59"/>
      <c r="D127" s="60"/>
      <c r="E127" s="58"/>
      <c r="F127" s="59"/>
      <c r="G127" s="59"/>
      <c r="H127" s="59"/>
      <c r="I127" s="61"/>
      <c r="AG127" s="12" t="str" cm="1">
        <f t="array" ref="AG127">IF(OR(M127:AF127="NO"),"No aceptable","Aceptable")</f>
        <v>Aceptable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3" t="str" cm="1">
        <f t="array" ref="BD127">IF(OR(AK127:BC127="SI"),"Critico","No Critico")</f>
        <v>No Critico</v>
      </c>
    </row>
    <row r="128" spans="1:56" ht="15">
      <c r="A128" s="58">
        <f>Inicial!A128</f>
        <v>0</v>
      </c>
      <c r="B128" s="59"/>
      <c r="C128" s="59"/>
      <c r="D128" s="60"/>
      <c r="E128" s="58"/>
      <c r="F128" s="59"/>
      <c r="G128" s="59"/>
      <c r="H128" s="59"/>
      <c r="I128" s="61"/>
      <c r="AG128" s="12" t="str" cm="1">
        <f t="array" ref="AG128">IF(OR(M128:AF128="NO"),"No aceptable","Aceptable")</f>
        <v>Aceptable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3" t="str" cm="1">
        <f t="array" ref="BD128">IF(OR(AK128:BC128="SI"),"Critico","No Critico")</f>
        <v>No Critico</v>
      </c>
    </row>
    <row r="129" spans="1:56" ht="15">
      <c r="A129" s="58">
        <f>Inicial!A129</f>
        <v>0</v>
      </c>
      <c r="B129" s="59"/>
      <c r="C129" s="59"/>
      <c r="D129" s="60"/>
      <c r="E129" s="58"/>
      <c r="F129" s="59"/>
      <c r="G129" s="59"/>
      <c r="H129" s="59"/>
      <c r="I129" s="61"/>
      <c r="AG129" s="12" t="str" cm="1">
        <f t="array" ref="AG129">IF(OR(M129:AF129="NO"),"No aceptable","Aceptable")</f>
        <v>Aceptable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3" t="str" cm="1">
        <f t="array" ref="BD129">IF(OR(AK129:BC129="SI"),"Critico","No Critico")</f>
        <v>No Critico</v>
      </c>
    </row>
    <row r="130" spans="1:56" ht="15">
      <c r="A130" s="58">
        <f>Inicial!A130</f>
        <v>0</v>
      </c>
      <c r="B130" s="59"/>
      <c r="C130" s="59"/>
      <c r="D130" s="60"/>
      <c r="E130" s="58"/>
      <c r="F130" s="59"/>
      <c r="G130" s="59"/>
      <c r="H130" s="59"/>
      <c r="I130" s="61"/>
      <c r="AG130" s="12" t="str" cm="1">
        <f t="array" ref="AG130">IF(OR(M130:AF130="NO"),"No aceptable","Aceptable")</f>
        <v>Aceptable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3" t="str" cm="1">
        <f t="array" ref="BD130">IF(OR(AK130:BC130="SI"),"Critico","No Critico")</f>
        <v>No Critico</v>
      </c>
    </row>
    <row r="131" spans="1:56" ht="15">
      <c r="A131" s="58">
        <f>Inicial!A131</f>
        <v>0</v>
      </c>
      <c r="B131" s="59"/>
      <c r="C131" s="59"/>
      <c r="D131" s="60"/>
      <c r="E131" s="58"/>
      <c r="F131" s="59"/>
      <c r="G131" s="59"/>
      <c r="H131" s="59"/>
      <c r="I131" s="61"/>
      <c r="AG131" s="12" t="str" cm="1">
        <f t="array" ref="AG131">IF(OR(M131:AF131="NO"),"No aceptable","Aceptable")</f>
        <v>Aceptable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3" t="str" cm="1">
        <f t="array" ref="BD131">IF(OR(AK131:BC131="SI"),"Critico","No Critico")</f>
        <v>No Critico</v>
      </c>
    </row>
    <row r="132" spans="1:56" ht="15">
      <c r="A132" s="58">
        <f>Inicial!A132</f>
        <v>0</v>
      </c>
      <c r="B132" s="59"/>
      <c r="C132" s="59"/>
      <c r="D132" s="60"/>
      <c r="E132" s="58"/>
      <c r="F132" s="59"/>
      <c r="G132" s="59"/>
      <c r="H132" s="59"/>
      <c r="I132" s="61"/>
      <c r="AG132" s="12" t="str" cm="1">
        <f t="array" ref="AG132">IF(OR(M132:AF132="NO"),"No aceptable","Aceptable")</f>
        <v>Aceptable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3" t="str" cm="1">
        <f t="array" ref="BD132">IF(OR(AK132:BC132="SI"),"Critico","No Critico")</f>
        <v>No Critico</v>
      </c>
    </row>
    <row r="133" spans="1:56" ht="15">
      <c r="A133" s="58">
        <f>Inicial!A133</f>
        <v>0</v>
      </c>
      <c r="B133" s="59"/>
      <c r="C133" s="59"/>
      <c r="D133" s="60"/>
      <c r="E133" s="58"/>
      <c r="F133" s="59"/>
      <c r="G133" s="59"/>
      <c r="H133" s="59"/>
      <c r="I133" s="61"/>
      <c r="AG133" s="12" t="str" cm="1">
        <f t="array" ref="AG133">IF(OR(M133:AF133="NO"),"No aceptable","Aceptable")</f>
        <v>Aceptable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3" t="str" cm="1">
        <f t="array" ref="BD133">IF(OR(AK133:BC133="SI"),"Critico","No Critico")</f>
        <v>No Critico</v>
      </c>
    </row>
    <row r="134" spans="1:56" ht="15">
      <c r="A134" s="58">
        <f>Inicial!A134</f>
        <v>0</v>
      </c>
      <c r="B134" s="59"/>
      <c r="C134" s="59"/>
      <c r="D134" s="60"/>
      <c r="E134" s="58"/>
      <c r="F134" s="59"/>
      <c r="G134" s="59"/>
      <c r="H134" s="59"/>
      <c r="I134" s="61"/>
      <c r="AG134" s="12" t="str" cm="1">
        <f t="array" ref="AG134">IF(OR(M134:AF134="NO"),"No aceptable","Aceptable")</f>
        <v>Aceptable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3" t="str" cm="1">
        <f t="array" ref="BD134">IF(OR(AK134:BC134="SI"),"Critico","No Critico")</f>
        <v>No Critico</v>
      </c>
    </row>
    <row r="135" spans="1:56" ht="15">
      <c r="A135" s="58">
        <f>Inicial!A135</f>
        <v>0</v>
      </c>
      <c r="B135" s="59"/>
      <c r="C135" s="59"/>
      <c r="D135" s="60"/>
      <c r="E135" s="58"/>
      <c r="F135" s="59"/>
      <c r="G135" s="59"/>
      <c r="H135" s="59"/>
      <c r="I135" s="61"/>
      <c r="AG135" s="12" t="str" cm="1">
        <f t="array" ref="AG135">IF(OR(M135:AF135="NO"),"No aceptable","Aceptable")</f>
        <v>Aceptable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3" t="str" cm="1">
        <f t="array" ref="BD135">IF(OR(AK135:BC135="SI"),"Critico","No Critico")</f>
        <v>No Critico</v>
      </c>
    </row>
    <row r="136" spans="1:56" ht="15">
      <c r="A136" s="58">
        <f>Inicial!A136</f>
        <v>0</v>
      </c>
      <c r="B136" s="59"/>
      <c r="C136" s="59"/>
      <c r="D136" s="60"/>
      <c r="E136" s="58"/>
      <c r="F136" s="59"/>
      <c r="G136" s="59"/>
      <c r="H136" s="59"/>
      <c r="I136" s="61"/>
      <c r="AG136" s="12" t="str" cm="1">
        <f t="array" ref="AG136">IF(OR(M136:AF136="NO"),"No aceptable","Aceptable")</f>
        <v>Aceptable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3" t="str" cm="1">
        <f t="array" ref="BD136">IF(OR(AK136:BC136="SI"),"Critico","No Critico")</f>
        <v>No Critico</v>
      </c>
    </row>
    <row r="137" spans="1:56" ht="15">
      <c r="A137" s="58">
        <f>Inicial!A137</f>
        <v>0</v>
      </c>
      <c r="B137" s="59"/>
      <c r="C137" s="59"/>
      <c r="D137" s="60"/>
      <c r="E137" s="58"/>
      <c r="F137" s="59"/>
      <c r="G137" s="59"/>
      <c r="H137" s="59"/>
      <c r="I137" s="61"/>
      <c r="AG137" s="12" t="str" cm="1">
        <f t="array" ref="AG137">IF(OR(M137:AF137="NO"),"No aceptable","Aceptable")</f>
        <v>Aceptable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3" t="str" cm="1">
        <f t="array" ref="BD137">IF(OR(AK137:BC137="SI"),"Critico","No Critico")</f>
        <v>No Critico</v>
      </c>
    </row>
    <row r="138" spans="1:56" ht="15">
      <c r="A138" s="58">
        <f>Inicial!A138</f>
        <v>0</v>
      </c>
      <c r="B138" s="59"/>
      <c r="C138" s="59"/>
      <c r="D138" s="60"/>
      <c r="E138" s="58"/>
      <c r="F138" s="59"/>
      <c r="G138" s="59"/>
      <c r="H138" s="59"/>
      <c r="I138" s="61"/>
      <c r="AG138" s="12" t="str" cm="1">
        <f t="array" ref="AG138">IF(OR(M138:AF138="NO"),"No aceptable","Aceptable")</f>
        <v>Aceptable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3" t="str" cm="1">
        <f t="array" ref="BD138">IF(OR(AK138:BC138="SI"),"Critico","No Critico")</f>
        <v>No Critico</v>
      </c>
    </row>
    <row r="139" spans="1:56" ht="15">
      <c r="A139" s="58">
        <f>Inicial!A139</f>
        <v>0</v>
      </c>
      <c r="B139" s="59"/>
      <c r="C139" s="59"/>
      <c r="D139" s="60"/>
      <c r="E139" s="58"/>
      <c r="F139" s="59"/>
      <c r="G139" s="59"/>
      <c r="H139" s="59"/>
      <c r="I139" s="61"/>
      <c r="AG139" s="12" t="str" cm="1">
        <f t="array" ref="AG139">IF(OR(M139:AF139="NO"),"No aceptable","Aceptable")</f>
        <v>Aceptable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3" t="str" cm="1">
        <f t="array" ref="BD139">IF(OR(AK139:BC139="SI"),"Critico","No Critico")</f>
        <v>No Critico</v>
      </c>
    </row>
    <row r="140" spans="1:56" ht="15">
      <c r="A140" s="58">
        <f>Inicial!A140</f>
        <v>0</v>
      </c>
      <c r="B140" s="59"/>
      <c r="C140" s="59"/>
      <c r="D140" s="60"/>
      <c r="E140" s="58"/>
      <c r="F140" s="59"/>
      <c r="G140" s="59"/>
      <c r="H140" s="59"/>
      <c r="I140" s="61"/>
      <c r="AG140" s="12" t="str" cm="1">
        <f t="array" ref="AG140">IF(OR(M140:AF140="NO"),"No aceptable","Aceptable")</f>
        <v>Aceptable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3" t="str" cm="1">
        <f t="array" ref="BD140">IF(OR(AK140:BC140="SI"),"Critico","No Critico")</f>
        <v>No Critico</v>
      </c>
    </row>
    <row r="141" spans="1:56" ht="15">
      <c r="A141" s="58">
        <f>Inicial!A141</f>
        <v>0</v>
      </c>
      <c r="B141" s="59"/>
      <c r="C141" s="59"/>
      <c r="D141" s="60"/>
      <c r="E141" s="58"/>
      <c r="F141" s="59"/>
      <c r="G141" s="59"/>
      <c r="H141" s="59"/>
      <c r="I141" s="61"/>
      <c r="AG141" s="12" t="str" cm="1">
        <f t="array" ref="AG141">IF(OR(M141:AF141="NO"),"No aceptable","Aceptable")</f>
        <v>Aceptable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3" t="str" cm="1">
        <f t="array" ref="BD141">IF(OR(AK141:BC141="SI"),"Critico","No Critico")</f>
        <v>No Critico</v>
      </c>
    </row>
    <row r="142" spans="1:56" ht="15">
      <c r="A142" s="58">
        <f>Inicial!A142</f>
        <v>0</v>
      </c>
      <c r="B142" s="59"/>
      <c r="C142" s="59"/>
      <c r="D142" s="60"/>
      <c r="E142" s="58"/>
      <c r="F142" s="59"/>
      <c r="G142" s="59"/>
      <c r="H142" s="59"/>
      <c r="I142" s="61"/>
      <c r="AG142" s="12" t="str" cm="1">
        <f t="array" ref="AG142">IF(OR(M142:AF142="NO"),"No aceptable","Aceptable")</f>
        <v>Aceptable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3" t="str" cm="1">
        <f t="array" ref="BD142">IF(OR(AK142:BC142="SI"),"Critico","No Critico")</f>
        <v>No Critico</v>
      </c>
    </row>
    <row r="143" spans="1:56" ht="15">
      <c r="A143" s="58">
        <f>Inicial!A143</f>
        <v>0</v>
      </c>
      <c r="B143" s="59"/>
      <c r="C143" s="59"/>
      <c r="D143" s="60"/>
      <c r="E143" s="58"/>
      <c r="F143" s="59"/>
      <c r="G143" s="59"/>
      <c r="H143" s="59"/>
      <c r="I143" s="61"/>
      <c r="AG143" s="12" t="str" cm="1">
        <f t="array" ref="AG143">IF(OR(M143:AF143="NO"),"No aceptable","Aceptable")</f>
        <v>Aceptable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3" t="str" cm="1">
        <f t="array" ref="BD143">IF(OR(AK143:BC143="SI"),"Critico","No Critico")</f>
        <v>No Critico</v>
      </c>
    </row>
    <row r="144" spans="1:56" ht="15">
      <c r="A144" s="58">
        <f>Inicial!A144</f>
        <v>0</v>
      </c>
      <c r="B144" s="59"/>
      <c r="C144" s="59"/>
      <c r="D144" s="60"/>
      <c r="E144" s="58"/>
      <c r="F144" s="59"/>
      <c r="G144" s="59"/>
      <c r="H144" s="59"/>
      <c r="I144" s="61"/>
      <c r="AG144" s="12" t="str" cm="1">
        <f t="array" ref="AG144">IF(OR(M144:AF144="NO"),"No aceptable","Aceptable")</f>
        <v>Aceptable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3" t="str" cm="1">
        <f t="array" ref="BD144">IF(OR(AK144:BC144="SI"),"Critico","No Critico")</f>
        <v>No Critico</v>
      </c>
    </row>
    <row r="145" spans="1:56" ht="15">
      <c r="A145" s="58">
        <f>Inicial!A145</f>
        <v>0</v>
      </c>
      <c r="B145" s="59"/>
      <c r="C145" s="59"/>
      <c r="D145" s="60"/>
      <c r="E145" s="58"/>
      <c r="F145" s="59"/>
      <c r="G145" s="59"/>
      <c r="H145" s="59"/>
      <c r="I145" s="61"/>
      <c r="AG145" s="12" t="str" cm="1">
        <f t="array" ref="AG145">IF(OR(M145:AF145="NO"),"No aceptable","Aceptable")</f>
        <v>Aceptable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3" t="str" cm="1">
        <f t="array" ref="BD145">IF(OR(AK145:BC145="SI"),"Critico","No Critico")</f>
        <v>No Critico</v>
      </c>
    </row>
    <row r="146" spans="1:56" ht="15">
      <c r="A146" s="58">
        <f>Inicial!A146</f>
        <v>0</v>
      </c>
      <c r="B146" s="59"/>
      <c r="C146" s="59"/>
      <c r="D146" s="60"/>
      <c r="E146" s="58"/>
      <c r="F146" s="59"/>
      <c r="G146" s="59"/>
      <c r="H146" s="59"/>
      <c r="I146" s="61"/>
      <c r="AG146" s="12" t="str" cm="1">
        <f t="array" ref="AG146">IF(OR(M146:AF146="NO"),"No aceptable","Aceptable")</f>
        <v>Aceptable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3" t="str" cm="1">
        <f t="array" ref="BD146">IF(OR(AK146:BC146="SI"),"Critico","No Critico")</f>
        <v>No Critico</v>
      </c>
    </row>
    <row r="147" spans="1:56" ht="15">
      <c r="A147" s="58">
        <f>Inicial!A147</f>
        <v>0</v>
      </c>
      <c r="B147" s="59"/>
      <c r="C147" s="59"/>
      <c r="D147" s="60"/>
      <c r="E147" s="58"/>
      <c r="F147" s="59"/>
      <c r="G147" s="59"/>
      <c r="H147" s="59"/>
      <c r="I147" s="61"/>
      <c r="AG147" s="12" t="str" cm="1">
        <f t="array" ref="AG147">IF(OR(M147:AF147="NO"),"No aceptable","Aceptable")</f>
        <v>Aceptable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3" t="str" cm="1">
        <f t="array" ref="BD147">IF(OR(AK147:BC147="SI"),"Critico","No Critico")</f>
        <v>No Critico</v>
      </c>
    </row>
    <row r="148" spans="1:56" ht="15">
      <c r="A148" s="58">
        <f>Inicial!A148</f>
        <v>0</v>
      </c>
      <c r="B148" s="59"/>
      <c r="C148" s="59"/>
      <c r="D148" s="60"/>
      <c r="E148" s="58"/>
      <c r="F148" s="59"/>
      <c r="G148" s="59"/>
      <c r="H148" s="59"/>
      <c r="I148" s="61"/>
      <c r="AG148" s="12" t="str" cm="1">
        <f t="array" ref="AG148">IF(OR(M148:AF148="NO"),"No aceptable","Aceptable")</f>
        <v>Aceptable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3" t="str" cm="1">
        <f t="array" ref="BD148">IF(OR(AK148:BC148="SI"),"Critico","No Critico")</f>
        <v>No Critico</v>
      </c>
    </row>
    <row r="149" spans="1:56" ht="15">
      <c r="A149" s="58">
        <f>Inicial!A149</f>
        <v>0</v>
      </c>
      <c r="B149" s="59"/>
      <c r="C149" s="59"/>
      <c r="D149" s="60"/>
      <c r="E149" s="58"/>
      <c r="F149" s="59"/>
      <c r="G149" s="59"/>
      <c r="H149" s="59"/>
      <c r="I149" s="61"/>
      <c r="AG149" s="12" t="str" cm="1">
        <f t="array" ref="AG149">IF(OR(M149:AF149="NO"),"No aceptable","Aceptable")</f>
        <v>Aceptable</v>
      </c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3" t="str" cm="1">
        <f t="array" ref="BD149">IF(OR(AK149:BC149="SI"),"Critico","No Critico")</f>
        <v>No Critico</v>
      </c>
    </row>
    <row r="150" spans="1:56" ht="15">
      <c r="A150" s="58">
        <f>Inicial!A150</f>
        <v>0</v>
      </c>
      <c r="B150" s="59"/>
      <c r="C150" s="59"/>
      <c r="D150" s="60"/>
      <c r="E150" s="58"/>
      <c r="F150" s="59"/>
      <c r="G150" s="59"/>
      <c r="H150" s="59"/>
      <c r="I150" s="61"/>
      <c r="AG150" s="12" t="str" cm="1">
        <f t="array" ref="AG150">IF(OR(M150:AF150="NO"),"No aceptable","Aceptable")</f>
        <v>Aceptable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3" t="str" cm="1">
        <f t="array" ref="BD150">IF(OR(AK150:BC150="SI"),"Critico","No Critico")</f>
        <v>No Critico</v>
      </c>
    </row>
    <row r="151" spans="1:56" ht="15">
      <c r="A151" s="58">
        <f>Inicial!A151</f>
        <v>0</v>
      </c>
      <c r="B151" s="59"/>
      <c r="C151" s="59"/>
      <c r="D151" s="60"/>
      <c r="E151" s="58"/>
      <c r="F151" s="59"/>
      <c r="G151" s="59"/>
      <c r="H151" s="59"/>
      <c r="I151" s="61"/>
      <c r="AG151" s="12" t="str" cm="1">
        <f t="array" ref="AG151">IF(OR(M151:AF151="NO"),"No aceptable","Aceptable")</f>
        <v>Aceptable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3" t="str" cm="1">
        <f t="array" ref="BD151">IF(OR(AK151:BC151="SI"),"Critico","No Critico")</f>
        <v>No Critico</v>
      </c>
    </row>
    <row r="152" spans="1:56" ht="15">
      <c r="A152" s="58">
        <f>Inicial!A152</f>
        <v>0</v>
      </c>
      <c r="B152" s="59"/>
      <c r="C152" s="59"/>
      <c r="D152" s="60"/>
      <c r="E152" s="58"/>
      <c r="F152" s="59"/>
      <c r="G152" s="59"/>
      <c r="H152" s="59"/>
      <c r="I152" s="61"/>
      <c r="AG152" s="12" t="str" cm="1">
        <f t="array" ref="AG152">IF(OR(M152:AF152="NO"),"No aceptable","Aceptable")</f>
        <v>Aceptable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3" t="str" cm="1">
        <f t="array" ref="BD152">IF(OR(AK152:BC152="SI"),"Critico","No Critico")</f>
        <v>No Critico</v>
      </c>
    </row>
    <row r="153" spans="1:56" ht="15">
      <c r="A153" s="58">
        <f>Inicial!A153</f>
        <v>0</v>
      </c>
      <c r="B153" s="59"/>
      <c r="C153" s="59"/>
      <c r="D153" s="60"/>
      <c r="E153" s="58"/>
      <c r="F153" s="59"/>
      <c r="G153" s="59"/>
      <c r="H153" s="59"/>
      <c r="I153" s="61"/>
      <c r="AG153" s="12" t="str" cm="1">
        <f t="array" ref="AG153">IF(OR(M153:AF153="NO"),"No aceptable","Aceptable")</f>
        <v>Aceptable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3" t="str" cm="1">
        <f t="array" ref="BD153">IF(OR(AK153:BC153="SI"),"Critico","No Critico")</f>
        <v>No Critico</v>
      </c>
    </row>
    <row r="154" spans="1:56" ht="15">
      <c r="A154" s="58">
        <f>Inicial!A154</f>
        <v>0</v>
      </c>
      <c r="B154" s="59"/>
      <c r="C154" s="59"/>
      <c r="D154" s="60"/>
      <c r="E154" s="58"/>
      <c r="F154" s="59"/>
      <c r="G154" s="59"/>
      <c r="H154" s="59"/>
      <c r="I154" s="61"/>
      <c r="AG154" s="12" t="str" cm="1">
        <f t="array" ref="AG154">IF(OR(M154:AF154="NO"),"No aceptable","Aceptable")</f>
        <v>Aceptable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3" t="str" cm="1">
        <f t="array" ref="BD154">IF(OR(AK154:BC154="SI"),"Critico","No Critico")</f>
        <v>No Critico</v>
      </c>
    </row>
    <row r="155" spans="1:56" ht="15">
      <c r="A155" s="58">
        <f>Inicial!A155</f>
        <v>0</v>
      </c>
      <c r="B155" s="59"/>
      <c r="C155" s="59"/>
      <c r="D155" s="60"/>
      <c r="E155" s="58"/>
      <c r="F155" s="59"/>
      <c r="G155" s="59"/>
      <c r="H155" s="59"/>
      <c r="I155" s="61"/>
      <c r="AG155" s="12" t="str" cm="1">
        <f t="array" ref="AG155">IF(OR(M155:AF155="NO"),"No aceptable","Aceptable")</f>
        <v>Aceptable</v>
      </c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3" t="str" cm="1">
        <f t="array" ref="BD155">IF(OR(AK155:BC155="SI"),"Critico","No Critico")</f>
        <v>No Critico</v>
      </c>
    </row>
    <row r="156" spans="1:56" ht="15">
      <c r="A156" s="58">
        <f>Inicial!A156</f>
        <v>0</v>
      </c>
      <c r="B156" s="59"/>
      <c r="C156" s="59"/>
      <c r="D156" s="60"/>
      <c r="E156" s="58"/>
      <c r="F156" s="59"/>
      <c r="G156" s="59"/>
      <c r="H156" s="59"/>
      <c r="I156" s="61"/>
      <c r="AG156" s="12" t="str" cm="1">
        <f t="array" ref="AG156">IF(OR(M156:AF156="NO"),"No aceptable","Aceptable")</f>
        <v>Aceptable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3" t="str" cm="1">
        <f t="array" ref="BD156">IF(OR(AK156:BC156="SI"),"Critico","No Critico")</f>
        <v>No Critico</v>
      </c>
    </row>
    <row r="157" spans="1:56" ht="15">
      <c r="A157" s="58">
        <f>Inicial!A157</f>
        <v>0</v>
      </c>
      <c r="B157" s="59"/>
      <c r="C157" s="59"/>
      <c r="D157" s="60"/>
      <c r="E157" s="58"/>
      <c r="F157" s="59"/>
      <c r="G157" s="59"/>
      <c r="H157" s="59"/>
      <c r="I157" s="61"/>
      <c r="AG157" s="12" t="str" cm="1">
        <f t="array" ref="AG157">IF(OR(M157:AF157="NO"),"No aceptable","Aceptable")</f>
        <v>Aceptable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3" t="str" cm="1">
        <f t="array" ref="BD157">IF(OR(AK157:BC157="SI"),"Critico","No Critico")</f>
        <v>No Critico</v>
      </c>
    </row>
    <row r="158" spans="1:56" ht="15">
      <c r="A158" s="58">
        <f>Inicial!A158</f>
        <v>0</v>
      </c>
      <c r="B158" s="59"/>
      <c r="C158" s="59"/>
      <c r="D158" s="60"/>
      <c r="E158" s="58"/>
      <c r="F158" s="59"/>
      <c r="G158" s="59"/>
      <c r="H158" s="59"/>
      <c r="I158" s="61"/>
      <c r="AG158" s="12" t="str" cm="1">
        <f t="array" ref="AG158">IF(OR(M158:AF158="NO"),"No aceptable","Aceptable")</f>
        <v>Aceptable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3" t="str" cm="1">
        <f t="array" ref="BD158">IF(OR(AK158:BC158="SI"),"Critico","No Critico")</f>
        <v>No Critico</v>
      </c>
    </row>
    <row r="159" spans="1:56" ht="15">
      <c r="A159" s="58">
        <f>Inicial!A159</f>
        <v>0</v>
      </c>
      <c r="B159" s="59"/>
      <c r="C159" s="59"/>
      <c r="D159" s="60"/>
      <c r="E159" s="58"/>
      <c r="F159" s="59"/>
      <c r="G159" s="59"/>
      <c r="H159" s="59"/>
      <c r="I159" s="61"/>
      <c r="AG159" s="12" t="str" cm="1">
        <f t="array" ref="AG159">IF(OR(M159:AF159="NO"),"No aceptable","Aceptable")</f>
        <v>Aceptable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3" t="str" cm="1">
        <f t="array" ref="BD159">IF(OR(AK159:BC159="SI"),"Critico","No Critico")</f>
        <v>No Critico</v>
      </c>
    </row>
    <row r="160" spans="1:56" ht="15">
      <c r="A160" s="58">
        <f>Inicial!A160</f>
        <v>0</v>
      </c>
      <c r="B160" s="59"/>
      <c r="C160" s="59"/>
      <c r="D160" s="60"/>
      <c r="E160" s="58"/>
      <c r="F160" s="59"/>
      <c r="G160" s="59"/>
      <c r="H160" s="59"/>
      <c r="I160" s="61"/>
      <c r="AG160" s="12" t="str" cm="1">
        <f t="array" ref="AG160">IF(OR(M160:AF160="NO"),"No aceptable","Aceptable")</f>
        <v>Aceptable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3" t="str" cm="1">
        <f t="array" ref="BD160">IF(OR(AK160:BC160="SI"),"Critico","No Critico")</f>
        <v>No Critico</v>
      </c>
    </row>
    <row r="161" spans="1:56" ht="15">
      <c r="A161" s="58">
        <f>Inicial!A161</f>
        <v>0</v>
      </c>
      <c r="B161" s="59"/>
      <c r="C161" s="59"/>
      <c r="D161" s="60"/>
      <c r="E161" s="58"/>
      <c r="F161" s="59"/>
      <c r="G161" s="59"/>
      <c r="H161" s="59"/>
      <c r="I161" s="61"/>
      <c r="AG161" s="12" t="str" cm="1">
        <f t="array" ref="AG161">IF(OR(M161:AF161="NO"),"No aceptable","Aceptable")</f>
        <v>Aceptable</v>
      </c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3" t="str" cm="1">
        <f t="array" ref="BD161">IF(OR(AK161:BC161="SI"),"Critico","No Critico")</f>
        <v>No Critico</v>
      </c>
    </row>
    <row r="162" spans="1:56" ht="15">
      <c r="A162" s="58">
        <f>Inicial!A162</f>
        <v>0</v>
      </c>
      <c r="B162" s="59"/>
      <c r="C162" s="59"/>
      <c r="D162" s="60"/>
      <c r="E162" s="58"/>
      <c r="F162" s="59"/>
      <c r="G162" s="59"/>
      <c r="H162" s="59"/>
      <c r="I162" s="61"/>
      <c r="AG162" s="12" t="str" cm="1">
        <f t="array" ref="AG162">IF(OR(M162:AF162="NO"),"No aceptable","Aceptable")</f>
        <v>Aceptable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3" t="str" cm="1">
        <f t="array" ref="BD162">IF(OR(AK162:BC162="SI"),"Critico","No Critico")</f>
        <v>No Critico</v>
      </c>
    </row>
    <row r="163" spans="1:56" ht="15">
      <c r="A163" s="58">
        <f>Inicial!A163</f>
        <v>0</v>
      </c>
      <c r="B163" s="59"/>
      <c r="C163" s="59"/>
      <c r="D163" s="60"/>
      <c r="E163" s="58"/>
      <c r="F163" s="59"/>
      <c r="G163" s="59"/>
      <c r="H163" s="59"/>
      <c r="I163" s="61"/>
      <c r="AG163" s="12" t="str" cm="1">
        <f t="array" ref="AG163">IF(OR(M163:AF163="NO"),"No aceptable","Aceptable")</f>
        <v>Aceptable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3" t="str" cm="1">
        <f t="array" ref="BD163">IF(OR(AK163:BC163="SI"),"Critico","No Critico")</f>
        <v>No Critico</v>
      </c>
    </row>
    <row r="164" spans="1:56" ht="15">
      <c r="A164" s="58">
        <f>Inicial!A164</f>
        <v>0</v>
      </c>
      <c r="B164" s="59"/>
      <c r="C164" s="59"/>
      <c r="D164" s="60"/>
      <c r="E164" s="58"/>
      <c r="F164" s="59"/>
      <c r="G164" s="59"/>
      <c r="H164" s="59"/>
      <c r="I164" s="61"/>
      <c r="AG164" s="12" t="str" cm="1">
        <f t="array" ref="AG164">IF(OR(M164:AF164="NO"),"No aceptable","Aceptable")</f>
        <v>Aceptable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3" t="str" cm="1">
        <f t="array" ref="BD164">IF(OR(AK164:BC164="SI"),"Critico","No Critico")</f>
        <v>No Critico</v>
      </c>
    </row>
    <row r="165" spans="1:56" ht="15">
      <c r="A165" s="58">
        <f>Inicial!A165</f>
        <v>0</v>
      </c>
      <c r="B165" s="59"/>
      <c r="C165" s="59"/>
      <c r="D165" s="60"/>
      <c r="E165" s="58"/>
      <c r="F165" s="59"/>
      <c r="G165" s="59"/>
      <c r="H165" s="59"/>
      <c r="I165" s="61"/>
      <c r="AG165" s="12" t="str" cm="1">
        <f t="array" ref="AG165">IF(OR(M165:AF165="NO"),"No aceptable","Aceptable")</f>
        <v>Aceptable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3" t="str" cm="1">
        <f t="array" ref="BD165">IF(OR(AK165:BC165="SI"),"Critico","No Critico")</f>
        <v>No Critico</v>
      </c>
    </row>
    <row r="166" spans="1:56" ht="15">
      <c r="A166" s="58">
        <f>Inicial!A166</f>
        <v>0</v>
      </c>
      <c r="B166" s="59"/>
      <c r="C166" s="59"/>
      <c r="D166" s="60"/>
      <c r="E166" s="58"/>
      <c r="F166" s="59"/>
      <c r="G166" s="59"/>
      <c r="H166" s="59"/>
      <c r="I166" s="61"/>
      <c r="AG166" s="12" t="str" cm="1">
        <f t="array" ref="AG166">IF(OR(M166:AF166="NO"),"No aceptable","Aceptable")</f>
        <v>Aceptable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3" t="str" cm="1">
        <f t="array" ref="BD166">IF(OR(AK166:BC166="SI"),"Critico","No Critico")</f>
        <v>No Critico</v>
      </c>
    </row>
    <row r="167" spans="1:56" ht="15">
      <c r="A167" s="58">
        <f>Inicial!A167</f>
        <v>0</v>
      </c>
      <c r="B167" s="59"/>
      <c r="C167" s="59"/>
      <c r="D167" s="60"/>
      <c r="E167" s="58"/>
      <c r="F167" s="59"/>
      <c r="G167" s="59"/>
      <c r="H167" s="59"/>
      <c r="I167" s="61"/>
      <c r="AG167" s="12" t="str" cm="1">
        <f t="array" ref="AG167">IF(OR(M167:AF167="NO"),"No aceptable","Aceptable")</f>
        <v>Aceptable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3" t="str" cm="1">
        <f t="array" ref="BD167">IF(OR(AK167:BC167="SI"),"Critico","No Critico")</f>
        <v>No Critico</v>
      </c>
    </row>
    <row r="168" spans="1:56" ht="15">
      <c r="A168" s="58">
        <f>Inicial!A168</f>
        <v>0</v>
      </c>
      <c r="B168" s="59"/>
      <c r="C168" s="59"/>
      <c r="D168" s="60"/>
      <c r="E168" s="58"/>
      <c r="F168" s="59"/>
      <c r="G168" s="59"/>
      <c r="H168" s="59"/>
      <c r="I168" s="61"/>
      <c r="AG168" s="12" t="str" cm="1">
        <f t="array" ref="AG168">IF(OR(M168:AF168="NO"),"No aceptable","Aceptable")</f>
        <v>Aceptable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3" t="str" cm="1">
        <f t="array" ref="BD168">IF(OR(AK168:BC168="SI"),"Critico","No Critico")</f>
        <v>No Critico</v>
      </c>
    </row>
    <row r="169" spans="1:56" ht="15">
      <c r="A169" s="58">
        <f>Inicial!A169</f>
        <v>0</v>
      </c>
      <c r="B169" s="59"/>
      <c r="C169" s="59"/>
      <c r="D169" s="60"/>
      <c r="E169" s="58"/>
      <c r="F169" s="59"/>
      <c r="G169" s="59"/>
      <c r="H169" s="59"/>
      <c r="I169" s="61"/>
      <c r="AG169" s="12" t="str" cm="1">
        <f t="array" ref="AG169">IF(OR(M169:AF169="NO"),"No aceptable","Aceptable")</f>
        <v>Aceptable</v>
      </c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3" t="str" cm="1">
        <f t="array" ref="BD169">IF(OR(AK169:BC169="SI"),"Critico","No Critico")</f>
        <v>No Critico</v>
      </c>
    </row>
    <row r="170" spans="1:56" ht="15">
      <c r="A170" s="58">
        <f>Inicial!A170</f>
        <v>0</v>
      </c>
      <c r="B170" s="59"/>
      <c r="C170" s="59"/>
      <c r="D170" s="60"/>
      <c r="E170" s="58"/>
      <c r="F170" s="59"/>
      <c r="G170" s="59"/>
      <c r="H170" s="59"/>
      <c r="I170" s="61"/>
      <c r="AG170" s="12" t="str" cm="1">
        <f t="array" ref="AG170">IF(OR(M170:AF170="NO"),"No aceptable","Aceptable")</f>
        <v>Aceptable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3" t="str" cm="1">
        <f t="array" ref="BD170">IF(OR(AK170:BC170="SI"),"Critico","No Critico")</f>
        <v>No Critico</v>
      </c>
    </row>
    <row r="171" spans="1:56" ht="15">
      <c r="A171" s="58">
        <f>Inicial!A171</f>
        <v>0</v>
      </c>
      <c r="B171" s="59"/>
      <c r="C171" s="59"/>
      <c r="D171" s="60"/>
      <c r="E171" s="58"/>
      <c r="F171" s="59"/>
      <c r="G171" s="59"/>
      <c r="H171" s="59"/>
      <c r="I171" s="61"/>
      <c r="AG171" s="12" t="str" cm="1">
        <f t="array" ref="AG171">IF(OR(M171:AF171="NO"),"No aceptable","Aceptable")</f>
        <v>Aceptable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3" t="str" cm="1">
        <f t="array" ref="BD171">IF(OR(AK171:BC171="SI"),"Critico","No Critico")</f>
        <v>No Critico</v>
      </c>
    </row>
    <row r="172" spans="1:56" ht="15">
      <c r="A172" s="58">
        <f>Inicial!A172</f>
        <v>0</v>
      </c>
      <c r="AG172" s="12" t="str" cm="1">
        <f t="array" ref="AG172">IF(OR(M172:AF172="NO"),"No aceptable","Aceptable")</f>
        <v>Aceptable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3" t="str" cm="1">
        <f t="array" ref="BD172">IF(OR(AK172:BC172="SI"),"Critico","No Critico")</f>
        <v>No Critico</v>
      </c>
    </row>
    <row r="173" spans="1:56" ht="15">
      <c r="A173" s="58">
        <f>Inicial!A173</f>
        <v>0</v>
      </c>
      <c r="AG173" s="12" t="str" cm="1">
        <f t="array" ref="AG173">IF(OR(M173:AF173="NO"),"No aceptable","Aceptable")</f>
        <v>Aceptable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3" t="str" cm="1">
        <f t="array" ref="BD173">IF(OR(AK173:BC173="SI"),"Critico","No Critico")</f>
        <v>No Critico</v>
      </c>
    </row>
    <row r="174" spans="1:56" ht="15">
      <c r="A174" s="58">
        <f>Inicial!A174</f>
        <v>0</v>
      </c>
      <c r="AG174" s="12" t="str" cm="1">
        <f t="array" ref="AG174">IF(OR(M174:AF174="NO"),"No aceptable","Aceptable")</f>
        <v>Aceptable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3" t="str" cm="1">
        <f t="array" ref="BD174">IF(OR(AK174:BC174="SI"),"Critico","No Critico")</f>
        <v>No Critico</v>
      </c>
    </row>
    <row r="175" spans="1:56" ht="15">
      <c r="A175" s="58">
        <f>Inicial!A175</f>
        <v>0</v>
      </c>
      <c r="AG175" s="12" t="str" cm="1">
        <f t="array" ref="AG175">IF(OR(M175:AF175="NO"),"No aceptable","Aceptable")</f>
        <v>Aceptable</v>
      </c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3" t="str" cm="1">
        <f t="array" ref="BD175">IF(OR(AK175:BC175="SI"),"Critico","No Critico")</f>
        <v>No Critico</v>
      </c>
    </row>
    <row r="176" spans="1:56"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spans="34:55"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spans="34:55"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spans="34:55"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spans="34:55"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spans="34:55"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spans="34:55"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spans="34:55"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spans="34:55"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spans="34:55"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spans="34:55"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spans="34:55"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spans="34:55"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spans="34:55"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spans="34:55"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spans="34:55"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spans="34:55"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spans="34:55"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spans="34:55"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spans="34:55"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spans="34:55"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spans="34:55"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spans="34:55"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spans="34:55"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spans="34:55"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spans="34:55"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spans="34:55"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spans="34:55"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spans="34:55"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spans="34:55"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spans="34:55"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spans="34:55"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spans="34:55"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spans="34:55"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spans="34:55"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spans="34:55"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spans="34:55"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spans="34:55"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spans="34:55"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spans="34:55"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spans="34:55"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spans="34:55"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spans="34:55"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spans="34:55"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spans="34:55"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spans="34:55"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spans="34:55"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spans="34:55"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spans="34:55"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spans="34:55"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spans="34:55"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spans="34:55"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spans="34:55"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spans="34:55"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spans="34:55"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spans="34:55"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spans="34:55"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spans="34:55"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spans="34:55"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spans="34:55"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spans="34:55"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spans="34:55"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spans="34:55"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spans="34:55"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spans="34:55"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spans="34:55"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spans="34:55"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spans="34:55"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spans="34:55"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spans="34:55"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spans="34:55"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spans="34:55"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spans="34:55"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spans="34:55"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spans="34:55"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spans="34:55"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spans="34:55"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spans="34:55"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spans="34:55"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spans="34:55"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spans="34:55"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spans="34:55"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spans="34:55"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spans="34:55"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spans="34:55"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spans="34:55"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spans="34:55"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spans="34:55"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spans="34:55"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spans="34:55"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spans="34:55"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spans="34:55"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spans="34:55"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spans="34:55"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spans="34:55"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spans="34:55"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spans="34:55"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spans="34:55"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spans="34:55"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spans="34:55"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spans="34:55"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spans="34:55"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spans="34:55"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spans="34:55"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spans="34:55"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spans="34:55"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spans="34:55"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spans="34:55"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spans="34:55"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spans="34:55"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spans="34:55"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spans="34:55"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spans="34:55"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spans="34:55"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spans="34:55"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spans="34:55"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spans="34:55"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spans="34:55"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spans="34:55"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spans="34:55"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</sheetData>
  <mergeCells count="16">
    <mergeCell ref="AF1:AF2"/>
    <mergeCell ref="A1:E1"/>
    <mergeCell ref="BE1:BJ1"/>
    <mergeCell ref="AP1:AV1"/>
    <mergeCell ref="AW1:BA1"/>
    <mergeCell ref="BB1:BC1"/>
    <mergeCell ref="AH1:AJ1"/>
    <mergeCell ref="AK1:AN1"/>
    <mergeCell ref="U1:X1"/>
    <mergeCell ref="Z1:AB1"/>
    <mergeCell ref="F1:G1"/>
    <mergeCell ref="H1:I1"/>
    <mergeCell ref="J1:L1"/>
    <mergeCell ref="M1:P1"/>
    <mergeCell ref="Q1:T1"/>
    <mergeCell ref="AC1:AE1"/>
  </mergeCells>
  <conditionalFormatting sqref="J3:AF66">
    <cfRule type="cellIs" dxfId="48" priority="2" operator="equal">
      <formula>"N/A"</formula>
    </cfRule>
  </conditionalFormatting>
  <conditionalFormatting sqref="J3:AF1048576">
    <cfRule type="cellIs" dxfId="47" priority="9" operator="equal">
      <formula>"NO"</formula>
    </cfRule>
    <cfRule type="cellIs" dxfId="46" priority="10" operator="equal">
      <formula>"SI"</formula>
    </cfRule>
  </conditionalFormatting>
  <conditionalFormatting sqref="AG3:AG175">
    <cfRule type="cellIs" dxfId="45" priority="13" operator="equal">
      <formula>"No Aceptable"</formula>
    </cfRule>
    <cfRule type="cellIs" dxfId="44" priority="14" operator="equal">
      <formula>"Aceptable"</formula>
    </cfRule>
  </conditionalFormatting>
  <conditionalFormatting sqref="AH3:BC295">
    <cfRule type="cellIs" dxfId="43" priority="1" operator="equal">
      <formula>"N/A"</formula>
    </cfRule>
    <cfRule type="cellIs" dxfId="42" priority="7" operator="equal">
      <formula>"SI"</formula>
    </cfRule>
    <cfRule type="cellIs" dxfId="41" priority="8" operator="equal">
      <formula>"NO"</formula>
    </cfRule>
  </conditionalFormatting>
  <conditionalFormatting sqref="BD3:BD175">
    <cfRule type="cellIs" dxfId="40" priority="3" operator="equal">
      <formula>"Critico"</formula>
    </cfRule>
    <cfRule type="cellIs" dxfId="39" priority="4" operator="equal">
      <formula>"No critico"</formula>
    </cfRule>
  </conditionalFormatting>
  <dataValidations count="7">
    <dataValidation type="list" allowBlank="1" showInputMessage="1" showErrorMessage="1" sqref="Y73:AC75 J3:AF72 AH3:BC295" xr:uid="{97D30316-9369-4F76-BA67-ABAAFD1B7974}">
      <formula1>"SI,NO,N/A"</formula1>
    </dataValidation>
    <dataValidation type="list" allowBlank="1" showInputMessage="1" showErrorMessage="1" sqref="J73:P88" xr:uid="{4A39053C-3CA0-4008-B468-445D04CA0FD7}">
      <formula1>"SI,NO"</formula1>
    </dataValidation>
    <dataValidation allowBlank="1" showInputMessage="1" showErrorMessage="1" prompt="Se debe declarar si es fija o variable, si existe pago de bonos individuales o colectivos por producción, por no ausentarse al trabajo, etc." sqref="AH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K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L2:AN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D2 AG1:AG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I2:AJ2" xr:uid="{2290AC20-A7AC-4BD8-97E8-44453C94F657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5"/>
  <sheetViews>
    <sheetView workbookViewId="0">
      <pane xSplit="9" ySplit="2" topLeftCell="T55" activePane="bottomRight" state="frozen"/>
      <selection pane="topRight" activeCell="J1" sqref="J1"/>
      <selection pane="bottomLeft" activeCell="A3" sqref="A3"/>
      <selection pane="bottomRight" activeCell="A57" sqref="A57:XFD57"/>
    </sheetView>
  </sheetViews>
  <sheetFormatPr baseColWidth="10" defaultColWidth="11.5" defaultRowHeight="14.25"/>
  <cols>
    <col min="1" max="1" width="3.125" style="4" customWidth="1"/>
    <col min="2" max="2" width="11.5" style="1" customWidth="1"/>
    <col min="3" max="3" width="12.5" style="1" customWidth="1"/>
    <col min="4" max="4" width="16.625" style="1" customWidth="1"/>
    <col min="5" max="5" width="13.5" style="1" customWidth="1"/>
    <col min="6" max="6" width="11.5" style="1"/>
    <col min="9" max="9" width="11.5" customWidth="1"/>
    <col min="10" max="10" width="15.875" style="1" customWidth="1"/>
    <col min="11" max="11" width="18.375" customWidth="1"/>
    <col min="12" max="12" width="17.875" customWidth="1"/>
    <col min="13" max="13" width="15" customWidth="1"/>
    <col min="14" max="14" width="14.375" customWidth="1"/>
    <col min="15" max="16" width="18.375" customWidth="1"/>
    <col min="17" max="17" width="19.875" customWidth="1"/>
    <col min="18" max="18" width="45.375" customWidth="1"/>
    <col min="19" max="20" width="28.625" customWidth="1"/>
    <col min="21" max="21" width="19.5" customWidth="1"/>
    <col min="22" max="23" width="22" customWidth="1"/>
    <col min="24" max="24" width="30.125" customWidth="1"/>
    <col min="25" max="25" width="14.625" customWidth="1"/>
    <col min="26" max="26" width="27.125" customWidth="1"/>
    <col min="29" max="30" width="14.375" style="4" customWidth="1"/>
    <col min="31" max="31" width="11.5" style="4"/>
    <col min="32" max="32" width="20" style="4" customWidth="1"/>
    <col min="33" max="33" width="37.5" style="4" customWidth="1"/>
    <col min="34" max="34" width="33.125" style="4" customWidth="1"/>
    <col min="35" max="35" width="34.625" customWidth="1"/>
    <col min="36" max="36" width="31.625" customWidth="1"/>
    <col min="37" max="37" width="30.875" customWidth="1"/>
    <col min="38" max="38" width="36" customWidth="1"/>
    <col min="39" max="39" width="19.625" customWidth="1"/>
    <col min="40" max="40" width="13.625" customWidth="1"/>
  </cols>
  <sheetData>
    <row r="1" spans="1:46" ht="60" customHeight="1">
      <c r="A1" s="151" t="s">
        <v>447</v>
      </c>
      <c r="B1" s="138"/>
      <c r="C1" s="138"/>
      <c r="D1" s="138"/>
      <c r="E1" s="138"/>
      <c r="F1" s="138" t="s">
        <v>315</v>
      </c>
      <c r="G1" s="138"/>
      <c r="H1" s="138" t="s">
        <v>316</v>
      </c>
      <c r="I1" s="138"/>
      <c r="J1" s="155" t="s">
        <v>448</v>
      </c>
      <c r="K1" s="156"/>
      <c r="L1" s="157"/>
      <c r="M1" s="155" t="s">
        <v>449</v>
      </c>
      <c r="N1" s="156"/>
      <c r="O1" s="156"/>
      <c r="P1" s="156"/>
      <c r="Q1" s="157"/>
      <c r="R1" s="18" t="s">
        <v>450</v>
      </c>
      <c r="S1" s="18" t="s">
        <v>451</v>
      </c>
      <c r="T1" s="18" t="s">
        <v>452</v>
      </c>
      <c r="U1" s="18" t="s">
        <v>453</v>
      </c>
      <c r="V1" s="18" t="s">
        <v>454</v>
      </c>
      <c r="W1" s="10" t="s">
        <v>399</v>
      </c>
      <c r="X1" s="155" t="s">
        <v>455</v>
      </c>
      <c r="Y1" s="156"/>
      <c r="Z1" s="156"/>
      <c r="AA1" s="156" t="s">
        <v>456</v>
      </c>
      <c r="AB1" s="156"/>
      <c r="AC1" s="156"/>
      <c r="AD1" s="156"/>
      <c r="AE1" s="157"/>
      <c r="AF1" s="16" t="s">
        <v>402</v>
      </c>
      <c r="AG1" s="18" t="s">
        <v>457</v>
      </c>
      <c r="AH1" s="18" t="s">
        <v>458</v>
      </c>
      <c r="AI1" s="18" t="s">
        <v>459</v>
      </c>
      <c r="AJ1" s="18" t="s">
        <v>460</v>
      </c>
      <c r="AK1" s="18" t="s">
        <v>461</v>
      </c>
      <c r="AL1" s="18" t="s">
        <v>462</v>
      </c>
      <c r="AM1" s="18" t="s">
        <v>462</v>
      </c>
      <c r="AN1" s="17" t="s">
        <v>399</v>
      </c>
      <c r="AO1" s="152" t="s">
        <v>319</v>
      </c>
      <c r="AP1" s="153"/>
      <c r="AQ1" s="153"/>
      <c r="AR1" s="153"/>
      <c r="AS1" s="153"/>
      <c r="AT1" s="154"/>
    </row>
    <row r="2" spans="1:46" ht="88.15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13" t="s">
        <v>406</v>
      </c>
      <c r="K2" s="13" t="s">
        <v>463</v>
      </c>
      <c r="L2" s="13" t="s">
        <v>464</v>
      </c>
      <c r="M2" s="13" t="s">
        <v>465</v>
      </c>
      <c r="N2" s="13" t="s">
        <v>466</v>
      </c>
      <c r="O2" s="13" t="s">
        <v>467</v>
      </c>
      <c r="P2" s="13" t="s">
        <v>468</v>
      </c>
      <c r="Q2" s="13" t="s">
        <v>469</v>
      </c>
      <c r="R2" s="13" t="s">
        <v>470</v>
      </c>
      <c r="S2" s="13" t="s">
        <v>471</v>
      </c>
      <c r="T2" s="13" t="s">
        <v>472</v>
      </c>
      <c r="U2" s="13" t="s">
        <v>473</v>
      </c>
      <c r="V2" s="13" t="s">
        <v>474</v>
      </c>
      <c r="W2" s="10" t="s">
        <v>330</v>
      </c>
      <c r="X2" s="13" t="s">
        <v>425</v>
      </c>
      <c r="Y2" s="13" t="s">
        <v>426</v>
      </c>
      <c r="Z2" s="13" t="s">
        <v>427</v>
      </c>
      <c r="AA2" s="13" t="s">
        <v>475</v>
      </c>
      <c r="AB2" s="13" t="s">
        <v>476</v>
      </c>
      <c r="AC2" s="13" t="s">
        <v>477</v>
      </c>
      <c r="AD2" s="13" t="s">
        <v>478</v>
      </c>
      <c r="AE2" s="13" t="s">
        <v>479</v>
      </c>
      <c r="AF2" s="13" t="s">
        <v>432</v>
      </c>
      <c r="AG2" s="13" t="s">
        <v>480</v>
      </c>
      <c r="AH2" s="13" t="s">
        <v>481</v>
      </c>
      <c r="AI2" s="13" t="s">
        <v>482</v>
      </c>
      <c r="AJ2" s="13" t="s">
        <v>483</v>
      </c>
      <c r="AK2" s="13" t="s">
        <v>484</v>
      </c>
      <c r="AL2" s="13" t="s">
        <v>485</v>
      </c>
      <c r="AM2" s="13" t="s">
        <v>486</v>
      </c>
      <c r="AN2" s="13" t="s">
        <v>337</v>
      </c>
      <c r="AO2" s="13" t="s">
        <v>338</v>
      </c>
      <c r="AP2" s="13" t="s">
        <v>339</v>
      </c>
      <c r="AQ2" s="13" t="s">
        <v>340</v>
      </c>
      <c r="AR2" s="13" t="s">
        <v>341</v>
      </c>
      <c r="AS2" s="13" t="s">
        <v>342</v>
      </c>
      <c r="AT2" s="13" t="s">
        <v>343</v>
      </c>
    </row>
    <row r="3" spans="1:46" s="5" customFormat="1" ht="24.6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IF(Inicial!M3="SI",Inicial!E3,"N/A")</f>
        <v>N/A</v>
      </c>
      <c r="F3" s="59" t="str">
        <f>IF(Inicial!M3="SI",Inicial!F3,"N/A")</f>
        <v>N/A</v>
      </c>
      <c r="G3" s="59" t="str">
        <f>IF(Inicial!M3="SI",Inicial!G3,"N/A")</f>
        <v>N/A</v>
      </c>
      <c r="H3" s="59" t="str">
        <f>IF(Inicial!M3="SI",Inicial!H3,"N/A")</f>
        <v>N/A</v>
      </c>
      <c r="I3" s="61" t="str">
        <f>IF(Inicial!M3="SI",Inicial!I3,"N/A")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 t="str" cm="1">
        <f t="array" ref="W3">IF(OR(M3:V3="NO"),"No aceptable","Aceptable")</f>
        <v>Aceptable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4.6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IF(Inicial!M4="SI",Inicial!E4,"N/A")</f>
        <v>N/A</v>
      </c>
      <c r="F4" s="59" t="str">
        <f>IF(Inicial!M4="SI",Inicial!F4,"N/A")</f>
        <v>N/A</v>
      </c>
      <c r="G4" s="59" t="str">
        <f>IF(Inicial!M4="SI",Inicial!G4,"N/A")</f>
        <v>N/A</v>
      </c>
      <c r="H4" s="59" t="str">
        <f>IF(Inicial!M4="SI",Inicial!H4,"N/A")</f>
        <v>N/A</v>
      </c>
      <c r="I4" s="61" t="str">
        <f>IF(Inicial!M4="SI",Inicial!I4,"N/A")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 t="str" cm="1">
        <f t="array" ref="W4">IF(OR(M4:V4="NO"),"No aceptable","Aceptable")</f>
        <v>Aceptable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4.6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IF(Inicial!M5="SI",Inicial!E5,"N/A")</f>
        <v>N/A</v>
      </c>
      <c r="F5" s="59" t="str">
        <f>IF(Inicial!M5="SI",Inicial!F5,"N/A")</f>
        <v>N/A</v>
      </c>
      <c r="G5" s="59" t="str">
        <f>IF(Inicial!M5="SI",Inicial!G5,"N/A")</f>
        <v>N/A</v>
      </c>
      <c r="H5" s="59" t="str">
        <f>IF(Inicial!M5="SI",Inicial!H5,"N/A")</f>
        <v>N/A</v>
      </c>
      <c r="I5" s="61" t="str">
        <f>IF(Inicial!M5="SI",Inicial!I5,"N/A")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 t="str" cm="1">
        <f t="array" ref="W5">IF(OR(M5:V5="NO"),"No aceptable","Aceptable")</f>
        <v>Aceptable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4.6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IF(Inicial!M6="SI",Inicial!E6,"N/A")</f>
        <v>N/A</v>
      </c>
      <c r="F6" s="59" t="str">
        <f>IF(Inicial!M6="SI",Inicial!F6,"N/A")</f>
        <v>N/A</v>
      </c>
      <c r="G6" s="59" t="str">
        <f>IF(Inicial!M6="SI",Inicial!G6,"N/A")</f>
        <v>N/A</v>
      </c>
      <c r="H6" s="59" t="str">
        <f>IF(Inicial!M6="SI",Inicial!H6,"N/A")</f>
        <v>N/A</v>
      </c>
      <c r="I6" s="61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24.6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IF(Inicial!M7="SI",Inicial!E7,"N/A")</f>
        <v>N/A</v>
      </c>
      <c r="F7" s="59" t="str">
        <f>IF(Inicial!M7="SI",Inicial!F7,"N/A")</f>
        <v>N/A</v>
      </c>
      <c r="G7" s="59" t="str">
        <f>IF(Inicial!M7="SI",Inicial!G7,"N/A")</f>
        <v>N/A</v>
      </c>
      <c r="H7" s="59" t="str">
        <f>IF(Inicial!M7="SI",Inicial!H7,"N/A")</f>
        <v>N/A</v>
      </c>
      <c r="I7" s="61" t="str">
        <f>IF(Inicial!M7="SI",Inicial!I7,"N/A")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24.6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IF(Inicial!M8="SI",Inicial!E8,"N/A")</f>
        <v>N/A</v>
      </c>
      <c r="F8" s="59" t="str">
        <f>IF(Inicial!M8="SI",Inicial!F8,"N/A")</f>
        <v>N/A</v>
      </c>
      <c r="G8" s="59" t="str">
        <f>IF(Inicial!M8="SI",Inicial!G8,"N/A")</f>
        <v>N/A</v>
      </c>
      <c r="H8" s="59" t="str">
        <f>IF(Inicial!M8="SI",Inicial!H8,"N/A")</f>
        <v>N/A</v>
      </c>
      <c r="I8" s="61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 ht="24.6" customHeight="1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IF(Inicial!M9="SI",Inicial!E9,"N/A")</f>
        <v>N/A</v>
      </c>
      <c r="F9" s="59" t="str">
        <f>IF(Inicial!M9="SI",Inicial!F9,"N/A")</f>
        <v>N/A</v>
      </c>
      <c r="G9" s="59" t="str">
        <f>IF(Inicial!M9="SI",Inicial!G9,"N/A")</f>
        <v>N/A</v>
      </c>
      <c r="H9" s="59" t="str">
        <f>IF(Inicial!M9="SI",Inicial!H9,"N/A")</f>
        <v>N/A</v>
      </c>
      <c r="I9" s="61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 ht="24.6" customHeight="1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IF(Inicial!M10="SI",Inicial!E10,"N/A")</f>
        <v>N/A</v>
      </c>
      <c r="F10" s="59" t="str">
        <f>IF(Inicial!M10="SI",Inicial!F10,"N/A")</f>
        <v>N/A</v>
      </c>
      <c r="G10" s="59" t="str">
        <f>IF(Inicial!M10="SI",Inicial!G10,"N/A")</f>
        <v>N/A</v>
      </c>
      <c r="H10" s="59" t="str">
        <f>IF(Inicial!M10="SI",Inicial!H10,"N/A")</f>
        <v>N/A</v>
      </c>
      <c r="I10" s="61" t="str">
        <f>IF(Inicial!M10="SI",Inicial!I10,"N/A")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 t="str" cm="1">
        <f t="array" ref="W10">IF(OR(M10:V10="NO"),"No aceptable","Aceptable")</f>
        <v>Aceptable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 t="str" cm="1">
        <f t="array" ref="AN10">IF(OR(AA10:AM10="SI"),"Critico","No Critico")</f>
        <v>No Critico</v>
      </c>
    </row>
    <row r="11" spans="1:46" ht="24.6" customHeight="1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IF(Inicial!M11="SI",Inicial!E11,"N/A")</f>
        <v>N/A</v>
      </c>
      <c r="F11" s="59" t="str">
        <f>IF(Inicial!M11="SI",Inicial!F11,"N/A")</f>
        <v>N/A</v>
      </c>
      <c r="G11" s="59" t="str">
        <f>IF(Inicial!M11="SI",Inicial!G11,"N/A")</f>
        <v>N/A</v>
      </c>
      <c r="H11" s="59" t="str">
        <f>IF(Inicial!M11="SI",Inicial!H11,"N/A")</f>
        <v>N/A</v>
      </c>
      <c r="I11" s="61" t="str">
        <f>IF(Inicial!M11="SI",Inicial!I11,"N/A")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 ht="24.6" customHeight="1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IF(Inicial!M12="SI",Inicial!E12,"N/A")</f>
        <v>N/A</v>
      </c>
      <c r="F12" s="59" t="str">
        <f>IF(Inicial!M12="SI",Inicial!F12,"N/A")</f>
        <v>N/A</v>
      </c>
      <c r="G12" s="59" t="str">
        <f>IF(Inicial!M12="SI",Inicial!G12,"N/A")</f>
        <v>N/A</v>
      </c>
      <c r="H12" s="59" t="str">
        <f>IF(Inicial!M12="SI",Inicial!H12,"N/A")</f>
        <v>N/A</v>
      </c>
      <c r="I12" s="61" t="str">
        <f>IF(Inicial!M12="SI",Inicial!I12,"N/A")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 ht="24.6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IF(Inicial!M13="SI",Inicial!E13,"N/A")</f>
        <v>N/A</v>
      </c>
      <c r="F13" s="59" t="str">
        <f>IF(Inicial!M13="SI",Inicial!F13,"N/A")</f>
        <v>N/A</v>
      </c>
      <c r="G13" s="59" t="str">
        <f>IF(Inicial!M13="SI",Inicial!G13,"N/A")</f>
        <v>N/A</v>
      </c>
      <c r="H13" s="59" t="str">
        <f>IF(Inicial!M13="SI",Inicial!H13,"N/A")</f>
        <v>N/A</v>
      </c>
      <c r="I13" s="61" t="str">
        <f>IF(Inicial!M13="SI",Inicial!I13,"N/A")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 ht="24.6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IF(Inicial!M14="SI",Inicial!E14,"N/A")</f>
        <v>N/A</v>
      </c>
      <c r="F14" s="59" t="str">
        <f>IF(Inicial!M14="SI",Inicial!F14,"N/A")</f>
        <v>N/A</v>
      </c>
      <c r="G14" s="59" t="str">
        <f>IF(Inicial!M14="SI",Inicial!G14,"N/A")</f>
        <v>N/A</v>
      </c>
      <c r="H14" s="59" t="str">
        <f>IF(Inicial!M14="SI",Inicial!H14,"N/A")</f>
        <v>N/A</v>
      </c>
      <c r="I14" s="61" t="str">
        <f>IF(Inicial!M14="SI",Inicial!I14,"N/A")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 ht="24.6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IF(Inicial!M15="SI",Inicial!E15,"N/A")</f>
        <v>N/A</v>
      </c>
      <c r="F15" s="59" t="str">
        <f>IF(Inicial!M15="SI",Inicial!F15,"N/A")</f>
        <v>N/A</v>
      </c>
      <c r="G15" s="59" t="str">
        <f>IF(Inicial!M15="SI",Inicial!G15,"N/A")</f>
        <v>N/A</v>
      </c>
      <c r="H15" s="59" t="str">
        <f>IF(Inicial!M15="SI",Inicial!H15,"N/A")</f>
        <v>N/A</v>
      </c>
      <c r="I15" s="61" t="str">
        <f>IF(Inicial!M15="SI",Inicial!I15,"N/A")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 t="str" cm="1">
        <f t="array" ref="W15">IF(OR(M15:V15="NO"),"No aceptable","Aceptable")</f>
        <v>Aceptable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3" t="str" cm="1">
        <f t="array" ref="AN15">IF(OR(AA15:AM15="SI"),"Critico","No Critico")</f>
        <v>No Critico</v>
      </c>
    </row>
    <row r="16" spans="1:46" ht="24.6" customHeight="1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IF(Inicial!M16="SI",Inicial!E16,"N/A")</f>
        <v>N/A</v>
      </c>
      <c r="F16" s="59" t="str">
        <f>IF(Inicial!M16="SI",Inicial!F16,"N/A")</f>
        <v>N/A</v>
      </c>
      <c r="G16" s="59" t="str">
        <f>IF(Inicial!M16="SI",Inicial!G16,"N/A")</f>
        <v>N/A</v>
      </c>
      <c r="H16" s="59" t="str">
        <f>IF(Inicial!M16="SI",Inicial!H16,"N/A")</f>
        <v>N/A</v>
      </c>
      <c r="I16" s="61" t="str">
        <f>IF(Inicial!M16="SI",Inicial!I16,"N/A")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 ht="24.6" customHeight="1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IF(Inicial!M17="SI",Inicial!E17,"N/A")</f>
        <v>N/A</v>
      </c>
      <c r="F17" s="59" t="str">
        <f>IF(Inicial!M17="SI",Inicial!F17,"N/A")</f>
        <v>N/A</v>
      </c>
      <c r="G17" s="59" t="str">
        <f>IF(Inicial!M17="SI",Inicial!G17,"N/A")</f>
        <v>N/A</v>
      </c>
      <c r="H17" s="59" t="str">
        <f>IF(Inicial!M17="SI",Inicial!H17,"N/A")</f>
        <v>N/A</v>
      </c>
      <c r="I17" s="61" t="str">
        <f>IF(Inicial!M17="SI",Inicial!I17,"N/A")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 ht="24.6" customHeight="1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IF(Inicial!M18="SI",Inicial!E18,"N/A")</f>
        <v>N/A</v>
      </c>
      <c r="F18" s="59" t="str">
        <f>IF(Inicial!M18="SI",Inicial!F18,"N/A")</f>
        <v>N/A</v>
      </c>
      <c r="G18" s="59" t="str">
        <f>IF(Inicial!M18="SI",Inicial!G18,"N/A")</f>
        <v>N/A</v>
      </c>
      <c r="H18" s="59" t="str">
        <f>IF(Inicial!M18="SI",Inicial!H18,"N/A")</f>
        <v>N/A</v>
      </c>
      <c r="I18" s="61" t="str">
        <f>IF(Inicial!M18="SI",Inicial!I18,"N/A")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 ht="24.6" customHeight="1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IF(Inicial!M19="SI",Inicial!E19,"N/A")</f>
        <v>N/A</v>
      </c>
      <c r="F19" s="59" t="str">
        <f>IF(Inicial!M19="SI",Inicial!F19,"N/A")</f>
        <v>N/A</v>
      </c>
      <c r="G19" s="59" t="str">
        <f>IF(Inicial!M19="SI",Inicial!G19,"N/A")</f>
        <v>N/A</v>
      </c>
      <c r="H19" s="59" t="str">
        <f>IF(Inicial!M19="SI",Inicial!H19,"N/A")</f>
        <v>N/A</v>
      </c>
      <c r="I19" s="61" t="str">
        <f>IF(Inicial!M19="SI",Inicial!I19,"N/A")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 ht="24.6" customHeight="1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IF(Inicial!M20="SI",Inicial!E20,"N/A")</f>
        <v>N/A</v>
      </c>
      <c r="F20" s="59" t="str">
        <f>IF(Inicial!M20="SI",Inicial!F20,"N/A")</f>
        <v>N/A</v>
      </c>
      <c r="G20" s="59" t="str">
        <f>IF(Inicial!M20="SI",Inicial!G20,"N/A")</f>
        <v>N/A</v>
      </c>
      <c r="H20" s="59" t="str">
        <f>IF(Inicial!M20="SI",Inicial!H20,"N/A")</f>
        <v>N/A</v>
      </c>
      <c r="I20" s="61" t="str">
        <f>IF(Inicial!M20="SI",Inicial!I20,"N/A")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 ht="24.6" customHeight="1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IF(Inicial!M21="SI",Inicial!E21,"N/A")</f>
        <v>N/A</v>
      </c>
      <c r="F21" s="59" t="str">
        <f>IF(Inicial!M21="SI",Inicial!F21,"N/A")</f>
        <v>N/A</v>
      </c>
      <c r="G21" s="59" t="str">
        <f>IF(Inicial!M21="SI",Inicial!G21,"N/A")</f>
        <v>N/A</v>
      </c>
      <c r="H21" s="59" t="str">
        <f>IF(Inicial!M21="SI",Inicial!H21,"N/A")</f>
        <v>N/A</v>
      </c>
      <c r="I21" s="61" t="str">
        <f>IF(Inicial!M21="SI",Inicial!I21,"N/A")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 ht="24.6" customHeight="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IF(Inicial!M22="SI",Inicial!E22,"N/A")</f>
        <v>N/A</v>
      </c>
      <c r="F22" s="59" t="str">
        <f>IF(Inicial!M22="SI",Inicial!F22,"N/A")</f>
        <v>N/A</v>
      </c>
      <c r="G22" s="59" t="str">
        <f>IF(Inicial!M22="SI",Inicial!G22,"N/A")</f>
        <v>N/A</v>
      </c>
      <c r="H22" s="59" t="str">
        <f>IF(Inicial!M22="SI",Inicial!H22,"N/A")</f>
        <v>N/A</v>
      </c>
      <c r="I22" s="61" t="str">
        <f>IF(Inicial!M22="SI",Inicial!I22,"N/A")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 ht="24.6" customHeight="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IF(Inicial!M23="SI",Inicial!E23,"N/A")</f>
        <v>N/A</v>
      </c>
      <c r="F23" s="59" t="str">
        <f>IF(Inicial!M23="SI",Inicial!F23,"N/A")</f>
        <v>N/A</v>
      </c>
      <c r="G23" s="59" t="str">
        <f>IF(Inicial!M23="SI",Inicial!G23,"N/A")</f>
        <v>N/A</v>
      </c>
      <c r="H23" s="59" t="str">
        <f>IF(Inicial!M23="SI",Inicial!H23,"N/A")</f>
        <v>N/A</v>
      </c>
      <c r="I23" s="61" t="str">
        <f>IF(Inicial!M23="SI",Inicial!I23,"N/A")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 ht="24.6" customHeight="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IF(Inicial!M24="SI",Inicial!E24,"N/A")</f>
        <v>N/A</v>
      </c>
      <c r="F24" s="59" t="str">
        <f>IF(Inicial!M24="SI",Inicial!F24,"N/A")</f>
        <v>N/A</v>
      </c>
      <c r="G24" s="59" t="str">
        <f>IF(Inicial!M24="SI",Inicial!G24,"N/A")</f>
        <v>N/A</v>
      </c>
      <c r="H24" s="59" t="str">
        <f>IF(Inicial!M24="SI",Inicial!H24,"N/A")</f>
        <v>N/A</v>
      </c>
      <c r="I24" s="61" t="str">
        <f>IF(Inicial!M24="SI",Inicial!I24,"N/A")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 ht="24.6" customHeight="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IF(Inicial!M25="SI",Inicial!E25,"N/A")</f>
        <v>N/A</v>
      </c>
      <c r="F25" s="59" t="str">
        <f>IF(Inicial!M25="SI",Inicial!F25,"N/A")</f>
        <v>N/A</v>
      </c>
      <c r="G25" s="59" t="str">
        <f>IF(Inicial!M25="SI",Inicial!G25,"N/A")</f>
        <v>N/A</v>
      </c>
      <c r="H25" s="59" t="str">
        <f>IF(Inicial!M25="SI",Inicial!H25,"N/A")</f>
        <v>N/A</v>
      </c>
      <c r="I25" s="61" t="str">
        <f>IF(Inicial!M25="SI",Inicial!I25,"N/A")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 ht="24.6" customHeight="1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IF(Inicial!M26="SI",Inicial!E26,"N/A")</f>
        <v>N/A</v>
      </c>
      <c r="F26" s="59" t="str">
        <f>IF(Inicial!M26="SI",Inicial!F26,"N/A")</f>
        <v>N/A</v>
      </c>
      <c r="G26" s="59" t="str">
        <f>IF(Inicial!M26="SI",Inicial!G26,"N/A")</f>
        <v>N/A</v>
      </c>
      <c r="H26" s="59" t="str">
        <f>IF(Inicial!M26="SI",Inicial!H26,"N/A")</f>
        <v>N/A</v>
      </c>
      <c r="I26" s="61" t="str">
        <f>IF(Inicial!M26="SI",Inicial!I26,"N/A")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 ht="24.6" customHeight="1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IF(Inicial!M27="SI",Inicial!E27,"N/A")</f>
        <v>N/A</v>
      </c>
      <c r="F27" s="59" t="str">
        <f>IF(Inicial!M27="SI",Inicial!F27,"N/A")</f>
        <v>N/A</v>
      </c>
      <c r="G27" s="59" t="str">
        <f>IF(Inicial!M27="SI",Inicial!G27,"N/A")</f>
        <v>N/A</v>
      </c>
      <c r="H27" s="59" t="str">
        <f>IF(Inicial!M27="SI",Inicial!H27,"N/A")</f>
        <v>N/A</v>
      </c>
      <c r="I27" s="61" t="str">
        <f>IF(Inicial!M27="SI",Inicial!I27,"N/A")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 ht="24.6" customHeight="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IF(Inicial!M28="SI",Inicial!E28,"N/A")</f>
        <v>N/A</v>
      </c>
      <c r="F28" s="59" t="str">
        <f>IF(Inicial!M28="SI",Inicial!F28,"N/A")</f>
        <v>N/A</v>
      </c>
      <c r="G28" s="59" t="str">
        <f>IF(Inicial!M28="SI",Inicial!G28,"N/A")</f>
        <v>N/A</v>
      </c>
      <c r="H28" s="59" t="str">
        <f>IF(Inicial!M28="SI",Inicial!H28,"N/A")</f>
        <v>N/A</v>
      </c>
      <c r="I28" s="61" t="str">
        <f>IF(Inicial!M28="SI",Inicial!I28,"N/A")</f>
        <v>N/A</v>
      </c>
      <c r="J28" s="11" t="s">
        <v>65</v>
      </c>
      <c r="K28" s="11" t="s">
        <v>65</v>
      </c>
      <c r="L28" s="11" t="s">
        <v>65</v>
      </c>
      <c r="M28" s="11" t="s">
        <v>65</v>
      </c>
      <c r="N28" s="11" t="s">
        <v>65</v>
      </c>
      <c r="O28" s="11" t="s">
        <v>65</v>
      </c>
      <c r="P28" s="11" t="s">
        <v>65</v>
      </c>
      <c r="Q28" s="11" t="s">
        <v>65</v>
      </c>
      <c r="R28" s="11" t="s">
        <v>65</v>
      </c>
      <c r="S28" s="11" t="s">
        <v>65</v>
      </c>
      <c r="T28" s="11" t="s">
        <v>65</v>
      </c>
      <c r="U28" s="11" t="s">
        <v>87</v>
      </c>
      <c r="V28" s="11" t="s">
        <v>65</v>
      </c>
      <c r="W28" s="12" t="str" cm="1">
        <f t="array" ref="W28">IF(OR(M28:V28="NO"),"No aceptable","Aceptable")</f>
        <v>No aceptable</v>
      </c>
      <c r="X28" s="11" t="s">
        <v>87</v>
      </c>
      <c r="Y28" s="11" t="s">
        <v>87</v>
      </c>
      <c r="Z28" s="11" t="s">
        <v>87</v>
      </c>
      <c r="AA28" s="11" t="s">
        <v>87</v>
      </c>
      <c r="AB28" s="11" t="s">
        <v>87</v>
      </c>
      <c r="AC28" s="11" t="s">
        <v>87</v>
      </c>
      <c r="AD28" s="11" t="s">
        <v>87</v>
      </c>
      <c r="AE28" s="11" t="s">
        <v>87</v>
      </c>
      <c r="AF28" s="11" t="s">
        <v>87</v>
      </c>
      <c r="AG28" s="11" t="s">
        <v>87</v>
      </c>
      <c r="AH28" s="11" t="s">
        <v>87</v>
      </c>
      <c r="AI28" s="11" t="s">
        <v>87</v>
      </c>
      <c r="AJ28" s="11" t="s">
        <v>87</v>
      </c>
      <c r="AK28" s="11" t="s">
        <v>87</v>
      </c>
      <c r="AL28" s="11" t="s">
        <v>87</v>
      </c>
      <c r="AM28" s="11" t="s">
        <v>87</v>
      </c>
      <c r="AN28" s="3" t="str" cm="1">
        <f t="array" ref="AN28">IF(OR(AA28:AM28="SI"),"Critico","No Critico")</f>
        <v>No Critico</v>
      </c>
    </row>
    <row r="29" spans="1:40" ht="24.6" customHeight="1">
      <c r="A29" s="58">
        <f>Inicial!A29</f>
        <v>27</v>
      </c>
      <c r="B29" s="59" t="str">
        <f>Inicial!B29</f>
        <v>Faenación</v>
      </c>
      <c r="C29" s="59" t="str">
        <f>Inicial!C29</f>
        <v>Eviscerado</v>
      </c>
      <c r="D29" s="60" t="str">
        <f>Inicial!D29</f>
        <v>Auroceculitis</v>
      </c>
      <c r="E29" s="58" t="str">
        <f>IF(Inicial!M29="SI",Inicial!E29,"N/A")</f>
        <v>N/A</v>
      </c>
      <c r="F29" s="59" t="str">
        <f>IF(Inicial!M29="SI",Inicial!F29,"N/A")</f>
        <v>N/A</v>
      </c>
      <c r="G29" s="59" t="str">
        <f>IF(Inicial!M29="SI",Inicial!G29,"N/A")</f>
        <v>N/A</v>
      </c>
      <c r="H29" s="59" t="str">
        <f>IF(Inicial!M29="SI",Inicial!H29,"N/A")</f>
        <v>N/A</v>
      </c>
      <c r="I29" s="61" t="str">
        <f>IF(Inicial!M29="SI",Inicial!I29,"N/A")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 ht="24.6" customHeight="1">
      <c r="A30" s="58">
        <f>Inicial!A30</f>
        <v>28</v>
      </c>
      <c r="B30" s="59" t="str">
        <f>Inicial!B30</f>
        <v>Faenación</v>
      </c>
      <c r="C30" s="59" t="str">
        <f>Inicial!C30</f>
        <v>Eviscerado</v>
      </c>
      <c r="D30" s="60" t="str">
        <f>Inicial!D30</f>
        <v xml:space="preserve">Jefe de línea </v>
      </c>
      <c r="E30" s="58" t="str">
        <f>IF(Inicial!M30="SI",Inicial!E30,"N/A")</f>
        <v>N/A</v>
      </c>
      <c r="F30" s="59" t="str">
        <f>IF(Inicial!M30="SI",Inicial!F30,"N/A")</f>
        <v>N/A</v>
      </c>
      <c r="G30" s="59" t="str">
        <f>IF(Inicial!M30="SI",Inicial!G30,"N/A")</f>
        <v>N/A</v>
      </c>
      <c r="H30" s="59" t="str">
        <f>IF(Inicial!M30="SI",Inicial!H30,"N/A")</f>
        <v>N/A</v>
      </c>
      <c r="I30" s="61" t="str">
        <f>IF(Inicial!M30="SI",Inicial!I30,"N/A")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 ht="24.6" customHeight="1">
      <c r="A31" s="58">
        <f>Inicial!A31</f>
        <v>29</v>
      </c>
      <c r="B31" s="59" t="str">
        <f>Inicial!B31</f>
        <v>Faenación</v>
      </c>
      <c r="C31" s="59" t="str">
        <f>Inicial!C31</f>
        <v>Eviscerado</v>
      </c>
      <c r="D31" s="60" t="str">
        <f>Inicial!D31</f>
        <v>Supervisor</v>
      </c>
      <c r="E31" s="58" t="str">
        <f>IF(Inicial!M31="SI",Inicial!E31,"N/A")</f>
        <v>N/A</v>
      </c>
      <c r="F31" s="59" t="str">
        <f>IF(Inicial!M31="SI",Inicial!F31,"N/A")</f>
        <v>N/A</v>
      </c>
      <c r="G31" s="59" t="str">
        <f>IF(Inicial!M31="SI",Inicial!G31,"N/A")</f>
        <v>N/A</v>
      </c>
      <c r="H31" s="59" t="str">
        <f>IF(Inicial!M31="SI",Inicial!H31,"N/A")</f>
        <v>N/A</v>
      </c>
      <c r="I31" s="61" t="str">
        <f>IF(Inicial!M31="SI",Inicial!I31,"N/A")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 ht="24.6" customHeight="1">
      <c r="A32" s="58">
        <f>Inicial!A32</f>
        <v>30</v>
      </c>
      <c r="B32" s="59" t="str">
        <f>Inicial!B32</f>
        <v>Faenación</v>
      </c>
      <c r="C32" s="59" t="str">
        <f>Inicial!C32</f>
        <v>Garras</v>
      </c>
      <c r="D32" s="60" t="str">
        <f>Inicial!D32</f>
        <v>Cinta Decomiso</v>
      </c>
      <c r="E32" s="58" t="str">
        <f>IF(Inicial!M32="SI",Inicial!E32,"N/A")</f>
        <v>N/A</v>
      </c>
      <c r="F32" s="59" t="str">
        <f>IF(Inicial!M32="SI",Inicial!F32,"N/A")</f>
        <v>N/A</v>
      </c>
      <c r="G32" s="59" t="str">
        <f>IF(Inicial!M32="SI",Inicial!G32,"N/A")</f>
        <v>N/A</v>
      </c>
      <c r="H32" s="59" t="str">
        <f>IF(Inicial!M32="SI",Inicial!H32,"N/A")</f>
        <v>N/A</v>
      </c>
      <c r="I32" s="61" t="str">
        <f>IF(Inicial!M32="SI",Inicial!I32,"N/A")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 ht="24.6" customHeight="1">
      <c r="A33" s="58">
        <f>Inicial!A33</f>
        <v>31</v>
      </c>
      <c r="B33" s="59" t="str">
        <f>Inicial!B33</f>
        <v>Faenación</v>
      </c>
      <c r="C33" s="59" t="str">
        <f>Inicial!C33</f>
        <v>Garras</v>
      </c>
      <c r="D33" s="60" t="str">
        <f>Inicial!D33</f>
        <v>Embolsado Tolva/Seleccionador de Garras en Tolva</v>
      </c>
      <c r="E33" s="58" t="str">
        <f>IF(Inicial!M33="SI",Inicial!E33,"N/A")</f>
        <v>N/A</v>
      </c>
      <c r="F33" s="59" t="str">
        <f>IF(Inicial!M33="SI",Inicial!F33,"N/A")</f>
        <v>N/A</v>
      </c>
      <c r="G33" s="59" t="str">
        <f>IF(Inicial!M33="SI",Inicial!G33,"N/A")</f>
        <v>N/A</v>
      </c>
      <c r="H33" s="59" t="str">
        <f>IF(Inicial!M33="SI",Inicial!H33,"N/A")</f>
        <v>N/A</v>
      </c>
      <c r="I33" s="61" t="str">
        <f>IF(Inicial!M33="SI",Inicial!I33,"N/A")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 ht="24.6" customHeight="1">
      <c r="A34" s="58">
        <f>Inicial!A34</f>
        <v>32</v>
      </c>
      <c r="B34" s="59" t="str">
        <f>Inicial!B34</f>
        <v>Faenación</v>
      </c>
      <c r="C34" s="59" t="str">
        <f>Inicial!C34</f>
        <v>Garras</v>
      </c>
      <c r="D34" s="60" t="str">
        <f>Inicial!D34</f>
        <v>Pesador de garras</v>
      </c>
      <c r="E34" s="58" t="str">
        <f>IF(Inicial!M34="SI",Inicial!E34,"N/A")</f>
        <v>N/A</v>
      </c>
      <c r="F34" s="59" t="str">
        <f>IF(Inicial!M34="SI",Inicial!F34,"N/A")</f>
        <v>N/A</v>
      </c>
      <c r="G34" s="59" t="str">
        <f>IF(Inicial!M34="SI",Inicial!G34,"N/A")</f>
        <v>N/A</v>
      </c>
      <c r="H34" s="59" t="str">
        <f>IF(Inicial!M34="SI",Inicial!H34,"N/A")</f>
        <v>N/A</v>
      </c>
      <c r="I34" s="61" t="str">
        <f>IF(Inicial!M34="SI",Inicial!I34,"N/A")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 ht="24.6" customHeight="1">
      <c r="A35" s="58">
        <f>Inicial!A35</f>
        <v>33</v>
      </c>
      <c r="B35" s="59" t="str">
        <f>Inicial!B35</f>
        <v>Faenación</v>
      </c>
      <c r="C35" s="59" t="str">
        <f>Inicial!C35</f>
        <v>Garras</v>
      </c>
      <c r="D35" s="60" t="str">
        <f>Inicial!D35</f>
        <v>Repaso de callos</v>
      </c>
      <c r="E35" s="58" t="str">
        <f>IF(Inicial!M35="SI",Inicial!E35,"N/A")</f>
        <v>N/A</v>
      </c>
      <c r="F35" s="59" t="str">
        <f>IF(Inicial!M35="SI",Inicial!F35,"N/A")</f>
        <v>N/A</v>
      </c>
      <c r="G35" s="59" t="str">
        <f>IF(Inicial!M35="SI",Inicial!G35,"N/A")</f>
        <v>N/A</v>
      </c>
      <c r="H35" s="59" t="str">
        <f>IF(Inicial!M35="SI",Inicial!H35,"N/A")</f>
        <v>N/A</v>
      </c>
      <c r="I35" s="61" t="str">
        <f>IF(Inicial!M35="SI",Inicial!I35,"N/A")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 ht="24.6" customHeight="1">
      <c r="A36" s="58">
        <f>Inicial!A36</f>
        <v>34</v>
      </c>
      <c r="B36" s="59" t="str">
        <f>Inicial!B36</f>
        <v>Faenación</v>
      </c>
      <c r="C36" s="59" t="str">
        <f>Inicial!C36</f>
        <v>Garras</v>
      </c>
      <c r="D36" s="60" t="str">
        <f>Inicial!D36</f>
        <v>Traslado de Garra Larga</v>
      </c>
      <c r="E36" s="58" t="str">
        <f>IF(Inicial!M36="SI",Inicial!E36,"N/A")</f>
        <v>N/A</v>
      </c>
      <c r="F36" s="59" t="str">
        <f>IF(Inicial!M36="SI",Inicial!F36,"N/A")</f>
        <v>N/A</v>
      </c>
      <c r="G36" s="59" t="str">
        <f>IF(Inicial!M36="SI",Inicial!G36,"N/A")</f>
        <v>N/A</v>
      </c>
      <c r="H36" s="59" t="str">
        <f>IF(Inicial!M36="SI",Inicial!H36,"N/A")</f>
        <v>N/A</v>
      </c>
      <c r="I36" s="61" t="str">
        <f>IF(Inicial!M36="SI",Inicial!I36,"N/A")</f>
        <v>N/A</v>
      </c>
      <c r="J36" s="11" t="s">
        <v>87</v>
      </c>
      <c r="K36" s="11" t="s">
        <v>65</v>
      </c>
      <c r="L36" s="11" t="s">
        <v>65</v>
      </c>
      <c r="M36" s="11" t="s">
        <v>60</v>
      </c>
      <c r="N36" s="11" t="s">
        <v>65</v>
      </c>
      <c r="O36" s="11" t="s">
        <v>60</v>
      </c>
      <c r="P36" s="11" t="s">
        <v>60</v>
      </c>
      <c r="Q36" s="11" t="s">
        <v>60</v>
      </c>
      <c r="R36" s="11" t="s">
        <v>65</v>
      </c>
      <c r="S36" s="11" t="s">
        <v>65</v>
      </c>
      <c r="T36" s="11" t="s">
        <v>65</v>
      </c>
      <c r="U36" s="11" t="s">
        <v>65</v>
      </c>
      <c r="V36" s="11" t="s">
        <v>65</v>
      </c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 ht="24.6" customHeight="1">
      <c r="A37" s="58">
        <f>Inicial!A37</f>
        <v>35</v>
      </c>
      <c r="B37" s="59" t="str">
        <f>Inicial!B37</f>
        <v>Faenación</v>
      </c>
      <c r="C37" s="59" t="str">
        <f>Inicial!C37</f>
        <v>Garras</v>
      </c>
      <c r="D37" s="60" t="str">
        <f>Inicial!D37</f>
        <v>Seleccionador de garra</v>
      </c>
      <c r="E37" s="58" t="str">
        <f>IF(Inicial!M37="SI",Inicial!E37,"N/A")</f>
        <v>N/A</v>
      </c>
      <c r="F37" s="59" t="str">
        <f>IF(Inicial!M37="SI",Inicial!F37,"N/A")</f>
        <v>N/A</v>
      </c>
      <c r="G37" s="59" t="str">
        <f>IF(Inicial!M37="SI",Inicial!G37,"N/A")</f>
        <v>N/A</v>
      </c>
      <c r="H37" s="59" t="str">
        <f>IF(Inicial!M37="SI",Inicial!H37,"N/A")</f>
        <v>N/A</v>
      </c>
      <c r="I37" s="61" t="str">
        <f>IF(Inicial!M37="SI",Inicial!I37,"N/A")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 ht="24.6" customHeight="1">
      <c r="A38" s="58">
        <f>Inicial!A38</f>
        <v>36</v>
      </c>
      <c r="B38" s="59" t="str">
        <f>Inicial!B38</f>
        <v>Faenación</v>
      </c>
      <c r="C38" s="59" t="str">
        <f>Inicial!C38</f>
        <v>Garras</v>
      </c>
      <c r="D38" s="60" t="str">
        <f>Inicial!D38</f>
        <v>Embalando garras</v>
      </c>
      <c r="E38" s="58" t="str">
        <f>IF(Inicial!M38="SI",Inicial!E38,"N/A")</f>
        <v>N/A</v>
      </c>
      <c r="F38" s="59" t="str">
        <f>IF(Inicial!M38="SI",Inicial!F38,"N/A")</f>
        <v>N/A</v>
      </c>
      <c r="G38" s="59" t="str">
        <f>IF(Inicial!M38="SI",Inicial!G38,"N/A")</f>
        <v>N/A</v>
      </c>
      <c r="H38" s="59" t="str">
        <f>IF(Inicial!M38="SI",Inicial!H38,"N/A")</f>
        <v>N/A</v>
      </c>
      <c r="I38" s="61" t="str">
        <f>IF(Inicial!M38="SI",Inicial!I38,"N/A")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 ht="24.6" customHeight="1">
      <c r="A39" s="58">
        <f>Inicial!A39</f>
        <v>37</v>
      </c>
      <c r="B39" s="59" t="str">
        <f>Inicial!B39</f>
        <v>Faenación</v>
      </c>
      <c r="C39" s="59" t="str">
        <f>Inicial!C39</f>
        <v>Garras</v>
      </c>
      <c r="D39" s="60" t="str">
        <f>Inicial!D39</f>
        <v>Cortadora de garra larga</v>
      </c>
      <c r="E39" s="58" t="str">
        <f>IF(Inicial!M39="SI",Inicial!E39,"N/A")</f>
        <v>N/A</v>
      </c>
      <c r="F39" s="59" t="str">
        <f>IF(Inicial!M39="SI",Inicial!F39,"N/A")</f>
        <v>N/A</v>
      </c>
      <c r="G39" s="59" t="str">
        <f>IF(Inicial!M39="SI",Inicial!G39,"N/A")</f>
        <v>N/A</v>
      </c>
      <c r="H39" s="59" t="str">
        <f>IF(Inicial!M39="SI",Inicial!H39,"N/A")</f>
        <v>N/A</v>
      </c>
      <c r="I39" s="61" t="str">
        <f>IF(Inicial!M39="SI",Inicial!I39,"N/A")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 ht="24.6" customHeight="1">
      <c r="A40" s="58">
        <f>Inicial!A40</f>
        <v>38</v>
      </c>
      <c r="B40" s="59" t="str">
        <f>Inicial!B40</f>
        <v>Faenación</v>
      </c>
      <c r="C40" s="59" t="str">
        <f>Inicial!C40</f>
        <v>Garras</v>
      </c>
      <c r="D40" s="60" t="str">
        <f>Inicial!D40</f>
        <v>Etiquetado en mesa de embalaje</v>
      </c>
      <c r="E40" s="58" t="str">
        <f>IF(Inicial!M40="SI",Inicial!E40,"N/A")</f>
        <v>N/A</v>
      </c>
      <c r="F40" s="59" t="str">
        <f>IF(Inicial!M40="SI",Inicial!F40,"N/A")</f>
        <v>N/A</v>
      </c>
      <c r="G40" s="59" t="str">
        <f>IF(Inicial!M40="SI",Inicial!G40,"N/A")</f>
        <v>N/A</v>
      </c>
      <c r="H40" s="59" t="str">
        <f>IF(Inicial!M40="SI",Inicial!H40,"N/A")</f>
        <v>N/A</v>
      </c>
      <c r="I40" s="61" t="str">
        <f>IF(Inicial!M40="SI",Inicial!I40,"N/A")</f>
        <v>N/A</v>
      </c>
      <c r="J40" s="11" t="s">
        <v>87</v>
      </c>
      <c r="K40" s="11" t="s">
        <v>65</v>
      </c>
      <c r="L40" s="11" t="s">
        <v>65</v>
      </c>
      <c r="M40" s="11" t="s">
        <v>60</v>
      </c>
      <c r="N40" s="11" t="s">
        <v>65</v>
      </c>
      <c r="O40" s="11" t="s">
        <v>60</v>
      </c>
      <c r="P40" s="11" t="s">
        <v>60</v>
      </c>
      <c r="Q40" s="11" t="s">
        <v>60</v>
      </c>
      <c r="R40" s="11" t="s">
        <v>65</v>
      </c>
      <c r="S40" s="11" t="s">
        <v>65</v>
      </c>
      <c r="T40" s="11" t="s">
        <v>65</v>
      </c>
      <c r="U40" s="11" t="s">
        <v>65</v>
      </c>
      <c r="V40" s="11" t="s">
        <v>65</v>
      </c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 ht="24.6" customHeight="1">
      <c r="A41" s="58">
        <f>Inicial!A41</f>
        <v>39</v>
      </c>
      <c r="B41" s="59" t="str">
        <f>Inicial!B41</f>
        <v>Faenación</v>
      </c>
      <c r="C41" s="59" t="str">
        <f>Inicial!C41</f>
        <v>Garras</v>
      </c>
      <c r="D41" s="60" t="str">
        <f>Inicial!D41</f>
        <v>Nudillos</v>
      </c>
      <c r="E41" s="58" t="str">
        <f>IF(Inicial!M41="SI",Inicial!E41,"N/A")</f>
        <v>N/A</v>
      </c>
      <c r="F41" s="59" t="str">
        <f>IF(Inicial!M41="SI",Inicial!F41,"N/A")</f>
        <v>N/A</v>
      </c>
      <c r="G41" s="59" t="str">
        <f>IF(Inicial!M41="SI",Inicial!G41,"N/A")</f>
        <v>N/A</v>
      </c>
      <c r="H41" s="59" t="str">
        <f>IF(Inicial!M41="SI",Inicial!H41,"N/A")</f>
        <v>N/A</v>
      </c>
      <c r="I41" s="61" t="str">
        <f>IF(Inicial!M41="SI",Inicial!I41,"N/A")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 ht="24.6" customHeight="1">
      <c r="A42" s="58">
        <f>Inicial!A42</f>
        <v>40</v>
      </c>
      <c r="B42" s="59" t="str">
        <f>Inicial!B42</f>
        <v>Faenación</v>
      </c>
      <c r="C42" s="59" t="str">
        <f>Inicial!C42</f>
        <v>Garras</v>
      </c>
      <c r="D42" s="60" t="str">
        <f>Inicial!D42</f>
        <v>Pesador de nudillos</v>
      </c>
      <c r="E42" s="58" t="str">
        <f>IF(Inicial!M42="SI",Inicial!E42,"N/A")</f>
        <v>N/A</v>
      </c>
      <c r="F42" s="59" t="str">
        <f>IF(Inicial!M42="SI",Inicial!F42,"N/A")</f>
        <v>N/A</v>
      </c>
      <c r="G42" s="59" t="str">
        <f>IF(Inicial!M42="SI",Inicial!G42,"N/A")</f>
        <v>N/A</v>
      </c>
      <c r="H42" s="59" t="str">
        <f>IF(Inicial!M42="SI",Inicial!H42,"N/A")</f>
        <v>N/A</v>
      </c>
      <c r="I42" s="61" t="str">
        <f>IF(Inicial!M42="SI",Inicial!I42,"N/A")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 ht="24.6" customHeight="1">
      <c r="A43" s="58">
        <f>Inicial!A43</f>
        <v>41</v>
      </c>
      <c r="B43" s="59" t="str">
        <f>Inicial!B43</f>
        <v>Faenación</v>
      </c>
      <c r="C43" s="59" t="str">
        <f>Inicial!C43</f>
        <v>Garras</v>
      </c>
      <c r="D43" s="60" t="str">
        <f>Inicial!D43</f>
        <v>Maquinista Garras</v>
      </c>
      <c r="E43" s="58" t="str">
        <f>IF(Inicial!M43="SI",Inicial!E43,"N/A")</f>
        <v>N/A</v>
      </c>
      <c r="F43" s="59" t="str">
        <f>IF(Inicial!M43="SI",Inicial!F43,"N/A")</f>
        <v>N/A</v>
      </c>
      <c r="G43" s="59" t="str">
        <f>IF(Inicial!M43="SI",Inicial!G43,"N/A")</f>
        <v>N/A</v>
      </c>
      <c r="H43" s="59" t="str">
        <f>IF(Inicial!M43="SI",Inicial!H43,"N/A")</f>
        <v>N/A</v>
      </c>
      <c r="I43" s="61" t="str">
        <f>IF(Inicial!M43="SI",Inicial!I43,"N/A")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 ht="24.6" customHeight="1">
      <c r="A44" s="58">
        <f>Inicial!A44</f>
        <v>42</v>
      </c>
      <c r="B44" s="59" t="str">
        <f>Inicial!B44</f>
        <v>Faenación</v>
      </c>
      <c r="C44" s="59" t="str">
        <f>Inicial!C44</f>
        <v>Garras</v>
      </c>
      <c r="D44" s="60" t="str">
        <f>Inicial!D44</f>
        <v xml:space="preserve">Jefe de Línea </v>
      </c>
      <c r="E44" s="58" t="str">
        <f>IF(Inicial!M44="SI",Inicial!E44,"N/A")</f>
        <v>N/A</v>
      </c>
      <c r="F44" s="59" t="str">
        <f>IF(Inicial!M44="SI",Inicial!F44,"N/A")</f>
        <v>N/A</v>
      </c>
      <c r="G44" s="59" t="str">
        <f>IF(Inicial!M44="SI",Inicial!G44,"N/A")</f>
        <v>N/A</v>
      </c>
      <c r="H44" s="59" t="str">
        <f>IF(Inicial!M44="SI",Inicial!H44,"N/A")</f>
        <v>N/A</v>
      </c>
      <c r="I44" s="61" t="str">
        <f>IF(Inicial!M44="SI",Inicial!I44,"N/A")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 ht="24.6" customHeight="1">
      <c r="A45" s="58">
        <f>Inicial!A45</f>
        <v>43</v>
      </c>
      <c r="B45" s="59" t="str">
        <f>Inicial!B45</f>
        <v>Faenación</v>
      </c>
      <c r="C45" s="59" t="str">
        <f>Inicial!C45</f>
        <v>Empaque - Chiller</v>
      </c>
      <c r="D45" s="60" t="str">
        <f>Inicial!D45</f>
        <v>Colgador aves frias</v>
      </c>
      <c r="E45" s="58" t="str">
        <f>IF(Inicial!M45="SI",Inicial!E45,"N/A")</f>
        <v>N/A</v>
      </c>
      <c r="F45" s="59" t="str">
        <f>IF(Inicial!M45="SI",Inicial!F45,"N/A")</f>
        <v>N/A</v>
      </c>
      <c r="G45" s="59" t="str">
        <f>IF(Inicial!M45="SI",Inicial!G45,"N/A")</f>
        <v>N/A</v>
      </c>
      <c r="H45" s="59" t="str">
        <f>IF(Inicial!M45="SI",Inicial!H45,"N/A")</f>
        <v>N/A</v>
      </c>
      <c r="I45" s="61" t="str">
        <f>IF(Inicial!M45="SI",Inicial!I45,"N/A")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 ht="24.6" customHeight="1">
      <c r="A46" s="58">
        <f>Inicial!A46</f>
        <v>44</v>
      </c>
      <c r="B46" s="59" t="str">
        <f>Inicial!B46</f>
        <v>Faenación</v>
      </c>
      <c r="C46" s="59" t="str">
        <f>Inicial!C46</f>
        <v>Empaque - Chiller</v>
      </c>
      <c r="D46" s="60" t="str">
        <f>Inicial!D46</f>
        <v>Embolsador de pana</v>
      </c>
      <c r="E46" s="58" t="str">
        <f>IF(Inicial!M46="SI",Inicial!E46,"N/A")</f>
        <v>N/A</v>
      </c>
      <c r="F46" s="59" t="str">
        <f>IF(Inicial!M46="SI",Inicial!F46,"N/A")</f>
        <v>N/A</v>
      </c>
      <c r="G46" s="59" t="str">
        <f>IF(Inicial!M46="SI",Inicial!G46,"N/A")</f>
        <v>N/A</v>
      </c>
      <c r="H46" s="59" t="str">
        <f>IF(Inicial!M46="SI",Inicial!H46,"N/A")</f>
        <v>N/A</v>
      </c>
      <c r="I46" s="61" t="str">
        <f>IF(Inicial!M46="SI",Inicial!I46,"N/A")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 ht="24.6" customHeight="1">
      <c r="A47" s="58">
        <f>Inicial!A47</f>
        <v>45</v>
      </c>
      <c r="B47" s="59" t="str">
        <f>Inicial!B47</f>
        <v>Faenación</v>
      </c>
      <c r="C47" s="59" t="str">
        <f>Inicial!C47</f>
        <v>Empaque - Chiller</v>
      </c>
      <c r="D47" s="60" t="str">
        <f>Inicial!D47</f>
        <v>Embalador de producto</v>
      </c>
      <c r="E47" s="58" t="str">
        <f>IF(Inicial!M47="SI",Inicial!E47,"N/A")</f>
        <v>N/A</v>
      </c>
      <c r="F47" s="59" t="str">
        <f>IF(Inicial!M47="SI",Inicial!F47,"N/A")</f>
        <v>N/A</v>
      </c>
      <c r="G47" s="59" t="str">
        <f>IF(Inicial!M47="SI",Inicial!G47,"N/A")</f>
        <v>N/A</v>
      </c>
      <c r="H47" s="59" t="str">
        <f>IF(Inicial!M47="SI",Inicial!H47,"N/A")</f>
        <v>N/A</v>
      </c>
      <c r="I47" s="61" t="str">
        <f>IF(Inicial!M47="SI",Inicial!I47,"N/A")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 ht="24.6" customHeight="1">
      <c r="A48" s="58">
        <f>Inicial!A48</f>
        <v>46</v>
      </c>
      <c r="B48" s="59" t="str">
        <f>Inicial!B48</f>
        <v>Faenación</v>
      </c>
      <c r="C48" s="59" t="str">
        <f>Inicial!C48</f>
        <v>Empaque - Chiller</v>
      </c>
      <c r="D48" s="60" t="str">
        <f>Inicial!D48</f>
        <v>Embolsado de corazon</v>
      </c>
      <c r="E48" s="58" t="str">
        <f>IF(Inicial!M48="SI",Inicial!E48,"N/A")</f>
        <v>N/A</v>
      </c>
      <c r="F48" s="59" t="str">
        <f>IF(Inicial!M48="SI",Inicial!F48,"N/A")</f>
        <v>N/A</v>
      </c>
      <c r="G48" s="59" t="str">
        <f>IF(Inicial!M48="SI",Inicial!G48,"N/A")</f>
        <v>N/A</v>
      </c>
      <c r="H48" s="59" t="str">
        <f>IF(Inicial!M48="SI",Inicial!H48,"N/A")</f>
        <v>N/A</v>
      </c>
      <c r="I48" s="61" t="str">
        <f>IF(Inicial!M48="SI",Inicial!I48,"N/A")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 ht="24.6" customHeight="1">
      <c r="A49" s="58">
        <f>Inicial!A49</f>
        <v>47</v>
      </c>
      <c r="B49" s="59" t="str">
        <f>Inicial!B49</f>
        <v>Faenación</v>
      </c>
      <c r="C49" s="59" t="str">
        <f>Inicial!C49</f>
        <v>Empaque - Chiller</v>
      </c>
      <c r="D49" s="60" t="str">
        <f>Inicial!D49</f>
        <v>Pesador de corazon</v>
      </c>
      <c r="E49" s="58" t="str">
        <f>IF(Inicial!M49="SI",Inicial!E49,"N/A")</f>
        <v>N/A</v>
      </c>
      <c r="F49" s="59" t="str">
        <f>IF(Inicial!M49="SI",Inicial!F49,"N/A")</f>
        <v>N/A</v>
      </c>
      <c r="G49" s="59" t="str">
        <f>IF(Inicial!M49="SI",Inicial!G49,"N/A")</f>
        <v>N/A</v>
      </c>
      <c r="H49" s="59" t="str">
        <f>IF(Inicial!M49="SI",Inicial!H49,"N/A")</f>
        <v>N/A</v>
      </c>
      <c r="I49" s="61" t="str">
        <f>IF(Inicial!M49="SI",Inicial!I49,"N/A")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 ht="24.6" customHeight="1">
      <c r="A50" s="58">
        <f>Inicial!A50</f>
        <v>48</v>
      </c>
      <c r="B50" s="59" t="str">
        <f>Inicial!B50</f>
        <v>Faenación</v>
      </c>
      <c r="C50" s="59" t="str">
        <f>Inicial!C50</f>
        <v>Empaque - Chiller</v>
      </c>
      <c r="D50" s="60" t="str">
        <f>Inicial!D50</f>
        <v>Selección de corazon</v>
      </c>
      <c r="E50" s="58" t="str">
        <f>IF(Inicial!M50="SI",Inicial!E50,"N/A")</f>
        <v>N/A</v>
      </c>
      <c r="F50" s="59" t="str">
        <f>IF(Inicial!M50="SI",Inicial!F50,"N/A")</f>
        <v>N/A</v>
      </c>
      <c r="G50" s="59" t="str">
        <f>IF(Inicial!M50="SI",Inicial!G50,"N/A")</f>
        <v>N/A</v>
      </c>
      <c r="H50" s="59" t="str">
        <f>IF(Inicial!M50="SI",Inicial!H50,"N/A")</f>
        <v>N/A</v>
      </c>
      <c r="I50" s="61" t="str">
        <f>IF(Inicial!M50="SI",Inicial!I50,"N/A")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 ht="24.6" customHeight="1">
      <c r="A51" s="58">
        <f>Inicial!A51</f>
        <v>49</v>
      </c>
      <c r="B51" s="59" t="str">
        <f>Inicial!B51</f>
        <v>Faenación</v>
      </c>
      <c r="C51" s="59" t="str">
        <f>Inicial!C51</f>
        <v>Empaque - Chiller</v>
      </c>
      <c r="D51" s="60" t="str">
        <f>Inicial!D51</f>
        <v>Embalador de contre</v>
      </c>
      <c r="E51" s="58" t="str">
        <f>IF(Inicial!M51="SI",Inicial!E51,"N/A")</f>
        <v>N/A</v>
      </c>
      <c r="F51" s="59" t="str">
        <f>IF(Inicial!M51="SI",Inicial!F51,"N/A")</f>
        <v>N/A</v>
      </c>
      <c r="G51" s="59" t="str">
        <f>IF(Inicial!M51="SI",Inicial!G51,"N/A")</f>
        <v>N/A</v>
      </c>
      <c r="H51" s="59" t="str">
        <f>IF(Inicial!M51="SI",Inicial!H51,"N/A")</f>
        <v>N/A</v>
      </c>
      <c r="I51" s="61" t="str">
        <f>IF(Inicial!M51="SI",Inicial!I51,"N/A")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 ht="24.6" customHeight="1">
      <c r="A52" s="58">
        <f>Inicial!A52</f>
        <v>50</v>
      </c>
      <c r="B52" s="59" t="str">
        <f>Inicial!B52</f>
        <v>Faenación</v>
      </c>
      <c r="C52" s="59" t="str">
        <f>Inicial!C52</f>
        <v>Empaque - Chiller</v>
      </c>
      <c r="D52" s="60" t="str">
        <f>Inicial!D52</f>
        <v>Limpiador de pana</v>
      </c>
      <c r="E52" s="58" t="str">
        <f>IF(Inicial!M52="SI",Inicial!E52,"N/A")</f>
        <v>N/A</v>
      </c>
      <c r="F52" s="59" t="str">
        <f>IF(Inicial!M52="SI",Inicial!F52,"N/A")</f>
        <v>N/A</v>
      </c>
      <c r="G52" s="59" t="str">
        <f>IF(Inicial!M52="SI",Inicial!G52,"N/A")</f>
        <v>N/A</v>
      </c>
      <c r="H52" s="59" t="str">
        <f>IF(Inicial!M52="SI",Inicial!H52,"N/A")</f>
        <v>N/A</v>
      </c>
      <c r="I52" s="61" t="str">
        <f>IF(Inicial!M52="SI",Inicial!I52,"N/A")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 ht="24.6" customHeight="1">
      <c r="A53" s="58">
        <f>Inicial!A53</f>
        <v>51</v>
      </c>
      <c r="B53" s="59" t="str">
        <f>Inicial!B53</f>
        <v>Faenación</v>
      </c>
      <c r="C53" s="59" t="str">
        <f>Inicial!C53</f>
        <v>Empaque - Chiller</v>
      </c>
      <c r="D53" s="60" t="str">
        <f>Inicial!D53</f>
        <v>Embolsador de contre</v>
      </c>
      <c r="E53" s="58" t="str">
        <f>IF(Inicial!M53="SI",Inicial!E53,"N/A")</f>
        <v>N/A</v>
      </c>
      <c r="F53" s="59" t="str">
        <f>IF(Inicial!M53="SI",Inicial!F53,"N/A")</f>
        <v>N/A</v>
      </c>
      <c r="G53" s="59" t="str">
        <f>IF(Inicial!M53="SI",Inicial!G53,"N/A")</f>
        <v>N/A</v>
      </c>
      <c r="H53" s="59" t="str">
        <f>IF(Inicial!M53="SI",Inicial!H53,"N/A")</f>
        <v>N/A</v>
      </c>
      <c r="I53" s="61" t="str">
        <f>IF(Inicial!M53="SI",Inicial!I53,"N/A")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 ht="24.6" customHeight="1">
      <c r="A54" s="58">
        <f>Inicial!A54</f>
        <v>52</v>
      </c>
      <c r="B54" s="59" t="str">
        <f>Inicial!B54</f>
        <v>Faenación</v>
      </c>
      <c r="C54" s="59" t="str">
        <f>Inicial!C54</f>
        <v>Empaque - Chiller</v>
      </c>
      <c r="D54" s="60" t="str">
        <f>Inicial!D54</f>
        <v>Embalador de Pana</v>
      </c>
      <c r="E54" s="58" t="str">
        <f>IF(Inicial!M54="SI",Inicial!E54,"N/A")</f>
        <v>N/A</v>
      </c>
      <c r="F54" s="59" t="str">
        <f>IF(Inicial!M54="SI",Inicial!F54,"N/A")</f>
        <v>N/A</v>
      </c>
      <c r="G54" s="59" t="str">
        <f>IF(Inicial!M54="SI",Inicial!G54,"N/A")</f>
        <v>N/A</v>
      </c>
      <c r="H54" s="59" t="str">
        <f>IF(Inicial!M54="SI",Inicial!H54,"N/A")</f>
        <v>N/A</v>
      </c>
      <c r="I54" s="61" t="str">
        <f>IF(Inicial!M54="SI",Inicial!I54,"N/A")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 ht="24.6" customHeight="1">
      <c r="A55" s="58">
        <f>Inicial!A55</f>
        <v>53</v>
      </c>
      <c r="B55" s="59" t="str">
        <f>Inicial!B55</f>
        <v>Faenación</v>
      </c>
      <c r="C55" s="59" t="str">
        <f>Inicial!C55</f>
        <v>Empaque - Chiller</v>
      </c>
      <c r="D55" s="60" t="str">
        <f>Inicial!D55</f>
        <v>Selección de Contre</v>
      </c>
      <c r="E55" s="58" t="str">
        <f>IF(Inicial!M55="SI",Inicial!E55,"N/A")</f>
        <v>N/A</v>
      </c>
      <c r="F55" s="59" t="str">
        <f>IF(Inicial!M55="SI",Inicial!F55,"N/A")</f>
        <v>N/A</v>
      </c>
      <c r="G55" s="59" t="str">
        <f>IF(Inicial!M55="SI",Inicial!G55,"N/A")</f>
        <v>N/A</v>
      </c>
      <c r="H55" s="59" t="str">
        <f>IF(Inicial!M55="SI",Inicial!H55,"N/A")</f>
        <v>N/A</v>
      </c>
      <c r="I55" s="61" t="str">
        <f>IF(Inicial!M55="SI",Inicial!I55,"N/A")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 ht="24.6" customHeight="1">
      <c r="A56" s="58">
        <f>Inicial!A56</f>
        <v>54</v>
      </c>
      <c r="B56" s="59" t="str">
        <f>Inicial!B56</f>
        <v>Faenación</v>
      </c>
      <c r="C56" s="59" t="str">
        <f>Inicial!C56</f>
        <v>Empaque - Chiller</v>
      </c>
      <c r="D56" s="60" t="str">
        <f>Inicial!D56</f>
        <v>Maquinista chiller</v>
      </c>
      <c r="E56" s="58" t="str">
        <f>IF(Inicial!M56="SI",Inicial!E56,"N/A")</f>
        <v>N/A</v>
      </c>
      <c r="F56" s="59" t="str">
        <f>IF(Inicial!M56="SI",Inicial!F56,"N/A")</f>
        <v>N/A</v>
      </c>
      <c r="G56" s="59" t="str">
        <f>IF(Inicial!M56="SI",Inicial!G56,"N/A")</f>
        <v>N/A</v>
      </c>
      <c r="H56" s="59" t="str">
        <f>IF(Inicial!M56="SI",Inicial!H56,"N/A")</f>
        <v>N/A</v>
      </c>
      <c r="I56" s="61" t="str">
        <f>IF(Inicial!M56="SI",Inicial!I56,"N/A")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 ht="24.6" customHeight="1">
      <c r="A57" s="58" t="e">
        <f>Inicial!#REF!</f>
        <v>#REF!</v>
      </c>
      <c r="B57" s="59" t="e">
        <f>Inicial!#REF!</f>
        <v>#REF!</v>
      </c>
      <c r="C57" s="59" t="e">
        <f>Inicial!#REF!</f>
        <v>#REF!</v>
      </c>
      <c r="D57" s="60" t="e">
        <f>Inicial!#REF!</f>
        <v>#REF!</v>
      </c>
      <c r="E57" s="58" t="e">
        <f>IF(Inicial!#REF!="SI",Inicial!#REF!,"N/A")</f>
        <v>#REF!</v>
      </c>
      <c r="F57" s="59" t="e">
        <f>IF(Inicial!#REF!="SI",Inicial!#REF!,"N/A")</f>
        <v>#REF!</v>
      </c>
      <c r="G57" s="59" t="e">
        <f>IF(Inicial!#REF!="SI",Inicial!#REF!,"N/A")</f>
        <v>#REF!</v>
      </c>
      <c r="H57" s="59" t="e">
        <f>IF(Inicial!#REF!="SI",Inicial!#REF!,"N/A")</f>
        <v>#REF!</v>
      </c>
      <c r="I57" s="61" t="e">
        <f>IF(Inicial!#REF!="SI",Inicial!#REF!,"N/A")</f>
        <v>#REF!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 ht="24.6" customHeight="1">
      <c r="A58" s="58">
        <f>Inicial!A57</f>
        <v>55</v>
      </c>
      <c r="B58" s="59" t="str">
        <f>Inicial!B57</f>
        <v>Faenación</v>
      </c>
      <c r="C58" s="59" t="str">
        <f>Inicial!C57</f>
        <v>Empaque - Chiller</v>
      </c>
      <c r="D58" s="60" t="str">
        <f>Inicial!D57</f>
        <v>Corchetera</v>
      </c>
      <c r="E58" s="58" t="str">
        <f>IF(Inicial!M57="SI",Inicial!E57,"N/A")</f>
        <v>N/A</v>
      </c>
      <c r="F58" s="59" t="str">
        <f>IF(Inicial!M57="SI",Inicial!F57,"N/A")</f>
        <v>N/A</v>
      </c>
      <c r="G58" s="59" t="str">
        <f>IF(Inicial!M57="SI",Inicial!G57,"N/A")</f>
        <v>N/A</v>
      </c>
      <c r="H58" s="59" t="str">
        <f>IF(Inicial!M57="SI",Inicial!H57,"N/A")</f>
        <v>N/A</v>
      </c>
      <c r="I58" s="61" t="str">
        <f>IF(Inicial!M57="SI",Inicial!I57,"N/A")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 ht="24.6" customHeight="1">
      <c r="A59" s="58">
        <f>Inicial!A58</f>
        <v>56</v>
      </c>
      <c r="B59" s="59" t="str">
        <f>Inicial!B58</f>
        <v>Faenación</v>
      </c>
      <c r="C59" s="59" t="str">
        <f>Inicial!C58</f>
        <v>Empaque - Chiller</v>
      </c>
      <c r="D59" s="60" t="str">
        <f>Inicial!D58</f>
        <v>Pesador menudencia</v>
      </c>
      <c r="E59" s="58" t="str">
        <f>IF(Inicial!M58="SI",Inicial!E58,"N/A")</f>
        <v>N/A</v>
      </c>
      <c r="F59" s="59" t="str">
        <f>IF(Inicial!M58="SI",Inicial!F58,"N/A")</f>
        <v>N/A</v>
      </c>
      <c r="G59" s="59" t="str">
        <f>IF(Inicial!M58="SI",Inicial!G58,"N/A")</f>
        <v>N/A</v>
      </c>
      <c r="H59" s="59" t="str">
        <f>IF(Inicial!M58="SI",Inicial!H58,"N/A")</f>
        <v>N/A</v>
      </c>
      <c r="I59" s="61" t="str">
        <f>IF(Inicial!M58="SI",Inicial!I58,"N/A")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 ht="24.6" customHeight="1">
      <c r="A60" s="58" t="e">
        <f>Inicial!#REF!</f>
        <v>#REF!</v>
      </c>
      <c r="B60" s="59" t="e">
        <f>Inicial!#REF!</f>
        <v>#REF!</v>
      </c>
      <c r="C60" s="59" t="e">
        <f>Inicial!#REF!</f>
        <v>#REF!</v>
      </c>
      <c r="D60" s="60" t="e">
        <f>Inicial!#REF!</f>
        <v>#REF!</v>
      </c>
      <c r="E60" s="58" t="e">
        <f>IF(Inicial!#REF!="SI",Inicial!#REF!,"N/A")</f>
        <v>#REF!</v>
      </c>
      <c r="F60" s="59" t="e">
        <f>IF(Inicial!#REF!="SI",Inicial!#REF!,"N/A")</f>
        <v>#REF!</v>
      </c>
      <c r="G60" s="59" t="e">
        <f>IF(Inicial!#REF!="SI",Inicial!#REF!,"N/A")</f>
        <v>#REF!</v>
      </c>
      <c r="H60" s="59" t="e">
        <f>IF(Inicial!#REF!="SI",Inicial!#REF!,"N/A")</f>
        <v>#REF!</v>
      </c>
      <c r="I60" s="61" t="e">
        <f>IF(Inicial!#REF!="SI",Inicial!#REF!,"N/A")</f>
        <v>#REF!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 ht="24.6" customHeight="1">
      <c r="A61" s="58">
        <f>Inicial!A59</f>
        <v>57</v>
      </c>
      <c r="B61" s="59" t="str">
        <f>Inicial!B59</f>
        <v>Faenación</v>
      </c>
      <c r="C61" s="59" t="str">
        <f>Inicial!C59</f>
        <v>Empaque - Chiller</v>
      </c>
      <c r="D61" s="60" t="str">
        <f>Inicial!D59</f>
        <v>Encargado de registro</v>
      </c>
      <c r="E61" s="58" t="str">
        <f>IF(Inicial!M59="SI",Inicial!E59,"N/A")</f>
        <v>N/A</v>
      </c>
      <c r="F61" s="59" t="str">
        <f>IF(Inicial!M59="SI",Inicial!F59,"N/A")</f>
        <v>N/A</v>
      </c>
      <c r="G61" s="59" t="str">
        <f>IF(Inicial!M59="SI",Inicial!G59,"N/A")</f>
        <v>N/A</v>
      </c>
      <c r="H61" s="59" t="str">
        <f>IF(Inicial!M59="SI",Inicial!H59,"N/A")</f>
        <v>N/A</v>
      </c>
      <c r="I61" s="61" t="str">
        <f>IF(Inicial!M59="SI",Inicial!I59,"N/A")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 ht="24.6" customHeight="1">
      <c r="A62" s="58">
        <f>Inicial!A60</f>
        <v>58</v>
      </c>
      <c r="B62" s="59" t="str">
        <f>Inicial!B60</f>
        <v>Faenación</v>
      </c>
      <c r="C62" s="59" t="str">
        <f>Inicial!C60</f>
        <v>Empaque - Chiller</v>
      </c>
      <c r="D62" s="60" t="str">
        <f>Inicial!D60</f>
        <v>Fechado</v>
      </c>
      <c r="E62" s="58" t="str">
        <f>IF(Inicial!M60="SI",Inicial!E60,"N/A")</f>
        <v>N/A</v>
      </c>
      <c r="F62" s="59" t="str">
        <f>IF(Inicial!M60="SI",Inicial!F60,"N/A")</f>
        <v>N/A</v>
      </c>
      <c r="G62" s="59" t="str">
        <f>IF(Inicial!M60="SI",Inicial!G60,"N/A")</f>
        <v>N/A</v>
      </c>
      <c r="H62" s="59" t="str">
        <f>IF(Inicial!M60="SI",Inicial!H60,"N/A")</f>
        <v>N/A</v>
      </c>
      <c r="I62" s="61" t="str">
        <f>IF(Inicial!M60="SI",Inicial!I60,"N/A")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 ht="24.6" customHeight="1">
      <c r="A63" s="58">
        <f>Inicial!A61</f>
        <v>59</v>
      </c>
      <c r="B63" s="59" t="str">
        <f>Inicial!B61</f>
        <v>Faenación</v>
      </c>
      <c r="C63" s="59" t="str">
        <f>Inicial!C61</f>
        <v>Empaque - Chiller</v>
      </c>
      <c r="D63" s="60" t="str">
        <f>Inicial!D61</f>
        <v>Paletizador</v>
      </c>
      <c r="E63" s="58" t="str">
        <f>IF(Inicial!M61="SI",Inicial!E61,"N/A")</f>
        <v>N/A</v>
      </c>
      <c r="F63" s="59" t="str">
        <f>IF(Inicial!M61="SI",Inicial!F61,"N/A")</f>
        <v>N/A</v>
      </c>
      <c r="G63" s="59" t="str">
        <f>IF(Inicial!M61="SI",Inicial!G61,"N/A")</f>
        <v>N/A</v>
      </c>
      <c r="H63" s="59" t="str">
        <f>IF(Inicial!M61="SI",Inicial!H61,"N/A")</f>
        <v>N/A</v>
      </c>
      <c r="I63" s="61" t="str">
        <f>IF(Inicial!M61="SI",Inicial!I61,"N/A")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 ht="24.6" customHeight="1">
      <c r="A64" s="58">
        <f>Inicial!A62</f>
        <v>60</v>
      </c>
      <c r="B64" s="59" t="str">
        <f>Inicial!B62</f>
        <v>Faenación</v>
      </c>
      <c r="C64" s="59" t="str">
        <f>Inicial!C62</f>
        <v>Empaque - Chiller</v>
      </c>
      <c r="D64" s="60" t="str">
        <f>Inicial!D62</f>
        <v>Transpaletero</v>
      </c>
      <c r="E64" s="58" t="str">
        <f>IF(Inicial!M62="SI",Inicial!E62,"N/A")</f>
        <v>N/A</v>
      </c>
      <c r="F64" s="59" t="str">
        <f>IF(Inicial!M62="SI",Inicial!F62,"N/A")</f>
        <v>N/A</v>
      </c>
      <c r="G64" s="59" t="str">
        <f>IF(Inicial!M62="SI",Inicial!G62,"N/A")</f>
        <v>N/A</v>
      </c>
      <c r="H64" s="59" t="str">
        <f>IF(Inicial!M62="SI",Inicial!H62,"N/A")</f>
        <v>N/A</v>
      </c>
      <c r="I64" s="61" t="str">
        <f>IF(Inicial!M62="SI",Inicial!I62,"N/A")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 ht="24.6" customHeight="1">
      <c r="A65" s="58">
        <f>Inicial!A63</f>
        <v>61</v>
      </c>
      <c r="B65" s="59" t="str">
        <f>Inicial!B63</f>
        <v>Faenación</v>
      </c>
      <c r="C65" s="59" t="str">
        <f>Inicial!C63</f>
        <v>Empaque - Chiller</v>
      </c>
      <c r="D65" s="60" t="str">
        <f>Inicial!D63</f>
        <v xml:space="preserve">Jefe de Línea </v>
      </c>
      <c r="E65" s="58" t="str">
        <f>IF(Inicial!M63="SI",Inicial!E63,"N/A")</f>
        <v>N/A</v>
      </c>
      <c r="F65" s="59" t="str">
        <f>IF(Inicial!M63="SI",Inicial!F63,"N/A")</f>
        <v>N/A</v>
      </c>
      <c r="G65" s="59" t="str">
        <f>IF(Inicial!M63="SI",Inicial!G63,"N/A")</f>
        <v>N/A</v>
      </c>
      <c r="H65" s="59" t="str">
        <f>IF(Inicial!M63="SI",Inicial!H63,"N/A")</f>
        <v>N/A</v>
      </c>
      <c r="I65" s="61" t="str">
        <f>IF(Inicial!M63="SI",Inicial!I63,"N/A")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 ht="15">
      <c r="A66" s="58">
        <f>Inicial!A64</f>
        <v>0</v>
      </c>
      <c r="B66" s="59">
        <f>Inicial!B64</f>
        <v>0</v>
      </c>
      <c r="C66" s="59">
        <f>Inicial!C64</f>
        <v>0</v>
      </c>
      <c r="D66" s="60">
        <f>Inicial!D64</f>
        <v>0</v>
      </c>
      <c r="E66" s="58" t="str">
        <f>IF(Inicial!M64="SI",Inicial!E64,"N/A")</f>
        <v>N/A</v>
      </c>
      <c r="F66" s="59" t="str">
        <f>IF(Inicial!M64="SI",Inicial!F64,"N/A")</f>
        <v>N/A</v>
      </c>
      <c r="G66" s="59" t="str">
        <f>IF(Inicial!M64="SI",Inicial!G64,"N/A")</f>
        <v>N/A</v>
      </c>
      <c r="H66" s="59" t="str">
        <f>IF(Inicial!M64="SI",Inicial!H64,"N/A")</f>
        <v>N/A</v>
      </c>
      <c r="I66" s="61" t="str">
        <f>IF(Inicial!M64="SI",Inicial!I64,"N/A")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 ht="15">
      <c r="A67" s="58">
        <f>Inicial!A65</f>
        <v>0</v>
      </c>
      <c r="B67" s="59"/>
      <c r="C67" s="59"/>
      <c r="D67" s="60"/>
      <c r="E67" s="58"/>
      <c r="F67" s="59"/>
      <c r="G67" s="59"/>
      <c r="H67" s="59"/>
      <c r="I67" s="6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 ht="15">
      <c r="A68" s="58">
        <f>Inicial!A66</f>
        <v>0</v>
      </c>
      <c r="B68" s="59"/>
      <c r="C68" s="59"/>
      <c r="D68" s="60"/>
      <c r="E68" s="58"/>
      <c r="F68" s="59"/>
      <c r="G68" s="59"/>
      <c r="H68" s="59"/>
      <c r="I68" s="6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 ht="15">
      <c r="A69" s="58">
        <f>Inicial!A67</f>
        <v>0</v>
      </c>
      <c r="B69" s="59"/>
      <c r="C69" s="59"/>
      <c r="D69" s="60"/>
      <c r="E69" s="58"/>
      <c r="F69" s="59"/>
      <c r="G69" s="59"/>
      <c r="H69" s="59"/>
      <c r="I69" s="6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 ht="15">
      <c r="A70" s="58">
        <f>Inicial!A68</f>
        <v>0</v>
      </c>
      <c r="B70" s="59"/>
      <c r="C70" s="59"/>
      <c r="D70" s="60"/>
      <c r="E70" s="58"/>
      <c r="F70" s="59"/>
      <c r="G70" s="59"/>
      <c r="H70" s="59"/>
      <c r="I70" s="6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 ht="15">
      <c r="A71" s="58">
        <f>Inicial!A69</f>
        <v>0</v>
      </c>
      <c r="B71" s="59"/>
      <c r="C71" s="59"/>
      <c r="D71" s="60"/>
      <c r="E71" s="58"/>
      <c r="F71" s="59"/>
      <c r="G71" s="59"/>
      <c r="H71" s="59"/>
      <c r="I71" s="6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 ht="15">
      <c r="A72" s="58">
        <f>Inicial!A70</f>
        <v>0</v>
      </c>
      <c r="B72" s="59"/>
      <c r="C72" s="59"/>
      <c r="D72" s="60"/>
      <c r="E72" s="58"/>
      <c r="F72" s="59"/>
      <c r="G72" s="59"/>
      <c r="H72" s="59"/>
      <c r="I72" s="6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 ht="15">
      <c r="A73" s="58">
        <f>Inicial!A71</f>
        <v>0</v>
      </c>
      <c r="B73" s="59"/>
      <c r="C73" s="59"/>
      <c r="D73" s="60"/>
      <c r="E73" s="58"/>
      <c r="F73" s="59"/>
      <c r="G73" s="59"/>
      <c r="H73" s="59"/>
      <c r="I73" s="6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 ht="15">
      <c r="A74" s="58">
        <f>Inicial!A72</f>
        <v>0</v>
      </c>
      <c r="B74" s="59"/>
      <c r="C74" s="59"/>
      <c r="D74" s="60"/>
      <c r="E74" s="58"/>
      <c r="F74" s="59"/>
      <c r="G74" s="59"/>
      <c r="H74" s="59"/>
      <c r="I74" s="6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 ht="15">
      <c r="A75" s="58">
        <f>Inicial!A73</f>
        <v>0</v>
      </c>
      <c r="B75" s="59"/>
      <c r="C75" s="59"/>
      <c r="D75" s="60"/>
      <c r="E75" s="58"/>
      <c r="F75" s="59"/>
      <c r="G75" s="59"/>
      <c r="H75" s="59"/>
      <c r="I75" s="6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 ht="15">
      <c r="A76" s="58">
        <f>Inicial!A74</f>
        <v>0</v>
      </c>
      <c r="B76" s="59"/>
      <c r="C76" s="59"/>
      <c r="D76" s="60"/>
      <c r="E76" s="58"/>
      <c r="F76" s="59"/>
      <c r="G76" s="59"/>
      <c r="H76" s="59"/>
      <c r="I76" s="6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3" t="str" cm="1">
        <f t="array" ref="AN76">IF(OR(AA76:AM76="SI"),"Critico","No Critico")</f>
        <v>No Critico</v>
      </c>
    </row>
    <row r="77" spans="1:40" ht="15">
      <c r="A77" s="58">
        <f>Inicial!A75</f>
        <v>0</v>
      </c>
      <c r="B77" s="59"/>
      <c r="C77" s="59"/>
      <c r="D77" s="60"/>
      <c r="E77" s="58"/>
      <c r="F77" s="59"/>
      <c r="G77" s="59"/>
      <c r="H77" s="59"/>
      <c r="I77" s="6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 ht="15">
      <c r="A78" s="58">
        <f>Inicial!A76</f>
        <v>0</v>
      </c>
      <c r="B78" s="59"/>
      <c r="C78" s="59"/>
      <c r="D78" s="60"/>
      <c r="E78" s="58"/>
      <c r="F78" s="59"/>
      <c r="G78" s="59"/>
      <c r="H78" s="59"/>
      <c r="I78" s="6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 ht="15">
      <c r="A79" s="58">
        <f>Inicial!A77</f>
        <v>0</v>
      </c>
      <c r="B79" s="59"/>
      <c r="C79" s="59"/>
      <c r="D79" s="60"/>
      <c r="E79" s="58"/>
      <c r="F79" s="59"/>
      <c r="G79" s="59"/>
      <c r="H79" s="59"/>
      <c r="I79" s="6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 ht="15">
      <c r="A80" s="58">
        <f>Inicial!A78</f>
        <v>0</v>
      </c>
      <c r="B80" s="59"/>
      <c r="C80" s="59"/>
      <c r="D80" s="60"/>
      <c r="E80" s="58"/>
      <c r="F80" s="59"/>
      <c r="G80" s="59"/>
      <c r="H80" s="59"/>
      <c r="I80" s="6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 ht="15">
      <c r="A81" s="58">
        <f>Inicial!A79</f>
        <v>0</v>
      </c>
      <c r="B81" s="59"/>
      <c r="C81" s="59"/>
      <c r="D81" s="60"/>
      <c r="E81" s="58"/>
      <c r="F81" s="59"/>
      <c r="G81" s="59"/>
      <c r="H81" s="59"/>
      <c r="I81" s="6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 ht="15">
      <c r="A82" s="58">
        <f>Inicial!A80</f>
        <v>0</v>
      </c>
      <c r="B82" s="59"/>
      <c r="C82" s="59"/>
      <c r="D82" s="60"/>
      <c r="E82" s="58"/>
      <c r="F82" s="59"/>
      <c r="G82" s="59"/>
      <c r="H82" s="59"/>
      <c r="I82" s="6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 ht="15">
      <c r="A83" s="58">
        <f>Inicial!A81</f>
        <v>0</v>
      </c>
      <c r="B83" s="59"/>
      <c r="C83" s="59"/>
      <c r="D83" s="60"/>
      <c r="E83" s="58"/>
      <c r="F83" s="59"/>
      <c r="G83" s="59"/>
      <c r="H83" s="59"/>
      <c r="I83" s="6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 ht="15">
      <c r="A84" s="58">
        <f>Inicial!A82</f>
        <v>0</v>
      </c>
      <c r="B84" s="59"/>
      <c r="C84" s="59"/>
      <c r="D84" s="60"/>
      <c r="E84" s="58"/>
      <c r="F84" s="59"/>
      <c r="G84" s="59"/>
      <c r="H84" s="59"/>
      <c r="I84" s="6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 ht="15">
      <c r="A85" s="58">
        <f>Inicial!A83</f>
        <v>0</v>
      </c>
      <c r="B85" s="59"/>
      <c r="C85" s="59"/>
      <c r="D85" s="60"/>
      <c r="E85" s="58"/>
      <c r="F85" s="59"/>
      <c r="G85" s="59"/>
      <c r="H85" s="59"/>
      <c r="I85" s="6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 ht="15">
      <c r="A86" s="58">
        <f>Inicial!A84</f>
        <v>0</v>
      </c>
      <c r="B86" s="59"/>
      <c r="C86" s="59"/>
      <c r="D86" s="60"/>
      <c r="E86" s="58"/>
      <c r="F86" s="59"/>
      <c r="G86" s="59"/>
      <c r="H86" s="59"/>
      <c r="I86" s="6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 ht="15">
      <c r="A87" s="58">
        <f>Inicial!A85</f>
        <v>0</v>
      </c>
      <c r="B87" s="59"/>
      <c r="C87" s="59"/>
      <c r="D87" s="60"/>
      <c r="E87" s="58"/>
      <c r="F87" s="59"/>
      <c r="G87" s="59"/>
      <c r="H87" s="59"/>
      <c r="I87" s="6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 ht="15">
      <c r="A88" s="58">
        <f>Inicial!A86</f>
        <v>0</v>
      </c>
      <c r="B88" s="59"/>
      <c r="C88" s="59"/>
      <c r="D88" s="60"/>
      <c r="E88" s="58"/>
      <c r="F88" s="59"/>
      <c r="G88" s="59"/>
      <c r="H88" s="59"/>
      <c r="I88" s="6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 ht="15">
      <c r="A89" s="58">
        <f>Inicial!A87</f>
        <v>0</v>
      </c>
      <c r="B89" s="59"/>
      <c r="C89" s="59"/>
      <c r="D89" s="60"/>
      <c r="E89" s="58"/>
      <c r="F89" s="59"/>
      <c r="G89" s="59"/>
      <c r="H89" s="59"/>
      <c r="I89" s="6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 ht="15">
      <c r="A90" s="58">
        <f>Inicial!A88</f>
        <v>0</v>
      </c>
      <c r="B90" s="59"/>
      <c r="C90" s="59"/>
      <c r="D90" s="60"/>
      <c r="E90" s="58"/>
      <c r="F90" s="59"/>
      <c r="G90" s="59"/>
      <c r="H90" s="59"/>
      <c r="I90" s="6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 ht="15">
      <c r="A91" s="58">
        <f>Inicial!A89</f>
        <v>0</v>
      </c>
      <c r="B91" s="59"/>
      <c r="C91" s="59"/>
      <c r="D91" s="60"/>
      <c r="E91" s="58"/>
      <c r="F91" s="59"/>
      <c r="G91" s="59"/>
      <c r="H91" s="59"/>
      <c r="I91" s="6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 ht="15">
      <c r="A92" s="58">
        <f>Inicial!A90</f>
        <v>0</v>
      </c>
      <c r="B92" s="59"/>
      <c r="C92" s="59"/>
      <c r="D92" s="60"/>
      <c r="E92" s="58"/>
      <c r="F92" s="59"/>
      <c r="G92" s="59"/>
      <c r="H92" s="59"/>
      <c r="I92" s="6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 ht="15">
      <c r="A93" s="58">
        <f>Inicial!A91</f>
        <v>0</v>
      </c>
      <c r="B93" s="59"/>
      <c r="C93" s="59"/>
      <c r="D93" s="60"/>
      <c r="E93" s="58"/>
      <c r="F93" s="59"/>
      <c r="G93" s="59"/>
      <c r="H93" s="59"/>
      <c r="I93" s="6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 ht="15">
      <c r="A94" s="58">
        <f>Inicial!A92</f>
        <v>0</v>
      </c>
      <c r="B94" s="59"/>
      <c r="C94" s="59"/>
      <c r="D94" s="60"/>
      <c r="E94" s="58"/>
      <c r="F94" s="59"/>
      <c r="G94" s="59"/>
      <c r="H94" s="59"/>
      <c r="I94" s="6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 ht="15">
      <c r="A95" s="58">
        <f>Inicial!A93</f>
        <v>0</v>
      </c>
      <c r="B95" s="59"/>
      <c r="C95" s="59"/>
      <c r="D95" s="60"/>
      <c r="E95" s="58"/>
      <c r="F95" s="59"/>
      <c r="G95" s="59"/>
      <c r="H95" s="59"/>
      <c r="I95" s="6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 ht="15">
      <c r="A96" s="58">
        <f>Inicial!A94</f>
        <v>0</v>
      </c>
      <c r="B96" s="59"/>
      <c r="C96" s="59"/>
      <c r="D96" s="60"/>
      <c r="E96" s="58"/>
      <c r="F96" s="59"/>
      <c r="G96" s="59"/>
      <c r="H96" s="59"/>
      <c r="I96" s="6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 ht="15">
      <c r="A97" s="58">
        <f>Inicial!A95</f>
        <v>0</v>
      </c>
      <c r="B97" s="59"/>
      <c r="C97" s="59"/>
      <c r="D97" s="60"/>
      <c r="E97" s="58"/>
      <c r="F97" s="59"/>
      <c r="G97" s="59"/>
      <c r="H97" s="59"/>
      <c r="I97" s="6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 ht="15">
      <c r="A98" s="58">
        <f>Inicial!A96</f>
        <v>0</v>
      </c>
      <c r="B98" s="59"/>
      <c r="C98" s="59"/>
      <c r="D98" s="60"/>
      <c r="E98" s="58"/>
      <c r="F98" s="59"/>
      <c r="G98" s="59"/>
      <c r="H98" s="59"/>
      <c r="I98" s="6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 ht="15">
      <c r="A99" s="58">
        <f>Inicial!A97</f>
        <v>0</v>
      </c>
      <c r="B99" s="59"/>
      <c r="C99" s="59"/>
      <c r="D99" s="60"/>
      <c r="E99" s="58"/>
      <c r="F99" s="59"/>
      <c r="G99" s="59"/>
      <c r="H99" s="59"/>
      <c r="I99" s="6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 ht="15">
      <c r="A100" s="58">
        <f>Inicial!A98</f>
        <v>0</v>
      </c>
      <c r="B100" s="59"/>
      <c r="C100" s="59"/>
      <c r="D100" s="60"/>
      <c r="E100" s="58"/>
      <c r="F100" s="59"/>
      <c r="G100" s="59"/>
      <c r="H100" s="59"/>
      <c r="I100" s="6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 ht="15">
      <c r="A101" s="58">
        <f>Inicial!A99</f>
        <v>0</v>
      </c>
      <c r="B101" s="59"/>
      <c r="C101" s="59"/>
      <c r="D101" s="60"/>
      <c r="E101" s="58"/>
      <c r="F101" s="59"/>
      <c r="G101" s="59"/>
      <c r="H101" s="59"/>
      <c r="I101" s="6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 ht="15">
      <c r="A102" s="58">
        <f>Inicial!A100</f>
        <v>0</v>
      </c>
      <c r="B102" s="59"/>
      <c r="C102" s="59"/>
      <c r="D102" s="60"/>
      <c r="E102" s="58"/>
      <c r="F102" s="59"/>
      <c r="G102" s="59"/>
      <c r="H102" s="59"/>
      <c r="I102" s="6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 ht="15">
      <c r="A103" s="58">
        <f>Inicial!A101</f>
        <v>0</v>
      </c>
      <c r="B103" s="59"/>
      <c r="C103" s="59"/>
      <c r="D103" s="60"/>
      <c r="E103" s="58"/>
      <c r="F103" s="59"/>
      <c r="G103" s="59"/>
      <c r="H103" s="59"/>
      <c r="I103" s="6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 ht="15">
      <c r="A104" s="58">
        <f>Inicial!A102</f>
        <v>0</v>
      </c>
      <c r="B104" s="59"/>
      <c r="C104" s="59"/>
      <c r="D104" s="60"/>
      <c r="E104" s="58"/>
      <c r="F104" s="59"/>
      <c r="G104" s="59"/>
      <c r="H104" s="59"/>
      <c r="I104" s="6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 ht="15">
      <c r="A105" s="58">
        <f>Inicial!A103</f>
        <v>0</v>
      </c>
      <c r="B105" s="59"/>
      <c r="C105" s="59"/>
      <c r="D105" s="60"/>
      <c r="E105" s="58"/>
      <c r="F105" s="59"/>
      <c r="G105" s="59"/>
      <c r="H105" s="59"/>
      <c r="I105" s="6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 ht="15">
      <c r="A106" s="58">
        <f>Inicial!A104</f>
        <v>0</v>
      </c>
      <c r="B106" s="59"/>
      <c r="C106" s="59"/>
      <c r="D106" s="60"/>
      <c r="E106" s="58"/>
      <c r="F106" s="59"/>
      <c r="G106" s="59"/>
      <c r="H106" s="59"/>
      <c r="I106" s="6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 ht="15">
      <c r="A107" s="58">
        <f>Inicial!A105</f>
        <v>0</v>
      </c>
      <c r="B107" s="59"/>
      <c r="C107" s="59"/>
      <c r="D107" s="60"/>
      <c r="E107" s="58"/>
      <c r="F107" s="59"/>
      <c r="G107" s="59"/>
      <c r="H107" s="59"/>
      <c r="I107" s="6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 ht="15">
      <c r="A108" s="58">
        <f>Inicial!A106</f>
        <v>0</v>
      </c>
      <c r="B108" s="59"/>
      <c r="C108" s="59"/>
      <c r="D108" s="60"/>
      <c r="E108" s="58"/>
      <c r="F108" s="59"/>
      <c r="G108" s="59"/>
      <c r="H108" s="59"/>
      <c r="I108" s="6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 ht="15">
      <c r="A109" s="58">
        <f>Inicial!A107</f>
        <v>0</v>
      </c>
      <c r="B109" s="59"/>
      <c r="C109" s="59"/>
      <c r="D109" s="60"/>
      <c r="E109" s="58"/>
      <c r="F109" s="59"/>
      <c r="G109" s="59"/>
      <c r="H109" s="59"/>
      <c r="I109" s="6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 ht="15">
      <c r="A110" s="58">
        <f>Inicial!A108</f>
        <v>0</v>
      </c>
      <c r="B110" s="59"/>
      <c r="C110" s="59"/>
      <c r="D110" s="60"/>
      <c r="E110" s="58"/>
      <c r="F110" s="59"/>
      <c r="G110" s="59"/>
      <c r="H110" s="59"/>
      <c r="I110" s="6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 ht="15">
      <c r="A111" s="58">
        <f>Inicial!A109</f>
        <v>0</v>
      </c>
      <c r="B111" s="59"/>
      <c r="C111" s="59"/>
      <c r="D111" s="60"/>
      <c r="E111" s="58"/>
      <c r="F111" s="59"/>
      <c r="G111" s="59"/>
      <c r="H111" s="59"/>
      <c r="I111" s="6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 ht="15">
      <c r="A112" s="58">
        <f>Inicial!A110</f>
        <v>0</v>
      </c>
      <c r="B112" s="59"/>
      <c r="C112" s="59"/>
      <c r="D112" s="60"/>
      <c r="E112" s="58"/>
      <c r="F112" s="59"/>
      <c r="G112" s="59"/>
      <c r="H112" s="59"/>
      <c r="I112" s="6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 ht="15">
      <c r="A113" s="58">
        <f>Inicial!A111</f>
        <v>0</v>
      </c>
      <c r="B113" s="59"/>
      <c r="C113" s="59"/>
      <c r="D113" s="60"/>
      <c r="E113" s="58"/>
      <c r="F113" s="59"/>
      <c r="G113" s="59"/>
      <c r="H113" s="59"/>
      <c r="I113" s="6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 ht="15">
      <c r="A114" s="58">
        <f>Inicial!A112</f>
        <v>0</v>
      </c>
      <c r="B114" s="59"/>
      <c r="C114" s="59"/>
      <c r="D114" s="60"/>
      <c r="E114" s="58"/>
      <c r="F114" s="59"/>
      <c r="G114" s="59"/>
      <c r="H114" s="59"/>
      <c r="I114" s="6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 ht="15">
      <c r="A115" s="58">
        <f>Inicial!A113</f>
        <v>0</v>
      </c>
      <c r="B115" s="59"/>
      <c r="C115" s="59"/>
      <c r="D115" s="60"/>
      <c r="E115" s="58"/>
      <c r="F115" s="59"/>
      <c r="G115" s="59"/>
      <c r="H115" s="59"/>
      <c r="I115" s="6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 ht="15">
      <c r="A116" s="58">
        <f>Inicial!A114</f>
        <v>0</v>
      </c>
      <c r="B116" s="59"/>
      <c r="C116" s="59"/>
      <c r="D116" s="60"/>
      <c r="E116" s="58"/>
      <c r="F116" s="59"/>
      <c r="G116" s="59"/>
      <c r="H116" s="59"/>
      <c r="I116" s="6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 ht="15">
      <c r="A117" s="58">
        <f>Inicial!A115</f>
        <v>0</v>
      </c>
      <c r="B117" s="59"/>
      <c r="C117" s="59"/>
      <c r="D117" s="60"/>
      <c r="E117" s="58"/>
      <c r="F117" s="59"/>
      <c r="G117" s="59"/>
      <c r="H117" s="59"/>
      <c r="I117" s="6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 ht="15">
      <c r="A118" s="58">
        <f>Inicial!A116</f>
        <v>0</v>
      </c>
      <c r="B118" s="59"/>
      <c r="C118" s="59"/>
      <c r="D118" s="60"/>
      <c r="E118" s="58"/>
      <c r="F118" s="59"/>
      <c r="G118" s="59"/>
      <c r="H118" s="59"/>
      <c r="I118" s="6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 ht="15">
      <c r="A119" s="58">
        <f>Inicial!A117</f>
        <v>0</v>
      </c>
      <c r="B119" s="59"/>
      <c r="C119" s="59"/>
      <c r="D119" s="60"/>
      <c r="E119" s="58"/>
      <c r="F119" s="59"/>
      <c r="G119" s="59"/>
      <c r="H119" s="59"/>
      <c r="I119" s="6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 ht="15">
      <c r="A120" s="58">
        <f>Inicial!A118</f>
        <v>0</v>
      </c>
      <c r="B120" s="59"/>
      <c r="C120" s="59"/>
      <c r="D120" s="60"/>
      <c r="E120" s="58"/>
      <c r="F120" s="59"/>
      <c r="G120" s="59"/>
      <c r="H120" s="59"/>
      <c r="I120" s="6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 ht="15">
      <c r="A121" s="58">
        <f>Inicial!A119</f>
        <v>0</v>
      </c>
      <c r="B121" s="59"/>
      <c r="C121" s="59"/>
      <c r="D121" s="60"/>
      <c r="E121" s="58"/>
      <c r="F121" s="59"/>
      <c r="G121" s="59"/>
      <c r="H121" s="59"/>
      <c r="I121" s="6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 ht="15">
      <c r="A122" s="58">
        <f>Inicial!A120</f>
        <v>0</v>
      </c>
      <c r="B122" s="59"/>
      <c r="C122" s="59"/>
      <c r="D122" s="60"/>
      <c r="E122" s="58"/>
      <c r="F122" s="59"/>
      <c r="G122" s="59"/>
      <c r="H122" s="59"/>
      <c r="I122" s="6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 ht="15">
      <c r="A123" s="58">
        <f>Inicial!A121</f>
        <v>0</v>
      </c>
      <c r="B123" s="59"/>
      <c r="C123" s="59"/>
      <c r="D123" s="60"/>
      <c r="E123" s="58"/>
      <c r="F123" s="59"/>
      <c r="G123" s="59"/>
      <c r="H123" s="59"/>
      <c r="I123" s="6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 ht="15">
      <c r="A124" s="58">
        <f>Inicial!A122</f>
        <v>0</v>
      </c>
      <c r="B124" s="59"/>
      <c r="C124" s="59"/>
      <c r="D124" s="60"/>
      <c r="E124" s="58"/>
      <c r="F124" s="59"/>
      <c r="G124" s="59"/>
      <c r="H124" s="59"/>
      <c r="I124" s="6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 ht="15">
      <c r="A125" s="58">
        <f>Inicial!A123</f>
        <v>0</v>
      </c>
      <c r="B125" s="59"/>
      <c r="C125" s="59"/>
      <c r="D125" s="60"/>
      <c r="E125" s="58"/>
      <c r="F125" s="59"/>
      <c r="G125" s="59"/>
      <c r="H125" s="59"/>
      <c r="I125" s="6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 ht="15">
      <c r="A126" s="58">
        <f>Inicial!A124</f>
        <v>0</v>
      </c>
      <c r="B126" s="59"/>
      <c r="C126" s="59"/>
      <c r="D126" s="60"/>
      <c r="E126" s="58"/>
      <c r="F126" s="59"/>
      <c r="G126" s="59"/>
      <c r="H126" s="59"/>
      <c r="I126" s="6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 ht="15">
      <c r="A127" s="58">
        <f>Inicial!A125</f>
        <v>0</v>
      </c>
      <c r="B127" s="59"/>
      <c r="C127" s="59"/>
      <c r="D127" s="60"/>
      <c r="E127" s="58"/>
      <c r="F127" s="59"/>
      <c r="G127" s="59"/>
      <c r="H127" s="59"/>
      <c r="I127" s="6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 ht="15">
      <c r="A128" s="58">
        <f>Inicial!A126</f>
        <v>0</v>
      </c>
      <c r="B128" s="59"/>
      <c r="C128" s="59"/>
      <c r="D128" s="60"/>
      <c r="E128" s="58"/>
      <c r="F128" s="59"/>
      <c r="G128" s="59"/>
      <c r="H128" s="59"/>
      <c r="I128" s="6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 ht="15">
      <c r="A129" s="58">
        <f>Inicial!A127</f>
        <v>0</v>
      </c>
      <c r="B129" s="59"/>
      <c r="C129" s="59"/>
      <c r="D129" s="60"/>
      <c r="E129" s="58"/>
      <c r="F129" s="59"/>
      <c r="G129" s="59"/>
      <c r="H129" s="59"/>
      <c r="I129" s="6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 ht="15">
      <c r="A130" s="58">
        <f>Inicial!A128</f>
        <v>0</v>
      </c>
      <c r="B130" s="59"/>
      <c r="C130" s="59"/>
      <c r="D130" s="60"/>
      <c r="E130" s="58"/>
      <c r="F130" s="59"/>
      <c r="G130" s="59"/>
      <c r="H130" s="59"/>
      <c r="I130" s="6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 ht="15">
      <c r="A131" s="58">
        <f>Inicial!A129</f>
        <v>0</v>
      </c>
      <c r="B131" s="59"/>
      <c r="C131" s="59"/>
      <c r="D131" s="60"/>
      <c r="E131" s="58"/>
      <c r="F131" s="59"/>
      <c r="G131" s="59"/>
      <c r="H131" s="59"/>
      <c r="I131" s="6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 ht="15">
      <c r="A132" s="58">
        <f>Inicial!A130</f>
        <v>0</v>
      </c>
      <c r="B132" s="59"/>
      <c r="C132" s="59"/>
      <c r="D132" s="60"/>
      <c r="E132" s="58"/>
      <c r="F132" s="59"/>
      <c r="G132" s="59"/>
      <c r="H132" s="59"/>
      <c r="I132" s="6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 ht="15">
      <c r="A133" s="58">
        <f>Inicial!A131</f>
        <v>0</v>
      </c>
      <c r="B133" s="59"/>
      <c r="C133" s="59"/>
      <c r="D133" s="60"/>
      <c r="E133" s="58"/>
      <c r="F133" s="59"/>
      <c r="G133" s="59"/>
      <c r="H133" s="59"/>
      <c r="I133" s="6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 ht="15">
      <c r="A134" s="58">
        <f>Inicial!A132</f>
        <v>0</v>
      </c>
      <c r="B134" s="59"/>
      <c r="C134" s="59"/>
      <c r="D134" s="60"/>
      <c r="E134" s="58"/>
      <c r="F134" s="59"/>
      <c r="G134" s="59"/>
      <c r="H134" s="59"/>
      <c r="I134" s="6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 ht="15">
      <c r="A135" s="58">
        <f>Inicial!A133</f>
        <v>0</v>
      </c>
      <c r="B135" s="59"/>
      <c r="C135" s="59"/>
      <c r="D135" s="60"/>
      <c r="E135" s="58"/>
      <c r="F135" s="59"/>
      <c r="G135" s="59"/>
      <c r="H135" s="59"/>
      <c r="I135" s="6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 ht="15">
      <c r="A136" s="58">
        <f>Inicial!A134</f>
        <v>0</v>
      </c>
      <c r="B136" s="59"/>
      <c r="C136" s="59"/>
      <c r="D136" s="60"/>
      <c r="E136" s="58"/>
      <c r="F136" s="59"/>
      <c r="G136" s="59"/>
      <c r="H136" s="59"/>
      <c r="I136" s="6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 ht="15">
      <c r="A137" s="58">
        <f>Inicial!A135</f>
        <v>0</v>
      </c>
      <c r="B137" s="59"/>
      <c r="C137" s="59"/>
      <c r="D137" s="60"/>
      <c r="E137" s="58"/>
      <c r="F137" s="59"/>
      <c r="G137" s="59"/>
      <c r="H137" s="59"/>
      <c r="I137" s="6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 ht="15">
      <c r="A138" s="58">
        <f>Inicial!A136</f>
        <v>0</v>
      </c>
      <c r="B138" s="59"/>
      <c r="C138" s="59"/>
      <c r="D138" s="60"/>
      <c r="E138" s="58"/>
      <c r="F138" s="59"/>
      <c r="G138" s="59"/>
      <c r="H138" s="59"/>
      <c r="I138" s="6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 ht="15">
      <c r="A139" s="58">
        <f>Inicial!A137</f>
        <v>0</v>
      </c>
      <c r="B139" s="59"/>
      <c r="C139" s="59"/>
      <c r="D139" s="60"/>
      <c r="E139" s="58"/>
      <c r="F139" s="59"/>
      <c r="G139" s="59"/>
      <c r="H139" s="59"/>
      <c r="I139" s="6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 ht="15">
      <c r="A140" s="58">
        <f>Inicial!A138</f>
        <v>0</v>
      </c>
      <c r="B140" s="59"/>
      <c r="C140" s="59"/>
      <c r="D140" s="60"/>
      <c r="E140" s="58"/>
      <c r="F140" s="59"/>
      <c r="G140" s="59"/>
      <c r="H140" s="59"/>
      <c r="I140" s="6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 ht="15">
      <c r="A141" s="58">
        <f>Inicial!A139</f>
        <v>0</v>
      </c>
      <c r="B141" s="59"/>
      <c r="C141" s="59"/>
      <c r="D141" s="60"/>
      <c r="E141" s="58"/>
      <c r="F141" s="59"/>
      <c r="G141" s="59"/>
      <c r="H141" s="59"/>
      <c r="I141" s="6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 ht="15">
      <c r="A142" s="58">
        <f>Inicial!A140</f>
        <v>0</v>
      </c>
      <c r="B142" s="59"/>
      <c r="C142" s="59"/>
      <c r="D142" s="60"/>
      <c r="E142" s="58"/>
      <c r="F142" s="59"/>
      <c r="G142" s="59"/>
      <c r="H142" s="59"/>
      <c r="I142" s="6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 ht="15">
      <c r="A143" s="58">
        <f>Inicial!A141</f>
        <v>0</v>
      </c>
      <c r="B143" s="59"/>
      <c r="C143" s="59"/>
      <c r="D143" s="60"/>
      <c r="E143" s="58"/>
      <c r="F143" s="59"/>
      <c r="G143" s="59"/>
      <c r="H143" s="59"/>
      <c r="I143" s="6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 ht="15">
      <c r="A144" s="58">
        <f>Inicial!A142</f>
        <v>0</v>
      </c>
      <c r="B144" s="59"/>
      <c r="C144" s="59"/>
      <c r="D144" s="60"/>
      <c r="E144" s="58"/>
      <c r="F144" s="59"/>
      <c r="G144" s="59"/>
      <c r="H144" s="59"/>
      <c r="I144" s="6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 ht="15">
      <c r="A145" s="58">
        <f>Inicial!A143</f>
        <v>0</v>
      </c>
      <c r="B145" s="59"/>
      <c r="C145" s="59"/>
      <c r="D145" s="60"/>
      <c r="E145" s="58"/>
      <c r="F145" s="59"/>
      <c r="G145" s="59"/>
      <c r="H145" s="59"/>
      <c r="I145" s="6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 ht="15">
      <c r="A146" s="58">
        <f>Inicial!A144</f>
        <v>0</v>
      </c>
      <c r="B146" s="59"/>
      <c r="C146" s="59"/>
      <c r="D146" s="60"/>
      <c r="E146" s="58"/>
      <c r="F146" s="59"/>
      <c r="G146" s="59"/>
      <c r="H146" s="59"/>
      <c r="I146" s="6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 ht="15">
      <c r="A147" s="58">
        <f>Inicial!A145</f>
        <v>0</v>
      </c>
      <c r="B147" s="59"/>
      <c r="C147" s="59"/>
      <c r="D147" s="60"/>
      <c r="E147" s="58"/>
      <c r="F147" s="59"/>
      <c r="G147" s="59"/>
      <c r="H147" s="59"/>
      <c r="I147" s="6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 ht="15">
      <c r="A148" s="58">
        <f>Inicial!A146</f>
        <v>0</v>
      </c>
      <c r="B148" s="59"/>
      <c r="C148" s="59"/>
      <c r="D148" s="60"/>
      <c r="E148" s="58"/>
      <c r="F148" s="59"/>
      <c r="G148" s="59"/>
      <c r="H148" s="59"/>
      <c r="I148" s="6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 ht="15">
      <c r="A149" s="58">
        <f>Inicial!A147</f>
        <v>0</v>
      </c>
      <c r="B149" s="59"/>
      <c r="C149" s="59"/>
      <c r="D149" s="60"/>
      <c r="E149" s="58"/>
      <c r="F149" s="59"/>
      <c r="G149" s="59"/>
      <c r="H149" s="59"/>
      <c r="I149" s="6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 ht="15">
      <c r="A150" s="58">
        <f>Inicial!A148</f>
        <v>0</v>
      </c>
      <c r="B150" s="59"/>
      <c r="C150" s="59"/>
      <c r="D150" s="60"/>
      <c r="E150" s="58"/>
      <c r="F150" s="59"/>
      <c r="G150" s="59"/>
      <c r="H150" s="59"/>
      <c r="I150" s="6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 ht="15">
      <c r="A151" s="58">
        <f>Inicial!A149</f>
        <v>0</v>
      </c>
      <c r="B151" s="59"/>
      <c r="C151" s="59"/>
      <c r="D151" s="60"/>
      <c r="E151" s="58"/>
      <c r="F151" s="59"/>
      <c r="G151" s="59"/>
      <c r="H151" s="59"/>
      <c r="I151" s="6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 ht="15">
      <c r="A152" s="58">
        <f>Inicial!A150</f>
        <v>0</v>
      </c>
      <c r="B152" s="59"/>
      <c r="C152" s="59"/>
      <c r="D152" s="60"/>
      <c r="E152" s="58"/>
      <c r="F152" s="59"/>
      <c r="G152" s="59"/>
      <c r="H152" s="59"/>
      <c r="I152" s="6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 ht="15">
      <c r="A153" s="58">
        <f>Inicial!A151</f>
        <v>0</v>
      </c>
      <c r="B153" s="59"/>
      <c r="C153" s="59"/>
      <c r="D153" s="60"/>
      <c r="E153" s="58"/>
      <c r="F153" s="59"/>
      <c r="G153" s="59"/>
      <c r="H153" s="59"/>
      <c r="I153" s="6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 ht="15">
      <c r="A154" s="58">
        <f>Inicial!A152</f>
        <v>0</v>
      </c>
      <c r="B154" s="59"/>
      <c r="C154" s="59"/>
      <c r="D154" s="60"/>
      <c r="E154" s="58"/>
      <c r="F154" s="59"/>
      <c r="G154" s="59"/>
      <c r="H154" s="59"/>
      <c r="I154" s="6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 ht="15">
      <c r="A155" s="58">
        <f>Inicial!A153</f>
        <v>0</v>
      </c>
      <c r="B155" s="59"/>
      <c r="C155" s="59"/>
      <c r="D155" s="60"/>
      <c r="E155" s="58"/>
      <c r="F155" s="59"/>
      <c r="G155" s="59"/>
      <c r="H155" s="59"/>
      <c r="I155" s="6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 ht="15">
      <c r="A156" s="58">
        <f>Inicial!A154</f>
        <v>0</v>
      </c>
      <c r="B156" s="59"/>
      <c r="C156" s="59"/>
      <c r="D156" s="60"/>
      <c r="E156" s="58"/>
      <c r="F156" s="59"/>
      <c r="G156" s="59"/>
      <c r="H156" s="59"/>
      <c r="I156" s="6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 ht="15">
      <c r="A157" s="58">
        <f>Inicial!A155</f>
        <v>0</v>
      </c>
      <c r="B157" s="59"/>
      <c r="C157" s="59"/>
      <c r="D157" s="60"/>
      <c r="E157" s="58"/>
      <c r="F157" s="59"/>
      <c r="G157" s="59"/>
      <c r="H157" s="59"/>
      <c r="I157" s="6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 ht="15">
      <c r="A158" s="58">
        <f>Inicial!A156</f>
        <v>0</v>
      </c>
      <c r="B158" s="59"/>
      <c r="C158" s="59"/>
      <c r="D158" s="60"/>
      <c r="E158" s="58"/>
      <c r="F158" s="59"/>
      <c r="G158" s="59"/>
      <c r="H158" s="59"/>
      <c r="I158" s="6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 ht="15">
      <c r="A159" s="58">
        <f>Inicial!A157</f>
        <v>0</v>
      </c>
      <c r="B159" s="59"/>
      <c r="C159" s="59"/>
      <c r="D159" s="60"/>
      <c r="E159" s="58"/>
      <c r="F159" s="59"/>
      <c r="G159" s="59"/>
      <c r="H159" s="59"/>
      <c r="I159" s="6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 ht="15">
      <c r="A160" s="58">
        <f>Inicial!A158</f>
        <v>0</v>
      </c>
      <c r="B160" s="59"/>
      <c r="C160" s="59"/>
      <c r="D160" s="60"/>
      <c r="E160" s="58"/>
      <c r="F160" s="59"/>
      <c r="G160" s="59"/>
      <c r="H160" s="59"/>
      <c r="I160" s="6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 ht="15">
      <c r="A161" s="58">
        <f>Inicial!A159</f>
        <v>0</v>
      </c>
      <c r="B161" s="59"/>
      <c r="C161" s="59"/>
      <c r="D161" s="60"/>
      <c r="E161" s="58"/>
      <c r="F161" s="59"/>
      <c r="G161" s="59"/>
      <c r="H161" s="59"/>
      <c r="I161" s="6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 ht="15">
      <c r="A162" s="58">
        <f>Inicial!A160</f>
        <v>0</v>
      </c>
      <c r="B162" s="59"/>
      <c r="C162" s="59"/>
      <c r="D162" s="60"/>
      <c r="E162" s="58"/>
      <c r="F162" s="59"/>
      <c r="G162" s="59"/>
      <c r="H162" s="59"/>
      <c r="I162" s="6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 ht="15">
      <c r="A163" s="58">
        <f>Inicial!A161</f>
        <v>0</v>
      </c>
      <c r="B163" s="59"/>
      <c r="C163" s="59"/>
      <c r="D163" s="60"/>
      <c r="E163" s="58"/>
      <c r="F163" s="59"/>
      <c r="G163" s="59"/>
      <c r="H163" s="59"/>
      <c r="I163" s="6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 ht="15">
      <c r="A164" s="58">
        <f>Inicial!A162</f>
        <v>0</v>
      </c>
      <c r="B164" s="59"/>
      <c r="C164" s="59"/>
      <c r="D164" s="60"/>
      <c r="E164" s="58"/>
      <c r="F164" s="59"/>
      <c r="G164" s="59"/>
      <c r="H164" s="59"/>
      <c r="I164" s="6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 ht="15">
      <c r="A165" s="58">
        <f>Inicial!A163</f>
        <v>0</v>
      </c>
      <c r="B165" s="59"/>
      <c r="C165" s="59"/>
      <c r="D165" s="60"/>
      <c r="E165" s="58"/>
      <c r="F165" s="59"/>
      <c r="G165" s="59"/>
      <c r="H165" s="59"/>
      <c r="I165" s="6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 ht="15">
      <c r="A166" s="58">
        <f>Inicial!A164</f>
        <v>0</v>
      </c>
      <c r="B166" s="59"/>
      <c r="C166" s="59"/>
      <c r="D166" s="60"/>
      <c r="E166" s="58"/>
      <c r="F166" s="59"/>
      <c r="G166" s="59"/>
      <c r="H166" s="59"/>
      <c r="I166" s="6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 ht="15">
      <c r="A167" s="58">
        <f>Inicial!A165</f>
        <v>0</v>
      </c>
      <c r="B167" s="59"/>
      <c r="C167" s="59"/>
      <c r="D167" s="60"/>
      <c r="E167" s="58"/>
      <c r="F167" s="59"/>
      <c r="G167" s="59"/>
      <c r="H167" s="59"/>
      <c r="I167" s="6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 ht="15">
      <c r="A168" s="58">
        <f>Inicial!A166</f>
        <v>0</v>
      </c>
      <c r="B168" s="59"/>
      <c r="C168" s="59"/>
      <c r="D168" s="60"/>
      <c r="E168" s="58"/>
      <c r="F168" s="59"/>
      <c r="G168" s="59"/>
      <c r="H168" s="59"/>
      <c r="I168" s="6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 ht="15">
      <c r="A169" s="58">
        <f>Inicial!A167</f>
        <v>0</v>
      </c>
      <c r="B169" s="59"/>
      <c r="C169" s="59"/>
      <c r="D169" s="60"/>
      <c r="E169" s="58"/>
      <c r="F169" s="59"/>
      <c r="G169" s="59"/>
      <c r="H169" s="59"/>
      <c r="I169" s="6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 ht="15">
      <c r="A170" s="58">
        <f>Inicial!A168</f>
        <v>0</v>
      </c>
      <c r="B170" s="59"/>
      <c r="C170" s="59"/>
      <c r="D170" s="60"/>
      <c r="E170" s="58"/>
      <c r="F170" s="59"/>
      <c r="G170" s="59"/>
      <c r="H170" s="59"/>
      <c r="I170" s="6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 ht="15">
      <c r="A171" s="58">
        <f>Inicial!A169</f>
        <v>0</v>
      </c>
      <c r="B171" s="59"/>
      <c r="C171" s="59"/>
      <c r="D171" s="60"/>
      <c r="E171" s="58"/>
      <c r="F171" s="59"/>
      <c r="G171" s="59"/>
      <c r="H171" s="59"/>
      <c r="I171" s="6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 ht="15">
      <c r="A172" s="58">
        <f>Inicial!A170</f>
        <v>0</v>
      </c>
      <c r="B172" s="59"/>
      <c r="C172" s="59"/>
      <c r="D172" s="60"/>
      <c r="E172" s="58"/>
      <c r="F172" s="59"/>
      <c r="G172" s="59"/>
      <c r="H172" s="59"/>
      <c r="I172" s="6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 ht="15">
      <c r="A173" s="58">
        <f>Inicial!A171</f>
        <v>0</v>
      </c>
      <c r="B173" s="59"/>
      <c r="C173" s="59"/>
      <c r="D173" s="60"/>
      <c r="E173" s="58"/>
      <c r="F173" s="59"/>
      <c r="G173" s="59"/>
      <c r="H173" s="59"/>
      <c r="I173" s="6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 ht="15">
      <c r="A174" s="58">
        <f>Inicial!A172</f>
        <v>0</v>
      </c>
      <c r="B174" s="59"/>
      <c r="C174" s="59"/>
      <c r="D174" s="60"/>
      <c r="E174" s="58"/>
      <c r="F174" s="59"/>
      <c r="G174" s="59"/>
      <c r="H174" s="59"/>
      <c r="I174" s="6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 ht="15">
      <c r="A175" s="58">
        <f>Inicial!A173</f>
        <v>0</v>
      </c>
      <c r="B175" s="59"/>
      <c r="C175" s="59"/>
      <c r="D175" s="60"/>
      <c r="E175" s="58"/>
      <c r="F175" s="59"/>
      <c r="G175" s="59"/>
      <c r="H175" s="59"/>
      <c r="I175" s="6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>
      <c r="A176" s="58"/>
      <c r="B176" s="59"/>
      <c r="C176" s="59"/>
      <c r="D176" s="60"/>
      <c r="E176" s="58"/>
      <c r="F176" s="59"/>
      <c r="G176" s="59"/>
      <c r="H176" s="59"/>
      <c r="I176" s="6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24:39"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24:39"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24:39"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24:39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24:39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24:39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24:39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24:39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24:39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24:39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24:39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24:39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24:39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24:39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24:39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24:39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44">
    <cfRule type="cellIs" dxfId="38" priority="1" operator="equal">
      <formula>"N/A"</formula>
    </cfRule>
  </conditionalFormatting>
  <conditionalFormatting sqref="J3:V175">
    <cfRule type="cellIs" dxfId="37" priority="10" operator="equal">
      <formula>"NO"</formula>
    </cfRule>
    <cfRule type="cellIs" dxfId="36" priority="11" operator="equal">
      <formula>"SI"</formula>
    </cfRule>
  </conditionalFormatting>
  <conditionalFormatting sqref="K145:V175 J176:W1048576">
    <cfRule type="cellIs" dxfId="35" priority="12" operator="equal">
      <formula>"NO"</formula>
    </cfRule>
    <cfRule type="cellIs" dxfId="34" priority="13" operator="equal">
      <formula>"SI"</formula>
    </cfRule>
  </conditionalFormatting>
  <conditionalFormatting sqref="W3:W175">
    <cfRule type="cellIs" dxfId="33" priority="4" operator="equal">
      <formula>"No Aceptable"</formula>
    </cfRule>
    <cfRule type="cellIs" dxfId="32" priority="5" operator="equal">
      <formula>"Aceptable"</formula>
    </cfRule>
  </conditionalFormatting>
  <conditionalFormatting sqref="X3:AM295">
    <cfRule type="cellIs" dxfId="31" priority="8" operator="equal">
      <formula>"SI"</formula>
    </cfRule>
    <cfRule type="cellIs" dxfId="30" priority="9" operator="equal">
      <formula>"NO"</formula>
    </cfRule>
  </conditionalFormatting>
  <conditionalFormatting sqref="AN3:AN175">
    <cfRule type="cellIs" dxfId="29" priority="2" operator="equal">
      <formula>"No critico"</formula>
    </cfRule>
    <cfRule type="cellIs" dxfId="28" priority="3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J3:V144 X3:AM295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7"/>
  <sheetViews>
    <sheetView zoomScale="69" zoomScaleNormal="69" workbookViewId="0">
      <pane xSplit="9" ySplit="2" topLeftCell="J4" activePane="bottomRight" state="frozen"/>
      <selection pane="topRight" activeCell="J1" sqref="J1"/>
      <selection pane="bottomLeft" activeCell="A3" sqref="A3"/>
      <selection pane="bottomRight" activeCell="A4" sqref="A4"/>
    </sheetView>
  </sheetViews>
  <sheetFormatPr baseColWidth="10" defaultColWidth="11.5" defaultRowHeight="14.25"/>
  <cols>
    <col min="1" max="1" width="3.125" style="4" customWidth="1"/>
    <col min="2" max="3" width="11.5" style="1" customWidth="1"/>
    <col min="4" max="4" width="14.375" style="1" customWidth="1"/>
    <col min="5" max="5" width="13.5" style="1" customWidth="1"/>
    <col min="6" max="6" width="11.5" style="1"/>
    <col min="9" max="9" width="11.5" customWidth="1"/>
    <col min="10" max="10" width="23.625" style="1" customWidth="1"/>
    <col min="11" max="11" width="20.875" style="1" customWidth="1"/>
    <col min="12" max="12" width="18.375" customWidth="1"/>
    <col min="13" max="13" width="18.625" customWidth="1"/>
    <col min="14" max="14" width="15" customWidth="1"/>
    <col min="15" max="15" width="14.375" customWidth="1"/>
    <col min="16" max="18" width="18.375" customWidth="1"/>
    <col min="19" max="21" width="19.875" customWidth="1"/>
    <col min="22" max="22" width="29" customWidth="1"/>
    <col min="23" max="23" width="28.625" customWidth="1"/>
    <col min="24" max="24" width="28.625" style="4" customWidth="1"/>
    <col min="25" max="28" width="16.625" customWidth="1"/>
    <col min="29" max="39" width="28.625" customWidth="1"/>
    <col min="40" max="40" width="13.625" customWidth="1"/>
  </cols>
  <sheetData>
    <row r="1" spans="1:46" ht="60" customHeight="1">
      <c r="A1" s="159" t="s">
        <v>487</v>
      </c>
      <c r="B1" s="159"/>
      <c r="C1" s="159"/>
      <c r="D1" s="159"/>
      <c r="E1" s="159"/>
      <c r="F1" s="138" t="s">
        <v>315</v>
      </c>
      <c r="G1" s="138"/>
      <c r="H1" s="138" t="s">
        <v>316</v>
      </c>
      <c r="I1" s="138"/>
      <c r="J1" s="155" t="s">
        <v>488</v>
      </c>
      <c r="K1" s="156"/>
      <c r="L1" s="156"/>
      <c r="M1" s="157"/>
      <c r="N1" s="155" t="s">
        <v>489</v>
      </c>
      <c r="O1" s="156"/>
      <c r="P1" s="156"/>
      <c r="Q1" s="155" t="s">
        <v>490</v>
      </c>
      <c r="R1" s="156"/>
      <c r="S1" s="156"/>
      <c r="T1" s="155" t="s">
        <v>491</v>
      </c>
      <c r="U1" s="156"/>
      <c r="V1" s="156"/>
      <c r="W1" s="18" t="s">
        <v>492</v>
      </c>
      <c r="X1" s="82" t="s">
        <v>399</v>
      </c>
      <c r="Y1" s="155" t="s">
        <v>488</v>
      </c>
      <c r="Z1" s="156"/>
      <c r="AA1" s="156"/>
      <c r="AB1" s="157"/>
      <c r="AC1" s="155" t="s">
        <v>493</v>
      </c>
      <c r="AD1" s="156"/>
      <c r="AE1" s="156"/>
      <c r="AF1" s="157"/>
      <c r="AG1" s="155" t="s">
        <v>494</v>
      </c>
      <c r="AH1" s="156"/>
      <c r="AI1" s="157"/>
      <c r="AJ1" s="155" t="s">
        <v>495</v>
      </c>
      <c r="AK1" s="156"/>
      <c r="AL1" s="157"/>
      <c r="AM1" s="17" t="s">
        <v>496</v>
      </c>
      <c r="AN1" s="17" t="s">
        <v>399</v>
      </c>
      <c r="AO1" s="152" t="s">
        <v>319</v>
      </c>
      <c r="AP1" s="153"/>
      <c r="AQ1" s="153"/>
      <c r="AR1" s="153"/>
      <c r="AS1" s="153"/>
      <c r="AT1" s="154"/>
    </row>
    <row r="2" spans="1:46" ht="88.15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13" t="s">
        <v>497</v>
      </c>
      <c r="K2" s="13" t="s">
        <v>498</v>
      </c>
      <c r="L2" s="13" t="s">
        <v>499</v>
      </c>
      <c r="M2" s="13" t="s">
        <v>500</v>
      </c>
      <c r="N2" s="13" t="s">
        <v>501</v>
      </c>
      <c r="O2" s="13" t="s">
        <v>502</v>
      </c>
      <c r="P2" s="13" t="s">
        <v>503</v>
      </c>
      <c r="Q2" s="13" t="s">
        <v>504</v>
      </c>
      <c r="R2" s="13" t="s">
        <v>505</v>
      </c>
      <c r="S2" s="13" t="s">
        <v>506</v>
      </c>
      <c r="T2" s="19" t="s">
        <v>507</v>
      </c>
      <c r="U2" s="19" t="s">
        <v>508</v>
      </c>
      <c r="V2" s="19" t="s">
        <v>509</v>
      </c>
      <c r="W2" s="13" t="s">
        <v>510</v>
      </c>
      <c r="X2" s="82" t="s">
        <v>330</v>
      </c>
      <c r="Y2" s="20" t="s">
        <v>511</v>
      </c>
      <c r="Z2" s="20" t="s">
        <v>512</v>
      </c>
      <c r="AA2" s="20" t="s">
        <v>513</v>
      </c>
      <c r="AB2" s="20" t="s">
        <v>514</v>
      </c>
      <c r="AC2" s="20" t="s">
        <v>515</v>
      </c>
      <c r="AD2" s="20" t="s">
        <v>516</v>
      </c>
      <c r="AE2" s="20" t="s">
        <v>517</v>
      </c>
      <c r="AF2" s="13" t="s">
        <v>518</v>
      </c>
      <c r="AG2" s="13" t="s">
        <v>519</v>
      </c>
      <c r="AH2" s="13" t="s">
        <v>520</v>
      </c>
      <c r="AI2" s="13" t="s">
        <v>521</v>
      </c>
      <c r="AJ2" s="13" t="s">
        <v>522</v>
      </c>
      <c r="AK2" s="13" t="s">
        <v>523</v>
      </c>
      <c r="AL2" s="13" t="s">
        <v>524</v>
      </c>
      <c r="AM2" s="13" t="s">
        <v>525</v>
      </c>
      <c r="AN2" s="13" t="s">
        <v>337</v>
      </c>
      <c r="AO2" s="13" t="s">
        <v>338</v>
      </c>
      <c r="AP2" s="13" t="s">
        <v>339</v>
      </c>
      <c r="AQ2" s="13" t="s">
        <v>340</v>
      </c>
      <c r="AR2" s="13" t="s">
        <v>341</v>
      </c>
      <c r="AS2" s="13" t="s">
        <v>342</v>
      </c>
      <c r="AT2" s="13" t="s">
        <v>343</v>
      </c>
    </row>
    <row r="3" spans="1:46" s="5" customFormat="1" ht="25.9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IF(Inicial!N3="SI",Inicial!E3,"N/A")</f>
        <v>N/A</v>
      </c>
      <c r="F3" s="59" t="str">
        <f>IF(Inicial!N3="SI",Inicial!F3,"N/A")</f>
        <v>N/A</v>
      </c>
      <c r="G3" s="59" t="str">
        <f>IF(Inicial!N3="SI",Inicial!G3,"N/A")</f>
        <v>N/A</v>
      </c>
      <c r="H3" s="59" t="str">
        <f>IF(Inicial!N3="SI",Inicial!H3,"N/A")</f>
        <v>N/A</v>
      </c>
      <c r="I3" s="61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83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IF(Inicial!N4="SI",Inicial!E4,"N/A")</f>
        <v>N/A</v>
      </c>
      <c r="F4" s="59" t="str">
        <f>IF(Inicial!N4="SI",Inicial!F4,"N/A")</f>
        <v>N/A</v>
      </c>
      <c r="G4" s="59" t="str">
        <f>IF(Inicial!N4="SI",Inicial!G4,"N/A")</f>
        <v>N/A</v>
      </c>
      <c r="H4" s="59" t="str">
        <f>IF(Inicial!N4="SI",Inicial!H4,"N/A")</f>
        <v>N/A</v>
      </c>
      <c r="I4" s="61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83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IF(Inicial!N5="SI",Inicial!E5,"N/A")</f>
        <v>N/A</v>
      </c>
      <c r="F5" s="59" t="str">
        <f>IF(Inicial!N5="SI",Inicial!F5,"N/A")</f>
        <v>N/A</v>
      </c>
      <c r="G5" s="59" t="str">
        <f>IF(Inicial!N5="SI",Inicial!G5,"N/A")</f>
        <v>N/A</v>
      </c>
      <c r="H5" s="59" t="str">
        <f>IF(Inicial!N5="SI",Inicial!H5,"N/A")</f>
        <v>N/A</v>
      </c>
      <c r="I5" s="61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3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IF(Inicial!N6="SI",Inicial!E6,"N/A")</f>
        <v>N/A</v>
      </c>
      <c r="F6" s="59" t="str">
        <f>IF(Inicial!N6="SI",Inicial!F6,"N/A")</f>
        <v>N/A</v>
      </c>
      <c r="G6" s="59" t="str">
        <f>IF(Inicial!N6="SI",Inicial!G6,"N/A")</f>
        <v>N/A</v>
      </c>
      <c r="H6" s="59" t="str">
        <f>IF(Inicial!N6="SI",Inicial!H6,"N/A")</f>
        <v>N/A</v>
      </c>
      <c r="I6" s="61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83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IF(Inicial!N7="SI",Inicial!E7,"N/A")</f>
        <v>N/A</v>
      </c>
      <c r="F7" s="59" t="str">
        <f>IF(Inicial!N7="SI",Inicial!F7,"N/A")</f>
        <v>N/A</v>
      </c>
      <c r="G7" s="59" t="str">
        <f>IF(Inicial!N7="SI",Inicial!G7,"N/A")</f>
        <v>N/A</v>
      </c>
      <c r="H7" s="59" t="str">
        <f>IF(Inicial!N7="SI",Inicial!H7,"N/A")</f>
        <v>N/A</v>
      </c>
      <c r="I7" s="61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83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IF(Inicial!N8="SI",Inicial!E8,"N/A")</f>
        <v>N/A</v>
      </c>
      <c r="F8" s="59" t="str">
        <f>IF(Inicial!N8="SI",Inicial!F8,"N/A")</f>
        <v>N/A</v>
      </c>
      <c r="G8" s="59" t="str">
        <f>IF(Inicial!N8="SI",Inicial!G8,"N/A")</f>
        <v>N/A</v>
      </c>
      <c r="H8" s="59" t="str">
        <f>IF(Inicial!N8="SI",Inicial!H8,"N/A")</f>
        <v>N/A</v>
      </c>
      <c r="I8" s="61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83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 ht="15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IF(Inicial!N9="SI",Inicial!E9,"N/A")</f>
        <v>N/A</v>
      </c>
      <c r="F9" s="59" t="str">
        <f>IF(Inicial!N9="SI",Inicial!F9,"N/A")</f>
        <v>N/A</v>
      </c>
      <c r="G9" s="59" t="str">
        <f>IF(Inicial!N9="SI",Inicial!G9,"N/A")</f>
        <v>N/A</v>
      </c>
      <c r="H9" s="59" t="str">
        <f>IF(Inicial!N9="SI",Inicial!H9,"N/A")</f>
        <v>N/A</v>
      </c>
      <c r="I9" s="61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83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 ht="15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IF(Inicial!N10="SI",Inicial!E10,"N/A")</f>
        <v>N/A</v>
      </c>
      <c r="F10" s="59" t="str">
        <f>IF(Inicial!N10="SI",Inicial!F10,"N/A")</f>
        <v>N/A</v>
      </c>
      <c r="G10" s="59" t="str">
        <f>IF(Inicial!N10="SI",Inicial!G10,"N/A")</f>
        <v>N/A</v>
      </c>
      <c r="H10" s="59" t="str">
        <f>IF(Inicial!N10="SI",Inicial!H10,"N/A")</f>
        <v>N/A</v>
      </c>
      <c r="I10" s="61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83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 ht="15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IF(Inicial!N11="SI",Inicial!E11,"N/A")</f>
        <v>N/A</v>
      </c>
      <c r="F11" s="59" t="str">
        <f>IF(Inicial!N11="SI",Inicial!F11,"N/A")</f>
        <v>N/A</v>
      </c>
      <c r="G11" s="59" t="str">
        <f>IF(Inicial!N11="SI",Inicial!G11,"N/A")</f>
        <v>N/A</v>
      </c>
      <c r="H11" s="59" t="str">
        <f>IF(Inicial!N11="SI",Inicial!H11,"N/A")</f>
        <v>N/A</v>
      </c>
      <c r="I11" s="61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3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 ht="15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IF(Inicial!N12="SI",Inicial!E12,"N/A")</f>
        <v>N/A</v>
      </c>
      <c r="F12" s="59" t="str">
        <f>IF(Inicial!N12="SI",Inicial!F12,"N/A")</f>
        <v>N/A</v>
      </c>
      <c r="G12" s="59" t="str">
        <f>IF(Inicial!N12="SI",Inicial!G12,"N/A")</f>
        <v>N/A</v>
      </c>
      <c r="H12" s="59" t="str">
        <f>IF(Inicial!N12="SI",Inicial!H12,"N/A")</f>
        <v>N/A</v>
      </c>
      <c r="I12" s="61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3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 ht="15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IF(Inicial!N13="SI",Inicial!E13,"N/A")</f>
        <v>N/A</v>
      </c>
      <c r="F13" s="59" t="str">
        <f>IF(Inicial!N13="SI",Inicial!F13,"N/A")</f>
        <v>N/A</v>
      </c>
      <c r="G13" s="59" t="str">
        <f>IF(Inicial!N13="SI",Inicial!G13,"N/A")</f>
        <v>N/A</v>
      </c>
      <c r="H13" s="59" t="str">
        <f>IF(Inicial!N13="SI",Inicial!H13,"N/A")</f>
        <v>N/A</v>
      </c>
      <c r="I13" s="61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83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 ht="25.5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IF(Inicial!N14="SI",Inicial!E14,"N/A")</f>
        <v>N/A</v>
      </c>
      <c r="F14" s="59" t="str">
        <f>IF(Inicial!N14="SI",Inicial!F14,"N/A")</f>
        <v>N/A</v>
      </c>
      <c r="G14" s="59" t="str">
        <f>IF(Inicial!N14="SI",Inicial!G14,"N/A")</f>
        <v>N/A</v>
      </c>
      <c r="H14" s="59" t="str">
        <f>IF(Inicial!N14="SI",Inicial!H14,"N/A")</f>
        <v>N/A</v>
      </c>
      <c r="I14" s="61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83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25.5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IF(Inicial!N15="SI",Inicial!E15,"N/A")</f>
        <v>N/A</v>
      </c>
      <c r="F15" s="59" t="str">
        <f>IF(Inicial!N15="SI",Inicial!F15,"N/A")</f>
        <v>N/A</v>
      </c>
      <c r="G15" s="59" t="str">
        <f>IF(Inicial!N15="SI",Inicial!G15,"N/A")</f>
        <v>N/A</v>
      </c>
      <c r="H15" s="59" t="str">
        <f>IF(Inicial!N15="SI",Inicial!H15,"N/A")</f>
        <v>N/A</v>
      </c>
      <c r="I15" s="61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83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 ht="15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IF(Inicial!N16="SI",Inicial!E16,"N/A")</f>
        <v>N/A</v>
      </c>
      <c r="F16" s="59" t="str">
        <f>IF(Inicial!N16="SI",Inicial!F16,"N/A")</f>
        <v>N/A</v>
      </c>
      <c r="G16" s="59" t="str">
        <f>IF(Inicial!N16="SI",Inicial!G16,"N/A")</f>
        <v>N/A</v>
      </c>
      <c r="H16" s="59" t="str">
        <f>IF(Inicial!N16="SI",Inicial!H16,"N/A")</f>
        <v>N/A</v>
      </c>
      <c r="I16" s="61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83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 ht="15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IF(Inicial!N17="SI",Inicial!E17,"N/A")</f>
        <v>N/A</v>
      </c>
      <c r="F17" s="59" t="str">
        <f>IF(Inicial!N17="SI",Inicial!F17,"N/A")</f>
        <v>N/A</v>
      </c>
      <c r="G17" s="59" t="str">
        <f>IF(Inicial!N17="SI",Inicial!G17,"N/A")</f>
        <v>N/A</v>
      </c>
      <c r="H17" s="59" t="str">
        <f>IF(Inicial!N17="SI",Inicial!H17,"N/A")</f>
        <v>N/A</v>
      </c>
      <c r="I17" s="61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83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 ht="15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IF(Inicial!N18="SI",Inicial!E18,"N/A")</f>
        <v>N/A</v>
      </c>
      <c r="F18" s="59" t="str">
        <f>IF(Inicial!N18="SI",Inicial!F18,"N/A")</f>
        <v>N/A</v>
      </c>
      <c r="G18" s="59" t="str">
        <f>IF(Inicial!N18="SI",Inicial!G18,"N/A")</f>
        <v>N/A</v>
      </c>
      <c r="H18" s="59" t="str">
        <f>IF(Inicial!N18="SI",Inicial!H18,"N/A")</f>
        <v>N/A</v>
      </c>
      <c r="I18" s="61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83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 ht="15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IF(Inicial!N19="SI",Inicial!E19,"N/A")</f>
        <v>N/A</v>
      </c>
      <c r="F19" s="59" t="str">
        <f>IF(Inicial!N19="SI",Inicial!F19,"N/A")</f>
        <v>N/A</v>
      </c>
      <c r="G19" s="59" t="str">
        <f>IF(Inicial!N19="SI",Inicial!G19,"N/A")</f>
        <v>N/A</v>
      </c>
      <c r="H19" s="59" t="str">
        <f>IF(Inicial!N19="SI",Inicial!H19,"N/A")</f>
        <v>N/A</v>
      </c>
      <c r="I19" s="61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3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 ht="15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IF(Inicial!N20="SI",Inicial!E20,"N/A")</f>
        <v>N/A</v>
      </c>
      <c r="F20" s="59" t="str">
        <f>IF(Inicial!N20="SI",Inicial!F20,"N/A")</f>
        <v>N/A</v>
      </c>
      <c r="G20" s="59" t="str">
        <f>IF(Inicial!N20="SI",Inicial!G20,"N/A")</f>
        <v>N/A</v>
      </c>
      <c r="H20" s="59" t="str">
        <f>IF(Inicial!N20="SI",Inicial!H20,"N/A")</f>
        <v>N/A</v>
      </c>
      <c r="I20" s="61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83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 ht="15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IF(Inicial!N21="SI",Inicial!E21,"N/A")</f>
        <v>N/A</v>
      </c>
      <c r="F21" s="59" t="str">
        <f>IF(Inicial!N21="SI",Inicial!F21,"N/A")</f>
        <v>N/A</v>
      </c>
      <c r="G21" s="59" t="str">
        <f>IF(Inicial!N21="SI",Inicial!G21,"N/A")</f>
        <v>N/A</v>
      </c>
      <c r="H21" s="59" t="str">
        <f>IF(Inicial!N21="SI",Inicial!H21,"N/A")</f>
        <v>N/A</v>
      </c>
      <c r="I21" s="61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8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 ht="15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IF(Inicial!N22="SI",Inicial!E22,"N/A")</f>
        <v>N/A</v>
      </c>
      <c r="F22" s="59" t="str">
        <f>IF(Inicial!N22="SI",Inicial!F22,"N/A")</f>
        <v>N/A</v>
      </c>
      <c r="G22" s="59" t="str">
        <f>IF(Inicial!N22="SI",Inicial!G22,"N/A")</f>
        <v>N/A</v>
      </c>
      <c r="H22" s="59" t="str">
        <f>IF(Inicial!N22="SI",Inicial!H22,"N/A")</f>
        <v>N/A</v>
      </c>
      <c r="I22" s="61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 ht="15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IF(Inicial!N23="SI",Inicial!E23,"N/A")</f>
        <v>N/A</v>
      </c>
      <c r="F23" s="59" t="str">
        <f>IF(Inicial!N23="SI",Inicial!F23,"N/A")</f>
        <v>N/A</v>
      </c>
      <c r="G23" s="59" t="str">
        <f>IF(Inicial!N23="SI",Inicial!G23,"N/A")</f>
        <v>N/A</v>
      </c>
      <c r="H23" s="59" t="str">
        <f>IF(Inicial!N23="SI",Inicial!H23,"N/A")</f>
        <v>N/A</v>
      </c>
      <c r="I23" s="61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8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 ht="15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IF(Inicial!N24="SI",Inicial!E24,"N/A")</f>
        <v>N/A</v>
      </c>
      <c r="F24" s="59" t="str">
        <f>IF(Inicial!N24="SI",Inicial!F24,"N/A")</f>
        <v>N/A</v>
      </c>
      <c r="G24" s="59" t="str">
        <f>IF(Inicial!N24="SI",Inicial!G24,"N/A")</f>
        <v>N/A</v>
      </c>
      <c r="H24" s="59" t="str">
        <f>IF(Inicial!N24="SI",Inicial!H24,"N/A")</f>
        <v>N/A</v>
      </c>
      <c r="I24" s="61" t="str">
        <f>IF(Inicial!N24="SI",Inicial!I24,"N/A")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8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 ht="25.5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IF(Inicial!N25="SI",Inicial!E25,"N/A")</f>
        <v>N/A</v>
      </c>
      <c r="F25" s="59" t="str">
        <f>IF(Inicial!N25="SI",Inicial!F25,"N/A")</f>
        <v>N/A</v>
      </c>
      <c r="G25" s="59" t="str">
        <f>IF(Inicial!N25="SI",Inicial!G25,"N/A")</f>
        <v>N/A</v>
      </c>
      <c r="H25" s="59" t="str">
        <f>IF(Inicial!N25="SI",Inicial!H25,"N/A")</f>
        <v>N/A</v>
      </c>
      <c r="I25" s="61" t="str">
        <f>IF(Inicial!N25="SI",Inicial!I25,"N/A")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8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 ht="25.5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IF(Inicial!N26="SI",Inicial!E26,"N/A")</f>
        <v>N/A</v>
      </c>
      <c r="F26" s="59" t="str">
        <f>IF(Inicial!N26="SI",Inicial!F26,"N/A")</f>
        <v>N/A</v>
      </c>
      <c r="G26" s="59" t="str">
        <f>IF(Inicial!N26="SI",Inicial!G26,"N/A")</f>
        <v>N/A</v>
      </c>
      <c r="H26" s="59" t="str">
        <f>IF(Inicial!N26="SI",Inicial!H26,"N/A")</f>
        <v>N/A</v>
      </c>
      <c r="I26" s="61" t="str">
        <f>IF(Inicial!N26="SI",Inicial!I26,"N/A")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8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 ht="25.5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IF(Inicial!N27="SI",Inicial!E27,"N/A")</f>
        <v>N/A</v>
      </c>
      <c r="F27" s="59" t="str">
        <f>IF(Inicial!N27="SI",Inicial!F27,"N/A")</f>
        <v>N/A</v>
      </c>
      <c r="G27" s="59" t="str">
        <f>IF(Inicial!N27="SI",Inicial!G27,"N/A")</f>
        <v>N/A</v>
      </c>
      <c r="H27" s="59" t="str">
        <f>IF(Inicial!N27="SI",Inicial!H27,"N/A")</f>
        <v>N/A</v>
      </c>
      <c r="I27" s="61" t="str">
        <f>IF(Inicial!N27="SI",Inicial!I27,"N/A")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8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 ht="15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IF(Inicial!N28="SI",Inicial!E28,"N/A")</f>
        <v>N/A</v>
      </c>
      <c r="F28" s="59" t="str">
        <f>IF(Inicial!N28="SI",Inicial!F28,"N/A")</f>
        <v>N/A</v>
      </c>
      <c r="G28" s="59" t="str">
        <f>IF(Inicial!N28="SI",Inicial!G28,"N/A")</f>
        <v>N/A</v>
      </c>
      <c r="H28" s="59" t="str">
        <f>IF(Inicial!N28="SI",Inicial!H28,"N/A")</f>
        <v>N/A</v>
      </c>
      <c r="I28" s="61" t="str">
        <f>IF(Inicial!N28="SI",Inicial!I28,"N/A")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8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 ht="15">
      <c r="A29" s="58" t="e">
        <f>Inicial!#REF!</f>
        <v>#REF!</v>
      </c>
      <c r="B29" s="59" t="e">
        <f>Inicial!#REF!</f>
        <v>#REF!</v>
      </c>
      <c r="C29" s="59" t="e">
        <f>Inicial!#REF!</f>
        <v>#REF!</v>
      </c>
      <c r="D29" s="60" t="e">
        <f>Inicial!#REF!</f>
        <v>#REF!</v>
      </c>
      <c r="E29" s="58" t="e">
        <f>IF(Inicial!#REF!="SI",Inicial!#REF!,"N/A")</f>
        <v>#REF!</v>
      </c>
      <c r="F29" s="59" t="e">
        <f>IF(Inicial!#REF!="SI",Inicial!#REF!,"N/A")</f>
        <v>#REF!</v>
      </c>
      <c r="G29" s="59" t="e">
        <f>IF(Inicial!#REF!="SI",Inicial!#REF!,"N/A")</f>
        <v>#REF!</v>
      </c>
      <c r="H29" s="59" t="e">
        <f>IF(Inicial!#REF!="SI",Inicial!#REF!,"N/A")</f>
        <v>#REF!</v>
      </c>
      <c r="I29" s="61" t="e">
        <f>IF(Inicial!#REF!="SI",Inicial!#REF!,"N/A")</f>
        <v>#REF!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8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 ht="15">
      <c r="A30" s="58">
        <f>Inicial!A29</f>
        <v>27</v>
      </c>
      <c r="B30" s="59" t="str">
        <f>Inicial!B29</f>
        <v>Faenación</v>
      </c>
      <c r="C30" s="59" t="str">
        <f>Inicial!C29</f>
        <v>Eviscerado</v>
      </c>
      <c r="D30" s="60" t="str">
        <f>Inicial!D29</f>
        <v>Auroceculitis</v>
      </c>
      <c r="E30" s="58" t="str">
        <f>IF(Inicial!N29="SI",Inicial!E29,"N/A")</f>
        <v>N/A</v>
      </c>
      <c r="F30" s="59" t="str">
        <f>IF(Inicial!N29="SI",Inicial!F29,"N/A")</f>
        <v>N/A</v>
      </c>
      <c r="G30" s="59" t="str">
        <f>IF(Inicial!N29="SI",Inicial!G29,"N/A")</f>
        <v>N/A</v>
      </c>
      <c r="H30" s="59" t="str">
        <f>IF(Inicial!N29="SI",Inicial!H29,"N/A")</f>
        <v>N/A</v>
      </c>
      <c r="I30" s="61" t="str">
        <f>IF(Inicial!N29="SI",Inicial!I29,"N/A")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8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 ht="15">
      <c r="A31" s="58">
        <f>Inicial!A30</f>
        <v>28</v>
      </c>
      <c r="B31" s="59" t="str">
        <f>Inicial!B30</f>
        <v>Faenación</v>
      </c>
      <c r="C31" s="59" t="str">
        <f>Inicial!C30</f>
        <v>Eviscerado</v>
      </c>
      <c r="D31" s="60" t="str">
        <f>Inicial!D30</f>
        <v xml:space="preserve">Jefe de línea </v>
      </c>
      <c r="E31" s="58" t="str">
        <f>IF(Inicial!N30="SI",Inicial!E30,"N/A")</f>
        <v>N/A</v>
      </c>
      <c r="F31" s="59" t="str">
        <f>IF(Inicial!N30="SI",Inicial!F30,"N/A")</f>
        <v>N/A</v>
      </c>
      <c r="G31" s="59" t="str">
        <f>IF(Inicial!N30="SI",Inicial!G30,"N/A")</f>
        <v>N/A</v>
      </c>
      <c r="H31" s="59" t="str">
        <f>IF(Inicial!N30="SI",Inicial!H30,"N/A")</f>
        <v>N/A</v>
      </c>
      <c r="I31" s="61" t="str">
        <f>IF(Inicial!N30="SI",Inicial!I30,"N/A")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8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 ht="15">
      <c r="A32" s="58">
        <f>Inicial!A31</f>
        <v>29</v>
      </c>
      <c r="B32" s="59" t="str">
        <f>Inicial!B31</f>
        <v>Faenación</v>
      </c>
      <c r="C32" s="59" t="str">
        <f>Inicial!C31</f>
        <v>Eviscerado</v>
      </c>
      <c r="D32" s="60" t="str">
        <f>Inicial!D31</f>
        <v>Supervisor</v>
      </c>
      <c r="E32" s="58" t="str">
        <f>IF(Inicial!N31="SI",Inicial!E31,"N/A")</f>
        <v>N/A</v>
      </c>
      <c r="F32" s="59" t="str">
        <f>IF(Inicial!N31="SI",Inicial!F31,"N/A")</f>
        <v>N/A</v>
      </c>
      <c r="G32" s="59" t="str">
        <f>IF(Inicial!N31="SI",Inicial!G31,"N/A")</f>
        <v>N/A</v>
      </c>
      <c r="H32" s="59" t="str">
        <f>IF(Inicial!N31="SI",Inicial!H31,"N/A")</f>
        <v>N/A</v>
      </c>
      <c r="I32" s="61" t="str">
        <f>IF(Inicial!N31="SI",Inicial!I31,"N/A")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8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 ht="15">
      <c r="A33" s="58">
        <f>Inicial!A32</f>
        <v>30</v>
      </c>
      <c r="B33" s="59" t="str">
        <f>Inicial!B32</f>
        <v>Faenación</v>
      </c>
      <c r="C33" s="59" t="str">
        <f>Inicial!C32</f>
        <v>Garras</v>
      </c>
      <c r="D33" s="60" t="str">
        <f>Inicial!D32</f>
        <v>Cinta Decomiso</v>
      </c>
      <c r="E33" s="58" t="str">
        <f>IF(Inicial!N32="SI",Inicial!E32,"N/A")</f>
        <v>N/A</v>
      </c>
      <c r="F33" s="59" t="str">
        <f>IF(Inicial!N32="SI",Inicial!F32,"N/A")</f>
        <v>N/A</v>
      </c>
      <c r="G33" s="59" t="str">
        <f>IF(Inicial!N32="SI",Inicial!G32,"N/A")</f>
        <v>N/A</v>
      </c>
      <c r="H33" s="59" t="str">
        <f>IF(Inicial!N32="SI",Inicial!H32,"N/A")</f>
        <v>N/A</v>
      </c>
      <c r="I33" s="61" t="str">
        <f>IF(Inicial!N32="SI",Inicial!I32,"N/A")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8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 ht="38.25">
      <c r="A34" s="58">
        <f>Inicial!A33</f>
        <v>31</v>
      </c>
      <c r="B34" s="59" t="str">
        <f>Inicial!B33</f>
        <v>Faenación</v>
      </c>
      <c r="C34" s="59" t="str">
        <f>Inicial!C33</f>
        <v>Garras</v>
      </c>
      <c r="D34" s="60" t="str">
        <f>Inicial!D33</f>
        <v>Embolsado Tolva/Seleccionador de Garras en Tolva</v>
      </c>
      <c r="E34" s="58" t="str">
        <f>IF(Inicial!N33="SI",Inicial!E33,"N/A")</f>
        <v>N/A</v>
      </c>
      <c r="F34" s="59" t="str">
        <f>IF(Inicial!N33="SI",Inicial!F33,"N/A")</f>
        <v>N/A</v>
      </c>
      <c r="G34" s="59" t="str">
        <f>IF(Inicial!N33="SI",Inicial!G33,"N/A")</f>
        <v>N/A</v>
      </c>
      <c r="H34" s="59" t="str">
        <f>IF(Inicial!N33="SI",Inicial!H33,"N/A")</f>
        <v>N/A</v>
      </c>
      <c r="I34" s="61" t="str">
        <f>IF(Inicial!N33="SI",Inicial!I33,"N/A")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8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 ht="15">
      <c r="A35" s="58">
        <f>Inicial!A34</f>
        <v>32</v>
      </c>
      <c r="B35" s="59" t="str">
        <f>Inicial!B34</f>
        <v>Faenación</v>
      </c>
      <c r="C35" s="59" t="str">
        <f>Inicial!C34</f>
        <v>Garras</v>
      </c>
      <c r="D35" s="60" t="str">
        <f>Inicial!D34</f>
        <v>Pesador de garras</v>
      </c>
      <c r="E35" s="58" t="str">
        <f>IF(Inicial!N34="SI",Inicial!E34,"N/A")</f>
        <v>N/A</v>
      </c>
      <c r="F35" s="59" t="str">
        <f>IF(Inicial!N34="SI",Inicial!F34,"N/A")</f>
        <v>N/A</v>
      </c>
      <c r="G35" s="59" t="str">
        <f>IF(Inicial!N34="SI",Inicial!G34,"N/A")</f>
        <v>N/A</v>
      </c>
      <c r="H35" s="59" t="str">
        <f>IF(Inicial!N34="SI",Inicial!H34,"N/A")</f>
        <v>N/A</v>
      </c>
      <c r="I35" s="61" t="str">
        <f>IF(Inicial!N34="SI",Inicial!I34,"N/A")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8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 ht="15">
      <c r="A36" s="58">
        <f>Inicial!A35</f>
        <v>33</v>
      </c>
      <c r="B36" s="59" t="str">
        <f>Inicial!B35</f>
        <v>Faenación</v>
      </c>
      <c r="C36" s="59" t="str">
        <f>Inicial!C35</f>
        <v>Garras</v>
      </c>
      <c r="D36" s="60" t="str">
        <f>Inicial!D35</f>
        <v>Repaso de callos</v>
      </c>
      <c r="E36" s="58" t="str">
        <f>IF(Inicial!N35="SI",Inicial!E35,"N/A")</f>
        <v>N/A</v>
      </c>
      <c r="F36" s="59" t="str">
        <f>IF(Inicial!N35="SI",Inicial!F35,"N/A")</f>
        <v>N/A</v>
      </c>
      <c r="G36" s="59" t="str">
        <f>IF(Inicial!N35="SI",Inicial!G35,"N/A")</f>
        <v>N/A</v>
      </c>
      <c r="H36" s="59" t="str">
        <f>IF(Inicial!N35="SI",Inicial!H35,"N/A")</f>
        <v>N/A</v>
      </c>
      <c r="I36" s="61" t="str">
        <f>IF(Inicial!N35="SI",Inicial!I35,"N/A")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8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 ht="25.5">
      <c r="A37" s="58">
        <f>Inicial!A36</f>
        <v>34</v>
      </c>
      <c r="B37" s="59" t="str">
        <f>Inicial!B36</f>
        <v>Faenación</v>
      </c>
      <c r="C37" s="59" t="str">
        <f>Inicial!C36</f>
        <v>Garras</v>
      </c>
      <c r="D37" s="60" t="str">
        <f>Inicial!D36</f>
        <v>Traslado de Garra Larga</v>
      </c>
      <c r="E37" s="58" t="str">
        <f>IF(Inicial!N36="SI",Inicial!E36,"N/A")</f>
        <v>N/A</v>
      </c>
      <c r="F37" s="59" t="str">
        <f>IF(Inicial!N36="SI",Inicial!F36,"N/A")</f>
        <v>N/A</v>
      </c>
      <c r="G37" s="59" t="str">
        <f>IF(Inicial!N36="SI",Inicial!G36,"N/A")</f>
        <v>N/A</v>
      </c>
      <c r="H37" s="59" t="str">
        <f>IF(Inicial!N36="SI",Inicial!H36,"N/A")</f>
        <v>N/A</v>
      </c>
      <c r="I37" s="61" t="str">
        <f>IF(Inicial!N36="SI",Inicial!I36,"N/A")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8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 ht="25.5">
      <c r="A38" s="58">
        <f>Inicial!A37</f>
        <v>35</v>
      </c>
      <c r="B38" s="59" t="str">
        <f>Inicial!B37</f>
        <v>Faenación</v>
      </c>
      <c r="C38" s="59" t="str">
        <f>Inicial!C37</f>
        <v>Garras</v>
      </c>
      <c r="D38" s="60" t="str">
        <f>Inicial!D37</f>
        <v>Seleccionador de garra</v>
      </c>
      <c r="E38" s="58" t="str">
        <f>IF(Inicial!N37="SI",Inicial!E37,"N/A")</f>
        <v>N/A</v>
      </c>
      <c r="F38" s="59" t="str">
        <f>IF(Inicial!N37="SI",Inicial!F37,"N/A")</f>
        <v>N/A</v>
      </c>
      <c r="G38" s="59" t="str">
        <f>IF(Inicial!N37="SI",Inicial!G37,"N/A")</f>
        <v>N/A</v>
      </c>
      <c r="H38" s="59" t="str">
        <f>IF(Inicial!N37="SI",Inicial!H37,"N/A")</f>
        <v>N/A</v>
      </c>
      <c r="I38" s="61" t="str">
        <f>IF(Inicial!N37="SI",Inicial!I37,"N/A")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8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 ht="15">
      <c r="A39" s="58">
        <f>Inicial!A38</f>
        <v>36</v>
      </c>
      <c r="B39" s="59" t="str">
        <f>Inicial!B38</f>
        <v>Faenación</v>
      </c>
      <c r="C39" s="59" t="str">
        <f>Inicial!C38</f>
        <v>Garras</v>
      </c>
      <c r="D39" s="60" t="str">
        <f>Inicial!D38</f>
        <v>Embalando garras</v>
      </c>
      <c r="E39" s="58" t="str">
        <f>IF(Inicial!N38="SI",Inicial!E38,"N/A")</f>
        <v>N/A</v>
      </c>
      <c r="F39" s="59" t="str">
        <f>IF(Inicial!N38="SI",Inicial!F38,"N/A")</f>
        <v>N/A</v>
      </c>
      <c r="G39" s="59" t="str">
        <f>IF(Inicial!N38="SI",Inicial!G38,"N/A")</f>
        <v>N/A</v>
      </c>
      <c r="H39" s="59" t="str">
        <f>IF(Inicial!N38="SI",Inicial!H38,"N/A")</f>
        <v>N/A</v>
      </c>
      <c r="I39" s="61" t="str">
        <f>IF(Inicial!N38="SI",Inicial!I38,"N/A")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8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 ht="25.5">
      <c r="A40" s="58">
        <f>Inicial!A39</f>
        <v>37</v>
      </c>
      <c r="B40" s="59" t="str">
        <f>Inicial!B39</f>
        <v>Faenación</v>
      </c>
      <c r="C40" s="59" t="str">
        <f>Inicial!C39</f>
        <v>Garras</v>
      </c>
      <c r="D40" s="60" t="str">
        <f>Inicial!D39</f>
        <v>Cortadora de garra larga</v>
      </c>
      <c r="E40" s="58" t="str">
        <f>IF(Inicial!N39="SI",Inicial!E39,"N/A")</f>
        <v>N/A</v>
      </c>
      <c r="F40" s="59" t="str">
        <f>IF(Inicial!N39="SI",Inicial!F39,"N/A")</f>
        <v>N/A</v>
      </c>
      <c r="G40" s="59" t="str">
        <f>IF(Inicial!N39="SI",Inicial!G39,"N/A")</f>
        <v>N/A</v>
      </c>
      <c r="H40" s="59" t="str">
        <f>IF(Inicial!N39="SI",Inicial!H39,"N/A")</f>
        <v>N/A</v>
      </c>
      <c r="I40" s="61" t="str">
        <f>IF(Inicial!N39="SI",Inicial!I39,"N/A")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8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 ht="25.5">
      <c r="A41" s="58">
        <f>Inicial!A40</f>
        <v>38</v>
      </c>
      <c r="B41" s="59" t="str">
        <f>Inicial!B40</f>
        <v>Faenación</v>
      </c>
      <c r="C41" s="59" t="str">
        <f>Inicial!C40</f>
        <v>Garras</v>
      </c>
      <c r="D41" s="60" t="str">
        <f>Inicial!D40</f>
        <v>Etiquetado en mesa de embalaje</v>
      </c>
      <c r="E41" s="58" t="str">
        <f>IF(Inicial!N40="SI",Inicial!E40,"N/A")</f>
        <v>N/A</v>
      </c>
      <c r="F41" s="59" t="str">
        <f>IF(Inicial!N40="SI",Inicial!F40,"N/A")</f>
        <v>N/A</v>
      </c>
      <c r="G41" s="59" t="str">
        <f>IF(Inicial!N40="SI",Inicial!G40,"N/A")</f>
        <v>N/A</v>
      </c>
      <c r="H41" s="59" t="str">
        <f>IF(Inicial!N40="SI",Inicial!H40,"N/A")</f>
        <v>N/A</v>
      </c>
      <c r="I41" s="61" t="str">
        <f>IF(Inicial!N40="SI",Inicial!I40,"N/A")</f>
        <v>N/A</v>
      </c>
      <c r="L41" s="1"/>
      <c r="M41" s="1"/>
      <c r="N41" s="1"/>
      <c r="O41" s="1"/>
      <c r="P41" s="1"/>
      <c r="Q41" s="1"/>
      <c r="R41" s="1"/>
      <c r="S41" s="1"/>
      <c r="T41" s="1"/>
      <c r="U41" s="1"/>
      <c r="AN41" s="3" t="str" cm="1">
        <f t="array" ref="AN41">IF(OR(Y41:AM41="NO"),"Critico","No Critico")</f>
        <v>No Critico</v>
      </c>
    </row>
    <row r="42" spans="1:40" ht="15">
      <c r="A42" s="58">
        <f>Inicial!A41</f>
        <v>39</v>
      </c>
      <c r="B42" s="59" t="str">
        <f>Inicial!B41</f>
        <v>Faenación</v>
      </c>
      <c r="C42" s="59" t="str">
        <f>Inicial!C41</f>
        <v>Garras</v>
      </c>
      <c r="D42" s="60" t="str">
        <f>Inicial!D41</f>
        <v>Nudillos</v>
      </c>
      <c r="E42" s="58" t="str">
        <f>IF(Inicial!N41="SI",Inicial!E41,"N/A")</f>
        <v>N/A</v>
      </c>
      <c r="F42" s="59" t="str">
        <f>IF(Inicial!N41="SI",Inicial!F41,"N/A")</f>
        <v>N/A</v>
      </c>
      <c r="G42" s="59" t="str">
        <f>IF(Inicial!N41="SI",Inicial!G41,"N/A")</f>
        <v>N/A</v>
      </c>
      <c r="H42" s="59" t="str">
        <f>IF(Inicial!N41="SI",Inicial!H41,"N/A")</f>
        <v>N/A</v>
      </c>
      <c r="I42" s="61" t="str">
        <f>IF(Inicial!N41="SI",Inicial!I41,"N/A")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AN42" s="3" t="str" cm="1">
        <f t="array" ref="AN42">IF(OR(Y42:AM42="NO"),"Critico","No Critico")</f>
        <v>No Critico</v>
      </c>
    </row>
    <row r="43" spans="1:40" ht="15">
      <c r="A43" s="58">
        <f>Inicial!A42</f>
        <v>40</v>
      </c>
      <c r="B43" s="59" t="str">
        <f>Inicial!B42</f>
        <v>Faenación</v>
      </c>
      <c r="C43" s="59" t="str">
        <f>Inicial!C42</f>
        <v>Garras</v>
      </c>
      <c r="D43" s="60" t="str">
        <f>Inicial!D42</f>
        <v>Pesador de nudillos</v>
      </c>
      <c r="E43" s="58" t="str">
        <f>IF(Inicial!N42="SI",Inicial!E42,"N/A")</f>
        <v>N/A</v>
      </c>
      <c r="F43" s="59" t="str">
        <f>IF(Inicial!N42="SI",Inicial!F42,"N/A")</f>
        <v>N/A</v>
      </c>
      <c r="G43" s="59" t="str">
        <f>IF(Inicial!N42="SI",Inicial!G42,"N/A")</f>
        <v>N/A</v>
      </c>
      <c r="H43" s="59" t="str">
        <f>IF(Inicial!N42="SI",Inicial!H42,"N/A")</f>
        <v>N/A</v>
      </c>
      <c r="I43" s="61" t="str">
        <f>IF(Inicial!N42="SI",Inicial!I42,"N/A")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AN43" s="3" t="str" cm="1">
        <f t="array" ref="AN43">IF(OR(Y43:AM43="NO"),"Critico","No Critico")</f>
        <v>No Critico</v>
      </c>
    </row>
    <row r="44" spans="1:40" ht="15">
      <c r="A44" s="58">
        <f>Inicial!A43</f>
        <v>41</v>
      </c>
      <c r="B44" s="59" t="str">
        <f>Inicial!B43</f>
        <v>Faenación</v>
      </c>
      <c r="C44" s="59" t="str">
        <f>Inicial!C43</f>
        <v>Garras</v>
      </c>
      <c r="D44" s="60" t="str">
        <f>Inicial!D43</f>
        <v>Maquinista Garras</v>
      </c>
      <c r="E44" s="58" t="str">
        <f>IF(Inicial!N43="SI",Inicial!E43,"N/A")</f>
        <v>N/A</v>
      </c>
      <c r="F44" s="59" t="str">
        <f>IF(Inicial!N43="SI",Inicial!F43,"N/A")</f>
        <v>N/A</v>
      </c>
      <c r="G44" s="59" t="str">
        <f>IF(Inicial!N43="SI",Inicial!G43,"N/A")</f>
        <v>N/A</v>
      </c>
      <c r="H44" s="59" t="str">
        <f>IF(Inicial!N43="SI",Inicial!H43,"N/A")</f>
        <v>N/A</v>
      </c>
      <c r="I44" s="61" t="str">
        <f>IF(Inicial!N43="SI",Inicial!I43,"N/A")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AN44" s="3" t="str" cm="1">
        <f t="array" ref="AN44">IF(OR(Y44:AM44="NO"),"Critico","No Critico")</f>
        <v>No Critico</v>
      </c>
    </row>
    <row r="45" spans="1:40" ht="15">
      <c r="A45" s="58">
        <f>Inicial!A44</f>
        <v>42</v>
      </c>
      <c r="B45" s="59" t="str">
        <f>Inicial!B44</f>
        <v>Faenación</v>
      </c>
      <c r="C45" s="59" t="str">
        <f>Inicial!C44</f>
        <v>Garras</v>
      </c>
      <c r="D45" s="60" t="str">
        <f>Inicial!D44</f>
        <v xml:space="preserve">Jefe de Línea </v>
      </c>
      <c r="E45" s="58" t="str">
        <f>IF(Inicial!N44="SI",Inicial!E44,"N/A")</f>
        <v>N/A</v>
      </c>
      <c r="F45" s="59" t="str">
        <f>IF(Inicial!N44="SI",Inicial!F44,"N/A")</f>
        <v>N/A</v>
      </c>
      <c r="G45" s="59" t="str">
        <f>IF(Inicial!N44="SI",Inicial!G44,"N/A")</f>
        <v>N/A</v>
      </c>
      <c r="H45" s="59" t="str">
        <f>IF(Inicial!N44="SI",Inicial!H44,"N/A")</f>
        <v>N/A</v>
      </c>
      <c r="I45" s="61" t="str">
        <f>IF(Inicial!N44="SI",Inicial!I44,"N/A")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AN45" s="3" t="str" cm="1">
        <f t="array" ref="AN45">IF(OR(Y45:AM45="NO"),"Critico","No Critico")</f>
        <v>No Critico</v>
      </c>
    </row>
    <row r="46" spans="1:40" ht="25.5">
      <c r="A46" s="58">
        <f>Inicial!A45</f>
        <v>43</v>
      </c>
      <c r="B46" s="59" t="str">
        <f>Inicial!B45</f>
        <v>Faenación</v>
      </c>
      <c r="C46" s="59" t="str">
        <f>Inicial!C45</f>
        <v>Empaque - Chiller</v>
      </c>
      <c r="D46" s="60" t="str">
        <f>Inicial!D45</f>
        <v>Colgador aves frias</v>
      </c>
      <c r="E46" s="58" t="str">
        <f>IF(Inicial!N45="SI",Inicial!E45,"N/A")</f>
        <v>N/A</v>
      </c>
      <c r="F46" s="59" t="str">
        <f>IF(Inicial!N45="SI",Inicial!F45,"N/A")</f>
        <v>N/A</v>
      </c>
      <c r="G46" s="59" t="str">
        <f>IF(Inicial!N45="SI",Inicial!G45,"N/A")</f>
        <v>N/A</v>
      </c>
      <c r="H46" s="59" t="str">
        <f>IF(Inicial!N45="SI",Inicial!H45,"N/A")</f>
        <v>N/A</v>
      </c>
      <c r="I46" s="61" t="str">
        <f>IF(Inicial!N45="SI",Inicial!I45,"N/A")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AN46" s="3" t="str" cm="1">
        <f t="array" ref="AN46">IF(OR(Y46:AM46="NO"),"Critico","No Critico")</f>
        <v>No Critico</v>
      </c>
    </row>
    <row r="47" spans="1:40" ht="25.5">
      <c r="A47" s="58">
        <f>Inicial!A46</f>
        <v>44</v>
      </c>
      <c r="B47" s="59" t="str">
        <f>Inicial!B46</f>
        <v>Faenación</v>
      </c>
      <c r="C47" s="59" t="str">
        <f>Inicial!C46</f>
        <v>Empaque - Chiller</v>
      </c>
      <c r="D47" s="60" t="str">
        <f>Inicial!D46</f>
        <v>Embolsador de pana</v>
      </c>
      <c r="E47" s="58" t="str">
        <f>IF(Inicial!N46="SI",Inicial!E46,"N/A")</f>
        <v>N/A</v>
      </c>
      <c r="F47" s="59" t="str">
        <f>IF(Inicial!N46="SI",Inicial!F46,"N/A")</f>
        <v>N/A</v>
      </c>
      <c r="G47" s="59" t="str">
        <f>IF(Inicial!N46="SI",Inicial!G46,"N/A")</f>
        <v>N/A</v>
      </c>
      <c r="H47" s="59" t="str">
        <f>IF(Inicial!N46="SI",Inicial!H46,"N/A")</f>
        <v>N/A</v>
      </c>
      <c r="I47" s="61" t="str">
        <f>IF(Inicial!N46="SI",Inicial!I46,"N/A")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AN47" s="3" t="str" cm="1">
        <f t="array" ref="AN47">IF(OR(Y47:AM47="NO"),"Critico","No Critico")</f>
        <v>No Critico</v>
      </c>
    </row>
    <row r="48" spans="1:40" ht="25.5">
      <c r="A48" s="58">
        <f>Inicial!A47</f>
        <v>45</v>
      </c>
      <c r="B48" s="59" t="str">
        <f>Inicial!B47</f>
        <v>Faenación</v>
      </c>
      <c r="C48" s="59" t="str">
        <f>Inicial!C47</f>
        <v>Empaque - Chiller</v>
      </c>
      <c r="D48" s="60" t="str">
        <f>Inicial!D47</f>
        <v>Embalador de producto</v>
      </c>
      <c r="E48" s="58" t="str">
        <f>IF(Inicial!N47="SI",Inicial!E47,"N/A")</f>
        <v>N/A</v>
      </c>
      <c r="F48" s="59" t="str">
        <f>IF(Inicial!N47="SI",Inicial!F47,"N/A")</f>
        <v>N/A</v>
      </c>
      <c r="G48" s="59" t="str">
        <f>IF(Inicial!N47="SI",Inicial!G47,"N/A")</f>
        <v>N/A</v>
      </c>
      <c r="H48" s="59" t="str">
        <f>IF(Inicial!N47="SI",Inicial!H47,"N/A")</f>
        <v>N/A</v>
      </c>
      <c r="I48" s="61" t="str">
        <f>IF(Inicial!N47="SI",Inicial!I47,"N/A")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AN48" s="3" t="str" cm="1">
        <f t="array" ref="AN48">IF(OR(Y48:AM48="NO"),"Critico","No Critico")</f>
        <v>No Critico</v>
      </c>
    </row>
    <row r="49" spans="1:40" ht="25.5">
      <c r="A49" s="58">
        <f>Inicial!A48</f>
        <v>46</v>
      </c>
      <c r="B49" s="59" t="str">
        <f>Inicial!B48</f>
        <v>Faenación</v>
      </c>
      <c r="C49" s="59" t="str">
        <f>Inicial!C48</f>
        <v>Empaque - Chiller</v>
      </c>
      <c r="D49" s="60" t="str">
        <f>Inicial!D48</f>
        <v>Embolsado de corazon</v>
      </c>
      <c r="E49" s="58" t="str">
        <f>IF(Inicial!N48="SI",Inicial!E48,"N/A")</f>
        <v>N/A</v>
      </c>
      <c r="F49" s="59" t="str">
        <f>IF(Inicial!N48="SI",Inicial!F48,"N/A")</f>
        <v>N/A</v>
      </c>
      <c r="G49" s="59" t="str">
        <f>IF(Inicial!N48="SI",Inicial!G48,"N/A")</f>
        <v>N/A</v>
      </c>
      <c r="H49" s="59" t="str">
        <f>IF(Inicial!N48="SI",Inicial!H48,"N/A")</f>
        <v>N/A</v>
      </c>
      <c r="I49" s="61" t="str">
        <f>IF(Inicial!N48="SI",Inicial!I48,"N/A")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AN49" s="3" t="str" cm="1">
        <f t="array" ref="AN49">IF(OR(Y49:AM49="NO"),"Critico","No Critico")</f>
        <v>No Critico</v>
      </c>
    </row>
    <row r="50" spans="1:40" ht="25.5">
      <c r="A50" s="58">
        <f>Inicial!A49</f>
        <v>47</v>
      </c>
      <c r="B50" s="59" t="str">
        <f>Inicial!B49</f>
        <v>Faenación</v>
      </c>
      <c r="C50" s="59" t="str">
        <f>Inicial!C49</f>
        <v>Empaque - Chiller</v>
      </c>
      <c r="D50" s="60" t="str">
        <f>Inicial!D49</f>
        <v>Pesador de corazon</v>
      </c>
      <c r="E50" s="58" t="str">
        <f>IF(Inicial!N49="SI",Inicial!E49,"N/A")</f>
        <v>N/A</v>
      </c>
      <c r="F50" s="59" t="str">
        <f>IF(Inicial!N49="SI",Inicial!F49,"N/A")</f>
        <v>N/A</v>
      </c>
      <c r="G50" s="59" t="str">
        <f>IF(Inicial!N49="SI",Inicial!G49,"N/A")</f>
        <v>N/A</v>
      </c>
      <c r="H50" s="59" t="str">
        <f>IF(Inicial!N49="SI",Inicial!H49,"N/A")</f>
        <v>N/A</v>
      </c>
      <c r="I50" s="61" t="str">
        <f>IF(Inicial!N49="SI",Inicial!I49,"N/A")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AN50" s="3" t="str" cm="1">
        <f t="array" ref="AN50">IF(OR(Y50:AM50="NO"),"Critico","No Critico")</f>
        <v>No Critico</v>
      </c>
    </row>
    <row r="51" spans="1:40" ht="25.5">
      <c r="A51" s="58">
        <f>Inicial!A50</f>
        <v>48</v>
      </c>
      <c r="B51" s="59" t="str">
        <f>Inicial!B50</f>
        <v>Faenación</v>
      </c>
      <c r="C51" s="59" t="str">
        <f>Inicial!C50</f>
        <v>Empaque - Chiller</v>
      </c>
      <c r="D51" s="60" t="str">
        <f>Inicial!D50</f>
        <v>Selección de corazon</v>
      </c>
      <c r="E51" s="58" t="str">
        <f>IF(Inicial!N50="SI",Inicial!E50,"N/A")</f>
        <v>N/A</v>
      </c>
      <c r="F51" s="59" t="str">
        <f>IF(Inicial!N50="SI",Inicial!F50,"N/A")</f>
        <v>N/A</v>
      </c>
      <c r="G51" s="59" t="str">
        <f>IF(Inicial!N50="SI",Inicial!G50,"N/A")</f>
        <v>N/A</v>
      </c>
      <c r="H51" s="59" t="str">
        <f>IF(Inicial!N50="SI",Inicial!H50,"N/A")</f>
        <v>N/A</v>
      </c>
      <c r="I51" s="61" t="str">
        <f>IF(Inicial!N50="SI",Inicial!I50,"N/A")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AN51" s="3" t="str" cm="1">
        <f t="array" ref="AN51">IF(OR(Y51:AM51="NO"),"Critico","No Critico")</f>
        <v>No Critico</v>
      </c>
    </row>
    <row r="52" spans="1:40" ht="25.5">
      <c r="A52" s="58">
        <f>Inicial!A51</f>
        <v>49</v>
      </c>
      <c r="B52" s="59" t="str">
        <f>Inicial!B51</f>
        <v>Faenación</v>
      </c>
      <c r="C52" s="59" t="str">
        <f>Inicial!C51</f>
        <v>Empaque - Chiller</v>
      </c>
      <c r="D52" s="60" t="str">
        <f>Inicial!D51</f>
        <v>Embalador de contre</v>
      </c>
      <c r="E52" s="58" t="str">
        <f>IF(Inicial!N51="SI",Inicial!E51,"N/A")</f>
        <v>N/A</v>
      </c>
      <c r="F52" s="59" t="str">
        <f>IF(Inicial!N51="SI",Inicial!F51,"N/A")</f>
        <v>N/A</v>
      </c>
      <c r="G52" s="59" t="str">
        <f>IF(Inicial!N51="SI",Inicial!G51,"N/A")</f>
        <v>N/A</v>
      </c>
      <c r="H52" s="59" t="str">
        <f>IF(Inicial!N51="SI",Inicial!H51,"N/A")</f>
        <v>N/A</v>
      </c>
      <c r="I52" s="61" t="str">
        <f>IF(Inicial!N51="SI",Inicial!I51,"N/A")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AN52" s="3" t="str" cm="1">
        <f t="array" ref="AN52">IF(OR(Y52:AM52="NO"),"Critico","No Critico")</f>
        <v>No Critico</v>
      </c>
    </row>
    <row r="53" spans="1:40" ht="25.5">
      <c r="A53" s="58">
        <f>Inicial!A52</f>
        <v>50</v>
      </c>
      <c r="B53" s="59" t="str">
        <f>Inicial!B52</f>
        <v>Faenación</v>
      </c>
      <c r="C53" s="59" t="str">
        <f>Inicial!C52</f>
        <v>Empaque - Chiller</v>
      </c>
      <c r="D53" s="60" t="str">
        <f>Inicial!D52</f>
        <v>Limpiador de pana</v>
      </c>
      <c r="E53" s="58" t="str">
        <f>IF(Inicial!N52="SI",Inicial!E52,"N/A")</f>
        <v>N/A</v>
      </c>
      <c r="F53" s="59" t="str">
        <f>IF(Inicial!N52="SI",Inicial!F52,"N/A")</f>
        <v>N/A</v>
      </c>
      <c r="G53" s="59" t="str">
        <f>IF(Inicial!N52="SI",Inicial!G52,"N/A")</f>
        <v>N/A</v>
      </c>
      <c r="H53" s="59" t="str">
        <f>IF(Inicial!N52="SI",Inicial!H52,"N/A")</f>
        <v>N/A</v>
      </c>
      <c r="I53" s="61" t="str">
        <f>IF(Inicial!N52="SI",Inicial!I52,"N/A")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AN53" s="3" t="str" cm="1">
        <f t="array" ref="AN53">IF(OR(Y53:AM53="NO"),"Critico","No Critico")</f>
        <v>No Critico</v>
      </c>
    </row>
    <row r="54" spans="1:40" ht="25.5">
      <c r="A54" s="58">
        <f>Inicial!A53</f>
        <v>51</v>
      </c>
      <c r="B54" s="59" t="str">
        <f>Inicial!B53</f>
        <v>Faenación</v>
      </c>
      <c r="C54" s="59" t="str">
        <f>Inicial!C53</f>
        <v>Empaque - Chiller</v>
      </c>
      <c r="D54" s="60" t="str">
        <f>Inicial!D53</f>
        <v>Embolsador de contre</v>
      </c>
      <c r="E54" s="58" t="str">
        <f>IF(Inicial!N53="SI",Inicial!E53,"N/A")</f>
        <v>N/A</v>
      </c>
      <c r="F54" s="59" t="str">
        <f>IF(Inicial!N53="SI",Inicial!F53,"N/A")</f>
        <v>N/A</v>
      </c>
      <c r="G54" s="59" t="str">
        <f>IF(Inicial!N53="SI",Inicial!G53,"N/A")</f>
        <v>N/A</v>
      </c>
      <c r="H54" s="59" t="str">
        <f>IF(Inicial!N53="SI",Inicial!H53,"N/A")</f>
        <v>N/A</v>
      </c>
      <c r="I54" s="61" t="str">
        <f>IF(Inicial!N53="SI",Inicial!I53,"N/A")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AN54" s="3" t="str" cm="1">
        <f t="array" ref="AN54">IF(OR(Y54:AM54="NO"),"Critico","No Critico")</f>
        <v>No Critico</v>
      </c>
    </row>
    <row r="55" spans="1:40" ht="25.5">
      <c r="A55" s="58">
        <f>Inicial!A54</f>
        <v>52</v>
      </c>
      <c r="B55" s="59" t="str">
        <f>Inicial!B54</f>
        <v>Faenación</v>
      </c>
      <c r="C55" s="59" t="str">
        <f>Inicial!C54</f>
        <v>Empaque - Chiller</v>
      </c>
      <c r="D55" s="60" t="str">
        <f>Inicial!D54</f>
        <v>Embalador de Pana</v>
      </c>
      <c r="E55" s="58" t="str">
        <f>IF(Inicial!N54="SI",Inicial!E54,"N/A")</f>
        <v>N/A</v>
      </c>
      <c r="F55" s="59" t="str">
        <f>IF(Inicial!N54="SI",Inicial!F54,"N/A")</f>
        <v>N/A</v>
      </c>
      <c r="G55" s="59" t="str">
        <f>IF(Inicial!N54="SI",Inicial!G54,"N/A")</f>
        <v>N/A</v>
      </c>
      <c r="H55" s="59" t="str">
        <f>IF(Inicial!N54="SI",Inicial!H54,"N/A")</f>
        <v>N/A</v>
      </c>
      <c r="I55" s="61" t="str">
        <f>IF(Inicial!N54="SI",Inicial!I54,"N/A")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AN55" s="3" t="str" cm="1">
        <f t="array" ref="AN55">IF(OR(Y55:AM55="NO"),"Critico","No Critico")</f>
        <v>No Critico</v>
      </c>
    </row>
    <row r="56" spans="1:40" ht="25.5">
      <c r="A56" s="58">
        <f>Inicial!A55</f>
        <v>53</v>
      </c>
      <c r="B56" s="59" t="str">
        <f>Inicial!B55</f>
        <v>Faenación</v>
      </c>
      <c r="C56" s="59" t="str">
        <f>Inicial!C55</f>
        <v>Empaque - Chiller</v>
      </c>
      <c r="D56" s="60" t="str">
        <f>Inicial!D55</f>
        <v>Selección de Contre</v>
      </c>
      <c r="E56" s="58" t="str">
        <f>IF(Inicial!N55="SI",Inicial!E55,"N/A")</f>
        <v>N/A</v>
      </c>
      <c r="F56" s="59" t="str">
        <f>IF(Inicial!N55="SI",Inicial!F55,"N/A")</f>
        <v>N/A</v>
      </c>
      <c r="G56" s="59" t="str">
        <f>IF(Inicial!N55="SI",Inicial!G55,"N/A")</f>
        <v>N/A</v>
      </c>
      <c r="H56" s="59" t="str">
        <f>IF(Inicial!N55="SI",Inicial!H55,"N/A")</f>
        <v>N/A</v>
      </c>
      <c r="I56" s="61" t="str">
        <f>IF(Inicial!N55="SI",Inicial!I55,"N/A")</f>
        <v>N/A</v>
      </c>
      <c r="L56" s="1"/>
      <c r="M56" s="1"/>
      <c r="N56" s="1"/>
      <c r="O56" s="1"/>
      <c r="P56" s="1"/>
      <c r="Q56" s="1"/>
      <c r="R56" s="1"/>
      <c r="S56" s="1"/>
      <c r="T56" s="1"/>
      <c r="U56" s="1"/>
      <c r="AN56" s="3" t="str" cm="1">
        <f t="array" ref="AN56">IF(OR(Y56:AM56="NO"),"Critico","No Critico")</f>
        <v>No Critico</v>
      </c>
    </row>
    <row r="57" spans="1:40" ht="25.5">
      <c r="A57" s="58">
        <f>Inicial!A56</f>
        <v>54</v>
      </c>
      <c r="B57" s="59" t="str">
        <f>Inicial!B56</f>
        <v>Faenación</v>
      </c>
      <c r="C57" s="59" t="str">
        <f>Inicial!C56</f>
        <v>Empaque - Chiller</v>
      </c>
      <c r="D57" s="60" t="str">
        <f>Inicial!D56</f>
        <v>Maquinista chiller</v>
      </c>
      <c r="E57" s="58" t="str">
        <f>IF(Inicial!N56="SI",Inicial!E56,"N/A")</f>
        <v>N/A</v>
      </c>
      <c r="F57" s="59" t="str">
        <f>IF(Inicial!N56="SI",Inicial!F56,"N/A")</f>
        <v>N/A</v>
      </c>
      <c r="G57" s="59" t="str">
        <f>IF(Inicial!N56="SI",Inicial!G56,"N/A")</f>
        <v>N/A</v>
      </c>
      <c r="H57" s="59" t="str">
        <f>IF(Inicial!N56="SI",Inicial!H56,"N/A")</f>
        <v>N/A</v>
      </c>
      <c r="I57" s="61" t="str">
        <f>IF(Inicial!N56="SI",Inicial!I56,"N/A")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AN57" s="3" t="str" cm="1">
        <f t="array" ref="AN57">IF(OR(Y57:AM57="NO"),"Critico","No Critico")</f>
        <v>No Critico</v>
      </c>
    </row>
    <row r="58" spans="1:40" ht="15">
      <c r="A58" s="58" t="e">
        <f>Inicial!#REF!</f>
        <v>#REF!</v>
      </c>
      <c r="B58" s="59" t="e">
        <f>Inicial!#REF!</f>
        <v>#REF!</v>
      </c>
      <c r="C58" s="59" t="e">
        <f>Inicial!#REF!</f>
        <v>#REF!</v>
      </c>
      <c r="D58" s="60" t="e">
        <f>Inicial!#REF!</f>
        <v>#REF!</v>
      </c>
      <c r="E58" s="58" t="e">
        <f>IF(Inicial!#REF!="SI",Inicial!#REF!,"N/A")</f>
        <v>#REF!</v>
      </c>
      <c r="F58" s="59" t="e">
        <f>IF(Inicial!#REF!="SI",Inicial!#REF!,"N/A")</f>
        <v>#REF!</v>
      </c>
      <c r="G58" s="59" t="e">
        <f>IF(Inicial!#REF!="SI",Inicial!#REF!,"N/A")</f>
        <v>#REF!</v>
      </c>
      <c r="H58" s="59" t="e">
        <f>IF(Inicial!#REF!="SI",Inicial!#REF!,"N/A")</f>
        <v>#REF!</v>
      </c>
      <c r="I58" s="61" t="e">
        <f>IF(Inicial!#REF!="SI",Inicial!#REF!,"N/A")</f>
        <v>#REF!</v>
      </c>
      <c r="L58" s="1"/>
      <c r="M58" s="1"/>
      <c r="N58" s="1"/>
      <c r="O58" s="1"/>
      <c r="P58" s="1"/>
      <c r="Q58" s="1"/>
      <c r="R58" s="1"/>
      <c r="S58" s="1"/>
      <c r="T58" s="1"/>
      <c r="U58" s="1"/>
      <c r="AN58" s="3" t="str" cm="1">
        <f t="array" ref="AN58">IF(OR(Y58:AM58="NO"),"Critico","No Critico")</f>
        <v>No Critico</v>
      </c>
    </row>
    <row r="59" spans="1:40" ht="25.5">
      <c r="A59" s="58">
        <f>Inicial!A57</f>
        <v>55</v>
      </c>
      <c r="B59" s="59" t="str">
        <f>Inicial!B57</f>
        <v>Faenación</v>
      </c>
      <c r="C59" s="59" t="str">
        <f>Inicial!C57</f>
        <v>Empaque - Chiller</v>
      </c>
      <c r="D59" s="60" t="str">
        <f>Inicial!D57</f>
        <v>Corchetera</v>
      </c>
      <c r="E59" s="58" t="str">
        <f>IF(Inicial!N57="SI",Inicial!E57,"N/A")</f>
        <v>N/A</v>
      </c>
      <c r="F59" s="59" t="str">
        <f>IF(Inicial!N57="SI",Inicial!F57,"N/A")</f>
        <v>N/A</v>
      </c>
      <c r="G59" s="59" t="str">
        <f>IF(Inicial!N57="SI",Inicial!G57,"N/A")</f>
        <v>N/A</v>
      </c>
      <c r="H59" s="59" t="str">
        <f>IF(Inicial!N57="SI",Inicial!H57,"N/A")</f>
        <v>N/A</v>
      </c>
      <c r="I59" s="61" t="str">
        <f>IF(Inicial!N57="SI",Inicial!I57,"N/A")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AN59" s="3" t="str" cm="1">
        <f t="array" ref="AN59">IF(OR(Y59:AM59="NO"),"Critico","No Critico")</f>
        <v>No Critico</v>
      </c>
    </row>
    <row r="60" spans="1:40" ht="25.5">
      <c r="A60" s="58">
        <f>Inicial!A58</f>
        <v>56</v>
      </c>
      <c r="B60" s="59" t="str">
        <f>Inicial!B58</f>
        <v>Faenación</v>
      </c>
      <c r="C60" s="59" t="str">
        <f>Inicial!C58</f>
        <v>Empaque - Chiller</v>
      </c>
      <c r="D60" s="60" t="str">
        <f>Inicial!D58</f>
        <v>Pesador menudencia</v>
      </c>
      <c r="E60" s="58" t="str">
        <f>IF(Inicial!N58="SI",Inicial!E58,"N/A")</f>
        <v>N/A</v>
      </c>
      <c r="F60" s="59" t="str">
        <f>IF(Inicial!N58="SI",Inicial!F58,"N/A")</f>
        <v>N/A</v>
      </c>
      <c r="G60" s="59" t="str">
        <f>IF(Inicial!N58="SI",Inicial!G58,"N/A")</f>
        <v>N/A</v>
      </c>
      <c r="H60" s="59" t="str">
        <f>IF(Inicial!N58="SI",Inicial!H58,"N/A")</f>
        <v>N/A</v>
      </c>
      <c r="I60" s="61" t="str">
        <f>IF(Inicial!N58="SI",Inicial!I58,"N/A")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AN60" s="3" t="str" cm="1">
        <f t="array" ref="AN60">IF(OR(Y60:AM60="NO"),"Critico","No Critico")</f>
        <v>No Critico</v>
      </c>
    </row>
    <row r="61" spans="1:40" ht="15">
      <c r="A61" s="58" t="e">
        <f>Inicial!#REF!</f>
        <v>#REF!</v>
      </c>
      <c r="B61" s="59" t="e">
        <f>Inicial!#REF!</f>
        <v>#REF!</v>
      </c>
      <c r="C61" s="59" t="e">
        <f>Inicial!#REF!</f>
        <v>#REF!</v>
      </c>
      <c r="D61" s="60" t="e">
        <f>Inicial!#REF!</f>
        <v>#REF!</v>
      </c>
      <c r="E61" s="58" t="e">
        <f>IF(Inicial!#REF!="SI",Inicial!#REF!,"N/A")</f>
        <v>#REF!</v>
      </c>
      <c r="F61" s="59" t="e">
        <f>IF(Inicial!#REF!="SI",Inicial!#REF!,"N/A")</f>
        <v>#REF!</v>
      </c>
      <c r="G61" s="59" t="e">
        <f>IF(Inicial!#REF!="SI",Inicial!#REF!,"N/A")</f>
        <v>#REF!</v>
      </c>
      <c r="H61" s="59" t="e">
        <f>IF(Inicial!#REF!="SI",Inicial!#REF!,"N/A")</f>
        <v>#REF!</v>
      </c>
      <c r="I61" s="61" t="e">
        <f>IF(Inicial!#REF!="SI",Inicial!#REF!,"N/A")</f>
        <v>#REF!</v>
      </c>
      <c r="L61" s="1"/>
      <c r="M61" s="1"/>
      <c r="N61" s="1"/>
      <c r="O61" s="1"/>
      <c r="P61" s="1"/>
      <c r="Q61" s="1"/>
      <c r="R61" s="1"/>
      <c r="S61" s="1"/>
      <c r="T61" s="1"/>
      <c r="U61" s="1"/>
      <c r="AN61" s="3" t="str" cm="1">
        <f t="array" ref="AN61">IF(OR(Y61:AM61="NO"),"Critico","No Critico")</f>
        <v>No Critico</v>
      </c>
    </row>
    <row r="62" spans="1:40" ht="25.5">
      <c r="A62" s="58">
        <f>Inicial!A59</f>
        <v>57</v>
      </c>
      <c r="B62" s="59" t="str">
        <f>Inicial!B59</f>
        <v>Faenación</v>
      </c>
      <c r="C62" s="59" t="str">
        <f>Inicial!C59</f>
        <v>Empaque - Chiller</v>
      </c>
      <c r="D62" s="60" t="str">
        <f>Inicial!D59</f>
        <v>Encargado de registro</v>
      </c>
      <c r="E62" s="58" t="str">
        <f>IF(Inicial!N59="SI",Inicial!E59,"N/A")</f>
        <v>N/A</v>
      </c>
      <c r="F62" s="59" t="str">
        <f>IF(Inicial!N59="SI",Inicial!F59,"N/A")</f>
        <v>N/A</v>
      </c>
      <c r="G62" s="59" t="str">
        <f>IF(Inicial!N59="SI",Inicial!G59,"N/A")</f>
        <v>N/A</v>
      </c>
      <c r="H62" s="59" t="str">
        <f>IF(Inicial!N59="SI",Inicial!H59,"N/A")</f>
        <v>N/A</v>
      </c>
      <c r="I62" s="61" t="str">
        <f>IF(Inicial!N59="SI",Inicial!I59,"N/A")</f>
        <v>N/A</v>
      </c>
      <c r="L62" s="1"/>
      <c r="M62" s="1"/>
      <c r="N62" s="1"/>
      <c r="O62" s="1"/>
      <c r="P62" s="1"/>
      <c r="Q62" s="1"/>
      <c r="R62" s="1"/>
      <c r="S62" s="1"/>
      <c r="T62" s="1"/>
      <c r="U62" s="1"/>
      <c r="AN62" s="3" t="str" cm="1">
        <f t="array" ref="AN62">IF(OR(Y62:AM62="NO"),"Critico","No Critico")</f>
        <v>No Critico</v>
      </c>
    </row>
    <row r="63" spans="1:40" ht="25.5">
      <c r="A63" s="58">
        <f>Inicial!A60</f>
        <v>58</v>
      </c>
      <c r="B63" s="59" t="str">
        <f>Inicial!B60</f>
        <v>Faenación</v>
      </c>
      <c r="C63" s="59" t="str">
        <f>Inicial!C60</f>
        <v>Empaque - Chiller</v>
      </c>
      <c r="D63" s="60" t="str">
        <f>Inicial!D60</f>
        <v>Fechado</v>
      </c>
      <c r="E63" s="58" t="str">
        <f>IF(Inicial!N60="SI",Inicial!E60,"N/A")</f>
        <v>N/A</v>
      </c>
      <c r="F63" s="59" t="str">
        <f>IF(Inicial!N60="SI",Inicial!F60,"N/A")</f>
        <v>N/A</v>
      </c>
      <c r="G63" s="59" t="str">
        <f>IF(Inicial!N60="SI",Inicial!G60,"N/A")</f>
        <v>N/A</v>
      </c>
      <c r="H63" s="59" t="str">
        <f>IF(Inicial!N60="SI",Inicial!H60,"N/A")</f>
        <v>N/A</v>
      </c>
      <c r="I63" s="61" t="str">
        <f>IF(Inicial!N60="SI",Inicial!I60,"N/A")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AN63" s="3" t="str" cm="1">
        <f t="array" ref="AN63">IF(OR(Y63:AM63="NO"),"Critico","No Critico")</f>
        <v>No Critico</v>
      </c>
    </row>
    <row r="64" spans="1:40" ht="25.5">
      <c r="A64" s="58">
        <f>Inicial!A61</f>
        <v>59</v>
      </c>
      <c r="B64" s="59" t="str">
        <f>Inicial!B61</f>
        <v>Faenación</v>
      </c>
      <c r="C64" s="59" t="str">
        <f>Inicial!C61</f>
        <v>Empaque - Chiller</v>
      </c>
      <c r="D64" s="60" t="str">
        <f>Inicial!D61</f>
        <v>Paletizador</v>
      </c>
      <c r="E64" s="58" t="str">
        <f>IF(Inicial!N61="SI",Inicial!E61,"N/A")</f>
        <v>N/A</v>
      </c>
      <c r="F64" s="59" t="str">
        <f>IF(Inicial!N61="SI",Inicial!F61,"N/A")</f>
        <v>N/A</v>
      </c>
      <c r="G64" s="59" t="str">
        <f>IF(Inicial!N61="SI",Inicial!G61,"N/A")</f>
        <v>N/A</v>
      </c>
      <c r="H64" s="59" t="str">
        <f>IF(Inicial!N61="SI",Inicial!H61,"N/A")</f>
        <v>N/A</v>
      </c>
      <c r="I64" s="61" t="str">
        <f>IF(Inicial!N61="SI",Inicial!I61,"N/A")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AN64" s="3" t="str" cm="1">
        <f t="array" ref="AN64">IF(OR(Y64:AM64="NO"),"Critico","No Critico")</f>
        <v>No Critico</v>
      </c>
    </row>
    <row r="65" spans="1:40" ht="25.5">
      <c r="A65" s="58">
        <f>Inicial!A62</f>
        <v>60</v>
      </c>
      <c r="B65" s="59" t="str">
        <f>Inicial!B62</f>
        <v>Faenación</v>
      </c>
      <c r="C65" s="59" t="str">
        <f>Inicial!C62</f>
        <v>Empaque - Chiller</v>
      </c>
      <c r="D65" s="60" t="str">
        <f>Inicial!D62</f>
        <v>Transpaletero</v>
      </c>
      <c r="E65" s="58" t="str">
        <f>IF(Inicial!N62="SI",Inicial!E62,"N/A")</f>
        <v>N/A</v>
      </c>
      <c r="F65" s="59" t="str">
        <f>IF(Inicial!N62="SI",Inicial!F62,"N/A")</f>
        <v>N/A</v>
      </c>
      <c r="G65" s="59" t="str">
        <f>IF(Inicial!N62="SI",Inicial!G62,"N/A")</f>
        <v>N/A</v>
      </c>
      <c r="H65" s="59" t="str">
        <f>IF(Inicial!N62="SI",Inicial!H62,"N/A")</f>
        <v>N/A</v>
      </c>
      <c r="I65" s="61" t="str">
        <f>IF(Inicial!N62="SI",Inicial!I62,"N/A")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AN65" s="3" t="str" cm="1">
        <f t="array" ref="AN65">IF(OR(Y65:AM65="NO"),"Critico","No Critico")</f>
        <v>No Critico</v>
      </c>
    </row>
    <row r="66" spans="1:40" ht="25.5">
      <c r="A66" s="58">
        <f>Inicial!A63</f>
        <v>61</v>
      </c>
      <c r="B66" s="59" t="str">
        <f>Inicial!B63</f>
        <v>Faenación</v>
      </c>
      <c r="C66" s="59" t="str">
        <f>Inicial!C63</f>
        <v>Empaque - Chiller</v>
      </c>
      <c r="D66" s="60" t="str">
        <f>Inicial!D63</f>
        <v xml:space="preserve">Jefe de Línea </v>
      </c>
      <c r="E66" s="58" t="str">
        <f>IF(Inicial!N63="SI",Inicial!E63,"N/A")</f>
        <v>N/A</v>
      </c>
      <c r="F66" s="59" t="str">
        <f>IF(Inicial!N63="SI",Inicial!F63,"N/A")</f>
        <v>N/A</v>
      </c>
      <c r="G66" s="59" t="str">
        <f>IF(Inicial!N63="SI",Inicial!G63,"N/A")</f>
        <v>N/A</v>
      </c>
      <c r="H66" s="59" t="str">
        <f>IF(Inicial!N63="SI",Inicial!H63,"N/A")</f>
        <v>N/A</v>
      </c>
      <c r="I66" s="61" t="str">
        <f>IF(Inicial!N63="SI",Inicial!I63,"N/A")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AN66" s="3" t="str" cm="1">
        <f t="array" ref="AN66">IF(OR(Y66:AM66="NO"),"Critico","No Critico")</f>
        <v>No Critico</v>
      </c>
    </row>
    <row r="67" spans="1:40" ht="15">
      <c r="A67" s="58">
        <f>Inicial!A64</f>
        <v>0</v>
      </c>
      <c r="B67" s="59">
        <f>Inicial!B64</f>
        <v>0</v>
      </c>
      <c r="C67" s="59">
        <f>Inicial!C64</f>
        <v>0</v>
      </c>
      <c r="D67" s="60">
        <f>Inicial!D64</f>
        <v>0</v>
      </c>
      <c r="E67" s="58" t="str">
        <f>IF(Inicial!N64="SI",Inicial!E64,"N/A")</f>
        <v>N/A</v>
      </c>
      <c r="F67" s="59" t="str">
        <f>IF(Inicial!N64="SI",Inicial!F64,"N/A")</f>
        <v>N/A</v>
      </c>
      <c r="G67" s="59" t="str">
        <f>IF(Inicial!N64="SI",Inicial!G64,"N/A")</f>
        <v>N/A</v>
      </c>
      <c r="H67" s="59" t="str">
        <f>IF(Inicial!N64="SI",Inicial!H64,"N/A")</f>
        <v>N/A</v>
      </c>
      <c r="I67" s="61" t="str">
        <f>IF(Inicial!N64="SI",Inicial!I64,"N/A")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AN67" s="3" t="str" cm="1">
        <f t="array" ref="AN67">IF(OR(Y67:AM67="NO"),"Critico","No Critico")</f>
        <v>No Critico</v>
      </c>
    </row>
    <row r="68" spans="1:40" ht="15">
      <c r="A68" s="58">
        <f>Inicial!A65</f>
        <v>0</v>
      </c>
      <c r="B68" s="59">
        <f>Inicial!B65</f>
        <v>0</v>
      </c>
      <c r="C68" s="59">
        <f>Inicial!C65</f>
        <v>0</v>
      </c>
      <c r="D68" s="60">
        <f>Inicial!D65</f>
        <v>0</v>
      </c>
      <c r="E68" s="58" t="str">
        <f>IF(Inicial!N65="SI",Inicial!E65,"N/A")</f>
        <v>N/A</v>
      </c>
      <c r="F68" s="59" t="str">
        <f>IF(Inicial!N65="SI",Inicial!F65,"N/A")</f>
        <v>N/A</v>
      </c>
      <c r="G68" s="59" t="str">
        <f>IF(Inicial!N65="SI",Inicial!G65,"N/A")</f>
        <v>N/A</v>
      </c>
      <c r="H68" s="59" t="str">
        <f>IF(Inicial!N65="SI",Inicial!H65,"N/A")</f>
        <v>N/A</v>
      </c>
      <c r="I68" s="61" t="str">
        <f>IF(Inicial!N65="SI",Inicial!I65,"N/A")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AN68" s="3" t="str" cm="1">
        <f t="array" ref="AN68">IF(OR(Y68:AM68="NO"),"Critico","No Critico")</f>
        <v>No Critico</v>
      </c>
    </row>
    <row r="69" spans="1:40" ht="15">
      <c r="A69" s="58">
        <f>Inicial!A66</f>
        <v>0</v>
      </c>
      <c r="B69" s="59">
        <f>Inicial!B66</f>
        <v>0</v>
      </c>
      <c r="C69" s="59">
        <f>Inicial!C66</f>
        <v>0</v>
      </c>
      <c r="D69" s="60">
        <f>Inicial!D66</f>
        <v>0</v>
      </c>
      <c r="E69" s="58" t="str">
        <f>IF(Inicial!N66="SI",Inicial!E66,"N/A")</f>
        <v>N/A</v>
      </c>
      <c r="F69" s="59" t="str">
        <f>IF(Inicial!N66="SI",Inicial!F66,"N/A")</f>
        <v>N/A</v>
      </c>
      <c r="G69" s="59" t="str">
        <f>IF(Inicial!N66="SI",Inicial!G66,"N/A")</f>
        <v>N/A</v>
      </c>
      <c r="H69" s="59" t="str">
        <f>IF(Inicial!N66="SI",Inicial!H66,"N/A")</f>
        <v>N/A</v>
      </c>
      <c r="I69" s="61" t="str">
        <f>IF(Inicial!N66="SI",Inicial!I66,"N/A")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AN69" s="3" t="str" cm="1">
        <f t="array" ref="AN69">IF(OR(Y69:AM69="NO"),"Critico","No Critico")</f>
        <v>No Critico</v>
      </c>
    </row>
    <row r="70" spans="1:40" ht="15">
      <c r="A70" s="58">
        <f>Inicial!A67</f>
        <v>0</v>
      </c>
      <c r="B70" s="59">
        <f>Inicial!B67</f>
        <v>0</v>
      </c>
      <c r="C70" s="59">
        <f>Inicial!C67</f>
        <v>0</v>
      </c>
      <c r="D70" s="60">
        <f>Inicial!D67</f>
        <v>0</v>
      </c>
      <c r="E70" s="58" t="str">
        <f>IF(Inicial!N67="SI",Inicial!E67,"N/A")</f>
        <v>N/A</v>
      </c>
      <c r="F70" s="59" t="str">
        <f>IF(Inicial!N67="SI",Inicial!F67,"N/A")</f>
        <v>N/A</v>
      </c>
      <c r="G70" s="59" t="str">
        <f>IF(Inicial!N67="SI",Inicial!G67,"N/A")</f>
        <v>N/A</v>
      </c>
      <c r="H70" s="59" t="str">
        <f>IF(Inicial!N67="SI",Inicial!H67,"N/A")</f>
        <v>N/A</v>
      </c>
      <c r="I70" s="61" t="str">
        <f>IF(Inicial!N67="SI",Inicial!I67,"N/A")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AN70" s="3" t="str" cm="1">
        <f t="array" ref="AN70">IF(OR(Y70:AM70="NO"),"Critico","No Critico")</f>
        <v>No Critico</v>
      </c>
    </row>
    <row r="71" spans="1:40" ht="15">
      <c r="A71" s="58">
        <f>Inicial!A68</f>
        <v>0</v>
      </c>
      <c r="B71" s="59">
        <f>Inicial!B68</f>
        <v>0</v>
      </c>
      <c r="C71" s="59">
        <f>Inicial!C68</f>
        <v>0</v>
      </c>
      <c r="D71" s="60">
        <f>Inicial!D68</f>
        <v>0</v>
      </c>
      <c r="E71" s="58" t="str">
        <f>IF(Inicial!N68="SI",Inicial!E68,"N/A")</f>
        <v>N/A</v>
      </c>
      <c r="F71" s="59" t="str">
        <f>IF(Inicial!N68="SI",Inicial!F68,"N/A")</f>
        <v>N/A</v>
      </c>
      <c r="G71" s="59" t="str">
        <f>IF(Inicial!N68="SI",Inicial!G68,"N/A")</f>
        <v>N/A</v>
      </c>
      <c r="H71" s="59" t="str">
        <f>IF(Inicial!N68="SI",Inicial!H68,"N/A")</f>
        <v>N/A</v>
      </c>
      <c r="I71" s="61" t="str">
        <f>IF(Inicial!N68="SI",Inicial!I68,"N/A")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AN71" s="3" t="str" cm="1">
        <f t="array" ref="AN71">IF(OR(Y71:AM71="NO"),"Critico","No Critico")</f>
        <v>No Critico</v>
      </c>
    </row>
    <row r="72" spans="1:40" ht="15">
      <c r="A72" s="58">
        <f>Inicial!A69</f>
        <v>0</v>
      </c>
      <c r="B72" s="59">
        <f>Inicial!B69</f>
        <v>0</v>
      </c>
      <c r="C72" s="59">
        <f>Inicial!C69</f>
        <v>0</v>
      </c>
      <c r="D72" s="60">
        <f>Inicial!D69</f>
        <v>0</v>
      </c>
      <c r="E72" s="58" t="str">
        <f>IF(Inicial!N69="SI",Inicial!E69,"N/A")</f>
        <v>N/A</v>
      </c>
      <c r="F72" s="59" t="str">
        <f>IF(Inicial!N69="SI",Inicial!F69,"N/A")</f>
        <v>N/A</v>
      </c>
      <c r="G72" s="59" t="str">
        <f>IF(Inicial!N69="SI",Inicial!G69,"N/A")</f>
        <v>N/A</v>
      </c>
      <c r="H72" s="59" t="str">
        <f>IF(Inicial!N69="SI",Inicial!H69,"N/A")</f>
        <v>N/A</v>
      </c>
      <c r="I72" s="61" t="str">
        <f>IF(Inicial!N69="SI",Inicial!I69,"N/A")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AN72" s="3" t="str" cm="1">
        <f t="array" ref="AN72">IF(OR(Y72:AM72="NO"),"Critico","No Critico")</f>
        <v>No Critico</v>
      </c>
    </row>
    <row r="73" spans="1:40" ht="15">
      <c r="A73" s="58">
        <f>Inicial!A70</f>
        <v>0</v>
      </c>
      <c r="B73" s="59">
        <f>Inicial!B70</f>
        <v>0</v>
      </c>
      <c r="C73" s="59">
        <f>Inicial!C70</f>
        <v>0</v>
      </c>
      <c r="D73" s="60">
        <f>Inicial!D70</f>
        <v>0</v>
      </c>
      <c r="E73" s="58" t="str">
        <f>IF(Inicial!N70="SI",Inicial!E70,"N/A")</f>
        <v>N/A</v>
      </c>
      <c r="F73" s="59" t="str">
        <f>IF(Inicial!N70="SI",Inicial!F70,"N/A")</f>
        <v>N/A</v>
      </c>
      <c r="G73" s="59" t="str">
        <f>IF(Inicial!N70="SI",Inicial!G70,"N/A")</f>
        <v>N/A</v>
      </c>
      <c r="H73" s="59" t="str">
        <f>IF(Inicial!N70="SI",Inicial!H70,"N/A")</f>
        <v>N/A</v>
      </c>
      <c r="I73" s="61" t="str">
        <f>IF(Inicial!N70="SI",Inicial!I70,"N/A")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AN73" s="3" t="str" cm="1">
        <f t="array" ref="AN73">IF(OR(Y73:AM73="NO"),"Critico","No Critico")</f>
        <v>No Critico</v>
      </c>
    </row>
    <row r="74" spans="1:40" ht="15">
      <c r="A74" s="58">
        <f>Inicial!A71</f>
        <v>0</v>
      </c>
      <c r="B74" s="59">
        <f>Inicial!B71</f>
        <v>0</v>
      </c>
      <c r="C74" s="59">
        <f>Inicial!C71</f>
        <v>0</v>
      </c>
      <c r="D74" s="60">
        <f>Inicial!D71</f>
        <v>0</v>
      </c>
      <c r="E74" s="58" t="str">
        <f>IF(Inicial!N71="SI",Inicial!E71,"N/A")</f>
        <v>N/A</v>
      </c>
      <c r="F74" s="59" t="str">
        <f>IF(Inicial!N71="SI",Inicial!F71,"N/A")</f>
        <v>N/A</v>
      </c>
      <c r="G74" s="59" t="str">
        <f>IF(Inicial!N71="SI",Inicial!G71,"N/A")</f>
        <v>N/A</v>
      </c>
      <c r="H74" s="59" t="str">
        <f>IF(Inicial!N71="SI",Inicial!H71,"N/A")</f>
        <v>N/A</v>
      </c>
      <c r="I74" s="61" t="str">
        <f>IF(Inicial!N71="SI",Inicial!I71,"N/A")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AN74" s="3" t="str" cm="1">
        <f t="array" ref="AN74">IF(OR(Y74:AM74="NO"),"Critico","No Critico")</f>
        <v>No Critico</v>
      </c>
    </row>
    <row r="75" spans="1:40" ht="15">
      <c r="A75" s="58">
        <f>Inicial!A72</f>
        <v>0</v>
      </c>
      <c r="B75" s="59">
        <f>Inicial!B72</f>
        <v>0</v>
      </c>
      <c r="C75" s="59">
        <f>Inicial!C72</f>
        <v>0</v>
      </c>
      <c r="D75" s="60">
        <f>Inicial!D72</f>
        <v>0</v>
      </c>
      <c r="E75" s="58" t="str">
        <f>IF(Inicial!N72="SI",Inicial!E72,"N/A")</f>
        <v>N/A</v>
      </c>
      <c r="F75" s="59" t="str">
        <f>IF(Inicial!N72="SI",Inicial!F72,"N/A")</f>
        <v>N/A</v>
      </c>
      <c r="G75" s="59" t="str">
        <f>IF(Inicial!N72="SI",Inicial!G72,"N/A")</f>
        <v>N/A</v>
      </c>
      <c r="H75" s="59" t="str">
        <f>IF(Inicial!N72="SI",Inicial!H72,"N/A")</f>
        <v>N/A</v>
      </c>
      <c r="I75" s="61" t="str">
        <f>IF(Inicial!N72="SI",Inicial!I72,"N/A")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AN75" s="3" t="str" cm="1">
        <f t="array" ref="AN75">IF(OR(Y75:AM75="NO"),"Critico","No Critico")</f>
        <v>No Critico</v>
      </c>
    </row>
    <row r="76" spans="1:40" ht="15">
      <c r="A76" s="58">
        <f>Inicial!A73</f>
        <v>0</v>
      </c>
      <c r="B76" s="59">
        <f>Inicial!B73</f>
        <v>0</v>
      </c>
      <c r="C76" s="59">
        <f>Inicial!C73</f>
        <v>0</v>
      </c>
      <c r="D76" s="60">
        <f>Inicial!D73</f>
        <v>0</v>
      </c>
      <c r="E76" s="58" t="str">
        <f>IF(Inicial!N73="SI",Inicial!E73,"N/A")</f>
        <v>N/A</v>
      </c>
      <c r="F76" s="59" t="str">
        <f>IF(Inicial!N73="SI",Inicial!F73,"N/A")</f>
        <v>N/A</v>
      </c>
      <c r="G76" s="59" t="str">
        <f>IF(Inicial!N73="SI",Inicial!G73,"N/A")</f>
        <v>N/A</v>
      </c>
      <c r="H76" s="59" t="str">
        <f>IF(Inicial!N73="SI",Inicial!H73,"N/A")</f>
        <v>N/A</v>
      </c>
      <c r="I76" s="61" t="str">
        <f>IF(Inicial!N73="SI",Inicial!I73,"N/A")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AN76" s="3" t="str" cm="1">
        <f t="array" ref="AN76">IF(OR(Y76:AM76="NO"),"Critico","No Critico")</f>
        <v>No Critico</v>
      </c>
    </row>
    <row r="77" spans="1:40" ht="15">
      <c r="A77" s="58">
        <f>Inicial!A74</f>
        <v>0</v>
      </c>
      <c r="B77" s="59">
        <f>Inicial!B74</f>
        <v>0</v>
      </c>
      <c r="C77" s="59">
        <f>Inicial!C74</f>
        <v>0</v>
      </c>
      <c r="D77" s="60">
        <f>Inicial!D74</f>
        <v>0</v>
      </c>
      <c r="E77" s="58" t="str">
        <f>IF(Inicial!N74="SI",Inicial!E74,"N/A")</f>
        <v>N/A</v>
      </c>
      <c r="F77" s="59" t="str">
        <f>IF(Inicial!N74="SI",Inicial!F74,"N/A")</f>
        <v>N/A</v>
      </c>
      <c r="G77" s="59" t="str">
        <f>IF(Inicial!N74="SI",Inicial!G74,"N/A")</f>
        <v>N/A</v>
      </c>
      <c r="H77" s="59" t="str">
        <f>IF(Inicial!N74="SI",Inicial!H74,"N/A")</f>
        <v>N/A</v>
      </c>
      <c r="I77" s="61" t="str">
        <f>IF(Inicial!N74="SI",Inicial!I74,"N/A")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AN77" s="3" t="str" cm="1">
        <f t="array" ref="AN77">IF(OR(Y77:AM77="NO"),"Critico","No Critico")</f>
        <v>No Critico</v>
      </c>
    </row>
    <row r="78" spans="1:40" ht="15">
      <c r="A78" s="58">
        <f>Inicial!A75</f>
        <v>0</v>
      </c>
      <c r="B78" s="59">
        <f>Inicial!B75</f>
        <v>0</v>
      </c>
      <c r="C78" s="59">
        <f>Inicial!C75</f>
        <v>0</v>
      </c>
      <c r="D78" s="60">
        <f>Inicial!D75</f>
        <v>0</v>
      </c>
      <c r="E78" s="58" t="str">
        <f>IF(Inicial!N75="SI",Inicial!E75,"N/A")</f>
        <v>N/A</v>
      </c>
      <c r="F78" s="59" t="str">
        <f>IF(Inicial!N75="SI",Inicial!F75,"N/A")</f>
        <v>N/A</v>
      </c>
      <c r="G78" s="59" t="str">
        <f>IF(Inicial!N75="SI",Inicial!G75,"N/A")</f>
        <v>N/A</v>
      </c>
      <c r="H78" s="59" t="str">
        <f>IF(Inicial!N75="SI",Inicial!H75,"N/A")</f>
        <v>N/A</v>
      </c>
      <c r="I78" s="61" t="str">
        <f>IF(Inicial!N75="SI",Inicial!I75,"N/A")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AN78" s="3" t="str" cm="1">
        <f t="array" ref="AN78">IF(OR(Y78:AM78="NO"),"Critico","No Critico")</f>
        <v>No Critico</v>
      </c>
    </row>
    <row r="79" spans="1:40" ht="15">
      <c r="A79" s="58">
        <f>Inicial!A76</f>
        <v>0</v>
      </c>
      <c r="B79" s="59">
        <f>Inicial!B76</f>
        <v>0</v>
      </c>
      <c r="C79" s="59">
        <f>Inicial!C76</f>
        <v>0</v>
      </c>
      <c r="D79" s="60">
        <f>Inicial!D76</f>
        <v>0</v>
      </c>
      <c r="E79" s="58" t="str">
        <f>IF(Inicial!N76="SI",Inicial!E76,"N/A")</f>
        <v>N/A</v>
      </c>
      <c r="F79" s="59" t="str">
        <f>IF(Inicial!N76="SI",Inicial!F76,"N/A")</f>
        <v>N/A</v>
      </c>
      <c r="G79" s="59" t="str">
        <f>IF(Inicial!N76="SI",Inicial!G76,"N/A")</f>
        <v>N/A</v>
      </c>
      <c r="H79" s="59" t="str">
        <f>IF(Inicial!N76="SI",Inicial!H76,"N/A")</f>
        <v>N/A</v>
      </c>
      <c r="I79" s="61" t="str">
        <f>IF(Inicial!N76="SI",Inicial!I76,"N/A")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AN79" s="3" t="str" cm="1">
        <f t="array" ref="AN79">IF(OR(Y79:AM79="NO"),"Critico","No Critico")</f>
        <v>No Critico</v>
      </c>
    </row>
    <row r="80" spans="1:40" ht="15">
      <c r="A80" s="58">
        <f>Inicial!A77</f>
        <v>0</v>
      </c>
      <c r="B80" s="59">
        <f>Inicial!B77</f>
        <v>0</v>
      </c>
      <c r="C80" s="59">
        <f>Inicial!C77</f>
        <v>0</v>
      </c>
      <c r="D80" s="60">
        <f>Inicial!D77</f>
        <v>0</v>
      </c>
      <c r="E80" s="58" t="str">
        <f>IF(Inicial!N77="SI",Inicial!E77,"N/A")</f>
        <v>N/A</v>
      </c>
      <c r="F80" s="59" t="str">
        <f>IF(Inicial!N77="SI",Inicial!F77,"N/A")</f>
        <v>N/A</v>
      </c>
      <c r="G80" s="59" t="str">
        <f>IF(Inicial!N77="SI",Inicial!G77,"N/A")</f>
        <v>N/A</v>
      </c>
      <c r="H80" s="59" t="str">
        <f>IF(Inicial!N77="SI",Inicial!H77,"N/A")</f>
        <v>N/A</v>
      </c>
      <c r="I80" s="61" t="str">
        <f>IF(Inicial!N77="SI",Inicial!I77,"N/A")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AN80" s="3" t="str" cm="1">
        <f t="array" ref="AN80">IF(OR(Y80:AM80="NO"),"Critico","No Critico")</f>
        <v>No Critico</v>
      </c>
    </row>
    <row r="81" spans="1:40" ht="15">
      <c r="A81" s="58">
        <f>Inicial!A78</f>
        <v>0</v>
      </c>
      <c r="B81" s="59">
        <f>Inicial!B78</f>
        <v>0</v>
      </c>
      <c r="C81" s="59">
        <f>Inicial!C78</f>
        <v>0</v>
      </c>
      <c r="D81" s="60">
        <f>Inicial!D78</f>
        <v>0</v>
      </c>
      <c r="E81" s="58" t="str">
        <f>IF(Inicial!N78="SI",Inicial!E78,"N/A")</f>
        <v>N/A</v>
      </c>
      <c r="F81" s="59" t="str">
        <f>IF(Inicial!N78="SI",Inicial!F78,"N/A")</f>
        <v>N/A</v>
      </c>
      <c r="G81" s="59" t="str">
        <f>IF(Inicial!N78="SI",Inicial!G78,"N/A")</f>
        <v>N/A</v>
      </c>
      <c r="H81" s="59" t="str">
        <f>IF(Inicial!N78="SI",Inicial!H78,"N/A")</f>
        <v>N/A</v>
      </c>
      <c r="I81" s="61" t="str">
        <f>IF(Inicial!N78="SI",Inicial!I78,"N/A")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AN81" s="3" t="str" cm="1">
        <f t="array" ref="AN81">IF(OR(Y81:AM81="NO"),"Critico","No Critico")</f>
        <v>No Critico</v>
      </c>
    </row>
    <row r="82" spans="1:40" ht="15">
      <c r="A82" s="58">
        <f>Inicial!A79</f>
        <v>0</v>
      </c>
      <c r="B82" s="59">
        <f>Inicial!B79</f>
        <v>0</v>
      </c>
      <c r="C82" s="59">
        <f>Inicial!C79</f>
        <v>0</v>
      </c>
      <c r="D82" s="60">
        <f>Inicial!D79</f>
        <v>0</v>
      </c>
      <c r="E82" s="58" t="str">
        <f>IF(Inicial!N79="SI",Inicial!E79,"N/A")</f>
        <v>N/A</v>
      </c>
      <c r="F82" s="59" t="str">
        <f>IF(Inicial!N79="SI",Inicial!F79,"N/A")</f>
        <v>N/A</v>
      </c>
      <c r="G82" s="59" t="str">
        <f>IF(Inicial!N79="SI",Inicial!G79,"N/A")</f>
        <v>N/A</v>
      </c>
      <c r="H82" s="59" t="str">
        <f>IF(Inicial!N79="SI",Inicial!H79,"N/A")</f>
        <v>N/A</v>
      </c>
      <c r="I82" s="61" t="str">
        <f>IF(Inicial!N79="SI",Inicial!I79,"N/A")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AN82" s="3" t="str" cm="1">
        <f t="array" ref="AN82">IF(OR(Y82:AM82="NO"),"Critico","No Critico")</f>
        <v>No Critico</v>
      </c>
    </row>
    <row r="83" spans="1:40" ht="15">
      <c r="A83" s="58">
        <f>Inicial!A80</f>
        <v>0</v>
      </c>
      <c r="B83" s="59">
        <f>Inicial!B80</f>
        <v>0</v>
      </c>
      <c r="C83" s="59">
        <f>Inicial!C80</f>
        <v>0</v>
      </c>
      <c r="D83" s="60">
        <f>Inicial!D80</f>
        <v>0</v>
      </c>
      <c r="E83" s="58" t="str">
        <f>IF(Inicial!N80="SI",Inicial!E80,"N/A")</f>
        <v>N/A</v>
      </c>
      <c r="F83" s="59" t="str">
        <f>IF(Inicial!N80="SI",Inicial!F80,"N/A")</f>
        <v>N/A</v>
      </c>
      <c r="G83" s="59" t="str">
        <f>IF(Inicial!N80="SI",Inicial!G80,"N/A")</f>
        <v>N/A</v>
      </c>
      <c r="H83" s="59" t="str">
        <f>IF(Inicial!N80="SI",Inicial!H80,"N/A")</f>
        <v>N/A</v>
      </c>
      <c r="I83" s="61" t="str">
        <f>IF(Inicial!N80="SI",Inicial!I80,"N/A")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AN83" s="3" t="str" cm="1">
        <f t="array" ref="AN83">IF(OR(Y83:AM83="NO"),"Critico","No Critico")</f>
        <v>No Critico</v>
      </c>
    </row>
    <row r="84" spans="1:40" ht="15">
      <c r="A84" s="58">
        <f>Inicial!A81</f>
        <v>0</v>
      </c>
      <c r="B84" s="59">
        <f>Inicial!B81</f>
        <v>0</v>
      </c>
      <c r="C84" s="59">
        <f>Inicial!C81</f>
        <v>0</v>
      </c>
      <c r="D84" s="60">
        <f>Inicial!D81</f>
        <v>0</v>
      </c>
      <c r="E84" s="58" t="str">
        <f>IF(Inicial!N81="SI",Inicial!E81,"N/A")</f>
        <v>N/A</v>
      </c>
      <c r="F84" s="59" t="str">
        <f>IF(Inicial!N81="SI",Inicial!F81,"N/A")</f>
        <v>N/A</v>
      </c>
      <c r="G84" s="59" t="str">
        <f>IF(Inicial!N81="SI",Inicial!G81,"N/A")</f>
        <v>N/A</v>
      </c>
      <c r="H84" s="59" t="str">
        <f>IF(Inicial!N81="SI",Inicial!H81,"N/A")</f>
        <v>N/A</v>
      </c>
      <c r="I84" s="61" t="str">
        <f>IF(Inicial!N81="SI",Inicial!I81,"N/A")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AN84" s="3" t="str" cm="1">
        <f t="array" ref="AN84">IF(OR(Y84:AM84="NO"),"Critico","No Critico")</f>
        <v>No Critico</v>
      </c>
    </row>
    <row r="85" spans="1:40" ht="15">
      <c r="A85" s="58">
        <f>Inicial!A82</f>
        <v>0</v>
      </c>
      <c r="B85" s="59">
        <f>Inicial!B82</f>
        <v>0</v>
      </c>
      <c r="C85" s="59">
        <f>Inicial!C82</f>
        <v>0</v>
      </c>
      <c r="D85" s="60">
        <f>Inicial!D82</f>
        <v>0</v>
      </c>
      <c r="E85" s="58" t="str">
        <f>IF(Inicial!N82="SI",Inicial!E82,"N/A")</f>
        <v>N/A</v>
      </c>
      <c r="F85" s="59" t="str">
        <f>IF(Inicial!N82="SI",Inicial!F82,"N/A")</f>
        <v>N/A</v>
      </c>
      <c r="G85" s="59" t="str">
        <f>IF(Inicial!N82="SI",Inicial!G82,"N/A")</f>
        <v>N/A</v>
      </c>
      <c r="H85" s="59" t="str">
        <f>IF(Inicial!N82="SI",Inicial!H82,"N/A")</f>
        <v>N/A</v>
      </c>
      <c r="I85" s="61" t="str">
        <f>IF(Inicial!N82="SI",Inicial!I82,"N/A")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AN85" s="3" t="str" cm="1">
        <f t="array" ref="AN85">IF(OR(Y85:AM85="NO"),"Critico","No Critico")</f>
        <v>No Critico</v>
      </c>
    </row>
    <row r="86" spans="1:40" ht="15">
      <c r="A86" s="58">
        <f>Inicial!A83</f>
        <v>0</v>
      </c>
      <c r="B86" s="59">
        <f>Inicial!B83</f>
        <v>0</v>
      </c>
      <c r="C86" s="59">
        <f>Inicial!C83</f>
        <v>0</v>
      </c>
      <c r="D86" s="60">
        <f>Inicial!D83</f>
        <v>0</v>
      </c>
      <c r="E86" s="58" t="str">
        <f>IF(Inicial!N83="SI",Inicial!E83,"N/A")</f>
        <v>N/A</v>
      </c>
      <c r="F86" s="59" t="str">
        <f>IF(Inicial!N83="SI",Inicial!F83,"N/A")</f>
        <v>N/A</v>
      </c>
      <c r="G86" s="59" t="str">
        <f>IF(Inicial!N83="SI",Inicial!G83,"N/A")</f>
        <v>N/A</v>
      </c>
      <c r="H86" s="59" t="str">
        <f>IF(Inicial!N83="SI",Inicial!H83,"N/A")</f>
        <v>N/A</v>
      </c>
      <c r="I86" s="61" t="str">
        <f>IF(Inicial!N83="SI",Inicial!I83,"N/A")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AN86" s="3" t="str" cm="1">
        <f t="array" ref="AN86">IF(OR(Y86:AM86="NO"),"Critico","No Critico")</f>
        <v>No Critico</v>
      </c>
    </row>
    <row r="87" spans="1:40" ht="15">
      <c r="A87" s="58">
        <f>Inicial!A84</f>
        <v>0</v>
      </c>
      <c r="B87" s="59">
        <f>Inicial!B84</f>
        <v>0</v>
      </c>
      <c r="C87" s="59">
        <f>Inicial!C84</f>
        <v>0</v>
      </c>
      <c r="D87" s="60">
        <f>Inicial!D84</f>
        <v>0</v>
      </c>
      <c r="E87" s="58" t="str">
        <f>IF(Inicial!N84="SI",Inicial!E84,"N/A")</f>
        <v>N/A</v>
      </c>
      <c r="F87" s="59" t="str">
        <f>IF(Inicial!N84="SI",Inicial!F84,"N/A")</f>
        <v>N/A</v>
      </c>
      <c r="G87" s="59" t="str">
        <f>IF(Inicial!N84="SI",Inicial!G84,"N/A")</f>
        <v>N/A</v>
      </c>
      <c r="H87" s="59" t="str">
        <f>IF(Inicial!N84="SI",Inicial!H84,"N/A")</f>
        <v>N/A</v>
      </c>
      <c r="I87" s="61" t="str">
        <f>IF(Inicial!N84="SI",Inicial!I84,"N/A")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AN87" s="3" t="str" cm="1">
        <f t="array" ref="AN87">IF(OR(Y87:AM87="NO"),"Critico","No Critico")</f>
        <v>No Critico</v>
      </c>
    </row>
    <row r="88" spans="1:40" ht="15">
      <c r="A88" s="58">
        <f>Inicial!A85</f>
        <v>0</v>
      </c>
      <c r="B88" s="59">
        <f>Inicial!B85</f>
        <v>0</v>
      </c>
      <c r="C88" s="59">
        <f>Inicial!C85</f>
        <v>0</v>
      </c>
      <c r="D88" s="60">
        <f>Inicial!D85</f>
        <v>0</v>
      </c>
      <c r="E88" s="58" t="str">
        <f>IF(Inicial!N85="SI",Inicial!E85,"N/A")</f>
        <v>N/A</v>
      </c>
      <c r="F88" s="59" t="str">
        <f>IF(Inicial!N85="SI",Inicial!F85,"N/A")</f>
        <v>N/A</v>
      </c>
      <c r="G88" s="59" t="str">
        <f>IF(Inicial!N85="SI",Inicial!G85,"N/A")</f>
        <v>N/A</v>
      </c>
      <c r="H88" s="59" t="str">
        <f>IF(Inicial!N85="SI",Inicial!H85,"N/A")</f>
        <v>N/A</v>
      </c>
      <c r="I88" s="61" t="str">
        <f>IF(Inicial!N85="SI",Inicial!I85,"N/A")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AN88" s="3" t="str" cm="1">
        <f t="array" ref="AN88">IF(OR(Y88:AM88="NO"),"Critico","No Critico")</f>
        <v>No Critico</v>
      </c>
    </row>
    <row r="89" spans="1:40" ht="15">
      <c r="A89" s="58">
        <f>Inicial!A86</f>
        <v>0</v>
      </c>
      <c r="B89" s="59">
        <f>Inicial!B86</f>
        <v>0</v>
      </c>
      <c r="C89" s="59">
        <f>Inicial!C86</f>
        <v>0</v>
      </c>
      <c r="D89" s="60">
        <f>Inicial!D86</f>
        <v>0</v>
      </c>
      <c r="E89" s="58" t="str">
        <f>IF(Inicial!N86="SI",Inicial!E86,"N/A")</f>
        <v>N/A</v>
      </c>
      <c r="F89" s="59" t="str">
        <f>IF(Inicial!N86="SI",Inicial!F86,"N/A")</f>
        <v>N/A</v>
      </c>
      <c r="G89" s="59" t="str">
        <f>IF(Inicial!N86="SI",Inicial!G86,"N/A")</f>
        <v>N/A</v>
      </c>
      <c r="H89" s="59" t="str">
        <f>IF(Inicial!N86="SI",Inicial!H86,"N/A")</f>
        <v>N/A</v>
      </c>
      <c r="I89" s="61" t="str">
        <f>IF(Inicial!N86="SI",Inicial!I86,"N/A")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AN89" s="3" t="str" cm="1">
        <f t="array" ref="AN89">IF(OR(Y89:AM89="NO"),"Critico","No Critico")</f>
        <v>No Critico</v>
      </c>
    </row>
    <row r="90" spans="1:40" ht="15">
      <c r="A90" s="58">
        <f>Inicial!A87</f>
        <v>0</v>
      </c>
      <c r="B90" s="59">
        <f>Inicial!B87</f>
        <v>0</v>
      </c>
      <c r="C90" s="59">
        <f>Inicial!C87</f>
        <v>0</v>
      </c>
      <c r="D90" s="60">
        <f>Inicial!D87</f>
        <v>0</v>
      </c>
      <c r="E90" s="58" t="str">
        <f>IF(Inicial!N87="SI",Inicial!E87,"N/A")</f>
        <v>N/A</v>
      </c>
      <c r="F90" s="59" t="str">
        <f>IF(Inicial!N87="SI",Inicial!F87,"N/A")</f>
        <v>N/A</v>
      </c>
      <c r="G90" s="59" t="str">
        <f>IF(Inicial!N87="SI",Inicial!G87,"N/A")</f>
        <v>N/A</v>
      </c>
      <c r="H90" s="59" t="str">
        <f>IF(Inicial!N87="SI",Inicial!H87,"N/A")</f>
        <v>N/A</v>
      </c>
      <c r="I90" s="61" t="str">
        <f>IF(Inicial!N87="SI",Inicial!I87,"N/A")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AN90" s="3" t="str" cm="1">
        <f t="array" ref="AN90">IF(OR(Y90:AM90="NO"),"Critico","No Critico")</f>
        <v>No Critico</v>
      </c>
    </row>
    <row r="91" spans="1:40" ht="15">
      <c r="A91" s="58">
        <f>Inicial!A88</f>
        <v>0</v>
      </c>
      <c r="B91" s="59">
        <f>Inicial!B88</f>
        <v>0</v>
      </c>
      <c r="C91" s="59">
        <f>Inicial!C88</f>
        <v>0</v>
      </c>
      <c r="D91" s="60">
        <f>Inicial!D88</f>
        <v>0</v>
      </c>
      <c r="E91" s="58" t="str">
        <f>IF(Inicial!N88="SI",Inicial!E88,"N/A")</f>
        <v>N/A</v>
      </c>
      <c r="F91" s="59" t="str">
        <f>IF(Inicial!N88="SI",Inicial!F88,"N/A")</f>
        <v>N/A</v>
      </c>
      <c r="G91" s="59" t="str">
        <f>IF(Inicial!N88="SI",Inicial!G88,"N/A")</f>
        <v>N/A</v>
      </c>
      <c r="H91" s="59" t="str">
        <f>IF(Inicial!N88="SI",Inicial!H88,"N/A")</f>
        <v>N/A</v>
      </c>
      <c r="I91" s="61" t="str">
        <f>IF(Inicial!N88="SI",Inicial!I88,"N/A")</f>
        <v>N/A</v>
      </c>
      <c r="AN91" s="3" t="str" cm="1">
        <f t="array" ref="AN91">IF(OR(Y91:AM91="NO"),"Critico","No Critico")</f>
        <v>No Critico</v>
      </c>
    </row>
    <row r="92" spans="1:40" ht="15">
      <c r="A92" s="58">
        <f>Inicial!A89</f>
        <v>0</v>
      </c>
      <c r="B92" s="59">
        <f>Inicial!B89</f>
        <v>0</v>
      </c>
      <c r="C92" s="59">
        <f>Inicial!C89</f>
        <v>0</v>
      </c>
      <c r="D92" s="60">
        <f>Inicial!D89</f>
        <v>0</v>
      </c>
      <c r="E92" s="58" t="str">
        <f>IF(Inicial!N89="SI",Inicial!E89,"N/A")</f>
        <v>N/A</v>
      </c>
      <c r="F92" s="59" t="str">
        <f>IF(Inicial!N89="SI",Inicial!F89,"N/A")</f>
        <v>N/A</v>
      </c>
      <c r="G92" s="59" t="str">
        <f>IF(Inicial!N89="SI",Inicial!G89,"N/A")</f>
        <v>N/A</v>
      </c>
      <c r="H92" s="59" t="str">
        <f>IF(Inicial!N89="SI",Inicial!H89,"N/A")</f>
        <v>N/A</v>
      </c>
      <c r="I92" s="61" t="str">
        <f>IF(Inicial!N89="SI",Inicial!I89,"N/A")</f>
        <v>N/A</v>
      </c>
      <c r="AN92" s="3" t="str" cm="1">
        <f t="array" ref="AN92">IF(OR(Y92:AM92="NO"),"Critico","No Critico")</f>
        <v>No Critico</v>
      </c>
    </row>
    <row r="93" spans="1:40" ht="15">
      <c r="A93" s="58">
        <f>Inicial!A90</f>
        <v>0</v>
      </c>
      <c r="B93" s="59">
        <f>Inicial!B90</f>
        <v>0</v>
      </c>
      <c r="C93" s="59">
        <f>Inicial!C90</f>
        <v>0</v>
      </c>
      <c r="D93" s="60">
        <f>Inicial!D90</f>
        <v>0</v>
      </c>
      <c r="E93" s="58" t="str">
        <f>IF(Inicial!N90="SI",Inicial!E90,"N/A")</f>
        <v>N/A</v>
      </c>
      <c r="F93" s="59" t="str">
        <f>IF(Inicial!N90="SI",Inicial!F90,"N/A")</f>
        <v>N/A</v>
      </c>
      <c r="G93" s="59" t="str">
        <f>IF(Inicial!N90="SI",Inicial!G90,"N/A")</f>
        <v>N/A</v>
      </c>
      <c r="H93" s="59" t="str">
        <f>IF(Inicial!N90="SI",Inicial!H90,"N/A")</f>
        <v>N/A</v>
      </c>
      <c r="I93" s="61" t="str">
        <f>IF(Inicial!N90="SI",Inicial!I90,"N/A")</f>
        <v>N/A</v>
      </c>
      <c r="AN93" s="3" t="str" cm="1">
        <f t="array" ref="AN93">IF(OR(Y93:AM93="NO"),"Critico","No Critico")</f>
        <v>No Critico</v>
      </c>
    </row>
    <row r="94" spans="1:40" ht="15">
      <c r="A94" s="58">
        <f>Inicial!A91</f>
        <v>0</v>
      </c>
      <c r="B94" s="59">
        <f>Inicial!B91</f>
        <v>0</v>
      </c>
      <c r="C94" s="59">
        <f>Inicial!C91</f>
        <v>0</v>
      </c>
      <c r="D94" s="60">
        <f>Inicial!D91</f>
        <v>0</v>
      </c>
      <c r="E94" s="58" t="str">
        <f>IF(Inicial!N91="SI",Inicial!E91,"N/A")</f>
        <v>N/A</v>
      </c>
      <c r="F94" s="59" t="str">
        <f>IF(Inicial!N91="SI",Inicial!F91,"N/A")</f>
        <v>N/A</v>
      </c>
      <c r="G94" s="59" t="str">
        <f>IF(Inicial!N91="SI",Inicial!G91,"N/A")</f>
        <v>N/A</v>
      </c>
      <c r="H94" s="59" t="str">
        <f>IF(Inicial!N91="SI",Inicial!H91,"N/A")</f>
        <v>N/A</v>
      </c>
      <c r="I94" s="61" t="str">
        <f>IF(Inicial!N91="SI",Inicial!I91,"N/A")</f>
        <v>N/A</v>
      </c>
      <c r="AN94" s="3" t="str" cm="1">
        <f t="array" ref="AN94">IF(OR(Y94:AM94="NO"),"Critico","No Critico")</f>
        <v>No Critico</v>
      </c>
    </row>
    <row r="95" spans="1:40" ht="15">
      <c r="A95" s="58">
        <f>Inicial!A92</f>
        <v>0</v>
      </c>
      <c r="B95" s="59">
        <f>Inicial!B92</f>
        <v>0</v>
      </c>
      <c r="C95" s="59">
        <f>Inicial!C92</f>
        <v>0</v>
      </c>
      <c r="D95" s="60">
        <f>Inicial!D92</f>
        <v>0</v>
      </c>
      <c r="E95" s="58" t="str">
        <f>IF(Inicial!N92="SI",Inicial!E92,"N/A")</f>
        <v>N/A</v>
      </c>
      <c r="F95" s="59" t="str">
        <f>IF(Inicial!N92="SI",Inicial!F92,"N/A")</f>
        <v>N/A</v>
      </c>
      <c r="G95" s="59" t="str">
        <f>IF(Inicial!N92="SI",Inicial!G92,"N/A")</f>
        <v>N/A</v>
      </c>
      <c r="H95" s="59" t="str">
        <f>IF(Inicial!N92="SI",Inicial!H92,"N/A")</f>
        <v>N/A</v>
      </c>
      <c r="I95" s="61" t="str">
        <f>IF(Inicial!N92="SI",Inicial!I92,"N/A")</f>
        <v>N/A</v>
      </c>
      <c r="AN95" s="3" t="str" cm="1">
        <f t="array" ref="AN95">IF(OR(Y95:AM95="NO"),"Critico","No Critico")</f>
        <v>No Critico</v>
      </c>
    </row>
    <row r="96" spans="1:40" ht="15">
      <c r="A96" s="58">
        <f>Inicial!A93</f>
        <v>0</v>
      </c>
      <c r="B96" s="59">
        <f>Inicial!B93</f>
        <v>0</v>
      </c>
      <c r="C96" s="59">
        <f>Inicial!C93</f>
        <v>0</v>
      </c>
      <c r="D96" s="60">
        <f>Inicial!D93</f>
        <v>0</v>
      </c>
      <c r="E96" s="58" t="str">
        <f>IF(Inicial!N93="SI",Inicial!E93,"N/A")</f>
        <v>N/A</v>
      </c>
      <c r="F96" s="59" t="str">
        <f>IF(Inicial!N93="SI",Inicial!F93,"N/A")</f>
        <v>N/A</v>
      </c>
      <c r="G96" s="59" t="str">
        <f>IF(Inicial!N93="SI",Inicial!G93,"N/A")</f>
        <v>N/A</v>
      </c>
      <c r="H96" s="59" t="str">
        <f>IF(Inicial!N93="SI",Inicial!H93,"N/A")</f>
        <v>N/A</v>
      </c>
      <c r="I96" s="61" t="str">
        <f>IF(Inicial!N93="SI",Inicial!I93,"N/A")</f>
        <v>N/A</v>
      </c>
      <c r="AN96" s="3" t="str" cm="1">
        <f t="array" ref="AN96">IF(OR(Y96:AM96="NO"),"Critico","No Critico")</f>
        <v>No Critico</v>
      </c>
    </row>
    <row r="97" spans="1:40" ht="15">
      <c r="A97" s="58">
        <f>Inicial!A94</f>
        <v>0</v>
      </c>
      <c r="B97" s="59">
        <f>Inicial!B94</f>
        <v>0</v>
      </c>
      <c r="C97" s="59">
        <f>Inicial!C94</f>
        <v>0</v>
      </c>
      <c r="D97" s="60">
        <f>Inicial!D94</f>
        <v>0</v>
      </c>
      <c r="E97" s="58" t="str">
        <f>IF(Inicial!N94="SI",Inicial!E94,"N/A")</f>
        <v>N/A</v>
      </c>
      <c r="F97" s="59" t="str">
        <f>IF(Inicial!N94="SI",Inicial!F94,"N/A")</f>
        <v>N/A</v>
      </c>
      <c r="G97" s="59" t="str">
        <f>IF(Inicial!N94="SI",Inicial!G94,"N/A")</f>
        <v>N/A</v>
      </c>
      <c r="H97" s="59" t="str">
        <f>IF(Inicial!N94="SI",Inicial!H94,"N/A")</f>
        <v>N/A</v>
      </c>
      <c r="I97" s="61" t="str">
        <f>IF(Inicial!N94="SI",Inicial!I94,"N/A")</f>
        <v>N/A</v>
      </c>
      <c r="AN97" s="3" t="str" cm="1">
        <f t="array" ref="AN97">IF(OR(Y97:AM97="NO"),"Critico","No Critico")</f>
        <v>No Critico</v>
      </c>
    </row>
    <row r="98" spans="1:40" ht="15">
      <c r="A98" s="58">
        <f>Inicial!A95</f>
        <v>0</v>
      </c>
      <c r="B98" s="59">
        <f>Inicial!B95</f>
        <v>0</v>
      </c>
      <c r="C98" s="59">
        <f>Inicial!C95</f>
        <v>0</v>
      </c>
      <c r="D98" s="60">
        <f>Inicial!D95</f>
        <v>0</v>
      </c>
      <c r="E98" s="58" t="str">
        <f>IF(Inicial!N95="SI",Inicial!E95,"N/A")</f>
        <v>N/A</v>
      </c>
      <c r="F98" s="59" t="str">
        <f>IF(Inicial!N95="SI",Inicial!F95,"N/A")</f>
        <v>N/A</v>
      </c>
      <c r="G98" s="59" t="str">
        <f>IF(Inicial!N95="SI",Inicial!G95,"N/A")</f>
        <v>N/A</v>
      </c>
      <c r="H98" s="59" t="str">
        <f>IF(Inicial!N95="SI",Inicial!H95,"N/A")</f>
        <v>N/A</v>
      </c>
      <c r="I98" s="61" t="str">
        <f>IF(Inicial!N95="SI",Inicial!I95,"N/A")</f>
        <v>N/A</v>
      </c>
      <c r="AN98" s="3" t="str" cm="1">
        <f t="array" ref="AN98">IF(OR(Y98:AM98="NO"),"Critico","No Critico")</f>
        <v>No Critico</v>
      </c>
    </row>
    <row r="99" spans="1:40" ht="15">
      <c r="A99" s="58">
        <f>Inicial!A96</f>
        <v>0</v>
      </c>
      <c r="B99" s="59">
        <f>Inicial!B96</f>
        <v>0</v>
      </c>
      <c r="C99" s="59">
        <f>Inicial!C96</f>
        <v>0</v>
      </c>
      <c r="D99" s="60">
        <f>Inicial!D96</f>
        <v>0</v>
      </c>
      <c r="E99" s="58" t="str">
        <f>IF(Inicial!N96="SI",Inicial!E96,"N/A")</f>
        <v>N/A</v>
      </c>
      <c r="F99" s="59" t="str">
        <f>IF(Inicial!N96="SI",Inicial!F96,"N/A")</f>
        <v>N/A</v>
      </c>
      <c r="G99" s="59" t="str">
        <f>IF(Inicial!N96="SI",Inicial!G96,"N/A")</f>
        <v>N/A</v>
      </c>
      <c r="H99" s="59" t="str">
        <f>IF(Inicial!N96="SI",Inicial!H96,"N/A")</f>
        <v>N/A</v>
      </c>
      <c r="I99" s="61" t="str">
        <f>IF(Inicial!N96="SI",Inicial!I96,"N/A")</f>
        <v>N/A</v>
      </c>
      <c r="AN99" s="3" t="str" cm="1">
        <f t="array" ref="AN99">IF(OR(Y99:AM99="NO"),"Critico","No Critico")</f>
        <v>No Critico</v>
      </c>
    </row>
    <row r="100" spans="1:40" ht="15">
      <c r="A100" s="58">
        <f>Inicial!A97</f>
        <v>0</v>
      </c>
      <c r="B100" s="59">
        <f>Inicial!B97</f>
        <v>0</v>
      </c>
      <c r="C100" s="59">
        <f>Inicial!C97</f>
        <v>0</v>
      </c>
      <c r="D100" s="60">
        <f>Inicial!D97</f>
        <v>0</v>
      </c>
      <c r="E100" s="58" t="str">
        <f>IF(Inicial!N97="SI",Inicial!E97,"N/A")</f>
        <v>N/A</v>
      </c>
      <c r="F100" s="59" t="str">
        <f>IF(Inicial!N97="SI",Inicial!F97,"N/A")</f>
        <v>N/A</v>
      </c>
      <c r="G100" s="59" t="str">
        <f>IF(Inicial!N97="SI",Inicial!G97,"N/A")</f>
        <v>N/A</v>
      </c>
      <c r="H100" s="59" t="str">
        <f>IF(Inicial!N97="SI",Inicial!H97,"N/A")</f>
        <v>N/A</v>
      </c>
      <c r="I100" s="61" t="str">
        <f>IF(Inicial!N97="SI",Inicial!I97,"N/A")</f>
        <v>N/A</v>
      </c>
      <c r="AN100" s="3" t="str" cm="1">
        <f t="array" ref="AN100">IF(OR(Y100:AM100="NO"),"Critico","No Critico")</f>
        <v>No Critico</v>
      </c>
    </row>
    <row r="101" spans="1:40" ht="15">
      <c r="A101" s="58">
        <f>Inicial!A98</f>
        <v>0</v>
      </c>
      <c r="B101" s="59">
        <f>Inicial!B98</f>
        <v>0</v>
      </c>
      <c r="C101" s="59">
        <f>Inicial!C98</f>
        <v>0</v>
      </c>
      <c r="D101" s="60">
        <f>Inicial!D98</f>
        <v>0</v>
      </c>
      <c r="E101" s="58" t="str">
        <f>IF(Inicial!N98="SI",Inicial!E98,"N/A")</f>
        <v>N/A</v>
      </c>
      <c r="F101" s="59" t="str">
        <f>IF(Inicial!N98="SI",Inicial!F98,"N/A")</f>
        <v>N/A</v>
      </c>
      <c r="G101" s="59" t="str">
        <f>IF(Inicial!N98="SI",Inicial!G98,"N/A")</f>
        <v>N/A</v>
      </c>
      <c r="H101" s="59" t="str">
        <f>IF(Inicial!N98="SI",Inicial!H98,"N/A")</f>
        <v>N/A</v>
      </c>
      <c r="I101" s="61" t="str">
        <f>IF(Inicial!N98="SI",Inicial!I98,"N/A")</f>
        <v>N/A</v>
      </c>
      <c r="AN101" s="3" t="str" cm="1">
        <f t="array" ref="AN101">IF(OR(Y101:AM101="NO"),"Critico","No Critico")</f>
        <v>No Critico</v>
      </c>
    </row>
    <row r="102" spans="1:40" ht="15">
      <c r="A102" s="58">
        <f>Inicial!A99</f>
        <v>0</v>
      </c>
      <c r="B102" s="59">
        <f>Inicial!B99</f>
        <v>0</v>
      </c>
      <c r="C102" s="59">
        <f>Inicial!C99</f>
        <v>0</v>
      </c>
      <c r="D102" s="60">
        <f>Inicial!D99</f>
        <v>0</v>
      </c>
      <c r="E102" s="58" t="str">
        <f>IF(Inicial!N99="SI",Inicial!E99,"N/A")</f>
        <v>N/A</v>
      </c>
      <c r="F102" s="59" t="str">
        <f>IF(Inicial!N99="SI",Inicial!F99,"N/A")</f>
        <v>N/A</v>
      </c>
      <c r="G102" s="59" t="str">
        <f>IF(Inicial!N99="SI",Inicial!G99,"N/A")</f>
        <v>N/A</v>
      </c>
      <c r="H102" s="59" t="str">
        <f>IF(Inicial!N99="SI",Inicial!H99,"N/A")</f>
        <v>N/A</v>
      </c>
      <c r="I102" s="61" t="str">
        <f>IF(Inicial!N99="SI",Inicial!I99,"N/A")</f>
        <v>N/A</v>
      </c>
      <c r="AN102" s="3" t="str" cm="1">
        <f t="array" ref="AN102">IF(OR(Y102:AM102="NO"),"Critico","No Critico")</f>
        <v>No Critico</v>
      </c>
    </row>
    <row r="103" spans="1:40" ht="15">
      <c r="A103" s="58">
        <f>Inicial!A100</f>
        <v>0</v>
      </c>
      <c r="B103" s="59">
        <f>Inicial!B100</f>
        <v>0</v>
      </c>
      <c r="C103" s="59">
        <f>Inicial!C100</f>
        <v>0</v>
      </c>
      <c r="D103" s="60">
        <f>Inicial!D100</f>
        <v>0</v>
      </c>
      <c r="E103" s="58" t="str">
        <f>IF(Inicial!N100="SI",Inicial!E100,"N/A")</f>
        <v>N/A</v>
      </c>
      <c r="F103" s="59" t="str">
        <f>IF(Inicial!N100="SI",Inicial!F100,"N/A")</f>
        <v>N/A</v>
      </c>
      <c r="G103" s="59" t="str">
        <f>IF(Inicial!N100="SI",Inicial!G100,"N/A")</f>
        <v>N/A</v>
      </c>
      <c r="H103" s="59" t="str">
        <f>IF(Inicial!N100="SI",Inicial!H100,"N/A")</f>
        <v>N/A</v>
      </c>
      <c r="I103" s="61" t="str">
        <f>IF(Inicial!N100="SI",Inicial!I100,"N/A")</f>
        <v>N/A</v>
      </c>
      <c r="AN103" s="3" t="str" cm="1">
        <f t="array" ref="AN103">IF(OR(Y103:AM103="NO"),"Critico","No Critico")</f>
        <v>No Critico</v>
      </c>
    </row>
    <row r="104" spans="1:40" ht="15">
      <c r="A104" s="58">
        <f>Inicial!A101</f>
        <v>0</v>
      </c>
      <c r="B104" s="59">
        <f>Inicial!B101</f>
        <v>0</v>
      </c>
      <c r="C104" s="59">
        <f>Inicial!C101</f>
        <v>0</v>
      </c>
      <c r="D104" s="60">
        <f>Inicial!D101</f>
        <v>0</v>
      </c>
      <c r="E104" s="58" t="str">
        <f>IF(Inicial!N101="SI",Inicial!E101,"N/A")</f>
        <v>N/A</v>
      </c>
      <c r="F104" s="59" t="str">
        <f>IF(Inicial!N101="SI",Inicial!F101,"N/A")</f>
        <v>N/A</v>
      </c>
      <c r="G104" s="59" t="str">
        <f>IF(Inicial!N101="SI",Inicial!G101,"N/A")</f>
        <v>N/A</v>
      </c>
      <c r="H104" s="59" t="str">
        <f>IF(Inicial!N101="SI",Inicial!H101,"N/A")</f>
        <v>N/A</v>
      </c>
      <c r="I104" s="61" t="str">
        <f>IF(Inicial!N101="SI",Inicial!I101,"N/A")</f>
        <v>N/A</v>
      </c>
      <c r="AN104" s="3" t="str" cm="1">
        <f t="array" ref="AN104">IF(OR(Y104:AM104="NO"),"Critico","No Critico")</f>
        <v>No Critico</v>
      </c>
    </row>
    <row r="105" spans="1:40" ht="15">
      <c r="A105" s="58">
        <f>Inicial!A102</f>
        <v>0</v>
      </c>
      <c r="B105" s="59">
        <f>Inicial!B102</f>
        <v>0</v>
      </c>
      <c r="C105" s="59">
        <f>Inicial!C102</f>
        <v>0</v>
      </c>
      <c r="D105" s="60">
        <f>Inicial!D102</f>
        <v>0</v>
      </c>
      <c r="E105" s="58" t="str">
        <f>IF(Inicial!N102="SI",Inicial!E102,"N/A")</f>
        <v>N/A</v>
      </c>
      <c r="F105" s="59" t="str">
        <f>IF(Inicial!N102="SI",Inicial!F102,"N/A")</f>
        <v>N/A</v>
      </c>
      <c r="G105" s="59" t="str">
        <f>IF(Inicial!N102="SI",Inicial!G102,"N/A")</f>
        <v>N/A</v>
      </c>
      <c r="H105" s="59" t="str">
        <f>IF(Inicial!N102="SI",Inicial!H102,"N/A")</f>
        <v>N/A</v>
      </c>
      <c r="I105" s="61" t="str">
        <f>IF(Inicial!N102="SI",Inicial!I102,"N/A")</f>
        <v>N/A</v>
      </c>
      <c r="AN105" s="3" t="str" cm="1">
        <f t="array" ref="AN105">IF(OR(Y105:AM105="NO"),"Critico","No Critico")</f>
        <v>No Critico</v>
      </c>
    </row>
    <row r="106" spans="1:40" ht="15">
      <c r="A106" s="58">
        <f>Inicial!A103</f>
        <v>0</v>
      </c>
      <c r="B106" s="59">
        <f>Inicial!B103</f>
        <v>0</v>
      </c>
      <c r="C106" s="59">
        <f>Inicial!C103</f>
        <v>0</v>
      </c>
      <c r="D106" s="60">
        <f>Inicial!D103</f>
        <v>0</v>
      </c>
      <c r="E106" s="58" t="str">
        <f>IF(Inicial!N103="SI",Inicial!E103,"N/A")</f>
        <v>N/A</v>
      </c>
      <c r="F106" s="59" t="str">
        <f>IF(Inicial!N103="SI",Inicial!F103,"N/A")</f>
        <v>N/A</v>
      </c>
      <c r="G106" s="59" t="str">
        <f>IF(Inicial!N103="SI",Inicial!G103,"N/A")</f>
        <v>N/A</v>
      </c>
      <c r="H106" s="59" t="str">
        <f>IF(Inicial!N103="SI",Inicial!H103,"N/A")</f>
        <v>N/A</v>
      </c>
      <c r="I106" s="61" t="str">
        <f>IF(Inicial!N103="SI",Inicial!I103,"N/A")</f>
        <v>N/A</v>
      </c>
      <c r="AN106" s="3" t="str" cm="1">
        <f t="array" ref="AN106">IF(OR(Y106:AM106="NO"),"Critico","No Critico")</f>
        <v>No Critico</v>
      </c>
    </row>
    <row r="107" spans="1:40" ht="15">
      <c r="A107" s="58">
        <f>Inicial!A104</f>
        <v>0</v>
      </c>
      <c r="B107" s="59">
        <f>Inicial!B104</f>
        <v>0</v>
      </c>
      <c r="C107" s="59">
        <f>Inicial!C104</f>
        <v>0</v>
      </c>
      <c r="D107" s="60">
        <f>Inicial!D104</f>
        <v>0</v>
      </c>
      <c r="E107" s="58" t="str">
        <f>IF(Inicial!N104="SI",Inicial!E104,"N/A")</f>
        <v>N/A</v>
      </c>
      <c r="F107" s="59" t="str">
        <f>IF(Inicial!N104="SI",Inicial!F104,"N/A")</f>
        <v>N/A</v>
      </c>
      <c r="G107" s="59" t="str">
        <f>IF(Inicial!N104="SI",Inicial!G104,"N/A")</f>
        <v>N/A</v>
      </c>
      <c r="H107" s="59" t="str">
        <f>IF(Inicial!N104="SI",Inicial!H104,"N/A")</f>
        <v>N/A</v>
      </c>
      <c r="I107" s="61" t="str">
        <f>IF(Inicial!N104="SI",Inicial!I104,"N/A")</f>
        <v>N/A</v>
      </c>
      <c r="AN107" s="3" t="str" cm="1">
        <f t="array" ref="AN107">IF(OR(Y107:AM107="NO"),"Critico","No Critico")</f>
        <v>No Critico</v>
      </c>
    </row>
    <row r="108" spans="1:40" ht="15">
      <c r="A108" s="58">
        <f>Inicial!A105</f>
        <v>0</v>
      </c>
      <c r="B108" s="59">
        <f>Inicial!B105</f>
        <v>0</v>
      </c>
      <c r="C108" s="59">
        <f>Inicial!C105</f>
        <v>0</v>
      </c>
      <c r="D108" s="60">
        <f>Inicial!D105</f>
        <v>0</v>
      </c>
      <c r="E108" s="58" t="str">
        <f>IF(Inicial!N105="SI",Inicial!E105,"N/A")</f>
        <v>N/A</v>
      </c>
      <c r="F108" s="59" t="str">
        <f>IF(Inicial!N105="SI",Inicial!F105,"N/A")</f>
        <v>N/A</v>
      </c>
      <c r="G108" s="59" t="str">
        <f>IF(Inicial!N105="SI",Inicial!G105,"N/A")</f>
        <v>N/A</v>
      </c>
      <c r="H108" s="59" t="str">
        <f>IF(Inicial!N105="SI",Inicial!H105,"N/A")</f>
        <v>N/A</v>
      </c>
      <c r="I108" s="61" t="str">
        <f>IF(Inicial!N105="SI",Inicial!I105,"N/A")</f>
        <v>N/A</v>
      </c>
      <c r="AN108" s="3" t="str" cm="1">
        <f t="array" ref="AN108">IF(OR(Y108:AM108="NO"),"Critico","No Critico")</f>
        <v>No Critico</v>
      </c>
    </row>
    <row r="109" spans="1:40" ht="15">
      <c r="A109" s="58">
        <f>Inicial!A106</f>
        <v>0</v>
      </c>
      <c r="B109" s="59">
        <f>Inicial!B106</f>
        <v>0</v>
      </c>
      <c r="C109" s="59">
        <f>Inicial!C106</f>
        <v>0</v>
      </c>
      <c r="D109" s="60">
        <f>Inicial!D106</f>
        <v>0</v>
      </c>
      <c r="E109" s="58" t="str">
        <f>IF(Inicial!N106="SI",Inicial!E106,"N/A")</f>
        <v>N/A</v>
      </c>
      <c r="F109" s="59" t="str">
        <f>IF(Inicial!N106="SI",Inicial!F106,"N/A")</f>
        <v>N/A</v>
      </c>
      <c r="G109" s="59" t="str">
        <f>IF(Inicial!N106="SI",Inicial!G106,"N/A")</f>
        <v>N/A</v>
      </c>
      <c r="H109" s="59" t="str">
        <f>IF(Inicial!N106="SI",Inicial!H106,"N/A")</f>
        <v>N/A</v>
      </c>
      <c r="I109" s="61" t="str">
        <f>IF(Inicial!N106="SI",Inicial!I106,"N/A")</f>
        <v>N/A</v>
      </c>
      <c r="AN109" s="3" t="str" cm="1">
        <f t="array" ref="AN109">IF(OR(Y109:AM109="NO"),"Critico","No Critico")</f>
        <v>No Critico</v>
      </c>
    </row>
    <row r="110" spans="1:40" ht="15">
      <c r="A110" s="58">
        <f>Inicial!A107</f>
        <v>0</v>
      </c>
      <c r="B110" s="59">
        <f>Inicial!B107</f>
        <v>0</v>
      </c>
      <c r="C110" s="59">
        <f>Inicial!C107</f>
        <v>0</v>
      </c>
      <c r="D110" s="60">
        <f>Inicial!D107</f>
        <v>0</v>
      </c>
      <c r="E110" s="58" t="str">
        <f>IF(Inicial!N107="SI",Inicial!E107,"N/A")</f>
        <v>N/A</v>
      </c>
      <c r="F110" s="59" t="str">
        <f>IF(Inicial!N107="SI",Inicial!F107,"N/A")</f>
        <v>N/A</v>
      </c>
      <c r="G110" s="59" t="str">
        <f>IF(Inicial!N107="SI",Inicial!G107,"N/A")</f>
        <v>N/A</v>
      </c>
      <c r="H110" s="59" t="str">
        <f>IF(Inicial!N107="SI",Inicial!H107,"N/A")</f>
        <v>N/A</v>
      </c>
      <c r="I110" s="61" t="str">
        <f>IF(Inicial!N107="SI",Inicial!I107,"N/A")</f>
        <v>N/A</v>
      </c>
      <c r="AN110" s="3" t="str" cm="1">
        <f t="array" ref="AN110">IF(OR(Y110:AM110="NO"),"Critico","No Critico")</f>
        <v>No Critico</v>
      </c>
    </row>
    <row r="111" spans="1:40" ht="15">
      <c r="A111" s="58">
        <f>Inicial!A108</f>
        <v>0</v>
      </c>
      <c r="B111" s="59">
        <f>Inicial!B108</f>
        <v>0</v>
      </c>
      <c r="C111" s="59">
        <f>Inicial!C108</f>
        <v>0</v>
      </c>
      <c r="D111" s="60">
        <f>Inicial!D108</f>
        <v>0</v>
      </c>
      <c r="E111" s="58" t="str">
        <f>IF(Inicial!N108="SI",Inicial!E108,"N/A")</f>
        <v>N/A</v>
      </c>
      <c r="F111" s="59" t="str">
        <f>IF(Inicial!N108="SI",Inicial!F108,"N/A")</f>
        <v>N/A</v>
      </c>
      <c r="G111" s="59" t="str">
        <f>IF(Inicial!N108="SI",Inicial!G108,"N/A")</f>
        <v>N/A</v>
      </c>
      <c r="H111" s="59" t="str">
        <f>IF(Inicial!N108="SI",Inicial!H108,"N/A")</f>
        <v>N/A</v>
      </c>
      <c r="I111" s="61" t="str">
        <f>IF(Inicial!N108="SI",Inicial!I108,"N/A")</f>
        <v>N/A</v>
      </c>
      <c r="AN111" s="3" t="str" cm="1">
        <f t="array" ref="AN111">IF(OR(Y111:AM111="NO"),"Critico","No Critico")</f>
        <v>No Critico</v>
      </c>
    </row>
    <row r="112" spans="1:40" ht="15">
      <c r="A112" s="58">
        <f>Inicial!A109</f>
        <v>0</v>
      </c>
      <c r="B112" s="59">
        <f>Inicial!B109</f>
        <v>0</v>
      </c>
      <c r="C112" s="59">
        <f>Inicial!C109</f>
        <v>0</v>
      </c>
      <c r="D112" s="60">
        <f>Inicial!D109</f>
        <v>0</v>
      </c>
      <c r="E112" s="58" t="str">
        <f>IF(Inicial!N109="SI",Inicial!E109,"N/A")</f>
        <v>N/A</v>
      </c>
      <c r="F112" s="59" t="str">
        <f>IF(Inicial!N109="SI",Inicial!F109,"N/A")</f>
        <v>N/A</v>
      </c>
      <c r="G112" s="59" t="str">
        <f>IF(Inicial!N109="SI",Inicial!G109,"N/A")</f>
        <v>N/A</v>
      </c>
      <c r="H112" s="59" t="str">
        <f>IF(Inicial!N109="SI",Inicial!H109,"N/A")</f>
        <v>N/A</v>
      </c>
      <c r="I112" s="61" t="str">
        <f>IF(Inicial!N109="SI",Inicial!I109,"N/A")</f>
        <v>N/A</v>
      </c>
      <c r="AN112" s="3" t="str" cm="1">
        <f t="array" ref="AN112">IF(OR(Y112:AM112="NO"),"Critico","No Critico")</f>
        <v>No Critico</v>
      </c>
    </row>
    <row r="113" spans="1:40" ht="15">
      <c r="A113" s="58">
        <f>Inicial!A110</f>
        <v>0</v>
      </c>
      <c r="B113" s="59">
        <f>Inicial!B110</f>
        <v>0</v>
      </c>
      <c r="C113" s="59">
        <f>Inicial!C110</f>
        <v>0</v>
      </c>
      <c r="D113" s="60">
        <f>Inicial!D110</f>
        <v>0</v>
      </c>
      <c r="E113" s="58" t="str">
        <f>IF(Inicial!N110="SI",Inicial!E110,"N/A")</f>
        <v>N/A</v>
      </c>
      <c r="F113" s="59" t="str">
        <f>IF(Inicial!N110="SI",Inicial!F110,"N/A")</f>
        <v>N/A</v>
      </c>
      <c r="G113" s="59" t="str">
        <f>IF(Inicial!N110="SI",Inicial!G110,"N/A")</f>
        <v>N/A</v>
      </c>
      <c r="H113" s="59" t="str">
        <f>IF(Inicial!N110="SI",Inicial!H110,"N/A")</f>
        <v>N/A</v>
      </c>
      <c r="I113" s="61" t="str">
        <f>IF(Inicial!N110="SI",Inicial!I110,"N/A")</f>
        <v>N/A</v>
      </c>
      <c r="AN113" s="3" t="str" cm="1">
        <f t="array" ref="AN113">IF(OR(Y113:AM113="NO"),"Critico","No Critico")</f>
        <v>No Critico</v>
      </c>
    </row>
    <row r="114" spans="1:40" ht="15">
      <c r="A114" s="58">
        <f>Inicial!A111</f>
        <v>0</v>
      </c>
      <c r="B114" s="59">
        <f>Inicial!B111</f>
        <v>0</v>
      </c>
      <c r="C114" s="59">
        <f>Inicial!C111</f>
        <v>0</v>
      </c>
      <c r="D114" s="60">
        <f>Inicial!D111</f>
        <v>0</v>
      </c>
      <c r="E114" s="58" t="str">
        <f>IF(Inicial!N111="SI",Inicial!E111,"N/A")</f>
        <v>N/A</v>
      </c>
      <c r="F114" s="59" t="str">
        <f>IF(Inicial!N111="SI",Inicial!F111,"N/A")</f>
        <v>N/A</v>
      </c>
      <c r="G114" s="59" t="str">
        <f>IF(Inicial!N111="SI",Inicial!G111,"N/A")</f>
        <v>N/A</v>
      </c>
      <c r="H114" s="59" t="str">
        <f>IF(Inicial!N111="SI",Inicial!H111,"N/A")</f>
        <v>N/A</v>
      </c>
      <c r="I114" s="61" t="str">
        <f>IF(Inicial!N111="SI",Inicial!I111,"N/A")</f>
        <v>N/A</v>
      </c>
      <c r="AN114" s="3" t="str" cm="1">
        <f t="array" ref="AN114">IF(OR(Y114:AM114="NO"),"Critico","No Critico")</f>
        <v>No Critico</v>
      </c>
    </row>
    <row r="115" spans="1:40" ht="15">
      <c r="A115" s="58">
        <f>Inicial!A112</f>
        <v>0</v>
      </c>
      <c r="B115" s="59">
        <f>Inicial!B112</f>
        <v>0</v>
      </c>
      <c r="C115" s="59">
        <f>Inicial!C112</f>
        <v>0</v>
      </c>
      <c r="D115" s="60">
        <f>Inicial!D112</f>
        <v>0</v>
      </c>
      <c r="E115" s="58" t="str">
        <f>IF(Inicial!N112="SI",Inicial!E112,"N/A")</f>
        <v>N/A</v>
      </c>
      <c r="F115" s="59" t="str">
        <f>IF(Inicial!N112="SI",Inicial!F112,"N/A")</f>
        <v>N/A</v>
      </c>
      <c r="G115" s="59" t="str">
        <f>IF(Inicial!N112="SI",Inicial!G112,"N/A")</f>
        <v>N/A</v>
      </c>
      <c r="H115" s="59" t="str">
        <f>IF(Inicial!N112="SI",Inicial!H112,"N/A")</f>
        <v>N/A</v>
      </c>
      <c r="I115" s="61" t="str">
        <f>IF(Inicial!N112="SI",Inicial!I112,"N/A")</f>
        <v>N/A</v>
      </c>
      <c r="AN115" s="3" t="str" cm="1">
        <f t="array" ref="AN115">IF(OR(Y115:AM115="NO"),"Critico","No Critico")</f>
        <v>No Critico</v>
      </c>
    </row>
    <row r="116" spans="1:40" ht="15">
      <c r="A116" s="58">
        <f>Inicial!A113</f>
        <v>0</v>
      </c>
      <c r="B116" s="59">
        <f>Inicial!B113</f>
        <v>0</v>
      </c>
      <c r="C116" s="59">
        <f>Inicial!C113</f>
        <v>0</v>
      </c>
      <c r="D116" s="60">
        <f>Inicial!D113</f>
        <v>0</v>
      </c>
      <c r="E116" s="58" t="str">
        <f>IF(Inicial!N113="SI",Inicial!E113,"N/A")</f>
        <v>N/A</v>
      </c>
      <c r="F116" s="59" t="str">
        <f>IF(Inicial!N113="SI",Inicial!F113,"N/A")</f>
        <v>N/A</v>
      </c>
      <c r="G116" s="59" t="str">
        <f>IF(Inicial!N113="SI",Inicial!G113,"N/A")</f>
        <v>N/A</v>
      </c>
      <c r="H116" s="59" t="str">
        <f>IF(Inicial!N113="SI",Inicial!H113,"N/A")</f>
        <v>N/A</v>
      </c>
      <c r="I116" s="61" t="str">
        <f>IF(Inicial!N113="SI",Inicial!I113,"N/A")</f>
        <v>N/A</v>
      </c>
      <c r="AN116" s="3" t="str" cm="1">
        <f t="array" ref="AN116">IF(OR(Y116:AM116="NO"),"Critico","No Critico")</f>
        <v>No Critico</v>
      </c>
    </row>
    <row r="117" spans="1:40" ht="15">
      <c r="A117" s="58">
        <f>Inicial!A114</f>
        <v>0</v>
      </c>
      <c r="B117" s="59">
        <f>Inicial!B114</f>
        <v>0</v>
      </c>
      <c r="C117" s="59">
        <f>Inicial!C114</f>
        <v>0</v>
      </c>
      <c r="D117" s="60">
        <f>Inicial!D114</f>
        <v>0</v>
      </c>
      <c r="E117" s="58" t="str">
        <f>IF(Inicial!N114="SI",Inicial!E114,"N/A")</f>
        <v>N/A</v>
      </c>
      <c r="F117" s="59" t="str">
        <f>IF(Inicial!N114="SI",Inicial!F114,"N/A")</f>
        <v>N/A</v>
      </c>
      <c r="G117" s="59" t="str">
        <f>IF(Inicial!N114="SI",Inicial!G114,"N/A")</f>
        <v>N/A</v>
      </c>
      <c r="H117" s="59" t="str">
        <f>IF(Inicial!N114="SI",Inicial!H114,"N/A")</f>
        <v>N/A</v>
      </c>
      <c r="I117" s="61" t="str">
        <f>IF(Inicial!N114="SI",Inicial!I114,"N/A")</f>
        <v>N/A</v>
      </c>
      <c r="AN117" s="3" t="str" cm="1">
        <f t="array" ref="AN117">IF(OR(Y117:AM117="NO"),"Critico","No Critico")</f>
        <v>No Critico</v>
      </c>
    </row>
    <row r="118" spans="1:40" ht="15">
      <c r="A118" s="58">
        <f>Inicial!A115</f>
        <v>0</v>
      </c>
      <c r="B118" s="59">
        <f>Inicial!B115</f>
        <v>0</v>
      </c>
      <c r="C118" s="59">
        <f>Inicial!C115</f>
        <v>0</v>
      </c>
      <c r="D118" s="60">
        <f>Inicial!D115</f>
        <v>0</v>
      </c>
      <c r="E118" s="58" t="str">
        <f>IF(Inicial!N115="SI",Inicial!E115,"N/A")</f>
        <v>N/A</v>
      </c>
      <c r="F118" s="59" t="str">
        <f>IF(Inicial!N115="SI",Inicial!F115,"N/A")</f>
        <v>N/A</v>
      </c>
      <c r="G118" s="59" t="str">
        <f>IF(Inicial!N115="SI",Inicial!G115,"N/A")</f>
        <v>N/A</v>
      </c>
      <c r="H118" s="59" t="str">
        <f>IF(Inicial!N115="SI",Inicial!H115,"N/A")</f>
        <v>N/A</v>
      </c>
      <c r="I118" s="61" t="str">
        <f>IF(Inicial!N115="SI",Inicial!I115,"N/A")</f>
        <v>N/A</v>
      </c>
      <c r="AN118" s="3" t="str" cm="1">
        <f t="array" ref="AN118">IF(OR(Y118:AM118="NO"),"Critico","No Critico")</f>
        <v>No Critico</v>
      </c>
    </row>
    <row r="119" spans="1:40" ht="15">
      <c r="A119" s="58">
        <f>Inicial!A116</f>
        <v>0</v>
      </c>
      <c r="B119" s="59">
        <f>Inicial!B116</f>
        <v>0</v>
      </c>
      <c r="C119" s="59">
        <f>Inicial!C116</f>
        <v>0</v>
      </c>
      <c r="D119" s="60">
        <f>Inicial!D116</f>
        <v>0</v>
      </c>
      <c r="E119" s="58" t="str">
        <f>IF(Inicial!N116="SI",Inicial!E116,"N/A")</f>
        <v>N/A</v>
      </c>
      <c r="F119" s="59" t="str">
        <f>IF(Inicial!N116="SI",Inicial!F116,"N/A")</f>
        <v>N/A</v>
      </c>
      <c r="G119" s="59" t="str">
        <f>IF(Inicial!N116="SI",Inicial!G116,"N/A")</f>
        <v>N/A</v>
      </c>
      <c r="H119" s="59" t="str">
        <f>IF(Inicial!N116="SI",Inicial!H116,"N/A")</f>
        <v>N/A</v>
      </c>
      <c r="I119" s="61" t="str">
        <f>IF(Inicial!N116="SI",Inicial!I116,"N/A")</f>
        <v>N/A</v>
      </c>
      <c r="AN119" s="3" t="str" cm="1">
        <f t="array" ref="AN119">IF(OR(Y119:AM119="NO"),"Critico","No Critico")</f>
        <v>No Critico</v>
      </c>
    </row>
    <row r="120" spans="1:40" ht="15">
      <c r="A120" s="58">
        <f>Inicial!A117</f>
        <v>0</v>
      </c>
      <c r="B120" s="59">
        <f>Inicial!B117</f>
        <v>0</v>
      </c>
      <c r="C120" s="59">
        <f>Inicial!C117</f>
        <v>0</v>
      </c>
      <c r="D120" s="60">
        <f>Inicial!D117</f>
        <v>0</v>
      </c>
      <c r="E120" s="58" t="str">
        <f>IF(Inicial!N117="SI",Inicial!E117,"N/A")</f>
        <v>N/A</v>
      </c>
      <c r="F120" s="59" t="str">
        <f>IF(Inicial!N117="SI",Inicial!F117,"N/A")</f>
        <v>N/A</v>
      </c>
      <c r="G120" s="59" t="str">
        <f>IF(Inicial!N117="SI",Inicial!G117,"N/A")</f>
        <v>N/A</v>
      </c>
      <c r="H120" s="59" t="str">
        <f>IF(Inicial!N117="SI",Inicial!H117,"N/A")</f>
        <v>N/A</v>
      </c>
      <c r="I120" s="61" t="str">
        <f>IF(Inicial!N117="SI",Inicial!I117,"N/A")</f>
        <v>N/A</v>
      </c>
      <c r="AN120" s="3" t="str" cm="1">
        <f t="array" ref="AN120">IF(OR(Y120:AM120="NO"),"Critico","No Critico")</f>
        <v>No Critico</v>
      </c>
    </row>
    <row r="121" spans="1:40" ht="15">
      <c r="A121" s="58">
        <f>Inicial!A118</f>
        <v>0</v>
      </c>
      <c r="B121" s="59">
        <f>Inicial!B118</f>
        <v>0</v>
      </c>
      <c r="C121" s="59">
        <f>Inicial!C118</f>
        <v>0</v>
      </c>
      <c r="D121" s="60">
        <f>Inicial!D118</f>
        <v>0</v>
      </c>
      <c r="E121" s="58" t="str">
        <f>IF(Inicial!N118="SI",Inicial!E118,"N/A")</f>
        <v>N/A</v>
      </c>
      <c r="F121" s="59" t="str">
        <f>IF(Inicial!N118="SI",Inicial!F118,"N/A")</f>
        <v>N/A</v>
      </c>
      <c r="G121" s="59" t="str">
        <f>IF(Inicial!N118="SI",Inicial!G118,"N/A")</f>
        <v>N/A</v>
      </c>
      <c r="H121" s="59" t="str">
        <f>IF(Inicial!N118="SI",Inicial!H118,"N/A")</f>
        <v>N/A</v>
      </c>
      <c r="I121" s="61" t="str">
        <f>IF(Inicial!N118="SI",Inicial!I118,"N/A")</f>
        <v>N/A</v>
      </c>
      <c r="AN121" s="3" t="str" cm="1">
        <f t="array" ref="AN121">IF(OR(Y121:AM121="NO"),"Critico","No Critico")</f>
        <v>No Critico</v>
      </c>
    </row>
    <row r="122" spans="1:40" ht="15">
      <c r="A122" s="58">
        <f>Inicial!A119</f>
        <v>0</v>
      </c>
      <c r="B122" s="59">
        <f>Inicial!B119</f>
        <v>0</v>
      </c>
      <c r="C122" s="59">
        <f>Inicial!C119</f>
        <v>0</v>
      </c>
      <c r="D122" s="60">
        <f>Inicial!D119</f>
        <v>0</v>
      </c>
      <c r="E122" s="58" t="str">
        <f>IF(Inicial!N119="SI",Inicial!E119,"N/A")</f>
        <v>N/A</v>
      </c>
      <c r="F122" s="59" t="str">
        <f>IF(Inicial!N119="SI",Inicial!F119,"N/A")</f>
        <v>N/A</v>
      </c>
      <c r="G122" s="59" t="str">
        <f>IF(Inicial!N119="SI",Inicial!G119,"N/A")</f>
        <v>N/A</v>
      </c>
      <c r="H122" s="59" t="str">
        <f>IF(Inicial!N119="SI",Inicial!H119,"N/A")</f>
        <v>N/A</v>
      </c>
      <c r="I122" s="61" t="str">
        <f>IF(Inicial!N119="SI",Inicial!I119,"N/A")</f>
        <v>N/A</v>
      </c>
      <c r="AN122" s="3" t="str" cm="1">
        <f t="array" ref="AN122">IF(OR(Y122:AM122="NO"),"Critico","No Critico")</f>
        <v>No Critico</v>
      </c>
    </row>
    <row r="123" spans="1:40" ht="15">
      <c r="A123" s="58">
        <f>Inicial!A120</f>
        <v>0</v>
      </c>
      <c r="B123" s="59">
        <f>Inicial!B120</f>
        <v>0</v>
      </c>
      <c r="C123" s="59">
        <f>Inicial!C120</f>
        <v>0</v>
      </c>
      <c r="D123" s="60">
        <f>Inicial!D120</f>
        <v>0</v>
      </c>
      <c r="E123" s="58" t="str">
        <f>IF(Inicial!N120="SI",Inicial!E120,"N/A")</f>
        <v>N/A</v>
      </c>
      <c r="F123" s="59" t="str">
        <f>IF(Inicial!N120="SI",Inicial!F120,"N/A")</f>
        <v>N/A</v>
      </c>
      <c r="G123" s="59" t="str">
        <f>IF(Inicial!N120="SI",Inicial!G120,"N/A")</f>
        <v>N/A</v>
      </c>
      <c r="H123" s="59" t="str">
        <f>IF(Inicial!N120="SI",Inicial!H120,"N/A")</f>
        <v>N/A</v>
      </c>
      <c r="I123" s="61" t="str">
        <f>IF(Inicial!N120="SI",Inicial!I120,"N/A")</f>
        <v>N/A</v>
      </c>
      <c r="AN123" s="3" t="str" cm="1">
        <f t="array" ref="AN123">IF(OR(Y123:AM123="NO"),"Critico","No Critico")</f>
        <v>No Critico</v>
      </c>
    </row>
    <row r="124" spans="1:40" ht="15">
      <c r="A124" s="58">
        <f>Inicial!A121</f>
        <v>0</v>
      </c>
      <c r="B124" s="59">
        <f>Inicial!B121</f>
        <v>0</v>
      </c>
      <c r="C124" s="59">
        <f>Inicial!C121</f>
        <v>0</v>
      </c>
      <c r="D124" s="60">
        <f>Inicial!D121</f>
        <v>0</v>
      </c>
      <c r="E124" s="58" t="str">
        <f>IF(Inicial!N121="SI",Inicial!E121,"N/A")</f>
        <v>N/A</v>
      </c>
      <c r="F124" s="59" t="str">
        <f>IF(Inicial!N121="SI",Inicial!F121,"N/A")</f>
        <v>N/A</v>
      </c>
      <c r="G124" s="59" t="str">
        <f>IF(Inicial!N121="SI",Inicial!G121,"N/A")</f>
        <v>N/A</v>
      </c>
      <c r="H124" s="59" t="str">
        <f>IF(Inicial!N121="SI",Inicial!H121,"N/A")</f>
        <v>N/A</v>
      </c>
      <c r="I124" s="61" t="str">
        <f>IF(Inicial!N121="SI",Inicial!I121,"N/A")</f>
        <v>N/A</v>
      </c>
      <c r="AN124" s="3" t="str" cm="1">
        <f t="array" ref="AN124">IF(OR(Y124:AM124="NO"),"Critico","No Critico")</f>
        <v>No Critico</v>
      </c>
    </row>
    <row r="125" spans="1:40" ht="15">
      <c r="A125" s="58">
        <f>Inicial!A122</f>
        <v>0</v>
      </c>
      <c r="B125" s="59">
        <f>Inicial!B122</f>
        <v>0</v>
      </c>
      <c r="C125" s="59">
        <f>Inicial!C122</f>
        <v>0</v>
      </c>
      <c r="D125" s="60">
        <f>Inicial!D122</f>
        <v>0</v>
      </c>
      <c r="E125" s="58" t="str">
        <f>IF(Inicial!N122="SI",Inicial!E122,"N/A")</f>
        <v>N/A</v>
      </c>
      <c r="F125" s="59" t="str">
        <f>IF(Inicial!N122="SI",Inicial!F122,"N/A")</f>
        <v>N/A</v>
      </c>
      <c r="G125" s="59" t="str">
        <f>IF(Inicial!N122="SI",Inicial!G122,"N/A")</f>
        <v>N/A</v>
      </c>
      <c r="H125" s="59" t="str">
        <f>IF(Inicial!N122="SI",Inicial!H122,"N/A")</f>
        <v>N/A</v>
      </c>
      <c r="I125" s="61" t="str">
        <f>IF(Inicial!N122="SI",Inicial!I122,"N/A")</f>
        <v>N/A</v>
      </c>
      <c r="AN125" s="3" t="str" cm="1">
        <f t="array" ref="AN125">IF(OR(Y125:AM125="NO"),"Critico","No Critico")</f>
        <v>No Critico</v>
      </c>
    </row>
    <row r="126" spans="1:40" ht="15">
      <c r="A126" s="58">
        <f>Inicial!A123</f>
        <v>0</v>
      </c>
      <c r="B126" s="59">
        <f>Inicial!B123</f>
        <v>0</v>
      </c>
      <c r="C126" s="59">
        <f>Inicial!C123</f>
        <v>0</v>
      </c>
      <c r="D126" s="60">
        <f>Inicial!D123</f>
        <v>0</v>
      </c>
      <c r="E126" s="58" t="str">
        <f>IF(Inicial!N123="SI",Inicial!E123,"N/A")</f>
        <v>N/A</v>
      </c>
      <c r="F126" s="59" t="str">
        <f>IF(Inicial!N123="SI",Inicial!F123,"N/A")</f>
        <v>N/A</v>
      </c>
      <c r="G126" s="59" t="str">
        <f>IF(Inicial!N123="SI",Inicial!G123,"N/A")</f>
        <v>N/A</v>
      </c>
      <c r="H126" s="59" t="str">
        <f>IF(Inicial!N123="SI",Inicial!H123,"N/A")</f>
        <v>N/A</v>
      </c>
      <c r="I126" s="61" t="str">
        <f>IF(Inicial!N123="SI",Inicial!I123,"N/A")</f>
        <v>N/A</v>
      </c>
      <c r="AN126" s="3" t="str" cm="1">
        <f t="array" ref="AN126">IF(OR(Y126:AM126="NO"),"Critico","No Critico")</f>
        <v>No Critico</v>
      </c>
    </row>
    <row r="127" spans="1:40" ht="15">
      <c r="A127" s="58">
        <f>Inicial!A124</f>
        <v>0</v>
      </c>
      <c r="B127" s="59">
        <f>Inicial!B124</f>
        <v>0</v>
      </c>
      <c r="C127" s="59">
        <f>Inicial!C124</f>
        <v>0</v>
      </c>
      <c r="D127" s="60">
        <f>Inicial!D124</f>
        <v>0</v>
      </c>
      <c r="E127" s="58" t="str">
        <f>IF(Inicial!N124="SI",Inicial!E124,"N/A")</f>
        <v>N/A</v>
      </c>
      <c r="F127" s="59" t="str">
        <f>IF(Inicial!N124="SI",Inicial!F124,"N/A")</f>
        <v>N/A</v>
      </c>
      <c r="G127" s="59" t="str">
        <f>IF(Inicial!N124="SI",Inicial!G124,"N/A")</f>
        <v>N/A</v>
      </c>
      <c r="H127" s="59" t="str">
        <f>IF(Inicial!N124="SI",Inicial!H124,"N/A")</f>
        <v>N/A</v>
      </c>
      <c r="I127" s="61" t="str">
        <f>IF(Inicial!N124="SI",Inicial!I124,"N/A")</f>
        <v>N/A</v>
      </c>
      <c r="AN127" s="3" t="str" cm="1">
        <f t="array" ref="AN127">IF(OR(Y127:AM127="NO"),"Critico","No Critico")</f>
        <v>No Critico</v>
      </c>
    </row>
    <row r="128" spans="1:40" ht="15">
      <c r="A128" s="58">
        <f>Inicial!A125</f>
        <v>0</v>
      </c>
      <c r="B128" s="59">
        <f>Inicial!B125</f>
        <v>0</v>
      </c>
      <c r="C128" s="59">
        <f>Inicial!C125</f>
        <v>0</v>
      </c>
      <c r="D128" s="60">
        <f>Inicial!D125</f>
        <v>0</v>
      </c>
      <c r="E128" s="58" t="str">
        <f>IF(Inicial!N125="SI",Inicial!E125,"N/A")</f>
        <v>N/A</v>
      </c>
      <c r="F128" s="59" t="str">
        <f>IF(Inicial!N125="SI",Inicial!F125,"N/A")</f>
        <v>N/A</v>
      </c>
      <c r="G128" s="59" t="str">
        <f>IF(Inicial!N125="SI",Inicial!G125,"N/A")</f>
        <v>N/A</v>
      </c>
      <c r="H128" s="59" t="str">
        <f>IF(Inicial!N125="SI",Inicial!H125,"N/A")</f>
        <v>N/A</v>
      </c>
      <c r="I128" s="61" t="str">
        <f>IF(Inicial!N125="SI",Inicial!I125,"N/A")</f>
        <v>N/A</v>
      </c>
      <c r="AN128" s="3" t="str" cm="1">
        <f t="array" ref="AN128">IF(OR(Y128:AM128="NO"),"Critico","No Critico")</f>
        <v>No Critico</v>
      </c>
    </row>
    <row r="129" spans="1:40" ht="15">
      <c r="A129" s="58">
        <f>Inicial!A126</f>
        <v>0</v>
      </c>
      <c r="B129" s="59">
        <f>Inicial!B126</f>
        <v>0</v>
      </c>
      <c r="C129" s="59">
        <f>Inicial!C126</f>
        <v>0</v>
      </c>
      <c r="D129" s="60">
        <f>Inicial!D126</f>
        <v>0</v>
      </c>
      <c r="E129" s="58" t="str">
        <f>IF(Inicial!N126="SI",Inicial!E126,"N/A")</f>
        <v>N/A</v>
      </c>
      <c r="F129" s="59" t="str">
        <f>IF(Inicial!N126="SI",Inicial!F126,"N/A")</f>
        <v>N/A</v>
      </c>
      <c r="G129" s="59" t="str">
        <f>IF(Inicial!N126="SI",Inicial!G126,"N/A")</f>
        <v>N/A</v>
      </c>
      <c r="H129" s="59" t="str">
        <f>IF(Inicial!N126="SI",Inicial!H126,"N/A")</f>
        <v>N/A</v>
      </c>
      <c r="I129" s="61" t="str">
        <f>IF(Inicial!N126="SI",Inicial!I126,"N/A")</f>
        <v>N/A</v>
      </c>
      <c r="AN129" s="3" t="str" cm="1">
        <f t="array" ref="AN129">IF(OR(Y129:AM129="NO"),"Critico","No Critico")</f>
        <v>No Critico</v>
      </c>
    </row>
    <row r="130" spans="1:40" ht="15">
      <c r="A130" s="58">
        <f>Inicial!A127</f>
        <v>0</v>
      </c>
      <c r="B130" s="59">
        <f>Inicial!B127</f>
        <v>0</v>
      </c>
      <c r="C130" s="59">
        <f>Inicial!C127</f>
        <v>0</v>
      </c>
      <c r="D130" s="60">
        <f>Inicial!D127</f>
        <v>0</v>
      </c>
      <c r="E130" s="58" t="str">
        <f>IF(Inicial!N127="SI",Inicial!E127,"N/A")</f>
        <v>N/A</v>
      </c>
      <c r="F130" s="59" t="str">
        <f>IF(Inicial!N127="SI",Inicial!F127,"N/A")</f>
        <v>N/A</v>
      </c>
      <c r="G130" s="59" t="str">
        <f>IF(Inicial!N127="SI",Inicial!G127,"N/A")</f>
        <v>N/A</v>
      </c>
      <c r="H130" s="59" t="str">
        <f>IF(Inicial!N127="SI",Inicial!H127,"N/A")</f>
        <v>N/A</v>
      </c>
      <c r="I130" s="61" t="str">
        <f>IF(Inicial!N127="SI",Inicial!I127,"N/A")</f>
        <v>N/A</v>
      </c>
      <c r="AN130" s="3" t="str" cm="1">
        <f t="array" ref="AN130">IF(OR(Y130:AM130="NO"),"Critico","No Critico")</f>
        <v>No Critico</v>
      </c>
    </row>
    <row r="131" spans="1:40" ht="15">
      <c r="A131" s="58">
        <f>Inicial!A128</f>
        <v>0</v>
      </c>
      <c r="B131" s="59">
        <f>Inicial!B128</f>
        <v>0</v>
      </c>
      <c r="C131" s="59">
        <f>Inicial!C128</f>
        <v>0</v>
      </c>
      <c r="D131" s="60">
        <f>Inicial!D128</f>
        <v>0</v>
      </c>
      <c r="E131" s="58" t="str">
        <f>IF(Inicial!N128="SI",Inicial!E128,"N/A")</f>
        <v>N/A</v>
      </c>
      <c r="F131" s="59" t="str">
        <f>IF(Inicial!N128="SI",Inicial!F128,"N/A")</f>
        <v>N/A</v>
      </c>
      <c r="G131" s="59" t="str">
        <f>IF(Inicial!N128="SI",Inicial!G128,"N/A")</f>
        <v>N/A</v>
      </c>
      <c r="H131" s="59" t="str">
        <f>IF(Inicial!N128="SI",Inicial!H128,"N/A")</f>
        <v>N/A</v>
      </c>
      <c r="I131" s="61" t="str">
        <f>IF(Inicial!N128="SI",Inicial!I128,"N/A")</f>
        <v>N/A</v>
      </c>
      <c r="AN131" s="3" t="str" cm="1">
        <f t="array" ref="AN131">IF(OR(Y131:AM131="NO"),"Critico","No Critico")</f>
        <v>No Critico</v>
      </c>
    </row>
    <row r="132" spans="1:40" ht="15">
      <c r="A132" s="58">
        <f>Inicial!A129</f>
        <v>0</v>
      </c>
      <c r="B132" s="59">
        <f>Inicial!B129</f>
        <v>0</v>
      </c>
      <c r="C132" s="59">
        <f>Inicial!C129</f>
        <v>0</v>
      </c>
      <c r="D132" s="60">
        <f>Inicial!D129</f>
        <v>0</v>
      </c>
      <c r="E132" s="58" t="str">
        <f>IF(Inicial!N129="SI",Inicial!E129,"N/A")</f>
        <v>N/A</v>
      </c>
      <c r="F132" s="59" t="str">
        <f>IF(Inicial!N129="SI",Inicial!F129,"N/A")</f>
        <v>N/A</v>
      </c>
      <c r="G132" s="59" t="str">
        <f>IF(Inicial!N129="SI",Inicial!G129,"N/A")</f>
        <v>N/A</v>
      </c>
      <c r="H132" s="59" t="str">
        <f>IF(Inicial!N129="SI",Inicial!H129,"N/A")</f>
        <v>N/A</v>
      </c>
      <c r="I132" s="61" t="str">
        <f>IF(Inicial!N129="SI",Inicial!I129,"N/A")</f>
        <v>N/A</v>
      </c>
      <c r="AN132" s="3" t="str" cm="1">
        <f t="array" ref="AN132">IF(OR(Y132:AM132="NO"),"Critico","No Critico")</f>
        <v>No Critico</v>
      </c>
    </row>
    <row r="133" spans="1:40" ht="15">
      <c r="A133" s="58">
        <f>Inicial!A130</f>
        <v>0</v>
      </c>
      <c r="B133" s="59">
        <f>Inicial!B130</f>
        <v>0</v>
      </c>
      <c r="C133" s="59">
        <f>Inicial!C130</f>
        <v>0</v>
      </c>
      <c r="D133" s="60">
        <f>Inicial!D130</f>
        <v>0</v>
      </c>
      <c r="E133" s="58" t="str">
        <f>IF(Inicial!N130="SI",Inicial!E130,"N/A")</f>
        <v>N/A</v>
      </c>
      <c r="F133" s="59" t="str">
        <f>IF(Inicial!N130="SI",Inicial!F130,"N/A")</f>
        <v>N/A</v>
      </c>
      <c r="G133" s="59" t="str">
        <f>IF(Inicial!N130="SI",Inicial!G130,"N/A")</f>
        <v>N/A</v>
      </c>
      <c r="H133" s="59" t="str">
        <f>IF(Inicial!N130="SI",Inicial!H130,"N/A")</f>
        <v>N/A</v>
      </c>
      <c r="I133" s="61" t="str">
        <f>IF(Inicial!N130="SI",Inicial!I130,"N/A")</f>
        <v>N/A</v>
      </c>
      <c r="AN133" s="3" t="str" cm="1">
        <f t="array" ref="AN133">IF(OR(Y133:AM133="NO"),"Critico","No Critico")</f>
        <v>No Critico</v>
      </c>
    </row>
    <row r="134" spans="1:40" ht="15">
      <c r="A134" s="58">
        <f>Inicial!A131</f>
        <v>0</v>
      </c>
      <c r="B134" s="59">
        <f>Inicial!B131</f>
        <v>0</v>
      </c>
      <c r="C134" s="59">
        <f>Inicial!C131</f>
        <v>0</v>
      </c>
      <c r="D134" s="60">
        <f>Inicial!D131</f>
        <v>0</v>
      </c>
      <c r="E134" s="58" t="str">
        <f>IF(Inicial!N131="SI",Inicial!E131,"N/A")</f>
        <v>N/A</v>
      </c>
      <c r="F134" s="59" t="str">
        <f>IF(Inicial!N131="SI",Inicial!F131,"N/A")</f>
        <v>N/A</v>
      </c>
      <c r="G134" s="59" t="str">
        <f>IF(Inicial!N131="SI",Inicial!G131,"N/A")</f>
        <v>N/A</v>
      </c>
      <c r="H134" s="59" t="str">
        <f>IF(Inicial!N131="SI",Inicial!H131,"N/A")</f>
        <v>N/A</v>
      </c>
      <c r="I134" s="61" t="str">
        <f>IF(Inicial!N131="SI",Inicial!I131,"N/A")</f>
        <v>N/A</v>
      </c>
      <c r="AN134" s="3" t="str" cm="1">
        <f t="array" ref="AN134">IF(OR(Y134:AM134="NO"),"Critico","No Critico")</f>
        <v>No Critico</v>
      </c>
    </row>
    <row r="135" spans="1:40" ht="15">
      <c r="A135" s="58">
        <f>Inicial!A132</f>
        <v>0</v>
      </c>
      <c r="B135" s="59">
        <f>Inicial!B132</f>
        <v>0</v>
      </c>
      <c r="C135" s="59">
        <f>Inicial!C132</f>
        <v>0</v>
      </c>
      <c r="D135" s="60">
        <f>Inicial!D132</f>
        <v>0</v>
      </c>
      <c r="E135" s="58" t="str">
        <f>IF(Inicial!N132="SI",Inicial!E132,"N/A")</f>
        <v>N/A</v>
      </c>
      <c r="F135" s="59" t="str">
        <f>IF(Inicial!N132="SI",Inicial!F132,"N/A")</f>
        <v>N/A</v>
      </c>
      <c r="G135" s="59" t="str">
        <f>IF(Inicial!N132="SI",Inicial!G132,"N/A")</f>
        <v>N/A</v>
      </c>
      <c r="H135" s="59" t="str">
        <f>IF(Inicial!N132="SI",Inicial!H132,"N/A")</f>
        <v>N/A</v>
      </c>
      <c r="I135" s="61" t="str">
        <f>IF(Inicial!N132="SI",Inicial!I132,"N/A")</f>
        <v>N/A</v>
      </c>
      <c r="AN135" s="3" t="str" cm="1">
        <f t="array" ref="AN135">IF(OR(Y135:AM135="NO"),"Critico","No Critico")</f>
        <v>No Critico</v>
      </c>
    </row>
    <row r="136" spans="1:40" ht="15">
      <c r="A136" s="58">
        <f>Inicial!A133</f>
        <v>0</v>
      </c>
      <c r="B136" s="59">
        <f>Inicial!B133</f>
        <v>0</v>
      </c>
      <c r="C136" s="59">
        <f>Inicial!C133</f>
        <v>0</v>
      </c>
      <c r="D136" s="60">
        <f>Inicial!D133</f>
        <v>0</v>
      </c>
      <c r="E136" s="58" t="str">
        <f>IF(Inicial!N133="SI",Inicial!E133,"N/A")</f>
        <v>N/A</v>
      </c>
      <c r="F136" s="59" t="str">
        <f>IF(Inicial!N133="SI",Inicial!F133,"N/A")</f>
        <v>N/A</v>
      </c>
      <c r="G136" s="59" t="str">
        <f>IF(Inicial!N133="SI",Inicial!G133,"N/A")</f>
        <v>N/A</v>
      </c>
      <c r="H136" s="59" t="str">
        <f>IF(Inicial!N133="SI",Inicial!H133,"N/A")</f>
        <v>N/A</v>
      </c>
      <c r="I136" s="61" t="str">
        <f>IF(Inicial!N133="SI",Inicial!I133,"N/A")</f>
        <v>N/A</v>
      </c>
      <c r="AN136" s="3" t="str" cm="1">
        <f t="array" ref="AN136">IF(OR(Y136:AM136="NO"),"Critico","No Critico")</f>
        <v>No Critico</v>
      </c>
    </row>
    <row r="137" spans="1:40" ht="15">
      <c r="A137" s="58">
        <f>Inicial!A134</f>
        <v>0</v>
      </c>
      <c r="B137" s="59">
        <f>Inicial!B134</f>
        <v>0</v>
      </c>
      <c r="C137" s="59">
        <f>Inicial!C134</f>
        <v>0</v>
      </c>
      <c r="D137" s="60">
        <f>Inicial!D134</f>
        <v>0</v>
      </c>
      <c r="E137" s="58" t="str">
        <f>IF(Inicial!N134="SI",Inicial!E134,"N/A")</f>
        <v>N/A</v>
      </c>
      <c r="F137" s="59" t="str">
        <f>IF(Inicial!N134="SI",Inicial!F134,"N/A")</f>
        <v>N/A</v>
      </c>
      <c r="G137" s="59" t="str">
        <f>IF(Inicial!N134="SI",Inicial!G134,"N/A")</f>
        <v>N/A</v>
      </c>
      <c r="H137" s="59" t="str">
        <f>IF(Inicial!N134="SI",Inicial!H134,"N/A")</f>
        <v>N/A</v>
      </c>
      <c r="I137" s="61" t="str">
        <f>IF(Inicial!N134="SI",Inicial!I134,"N/A")</f>
        <v>N/A</v>
      </c>
      <c r="AN137" s="3" t="str" cm="1">
        <f t="array" ref="AN137">IF(OR(Y137:AM137="NO"),"Critico","No Critico")</f>
        <v>No Critico</v>
      </c>
    </row>
    <row r="138" spans="1:40" ht="15">
      <c r="A138" s="58">
        <f>Inicial!A135</f>
        <v>0</v>
      </c>
      <c r="B138" s="59">
        <f>Inicial!B135</f>
        <v>0</v>
      </c>
      <c r="C138" s="59">
        <f>Inicial!C135</f>
        <v>0</v>
      </c>
      <c r="D138" s="60">
        <f>Inicial!D135</f>
        <v>0</v>
      </c>
      <c r="E138" s="58" t="str">
        <f>IF(Inicial!N135="SI",Inicial!E135,"N/A")</f>
        <v>N/A</v>
      </c>
      <c r="F138" s="59" t="str">
        <f>IF(Inicial!N135="SI",Inicial!F135,"N/A")</f>
        <v>N/A</v>
      </c>
      <c r="G138" s="59" t="str">
        <f>IF(Inicial!N135="SI",Inicial!G135,"N/A")</f>
        <v>N/A</v>
      </c>
      <c r="H138" s="59" t="str">
        <f>IF(Inicial!N135="SI",Inicial!H135,"N/A")</f>
        <v>N/A</v>
      </c>
      <c r="I138" s="61" t="str">
        <f>IF(Inicial!N135="SI",Inicial!I135,"N/A")</f>
        <v>N/A</v>
      </c>
      <c r="AN138" s="3" t="str" cm="1">
        <f t="array" ref="AN138">IF(OR(Y138:AM138="NO"),"Critico","No Critico")</f>
        <v>No Critico</v>
      </c>
    </row>
    <row r="139" spans="1:40" ht="15">
      <c r="A139" s="58">
        <f>Inicial!A136</f>
        <v>0</v>
      </c>
      <c r="B139" s="59">
        <f>Inicial!B136</f>
        <v>0</v>
      </c>
      <c r="C139" s="59">
        <f>Inicial!C136</f>
        <v>0</v>
      </c>
      <c r="D139" s="60">
        <f>Inicial!D136</f>
        <v>0</v>
      </c>
      <c r="E139" s="58" t="str">
        <f>IF(Inicial!N136="SI",Inicial!E136,"N/A")</f>
        <v>N/A</v>
      </c>
      <c r="F139" s="59" t="str">
        <f>IF(Inicial!N136="SI",Inicial!F136,"N/A")</f>
        <v>N/A</v>
      </c>
      <c r="G139" s="59" t="str">
        <f>IF(Inicial!N136="SI",Inicial!G136,"N/A")</f>
        <v>N/A</v>
      </c>
      <c r="H139" s="59" t="str">
        <f>IF(Inicial!N136="SI",Inicial!H136,"N/A")</f>
        <v>N/A</v>
      </c>
      <c r="I139" s="61" t="str">
        <f>IF(Inicial!N136="SI",Inicial!I136,"N/A")</f>
        <v>N/A</v>
      </c>
      <c r="AN139" s="3" t="str" cm="1">
        <f t="array" ref="AN139">IF(OR(Y139:AM139="NO"),"Critico","No Critico")</f>
        <v>No Critico</v>
      </c>
    </row>
    <row r="140" spans="1:40" ht="15">
      <c r="A140" s="58">
        <f>Inicial!A137</f>
        <v>0</v>
      </c>
      <c r="B140" s="59">
        <f>Inicial!B137</f>
        <v>0</v>
      </c>
      <c r="C140" s="59">
        <f>Inicial!C137</f>
        <v>0</v>
      </c>
      <c r="D140" s="60">
        <f>Inicial!D137</f>
        <v>0</v>
      </c>
      <c r="E140" s="58" t="str">
        <f>IF(Inicial!N137="SI",Inicial!E137,"N/A")</f>
        <v>N/A</v>
      </c>
      <c r="F140" s="59" t="str">
        <f>IF(Inicial!N137="SI",Inicial!F137,"N/A")</f>
        <v>N/A</v>
      </c>
      <c r="G140" s="59" t="str">
        <f>IF(Inicial!N137="SI",Inicial!G137,"N/A")</f>
        <v>N/A</v>
      </c>
      <c r="H140" s="59" t="str">
        <f>IF(Inicial!N137="SI",Inicial!H137,"N/A")</f>
        <v>N/A</v>
      </c>
      <c r="I140" s="61" t="str">
        <f>IF(Inicial!N137="SI",Inicial!I137,"N/A")</f>
        <v>N/A</v>
      </c>
      <c r="AN140" s="3" t="str" cm="1">
        <f t="array" ref="AN140">IF(OR(Y140:AM140="NO"),"Critico","No Critico")</f>
        <v>No Critico</v>
      </c>
    </row>
    <row r="141" spans="1:40" ht="15">
      <c r="A141" s="58">
        <f>Inicial!A138</f>
        <v>0</v>
      </c>
      <c r="B141" s="59">
        <f>Inicial!B138</f>
        <v>0</v>
      </c>
      <c r="C141" s="59">
        <f>Inicial!C138</f>
        <v>0</v>
      </c>
      <c r="D141" s="60">
        <f>Inicial!D138</f>
        <v>0</v>
      </c>
      <c r="E141" s="58" t="str">
        <f>IF(Inicial!N138="SI",Inicial!E138,"N/A")</f>
        <v>N/A</v>
      </c>
      <c r="F141" s="59" t="str">
        <f>IF(Inicial!N138="SI",Inicial!F138,"N/A")</f>
        <v>N/A</v>
      </c>
      <c r="G141" s="59" t="str">
        <f>IF(Inicial!N138="SI",Inicial!G138,"N/A")</f>
        <v>N/A</v>
      </c>
      <c r="H141" s="59" t="str">
        <f>IF(Inicial!N138="SI",Inicial!H138,"N/A")</f>
        <v>N/A</v>
      </c>
      <c r="I141" s="61" t="str">
        <f>IF(Inicial!N138="SI",Inicial!I138,"N/A")</f>
        <v>N/A</v>
      </c>
      <c r="AN141" s="3" t="str" cm="1">
        <f t="array" ref="AN141">IF(OR(Y141:AM141="NO"),"Critico","No Critico")</f>
        <v>No Critico</v>
      </c>
    </row>
    <row r="142" spans="1:40" ht="15">
      <c r="A142" s="58">
        <f>Inicial!A139</f>
        <v>0</v>
      </c>
      <c r="B142" s="59">
        <f>Inicial!B139</f>
        <v>0</v>
      </c>
      <c r="C142" s="59">
        <f>Inicial!C139</f>
        <v>0</v>
      </c>
      <c r="D142" s="60">
        <f>Inicial!D139</f>
        <v>0</v>
      </c>
      <c r="E142" s="58" t="str">
        <f>IF(Inicial!N139="SI",Inicial!E139,"N/A")</f>
        <v>N/A</v>
      </c>
      <c r="F142" s="59" t="str">
        <f>IF(Inicial!N139="SI",Inicial!F139,"N/A")</f>
        <v>N/A</v>
      </c>
      <c r="G142" s="59" t="str">
        <f>IF(Inicial!N139="SI",Inicial!G139,"N/A")</f>
        <v>N/A</v>
      </c>
      <c r="H142" s="59" t="str">
        <f>IF(Inicial!N139="SI",Inicial!H139,"N/A")</f>
        <v>N/A</v>
      </c>
      <c r="I142" s="61" t="str">
        <f>IF(Inicial!N139="SI",Inicial!I139,"N/A")</f>
        <v>N/A</v>
      </c>
      <c r="AN142" s="3" t="str" cm="1">
        <f t="array" ref="AN142">IF(OR(Y142:AM142="NO"),"Critico","No Critico")</f>
        <v>No Critico</v>
      </c>
    </row>
    <row r="143" spans="1:40" ht="15">
      <c r="A143" s="58">
        <f>Inicial!A140</f>
        <v>0</v>
      </c>
      <c r="B143" s="59">
        <f>Inicial!B140</f>
        <v>0</v>
      </c>
      <c r="C143" s="59">
        <f>Inicial!C140</f>
        <v>0</v>
      </c>
      <c r="D143" s="60">
        <f>Inicial!D140</f>
        <v>0</v>
      </c>
      <c r="E143" s="58" t="str">
        <f>IF(Inicial!N140="SI",Inicial!E140,"N/A")</f>
        <v>N/A</v>
      </c>
      <c r="F143" s="59" t="str">
        <f>IF(Inicial!N140="SI",Inicial!F140,"N/A")</f>
        <v>N/A</v>
      </c>
      <c r="G143" s="59" t="str">
        <f>IF(Inicial!N140="SI",Inicial!G140,"N/A")</f>
        <v>N/A</v>
      </c>
      <c r="H143" s="59" t="str">
        <f>IF(Inicial!N140="SI",Inicial!H140,"N/A")</f>
        <v>N/A</v>
      </c>
      <c r="I143" s="61" t="str">
        <f>IF(Inicial!N140="SI",Inicial!I140,"N/A")</f>
        <v>N/A</v>
      </c>
      <c r="AN143" s="3" t="str" cm="1">
        <f t="array" ref="AN143">IF(OR(Y143:AM143="NO"),"Critico","No Critico")</f>
        <v>No Critico</v>
      </c>
    </row>
    <row r="144" spans="1:40" ht="15">
      <c r="A144" s="58">
        <f>Inicial!A141</f>
        <v>0</v>
      </c>
      <c r="B144" s="59">
        <f>Inicial!B141</f>
        <v>0</v>
      </c>
      <c r="C144" s="59">
        <f>Inicial!C141</f>
        <v>0</v>
      </c>
      <c r="D144" s="60">
        <f>Inicial!D141</f>
        <v>0</v>
      </c>
      <c r="E144" s="58" t="str">
        <f>IF(Inicial!N141="SI",Inicial!E141,"N/A")</f>
        <v>N/A</v>
      </c>
      <c r="F144" s="59" t="str">
        <f>IF(Inicial!N141="SI",Inicial!F141,"N/A")</f>
        <v>N/A</v>
      </c>
      <c r="G144" s="59" t="str">
        <f>IF(Inicial!N141="SI",Inicial!G141,"N/A")</f>
        <v>N/A</v>
      </c>
      <c r="H144" s="59" t="str">
        <f>IF(Inicial!N141="SI",Inicial!H141,"N/A")</f>
        <v>N/A</v>
      </c>
      <c r="I144" s="61" t="str">
        <f>IF(Inicial!N141="SI",Inicial!I141,"N/A")</f>
        <v>N/A</v>
      </c>
      <c r="AN144" s="3" t="str" cm="1">
        <f t="array" ref="AN144">IF(OR(Y144:AM144="NO"),"Critico","No Critico")</f>
        <v>No Critico</v>
      </c>
    </row>
    <row r="145" spans="1:40" ht="15">
      <c r="A145" s="58">
        <f>Inicial!A142</f>
        <v>0</v>
      </c>
      <c r="B145" s="59">
        <f>Inicial!B142</f>
        <v>0</v>
      </c>
      <c r="C145" s="59">
        <f>Inicial!C142</f>
        <v>0</v>
      </c>
      <c r="D145" s="60">
        <f>Inicial!D142</f>
        <v>0</v>
      </c>
      <c r="E145" s="58" t="str">
        <f>IF(Inicial!N142="SI",Inicial!E142,"N/A")</f>
        <v>N/A</v>
      </c>
      <c r="F145" s="59" t="str">
        <f>IF(Inicial!N142="SI",Inicial!F142,"N/A")</f>
        <v>N/A</v>
      </c>
      <c r="G145" s="59" t="str">
        <f>IF(Inicial!N142="SI",Inicial!G142,"N/A")</f>
        <v>N/A</v>
      </c>
      <c r="H145" s="59" t="str">
        <f>IF(Inicial!N142="SI",Inicial!H142,"N/A")</f>
        <v>N/A</v>
      </c>
      <c r="I145" s="61" t="str">
        <f>IF(Inicial!N142="SI",Inicial!I142,"N/A")</f>
        <v>N/A</v>
      </c>
      <c r="AN145" s="3" t="str" cm="1">
        <f t="array" ref="AN145">IF(OR(Y145:AM145="NO"),"Critico","No Critico")</f>
        <v>No Critico</v>
      </c>
    </row>
    <row r="146" spans="1:40" ht="15">
      <c r="A146" s="58">
        <f>Inicial!A143</f>
        <v>0</v>
      </c>
      <c r="B146" s="59">
        <f>Inicial!B143</f>
        <v>0</v>
      </c>
      <c r="C146" s="59">
        <f>Inicial!C143</f>
        <v>0</v>
      </c>
      <c r="D146" s="60">
        <f>Inicial!D143</f>
        <v>0</v>
      </c>
      <c r="E146" s="58" t="str">
        <f>IF(Inicial!N143="SI",Inicial!E143,"N/A")</f>
        <v>N/A</v>
      </c>
      <c r="F146" s="59" t="str">
        <f>IF(Inicial!N143="SI",Inicial!F143,"N/A")</f>
        <v>N/A</v>
      </c>
      <c r="G146" s="59" t="str">
        <f>IF(Inicial!N143="SI",Inicial!G143,"N/A")</f>
        <v>N/A</v>
      </c>
      <c r="H146" s="59" t="str">
        <f>IF(Inicial!N143="SI",Inicial!H143,"N/A")</f>
        <v>N/A</v>
      </c>
      <c r="I146" s="61" t="str">
        <f>IF(Inicial!N143="SI",Inicial!I143,"N/A")</f>
        <v>N/A</v>
      </c>
      <c r="AN146" s="3" t="str" cm="1">
        <f t="array" ref="AN146">IF(OR(Y146:AM146="NO"),"Critico","No Critico")</f>
        <v>No Critico</v>
      </c>
    </row>
    <row r="147" spans="1:40" ht="15">
      <c r="A147" s="58">
        <f>Inicial!A144</f>
        <v>0</v>
      </c>
      <c r="B147" s="59">
        <f>Inicial!B144</f>
        <v>0</v>
      </c>
      <c r="C147" s="59">
        <f>Inicial!C144</f>
        <v>0</v>
      </c>
      <c r="D147" s="60">
        <f>Inicial!D144</f>
        <v>0</v>
      </c>
      <c r="E147" s="58" t="str">
        <f>IF(Inicial!N144="SI",Inicial!E144,"N/A")</f>
        <v>N/A</v>
      </c>
      <c r="F147" s="59" t="str">
        <f>IF(Inicial!N144="SI",Inicial!F144,"N/A")</f>
        <v>N/A</v>
      </c>
      <c r="G147" s="59" t="str">
        <f>IF(Inicial!N144="SI",Inicial!G144,"N/A")</f>
        <v>N/A</v>
      </c>
      <c r="H147" s="59" t="str">
        <f>IF(Inicial!N144="SI",Inicial!H144,"N/A")</f>
        <v>N/A</v>
      </c>
      <c r="I147" s="61" t="str">
        <f>IF(Inicial!N144="SI",Inicial!I144,"N/A")</f>
        <v>N/A</v>
      </c>
      <c r="AN147" s="3" t="str" cm="1">
        <f t="array" ref="AN147">IF(OR(Y147:AM147="NO"),"Critico","No Critico")</f>
        <v>No Critico</v>
      </c>
    </row>
    <row r="148" spans="1:40" ht="15">
      <c r="A148" s="58">
        <f>Inicial!A145</f>
        <v>0</v>
      </c>
      <c r="B148" s="59">
        <f>Inicial!B145</f>
        <v>0</v>
      </c>
      <c r="C148" s="59">
        <f>Inicial!C145</f>
        <v>0</v>
      </c>
      <c r="D148" s="60">
        <f>Inicial!D145</f>
        <v>0</v>
      </c>
      <c r="E148" s="58" t="str">
        <f>IF(Inicial!N145="SI",Inicial!E145,"N/A")</f>
        <v>N/A</v>
      </c>
      <c r="F148" s="59" t="str">
        <f>IF(Inicial!N145="SI",Inicial!F145,"N/A")</f>
        <v>N/A</v>
      </c>
      <c r="G148" s="59" t="str">
        <f>IF(Inicial!N145="SI",Inicial!G145,"N/A")</f>
        <v>N/A</v>
      </c>
      <c r="H148" s="59" t="str">
        <f>IF(Inicial!N145="SI",Inicial!H145,"N/A")</f>
        <v>N/A</v>
      </c>
      <c r="I148" s="61" t="str">
        <f>IF(Inicial!N145="SI",Inicial!I145,"N/A")</f>
        <v>N/A</v>
      </c>
      <c r="AN148" s="3" t="str" cm="1">
        <f t="array" ref="AN148">IF(OR(Y148:AM148="NO"),"Critico","No Critico")</f>
        <v>No Critico</v>
      </c>
    </row>
    <row r="149" spans="1:40" ht="15">
      <c r="A149" s="58">
        <f>Inicial!A146</f>
        <v>0</v>
      </c>
      <c r="B149" s="59"/>
      <c r="C149" s="59"/>
      <c r="D149" s="60"/>
      <c r="E149" s="58"/>
      <c r="F149" s="59"/>
      <c r="G149" s="59"/>
      <c r="H149" s="59"/>
      <c r="I149" s="61"/>
      <c r="AN149" s="3" t="str" cm="1">
        <f t="array" ref="AN149">IF(OR(Y149:AM149="NO"),"Critico","No Critico")</f>
        <v>No Critico</v>
      </c>
    </row>
    <row r="150" spans="1:40" ht="15">
      <c r="A150" s="58">
        <f>Inicial!A147</f>
        <v>0</v>
      </c>
      <c r="B150" s="59"/>
      <c r="C150" s="59"/>
      <c r="D150" s="60"/>
      <c r="E150" s="58"/>
      <c r="F150" s="59"/>
      <c r="G150" s="59"/>
      <c r="H150" s="59"/>
      <c r="I150" s="61"/>
      <c r="AN150" s="3" t="str" cm="1">
        <f t="array" ref="AN150">IF(OR(Y150:AM150="NO"),"Critico","No Critico")</f>
        <v>No Critico</v>
      </c>
    </row>
    <row r="151" spans="1:40" ht="15">
      <c r="A151" s="58">
        <f>Inicial!A148</f>
        <v>0</v>
      </c>
      <c r="B151" s="59"/>
      <c r="C151" s="59"/>
      <c r="D151" s="60"/>
      <c r="E151" s="58"/>
      <c r="F151" s="59"/>
      <c r="G151" s="59"/>
      <c r="H151" s="59"/>
      <c r="I151" s="61"/>
      <c r="AN151" s="3" t="str" cm="1">
        <f t="array" ref="AN151">IF(OR(Y151:AM151="NO"),"Critico","No Critico")</f>
        <v>No Critico</v>
      </c>
    </row>
    <row r="152" spans="1:40" ht="15">
      <c r="A152" s="58">
        <f>Inicial!A149</f>
        <v>0</v>
      </c>
      <c r="B152" s="59"/>
      <c r="C152" s="59"/>
      <c r="D152" s="60"/>
      <c r="E152" s="58"/>
      <c r="F152" s="59"/>
      <c r="G152" s="59"/>
      <c r="H152" s="59"/>
      <c r="I152" s="61"/>
      <c r="AN152" s="3" t="str" cm="1">
        <f t="array" ref="AN152">IF(OR(Y152:AM152="NO"),"Critico","No Critico")</f>
        <v>No Critico</v>
      </c>
    </row>
    <row r="153" spans="1:40" ht="15">
      <c r="A153" s="58">
        <f>Inicial!A150</f>
        <v>0</v>
      </c>
      <c r="B153" s="59"/>
      <c r="C153" s="59"/>
      <c r="D153" s="60"/>
      <c r="E153" s="58"/>
      <c r="F153" s="59"/>
      <c r="G153" s="59"/>
      <c r="H153" s="59"/>
      <c r="I153" s="61"/>
      <c r="AN153" s="3" t="str" cm="1">
        <f t="array" ref="AN153">IF(OR(Y153:AM153="NO"),"Critico","No Critico")</f>
        <v>No Critico</v>
      </c>
    </row>
    <row r="154" spans="1:40" ht="15">
      <c r="A154" s="58">
        <f>Inicial!A151</f>
        <v>0</v>
      </c>
      <c r="B154" s="59"/>
      <c r="C154" s="59"/>
      <c r="D154" s="60"/>
      <c r="E154" s="58"/>
      <c r="F154" s="59"/>
      <c r="G154" s="59"/>
      <c r="H154" s="59"/>
      <c r="I154" s="61"/>
      <c r="AN154" s="3" t="str" cm="1">
        <f t="array" ref="AN154">IF(OR(Y154:AM154="NO"),"Critico","No Critico")</f>
        <v>No Critico</v>
      </c>
    </row>
    <row r="155" spans="1:40" ht="15">
      <c r="A155" s="58">
        <f>Inicial!A152</f>
        <v>0</v>
      </c>
      <c r="B155" s="59"/>
      <c r="C155" s="59"/>
      <c r="D155" s="60"/>
      <c r="E155" s="58"/>
      <c r="F155" s="59"/>
      <c r="G155" s="59"/>
      <c r="H155" s="59"/>
      <c r="I155" s="61"/>
      <c r="AN155" s="3" t="str" cm="1">
        <f t="array" ref="AN155">IF(OR(Y155:AM155="NO"),"Critico","No Critico")</f>
        <v>No Critico</v>
      </c>
    </row>
    <row r="156" spans="1:40" ht="15">
      <c r="A156" s="58">
        <f>Inicial!A153</f>
        <v>0</v>
      </c>
      <c r="B156" s="59"/>
      <c r="C156" s="59"/>
      <c r="D156" s="60"/>
      <c r="E156" s="58"/>
      <c r="F156" s="59"/>
      <c r="G156" s="59"/>
      <c r="H156" s="59"/>
      <c r="I156" s="61"/>
      <c r="AN156" s="3" t="str" cm="1">
        <f t="array" ref="AN156">IF(OR(Y156:AM156="NO"),"Critico","No Critico")</f>
        <v>No Critico</v>
      </c>
    </row>
    <row r="157" spans="1:40" ht="15">
      <c r="A157" s="58">
        <f>Inicial!A154</f>
        <v>0</v>
      </c>
      <c r="B157" s="59"/>
      <c r="C157" s="59"/>
      <c r="D157" s="60"/>
      <c r="E157" s="58"/>
      <c r="F157" s="59"/>
      <c r="G157" s="59"/>
      <c r="H157" s="59"/>
      <c r="I157" s="61"/>
      <c r="AN157" s="3" t="str" cm="1">
        <f t="array" ref="AN157">IF(OR(Y157:AM157="NO"),"Critico","No Critico")</f>
        <v>No Critico</v>
      </c>
    </row>
    <row r="158" spans="1:40" ht="15">
      <c r="A158" s="58">
        <f>Inicial!A155</f>
        <v>0</v>
      </c>
      <c r="B158" s="59"/>
      <c r="C158" s="59"/>
      <c r="D158" s="60"/>
      <c r="E158" s="58"/>
      <c r="F158" s="59"/>
      <c r="G158" s="59"/>
      <c r="H158" s="59"/>
      <c r="I158" s="61"/>
      <c r="AN158" s="3" t="str" cm="1">
        <f t="array" ref="AN158">IF(OR(Y158:AM158="NO"),"Critico","No Critico")</f>
        <v>No Critico</v>
      </c>
    </row>
    <row r="159" spans="1:40" ht="15">
      <c r="A159" s="58">
        <f>Inicial!A156</f>
        <v>0</v>
      </c>
      <c r="B159" s="59"/>
      <c r="C159" s="59"/>
      <c r="D159" s="60"/>
      <c r="E159" s="58"/>
      <c r="F159" s="59"/>
      <c r="G159" s="59"/>
      <c r="H159" s="59"/>
      <c r="I159" s="61"/>
      <c r="AN159" s="3" t="str" cm="1">
        <f t="array" ref="AN159">IF(OR(Y159:AM159="NO"),"Critico","No Critico")</f>
        <v>No Critico</v>
      </c>
    </row>
    <row r="160" spans="1:40" ht="15">
      <c r="A160" s="58">
        <f>Inicial!A157</f>
        <v>0</v>
      </c>
      <c r="B160" s="59"/>
      <c r="C160" s="59"/>
      <c r="D160" s="60"/>
      <c r="E160" s="58"/>
      <c r="F160" s="59"/>
      <c r="G160" s="59"/>
      <c r="H160" s="59"/>
      <c r="I160" s="61"/>
      <c r="AN160" s="3" t="str" cm="1">
        <f t="array" ref="AN160">IF(OR(Y160:AM160="NO"),"Critico","No Critico")</f>
        <v>No Critico</v>
      </c>
    </row>
    <row r="161" spans="1:40" ht="15">
      <c r="A161" s="58">
        <f>Inicial!A158</f>
        <v>0</v>
      </c>
      <c r="B161" s="59"/>
      <c r="C161" s="59"/>
      <c r="D161" s="60"/>
      <c r="E161" s="58"/>
      <c r="F161" s="59"/>
      <c r="G161" s="59"/>
      <c r="H161" s="59"/>
      <c r="I161" s="61"/>
      <c r="AN161" s="3" t="str" cm="1">
        <f t="array" ref="AN161">IF(OR(Y161:AM161="NO"),"Critico","No Critico")</f>
        <v>No Critico</v>
      </c>
    </row>
    <row r="162" spans="1:40" ht="15">
      <c r="A162" s="58">
        <f>Inicial!A159</f>
        <v>0</v>
      </c>
      <c r="B162" s="59"/>
      <c r="C162" s="59"/>
      <c r="D162" s="60"/>
      <c r="E162" s="58"/>
      <c r="F162" s="59"/>
      <c r="G162" s="59"/>
      <c r="H162" s="59"/>
      <c r="I162" s="61"/>
      <c r="AN162" s="3" t="str" cm="1">
        <f t="array" ref="AN162">IF(OR(Y162:AM162="NO"),"Critico","No Critico")</f>
        <v>No Critico</v>
      </c>
    </row>
    <row r="163" spans="1:40" ht="15">
      <c r="A163" s="58">
        <f>Inicial!A160</f>
        <v>0</v>
      </c>
      <c r="B163" s="59"/>
      <c r="C163" s="59"/>
      <c r="D163" s="60"/>
      <c r="E163" s="58"/>
      <c r="F163" s="59"/>
      <c r="G163" s="59"/>
      <c r="H163" s="59"/>
      <c r="I163" s="61"/>
      <c r="AN163" s="3" t="str" cm="1">
        <f t="array" ref="AN163">IF(OR(Y163:AM163="NO"),"Critico","No Critico")</f>
        <v>No Critico</v>
      </c>
    </row>
    <row r="164" spans="1:40" ht="15">
      <c r="A164" s="58">
        <f>Inicial!A161</f>
        <v>0</v>
      </c>
      <c r="B164" s="59"/>
      <c r="C164" s="59"/>
      <c r="D164" s="60"/>
      <c r="E164" s="58"/>
      <c r="F164" s="59"/>
      <c r="G164" s="59"/>
      <c r="H164" s="59"/>
      <c r="I164" s="61"/>
      <c r="AN164" s="3" t="str" cm="1">
        <f t="array" ref="AN164">IF(OR(Y164:AM164="NO"),"Critico","No Critico")</f>
        <v>No Critico</v>
      </c>
    </row>
    <row r="165" spans="1:40" ht="15">
      <c r="A165" s="58">
        <f>Inicial!A162</f>
        <v>0</v>
      </c>
      <c r="B165" s="59"/>
      <c r="C165" s="59"/>
      <c r="D165" s="60"/>
      <c r="E165" s="58"/>
      <c r="F165" s="59"/>
      <c r="G165" s="59"/>
      <c r="H165" s="59"/>
      <c r="I165" s="61"/>
      <c r="AN165" s="3" t="str" cm="1">
        <f t="array" ref="AN165">IF(OR(Y165:AM165="NO"),"Critico","No Critico")</f>
        <v>No Critico</v>
      </c>
    </row>
    <row r="166" spans="1:40" ht="15">
      <c r="A166" s="58">
        <f>Inicial!A163</f>
        <v>0</v>
      </c>
      <c r="B166" s="59"/>
      <c r="C166" s="59"/>
      <c r="D166" s="60"/>
      <c r="E166" s="58"/>
      <c r="F166" s="59"/>
      <c r="G166" s="59"/>
      <c r="H166" s="59"/>
      <c r="I166" s="61"/>
      <c r="AN166" s="3" t="str" cm="1">
        <f t="array" ref="AN166">IF(OR(Y166:AM166="NO"),"Critico","No Critico")</f>
        <v>No Critico</v>
      </c>
    </row>
    <row r="167" spans="1:40" ht="15">
      <c r="A167" s="58">
        <f>Inicial!A164</f>
        <v>0</v>
      </c>
      <c r="B167" s="59"/>
      <c r="C167" s="59"/>
      <c r="D167" s="60"/>
      <c r="E167" s="58"/>
      <c r="F167" s="59"/>
      <c r="G167" s="59"/>
      <c r="H167" s="59"/>
      <c r="I167" s="61"/>
      <c r="AN167" s="3" t="str" cm="1">
        <f t="array" ref="AN167">IF(OR(Y167:AM167="NO"),"Critico","No Critico")</f>
        <v>No Critico</v>
      </c>
    </row>
    <row r="168" spans="1:40" ht="15">
      <c r="A168" s="58">
        <f>Inicial!A165</f>
        <v>0</v>
      </c>
      <c r="B168" s="59"/>
      <c r="C168" s="59"/>
      <c r="D168" s="60"/>
      <c r="E168" s="58"/>
      <c r="F168" s="59"/>
      <c r="G168" s="59"/>
      <c r="H168" s="59"/>
      <c r="I168" s="61"/>
      <c r="AN168" s="3" t="str" cm="1">
        <f t="array" ref="AN168">IF(OR(Y168:AM168="NO"),"Critico","No Critico")</f>
        <v>No Critico</v>
      </c>
    </row>
    <row r="169" spans="1:40" ht="15">
      <c r="A169" s="58">
        <f>Inicial!A166</f>
        <v>0</v>
      </c>
      <c r="B169" s="59"/>
      <c r="C169" s="59"/>
      <c r="D169" s="60"/>
      <c r="E169" s="58"/>
      <c r="F169" s="59"/>
      <c r="G169" s="59"/>
      <c r="H169" s="59"/>
      <c r="I169" s="61"/>
      <c r="AN169" s="3" t="str" cm="1">
        <f t="array" ref="AN169">IF(OR(Y169:AM169="NO"),"Critico","No Critico")</f>
        <v>No Critico</v>
      </c>
    </row>
    <row r="170" spans="1:40" ht="15">
      <c r="A170" s="58">
        <f>Inicial!A167</f>
        <v>0</v>
      </c>
      <c r="B170" s="59"/>
      <c r="C170" s="59"/>
      <c r="D170" s="60"/>
      <c r="E170" s="58"/>
      <c r="F170" s="59"/>
      <c r="G170" s="59"/>
      <c r="H170" s="59"/>
      <c r="I170" s="61"/>
      <c r="AN170" s="3" t="str" cm="1">
        <f t="array" ref="AN170">IF(OR(Y170:AM170="NO"),"Critico","No Critico")</f>
        <v>No Critico</v>
      </c>
    </row>
    <row r="171" spans="1:40" ht="15">
      <c r="A171" s="58">
        <f>Inicial!A168</f>
        <v>0</v>
      </c>
      <c r="B171" s="59"/>
      <c r="C171" s="59"/>
      <c r="D171" s="60"/>
      <c r="E171" s="58"/>
      <c r="F171" s="59"/>
      <c r="G171" s="59"/>
      <c r="H171" s="59"/>
      <c r="I171" s="61"/>
      <c r="AN171" s="3" t="str" cm="1">
        <f t="array" ref="AN171">IF(OR(Y171:AM171="NO"),"Critico","No Critico")</f>
        <v>No Critico</v>
      </c>
    </row>
    <row r="172" spans="1:40" ht="15">
      <c r="A172" s="58">
        <f>Inicial!A169</f>
        <v>0</v>
      </c>
      <c r="B172" s="59"/>
      <c r="C172" s="59"/>
      <c r="D172" s="60"/>
      <c r="E172" s="58"/>
      <c r="F172" s="59"/>
      <c r="G172" s="59"/>
      <c r="H172" s="59"/>
      <c r="I172" s="61"/>
      <c r="AN172" s="3" t="str" cm="1">
        <f t="array" ref="AN172">IF(OR(Y172:AM172="NO"),"Critico","No Critico")</f>
        <v>No Critico</v>
      </c>
    </row>
    <row r="173" spans="1:40" ht="15">
      <c r="A173" s="58">
        <f>Inicial!A170</f>
        <v>0</v>
      </c>
      <c r="B173" s="59"/>
      <c r="C173" s="59"/>
      <c r="D173" s="60"/>
      <c r="E173" s="58"/>
      <c r="F173" s="59"/>
      <c r="G173" s="59"/>
      <c r="H173" s="59"/>
      <c r="I173" s="61"/>
      <c r="AN173" s="3" t="str" cm="1">
        <f t="array" ref="AN173">IF(OR(Y173:AM173="NO"),"Critico","No Critico")</f>
        <v>No Critico</v>
      </c>
    </row>
    <row r="174" spans="1:40" ht="15">
      <c r="A174" s="58">
        <f>Inicial!A171</f>
        <v>0</v>
      </c>
      <c r="B174" s="59"/>
      <c r="C174" s="59"/>
      <c r="D174" s="60"/>
      <c r="E174" s="58"/>
      <c r="F174" s="59"/>
      <c r="G174" s="59"/>
      <c r="H174" s="59"/>
      <c r="I174" s="61"/>
      <c r="AN174" s="3" t="str" cm="1">
        <f t="array" ref="AN174">IF(OR(Y174:AM174="NO"),"Critico","No Critico")</f>
        <v>No Critico</v>
      </c>
    </row>
    <row r="175" spans="1:40" ht="15">
      <c r="A175" s="58">
        <f>Inicial!A172</f>
        <v>0</v>
      </c>
      <c r="B175" s="59"/>
      <c r="C175" s="59"/>
      <c r="D175" s="60"/>
      <c r="E175" s="58"/>
      <c r="F175" s="59"/>
      <c r="G175" s="59"/>
      <c r="H175" s="59"/>
      <c r="I175" s="61"/>
      <c r="AN175" s="3" t="str" cm="1">
        <f t="array" ref="AN175">IF(OR(Y175:AM175="NO"),"Critico","No Critico")</f>
        <v>No Critico</v>
      </c>
    </row>
    <row r="176" spans="1:40" ht="15">
      <c r="A176" s="58">
        <f>Inicial!A173</f>
        <v>0</v>
      </c>
      <c r="B176" s="59"/>
      <c r="C176" s="59"/>
      <c r="D176" s="60"/>
      <c r="E176" s="58"/>
      <c r="F176" s="59"/>
      <c r="G176" s="59"/>
      <c r="H176" s="59"/>
      <c r="I176" s="61"/>
      <c r="AN176" s="3" t="str" cm="1">
        <f t="array" ref="AN176">IF(OR(Y176:AM176="NO"),"Critico","No Critico")</f>
        <v>No Critico</v>
      </c>
    </row>
    <row r="177" spans="1:40" ht="15">
      <c r="A177" s="58">
        <f>Inicial!A174</f>
        <v>0</v>
      </c>
      <c r="AN177" s="3" t="str" cm="1">
        <f t="array" ref="AN177">IF(OR(Y177:AM177="NO"),"Critico","No Critico")</f>
        <v>No Critico</v>
      </c>
    </row>
  </sheetData>
  <mergeCells count="12">
    <mergeCell ref="F1:G1"/>
    <mergeCell ref="H1:I1"/>
    <mergeCell ref="J1:M1"/>
    <mergeCell ref="A1:E1"/>
    <mergeCell ref="AG1:AI1"/>
    <mergeCell ref="AJ1:AL1"/>
    <mergeCell ref="AO1:AT1"/>
    <mergeCell ref="N1:P1"/>
    <mergeCell ref="Q1:S1"/>
    <mergeCell ref="T1:V1"/>
    <mergeCell ref="Y1:AB1"/>
    <mergeCell ref="AC1:AF1"/>
  </mergeCells>
  <conditionalFormatting sqref="J3:K8 L4:W20">
    <cfRule type="cellIs" dxfId="27" priority="11" operator="equal">
      <formula>"NO"</formula>
    </cfRule>
    <cfRule type="cellIs" dxfId="26" priority="12" operator="equal">
      <formula>"SI"</formula>
    </cfRule>
  </conditionalFormatting>
  <conditionalFormatting sqref="J41:AM1048576">
    <cfRule type="cellIs" dxfId="25" priority="15" operator="equal">
      <formula>"NO"</formula>
    </cfRule>
    <cfRule type="cellIs" dxfId="24" priority="16" operator="equal">
      <formula>"SI"</formula>
    </cfRule>
  </conditionalFormatting>
  <conditionalFormatting sqref="L3:U3 W3 L21:AM1048576">
    <cfRule type="cellIs" dxfId="23" priority="13" operator="equal">
      <formula>"NO"</formula>
    </cfRule>
    <cfRule type="cellIs" dxfId="22" priority="14" operator="equal">
      <formula>"SI"</formula>
    </cfRule>
  </conditionalFormatting>
  <conditionalFormatting sqref="X3:AM20">
    <cfRule type="cellIs" dxfId="21" priority="3" operator="equal">
      <formula>"No Aceptable"</formula>
    </cfRule>
    <cfRule type="cellIs" dxfId="20" priority="4" operator="equal">
      <formula>"Aceptable"</formula>
    </cfRule>
  </conditionalFormatting>
  <conditionalFormatting sqref="AN3:AN177">
    <cfRule type="cellIs" dxfId="19" priority="1" operator="equal">
      <formula>"No Critico"</formula>
    </cfRule>
    <cfRule type="cellIs" dxfId="18" priority="2" operator="equal">
      <formula>"Critico"</formula>
    </cfRule>
  </conditionalFormatting>
  <dataValidations count="3">
    <dataValidation type="list" allowBlank="1" showInputMessage="1" showErrorMessage="1" sqref="X21:AM40 W3:W40 V4:V40 J3:U40" xr:uid="{FEBC6F02-E740-4724-96BF-5D6427A65DAE}">
      <formula1>"SI,NO,N/A"</formula1>
    </dataValidation>
    <dataValidation type="list" allowBlank="1" showInputMessage="1" showErrorMessage="1" sqref="J41:U90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5"/>
  <sheetViews>
    <sheetView workbookViewId="0">
      <pane xSplit="9" ySplit="2" topLeftCell="U3" activePane="bottomRight" state="frozen"/>
      <selection pane="topRight" activeCell="J1" sqref="J1"/>
      <selection pane="bottomLeft" activeCell="A3" sqref="A3"/>
      <selection pane="bottomRight" activeCell="U2" sqref="U2"/>
    </sheetView>
  </sheetViews>
  <sheetFormatPr baseColWidth="10" defaultColWidth="11.5" defaultRowHeight="14.25"/>
  <cols>
    <col min="1" max="1" width="3.125" style="4" customWidth="1"/>
    <col min="2" max="3" width="11.5" style="1" customWidth="1"/>
    <col min="4" max="4" width="14.375" style="1" customWidth="1"/>
    <col min="5" max="6" width="9.625" style="1" customWidth="1"/>
    <col min="7" max="9" width="9.625" customWidth="1"/>
    <col min="10" max="13" width="11.5" style="91" customWidth="1"/>
    <col min="14" max="15" width="15.875" style="90" customWidth="1"/>
    <col min="16" max="16" width="18.375" style="91" customWidth="1"/>
    <col min="17" max="17" width="17.875" style="91" customWidth="1"/>
    <col min="18" max="18" width="28.625" style="91" customWidth="1"/>
    <col min="19" max="24" width="11.5" style="91"/>
  </cols>
  <sheetData>
    <row r="1" spans="1:46" ht="60" customHeight="1">
      <c r="A1" s="162" t="s">
        <v>526</v>
      </c>
      <c r="B1" s="162"/>
      <c r="C1" s="162"/>
      <c r="D1" s="162"/>
      <c r="E1" s="162"/>
      <c r="F1" s="138" t="s">
        <v>315</v>
      </c>
      <c r="G1" s="138"/>
      <c r="H1" s="138" t="s">
        <v>316</v>
      </c>
      <c r="I1" s="138"/>
      <c r="J1" s="160" t="s">
        <v>527</v>
      </c>
      <c r="K1" s="160"/>
      <c r="L1" s="160"/>
      <c r="M1" s="160"/>
      <c r="N1" s="160"/>
      <c r="O1" s="160"/>
      <c r="P1" s="160"/>
      <c r="Q1" s="161"/>
      <c r="R1" s="87" t="s">
        <v>399</v>
      </c>
      <c r="S1" s="152" t="s">
        <v>319</v>
      </c>
      <c r="T1" s="153"/>
      <c r="U1" s="153"/>
      <c r="V1" s="153"/>
      <c r="W1" s="153"/>
      <c r="X1" s="154"/>
    </row>
    <row r="2" spans="1:46" ht="88.15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9" t="s">
        <v>528</v>
      </c>
      <c r="K2" s="9" t="s">
        <v>529</v>
      </c>
      <c r="L2" s="9" t="s">
        <v>530</v>
      </c>
      <c r="M2" s="9" t="s">
        <v>531</v>
      </c>
      <c r="N2" s="13" t="s">
        <v>532</v>
      </c>
      <c r="O2" s="13" t="s">
        <v>533</v>
      </c>
      <c r="P2" s="13" t="s">
        <v>534</v>
      </c>
      <c r="Q2" s="13" t="s">
        <v>535</v>
      </c>
      <c r="R2" s="85" t="s">
        <v>330</v>
      </c>
      <c r="S2" s="13" t="s">
        <v>338</v>
      </c>
      <c r="T2" s="13" t="s">
        <v>339</v>
      </c>
      <c r="U2" s="13" t="s">
        <v>340</v>
      </c>
      <c r="V2" s="13" t="s">
        <v>341</v>
      </c>
      <c r="W2" s="13" t="s">
        <v>342</v>
      </c>
      <c r="X2" s="13" t="s">
        <v>343</v>
      </c>
    </row>
    <row r="3" spans="1:46" s="5" customFormat="1" ht="25.9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IF(Inicial!P3="SI",Inicial!E3,"N/A")</f>
        <v>N/A</v>
      </c>
      <c r="F3" s="59" t="str">
        <f>IF(Inicial!P3="SI",Inicial!F3,"N/A")</f>
        <v>N/A</v>
      </c>
      <c r="G3" s="59" t="str">
        <f>IF(Inicial!P3="SI",Inicial!G3,"N/A")</f>
        <v>N/A</v>
      </c>
      <c r="H3" s="59" t="str">
        <f>IF(Inicial!P3="SI",Inicial!H3,"N/A")</f>
        <v>N/A</v>
      </c>
      <c r="I3" s="70" t="str">
        <f>IF(Inicial!P3="SI",Inicial!I3,"N/A")</f>
        <v>N/A</v>
      </c>
      <c r="J3" s="88"/>
      <c r="K3" s="88"/>
      <c r="L3" s="88"/>
      <c r="M3" s="88"/>
      <c r="N3" s="88"/>
      <c r="O3" s="88"/>
      <c r="P3" s="88"/>
      <c r="Q3" s="88"/>
      <c r="R3" s="88" t="str" cm="1">
        <f t="array" ref="R3">IF(OR(J3:Q3="SI"),"No aceptable","Aceptable")</f>
        <v>Aceptable</v>
      </c>
      <c r="S3" s="88"/>
      <c r="T3" s="88"/>
      <c r="U3" s="88"/>
      <c r="V3" s="88"/>
      <c r="W3" s="88"/>
      <c r="X3" s="89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IF(Inicial!P4="SI",Inicial!E4,"N/A")</f>
        <v>N/A</v>
      </c>
      <c r="F4" s="59" t="str">
        <f>IF(Inicial!P4="SI",Inicial!F4,"N/A")</f>
        <v>N/A</v>
      </c>
      <c r="G4" s="59" t="str">
        <f>IF(Inicial!P4="SI",Inicial!G4,"N/A")</f>
        <v>N/A</v>
      </c>
      <c r="H4" s="59" t="str">
        <f>IF(Inicial!P4="SI",Inicial!H4,"N/A")</f>
        <v>N/A</v>
      </c>
      <c r="I4" s="70" t="str">
        <f>IF(Inicial!P4="SI",Inicial!I4,"N/A")</f>
        <v>N/A</v>
      </c>
      <c r="J4" s="88"/>
      <c r="K4" s="88"/>
      <c r="L4" s="88"/>
      <c r="M4" s="88"/>
      <c r="N4" s="88"/>
      <c r="O4" s="88"/>
      <c r="P4" s="88"/>
      <c r="Q4" s="88"/>
      <c r="R4" s="88" t="str" cm="1">
        <f t="array" ref="R4">IF(OR(J4:Q4="SI"),"No aceptable","Aceptable")</f>
        <v>Aceptable</v>
      </c>
      <c r="S4" s="90"/>
      <c r="T4" s="90"/>
      <c r="U4" s="90"/>
      <c r="V4" s="90"/>
      <c r="W4" s="90"/>
      <c r="X4" s="90"/>
    </row>
    <row r="5" spans="1:46" ht="25.9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IF(Inicial!P5="SI",Inicial!E5,"N/A")</f>
        <v>N/A</v>
      </c>
      <c r="F5" s="59" t="str">
        <f>IF(Inicial!P5="SI",Inicial!F5,"N/A")</f>
        <v>N/A</v>
      </c>
      <c r="G5" s="59" t="str">
        <f>IF(Inicial!P5="SI",Inicial!G5,"N/A")</f>
        <v>N/A</v>
      </c>
      <c r="H5" s="59" t="str">
        <f>IF(Inicial!P5="SI",Inicial!H5,"N/A")</f>
        <v>N/A</v>
      </c>
      <c r="I5" s="70" t="str">
        <f>IF(Inicial!P5="SI",Inicial!I5,"N/A")</f>
        <v>N/A</v>
      </c>
      <c r="J5" s="88"/>
      <c r="K5" s="88"/>
      <c r="L5" s="88"/>
      <c r="M5" s="88"/>
      <c r="N5" s="88"/>
      <c r="O5" s="88"/>
      <c r="P5" s="88"/>
      <c r="Q5" s="88"/>
      <c r="R5" s="88" t="str" cm="1">
        <f t="array" ref="R5">IF(OR(J5:Q5="SI"),"No aceptable","Aceptable")</f>
        <v>Aceptable</v>
      </c>
      <c r="S5" s="90"/>
      <c r="T5" s="90"/>
      <c r="U5" s="90"/>
      <c r="V5" s="90"/>
      <c r="W5" s="90"/>
      <c r="X5" s="90"/>
    </row>
    <row r="6" spans="1:46" ht="25.9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IF(Inicial!P6="SI",Inicial!E6,"N/A")</f>
        <v>N/A</v>
      </c>
      <c r="F6" s="59" t="str">
        <f>IF(Inicial!P6="SI",Inicial!F6,"N/A")</f>
        <v>N/A</v>
      </c>
      <c r="G6" s="59" t="str">
        <f>IF(Inicial!P6="SI",Inicial!G6,"N/A")</f>
        <v>N/A</v>
      </c>
      <c r="H6" s="59" t="str">
        <f>IF(Inicial!P6="SI",Inicial!H6,"N/A")</f>
        <v>N/A</v>
      </c>
      <c r="I6" s="70" t="str">
        <f>IF(Inicial!P6="SI",Inicial!I6,"N/A")</f>
        <v>N/A</v>
      </c>
      <c r="J6" s="88"/>
      <c r="K6" s="88"/>
      <c r="L6" s="88"/>
      <c r="M6" s="88"/>
      <c r="N6" s="88"/>
      <c r="O6" s="88"/>
      <c r="P6" s="88"/>
      <c r="Q6" s="88"/>
      <c r="R6" s="88" t="str" cm="1">
        <f t="array" ref="R6">IF(OR(J6:Q6="SI"),"No aceptable","Aceptable")</f>
        <v>Aceptable</v>
      </c>
    </row>
    <row r="7" spans="1:46" ht="25.9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IF(Inicial!P7="SI",Inicial!E7,"N/A")</f>
        <v>N/A</v>
      </c>
      <c r="F7" s="59" t="str">
        <f>IF(Inicial!P7="SI",Inicial!F7,"N/A")</f>
        <v>N/A</v>
      </c>
      <c r="G7" s="59" t="str">
        <f>IF(Inicial!P7="SI",Inicial!G7,"N/A")</f>
        <v>N/A</v>
      </c>
      <c r="H7" s="59" t="str">
        <f>IF(Inicial!P7="SI",Inicial!H7,"N/A")</f>
        <v>N/A</v>
      </c>
      <c r="I7" s="70" t="str">
        <f>IF(Inicial!P7="SI",Inicial!I7,"N/A")</f>
        <v>N/A</v>
      </c>
      <c r="J7" s="88"/>
      <c r="K7" s="88"/>
      <c r="L7" s="88"/>
      <c r="M7" s="88"/>
      <c r="N7" s="88"/>
      <c r="O7" s="88"/>
      <c r="P7" s="88"/>
      <c r="Q7" s="88"/>
      <c r="R7" s="88" t="str" cm="1">
        <f t="array" ref="R7">IF(OR(J7:Q7="SI"),"No aceptable","Aceptable")</f>
        <v>Aceptable</v>
      </c>
    </row>
    <row r="8" spans="1:46" ht="25.9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IF(Inicial!P8="SI",Inicial!E8,"N/A")</f>
        <v>N/A</v>
      </c>
      <c r="F8" s="59" t="str">
        <f>IF(Inicial!P8="SI",Inicial!F8,"N/A")</f>
        <v>N/A</v>
      </c>
      <c r="G8" s="59" t="str">
        <f>IF(Inicial!P8="SI",Inicial!G8,"N/A")</f>
        <v>N/A</v>
      </c>
      <c r="H8" s="59" t="str">
        <f>IF(Inicial!P8="SI",Inicial!H8,"N/A")</f>
        <v>N/A</v>
      </c>
      <c r="I8" s="70" t="str">
        <f>IF(Inicial!P8="SI",Inicial!I8,"N/A")</f>
        <v>N/A</v>
      </c>
      <c r="J8" s="88"/>
      <c r="K8" s="88"/>
      <c r="L8" s="88"/>
      <c r="M8" s="88"/>
      <c r="N8" s="88"/>
      <c r="O8" s="88"/>
      <c r="P8" s="88"/>
      <c r="Q8" s="88"/>
      <c r="R8" s="88" t="str" cm="1">
        <f t="array" ref="R8">IF(OR(J8:Q8="SI"),"No aceptable","Aceptable")</f>
        <v>Aceptable</v>
      </c>
    </row>
    <row r="9" spans="1:46" ht="15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IF(Inicial!P9="SI",Inicial!E9,"N/A")</f>
        <v>N/A</v>
      </c>
      <c r="F9" s="59" t="str">
        <f>IF(Inicial!P9="SI",Inicial!F9,"N/A")</f>
        <v>N/A</v>
      </c>
      <c r="G9" s="59" t="str">
        <f>IF(Inicial!P9="SI",Inicial!G9,"N/A")</f>
        <v>N/A</v>
      </c>
      <c r="H9" s="59" t="str">
        <f>IF(Inicial!P9="SI",Inicial!H9,"N/A")</f>
        <v>N/A</v>
      </c>
      <c r="I9" s="70" t="str">
        <f>IF(Inicial!P9="SI",Inicial!I9,"N/A")</f>
        <v>N/A</v>
      </c>
      <c r="J9" s="88"/>
      <c r="K9" s="88"/>
      <c r="L9" s="88"/>
      <c r="M9" s="88"/>
      <c r="N9" s="88"/>
      <c r="O9" s="88"/>
      <c r="P9" s="88"/>
      <c r="Q9" s="88"/>
      <c r="R9" s="88" t="str" cm="1">
        <f t="array" ref="R9">IF(OR(J9:Q9="SI"),"No aceptable","Aceptable")</f>
        <v>Aceptable</v>
      </c>
    </row>
    <row r="10" spans="1:46" ht="15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IF(Inicial!P10="SI",Inicial!E10,"N/A")</f>
        <v>N/A</v>
      </c>
      <c r="F10" s="59" t="str">
        <f>IF(Inicial!P10="SI",Inicial!F10,"N/A")</f>
        <v>N/A</v>
      </c>
      <c r="G10" s="59" t="str">
        <f>IF(Inicial!P10="SI",Inicial!G10,"N/A")</f>
        <v>N/A</v>
      </c>
      <c r="H10" s="59" t="str">
        <f>IF(Inicial!P10="SI",Inicial!H10,"N/A")</f>
        <v>N/A</v>
      </c>
      <c r="I10" s="70" t="str">
        <f>IF(Inicial!P10="SI",Inicial!I10,"N/A")</f>
        <v>N/A</v>
      </c>
      <c r="J10" s="88"/>
      <c r="K10" s="88"/>
      <c r="L10" s="88"/>
      <c r="M10" s="88"/>
      <c r="N10" s="88"/>
      <c r="O10" s="88"/>
      <c r="P10" s="88"/>
      <c r="Q10" s="88"/>
      <c r="R10" s="88" t="str" cm="1">
        <f t="array" ref="R10">IF(OR(J10:Q10="SI"),"No aceptable","Aceptable")</f>
        <v>Aceptable</v>
      </c>
    </row>
    <row r="11" spans="1:46" ht="15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IF(Inicial!P11="SI",Inicial!E11,"N/A")</f>
        <v>N/A</v>
      </c>
      <c r="F11" s="59" t="str">
        <f>IF(Inicial!P11="SI",Inicial!F11,"N/A")</f>
        <v>N/A</v>
      </c>
      <c r="G11" s="59" t="str">
        <f>IF(Inicial!P11="SI",Inicial!G11,"N/A")</f>
        <v>N/A</v>
      </c>
      <c r="H11" s="59" t="str">
        <f>IF(Inicial!P11="SI",Inicial!H11,"N/A")</f>
        <v>N/A</v>
      </c>
      <c r="I11" s="70" t="str">
        <f>IF(Inicial!P11="SI",Inicial!I11,"N/A")</f>
        <v>N/A</v>
      </c>
      <c r="J11" s="88"/>
      <c r="K11" s="88"/>
      <c r="L11" s="88"/>
      <c r="M11" s="88"/>
      <c r="N11" s="88"/>
      <c r="O11" s="88"/>
      <c r="P11" s="88"/>
      <c r="Q11" s="88"/>
      <c r="R11" s="88" t="str" cm="1">
        <f t="array" ref="R11">IF(OR(J11:Q11="SI"),"No aceptable","Aceptable")</f>
        <v>Aceptable</v>
      </c>
    </row>
    <row r="12" spans="1:46" ht="15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IF(Inicial!P12="SI",Inicial!E12,"N/A")</f>
        <v>N/A</v>
      </c>
      <c r="F12" s="59" t="str">
        <f>IF(Inicial!P12="SI",Inicial!F12,"N/A")</f>
        <v>N/A</v>
      </c>
      <c r="G12" s="59" t="str">
        <f>IF(Inicial!P12="SI",Inicial!G12,"N/A")</f>
        <v>N/A</v>
      </c>
      <c r="H12" s="59" t="str">
        <f>IF(Inicial!P12="SI",Inicial!H12,"N/A")</f>
        <v>N/A</v>
      </c>
      <c r="I12" s="70" t="str">
        <f>IF(Inicial!P12="SI",Inicial!I12,"N/A")</f>
        <v>N/A</v>
      </c>
      <c r="J12" s="88"/>
      <c r="K12" s="88"/>
      <c r="L12" s="88"/>
      <c r="M12" s="88"/>
      <c r="N12" s="88"/>
      <c r="O12" s="88"/>
      <c r="P12" s="88"/>
      <c r="Q12" s="88"/>
      <c r="R12" s="88" t="str" cm="1">
        <f t="array" ref="R12">IF(OR(J12:Q12="SI"),"No aceptable","Aceptable")</f>
        <v>Aceptable</v>
      </c>
    </row>
    <row r="13" spans="1:46" ht="15">
      <c r="A13" s="58">
        <f>Inicial!A14</f>
        <v>12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IF(Inicial!P13="SI",Inicial!E13,"N/A")</f>
        <v>N/A</v>
      </c>
      <c r="F13" s="59" t="str">
        <f>IF(Inicial!P13="SI",Inicial!F13,"N/A")</f>
        <v>N/A</v>
      </c>
      <c r="G13" s="59" t="str">
        <f>IF(Inicial!P13="SI",Inicial!G13,"N/A")</f>
        <v>N/A</v>
      </c>
      <c r="H13" s="59" t="str">
        <f>IF(Inicial!P13="SI",Inicial!H13,"N/A")</f>
        <v>N/A</v>
      </c>
      <c r="I13" s="70" t="str">
        <f>IF(Inicial!P13="SI",Inicial!I13,"N/A")</f>
        <v>N/A</v>
      </c>
      <c r="J13" s="88"/>
      <c r="K13" s="88"/>
      <c r="L13" s="88"/>
      <c r="M13" s="88"/>
      <c r="N13" s="88"/>
      <c r="O13" s="88"/>
      <c r="P13" s="88"/>
      <c r="Q13" s="88"/>
      <c r="R13" s="88" t="str" cm="1">
        <f t="array" ref="R13">IF(OR(J13:Q13="SI"),"No aceptable","Aceptable")</f>
        <v>Aceptable</v>
      </c>
    </row>
    <row r="14" spans="1:46" ht="25.5">
      <c r="A14" s="58">
        <f>Inicial!A15</f>
        <v>13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IF(Inicial!P14="SI",Inicial!E14,"N/A")</f>
        <v>N/A</v>
      </c>
      <c r="F14" s="59" t="str">
        <f>IF(Inicial!P14="SI",Inicial!F14,"N/A")</f>
        <v>N/A</v>
      </c>
      <c r="G14" s="59" t="str">
        <f>IF(Inicial!P14="SI",Inicial!G14,"N/A")</f>
        <v>N/A</v>
      </c>
      <c r="H14" s="59" t="str">
        <f>IF(Inicial!P14="SI",Inicial!H14,"N/A")</f>
        <v>N/A</v>
      </c>
      <c r="I14" s="70" t="str">
        <f>IF(Inicial!P14="SI",Inicial!I14,"N/A")</f>
        <v>N/A</v>
      </c>
      <c r="J14" s="88"/>
      <c r="K14" s="88"/>
      <c r="L14" s="88"/>
      <c r="M14" s="88"/>
      <c r="N14" s="88"/>
      <c r="O14" s="88"/>
      <c r="P14" s="88"/>
      <c r="Q14" s="88"/>
      <c r="R14" s="88" t="str" cm="1">
        <f t="array" ref="R14">IF(OR(J14:Q14="SI"),"No aceptable","Aceptable")</f>
        <v>Aceptable</v>
      </c>
    </row>
    <row r="15" spans="1:46" ht="25.5">
      <c r="A15" s="58">
        <f>Inicial!A16</f>
        <v>14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IF(Inicial!P15="SI",Inicial!E15,"N/A")</f>
        <v>N/A</v>
      </c>
      <c r="F15" s="59" t="str">
        <f>IF(Inicial!P15="SI",Inicial!F15,"N/A")</f>
        <v>N/A</v>
      </c>
      <c r="G15" s="59" t="str">
        <f>IF(Inicial!P15="SI",Inicial!G15,"N/A")</f>
        <v>N/A</v>
      </c>
      <c r="H15" s="59" t="str">
        <f>IF(Inicial!P15="SI",Inicial!H15,"N/A")</f>
        <v>N/A</v>
      </c>
      <c r="I15" s="70" t="str">
        <f>IF(Inicial!P15="SI",Inicial!I15,"N/A")</f>
        <v>N/A</v>
      </c>
      <c r="J15" s="88"/>
      <c r="K15" s="88"/>
      <c r="L15" s="88"/>
      <c r="M15" s="88"/>
      <c r="N15" s="88"/>
      <c r="O15" s="88"/>
      <c r="P15" s="88"/>
      <c r="Q15" s="88"/>
      <c r="R15" s="88" t="str" cm="1">
        <f t="array" ref="R15">IF(OR(J15:Q15="SI"),"No aceptable","Aceptable")</f>
        <v>Aceptable</v>
      </c>
    </row>
    <row r="16" spans="1:46" ht="15">
      <c r="A16" s="58">
        <f>Inicial!A17</f>
        <v>15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IF(Inicial!P16="SI",Inicial!E16,"N/A")</f>
        <v>N/A</v>
      </c>
      <c r="F16" s="59" t="str">
        <f>IF(Inicial!P16="SI",Inicial!F16,"N/A")</f>
        <v>N/A</v>
      </c>
      <c r="G16" s="59" t="str">
        <f>IF(Inicial!P16="SI",Inicial!G16,"N/A")</f>
        <v>N/A</v>
      </c>
      <c r="H16" s="59" t="str">
        <f>IF(Inicial!P16="SI",Inicial!H16,"N/A")</f>
        <v>N/A</v>
      </c>
      <c r="I16" s="70" t="str">
        <f>IF(Inicial!P16="SI",Inicial!I16,"N/A")</f>
        <v>N/A</v>
      </c>
      <c r="J16" s="88"/>
      <c r="K16" s="88"/>
      <c r="L16" s="88"/>
      <c r="M16" s="88"/>
      <c r="N16" s="88"/>
      <c r="O16" s="88"/>
      <c r="P16" s="88"/>
      <c r="Q16" s="88"/>
      <c r="R16" s="88" t="str" cm="1">
        <f t="array" ref="R16">IF(OR(J16:Q16="SI"),"No aceptable","Aceptable")</f>
        <v>Aceptable</v>
      </c>
    </row>
    <row r="17" spans="1:18" ht="15">
      <c r="A17" s="58">
        <f>Inicial!A18</f>
        <v>16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IF(Inicial!P17="SI",Inicial!E17,"N/A")</f>
        <v>N/A</v>
      </c>
      <c r="F17" s="59" t="str">
        <f>IF(Inicial!P17="SI",Inicial!F17,"N/A")</f>
        <v>N/A</v>
      </c>
      <c r="G17" s="59" t="str">
        <f>IF(Inicial!P17="SI",Inicial!G17,"N/A")</f>
        <v>N/A</v>
      </c>
      <c r="H17" s="59" t="str">
        <f>IF(Inicial!P17="SI",Inicial!H17,"N/A")</f>
        <v>N/A</v>
      </c>
      <c r="I17" s="70" t="str">
        <f>IF(Inicial!P17="SI",Inicial!I17,"N/A")</f>
        <v>N/A</v>
      </c>
      <c r="J17" s="88"/>
      <c r="K17" s="88"/>
      <c r="L17" s="88"/>
      <c r="M17" s="88"/>
      <c r="N17" s="88"/>
      <c r="O17" s="88"/>
      <c r="P17" s="88"/>
      <c r="Q17" s="88"/>
      <c r="R17" s="88" t="str" cm="1">
        <f t="array" ref="R17">IF(OR(J17:Q17="SI"),"No aceptable","Aceptable")</f>
        <v>Aceptable</v>
      </c>
    </row>
    <row r="18" spans="1:18" ht="15">
      <c r="A18" s="58">
        <f>Inicial!A19</f>
        <v>17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IF(Inicial!P18="SI",Inicial!E18,"N/A")</f>
        <v>N/A</v>
      </c>
      <c r="F18" s="59" t="str">
        <f>IF(Inicial!P18="SI",Inicial!F18,"N/A")</f>
        <v>N/A</v>
      </c>
      <c r="G18" s="59" t="str">
        <f>IF(Inicial!P18="SI",Inicial!G18,"N/A")</f>
        <v>N/A</v>
      </c>
      <c r="H18" s="59" t="str">
        <f>IF(Inicial!P18="SI",Inicial!H18,"N/A")</f>
        <v>N/A</v>
      </c>
      <c r="I18" s="70" t="str">
        <f>IF(Inicial!P18="SI",Inicial!I18,"N/A")</f>
        <v>N/A</v>
      </c>
      <c r="J18" s="88"/>
      <c r="K18" s="88"/>
      <c r="L18" s="88"/>
      <c r="M18" s="88"/>
      <c r="N18" s="88"/>
      <c r="O18" s="88"/>
      <c r="P18" s="88"/>
      <c r="Q18" s="88"/>
      <c r="R18" s="88" t="str" cm="1">
        <f t="array" ref="R18">IF(OR(J18:Q18="SI"),"No aceptable","Aceptable")</f>
        <v>Aceptable</v>
      </c>
    </row>
    <row r="19" spans="1:18" ht="15">
      <c r="A19" s="58">
        <f>Inicial!A20</f>
        <v>18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IF(Inicial!P19="SI",Inicial!E19,"N/A")</f>
        <v>N/A</v>
      </c>
      <c r="F19" s="59" t="str">
        <f>IF(Inicial!P19="SI",Inicial!F19,"N/A")</f>
        <v>N/A</v>
      </c>
      <c r="G19" s="59" t="str">
        <f>IF(Inicial!P19="SI",Inicial!G19,"N/A")</f>
        <v>N/A</v>
      </c>
      <c r="H19" s="59" t="str">
        <f>IF(Inicial!P19="SI",Inicial!H19,"N/A")</f>
        <v>N/A</v>
      </c>
      <c r="I19" s="70" t="str">
        <f>IF(Inicial!P19="SI",Inicial!I19,"N/A")</f>
        <v>N/A</v>
      </c>
      <c r="J19" s="88"/>
      <c r="K19" s="88"/>
      <c r="L19" s="88"/>
      <c r="M19" s="88"/>
      <c r="N19" s="88"/>
      <c r="O19" s="88"/>
      <c r="P19" s="88"/>
      <c r="Q19" s="88"/>
      <c r="R19" s="88" t="str" cm="1">
        <f t="array" ref="R19">IF(OR(J19:Q19="SI"),"No aceptable","Aceptable")</f>
        <v>Aceptable</v>
      </c>
    </row>
    <row r="20" spans="1:18" ht="15">
      <c r="A20" s="58">
        <f>Inicial!A21</f>
        <v>19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IF(Inicial!P20="SI",Inicial!E20,"N/A")</f>
        <v>N/A</v>
      </c>
      <c r="F20" s="59" t="str">
        <f>IF(Inicial!P20="SI",Inicial!F20,"N/A")</f>
        <v>N/A</v>
      </c>
      <c r="G20" s="59" t="str">
        <f>IF(Inicial!P20="SI",Inicial!G20,"N/A")</f>
        <v>N/A</v>
      </c>
      <c r="H20" s="59" t="str">
        <f>IF(Inicial!P20="SI",Inicial!H20,"N/A")</f>
        <v>N/A</v>
      </c>
      <c r="I20" s="70" t="str">
        <f>IF(Inicial!P20="SI",Inicial!I20,"N/A")</f>
        <v>N/A</v>
      </c>
      <c r="J20" s="88"/>
      <c r="K20" s="88"/>
      <c r="L20" s="88"/>
      <c r="M20" s="88"/>
      <c r="N20" s="88"/>
      <c r="O20" s="88"/>
      <c r="P20" s="88"/>
      <c r="Q20" s="88"/>
      <c r="R20" s="88" t="str" cm="1">
        <f t="array" ref="R20">IF(OR(J20:Q20="SI"),"No aceptable","Aceptable")</f>
        <v>Aceptable</v>
      </c>
    </row>
    <row r="21" spans="1:18">
      <c r="A21" s="58"/>
      <c r="B21" s="59"/>
      <c r="C21" s="59"/>
      <c r="D21" s="60"/>
      <c r="E21" s="58"/>
      <c r="F21" s="59"/>
      <c r="G21" s="59"/>
      <c r="H21" s="59"/>
      <c r="I21" s="70"/>
      <c r="J21" s="88"/>
      <c r="K21" s="88"/>
      <c r="L21" s="88"/>
      <c r="M21" s="88"/>
      <c r="N21" s="88"/>
      <c r="O21" s="88"/>
      <c r="P21" s="88"/>
      <c r="Q21" s="88"/>
      <c r="R21" s="88"/>
    </row>
    <row r="22" spans="1:18">
      <c r="A22" s="58"/>
      <c r="B22" s="59"/>
      <c r="C22" s="59"/>
      <c r="D22" s="60"/>
      <c r="E22" s="58"/>
      <c r="F22" s="59"/>
      <c r="G22" s="59"/>
      <c r="H22" s="59"/>
      <c r="I22" s="70"/>
      <c r="J22" s="88"/>
      <c r="K22" s="88"/>
      <c r="L22" s="88"/>
      <c r="M22" s="88"/>
      <c r="N22" s="88"/>
      <c r="O22" s="88"/>
      <c r="P22" s="88"/>
      <c r="Q22" s="88"/>
      <c r="R22" s="88"/>
    </row>
    <row r="23" spans="1:18">
      <c r="A23" s="58"/>
      <c r="B23" s="59"/>
      <c r="C23" s="59"/>
      <c r="D23" s="60"/>
      <c r="E23" s="58"/>
      <c r="F23" s="59"/>
      <c r="G23" s="59"/>
      <c r="H23" s="59"/>
      <c r="I23" s="70"/>
      <c r="J23" s="88"/>
      <c r="K23" s="88"/>
      <c r="L23" s="88"/>
      <c r="M23" s="88"/>
      <c r="N23" s="88"/>
      <c r="O23" s="88"/>
      <c r="P23" s="88"/>
      <c r="Q23" s="88"/>
      <c r="R23" s="88"/>
    </row>
    <row r="24" spans="1:18">
      <c r="A24" s="58"/>
      <c r="B24" s="59"/>
      <c r="C24" s="59"/>
      <c r="D24" s="60"/>
      <c r="E24" s="58"/>
      <c r="F24" s="59"/>
      <c r="G24" s="59"/>
      <c r="H24" s="59"/>
      <c r="I24" s="70"/>
      <c r="J24" s="88"/>
      <c r="K24" s="88"/>
      <c r="L24" s="88"/>
      <c r="M24" s="88"/>
      <c r="N24" s="88"/>
      <c r="O24" s="88"/>
      <c r="P24" s="88"/>
      <c r="Q24" s="88"/>
      <c r="R24" s="88"/>
    </row>
    <row r="25" spans="1:18">
      <c r="A25" s="58"/>
      <c r="B25" s="59"/>
      <c r="C25" s="59"/>
      <c r="D25" s="60"/>
      <c r="E25" s="58"/>
      <c r="F25" s="59"/>
      <c r="G25" s="59"/>
      <c r="H25" s="59"/>
      <c r="I25" s="70"/>
      <c r="J25" s="88"/>
      <c r="K25" s="88"/>
      <c r="L25" s="88"/>
      <c r="M25" s="88"/>
      <c r="N25" s="88"/>
      <c r="O25" s="88"/>
      <c r="P25" s="88"/>
      <c r="Q25" s="88"/>
      <c r="R25" s="88"/>
    </row>
    <row r="26" spans="1:18">
      <c r="A26" s="58"/>
      <c r="B26" s="59"/>
      <c r="C26" s="59"/>
      <c r="D26" s="60"/>
      <c r="E26" s="58"/>
      <c r="F26" s="59"/>
      <c r="G26" s="59"/>
      <c r="H26" s="59"/>
      <c r="I26" s="70"/>
      <c r="J26" s="88"/>
      <c r="K26" s="88"/>
      <c r="L26" s="88"/>
      <c r="M26" s="88"/>
      <c r="N26" s="88"/>
      <c r="O26" s="88"/>
      <c r="P26" s="88"/>
      <c r="Q26" s="88"/>
      <c r="R26" s="88"/>
    </row>
    <row r="27" spans="1:18">
      <c r="A27" s="58"/>
      <c r="B27" s="59"/>
      <c r="C27" s="59"/>
      <c r="D27" s="60"/>
      <c r="E27" s="58"/>
      <c r="F27" s="59"/>
      <c r="G27" s="59"/>
      <c r="H27" s="59"/>
      <c r="I27" s="70"/>
      <c r="J27" s="88"/>
      <c r="K27" s="88"/>
      <c r="L27" s="88"/>
      <c r="M27" s="88"/>
      <c r="N27" s="88"/>
      <c r="O27" s="88"/>
      <c r="P27" s="88"/>
      <c r="Q27" s="88"/>
      <c r="R27" s="88"/>
    </row>
    <row r="28" spans="1:18">
      <c r="A28" s="58"/>
      <c r="B28" s="59"/>
      <c r="C28" s="59"/>
      <c r="D28" s="60"/>
      <c r="E28" s="58"/>
      <c r="F28" s="59"/>
      <c r="G28" s="59"/>
      <c r="H28" s="59"/>
      <c r="I28" s="70"/>
      <c r="J28" s="88"/>
      <c r="K28" s="88"/>
      <c r="L28" s="88"/>
      <c r="M28" s="88"/>
      <c r="N28" s="88"/>
      <c r="O28" s="88"/>
      <c r="P28" s="88"/>
      <c r="Q28" s="88"/>
      <c r="R28" s="88"/>
    </row>
    <row r="29" spans="1:18">
      <c r="A29" s="58"/>
      <c r="B29" s="59"/>
      <c r="C29" s="59"/>
      <c r="D29" s="60"/>
      <c r="E29" s="58"/>
      <c r="F29" s="59"/>
      <c r="G29" s="59"/>
      <c r="H29" s="59"/>
      <c r="I29" s="70"/>
      <c r="J29" s="88"/>
      <c r="K29" s="88"/>
      <c r="L29" s="88"/>
      <c r="M29" s="88"/>
      <c r="N29" s="88"/>
      <c r="O29" s="88"/>
      <c r="P29" s="88"/>
      <c r="Q29" s="88"/>
      <c r="R29" s="88"/>
    </row>
    <row r="30" spans="1:18">
      <c r="A30" s="58"/>
      <c r="B30" s="59"/>
      <c r="C30" s="59"/>
      <c r="D30" s="60"/>
      <c r="E30" s="58"/>
      <c r="F30" s="59"/>
      <c r="G30" s="59"/>
      <c r="H30" s="59"/>
      <c r="I30" s="70"/>
      <c r="J30" s="88"/>
      <c r="K30" s="88"/>
      <c r="L30" s="88"/>
      <c r="M30" s="88"/>
      <c r="N30" s="88"/>
      <c r="O30" s="88"/>
      <c r="P30" s="88"/>
      <c r="Q30" s="88"/>
      <c r="R30" s="88"/>
    </row>
    <row r="31" spans="1:18">
      <c r="A31" s="58"/>
      <c r="B31" s="59"/>
      <c r="C31" s="59"/>
      <c r="D31" s="60"/>
      <c r="E31" s="58"/>
      <c r="F31" s="59"/>
      <c r="G31" s="59"/>
      <c r="H31" s="59"/>
      <c r="I31" s="70"/>
      <c r="J31" s="88"/>
      <c r="K31" s="88"/>
      <c r="L31" s="88"/>
      <c r="M31" s="88"/>
      <c r="N31" s="88"/>
      <c r="O31" s="88"/>
      <c r="P31" s="88"/>
      <c r="Q31" s="88"/>
      <c r="R31" s="88"/>
    </row>
    <row r="32" spans="1:18">
      <c r="A32" s="58"/>
      <c r="B32" s="59"/>
      <c r="C32" s="59"/>
      <c r="D32" s="60"/>
      <c r="E32" s="58"/>
      <c r="F32" s="59"/>
      <c r="G32" s="59"/>
      <c r="H32" s="59"/>
      <c r="I32" s="70"/>
      <c r="J32" s="88"/>
      <c r="K32" s="88"/>
      <c r="L32" s="88"/>
      <c r="M32" s="88"/>
      <c r="N32" s="88"/>
      <c r="O32" s="88"/>
      <c r="P32" s="88"/>
      <c r="Q32" s="88"/>
      <c r="R32" s="88"/>
    </row>
    <row r="33" spans="1:18">
      <c r="A33" s="58"/>
      <c r="B33" s="59"/>
      <c r="C33" s="59"/>
      <c r="D33" s="60"/>
      <c r="E33" s="58"/>
      <c r="F33" s="59"/>
      <c r="G33" s="59"/>
      <c r="H33" s="59"/>
      <c r="I33" s="70"/>
      <c r="J33" s="88"/>
      <c r="K33" s="88"/>
      <c r="L33" s="88"/>
      <c r="M33" s="88"/>
      <c r="N33" s="88"/>
      <c r="O33" s="88"/>
      <c r="P33" s="88"/>
      <c r="Q33" s="88"/>
      <c r="R33" s="88"/>
    </row>
    <row r="34" spans="1:18">
      <c r="A34" s="58"/>
      <c r="B34" s="59"/>
      <c r="C34" s="59"/>
      <c r="D34" s="60"/>
      <c r="E34" s="58"/>
      <c r="F34" s="59"/>
      <c r="G34" s="59"/>
      <c r="H34" s="59"/>
      <c r="I34" s="70"/>
      <c r="J34" s="88"/>
      <c r="K34" s="88"/>
      <c r="L34" s="88"/>
      <c r="M34" s="88"/>
      <c r="N34" s="88"/>
      <c r="O34" s="88"/>
      <c r="P34" s="88"/>
      <c r="Q34" s="88"/>
      <c r="R34" s="88"/>
    </row>
    <row r="35" spans="1:18">
      <c r="A35" s="58"/>
      <c r="B35" s="59"/>
      <c r="C35" s="59"/>
      <c r="D35" s="60"/>
      <c r="E35" s="58"/>
      <c r="F35" s="59"/>
      <c r="G35" s="59"/>
      <c r="H35" s="59"/>
      <c r="I35" s="70"/>
      <c r="J35" s="88"/>
      <c r="K35" s="88"/>
      <c r="L35" s="88"/>
      <c r="M35" s="88"/>
      <c r="N35" s="88"/>
      <c r="O35" s="88"/>
      <c r="P35" s="88"/>
      <c r="Q35" s="88"/>
      <c r="R35" s="88"/>
    </row>
    <row r="36" spans="1:18">
      <c r="A36" s="58"/>
      <c r="B36" s="59"/>
      <c r="C36" s="59"/>
      <c r="D36" s="60"/>
      <c r="E36" s="58"/>
      <c r="F36" s="59"/>
      <c r="G36" s="59"/>
      <c r="H36" s="59"/>
      <c r="I36" s="70"/>
      <c r="J36" s="88"/>
      <c r="K36" s="88"/>
      <c r="L36" s="88"/>
      <c r="M36" s="88"/>
      <c r="N36" s="88"/>
      <c r="O36" s="88"/>
      <c r="P36" s="88"/>
      <c r="Q36" s="88"/>
      <c r="R36" s="88"/>
    </row>
    <row r="37" spans="1:18">
      <c r="A37" s="58"/>
      <c r="B37" s="59"/>
      <c r="C37" s="59"/>
      <c r="D37" s="60"/>
      <c r="E37" s="58"/>
      <c r="F37" s="59"/>
      <c r="G37" s="59"/>
      <c r="H37" s="59"/>
      <c r="I37" s="70"/>
      <c r="J37" s="88"/>
      <c r="K37" s="88"/>
      <c r="L37" s="88"/>
      <c r="M37" s="88"/>
      <c r="N37" s="88"/>
      <c r="O37" s="88"/>
      <c r="P37" s="88"/>
      <c r="Q37" s="88"/>
      <c r="R37" s="88"/>
    </row>
    <row r="38" spans="1:18">
      <c r="A38" s="58"/>
      <c r="B38" s="59"/>
      <c r="C38" s="59"/>
      <c r="D38" s="60"/>
      <c r="E38" s="58"/>
      <c r="F38" s="59"/>
      <c r="G38" s="59"/>
      <c r="H38" s="59"/>
      <c r="I38" s="70"/>
      <c r="J38" s="88"/>
      <c r="K38" s="88"/>
      <c r="L38" s="88"/>
      <c r="M38" s="88"/>
      <c r="N38" s="88"/>
      <c r="O38" s="88"/>
      <c r="P38" s="88"/>
      <c r="Q38" s="88"/>
      <c r="R38" s="88"/>
    </row>
    <row r="39" spans="1:18">
      <c r="A39" s="58"/>
      <c r="B39" s="59"/>
      <c r="C39" s="59"/>
      <c r="D39" s="60"/>
      <c r="E39" s="58"/>
      <c r="F39" s="59"/>
      <c r="G39" s="59"/>
      <c r="H39" s="59"/>
      <c r="I39" s="70"/>
      <c r="J39" s="88"/>
      <c r="K39" s="88"/>
      <c r="L39" s="88"/>
      <c r="M39" s="88"/>
      <c r="N39" s="88"/>
      <c r="O39" s="88"/>
      <c r="P39" s="88"/>
      <c r="Q39" s="88"/>
      <c r="R39" s="88"/>
    </row>
    <row r="40" spans="1:18">
      <c r="A40" s="58"/>
      <c r="B40" s="59"/>
      <c r="C40" s="59"/>
      <c r="D40" s="60"/>
      <c r="E40" s="58"/>
      <c r="F40" s="59"/>
      <c r="G40" s="59"/>
      <c r="H40" s="59"/>
      <c r="I40" s="70"/>
      <c r="J40" s="88"/>
      <c r="K40" s="88"/>
      <c r="L40" s="88"/>
      <c r="M40" s="88"/>
      <c r="N40" s="88"/>
      <c r="O40" s="88"/>
      <c r="P40" s="88"/>
      <c r="Q40" s="88"/>
      <c r="R40" s="88"/>
    </row>
    <row r="41" spans="1:18">
      <c r="A41" s="58"/>
      <c r="B41" s="59"/>
      <c r="C41" s="59"/>
      <c r="D41" s="60"/>
      <c r="E41" s="58"/>
      <c r="F41" s="59"/>
      <c r="G41" s="59"/>
      <c r="H41" s="59"/>
      <c r="I41" s="70"/>
      <c r="J41" s="88"/>
      <c r="K41" s="88"/>
      <c r="L41" s="88"/>
      <c r="M41" s="88"/>
      <c r="N41" s="88"/>
      <c r="O41" s="88"/>
      <c r="P41" s="88"/>
      <c r="Q41" s="88"/>
    </row>
    <row r="42" spans="1:18">
      <c r="A42" s="58"/>
      <c r="B42" s="59"/>
      <c r="C42" s="59"/>
      <c r="D42" s="60"/>
      <c r="E42" s="58"/>
      <c r="F42" s="59"/>
      <c r="G42" s="59"/>
      <c r="H42" s="59"/>
      <c r="I42" s="70"/>
      <c r="J42" s="88"/>
      <c r="K42" s="88"/>
      <c r="L42" s="88"/>
      <c r="M42" s="88"/>
      <c r="N42" s="88"/>
      <c r="O42" s="88"/>
      <c r="P42" s="88"/>
      <c r="Q42" s="88"/>
    </row>
    <row r="43" spans="1:18">
      <c r="A43" s="58"/>
      <c r="B43" s="59"/>
      <c r="C43" s="59"/>
      <c r="D43" s="60"/>
      <c r="E43" s="58"/>
      <c r="F43" s="59"/>
      <c r="G43" s="59"/>
      <c r="H43" s="59"/>
      <c r="I43" s="70"/>
      <c r="J43" s="88"/>
      <c r="K43" s="88"/>
      <c r="L43" s="88"/>
      <c r="M43" s="88"/>
      <c r="N43" s="88"/>
      <c r="O43" s="88"/>
      <c r="P43" s="88"/>
      <c r="Q43" s="88"/>
    </row>
    <row r="44" spans="1:18">
      <c r="A44" s="58"/>
      <c r="B44" s="59"/>
      <c r="C44" s="59"/>
      <c r="D44" s="60"/>
      <c r="E44" s="58"/>
      <c r="F44" s="59"/>
      <c r="G44" s="59"/>
      <c r="H44" s="59"/>
      <c r="I44" s="70"/>
      <c r="J44" s="88"/>
      <c r="K44" s="88"/>
      <c r="L44" s="88"/>
      <c r="M44" s="88"/>
      <c r="N44" s="88"/>
      <c r="O44" s="88"/>
      <c r="P44" s="88"/>
      <c r="Q44" s="88"/>
    </row>
    <row r="45" spans="1:18">
      <c r="A45" s="58"/>
      <c r="B45" s="59"/>
      <c r="C45" s="59"/>
      <c r="D45" s="60"/>
      <c r="E45" s="58"/>
      <c r="F45" s="59"/>
      <c r="G45" s="59"/>
      <c r="H45" s="59"/>
      <c r="I45" s="70"/>
      <c r="J45" s="88"/>
      <c r="K45" s="88"/>
      <c r="L45" s="88"/>
      <c r="M45" s="88"/>
      <c r="N45" s="88"/>
      <c r="O45" s="88"/>
      <c r="P45" s="88"/>
      <c r="Q45" s="88"/>
    </row>
    <row r="46" spans="1:18">
      <c r="A46" s="58"/>
      <c r="B46" s="59"/>
      <c r="C46" s="59"/>
      <c r="D46" s="60"/>
      <c r="E46" s="58"/>
      <c r="F46" s="59"/>
      <c r="G46" s="59"/>
      <c r="H46" s="59"/>
      <c r="I46" s="70"/>
      <c r="J46" s="88"/>
      <c r="K46" s="88"/>
      <c r="L46" s="88"/>
      <c r="M46" s="88"/>
      <c r="N46" s="88"/>
      <c r="O46" s="88"/>
      <c r="P46" s="88"/>
      <c r="Q46" s="88"/>
    </row>
    <row r="47" spans="1:18">
      <c r="A47" s="58"/>
      <c r="B47" s="59"/>
      <c r="C47" s="59"/>
      <c r="D47" s="60"/>
      <c r="E47" s="58"/>
      <c r="F47" s="59"/>
      <c r="G47" s="59"/>
      <c r="H47" s="59"/>
      <c r="I47" s="70"/>
      <c r="J47" s="88"/>
      <c r="K47" s="88"/>
      <c r="L47" s="88"/>
      <c r="M47" s="88"/>
      <c r="N47" s="88"/>
      <c r="O47" s="88"/>
      <c r="P47" s="88"/>
      <c r="Q47" s="88"/>
    </row>
    <row r="48" spans="1:18">
      <c r="A48" s="58"/>
      <c r="B48" s="59"/>
      <c r="C48" s="59"/>
      <c r="D48" s="60"/>
      <c r="E48" s="58"/>
      <c r="F48" s="59"/>
      <c r="G48" s="59"/>
      <c r="H48" s="59"/>
      <c r="I48" s="70"/>
      <c r="J48" s="88"/>
      <c r="K48" s="88"/>
      <c r="L48" s="88"/>
      <c r="M48" s="88"/>
      <c r="N48" s="88"/>
      <c r="O48" s="88"/>
      <c r="P48" s="88"/>
      <c r="Q48" s="88"/>
    </row>
    <row r="49" spans="1:17">
      <c r="A49" s="58"/>
      <c r="B49" s="59"/>
      <c r="C49" s="59"/>
      <c r="D49" s="60"/>
      <c r="E49" s="58"/>
      <c r="F49" s="59"/>
      <c r="G49" s="59"/>
      <c r="H49" s="59"/>
      <c r="I49" s="70"/>
      <c r="J49" s="88"/>
      <c r="K49" s="88"/>
      <c r="L49" s="88"/>
      <c r="M49" s="88"/>
      <c r="N49" s="88"/>
      <c r="O49" s="88"/>
      <c r="P49" s="88"/>
      <c r="Q49" s="88"/>
    </row>
    <row r="50" spans="1:17">
      <c r="A50" s="58"/>
      <c r="B50" s="59"/>
      <c r="C50" s="59"/>
      <c r="D50" s="60"/>
      <c r="E50" s="58"/>
      <c r="F50" s="59"/>
      <c r="G50" s="59"/>
      <c r="H50" s="59"/>
      <c r="I50" s="70"/>
      <c r="J50" s="88"/>
      <c r="K50" s="88"/>
      <c r="L50" s="88"/>
      <c r="M50" s="88"/>
      <c r="N50" s="88"/>
      <c r="O50" s="88"/>
      <c r="P50" s="88"/>
      <c r="Q50" s="88"/>
    </row>
    <row r="51" spans="1:17">
      <c r="A51" s="58"/>
      <c r="B51" s="59"/>
      <c r="C51" s="59"/>
      <c r="D51" s="60"/>
      <c r="E51" s="58"/>
      <c r="F51" s="59"/>
      <c r="G51" s="59"/>
      <c r="H51" s="59"/>
      <c r="I51" s="70"/>
      <c r="J51" s="88"/>
      <c r="K51" s="88"/>
      <c r="L51" s="88"/>
      <c r="M51" s="88"/>
      <c r="N51" s="88"/>
      <c r="O51" s="88"/>
      <c r="P51" s="88"/>
      <c r="Q51" s="88"/>
    </row>
    <row r="52" spans="1:17">
      <c r="A52" s="58"/>
      <c r="B52" s="59"/>
      <c r="C52" s="59"/>
      <c r="D52" s="60"/>
      <c r="E52" s="58"/>
      <c r="F52" s="59"/>
      <c r="G52" s="59"/>
      <c r="H52" s="59"/>
      <c r="I52" s="70"/>
      <c r="J52" s="88"/>
      <c r="K52" s="88"/>
      <c r="L52" s="88"/>
      <c r="M52" s="88"/>
      <c r="N52" s="88"/>
      <c r="O52" s="88"/>
      <c r="P52" s="88"/>
      <c r="Q52" s="88"/>
    </row>
    <row r="53" spans="1:17">
      <c r="A53" s="58"/>
      <c r="B53" s="59"/>
      <c r="C53" s="59"/>
      <c r="D53" s="60"/>
      <c r="E53" s="58"/>
      <c r="F53" s="59"/>
      <c r="G53" s="59"/>
      <c r="H53" s="59"/>
      <c r="I53" s="70"/>
      <c r="J53" s="88"/>
      <c r="K53" s="88"/>
      <c r="L53" s="88"/>
      <c r="M53" s="88"/>
      <c r="N53" s="88"/>
      <c r="O53" s="88"/>
      <c r="P53" s="88"/>
      <c r="Q53" s="88"/>
    </row>
    <row r="54" spans="1:17">
      <c r="A54" s="58"/>
      <c r="B54" s="59"/>
      <c r="C54" s="59"/>
      <c r="D54" s="60"/>
      <c r="E54" s="58"/>
      <c r="F54" s="59"/>
      <c r="G54" s="59"/>
      <c r="H54" s="59"/>
      <c r="I54" s="70"/>
      <c r="J54" s="88"/>
      <c r="K54" s="88"/>
      <c r="L54" s="88"/>
      <c r="M54" s="88"/>
      <c r="N54" s="88"/>
      <c r="O54" s="88"/>
      <c r="P54" s="88"/>
      <c r="Q54" s="88"/>
    </row>
    <row r="55" spans="1:17">
      <c r="A55" s="58"/>
      <c r="B55" s="59"/>
      <c r="C55" s="59"/>
      <c r="D55" s="60"/>
      <c r="E55" s="58"/>
      <c r="F55" s="59"/>
      <c r="G55" s="59"/>
      <c r="H55" s="59"/>
      <c r="I55" s="70"/>
      <c r="J55" s="88"/>
      <c r="K55" s="88"/>
      <c r="L55" s="88"/>
      <c r="M55" s="88"/>
      <c r="N55" s="88"/>
      <c r="O55" s="88"/>
      <c r="P55" s="88"/>
      <c r="Q55" s="88"/>
    </row>
    <row r="56" spans="1:17">
      <c r="A56" s="58"/>
      <c r="B56" s="59"/>
      <c r="C56" s="59"/>
      <c r="D56" s="60"/>
      <c r="E56" s="58"/>
      <c r="F56" s="59"/>
      <c r="G56" s="59"/>
      <c r="H56" s="59"/>
      <c r="I56" s="70"/>
      <c r="J56" s="88"/>
      <c r="K56" s="88"/>
      <c r="L56" s="88"/>
      <c r="M56" s="88"/>
      <c r="N56" s="88"/>
      <c r="O56" s="88"/>
      <c r="P56" s="88"/>
      <c r="Q56" s="88"/>
    </row>
    <row r="57" spans="1:17">
      <c r="A57" s="58"/>
      <c r="B57" s="59"/>
      <c r="C57" s="59"/>
      <c r="D57" s="60"/>
      <c r="E57" s="58"/>
      <c r="F57" s="59"/>
      <c r="G57" s="59"/>
      <c r="H57" s="59"/>
      <c r="I57" s="70"/>
      <c r="J57" s="88"/>
      <c r="K57" s="88"/>
      <c r="L57" s="88"/>
      <c r="M57" s="88"/>
      <c r="N57" s="88"/>
      <c r="O57" s="88"/>
      <c r="P57" s="88"/>
      <c r="Q57" s="88"/>
    </row>
    <row r="58" spans="1:17">
      <c r="A58" s="58"/>
      <c r="B58" s="59"/>
      <c r="C58" s="59"/>
      <c r="D58" s="60"/>
      <c r="E58" s="58"/>
      <c r="F58" s="59"/>
      <c r="G58" s="59"/>
      <c r="H58" s="59"/>
      <c r="I58" s="70"/>
      <c r="J58" s="88"/>
      <c r="K58" s="88"/>
      <c r="L58" s="88"/>
      <c r="M58" s="88"/>
      <c r="N58" s="88"/>
      <c r="O58" s="88"/>
      <c r="P58" s="88"/>
      <c r="Q58" s="88"/>
    </row>
    <row r="59" spans="1:17">
      <c r="A59" s="58"/>
      <c r="B59" s="59"/>
      <c r="C59" s="59"/>
      <c r="D59" s="60"/>
      <c r="E59" s="58"/>
      <c r="F59" s="59"/>
      <c r="G59" s="59"/>
      <c r="H59" s="59"/>
      <c r="I59" s="70"/>
      <c r="J59" s="88"/>
      <c r="K59" s="88"/>
      <c r="L59" s="88"/>
      <c r="M59" s="88"/>
      <c r="N59" s="88"/>
      <c r="O59" s="88"/>
      <c r="P59" s="88"/>
      <c r="Q59" s="88"/>
    </row>
    <row r="60" spans="1:17">
      <c r="A60" s="58"/>
      <c r="B60" s="59"/>
      <c r="C60" s="59"/>
      <c r="D60" s="60"/>
      <c r="E60" s="58"/>
      <c r="F60" s="59"/>
      <c r="G60" s="59"/>
      <c r="H60" s="59"/>
      <c r="I60" s="70"/>
      <c r="J60" s="88"/>
      <c r="K60" s="88"/>
      <c r="L60" s="88"/>
      <c r="M60" s="88"/>
      <c r="N60" s="88"/>
      <c r="O60" s="88"/>
      <c r="P60" s="88"/>
      <c r="Q60" s="88"/>
    </row>
    <row r="61" spans="1:17">
      <c r="A61" s="58"/>
      <c r="B61" s="59"/>
      <c r="C61" s="59"/>
      <c r="D61" s="60"/>
      <c r="E61" s="58"/>
      <c r="F61" s="59"/>
      <c r="G61" s="59"/>
      <c r="H61" s="59"/>
      <c r="I61" s="70"/>
      <c r="J61" s="88"/>
      <c r="K61" s="88"/>
      <c r="L61" s="88"/>
      <c r="M61" s="88"/>
      <c r="N61" s="88"/>
      <c r="O61" s="88"/>
      <c r="P61" s="88"/>
      <c r="Q61" s="88"/>
    </row>
    <row r="62" spans="1:17">
      <c r="A62" s="58"/>
      <c r="B62" s="59"/>
      <c r="C62" s="59"/>
      <c r="D62" s="60"/>
      <c r="E62" s="58"/>
      <c r="F62" s="59"/>
      <c r="G62" s="59"/>
      <c r="H62" s="59"/>
      <c r="I62" s="70"/>
      <c r="J62" s="88"/>
      <c r="K62" s="88"/>
      <c r="L62" s="88"/>
      <c r="M62" s="88"/>
      <c r="N62" s="88"/>
      <c r="O62" s="88"/>
      <c r="P62" s="88"/>
      <c r="Q62" s="88"/>
    </row>
    <row r="63" spans="1:17">
      <c r="A63" s="58"/>
      <c r="B63" s="59"/>
      <c r="C63" s="59"/>
      <c r="D63" s="60"/>
      <c r="E63" s="58"/>
      <c r="F63" s="59"/>
      <c r="G63" s="59"/>
      <c r="H63" s="59"/>
      <c r="I63" s="70"/>
      <c r="J63" s="88"/>
      <c r="K63" s="88"/>
      <c r="L63" s="88"/>
      <c r="M63" s="88"/>
      <c r="N63" s="88"/>
      <c r="O63" s="88"/>
      <c r="P63" s="88"/>
      <c r="Q63" s="88"/>
    </row>
    <row r="64" spans="1:17">
      <c r="A64" s="58"/>
      <c r="B64" s="59"/>
      <c r="C64" s="59"/>
      <c r="D64" s="60"/>
      <c r="E64" s="58"/>
      <c r="F64" s="59"/>
      <c r="G64" s="59"/>
      <c r="H64" s="59"/>
      <c r="I64" s="70"/>
      <c r="J64" s="88"/>
      <c r="K64" s="88"/>
      <c r="L64" s="88"/>
      <c r="M64" s="88"/>
      <c r="N64" s="88"/>
      <c r="O64" s="88"/>
      <c r="P64" s="88"/>
      <c r="Q64" s="88"/>
    </row>
    <row r="65" spans="1:17">
      <c r="A65" s="58"/>
      <c r="B65" s="59"/>
      <c r="C65" s="59"/>
      <c r="D65" s="60"/>
      <c r="E65" s="58"/>
      <c r="F65" s="59"/>
      <c r="G65" s="59"/>
      <c r="H65" s="59"/>
      <c r="I65" s="70"/>
      <c r="J65" s="88"/>
      <c r="K65" s="88"/>
      <c r="L65" s="88"/>
      <c r="M65" s="88"/>
      <c r="N65" s="88"/>
      <c r="O65" s="88"/>
      <c r="P65" s="88"/>
      <c r="Q65" s="88"/>
    </row>
    <row r="66" spans="1:17">
      <c r="A66" s="58"/>
      <c r="B66" s="59"/>
      <c r="C66" s="59"/>
      <c r="D66" s="60"/>
      <c r="E66" s="58"/>
      <c r="F66" s="59"/>
      <c r="G66" s="59"/>
      <c r="H66" s="59"/>
      <c r="I66" s="70"/>
      <c r="J66" s="88"/>
      <c r="K66" s="88"/>
      <c r="L66" s="88"/>
      <c r="M66" s="88"/>
      <c r="N66" s="88"/>
      <c r="O66" s="88"/>
      <c r="P66" s="88"/>
      <c r="Q66" s="88"/>
    </row>
    <row r="67" spans="1:17">
      <c r="A67" s="58"/>
      <c r="B67" s="59"/>
      <c r="C67" s="59"/>
      <c r="D67" s="60"/>
      <c r="E67" s="58"/>
      <c r="F67" s="59"/>
      <c r="G67" s="59"/>
      <c r="H67" s="59"/>
      <c r="I67" s="70"/>
      <c r="J67" s="88"/>
      <c r="K67" s="88"/>
      <c r="L67" s="88"/>
      <c r="M67" s="88"/>
      <c r="N67" s="88"/>
      <c r="O67" s="88"/>
      <c r="P67" s="88"/>
      <c r="Q67" s="88"/>
    </row>
    <row r="68" spans="1:17">
      <c r="A68" s="58"/>
      <c r="B68" s="59"/>
      <c r="C68" s="59"/>
      <c r="D68" s="60"/>
      <c r="E68" s="58"/>
      <c r="F68" s="59"/>
      <c r="G68" s="59"/>
      <c r="H68" s="59"/>
      <c r="I68" s="70"/>
      <c r="J68" s="88"/>
      <c r="K68" s="88"/>
      <c r="L68" s="88"/>
      <c r="M68" s="88"/>
      <c r="N68" s="88"/>
      <c r="O68" s="88"/>
      <c r="P68" s="88"/>
      <c r="Q68" s="88"/>
    </row>
    <row r="69" spans="1:17">
      <c r="A69" s="58"/>
      <c r="B69" s="59"/>
      <c r="C69" s="59"/>
      <c r="D69" s="60"/>
      <c r="E69" s="58"/>
      <c r="F69" s="59"/>
      <c r="G69" s="59"/>
      <c r="H69" s="59"/>
      <c r="I69" s="70"/>
      <c r="J69" s="88"/>
      <c r="K69" s="88"/>
      <c r="L69" s="88"/>
      <c r="M69" s="88"/>
      <c r="N69" s="88"/>
      <c r="O69" s="88"/>
      <c r="P69" s="88"/>
      <c r="Q69" s="88"/>
    </row>
    <row r="70" spans="1:17">
      <c r="A70" s="58"/>
      <c r="B70" s="59"/>
      <c r="C70" s="59"/>
      <c r="D70" s="60"/>
      <c r="E70" s="58"/>
      <c r="F70" s="59"/>
      <c r="G70" s="59"/>
      <c r="H70" s="59"/>
      <c r="I70" s="70"/>
      <c r="J70" s="88"/>
      <c r="K70" s="88"/>
      <c r="L70" s="88"/>
      <c r="M70" s="88"/>
      <c r="N70" s="88"/>
      <c r="O70" s="88"/>
      <c r="P70" s="88"/>
      <c r="Q70" s="88"/>
    </row>
    <row r="71" spans="1:17">
      <c r="A71" s="58"/>
      <c r="B71" s="59"/>
      <c r="C71" s="59"/>
      <c r="D71" s="60"/>
      <c r="E71" s="58"/>
      <c r="F71" s="59"/>
      <c r="G71" s="59"/>
      <c r="H71" s="59"/>
      <c r="I71" s="70"/>
      <c r="J71" s="88"/>
      <c r="K71" s="88"/>
      <c r="L71" s="88"/>
      <c r="M71" s="88"/>
      <c r="N71" s="88"/>
      <c r="O71" s="88"/>
      <c r="P71" s="88"/>
      <c r="Q71" s="88"/>
    </row>
    <row r="72" spans="1:17">
      <c r="A72" s="58"/>
      <c r="B72" s="59"/>
      <c r="C72" s="59"/>
      <c r="D72" s="60"/>
      <c r="E72" s="58"/>
      <c r="F72" s="59"/>
      <c r="G72" s="59"/>
      <c r="H72" s="59"/>
      <c r="I72" s="70"/>
      <c r="J72" s="88"/>
      <c r="K72" s="88"/>
      <c r="L72" s="88"/>
      <c r="M72" s="88"/>
      <c r="N72" s="88"/>
      <c r="O72" s="88"/>
      <c r="P72" s="88"/>
      <c r="Q72" s="88"/>
    </row>
    <row r="73" spans="1:17">
      <c r="A73" s="58"/>
      <c r="B73" s="59"/>
      <c r="C73" s="59"/>
      <c r="D73" s="60"/>
      <c r="E73" s="58"/>
      <c r="F73" s="59"/>
      <c r="G73" s="59"/>
      <c r="H73" s="59"/>
      <c r="I73" s="70"/>
      <c r="J73" s="88"/>
      <c r="K73" s="88"/>
      <c r="L73" s="88"/>
      <c r="M73" s="88"/>
      <c r="N73" s="88"/>
      <c r="O73" s="88"/>
      <c r="P73" s="88"/>
      <c r="Q73" s="88"/>
    </row>
    <row r="74" spans="1:17">
      <c r="A74" s="58"/>
      <c r="B74" s="59"/>
      <c r="C74" s="59"/>
      <c r="D74" s="60"/>
      <c r="E74" s="58"/>
      <c r="F74" s="59"/>
      <c r="G74" s="59"/>
      <c r="H74" s="59"/>
      <c r="I74" s="70"/>
      <c r="J74" s="88"/>
      <c r="K74" s="88"/>
      <c r="L74" s="88"/>
      <c r="M74" s="88"/>
      <c r="N74" s="88"/>
      <c r="O74" s="88"/>
      <c r="P74" s="88"/>
      <c r="Q74" s="88"/>
    </row>
    <row r="75" spans="1:17">
      <c r="A75" s="58"/>
      <c r="B75" s="59"/>
      <c r="C75" s="59"/>
      <c r="D75" s="60"/>
      <c r="E75" s="58"/>
      <c r="F75" s="59"/>
      <c r="G75" s="59"/>
      <c r="H75" s="59"/>
      <c r="I75" s="70"/>
      <c r="J75" s="88"/>
      <c r="K75" s="88"/>
      <c r="L75" s="88"/>
      <c r="M75" s="88"/>
      <c r="N75" s="88"/>
      <c r="O75" s="88"/>
      <c r="P75" s="88"/>
      <c r="Q75" s="88"/>
    </row>
    <row r="76" spans="1:17">
      <c r="A76" s="58"/>
      <c r="B76" s="59"/>
      <c r="C76" s="59"/>
      <c r="D76" s="60"/>
      <c r="E76" s="58"/>
      <c r="F76" s="59"/>
      <c r="G76" s="59"/>
      <c r="H76" s="59"/>
      <c r="I76" s="70"/>
      <c r="J76" s="88"/>
      <c r="K76" s="88"/>
      <c r="L76" s="88"/>
      <c r="M76" s="88"/>
      <c r="N76" s="88"/>
      <c r="O76" s="88"/>
      <c r="P76" s="88"/>
      <c r="Q76" s="88"/>
    </row>
    <row r="77" spans="1:17">
      <c r="A77" s="58"/>
      <c r="B77" s="59"/>
      <c r="C77" s="59"/>
      <c r="D77" s="60"/>
      <c r="E77" s="58"/>
      <c r="F77" s="59"/>
      <c r="G77" s="59"/>
      <c r="H77" s="59"/>
      <c r="I77" s="70"/>
      <c r="J77" s="88"/>
      <c r="K77" s="88"/>
      <c r="L77" s="88"/>
      <c r="M77" s="88"/>
      <c r="N77" s="88"/>
      <c r="O77" s="88"/>
      <c r="P77" s="88"/>
      <c r="Q77" s="88"/>
    </row>
    <row r="78" spans="1:17">
      <c r="A78" s="58"/>
      <c r="B78" s="59"/>
      <c r="C78" s="59"/>
      <c r="D78" s="60"/>
      <c r="E78" s="58"/>
      <c r="F78" s="59"/>
      <c r="G78" s="59"/>
      <c r="H78" s="59"/>
      <c r="I78" s="70"/>
      <c r="J78" s="88"/>
      <c r="K78" s="88"/>
      <c r="L78" s="88"/>
      <c r="M78" s="88"/>
      <c r="N78" s="88"/>
      <c r="O78" s="88"/>
      <c r="P78" s="88"/>
      <c r="Q78" s="88"/>
    </row>
    <row r="79" spans="1:17">
      <c r="A79" s="58"/>
      <c r="B79" s="59"/>
      <c r="C79" s="59"/>
      <c r="D79" s="60"/>
      <c r="E79" s="58"/>
      <c r="F79" s="59"/>
      <c r="G79" s="59"/>
      <c r="H79" s="59"/>
      <c r="I79" s="70"/>
      <c r="J79" s="88"/>
      <c r="K79" s="88"/>
      <c r="L79" s="88"/>
      <c r="M79" s="88"/>
      <c r="N79" s="88"/>
      <c r="O79" s="88"/>
      <c r="P79" s="88"/>
      <c r="Q79" s="88"/>
    </row>
    <row r="80" spans="1:17">
      <c r="A80" s="58"/>
      <c r="B80" s="59"/>
      <c r="C80" s="59"/>
      <c r="D80" s="60"/>
      <c r="E80" s="58"/>
      <c r="F80" s="59"/>
      <c r="G80" s="59"/>
      <c r="H80" s="59"/>
      <c r="I80" s="70"/>
      <c r="J80" s="88"/>
      <c r="K80" s="88"/>
      <c r="L80" s="88"/>
      <c r="M80" s="88"/>
      <c r="N80" s="88"/>
      <c r="O80" s="88"/>
      <c r="P80" s="88"/>
      <c r="Q80" s="88"/>
    </row>
    <row r="81" spans="1:17">
      <c r="A81" s="58"/>
      <c r="B81" s="59"/>
      <c r="C81" s="59"/>
      <c r="D81" s="60"/>
      <c r="E81" s="58"/>
      <c r="F81" s="59"/>
      <c r="G81" s="59"/>
      <c r="H81" s="59"/>
      <c r="I81" s="70"/>
      <c r="J81" s="88"/>
      <c r="K81" s="88"/>
      <c r="L81" s="88"/>
      <c r="M81" s="88"/>
      <c r="N81" s="88"/>
      <c r="O81" s="88"/>
      <c r="P81" s="88"/>
      <c r="Q81" s="88"/>
    </row>
    <row r="82" spans="1:17">
      <c r="A82" s="58"/>
      <c r="B82" s="59"/>
      <c r="C82" s="59"/>
      <c r="D82" s="60"/>
      <c r="E82" s="58"/>
      <c r="F82" s="59"/>
      <c r="G82" s="59"/>
      <c r="H82" s="59"/>
      <c r="I82" s="70"/>
      <c r="J82" s="88"/>
      <c r="K82" s="88"/>
      <c r="L82" s="88"/>
      <c r="M82" s="88"/>
      <c r="N82" s="88"/>
      <c r="O82" s="88"/>
      <c r="P82" s="88"/>
      <c r="Q82" s="88"/>
    </row>
    <row r="83" spans="1:17">
      <c r="A83" s="58"/>
      <c r="B83" s="59"/>
      <c r="C83" s="59"/>
      <c r="D83" s="60"/>
      <c r="E83" s="58"/>
      <c r="F83" s="59"/>
      <c r="G83" s="59"/>
      <c r="H83" s="59"/>
      <c r="I83" s="70"/>
      <c r="J83" s="88"/>
      <c r="K83" s="88"/>
      <c r="L83" s="88"/>
      <c r="M83" s="88"/>
      <c r="N83" s="88"/>
      <c r="O83" s="88"/>
      <c r="P83" s="88"/>
      <c r="Q83" s="88"/>
    </row>
    <row r="84" spans="1:17">
      <c r="A84" s="58"/>
      <c r="B84" s="59"/>
      <c r="C84" s="59"/>
      <c r="D84" s="60"/>
      <c r="E84" s="58"/>
      <c r="F84" s="59"/>
      <c r="G84" s="59"/>
      <c r="H84" s="59"/>
      <c r="I84" s="70"/>
      <c r="J84" s="88"/>
      <c r="K84" s="88"/>
      <c r="L84" s="88"/>
      <c r="M84" s="88"/>
      <c r="N84" s="88"/>
      <c r="O84" s="88"/>
      <c r="P84" s="88"/>
      <c r="Q84" s="88"/>
    </row>
    <row r="85" spans="1:17">
      <c r="A85" s="58"/>
      <c r="B85" s="59"/>
      <c r="C85" s="59"/>
      <c r="D85" s="60"/>
      <c r="E85" s="58"/>
      <c r="F85" s="59"/>
      <c r="G85" s="59"/>
      <c r="H85" s="59"/>
      <c r="I85" s="70"/>
      <c r="J85" s="88"/>
      <c r="K85" s="88"/>
      <c r="L85" s="88"/>
      <c r="M85" s="88"/>
      <c r="N85" s="88"/>
      <c r="O85" s="88"/>
      <c r="P85" s="88"/>
      <c r="Q85" s="88"/>
    </row>
    <row r="86" spans="1:17">
      <c r="A86" s="58"/>
      <c r="B86" s="59"/>
      <c r="C86" s="59"/>
      <c r="D86" s="60"/>
      <c r="E86" s="58"/>
      <c r="F86" s="59"/>
      <c r="G86" s="59"/>
      <c r="H86" s="59"/>
      <c r="I86" s="70"/>
      <c r="J86" s="88"/>
      <c r="K86" s="88"/>
      <c r="L86" s="88"/>
      <c r="M86" s="88"/>
      <c r="N86" s="88"/>
      <c r="O86" s="88"/>
      <c r="P86" s="88"/>
      <c r="Q86" s="88"/>
    </row>
    <row r="87" spans="1:17">
      <c r="A87" s="58"/>
      <c r="B87" s="59"/>
      <c r="C87" s="59"/>
      <c r="D87" s="60"/>
      <c r="E87" s="58"/>
      <c r="F87" s="59"/>
      <c r="G87" s="59"/>
      <c r="H87" s="59"/>
      <c r="I87" s="70"/>
      <c r="J87" s="88"/>
      <c r="K87" s="88"/>
      <c r="L87" s="88"/>
      <c r="M87" s="88"/>
      <c r="N87" s="88"/>
      <c r="O87" s="88"/>
      <c r="P87" s="88"/>
      <c r="Q87" s="88"/>
    </row>
    <row r="88" spans="1:17">
      <c r="A88" s="58"/>
      <c r="B88" s="59"/>
      <c r="C88" s="59"/>
      <c r="D88" s="60"/>
      <c r="E88" s="58"/>
      <c r="F88" s="59"/>
      <c r="G88" s="59"/>
      <c r="H88" s="59"/>
      <c r="I88" s="70"/>
      <c r="J88" s="88"/>
      <c r="K88" s="88"/>
      <c r="L88" s="88"/>
      <c r="M88" s="88"/>
      <c r="N88" s="88"/>
      <c r="O88" s="88"/>
      <c r="P88" s="88"/>
      <c r="Q88" s="88"/>
    </row>
    <row r="89" spans="1:17">
      <c r="A89" s="58"/>
      <c r="B89" s="59"/>
      <c r="C89" s="59"/>
      <c r="D89" s="60"/>
      <c r="E89" s="58"/>
      <c r="F89" s="59"/>
      <c r="G89" s="59"/>
      <c r="H89" s="59"/>
      <c r="I89" s="70"/>
      <c r="J89" s="88"/>
      <c r="K89" s="88"/>
      <c r="L89" s="88"/>
      <c r="M89" s="88"/>
      <c r="N89" s="88"/>
      <c r="O89" s="88"/>
      <c r="P89" s="88"/>
      <c r="Q89" s="88"/>
    </row>
    <row r="90" spans="1:17">
      <c r="A90" s="58"/>
      <c r="B90" s="59"/>
      <c r="C90" s="59"/>
      <c r="D90" s="60"/>
      <c r="E90" s="58"/>
      <c r="F90" s="59"/>
      <c r="G90" s="59"/>
      <c r="H90" s="59"/>
      <c r="I90" s="70"/>
      <c r="J90" s="88"/>
      <c r="K90" s="88"/>
      <c r="L90" s="88"/>
      <c r="M90" s="88"/>
      <c r="N90" s="88"/>
      <c r="O90" s="88"/>
      <c r="P90" s="88"/>
      <c r="Q90" s="88"/>
    </row>
    <row r="91" spans="1:17">
      <c r="A91" s="58"/>
      <c r="B91" s="59"/>
      <c r="C91" s="59"/>
      <c r="D91" s="60"/>
      <c r="E91" s="58"/>
      <c r="F91" s="59"/>
      <c r="G91" s="59"/>
      <c r="H91" s="59"/>
      <c r="I91" s="70"/>
      <c r="J91" s="88"/>
      <c r="K91" s="88"/>
      <c r="L91" s="88"/>
      <c r="M91" s="88"/>
      <c r="N91" s="88"/>
      <c r="O91" s="88"/>
      <c r="P91" s="88"/>
      <c r="Q91" s="88"/>
    </row>
    <row r="92" spans="1:17">
      <c r="A92" s="58"/>
      <c r="B92" s="59"/>
      <c r="C92" s="59"/>
      <c r="D92" s="60"/>
      <c r="E92" s="58"/>
      <c r="F92" s="59"/>
      <c r="G92" s="59"/>
      <c r="H92" s="59"/>
      <c r="I92" s="70"/>
      <c r="J92" s="88"/>
      <c r="K92" s="88"/>
      <c r="L92" s="88"/>
      <c r="M92" s="88"/>
      <c r="N92" s="88"/>
      <c r="O92" s="88"/>
      <c r="P92" s="88"/>
      <c r="Q92" s="88"/>
    </row>
    <row r="93" spans="1:17">
      <c r="A93" s="58"/>
      <c r="B93" s="59"/>
      <c r="C93" s="59"/>
      <c r="D93" s="60"/>
      <c r="E93" s="58"/>
      <c r="F93" s="59"/>
      <c r="G93" s="59"/>
      <c r="H93" s="59"/>
      <c r="I93" s="70"/>
      <c r="J93" s="88"/>
      <c r="K93" s="88"/>
      <c r="L93" s="88"/>
      <c r="M93" s="88"/>
      <c r="N93" s="88"/>
      <c r="O93" s="88"/>
      <c r="P93" s="88"/>
      <c r="Q93" s="88"/>
    </row>
    <row r="94" spans="1:17">
      <c r="A94" s="58"/>
      <c r="B94" s="59"/>
      <c r="C94" s="59"/>
      <c r="D94" s="60"/>
      <c r="E94" s="58"/>
      <c r="F94" s="59"/>
      <c r="G94" s="59"/>
      <c r="H94" s="59"/>
      <c r="I94" s="70"/>
      <c r="J94" s="88"/>
      <c r="K94" s="88"/>
      <c r="L94" s="88"/>
      <c r="M94" s="88"/>
      <c r="N94" s="88"/>
      <c r="O94" s="88"/>
      <c r="P94" s="88"/>
      <c r="Q94" s="88"/>
    </row>
    <row r="95" spans="1:17">
      <c r="A95" s="58"/>
      <c r="B95" s="59"/>
      <c r="C95" s="59"/>
      <c r="D95" s="60"/>
      <c r="E95" s="58"/>
      <c r="F95" s="59"/>
      <c r="G95" s="59"/>
      <c r="H95" s="59"/>
      <c r="I95" s="70"/>
      <c r="J95" s="88"/>
      <c r="K95" s="88"/>
      <c r="L95" s="88"/>
      <c r="M95" s="88"/>
      <c r="N95" s="88"/>
      <c r="O95" s="88"/>
      <c r="P95" s="88"/>
      <c r="Q95" s="88"/>
    </row>
    <row r="96" spans="1:17">
      <c r="A96" s="58"/>
      <c r="B96" s="59"/>
      <c r="C96" s="59"/>
      <c r="D96" s="60"/>
      <c r="E96" s="58"/>
      <c r="F96" s="59"/>
      <c r="G96" s="59"/>
      <c r="H96" s="59"/>
      <c r="I96" s="70"/>
      <c r="J96" s="88"/>
      <c r="K96" s="88"/>
      <c r="L96" s="88"/>
      <c r="M96" s="88"/>
      <c r="N96" s="88"/>
      <c r="O96" s="88"/>
      <c r="P96" s="88"/>
      <c r="Q96" s="88"/>
    </row>
    <row r="97" spans="1:17">
      <c r="A97" s="58"/>
      <c r="B97" s="59"/>
      <c r="C97" s="59"/>
      <c r="D97" s="60"/>
      <c r="E97" s="58"/>
      <c r="F97" s="59"/>
      <c r="G97" s="59"/>
      <c r="H97" s="59"/>
      <c r="I97" s="70"/>
      <c r="J97" s="88"/>
      <c r="K97" s="88"/>
      <c r="L97" s="88"/>
      <c r="M97" s="88"/>
      <c r="N97" s="88"/>
      <c r="O97" s="88"/>
      <c r="P97" s="88"/>
      <c r="Q97" s="88"/>
    </row>
    <row r="98" spans="1:17">
      <c r="A98" s="58"/>
      <c r="B98" s="59"/>
      <c r="C98" s="59"/>
      <c r="D98" s="60"/>
      <c r="E98" s="58"/>
      <c r="F98" s="59"/>
      <c r="G98" s="59"/>
      <c r="H98" s="59"/>
      <c r="I98" s="70"/>
      <c r="J98" s="88"/>
      <c r="K98" s="88"/>
      <c r="L98" s="88"/>
      <c r="M98" s="88"/>
      <c r="N98" s="88"/>
      <c r="O98" s="88"/>
      <c r="P98" s="88"/>
      <c r="Q98" s="88"/>
    </row>
    <row r="99" spans="1:17">
      <c r="A99" s="58"/>
      <c r="B99" s="59"/>
      <c r="C99" s="59"/>
      <c r="D99" s="60"/>
      <c r="E99" s="58"/>
      <c r="F99" s="59"/>
      <c r="G99" s="59"/>
      <c r="H99" s="59"/>
      <c r="I99" s="70"/>
      <c r="J99" s="88"/>
      <c r="K99" s="88"/>
      <c r="L99" s="88"/>
      <c r="M99" s="88"/>
      <c r="N99" s="88"/>
      <c r="O99" s="88"/>
      <c r="P99" s="88"/>
      <c r="Q99" s="88"/>
    </row>
    <row r="100" spans="1:17">
      <c r="A100" s="58"/>
      <c r="B100" s="59"/>
      <c r="C100" s="59"/>
      <c r="D100" s="60"/>
      <c r="E100" s="58"/>
      <c r="F100" s="59"/>
      <c r="G100" s="59"/>
      <c r="H100" s="59"/>
      <c r="I100" s="70"/>
      <c r="J100" s="88"/>
      <c r="K100" s="88"/>
      <c r="L100" s="88"/>
      <c r="M100" s="88"/>
      <c r="N100" s="88"/>
      <c r="O100" s="88"/>
      <c r="P100" s="88"/>
      <c r="Q100" s="88"/>
    </row>
    <row r="101" spans="1:17">
      <c r="A101" s="58"/>
      <c r="B101" s="59"/>
      <c r="C101" s="59"/>
      <c r="D101" s="60"/>
      <c r="E101" s="58"/>
      <c r="F101" s="59"/>
      <c r="G101" s="59"/>
      <c r="H101" s="59"/>
      <c r="I101" s="70"/>
      <c r="J101" s="88"/>
      <c r="K101" s="88"/>
      <c r="L101" s="88"/>
      <c r="M101" s="88"/>
      <c r="N101" s="88"/>
      <c r="O101" s="88"/>
      <c r="P101" s="88"/>
      <c r="Q101" s="88"/>
    </row>
    <row r="102" spans="1:17">
      <c r="A102" s="58"/>
      <c r="B102" s="59"/>
      <c r="C102" s="59"/>
      <c r="D102" s="60"/>
      <c r="E102" s="58"/>
      <c r="F102" s="59"/>
      <c r="G102" s="59"/>
      <c r="H102" s="59"/>
      <c r="I102" s="70"/>
      <c r="J102" s="88"/>
      <c r="K102" s="88"/>
      <c r="L102" s="88"/>
      <c r="M102" s="88"/>
      <c r="N102" s="88"/>
      <c r="O102" s="88"/>
      <c r="P102" s="88"/>
      <c r="Q102" s="88"/>
    </row>
    <row r="103" spans="1:17">
      <c r="A103" s="58"/>
      <c r="B103" s="59"/>
      <c r="C103" s="59"/>
      <c r="D103" s="60"/>
      <c r="E103" s="58"/>
      <c r="F103" s="59"/>
      <c r="G103" s="59"/>
      <c r="H103" s="59"/>
      <c r="I103" s="70"/>
      <c r="J103" s="88"/>
      <c r="K103" s="88"/>
      <c r="L103" s="88"/>
      <c r="M103" s="88"/>
      <c r="N103" s="88"/>
      <c r="O103" s="88"/>
      <c r="P103" s="88"/>
      <c r="Q103" s="88"/>
    </row>
    <row r="104" spans="1:17">
      <c r="A104" s="58"/>
      <c r="B104" s="59"/>
      <c r="C104" s="59"/>
      <c r="D104" s="60"/>
      <c r="E104" s="58"/>
      <c r="F104" s="59"/>
      <c r="G104" s="59"/>
      <c r="H104" s="59"/>
      <c r="I104" s="70"/>
      <c r="J104" s="88"/>
      <c r="K104" s="88"/>
      <c r="L104" s="88"/>
      <c r="M104" s="88"/>
      <c r="N104" s="88"/>
      <c r="O104" s="88"/>
      <c r="P104" s="88"/>
      <c r="Q104" s="88"/>
    </row>
    <row r="105" spans="1:17">
      <c r="A105" s="58"/>
      <c r="B105" s="59"/>
      <c r="C105" s="59"/>
      <c r="D105" s="60"/>
      <c r="E105" s="58"/>
      <c r="F105" s="59"/>
      <c r="G105" s="59"/>
      <c r="H105" s="59"/>
      <c r="I105" s="70"/>
      <c r="J105" s="88"/>
      <c r="K105" s="88"/>
      <c r="L105" s="88"/>
      <c r="M105" s="88"/>
      <c r="N105" s="88"/>
      <c r="O105" s="88"/>
      <c r="P105" s="88"/>
      <c r="Q105" s="88"/>
    </row>
    <row r="106" spans="1:17">
      <c r="A106" s="58"/>
      <c r="B106" s="59"/>
      <c r="C106" s="59"/>
      <c r="D106" s="60"/>
      <c r="E106" s="58"/>
      <c r="F106" s="59"/>
      <c r="G106" s="59"/>
      <c r="H106" s="59"/>
      <c r="I106" s="70"/>
      <c r="J106" s="88"/>
      <c r="K106" s="88"/>
      <c r="L106" s="88"/>
      <c r="M106" s="88"/>
      <c r="N106" s="88"/>
      <c r="O106" s="88"/>
      <c r="P106" s="88"/>
      <c r="Q106" s="88"/>
    </row>
    <row r="107" spans="1:17">
      <c r="A107" s="58"/>
      <c r="B107" s="59"/>
      <c r="C107" s="59"/>
      <c r="D107" s="60"/>
      <c r="E107" s="58"/>
      <c r="F107" s="59"/>
      <c r="G107" s="59"/>
      <c r="H107" s="59"/>
      <c r="I107" s="70"/>
      <c r="J107" s="88"/>
      <c r="K107" s="88"/>
      <c r="L107" s="88"/>
      <c r="M107" s="88"/>
      <c r="N107" s="88"/>
      <c r="O107" s="88"/>
      <c r="P107" s="88"/>
      <c r="Q107" s="88"/>
    </row>
    <row r="108" spans="1:17">
      <c r="A108" s="58"/>
      <c r="B108" s="59"/>
      <c r="C108" s="59"/>
      <c r="D108" s="60"/>
      <c r="E108" s="58"/>
      <c r="F108" s="59"/>
      <c r="G108" s="59"/>
      <c r="H108" s="59"/>
      <c r="I108" s="70"/>
    </row>
    <row r="109" spans="1:17">
      <c r="A109" s="58"/>
      <c r="B109" s="59"/>
      <c r="C109" s="59"/>
      <c r="D109" s="60"/>
      <c r="E109" s="58"/>
      <c r="F109" s="59"/>
      <c r="G109" s="59"/>
      <c r="H109" s="59"/>
      <c r="I109" s="70"/>
    </row>
    <row r="110" spans="1:17">
      <c r="A110" s="58"/>
      <c r="B110" s="59"/>
      <c r="C110" s="59"/>
      <c r="D110" s="60"/>
      <c r="E110" s="58"/>
      <c r="F110" s="59"/>
      <c r="G110" s="59"/>
      <c r="H110" s="59"/>
      <c r="I110" s="70"/>
    </row>
    <row r="111" spans="1:17">
      <c r="A111" s="58"/>
      <c r="B111" s="59"/>
      <c r="C111" s="59"/>
      <c r="D111" s="60"/>
      <c r="E111" s="58"/>
      <c r="F111" s="59"/>
      <c r="G111" s="59"/>
      <c r="H111" s="59"/>
      <c r="I111" s="70"/>
    </row>
    <row r="112" spans="1:17">
      <c r="A112" s="58"/>
      <c r="B112" s="59"/>
      <c r="C112" s="59"/>
      <c r="D112" s="60"/>
      <c r="E112" s="58"/>
      <c r="F112" s="59"/>
      <c r="G112" s="59"/>
      <c r="H112" s="59"/>
      <c r="I112" s="70"/>
    </row>
    <row r="113" spans="1:9">
      <c r="A113" s="58"/>
      <c r="B113" s="59"/>
      <c r="C113" s="59"/>
      <c r="D113" s="60"/>
      <c r="E113" s="58"/>
      <c r="F113" s="59"/>
      <c r="G113" s="59"/>
      <c r="H113" s="59"/>
      <c r="I113" s="70"/>
    </row>
    <row r="114" spans="1:9">
      <c r="A114" s="58"/>
      <c r="B114" s="59"/>
      <c r="C114" s="59"/>
      <c r="D114" s="60"/>
      <c r="E114" s="58"/>
      <c r="F114" s="59"/>
      <c r="G114" s="59"/>
      <c r="H114" s="59"/>
      <c r="I114" s="70"/>
    </row>
    <row r="115" spans="1:9">
      <c r="A115" s="58"/>
      <c r="B115" s="59"/>
      <c r="C115" s="59"/>
      <c r="D115" s="60"/>
      <c r="E115" s="58"/>
      <c r="F115" s="59"/>
      <c r="G115" s="59"/>
      <c r="H115" s="59"/>
      <c r="I115" s="70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17" priority="3" operator="equal">
      <formula>"SI"</formula>
    </cfRule>
    <cfRule type="cellIs" dxfId="16" priority="4" operator="equal">
      <formula>"NO"</formula>
    </cfRule>
  </conditionalFormatting>
  <conditionalFormatting sqref="R3">
    <cfRule type="cellIs" dxfId="15" priority="1" operator="equal">
      <formula>"No Aceptable"</formula>
    </cfRule>
  </conditionalFormatting>
  <conditionalFormatting sqref="R3:R20">
    <cfRule type="cellIs" dxfId="14" priority="2" operator="equal">
      <formula>"Aceptable"</formula>
    </cfRule>
  </conditionalFormatting>
  <conditionalFormatting sqref="R3:U3 W3 R4:R20">
    <cfRule type="cellIs" dxfId="13" priority="11" operator="equal">
      <formula>"NO"</formula>
    </cfRule>
    <cfRule type="cellIs" dxfId="12" priority="12" operator="equal">
      <formula>"SI"</formula>
    </cfRule>
  </conditionalFormatting>
  <conditionalFormatting sqref="X3:AM3">
    <cfRule type="cellIs" dxfId="11" priority="7" operator="equal">
      <formula>"No Aceptable"</formula>
    </cfRule>
    <cfRule type="cellIs" dxfId="10" priority="8" operator="equal">
      <formula>"Aceptable"</formula>
    </cfRule>
  </conditionalFormatting>
  <conditionalFormatting sqref="AN3">
    <cfRule type="cellIs" dxfId="9" priority="5" operator="equal">
      <formula>"No Critico"</formula>
    </cfRule>
    <cfRule type="cellIs" dxfId="8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R21:R40" xr:uid="{51208079-784F-4A32-9422-114CBF3532A6}">
      <formula1>"SI,NO,N/A"</formula1>
    </dataValidation>
    <dataValidation type="list" allowBlank="1" showInputMessage="1" showErrorMessage="1" sqref="J3:Q107" xr:uid="{02453FFD-BED0-4508-9166-D0FB768CAC83}">
      <formula1>"SI,NO"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U3" activePane="bottomRight" state="frozen"/>
      <selection pane="topRight" activeCell="J1" sqref="J1"/>
      <selection pane="bottomLeft" activeCell="A3" sqref="A3"/>
      <selection pane="bottomRight" activeCell="U2" sqref="U2"/>
    </sheetView>
  </sheetViews>
  <sheetFormatPr baseColWidth="10" defaultColWidth="11.5" defaultRowHeight="14.25"/>
  <cols>
    <col min="1" max="1" width="3.125" style="4" customWidth="1"/>
    <col min="2" max="3" width="11.5" style="1" customWidth="1"/>
    <col min="4" max="4" width="14.375" style="1" customWidth="1"/>
    <col min="5" max="5" width="13.5" style="1" customWidth="1"/>
    <col min="6" max="6" width="11.5" style="1"/>
    <col min="9" max="9" width="11.5" customWidth="1"/>
    <col min="10" max="10" width="29.125" customWidth="1"/>
    <col min="11" max="13" width="15.375" customWidth="1"/>
    <col min="14" max="14" width="22.375" style="1" customWidth="1"/>
    <col min="15" max="15" width="23.875" style="1" customWidth="1"/>
    <col min="16" max="16" width="26.5" style="1" customWidth="1"/>
    <col min="17" max="17" width="22.375" style="1" customWidth="1"/>
    <col min="18" max="18" width="20.375" style="1" customWidth="1"/>
    <col min="19" max="27" width="15.375" customWidth="1"/>
  </cols>
  <sheetData>
    <row r="1" spans="1:27" ht="60" customHeight="1">
      <c r="A1" s="162" t="s">
        <v>536</v>
      </c>
      <c r="B1" s="162"/>
      <c r="C1" s="162"/>
      <c r="D1" s="162"/>
      <c r="E1" s="162"/>
      <c r="F1" s="138" t="s">
        <v>315</v>
      </c>
      <c r="G1" s="138"/>
      <c r="H1" s="138" t="s">
        <v>316</v>
      </c>
      <c r="I1" s="138"/>
      <c r="J1" s="160" t="s">
        <v>537</v>
      </c>
      <c r="K1" s="160"/>
      <c r="L1" s="160"/>
      <c r="M1" s="160"/>
      <c r="N1" s="160"/>
      <c r="O1" s="160"/>
      <c r="P1" s="160"/>
      <c r="Q1" s="160"/>
      <c r="R1" s="160"/>
      <c r="S1" s="160"/>
      <c r="T1" s="161"/>
      <c r="U1" s="86" t="s">
        <v>399</v>
      </c>
      <c r="V1" s="152" t="s">
        <v>319</v>
      </c>
      <c r="W1" s="153"/>
      <c r="X1" s="153"/>
      <c r="Y1" s="153"/>
      <c r="Z1" s="153"/>
      <c r="AA1" s="154"/>
    </row>
    <row r="2" spans="1:27" ht="88.15" customHeight="1">
      <c r="A2" s="8" t="s">
        <v>35</v>
      </c>
      <c r="B2" s="9" t="s">
        <v>36</v>
      </c>
      <c r="C2" s="9" t="s">
        <v>297</v>
      </c>
      <c r="D2" s="9" t="s">
        <v>38</v>
      </c>
      <c r="E2" s="9" t="s">
        <v>40</v>
      </c>
      <c r="F2" s="9" t="s">
        <v>320</v>
      </c>
      <c r="G2" s="9" t="s">
        <v>321</v>
      </c>
      <c r="H2" s="9" t="s">
        <v>322</v>
      </c>
      <c r="I2" s="9" t="s">
        <v>323</v>
      </c>
      <c r="J2" s="92" t="s">
        <v>538</v>
      </c>
      <c r="K2" s="92" t="s">
        <v>539</v>
      </c>
      <c r="L2" s="92" t="s">
        <v>540</v>
      </c>
      <c r="M2" s="92" t="s">
        <v>541</v>
      </c>
      <c r="N2" s="92" t="s">
        <v>542</v>
      </c>
      <c r="O2" s="92" t="s">
        <v>543</v>
      </c>
      <c r="P2" s="92" t="s">
        <v>544</v>
      </c>
      <c r="Q2" s="92" t="s">
        <v>545</v>
      </c>
      <c r="R2" s="92" t="s">
        <v>546</v>
      </c>
      <c r="S2" s="92" t="s">
        <v>547</v>
      </c>
      <c r="T2" s="92" t="s">
        <v>548</v>
      </c>
      <c r="U2" s="93" t="s">
        <v>330</v>
      </c>
      <c r="V2" s="13" t="s">
        <v>338</v>
      </c>
      <c r="W2" s="13" t="s">
        <v>339</v>
      </c>
      <c r="X2" s="13" t="s">
        <v>340</v>
      </c>
      <c r="Y2" s="13" t="s">
        <v>341</v>
      </c>
      <c r="Z2" s="13" t="s">
        <v>342</v>
      </c>
      <c r="AA2" s="13" t="s">
        <v>343</v>
      </c>
    </row>
    <row r="3" spans="1:27" s="5" customFormat="1" ht="25.9" customHeight="1">
      <c r="A3" s="58">
        <f>Inicial!A3</f>
        <v>1</v>
      </c>
      <c r="B3" s="59" t="str">
        <f>Inicial!B3</f>
        <v>Faenación</v>
      </c>
      <c r="C3" s="59" t="str">
        <f>Inicial!C3</f>
        <v>Colgado</v>
      </c>
      <c r="D3" s="60" t="str">
        <f>Inicial!D3</f>
        <v>Colgado de aves</v>
      </c>
      <c r="E3" s="58" t="str">
        <f>IF(Inicial!O3="SI",Inicial!E3,"N/A")</f>
        <v>N/A</v>
      </c>
      <c r="F3" s="59" t="str">
        <f>IF(Inicial!O3="SI",Inicial!F3,"N/A")</f>
        <v>N/A</v>
      </c>
      <c r="G3" s="59" t="str">
        <f>IF(Inicial!O3="SI",Inicial!G3,"N/A")</f>
        <v>N/A</v>
      </c>
      <c r="H3" s="59" t="str">
        <f>IF(Inicial!O3="SI",Inicial!H3,"N/A")</f>
        <v>N/A</v>
      </c>
      <c r="I3" s="70" t="str">
        <f>IF(Inicial!O3="SI",Inicial!I3,"N/A")</f>
        <v>N/A</v>
      </c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58">
        <f>Inicial!A4</f>
        <v>2</v>
      </c>
      <c r="B4" s="59" t="str">
        <f>Inicial!B4</f>
        <v>Faenación</v>
      </c>
      <c r="C4" s="59" t="str">
        <f>Inicial!C4</f>
        <v>Colgado</v>
      </c>
      <c r="D4" s="60" t="str">
        <f>Inicial!D4</f>
        <v>Revision de contenedores</v>
      </c>
      <c r="E4" s="58" t="str">
        <f>IF(Inicial!O4="SI",Inicial!E4,"N/A")</f>
        <v>N/A</v>
      </c>
      <c r="F4" s="59" t="str">
        <f>IF(Inicial!O4="SI",Inicial!F4,"N/A")</f>
        <v>N/A</v>
      </c>
      <c r="G4" s="59" t="str">
        <f>IF(Inicial!O4="SI",Inicial!G4,"N/A")</f>
        <v>N/A</v>
      </c>
      <c r="H4" s="59" t="str">
        <f>IF(Inicial!O4="SI",Inicial!H4,"N/A")</f>
        <v>N/A</v>
      </c>
      <c r="I4" s="70" t="str">
        <f>IF(Inicial!O4="SI",Inicial!I4,"N/A")</f>
        <v>N/A</v>
      </c>
      <c r="J4" s="5"/>
      <c r="K4" s="5"/>
      <c r="L4" s="5"/>
      <c r="M4" s="5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58">
        <f>Inicial!A5</f>
        <v>3</v>
      </c>
      <c r="B5" s="59" t="str">
        <f>Inicial!B5</f>
        <v>Faenación</v>
      </c>
      <c r="C5" s="59" t="str">
        <f>Inicial!C5</f>
        <v>Colgado</v>
      </c>
      <c r="D5" s="60" t="str">
        <f>Inicial!D5</f>
        <v>Extracción de pollo mortecino</v>
      </c>
      <c r="E5" s="58" t="str">
        <f>IF(Inicial!O5="SI",Inicial!E5,"N/A")</f>
        <v>N/A</v>
      </c>
      <c r="F5" s="59" t="str">
        <f>IF(Inicial!O5="SI",Inicial!F5,"N/A")</f>
        <v>N/A</v>
      </c>
      <c r="G5" s="59" t="str">
        <f>IF(Inicial!O5="SI",Inicial!G5,"N/A")</f>
        <v>N/A</v>
      </c>
      <c r="H5" s="59" t="str">
        <f>IF(Inicial!O5="SI",Inicial!H5,"N/A")</f>
        <v>N/A</v>
      </c>
      <c r="I5" s="70" t="str">
        <f>IF(Inicial!O5="SI",Inicial!I5,"N/A")</f>
        <v>N/A</v>
      </c>
      <c r="J5" s="5"/>
      <c r="K5" s="5"/>
      <c r="L5" s="5"/>
      <c r="M5" s="5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58">
        <f>Inicial!A6</f>
        <v>4</v>
      </c>
      <c r="B6" s="59" t="str">
        <f>Inicial!B6</f>
        <v>Faenación</v>
      </c>
      <c r="C6" s="59" t="str">
        <f>Inicial!C6</f>
        <v>Colgado</v>
      </c>
      <c r="D6" s="60" t="str">
        <f>Inicial!D6</f>
        <v>Gruero</v>
      </c>
      <c r="E6" s="58" t="str">
        <f>IF(Inicial!O6="SI",Inicial!E6,"N/A")</f>
        <v>N/A</v>
      </c>
      <c r="F6" s="59" t="str">
        <f>IF(Inicial!O6="SI",Inicial!F6,"N/A")</f>
        <v>N/A</v>
      </c>
      <c r="G6" s="59" t="str">
        <f>IF(Inicial!O6="SI",Inicial!G6,"N/A")</f>
        <v>N/A</v>
      </c>
      <c r="H6" s="59" t="str">
        <f>IF(Inicial!O6="SI",Inicial!H6,"N/A")</f>
        <v>N/A</v>
      </c>
      <c r="I6" s="70" t="str">
        <f>IF(Inicial!O6="SI",Inicial!I6,"N/A")</f>
        <v>N/A</v>
      </c>
      <c r="J6" s="5"/>
      <c r="K6" s="5"/>
      <c r="L6" s="5"/>
      <c r="M6" s="5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58">
        <f>Inicial!A7</f>
        <v>5</v>
      </c>
      <c r="B7" s="59" t="str">
        <f>Inicial!B7</f>
        <v>Faenación</v>
      </c>
      <c r="C7" s="59" t="str">
        <f>Inicial!C7</f>
        <v>Colgado</v>
      </c>
      <c r="D7" s="60" t="str">
        <f>Inicial!D7</f>
        <v xml:space="preserve">Jefe de línea </v>
      </c>
      <c r="E7" s="58" t="str">
        <f>IF(Inicial!O7="SI",Inicial!E7,"N/A")</f>
        <v>N/A</v>
      </c>
      <c r="F7" s="59" t="str">
        <f>IF(Inicial!O7="SI",Inicial!F7,"N/A")</f>
        <v>N/A</v>
      </c>
      <c r="G7" s="59" t="str">
        <f>IF(Inicial!O7="SI",Inicial!G7,"N/A")</f>
        <v>N/A</v>
      </c>
      <c r="H7" s="59" t="str">
        <f>IF(Inicial!O7="SI",Inicial!H7,"N/A")</f>
        <v>N/A</v>
      </c>
      <c r="I7" s="70" t="str">
        <f>IF(Inicial!O7="SI",Inicial!I7,"N/A")</f>
        <v>N/A</v>
      </c>
      <c r="J7" s="5"/>
      <c r="K7" s="5"/>
      <c r="L7" s="5"/>
      <c r="M7" s="5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58">
        <f>Inicial!A8</f>
        <v>6</v>
      </c>
      <c r="B8" s="59" t="str">
        <f>Inicial!B8</f>
        <v>Faenación</v>
      </c>
      <c r="C8" s="59" t="str">
        <f>Inicial!C8</f>
        <v>Colgado</v>
      </c>
      <c r="D8" s="60" t="str">
        <f>Inicial!D8</f>
        <v>Secretario</v>
      </c>
      <c r="E8" s="58" t="str">
        <f>IF(Inicial!O8="SI",Inicial!E8,"N/A")</f>
        <v>N/A</v>
      </c>
      <c r="F8" s="59" t="str">
        <f>IF(Inicial!O8="SI",Inicial!F8,"N/A")</f>
        <v>N/A</v>
      </c>
      <c r="G8" s="59" t="str">
        <f>IF(Inicial!O8="SI",Inicial!G8,"N/A")</f>
        <v>N/A</v>
      </c>
      <c r="H8" s="59" t="str">
        <f>IF(Inicial!O8="SI",Inicial!H8,"N/A")</f>
        <v>N/A</v>
      </c>
      <c r="I8" s="70" t="str">
        <f>IF(Inicial!O8="SI",Inicial!I8,"N/A")</f>
        <v>N/A</v>
      </c>
      <c r="J8" s="5"/>
      <c r="K8" s="5"/>
      <c r="L8" s="5"/>
      <c r="M8" s="5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 ht="15">
      <c r="A9" s="58">
        <f>Inicial!A9</f>
        <v>7</v>
      </c>
      <c r="B9" s="59" t="str">
        <f>Inicial!B9</f>
        <v>Faenación</v>
      </c>
      <c r="C9" s="59" t="str">
        <f>Inicial!C9</f>
        <v>Colgado</v>
      </c>
      <c r="D9" s="60" t="str">
        <f>Inicial!D9</f>
        <v>Recepcion de guia</v>
      </c>
      <c r="E9" s="58" t="str">
        <f>IF(Inicial!O9="SI",Inicial!E9,"N/A")</f>
        <v>N/A</v>
      </c>
      <c r="F9" s="59" t="str">
        <f>IF(Inicial!O9="SI",Inicial!F9,"N/A")</f>
        <v>N/A</v>
      </c>
      <c r="G9" s="59" t="str">
        <f>IF(Inicial!O9="SI",Inicial!G9,"N/A")</f>
        <v>N/A</v>
      </c>
      <c r="H9" s="59" t="str">
        <f>IF(Inicial!O9="SI",Inicial!H9,"N/A")</f>
        <v>N/A</v>
      </c>
      <c r="I9" s="70" t="str">
        <f>IF(Inicial!O9="SI",Inicial!I9,"N/A")</f>
        <v>N/A</v>
      </c>
      <c r="J9" s="5"/>
      <c r="K9" s="5"/>
      <c r="L9" s="5"/>
      <c r="M9" s="5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 ht="15">
      <c r="A10" s="58">
        <f>Inicial!A10</f>
        <v>8</v>
      </c>
      <c r="B10" s="59" t="str">
        <f>Inicial!B10</f>
        <v>Faenación</v>
      </c>
      <c r="C10" s="59" t="str">
        <f>Inicial!C10</f>
        <v>Colgado</v>
      </c>
      <c r="D10" s="60" t="str">
        <f>Inicial!D10</f>
        <v>Encargado de PC</v>
      </c>
      <c r="E10" s="58" t="str">
        <f>IF(Inicial!O10="SI",Inicial!E10,"N/A")</f>
        <v>N/A</v>
      </c>
      <c r="F10" s="59" t="str">
        <f>IF(Inicial!O10="SI",Inicial!F10,"N/A")</f>
        <v>N/A</v>
      </c>
      <c r="G10" s="59" t="str">
        <f>IF(Inicial!O10="SI",Inicial!G10,"N/A")</f>
        <v>N/A</v>
      </c>
      <c r="H10" s="59" t="str">
        <f>IF(Inicial!O10="SI",Inicial!H10,"N/A")</f>
        <v>N/A</v>
      </c>
      <c r="I10" s="70" t="str">
        <f>IF(Inicial!O10="SI",Inicial!I10,"N/A")</f>
        <v>N/A</v>
      </c>
      <c r="J10" s="5"/>
      <c r="K10" s="5"/>
      <c r="L10" s="5"/>
      <c r="M10" s="5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 ht="15">
      <c r="A11" s="58">
        <f>Inicial!A11</f>
        <v>9</v>
      </c>
      <c r="B11" s="59" t="str">
        <f>Inicial!B11</f>
        <v>Faenación</v>
      </c>
      <c r="C11" s="59" t="str">
        <f>Inicial!C11</f>
        <v>Sacrificio</v>
      </c>
      <c r="D11" s="60" t="str">
        <f>Inicial!D11</f>
        <v>Pollo Chico</v>
      </c>
      <c r="E11" s="58" t="str">
        <f>IF(Inicial!O11="SI",Inicial!E11,"N/A")</f>
        <v>N/A</v>
      </c>
      <c r="F11" s="59" t="str">
        <f>IF(Inicial!O11="SI",Inicial!F11,"N/A")</f>
        <v>N/A</v>
      </c>
      <c r="G11" s="59" t="str">
        <f>IF(Inicial!O11="SI",Inicial!G11,"N/A")</f>
        <v>N/A</v>
      </c>
      <c r="H11" s="59" t="str">
        <f>IF(Inicial!O11="SI",Inicial!H11,"N/A")</f>
        <v>N/A</v>
      </c>
      <c r="I11" s="70" t="str">
        <f>IF(Inicial!O11="SI",Inicial!I11,"N/A")</f>
        <v>N/A</v>
      </c>
      <c r="J11" s="5"/>
      <c r="K11" s="5"/>
      <c r="L11" s="5"/>
      <c r="M11" s="5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 ht="15">
      <c r="A12" s="58">
        <f>Inicial!A12</f>
        <v>10</v>
      </c>
      <c r="B12" s="59" t="str">
        <f>Inicial!B12</f>
        <v>Faenación</v>
      </c>
      <c r="C12" s="59" t="str">
        <f>Inicial!C12</f>
        <v>Sacrificio</v>
      </c>
      <c r="D12" s="60" t="str">
        <f>Inicial!D12</f>
        <v>Desgollador</v>
      </c>
      <c r="E12" s="58" t="str">
        <f>IF(Inicial!O12="SI",Inicial!E12,"N/A")</f>
        <v>N/A</v>
      </c>
      <c r="F12" s="59" t="str">
        <f>IF(Inicial!O12="SI",Inicial!F12,"N/A")</f>
        <v>N/A</v>
      </c>
      <c r="G12" s="59" t="str">
        <f>IF(Inicial!O12="SI",Inicial!G12,"N/A")</f>
        <v>N/A</v>
      </c>
      <c r="H12" s="59" t="str">
        <f>IF(Inicial!O12="SI",Inicial!H12,"N/A")</f>
        <v>N/A</v>
      </c>
      <c r="I12" s="70" t="str">
        <f>IF(Inicial!O12="SI",Inicial!I12,"N/A")</f>
        <v>N/A</v>
      </c>
      <c r="J12" s="5"/>
      <c r="K12" s="5"/>
      <c r="L12" s="5"/>
      <c r="M12" s="5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 ht="34.9" customHeight="1">
      <c r="A13" s="58">
        <f>Inicial!A13</f>
        <v>11</v>
      </c>
      <c r="B13" s="59" t="str">
        <f>Inicial!B13</f>
        <v>Faenación</v>
      </c>
      <c r="C13" s="59" t="str">
        <f>Inicial!C13</f>
        <v>Sacrificio</v>
      </c>
      <c r="D13" s="60" t="str">
        <f>Inicial!D13</f>
        <v>Repase de pluma</v>
      </c>
      <c r="E13" s="58" t="str">
        <f>IF(Inicial!O13="SI",Inicial!E13,"N/A")</f>
        <v>N/A</v>
      </c>
      <c r="F13" s="59" t="str">
        <f>IF(Inicial!O13="SI",Inicial!F13,"N/A")</f>
        <v>N/A</v>
      </c>
      <c r="G13" s="59" t="str">
        <f>IF(Inicial!O13="SI",Inicial!G13,"N/A")</f>
        <v>N/A</v>
      </c>
      <c r="H13" s="59" t="str">
        <f>IF(Inicial!O13="SI",Inicial!H13,"N/A")</f>
        <v>N/A</v>
      </c>
      <c r="I13" s="70" t="str">
        <f>IF(Inicial!O13="SI",Inicial!I13,"N/A")</f>
        <v>N/A</v>
      </c>
      <c r="J13" s="5"/>
      <c r="K13" s="5"/>
      <c r="L13" s="5"/>
      <c r="M13" s="5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 ht="29.45" customHeight="1">
      <c r="A14" s="58">
        <f>Inicial!A14</f>
        <v>12</v>
      </c>
      <c r="B14" s="59" t="str">
        <f>Inicial!B14</f>
        <v>Faenación</v>
      </c>
      <c r="C14" s="59" t="str">
        <f>Inicial!C14</f>
        <v>Eviscerado</v>
      </c>
      <c r="D14" s="60" t="str">
        <f>Inicial!D14</f>
        <v>Maquinista sacrificio</v>
      </c>
      <c r="E14" s="58" t="str">
        <f>IF(Inicial!O14="SI",Inicial!E14,"N/A")</f>
        <v>N/A</v>
      </c>
      <c r="F14" s="59" t="str">
        <f>IF(Inicial!O14="SI",Inicial!F14,"N/A")</f>
        <v>N/A</v>
      </c>
      <c r="G14" s="59" t="str">
        <f>IF(Inicial!O14="SI",Inicial!G14,"N/A")</f>
        <v>N/A</v>
      </c>
      <c r="H14" s="59" t="str">
        <f>IF(Inicial!O14="SI",Inicial!H14,"N/A")</f>
        <v>N/A</v>
      </c>
      <c r="I14" s="70" t="str">
        <f>IF(Inicial!O14="SI",Inicial!I14,"N/A")</f>
        <v>N/A</v>
      </c>
      <c r="J14" s="5"/>
      <c r="K14" s="5"/>
      <c r="L14" s="5"/>
      <c r="M14" s="5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42" customHeight="1">
      <c r="A15" s="58">
        <f>Inicial!A15</f>
        <v>13</v>
      </c>
      <c r="B15" s="59" t="str">
        <f>Inicial!B15</f>
        <v>Faenación</v>
      </c>
      <c r="C15" s="59" t="str">
        <f>Inicial!C15</f>
        <v>Eviscerado</v>
      </c>
      <c r="D15" s="60" t="str">
        <f>Inicial!D15</f>
        <v>Maquinista eviscerado</v>
      </c>
      <c r="E15" s="58" t="str">
        <f>IF(Inicial!O15="SI",Inicial!E15,"N/A")</f>
        <v>N/A</v>
      </c>
      <c r="F15" s="59" t="str">
        <f>IF(Inicial!O15="SI",Inicial!F15,"N/A")</f>
        <v>N/A</v>
      </c>
      <c r="G15" s="59" t="str">
        <f>IF(Inicial!O15="SI",Inicial!G15,"N/A")</f>
        <v>N/A</v>
      </c>
      <c r="H15" s="59" t="str">
        <f>IF(Inicial!O15="SI",Inicial!H15,"N/A")</f>
        <v>N/A</v>
      </c>
      <c r="I15" s="70" t="str">
        <f>IF(Inicial!O15="SI",Inicial!I15,"N/A")</f>
        <v>N/A</v>
      </c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 ht="15">
      <c r="A16" s="58">
        <f>Inicial!A16</f>
        <v>14</v>
      </c>
      <c r="B16" s="59" t="str">
        <f>Inicial!B16</f>
        <v>Faenación</v>
      </c>
      <c r="C16" s="59" t="str">
        <f>Inicial!C16</f>
        <v>Eviscerado</v>
      </c>
      <c r="D16" s="60" t="str">
        <f>Inicial!D16</f>
        <v>Transferidor</v>
      </c>
      <c r="E16" s="58" t="str">
        <f>IF(Inicial!O16="SI",Inicial!E16,"N/A")</f>
        <v>N/A</v>
      </c>
      <c r="F16" s="59" t="str">
        <f>IF(Inicial!O16="SI",Inicial!F16,"N/A")</f>
        <v>N/A</v>
      </c>
      <c r="G16" s="59" t="str">
        <f>IF(Inicial!O16="SI",Inicial!G16,"N/A")</f>
        <v>N/A</v>
      </c>
      <c r="H16" s="59" t="str">
        <f>IF(Inicial!O16="SI",Inicial!H16,"N/A")</f>
        <v>N/A</v>
      </c>
      <c r="I16" s="70" t="str">
        <f>IF(Inicial!O16="SI",Inicial!I16,"N/A")</f>
        <v>N/A</v>
      </c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 ht="15">
      <c r="A17" s="58">
        <f>Inicial!A17</f>
        <v>15</v>
      </c>
      <c r="B17" s="59" t="str">
        <f>Inicial!B17</f>
        <v>Faenación</v>
      </c>
      <c r="C17" s="59" t="str">
        <f>Inicial!C17</f>
        <v>Eviscerado</v>
      </c>
      <c r="D17" s="60" t="str">
        <f>Inicial!D17</f>
        <v>Expurgo Visceras</v>
      </c>
      <c r="E17" s="58" t="str">
        <f>IF(Inicial!O17="SI",Inicial!E17,"N/A")</f>
        <v>N/A</v>
      </c>
      <c r="F17" s="59" t="str">
        <f>IF(Inicial!O17="SI",Inicial!F17,"N/A")</f>
        <v>N/A</v>
      </c>
      <c r="G17" s="59" t="str">
        <f>IF(Inicial!O17="SI",Inicial!G17,"N/A")</f>
        <v>N/A</v>
      </c>
      <c r="H17" s="59" t="str">
        <f>IF(Inicial!O17="SI",Inicial!H17,"N/A")</f>
        <v>N/A</v>
      </c>
      <c r="I17" s="70" t="str">
        <f>IF(Inicial!O17="SI",Inicial!I17,"N/A")</f>
        <v>N/A</v>
      </c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 ht="15">
      <c r="A18" s="58">
        <f>Inicial!A18</f>
        <v>16</v>
      </c>
      <c r="B18" s="59" t="str">
        <f>Inicial!B18</f>
        <v>Faenación</v>
      </c>
      <c r="C18" s="59" t="str">
        <f>Inicial!C18</f>
        <v>Eviscerado</v>
      </c>
      <c r="D18" s="60" t="str">
        <f>Inicial!D18</f>
        <v>Repaso de contre</v>
      </c>
      <c r="E18" s="58" t="str">
        <f>IF(Inicial!O18="SI",Inicial!E18,"N/A")</f>
        <v>N/A</v>
      </c>
      <c r="F18" s="59" t="str">
        <f>IF(Inicial!O18="SI",Inicial!F18,"N/A")</f>
        <v>N/A</v>
      </c>
      <c r="G18" s="59" t="str">
        <f>IF(Inicial!O18="SI",Inicial!G18,"N/A")</f>
        <v>N/A</v>
      </c>
      <c r="H18" s="59" t="str">
        <f>IF(Inicial!O18="SI",Inicial!H18,"N/A")</f>
        <v>N/A</v>
      </c>
      <c r="I18" s="70" t="str">
        <f>IF(Inicial!O18="SI",Inicial!I18,"N/A")</f>
        <v>N/A</v>
      </c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 ht="15">
      <c r="A19" s="58">
        <f>Inicial!A19</f>
        <v>17</v>
      </c>
      <c r="B19" s="59" t="str">
        <f>Inicial!B19</f>
        <v>Faenación</v>
      </c>
      <c r="C19" s="59" t="str">
        <f>Inicial!C19</f>
        <v>Eviscerado</v>
      </c>
      <c r="D19" s="60" t="str">
        <f>Inicial!D19</f>
        <v>Panas</v>
      </c>
      <c r="E19" s="58" t="str">
        <f>IF(Inicial!O19="SI",Inicial!E19,"N/A")</f>
        <v>N/A</v>
      </c>
      <c r="F19" s="59" t="str">
        <f>IF(Inicial!O19="SI",Inicial!F19,"N/A")</f>
        <v>N/A</v>
      </c>
      <c r="G19" s="59" t="str">
        <f>IF(Inicial!O19="SI",Inicial!G19,"N/A")</f>
        <v>N/A</v>
      </c>
      <c r="H19" s="59" t="str">
        <f>IF(Inicial!O19="SI",Inicial!H19,"N/A")</f>
        <v>N/A</v>
      </c>
      <c r="I19" s="70" t="str">
        <f>IF(Inicial!O19="SI",Inicial!I19,"N/A")</f>
        <v>N/A</v>
      </c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 ht="15">
      <c r="A20" s="58">
        <f>Inicial!A20</f>
        <v>18</v>
      </c>
      <c r="B20" s="59" t="str">
        <f>Inicial!B20</f>
        <v>Faenación</v>
      </c>
      <c r="C20" s="59" t="str">
        <f>Inicial!C20</f>
        <v>Eviscerado</v>
      </c>
      <c r="D20" s="60" t="str">
        <f>Inicial!D20</f>
        <v>Expurgo Inscision</v>
      </c>
      <c r="E20" s="58" t="str">
        <f>IF(Inicial!O20="SI",Inicial!E20,"N/A")</f>
        <v>N/A</v>
      </c>
      <c r="F20" s="59" t="str">
        <f>IF(Inicial!O20="SI",Inicial!F20,"N/A")</f>
        <v>N/A</v>
      </c>
      <c r="G20" s="59" t="str">
        <f>IF(Inicial!O20="SI",Inicial!G20,"N/A")</f>
        <v>N/A</v>
      </c>
      <c r="H20" s="59" t="str">
        <f>IF(Inicial!O20="SI",Inicial!H20,"N/A")</f>
        <v>N/A</v>
      </c>
      <c r="I20" s="70" t="str">
        <f>IF(Inicial!O20="SI",Inicial!I20,"N/A")</f>
        <v>N/A</v>
      </c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 ht="15">
      <c r="A21" s="58">
        <f>Inicial!A21</f>
        <v>19</v>
      </c>
      <c r="B21" s="59" t="str">
        <f>Inicial!B21</f>
        <v>Faenación</v>
      </c>
      <c r="C21" s="59" t="str">
        <f>Inicial!C21</f>
        <v>Eviscerado</v>
      </c>
      <c r="D21" s="60" t="str">
        <f>Inicial!D21</f>
        <v>Lavado/ Aspirado</v>
      </c>
      <c r="E21" s="58" t="str">
        <f>IF(Inicial!O21="SI",Inicial!E21,"N/A")</f>
        <v>N/A</v>
      </c>
      <c r="F21" s="59" t="str">
        <f>IF(Inicial!O21="SI",Inicial!F21,"N/A")</f>
        <v>N/A</v>
      </c>
      <c r="G21" s="59" t="str">
        <f>IF(Inicial!O21="SI",Inicial!G21,"N/A")</f>
        <v>N/A</v>
      </c>
      <c r="H21" s="59" t="str">
        <f>IF(Inicial!O21="SI",Inicial!H21,"N/A")</f>
        <v>N/A</v>
      </c>
      <c r="I21" s="70" t="str">
        <f>IF(Inicial!O21="SI",Inicial!I21,"N/A")</f>
        <v>N/A</v>
      </c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>
      <c r="A22" s="58">
        <f>Inicial!A22</f>
        <v>20</v>
      </c>
      <c r="B22" s="59" t="str">
        <f>Inicial!B22</f>
        <v>Faenación</v>
      </c>
      <c r="C22" s="59" t="str">
        <f>Inicial!C22</f>
        <v>Eviscerado</v>
      </c>
      <c r="D22" s="60" t="str">
        <f>Inicial!D22</f>
        <v>Repase de visceras</v>
      </c>
      <c r="E22" s="58" t="str">
        <f>IF(Inicial!O22="SI",Inicial!E22,"N/A")</f>
        <v>N/A</v>
      </c>
      <c r="F22" s="59" t="str">
        <f>IF(Inicial!O22="SI",Inicial!F22,"N/A")</f>
        <v>N/A</v>
      </c>
      <c r="G22" s="59" t="str">
        <f>IF(Inicial!O22="SI",Inicial!G22,"N/A")</f>
        <v>N/A</v>
      </c>
      <c r="H22" s="59" t="str">
        <f>IF(Inicial!O22="SI",Inicial!H22,"N/A")</f>
        <v>N/A</v>
      </c>
      <c r="I22" s="70" t="str">
        <f>IF(Inicial!O22="SI",Inicial!I22,"N/A")</f>
        <v>N/A</v>
      </c>
      <c r="N22" s="11"/>
      <c r="O22" s="11"/>
      <c r="P22" s="11"/>
      <c r="Q22" s="11"/>
      <c r="R22" s="11"/>
      <c r="S22" s="11"/>
      <c r="T22" s="11"/>
      <c r="U22" s="11"/>
    </row>
    <row r="23" spans="1:21">
      <c r="A23" s="58">
        <f>Inicial!A23</f>
        <v>21</v>
      </c>
      <c r="B23" s="59" t="str">
        <f>Inicial!B23</f>
        <v>Faenación</v>
      </c>
      <c r="C23" s="59" t="str">
        <f>Inicial!C23</f>
        <v>Eviscerado</v>
      </c>
      <c r="D23" s="60" t="str">
        <f>Inicial!D23</f>
        <v>Recolgado</v>
      </c>
      <c r="E23" s="58" t="str">
        <f>IF(Inicial!O23="SI",Inicial!E23,"N/A")</f>
        <v>N/A</v>
      </c>
      <c r="F23" s="59" t="str">
        <f>IF(Inicial!O23="SI",Inicial!F23,"N/A")</f>
        <v>N/A</v>
      </c>
      <c r="G23" s="59" t="str">
        <f>IF(Inicial!O23="SI",Inicial!G23,"N/A")</f>
        <v>N/A</v>
      </c>
      <c r="H23" s="59" t="str">
        <f>IF(Inicial!O23="SI",Inicial!H23,"N/A")</f>
        <v>N/A</v>
      </c>
      <c r="I23" s="70" t="str">
        <f>IF(Inicial!O23="SI",Inicial!I23,"N/A")</f>
        <v>N/A</v>
      </c>
      <c r="N23" s="11"/>
      <c r="O23" s="11"/>
      <c r="P23" s="11"/>
      <c r="Q23" s="11"/>
      <c r="R23" s="11"/>
      <c r="S23" s="11"/>
      <c r="T23" s="11"/>
      <c r="U23" s="11"/>
    </row>
    <row r="24" spans="1:21">
      <c r="A24" s="58">
        <f>Inicial!A24</f>
        <v>22</v>
      </c>
      <c r="B24" s="59" t="str">
        <f>Inicial!B24</f>
        <v>Faenación</v>
      </c>
      <c r="C24" s="59" t="str">
        <f>Inicial!C24</f>
        <v>Eviscerado</v>
      </c>
      <c r="D24" s="60" t="str">
        <f>Inicial!D24</f>
        <v>Expurgo de Ala</v>
      </c>
      <c r="E24" s="58" t="str">
        <f>IF(Inicial!O24="SI",Inicial!E24,"N/A")</f>
        <v>N/A</v>
      </c>
      <c r="F24" s="59" t="str">
        <f>IF(Inicial!O24="SI",Inicial!F24,"N/A")</f>
        <v>N/A</v>
      </c>
      <c r="G24" s="59" t="str">
        <f>IF(Inicial!O24="SI",Inicial!G24,"N/A")</f>
        <v>N/A</v>
      </c>
      <c r="H24" s="59" t="str">
        <f>IF(Inicial!O24="SI",Inicial!H24,"N/A")</f>
        <v>N/A</v>
      </c>
      <c r="I24" s="70" t="str">
        <f>IF(Inicial!O24="SI",Inicial!I24,"N/A")</f>
        <v>N/A</v>
      </c>
      <c r="N24" s="11"/>
      <c r="O24" s="11"/>
      <c r="P24" s="11"/>
      <c r="Q24" s="11"/>
      <c r="R24" s="11"/>
      <c r="S24" s="11"/>
      <c r="T24" s="11"/>
      <c r="U24" s="11"/>
    </row>
    <row r="25" spans="1:21">
      <c r="A25" s="58">
        <f>Inicial!A25</f>
        <v>23</v>
      </c>
      <c r="B25" s="59" t="str">
        <f>Inicial!B25</f>
        <v>Faenación</v>
      </c>
      <c r="C25" s="59" t="str">
        <f>Inicial!C25</f>
        <v>Eviscerado</v>
      </c>
      <c r="D25" s="60" t="str">
        <f>Inicial!D25</f>
        <v>Punto de inspeccion</v>
      </c>
      <c r="E25" s="58" t="str">
        <f>IF(Inicial!O25="SI",Inicial!E25,"N/A")</f>
        <v>N/A</v>
      </c>
      <c r="F25" s="59" t="str">
        <f>IF(Inicial!O25="SI",Inicial!F25,"N/A")</f>
        <v>N/A</v>
      </c>
      <c r="G25" s="59" t="str">
        <f>IF(Inicial!O25="SI",Inicial!G25,"N/A")</f>
        <v>N/A</v>
      </c>
      <c r="H25" s="59" t="str">
        <f>IF(Inicial!O25="SI",Inicial!H25,"N/A")</f>
        <v>N/A</v>
      </c>
      <c r="I25" s="70" t="str">
        <f>IF(Inicial!O25="SI",Inicial!I25,"N/A")</f>
        <v>N/A</v>
      </c>
      <c r="N25" s="11"/>
      <c r="O25" s="11"/>
      <c r="P25" s="11"/>
      <c r="Q25" s="11"/>
      <c r="R25" s="11"/>
      <c r="S25" s="11"/>
      <c r="T25" s="11"/>
      <c r="U25" s="11"/>
    </row>
    <row r="26" spans="1:21" ht="25.5">
      <c r="A26" s="58">
        <f>Inicial!A26</f>
        <v>24</v>
      </c>
      <c r="B26" s="59" t="str">
        <f>Inicial!B26</f>
        <v>Faenación</v>
      </c>
      <c r="C26" s="59" t="str">
        <f>Inicial!C26</f>
        <v>Eviscerado</v>
      </c>
      <c r="D26" s="60" t="str">
        <f>Inicial!D26</f>
        <v>Revision post lavadora</v>
      </c>
      <c r="E26" s="58" t="str">
        <f>IF(Inicial!O26="SI",Inicial!E26,"N/A")</f>
        <v>N/A</v>
      </c>
      <c r="F26" s="59" t="str">
        <f>IF(Inicial!O26="SI",Inicial!F26,"N/A")</f>
        <v>N/A</v>
      </c>
      <c r="G26" s="59" t="str">
        <f>IF(Inicial!O26="SI",Inicial!G26,"N/A")</f>
        <v>N/A</v>
      </c>
      <c r="H26" s="59" t="str">
        <f>IF(Inicial!O26="SI",Inicial!H26,"N/A")</f>
        <v>N/A</v>
      </c>
      <c r="I26" s="70" t="str">
        <f>IF(Inicial!O26="SI",Inicial!I26,"N/A")</f>
        <v>N/A</v>
      </c>
      <c r="N26" s="11"/>
      <c r="O26" s="11"/>
      <c r="P26" s="11"/>
      <c r="Q26" s="11"/>
      <c r="R26" s="11"/>
      <c r="S26" s="11"/>
      <c r="T26" s="11"/>
      <c r="U26" s="11"/>
    </row>
    <row r="27" spans="1:21" ht="25.5">
      <c r="A27" s="58">
        <f>Inicial!A27</f>
        <v>25</v>
      </c>
      <c r="B27" s="59" t="str">
        <f>Inicial!B27</f>
        <v>Faenación</v>
      </c>
      <c r="C27" s="59" t="str">
        <f>Inicial!C27</f>
        <v>Eviscerado</v>
      </c>
      <c r="D27" s="60" t="str">
        <f>Inicial!D27</f>
        <v>Recuperacion de peritonitis</v>
      </c>
      <c r="E27" s="58" t="str">
        <f>IF(Inicial!O27="SI",Inicial!E27,"N/A")</f>
        <v>N/A</v>
      </c>
      <c r="F27" s="59" t="str">
        <f>IF(Inicial!O27="SI",Inicial!F27,"N/A")</f>
        <v>N/A</v>
      </c>
      <c r="G27" s="59" t="str">
        <f>IF(Inicial!O27="SI",Inicial!G27,"N/A")</f>
        <v>N/A</v>
      </c>
      <c r="H27" s="59" t="str">
        <f>IF(Inicial!O27="SI",Inicial!H27,"N/A")</f>
        <v>N/A</v>
      </c>
      <c r="I27" s="70" t="str">
        <f>IF(Inicial!O27="SI",Inicial!I27,"N/A")</f>
        <v>N/A</v>
      </c>
      <c r="N27" s="11"/>
      <c r="O27" s="11"/>
      <c r="P27" s="11"/>
      <c r="Q27" s="11"/>
      <c r="R27" s="11"/>
      <c r="S27" s="11"/>
      <c r="T27" s="11"/>
      <c r="U27" s="11"/>
    </row>
    <row r="28" spans="1:21">
      <c r="A28" s="58">
        <f>Inicial!A28</f>
        <v>26</v>
      </c>
      <c r="B28" s="59" t="str">
        <f>Inicial!B28</f>
        <v>Faenación</v>
      </c>
      <c r="C28" s="59" t="str">
        <f>Inicial!C28</f>
        <v>Eviscerado</v>
      </c>
      <c r="D28" s="60" t="str">
        <f>Inicial!D28</f>
        <v>Decomiso</v>
      </c>
      <c r="E28" s="58" t="str">
        <f>IF(Inicial!O28="SI",Inicial!E28,"N/A")</f>
        <v>N/A</v>
      </c>
      <c r="F28" s="59" t="str">
        <f>IF(Inicial!O28="SI",Inicial!F28,"N/A")</f>
        <v>N/A</v>
      </c>
      <c r="G28" s="59" t="str">
        <f>IF(Inicial!O28="SI",Inicial!G28,"N/A")</f>
        <v>N/A</v>
      </c>
      <c r="H28" s="59" t="str">
        <f>IF(Inicial!O28="SI",Inicial!H28,"N/A")</f>
        <v>N/A</v>
      </c>
      <c r="I28" s="70" t="str">
        <f>IF(Inicial!O28="SI",Inicial!I28,"N/A")</f>
        <v>N/A</v>
      </c>
      <c r="N28" s="11"/>
      <c r="O28" s="11"/>
      <c r="P28" s="11"/>
      <c r="Q28" s="11"/>
      <c r="R28" s="11"/>
      <c r="S28" s="11"/>
      <c r="T28" s="11"/>
      <c r="U28" s="11"/>
    </row>
    <row r="29" spans="1:21">
      <c r="A29" s="58" t="e">
        <f>Inicial!#REF!</f>
        <v>#REF!</v>
      </c>
      <c r="B29" s="59" t="e">
        <f>Inicial!#REF!</f>
        <v>#REF!</v>
      </c>
      <c r="C29" s="59" t="e">
        <f>Inicial!#REF!</f>
        <v>#REF!</v>
      </c>
      <c r="D29" s="60" t="e">
        <f>Inicial!#REF!</f>
        <v>#REF!</v>
      </c>
      <c r="E29" s="58" t="e">
        <f>IF(Inicial!#REF!="SI",Inicial!#REF!,"N/A")</f>
        <v>#REF!</v>
      </c>
      <c r="F29" s="59" t="e">
        <f>IF(Inicial!#REF!="SI",Inicial!#REF!,"N/A")</f>
        <v>#REF!</v>
      </c>
      <c r="G29" s="59" t="e">
        <f>IF(Inicial!#REF!="SI",Inicial!#REF!,"N/A")</f>
        <v>#REF!</v>
      </c>
      <c r="H29" s="59" t="e">
        <f>IF(Inicial!#REF!="SI",Inicial!#REF!,"N/A")</f>
        <v>#REF!</v>
      </c>
      <c r="I29" s="70" t="e">
        <f>IF(Inicial!#REF!="SI",Inicial!#REF!,"N/A")</f>
        <v>#REF!</v>
      </c>
      <c r="N29" s="11"/>
      <c r="O29" s="11"/>
      <c r="P29" s="11"/>
      <c r="Q29" s="11"/>
      <c r="R29" s="11"/>
      <c r="S29" s="11"/>
      <c r="T29" s="11"/>
      <c r="U29" s="11"/>
    </row>
    <row r="30" spans="1:21">
      <c r="A30" s="58">
        <f>Inicial!A29</f>
        <v>27</v>
      </c>
      <c r="B30" s="59" t="str">
        <f>Inicial!B29</f>
        <v>Faenación</v>
      </c>
      <c r="C30" s="59" t="str">
        <f>Inicial!C29</f>
        <v>Eviscerado</v>
      </c>
      <c r="D30" s="60" t="str">
        <f>Inicial!D29</f>
        <v>Auroceculitis</v>
      </c>
      <c r="E30" s="58" t="str">
        <f>IF(Inicial!O29="SI",Inicial!E29,"N/A")</f>
        <v>N/A</v>
      </c>
      <c r="F30" s="59" t="str">
        <f>IF(Inicial!O29="SI",Inicial!F29,"N/A")</f>
        <v>N/A</v>
      </c>
      <c r="G30" s="59" t="str">
        <f>IF(Inicial!O29="SI",Inicial!G29,"N/A")</f>
        <v>N/A</v>
      </c>
      <c r="H30" s="59" t="str">
        <f>IF(Inicial!O29="SI",Inicial!H29,"N/A")</f>
        <v>N/A</v>
      </c>
      <c r="I30" s="70" t="str">
        <f>IF(Inicial!O29="SI",Inicial!I29,"N/A")</f>
        <v>N/A</v>
      </c>
      <c r="N30" s="11"/>
      <c r="O30" s="11"/>
      <c r="P30" s="11"/>
      <c r="Q30" s="11"/>
      <c r="R30" s="11"/>
      <c r="S30" s="11"/>
      <c r="T30" s="11"/>
      <c r="U30" s="11"/>
    </row>
    <row r="31" spans="1:21">
      <c r="A31" s="58">
        <f>Inicial!A30</f>
        <v>28</v>
      </c>
      <c r="B31" s="59" t="str">
        <f>Inicial!B30</f>
        <v>Faenación</v>
      </c>
      <c r="C31" s="59" t="str">
        <f>Inicial!C30</f>
        <v>Eviscerado</v>
      </c>
      <c r="D31" s="60" t="str">
        <f>Inicial!D30</f>
        <v xml:space="preserve">Jefe de línea </v>
      </c>
      <c r="E31" s="58" t="str">
        <f>IF(Inicial!O30="SI",Inicial!E30,"N/A")</f>
        <v>N/A</v>
      </c>
      <c r="F31" s="59" t="str">
        <f>IF(Inicial!O30="SI",Inicial!F30,"N/A")</f>
        <v>N/A</v>
      </c>
      <c r="G31" s="59" t="str">
        <f>IF(Inicial!O30="SI",Inicial!G30,"N/A")</f>
        <v>N/A</v>
      </c>
      <c r="H31" s="59" t="str">
        <f>IF(Inicial!O30="SI",Inicial!H30,"N/A")</f>
        <v>N/A</v>
      </c>
      <c r="I31" s="70" t="str">
        <f>IF(Inicial!O30="SI",Inicial!I30,"N/A")</f>
        <v>N/A</v>
      </c>
      <c r="N31" s="11"/>
      <c r="O31" s="11"/>
      <c r="P31" s="11"/>
      <c r="Q31" s="11"/>
      <c r="R31" s="11"/>
      <c r="S31" s="11"/>
      <c r="T31" s="11"/>
      <c r="U31" s="11"/>
    </row>
    <row r="32" spans="1:21">
      <c r="A32" s="58">
        <f>Inicial!A31</f>
        <v>29</v>
      </c>
      <c r="B32" s="59" t="str">
        <f>Inicial!B31</f>
        <v>Faenación</v>
      </c>
      <c r="C32" s="59" t="str">
        <f>Inicial!C31</f>
        <v>Eviscerado</v>
      </c>
      <c r="D32" s="60" t="str">
        <f>Inicial!D31</f>
        <v>Supervisor</v>
      </c>
      <c r="E32" s="58" t="str">
        <f>IF(Inicial!O31="SI",Inicial!E31,"N/A")</f>
        <v>N/A</v>
      </c>
      <c r="F32" s="59" t="str">
        <f>IF(Inicial!O31="SI",Inicial!F31,"N/A")</f>
        <v>N/A</v>
      </c>
      <c r="G32" s="59" t="str">
        <f>IF(Inicial!O31="SI",Inicial!G31,"N/A")</f>
        <v>N/A</v>
      </c>
      <c r="H32" s="59" t="str">
        <f>IF(Inicial!O31="SI",Inicial!H31,"N/A")</f>
        <v>N/A</v>
      </c>
      <c r="I32" s="70" t="str">
        <f>IF(Inicial!O31="SI",Inicial!I31,"N/A")</f>
        <v>N/A</v>
      </c>
      <c r="N32" s="11"/>
      <c r="O32" s="11"/>
      <c r="P32" s="11"/>
      <c r="Q32" s="11"/>
      <c r="R32" s="11"/>
      <c r="S32" s="11"/>
      <c r="T32" s="11"/>
      <c r="U32" s="11"/>
    </row>
    <row r="33" spans="1:21">
      <c r="A33" s="58">
        <f>Inicial!A32</f>
        <v>30</v>
      </c>
      <c r="B33" s="59" t="str">
        <f>Inicial!B32</f>
        <v>Faenación</v>
      </c>
      <c r="C33" s="59" t="str">
        <f>Inicial!C32</f>
        <v>Garras</v>
      </c>
      <c r="D33" s="60" t="str">
        <f>Inicial!D32</f>
        <v>Cinta Decomiso</v>
      </c>
      <c r="E33" s="58" t="str">
        <f>IF(Inicial!O32="SI",Inicial!E32,"N/A")</f>
        <v>N/A</v>
      </c>
      <c r="F33" s="59" t="str">
        <f>IF(Inicial!O32="SI",Inicial!F32,"N/A")</f>
        <v>N/A</v>
      </c>
      <c r="G33" s="59" t="str">
        <f>IF(Inicial!O32="SI",Inicial!G32,"N/A")</f>
        <v>N/A</v>
      </c>
      <c r="H33" s="59" t="str">
        <f>IF(Inicial!O32="SI",Inicial!H32,"N/A")</f>
        <v>N/A</v>
      </c>
      <c r="I33" s="70" t="str">
        <f>IF(Inicial!O32="SI",Inicial!I32,"N/A")</f>
        <v>N/A</v>
      </c>
      <c r="N33" s="11"/>
      <c r="O33" s="11"/>
      <c r="P33" s="11"/>
      <c r="Q33" s="11"/>
      <c r="R33" s="11"/>
      <c r="S33" s="11"/>
      <c r="T33" s="11"/>
      <c r="U33" s="11"/>
    </row>
    <row r="34" spans="1:21" ht="38.25">
      <c r="A34" s="58">
        <f>Inicial!A33</f>
        <v>31</v>
      </c>
      <c r="B34" s="59" t="str">
        <f>Inicial!B33</f>
        <v>Faenación</v>
      </c>
      <c r="C34" s="59" t="str">
        <f>Inicial!C33</f>
        <v>Garras</v>
      </c>
      <c r="D34" s="60" t="str">
        <f>Inicial!D33</f>
        <v>Embolsado Tolva/Seleccionador de Garras en Tolva</v>
      </c>
      <c r="E34" s="58" t="str">
        <f>IF(Inicial!O33="SI",Inicial!E33,"N/A")</f>
        <v>N/A</v>
      </c>
      <c r="F34" s="59" t="str">
        <f>IF(Inicial!O33="SI",Inicial!F33,"N/A")</f>
        <v>N/A</v>
      </c>
      <c r="G34" s="59" t="str">
        <f>IF(Inicial!O33="SI",Inicial!G33,"N/A")</f>
        <v>N/A</v>
      </c>
      <c r="H34" s="59" t="str">
        <f>IF(Inicial!O33="SI",Inicial!H33,"N/A")</f>
        <v>N/A</v>
      </c>
      <c r="I34" s="70" t="str">
        <f>IF(Inicial!O33="SI",Inicial!I33,"N/A")</f>
        <v>N/A</v>
      </c>
      <c r="N34" s="11"/>
      <c r="O34" s="11"/>
      <c r="P34" s="11"/>
      <c r="Q34" s="11"/>
      <c r="R34" s="11"/>
      <c r="S34" s="11"/>
      <c r="T34" s="11"/>
      <c r="U34" s="11"/>
    </row>
    <row r="35" spans="1:21">
      <c r="A35" s="58">
        <f>Inicial!A34</f>
        <v>32</v>
      </c>
      <c r="B35" s="59" t="str">
        <f>Inicial!B34</f>
        <v>Faenación</v>
      </c>
      <c r="C35" s="59" t="str">
        <f>Inicial!C34</f>
        <v>Garras</v>
      </c>
      <c r="D35" s="60" t="str">
        <f>Inicial!D34</f>
        <v>Pesador de garras</v>
      </c>
      <c r="E35" s="58" t="str">
        <f>IF(Inicial!O34="SI",Inicial!E34,"N/A")</f>
        <v>N/A</v>
      </c>
      <c r="F35" s="59" t="str">
        <f>IF(Inicial!O34="SI",Inicial!F34,"N/A")</f>
        <v>N/A</v>
      </c>
      <c r="G35" s="59" t="str">
        <f>IF(Inicial!O34="SI",Inicial!G34,"N/A")</f>
        <v>N/A</v>
      </c>
      <c r="H35" s="59" t="str">
        <f>IF(Inicial!O34="SI",Inicial!H34,"N/A")</f>
        <v>N/A</v>
      </c>
      <c r="I35" s="70" t="str">
        <f>IF(Inicial!O34="SI",Inicial!I34,"N/A")</f>
        <v>N/A</v>
      </c>
      <c r="N35" s="11"/>
      <c r="O35" s="11"/>
      <c r="P35" s="11"/>
      <c r="Q35" s="11"/>
      <c r="R35" s="11"/>
      <c r="S35" s="11"/>
      <c r="T35" s="11"/>
      <c r="U35" s="11"/>
    </row>
    <row r="36" spans="1:21">
      <c r="A36" s="58">
        <f>Inicial!A35</f>
        <v>33</v>
      </c>
      <c r="B36" s="59" t="str">
        <f>Inicial!B35</f>
        <v>Faenación</v>
      </c>
      <c r="C36" s="59" t="str">
        <f>Inicial!C35</f>
        <v>Garras</v>
      </c>
      <c r="D36" s="60" t="str">
        <f>Inicial!D35</f>
        <v>Repaso de callos</v>
      </c>
      <c r="E36" s="58" t="str">
        <f>IF(Inicial!O35="SI",Inicial!E35,"N/A")</f>
        <v>N/A</v>
      </c>
      <c r="F36" s="59" t="str">
        <f>IF(Inicial!O35="SI",Inicial!F35,"N/A")</f>
        <v>N/A</v>
      </c>
      <c r="G36" s="59" t="str">
        <f>IF(Inicial!O35="SI",Inicial!G35,"N/A")</f>
        <v>N/A</v>
      </c>
      <c r="H36" s="59" t="str">
        <f>IF(Inicial!O35="SI",Inicial!H35,"N/A")</f>
        <v>N/A</v>
      </c>
      <c r="I36" s="70" t="str">
        <f>IF(Inicial!O35="SI",Inicial!I35,"N/A")</f>
        <v>N/A</v>
      </c>
      <c r="N36" s="11"/>
      <c r="O36" s="11"/>
      <c r="P36" s="11"/>
      <c r="Q36" s="11"/>
      <c r="R36" s="11"/>
      <c r="S36" s="11"/>
      <c r="T36" s="11"/>
      <c r="U36" s="11"/>
    </row>
    <row r="37" spans="1:21" ht="25.5">
      <c r="A37" s="58">
        <f>Inicial!A36</f>
        <v>34</v>
      </c>
      <c r="B37" s="59" t="str">
        <f>Inicial!B36</f>
        <v>Faenación</v>
      </c>
      <c r="C37" s="59" t="str">
        <f>Inicial!C36</f>
        <v>Garras</v>
      </c>
      <c r="D37" s="60" t="str">
        <f>Inicial!D36</f>
        <v>Traslado de Garra Larga</v>
      </c>
      <c r="E37" s="58" t="str">
        <f>IF(Inicial!O36="SI",Inicial!E36,"N/A")</f>
        <v>N/A</v>
      </c>
      <c r="F37" s="59" t="str">
        <f>IF(Inicial!O36="SI",Inicial!F36,"N/A")</f>
        <v>N/A</v>
      </c>
      <c r="G37" s="59" t="str">
        <f>IF(Inicial!O36="SI",Inicial!G36,"N/A")</f>
        <v>N/A</v>
      </c>
      <c r="H37" s="59" t="str">
        <f>IF(Inicial!O36="SI",Inicial!H36,"N/A")</f>
        <v>N/A</v>
      </c>
      <c r="I37" s="70" t="str">
        <f>IF(Inicial!O36="SI",Inicial!I36,"N/A")</f>
        <v>N/A</v>
      </c>
      <c r="N37" s="11"/>
      <c r="O37" s="11"/>
      <c r="P37" s="11"/>
      <c r="Q37" s="11"/>
      <c r="R37" s="11"/>
      <c r="S37" s="11"/>
      <c r="T37" s="11"/>
      <c r="U37" s="11"/>
    </row>
    <row r="38" spans="1:21" ht="25.5">
      <c r="A38" s="58">
        <f>Inicial!A37</f>
        <v>35</v>
      </c>
      <c r="B38" s="59" t="str">
        <f>Inicial!B37</f>
        <v>Faenación</v>
      </c>
      <c r="C38" s="59" t="str">
        <f>Inicial!C37</f>
        <v>Garras</v>
      </c>
      <c r="D38" s="60" t="str">
        <f>Inicial!D37</f>
        <v>Seleccionador de garra</v>
      </c>
      <c r="E38" s="58" t="str">
        <f>IF(Inicial!O37="SI",Inicial!E37,"N/A")</f>
        <v>N/A</v>
      </c>
      <c r="F38" s="59" t="str">
        <f>IF(Inicial!O37="SI",Inicial!F37,"N/A")</f>
        <v>N/A</v>
      </c>
      <c r="G38" s="59" t="str">
        <f>IF(Inicial!O37="SI",Inicial!G37,"N/A")</f>
        <v>N/A</v>
      </c>
      <c r="H38" s="59" t="str">
        <f>IF(Inicial!O37="SI",Inicial!H37,"N/A")</f>
        <v>N/A</v>
      </c>
      <c r="I38" s="70" t="str">
        <f>IF(Inicial!O37="SI",Inicial!I37,"N/A")</f>
        <v>N/A</v>
      </c>
      <c r="N38" s="11"/>
      <c r="O38" s="11"/>
      <c r="P38" s="11"/>
      <c r="Q38" s="11"/>
      <c r="R38" s="11"/>
      <c r="S38" s="11"/>
      <c r="T38" s="11"/>
      <c r="U38" s="11"/>
    </row>
    <row r="39" spans="1:21">
      <c r="A39" s="58">
        <f>Inicial!A38</f>
        <v>36</v>
      </c>
      <c r="B39" s="59" t="str">
        <f>Inicial!B38</f>
        <v>Faenación</v>
      </c>
      <c r="C39" s="59" t="str">
        <f>Inicial!C38</f>
        <v>Garras</v>
      </c>
      <c r="D39" s="60" t="str">
        <f>Inicial!D38</f>
        <v>Embalando garras</v>
      </c>
      <c r="E39" s="58" t="str">
        <f>IF(Inicial!O38="SI",Inicial!E38,"N/A")</f>
        <v>N/A</v>
      </c>
      <c r="F39" s="59" t="str">
        <f>IF(Inicial!O38="SI",Inicial!F38,"N/A")</f>
        <v>N/A</v>
      </c>
      <c r="G39" s="59" t="str">
        <f>IF(Inicial!O38="SI",Inicial!G38,"N/A")</f>
        <v>N/A</v>
      </c>
      <c r="H39" s="59" t="str">
        <f>IF(Inicial!O38="SI",Inicial!H38,"N/A")</f>
        <v>N/A</v>
      </c>
      <c r="I39" s="70" t="str">
        <f>IF(Inicial!O38="SI",Inicial!I38,"N/A")</f>
        <v>N/A</v>
      </c>
      <c r="N39" s="11"/>
      <c r="O39" s="11"/>
      <c r="P39" s="11"/>
      <c r="Q39" s="11"/>
      <c r="R39" s="11"/>
      <c r="S39" s="11"/>
      <c r="T39" s="11"/>
      <c r="U39" s="11"/>
    </row>
    <row r="40" spans="1:21" ht="25.5">
      <c r="A40" s="58">
        <f>Inicial!A39</f>
        <v>37</v>
      </c>
      <c r="B40" s="59" t="str">
        <f>Inicial!B39</f>
        <v>Faenación</v>
      </c>
      <c r="C40" s="59" t="str">
        <f>Inicial!C39</f>
        <v>Garras</v>
      </c>
      <c r="D40" s="60" t="str">
        <f>Inicial!D39</f>
        <v>Cortadora de garra larga</v>
      </c>
      <c r="E40" s="58" t="str">
        <f>IF(Inicial!O39="SI",Inicial!E39,"N/A")</f>
        <v>N/A</v>
      </c>
      <c r="F40" s="59" t="str">
        <f>IF(Inicial!O39="SI",Inicial!F39,"N/A")</f>
        <v>N/A</v>
      </c>
      <c r="G40" s="59" t="str">
        <f>IF(Inicial!O39="SI",Inicial!G39,"N/A")</f>
        <v>N/A</v>
      </c>
      <c r="H40" s="59" t="str">
        <f>IF(Inicial!O39="SI",Inicial!H39,"N/A")</f>
        <v>N/A</v>
      </c>
      <c r="I40" s="70" t="str">
        <f>IF(Inicial!O39="SI",Inicial!I39,"N/A")</f>
        <v>N/A</v>
      </c>
      <c r="N40" s="11"/>
      <c r="O40" s="11"/>
      <c r="P40" s="11"/>
      <c r="Q40" s="11"/>
      <c r="R40" s="11"/>
      <c r="S40" s="11"/>
      <c r="T40" s="11"/>
      <c r="U40" s="11"/>
    </row>
    <row r="41" spans="1:21" ht="25.5">
      <c r="A41" s="58">
        <f>Inicial!A40</f>
        <v>38</v>
      </c>
      <c r="B41" s="59" t="str">
        <f>Inicial!B40</f>
        <v>Faenación</v>
      </c>
      <c r="C41" s="59" t="str">
        <f>Inicial!C40</f>
        <v>Garras</v>
      </c>
      <c r="D41" s="60" t="str">
        <f>Inicial!D40</f>
        <v>Etiquetado en mesa de embalaje</v>
      </c>
      <c r="E41" s="58" t="str">
        <f>IF(Inicial!O40="SI",Inicial!E40,"N/A")</f>
        <v>N/A</v>
      </c>
      <c r="F41" s="59" t="str">
        <f>IF(Inicial!O40="SI",Inicial!F40,"N/A")</f>
        <v>N/A</v>
      </c>
      <c r="G41" s="59" t="str">
        <f>IF(Inicial!O40="SI",Inicial!G40,"N/A")</f>
        <v>N/A</v>
      </c>
      <c r="H41" s="59" t="str">
        <f>IF(Inicial!O40="SI",Inicial!H40,"N/A")</f>
        <v>N/A</v>
      </c>
      <c r="I41" s="70" t="str">
        <f>IF(Inicial!O40="SI",Inicial!I40,"N/A")</f>
        <v>N/A</v>
      </c>
      <c r="N41" s="11"/>
      <c r="O41" s="11"/>
      <c r="P41" s="11"/>
      <c r="Q41" s="11"/>
      <c r="R41" s="11"/>
      <c r="S41" s="11"/>
      <c r="T41" s="11"/>
      <c r="U41" s="11"/>
    </row>
    <row r="42" spans="1:21">
      <c r="A42" s="58">
        <f>Inicial!A41</f>
        <v>39</v>
      </c>
      <c r="B42" s="59" t="str">
        <f>Inicial!B41</f>
        <v>Faenación</v>
      </c>
      <c r="C42" s="59" t="str">
        <f>Inicial!C41</f>
        <v>Garras</v>
      </c>
      <c r="D42" s="60" t="str">
        <f>Inicial!D41</f>
        <v>Nudillos</v>
      </c>
      <c r="E42" s="58" t="str">
        <f>IF(Inicial!O41="SI",Inicial!E41,"N/A")</f>
        <v>N/A</v>
      </c>
      <c r="F42" s="59" t="str">
        <f>IF(Inicial!O41="SI",Inicial!F41,"N/A")</f>
        <v>N/A</v>
      </c>
      <c r="G42" s="59" t="str">
        <f>IF(Inicial!O41="SI",Inicial!G41,"N/A")</f>
        <v>N/A</v>
      </c>
      <c r="H42" s="59" t="str">
        <f>IF(Inicial!O41="SI",Inicial!H41,"N/A")</f>
        <v>N/A</v>
      </c>
      <c r="I42" s="70" t="str">
        <f>IF(Inicial!O41="SI",Inicial!I41,"N/A")</f>
        <v>N/A</v>
      </c>
      <c r="S42" s="1"/>
      <c r="T42" s="1"/>
    </row>
    <row r="43" spans="1:21">
      <c r="A43" s="58">
        <f>Inicial!A42</f>
        <v>40</v>
      </c>
      <c r="B43" s="59" t="str">
        <f>Inicial!B42</f>
        <v>Faenación</v>
      </c>
      <c r="C43" s="59" t="str">
        <f>Inicial!C42</f>
        <v>Garras</v>
      </c>
      <c r="D43" s="60" t="str">
        <f>Inicial!D42</f>
        <v>Pesador de nudillos</v>
      </c>
      <c r="E43" s="58" t="str">
        <f>IF(Inicial!O42="SI",Inicial!E42,"N/A")</f>
        <v>N/A</v>
      </c>
      <c r="F43" s="59" t="str">
        <f>IF(Inicial!O42="SI",Inicial!F42,"N/A")</f>
        <v>N/A</v>
      </c>
      <c r="G43" s="59" t="str">
        <f>IF(Inicial!O42="SI",Inicial!G42,"N/A")</f>
        <v>N/A</v>
      </c>
      <c r="H43" s="59" t="str">
        <f>IF(Inicial!O42="SI",Inicial!H42,"N/A")</f>
        <v>N/A</v>
      </c>
      <c r="I43" s="70" t="str">
        <f>IF(Inicial!O42="SI",Inicial!I42,"N/A")</f>
        <v>N/A</v>
      </c>
      <c r="S43" s="1"/>
      <c r="T43" s="1"/>
    </row>
    <row r="44" spans="1:21">
      <c r="A44" s="58">
        <f>Inicial!A43</f>
        <v>41</v>
      </c>
      <c r="B44" s="59" t="str">
        <f>Inicial!B43</f>
        <v>Faenación</v>
      </c>
      <c r="C44" s="59" t="str">
        <f>Inicial!C43</f>
        <v>Garras</v>
      </c>
      <c r="D44" s="60" t="str">
        <f>Inicial!D43</f>
        <v>Maquinista Garras</v>
      </c>
      <c r="E44" s="58" t="str">
        <f>IF(Inicial!O43="SI",Inicial!E43,"N/A")</f>
        <v>N/A</v>
      </c>
      <c r="F44" s="59" t="str">
        <f>IF(Inicial!O43="SI",Inicial!F43,"N/A")</f>
        <v>N/A</v>
      </c>
      <c r="G44" s="59" t="str">
        <f>IF(Inicial!O43="SI",Inicial!G43,"N/A")</f>
        <v>N/A</v>
      </c>
      <c r="H44" s="59" t="str">
        <f>IF(Inicial!O43="SI",Inicial!H43,"N/A")</f>
        <v>N/A</v>
      </c>
      <c r="I44" s="70" t="str">
        <f>IF(Inicial!O43="SI",Inicial!I43,"N/A")</f>
        <v>N/A</v>
      </c>
      <c r="S44" s="1"/>
      <c r="T44" s="1"/>
    </row>
    <row r="45" spans="1:21">
      <c r="A45" s="58">
        <f>Inicial!A44</f>
        <v>42</v>
      </c>
      <c r="B45" s="59" t="str">
        <f>Inicial!B44</f>
        <v>Faenación</v>
      </c>
      <c r="C45" s="59" t="str">
        <f>Inicial!C44</f>
        <v>Garras</v>
      </c>
      <c r="D45" s="60" t="str">
        <f>Inicial!D44</f>
        <v xml:space="preserve">Jefe de Línea </v>
      </c>
      <c r="E45" s="58" t="str">
        <f>IF(Inicial!O44="SI",Inicial!E44,"N/A")</f>
        <v>N/A</v>
      </c>
      <c r="F45" s="59" t="str">
        <f>IF(Inicial!O44="SI",Inicial!F44,"N/A")</f>
        <v>N/A</v>
      </c>
      <c r="G45" s="59" t="str">
        <f>IF(Inicial!O44="SI",Inicial!G44,"N/A")</f>
        <v>N/A</v>
      </c>
      <c r="H45" s="59" t="str">
        <f>IF(Inicial!O44="SI",Inicial!H44,"N/A")</f>
        <v>N/A</v>
      </c>
      <c r="I45" s="70" t="str">
        <f>IF(Inicial!O44="SI",Inicial!I44,"N/A")</f>
        <v>N/A</v>
      </c>
      <c r="S45" s="1"/>
      <c r="T45" s="1"/>
    </row>
    <row r="46" spans="1:21" ht="25.5">
      <c r="A46" s="58">
        <f>Inicial!A45</f>
        <v>43</v>
      </c>
      <c r="B46" s="59" t="str">
        <f>Inicial!B45</f>
        <v>Faenación</v>
      </c>
      <c r="C46" s="59" t="str">
        <f>Inicial!C45</f>
        <v>Empaque - Chiller</v>
      </c>
      <c r="D46" s="60" t="str">
        <f>Inicial!D45</f>
        <v>Colgador aves frias</v>
      </c>
      <c r="E46" s="58" t="str">
        <f>IF(Inicial!O45="SI",Inicial!E45,"N/A")</f>
        <v>N/A</v>
      </c>
      <c r="F46" s="59" t="str">
        <f>IF(Inicial!O45="SI",Inicial!F45,"N/A")</f>
        <v>N/A</v>
      </c>
      <c r="G46" s="59" t="str">
        <f>IF(Inicial!O45="SI",Inicial!G45,"N/A")</f>
        <v>N/A</v>
      </c>
      <c r="H46" s="59" t="str">
        <f>IF(Inicial!O45="SI",Inicial!H45,"N/A")</f>
        <v>N/A</v>
      </c>
      <c r="I46" s="70" t="str">
        <f>IF(Inicial!O45="SI",Inicial!I45,"N/A")</f>
        <v>N/A</v>
      </c>
      <c r="S46" s="1"/>
      <c r="T46" s="1"/>
    </row>
    <row r="47" spans="1:21" ht="25.5">
      <c r="A47" s="58">
        <f>Inicial!A46</f>
        <v>44</v>
      </c>
      <c r="B47" s="59" t="str">
        <f>Inicial!B46</f>
        <v>Faenación</v>
      </c>
      <c r="C47" s="59" t="str">
        <f>Inicial!C46</f>
        <v>Empaque - Chiller</v>
      </c>
      <c r="D47" s="60" t="str">
        <f>Inicial!D46</f>
        <v>Embolsador de pana</v>
      </c>
      <c r="E47" s="58" t="str">
        <f>IF(Inicial!O46="SI",Inicial!E46,"N/A")</f>
        <v>N/A</v>
      </c>
      <c r="F47" s="59" t="str">
        <f>IF(Inicial!O46="SI",Inicial!F46,"N/A")</f>
        <v>N/A</v>
      </c>
      <c r="G47" s="59" t="str">
        <f>IF(Inicial!O46="SI",Inicial!G46,"N/A")</f>
        <v>N/A</v>
      </c>
      <c r="H47" s="59" t="str">
        <f>IF(Inicial!O46="SI",Inicial!H46,"N/A")</f>
        <v>N/A</v>
      </c>
      <c r="I47" s="70" t="str">
        <f>IF(Inicial!O46="SI",Inicial!I46,"N/A")</f>
        <v>N/A</v>
      </c>
      <c r="S47" s="1"/>
      <c r="T47" s="1"/>
    </row>
    <row r="48" spans="1:21" ht="25.5">
      <c r="A48" s="58">
        <f>Inicial!A47</f>
        <v>45</v>
      </c>
      <c r="B48" s="59" t="str">
        <f>Inicial!B47</f>
        <v>Faenación</v>
      </c>
      <c r="C48" s="59" t="str">
        <f>Inicial!C47</f>
        <v>Empaque - Chiller</v>
      </c>
      <c r="D48" s="60" t="str">
        <f>Inicial!D47</f>
        <v>Embalador de producto</v>
      </c>
      <c r="E48" s="58" t="str">
        <f>IF(Inicial!O47="SI",Inicial!E47,"N/A")</f>
        <v>N/A</v>
      </c>
      <c r="F48" s="59" t="str">
        <f>IF(Inicial!O47="SI",Inicial!F47,"N/A")</f>
        <v>N/A</v>
      </c>
      <c r="G48" s="59" t="str">
        <f>IF(Inicial!O47="SI",Inicial!G47,"N/A")</f>
        <v>N/A</v>
      </c>
      <c r="H48" s="59" t="str">
        <f>IF(Inicial!O47="SI",Inicial!H47,"N/A")</f>
        <v>N/A</v>
      </c>
      <c r="I48" s="70" t="str">
        <f>IF(Inicial!O47="SI",Inicial!I47,"N/A")</f>
        <v>N/A</v>
      </c>
      <c r="S48" s="1"/>
      <c r="T48" s="1"/>
    </row>
    <row r="49" spans="1:20" ht="25.5">
      <c r="A49" s="58">
        <f>Inicial!A48</f>
        <v>46</v>
      </c>
      <c r="B49" s="59" t="str">
        <f>Inicial!B48</f>
        <v>Faenación</v>
      </c>
      <c r="C49" s="59" t="str">
        <f>Inicial!C48</f>
        <v>Empaque - Chiller</v>
      </c>
      <c r="D49" s="60" t="str">
        <f>Inicial!D48</f>
        <v>Embolsado de corazon</v>
      </c>
      <c r="E49" s="58" t="str">
        <f>IF(Inicial!O48="SI",Inicial!E48,"N/A")</f>
        <v>N/A</v>
      </c>
      <c r="F49" s="59" t="str">
        <f>IF(Inicial!O48="SI",Inicial!F48,"N/A")</f>
        <v>N/A</v>
      </c>
      <c r="G49" s="59" t="str">
        <f>IF(Inicial!O48="SI",Inicial!G48,"N/A")</f>
        <v>N/A</v>
      </c>
      <c r="H49" s="59" t="str">
        <f>IF(Inicial!O48="SI",Inicial!H48,"N/A")</f>
        <v>N/A</v>
      </c>
      <c r="I49" s="70" t="str">
        <f>IF(Inicial!O48="SI",Inicial!I48,"N/A")</f>
        <v>N/A</v>
      </c>
      <c r="S49" s="1"/>
      <c r="T49" s="1"/>
    </row>
    <row r="50" spans="1:20" ht="25.5">
      <c r="A50" s="58">
        <f>Inicial!A49</f>
        <v>47</v>
      </c>
      <c r="B50" s="59" t="str">
        <f>Inicial!B49</f>
        <v>Faenación</v>
      </c>
      <c r="C50" s="59" t="str">
        <f>Inicial!C49</f>
        <v>Empaque - Chiller</v>
      </c>
      <c r="D50" s="60" t="str">
        <f>Inicial!D49</f>
        <v>Pesador de corazon</v>
      </c>
      <c r="E50" s="58" t="str">
        <f>IF(Inicial!O49="SI",Inicial!E49,"N/A")</f>
        <v>N/A</v>
      </c>
      <c r="F50" s="59" t="str">
        <f>IF(Inicial!O49="SI",Inicial!F49,"N/A")</f>
        <v>N/A</v>
      </c>
      <c r="G50" s="59" t="str">
        <f>IF(Inicial!O49="SI",Inicial!G49,"N/A")</f>
        <v>N/A</v>
      </c>
      <c r="H50" s="59" t="str">
        <f>IF(Inicial!O49="SI",Inicial!H49,"N/A")</f>
        <v>N/A</v>
      </c>
      <c r="I50" s="70" t="str">
        <f>IF(Inicial!O49="SI",Inicial!I49,"N/A")</f>
        <v>N/A</v>
      </c>
      <c r="S50" s="1"/>
      <c r="T50" s="1"/>
    </row>
    <row r="51" spans="1:20" ht="25.5">
      <c r="A51" s="58">
        <f>Inicial!A50</f>
        <v>48</v>
      </c>
      <c r="B51" s="59" t="str">
        <f>Inicial!B50</f>
        <v>Faenación</v>
      </c>
      <c r="C51" s="59" t="str">
        <f>Inicial!C50</f>
        <v>Empaque - Chiller</v>
      </c>
      <c r="D51" s="60" t="str">
        <f>Inicial!D50</f>
        <v>Selección de corazon</v>
      </c>
      <c r="E51" s="58" t="str">
        <f>IF(Inicial!O50="SI",Inicial!E50,"N/A")</f>
        <v>N/A</v>
      </c>
      <c r="F51" s="59" t="str">
        <f>IF(Inicial!O50="SI",Inicial!F50,"N/A")</f>
        <v>N/A</v>
      </c>
      <c r="G51" s="59" t="str">
        <f>IF(Inicial!O50="SI",Inicial!G50,"N/A")</f>
        <v>N/A</v>
      </c>
      <c r="H51" s="59" t="str">
        <f>IF(Inicial!O50="SI",Inicial!H50,"N/A")</f>
        <v>N/A</v>
      </c>
      <c r="I51" s="70" t="str">
        <f>IF(Inicial!O50="SI",Inicial!I50,"N/A")</f>
        <v>N/A</v>
      </c>
      <c r="S51" s="1"/>
      <c r="T51" s="1"/>
    </row>
    <row r="52" spans="1:20" ht="25.5">
      <c r="A52" s="58">
        <f>Inicial!A51</f>
        <v>49</v>
      </c>
      <c r="B52" s="59" t="str">
        <f>Inicial!B51</f>
        <v>Faenación</v>
      </c>
      <c r="C52" s="59" t="str">
        <f>Inicial!C51</f>
        <v>Empaque - Chiller</v>
      </c>
      <c r="D52" s="60" t="str">
        <f>Inicial!D51</f>
        <v>Embalador de contre</v>
      </c>
      <c r="E52" s="58" t="str">
        <f>IF(Inicial!O51="SI",Inicial!E51,"N/A")</f>
        <v>N/A</v>
      </c>
      <c r="F52" s="59" t="str">
        <f>IF(Inicial!O51="SI",Inicial!F51,"N/A")</f>
        <v>N/A</v>
      </c>
      <c r="G52" s="59" t="str">
        <f>IF(Inicial!O51="SI",Inicial!G51,"N/A")</f>
        <v>N/A</v>
      </c>
      <c r="H52" s="59" t="str">
        <f>IF(Inicial!O51="SI",Inicial!H51,"N/A")</f>
        <v>N/A</v>
      </c>
      <c r="I52" s="70" t="str">
        <f>IF(Inicial!O51="SI",Inicial!I51,"N/A")</f>
        <v>N/A</v>
      </c>
      <c r="S52" s="1"/>
      <c r="T52" s="1"/>
    </row>
    <row r="53" spans="1:20" ht="25.5">
      <c r="A53" s="58">
        <f>Inicial!A52</f>
        <v>50</v>
      </c>
      <c r="B53" s="59" t="str">
        <f>Inicial!B52</f>
        <v>Faenación</v>
      </c>
      <c r="C53" s="59" t="str">
        <f>Inicial!C52</f>
        <v>Empaque - Chiller</v>
      </c>
      <c r="D53" s="60" t="str">
        <f>Inicial!D52</f>
        <v>Limpiador de pana</v>
      </c>
      <c r="E53" s="58" t="str">
        <f>IF(Inicial!O52="SI",Inicial!E52,"N/A")</f>
        <v>N/A</v>
      </c>
      <c r="F53" s="59" t="str">
        <f>IF(Inicial!O52="SI",Inicial!F52,"N/A")</f>
        <v>N/A</v>
      </c>
      <c r="G53" s="59" t="str">
        <f>IF(Inicial!O52="SI",Inicial!G52,"N/A")</f>
        <v>N/A</v>
      </c>
      <c r="H53" s="59" t="str">
        <f>IF(Inicial!O52="SI",Inicial!H52,"N/A")</f>
        <v>N/A</v>
      </c>
      <c r="I53" s="70" t="str">
        <f>IF(Inicial!O52="SI",Inicial!I52,"N/A")</f>
        <v>N/A</v>
      </c>
      <c r="S53" s="1"/>
      <c r="T53" s="1"/>
    </row>
    <row r="54" spans="1:20" ht="25.5">
      <c r="A54" s="58">
        <f>Inicial!A53</f>
        <v>51</v>
      </c>
      <c r="B54" s="59" t="str">
        <f>Inicial!B53</f>
        <v>Faenación</v>
      </c>
      <c r="C54" s="59" t="str">
        <f>Inicial!C53</f>
        <v>Empaque - Chiller</v>
      </c>
      <c r="D54" s="60" t="str">
        <f>Inicial!D53</f>
        <v>Embolsador de contre</v>
      </c>
      <c r="E54" s="58" t="str">
        <f>IF(Inicial!O53="SI",Inicial!E53,"N/A")</f>
        <v>N/A</v>
      </c>
      <c r="F54" s="59" t="str">
        <f>IF(Inicial!O53="SI",Inicial!F53,"N/A")</f>
        <v>N/A</v>
      </c>
      <c r="G54" s="59" t="str">
        <f>IF(Inicial!O53="SI",Inicial!G53,"N/A")</f>
        <v>N/A</v>
      </c>
      <c r="H54" s="59" t="str">
        <f>IF(Inicial!O53="SI",Inicial!H53,"N/A")</f>
        <v>N/A</v>
      </c>
      <c r="I54" s="70" t="str">
        <f>IF(Inicial!O53="SI",Inicial!I53,"N/A")</f>
        <v>N/A</v>
      </c>
      <c r="S54" s="1"/>
      <c r="T54" s="1"/>
    </row>
    <row r="55" spans="1:20" ht="25.5">
      <c r="A55" s="58">
        <f>Inicial!A54</f>
        <v>52</v>
      </c>
      <c r="B55" s="59" t="str">
        <f>Inicial!B54</f>
        <v>Faenación</v>
      </c>
      <c r="C55" s="59" t="str">
        <f>Inicial!C54</f>
        <v>Empaque - Chiller</v>
      </c>
      <c r="D55" s="60" t="str">
        <f>Inicial!D54</f>
        <v>Embalador de Pana</v>
      </c>
      <c r="E55" s="58" t="str">
        <f>IF(Inicial!O54="SI",Inicial!E54,"N/A")</f>
        <v>N/A</v>
      </c>
      <c r="F55" s="59" t="str">
        <f>IF(Inicial!O54="SI",Inicial!F54,"N/A")</f>
        <v>N/A</v>
      </c>
      <c r="G55" s="59" t="str">
        <f>IF(Inicial!O54="SI",Inicial!G54,"N/A")</f>
        <v>N/A</v>
      </c>
      <c r="H55" s="59" t="str">
        <f>IF(Inicial!O54="SI",Inicial!H54,"N/A")</f>
        <v>N/A</v>
      </c>
      <c r="I55" s="70" t="str">
        <f>IF(Inicial!O54="SI",Inicial!I54,"N/A")</f>
        <v>N/A</v>
      </c>
      <c r="S55" s="1"/>
      <c r="T55" s="1"/>
    </row>
    <row r="56" spans="1:20" ht="25.5">
      <c r="A56" s="58">
        <f>Inicial!A55</f>
        <v>53</v>
      </c>
      <c r="B56" s="59" t="str">
        <f>Inicial!B55</f>
        <v>Faenación</v>
      </c>
      <c r="C56" s="59" t="str">
        <f>Inicial!C55</f>
        <v>Empaque - Chiller</v>
      </c>
      <c r="D56" s="60" t="str">
        <f>Inicial!D55</f>
        <v>Selección de Contre</v>
      </c>
      <c r="E56" s="58" t="str">
        <f>IF(Inicial!O55="SI",Inicial!E55,"N/A")</f>
        <v>N/A</v>
      </c>
      <c r="F56" s="59" t="str">
        <f>IF(Inicial!O55="SI",Inicial!F55,"N/A")</f>
        <v>N/A</v>
      </c>
      <c r="G56" s="59" t="str">
        <f>IF(Inicial!O55="SI",Inicial!G55,"N/A")</f>
        <v>N/A</v>
      </c>
      <c r="H56" s="59" t="str">
        <f>IF(Inicial!O55="SI",Inicial!H55,"N/A")</f>
        <v>N/A</v>
      </c>
      <c r="I56" s="70" t="str">
        <f>IF(Inicial!O55="SI",Inicial!I55,"N/A")</f>
        <v>N/A</v>
      </c>
      <c r="S56" s="1"/>
      <c r="T56" s="1"/>
    </row>
    <row r="57" spans="1:20" ht="25.5">
      <c r="A57" s="58">
        <f>Inicial!A56</f>
        <v>54</v>
      </c>
      <c r="B57" s="59" t="str">
        <f>Inicial!B56</f>
        <v>Faenación</v>
      </c>
      <c r="C57" s="59" t="str">
        <f>Inicial!C56</f>
        <v>Empaque - Chiller</v>
      </c>
      <c r="D57" s="60" t="str">
        <f>Inicial!D56</f>
        <v>Maquinista chiller</v>
      </c>
      <c r="E57" s="58" t="str">
        <f>IF(Inicial!O56="SI",Inicial!E56,"N/A")</f>
        <v>N/A</v>
      </c>
      <c r="F57" s="59" t="str">
        <f>IF(Inicial!O56="SI",Inicial!F56,"N/A")</f>
        <v>N/A</v>
      </c>
      <c r="G57" s="59" t="str">
        <f>IF(Inicial!O56="SI",Inicial!G56,"N/A")</f>
        <v>N/A</v>
      </c>
      <c r="H57" s="59" t="str">
        <f>IF(Inicial!O56="SI",Inicial!H56,"N/A")</f>
        <v>N/A</v>
      </c>
      <c r="I57" s="70" t="str">
        <f>IF(Inicial!O56="SI",Inicial!I56,"N/A")</f>
        <v>N/A</v>
      </c>
      <c r="S57" s="1"/>
      <c r="T57" s="1"/>
    </row>
    <row r="58" spans="1:20">
      <c r="A58" s="58" t="e">
        <f>Inicial!#REF!</f>
        <v>#REF!</v>
      </c>
      <c r="B58" s="59" t="e">
        <f>Inicial!#REF!</f>
        <v>#REF!</v>
      </c>
      <c r="C58" s="59" t="e">
        <f>Inicial!#REF!</f>
        <v>#REF!</v>
      </c>
      <c r="D58" s="60" t="e">
        <f>Inicial!#REF!</f>
        <v>#REF!</v>
      </c>
      <c r="E58" s="58" t="e">
        <f>IF(Inicial!#REF!="SI",Inicial!#REF!,"N/A")</f>
        <v>#REF!</v>
      </c>
      <c r="F58" s="59" t="e">
        <f>IF(Inicial!#REF!="SI",Inicial!#REF!,"N/A")</f>
        <v>#REF!</v>
      </c>
      <c r="G58" s="59" t="e">
        <f>IF(Inicial!#REF!="SI",Inicial!#REF!,"N/A")</f>
        <v>#REF!</v>
      </c>
      <c r="H58" s="59" t="e">
        <f>IF(Inicial!#REF!="SI",Inicial!#REF!,"N/A")</f>
        <v>#REF!</v>
      </c>
      <c r="I58" s="70" t="e">
        <f>IF(Inicial!#REF!="SI",Inicial!#REF!,"N/A")</f>
        <v>#REF!</v>
      </c>
      <c r="S58" s="1"/>
      <c r="T58" s="1"/>
    </row>
    <row r="59" spans="1:20" ht="25.5">
      <c r="A59" s="58">
        <f>Inicial!A57</f>
        <v>55</v>
      </c>
      <c r="B59" s="59" t="str">
        <f>Inicial!B57</f>
        <v>Faenación</v>
      </c>
      <c r="C59" s="59" t="str">
        <f>Inicial!C57</f>
        <v>Empaque - Chiller</v>
      </c>
      <c r="D59" s="60" t="str">
        <f>Inicial!D57</f>
        <v>Corchetera</v>
      </c>
      <c r="E59" s="58" t="str">
        <f>IF(Inicial!O57="SI",Inicial!E57,"N/A")</f>
        <v>N/A</v>
      </c>
      <c r="F59" s="59" t="str">
        <f>IF(Inicial!O57="SI",Inicial!F57,"N/A")</f>
        <v>N/A</v>
      </c>
      <c r="G59" s="59" t="str">
        <f>IF(Inicial!O57="SI",Inicial!G57,"N/A")</f>
        <v>N/A</v>
      </c>
      <c r="H59" s="59" t="str">
        <f>IF(Inicial!O57="SI",Inicial!H57,"N/A")</f>
        <v>N/A</v>
      </c>
      <c r="I59" s="70" t="str">
        <f>IF(Inicial!O57="SI",Inicial!I57,"N/A")</f>
        <v>N/A</v>
      </c>
      <c r="S59" s="1"/>
      <c r="T59" s="1"/>
    </row>
    <row r="60" spans="1:20" ht="25.5">
      <c r="A60" s="58">
        <f>Inicial!A58</f>
        <v>56</v>
      </c>
      <c r="B60" s="59" t="str">
        <f>Inicial!B58</f>
        <v>Faenación</v>
      </c>
      <c r="C60" s="59" t="str">
        <f>Inicial!C58</f>
        <v>Empaque - Chiller</v>
      </c>
      <c r="D60" s="60" t="str">
        <f>Inicial!D58</f>
        <v>Pesador menudencia</v>
      </c>
      <c r="E60" s="58" t="str">
        <f>IF(Inicial!O58="SI",Inicial!E58,"N/A")</f>
        <v>N/A</v>
      </c>
      <c r="F60" s="59" t="str">
        <f>IF(Inicial!O58="SI",Inicial!F58,"N/A")</f>
        <v>N/A</v>
      </c>
      <c r="G60" s="59" t="str">
        <f>IF(Inicial!O58="SI",Inicial!G58,"N/A")</f>
        <v>N/A</v>
      </c>
      <c r="H60" s="59" t="str">
        <f>IF(Inicial!O58="SI",Inicial!H58,"N/A")</f>
        <v>N/A</v>
      </c>
      <c r="I60" s="70" t="str">
        <f>IF(Inicial!O58="SI",Inicial!I58,"N/A")</f>
        <v>N/A</v>
      </c>
      <c r="S60" s="1"/>
      <c r="T60" s="1"/>
    </row>
    <row r="61" spans="1:20">
      <c r="A61" s="58" t="e">
        <f>Inicial!#REF!</f>
        <v>#REF!</v>
      </c>
      <c r="B61" s="59" t="e">
        <f>Inicial!#REF!</f>
        <v>#REF!</v>
      </c>
      <c r="C61" s="59" t="e">
        <f>Inicial!#REF!</f>
        <v>#REF!</v>
      </c>
      <c r="D61" s="60" t="e">
        <f>Inicial!#REF!</f>
        <v>#REF!</v>
      </c>
      <c r="E61" s="58" t="e">
        <f>IF(Inicial!#REF!="SI",Inicial!#REF!,"N/A")</f>
        <v>#REF!</v>
      </c>
      <c r="F61" s="59" t="e">
        <f>IF(Inicial!#REF!="SI",Inicial!#REF!,"N/A")</f>
        <v>#REF!</v>
      </c>
      <c r="G61" s="59" t="e">
        <f>IF(Inicial!#REF!="SI",Inicial!#REF!,"N/A")</f>
        <v>#REF!</v>
      </c>
      <c r="H61" s="59" t="e">
        <f>IF(Inicial!#REF!="SI",Inicial!#REF!,"N/A")</f>
        <v>#REF!</v>
      </c>
      <c r="I61" s="70" t="e">
        <f>IF(Inicial!#REF!="SI",Inicial!#REF!,"N/A")</f>
        <v>#REF!</v>
      </c>
      <c r="S61" s="1"/>
      <c r="T61" s="1"/>
    </row>
    <row r="62" spans="1:20" ht="25.5">
      <c r="A62" s="58">
        <f>Inicial!A59</f>
        <v>57</v>
      </c>
      <c r="B62" s="59" t="str">
        <f>Inicial!B59</f>
        <v>Faenación</v>
      </c>
      <c r="C62" s="59" t="str">
        <f>Inicial!C59</f>
        <v>Empaque - Chiller</v>
      </c>
      <c r="D62" s="60" t="str">
        <f>Inicial!D59</f>
        <v>Encargado de registro</v>
      </c>
      <c r="E62" s="58" t="str">
        <f>IF(Inicial!O59="SI",Inicial!E59,"N/A")</f>
        <v>N/A</v>
      </c>
      <c r="F62" s="59" t="str">
        <f>IF(Inicial!O59="SI",Inicial!F59,"N/A")</f>
        <v>N/A</v>
      </c>
      <c r="G62" s="59" t="str">
        <f>IF(Inicial!O59="SI",Inicial!G59,"N/A")</f>
        <v>N/A</v>
      </c>
      <c r="H62" s="59" t="str">
        <f>IF(Inicial!O59="SI",Inicial!H59,"N/A")</f>
        <v>N/A</v>
      </c>
      <c r="I62" s="70" t="str">
        <f>IF(Inicial!O59="SI",Inicial!I59,"N/A")</f>
        <v>N/A</v>
      </c>
      <c r="S62" s="1"/>
      <c r="T62" s="1"/>
    </row>
    <row r="63" spans="1:20" ht="25.5">
      <c r="A63" s="58">
        <f>Inicial!A60</f>
        <v>58</v>
      </c>
      <c r="B63" s="59" t="str">
        <f>Inicial!B60</f>
        <v>Faenación</v>
      </c>
      <c r="C63" s="59" t="str">
        <f>Inicial!C60</f>
        <v>Empaque - Chiller</v>
      </c>
      <c r="D63" s="60" t="str">
        <f>Inicial!D60</f>
        <v>Fechado</v>
      </c>
      <c r="E63" s="58" t="str">
        <f>IF(Inicial!O60="SI",Inicial!E60,"N/A")</f>
        <v>N/A</v>
      </c>
      <c r="F63" s="59" t="str">
        <f>IF(Inicial!O60="SI",Inicial!F60,"N/A")</f>
        <v>N/A</v>
      </c>
      <c r="G63" s="59" t="str">
        <f>IF(Inicial!O60="SI",Inicial!G60,"N/A")</f>
        <v>N/A</v>
      </c>
      <c r="H63" s="59" t="str">
        <f>IF(Inicial!O60="SI",Inicial!H60,"N/A")</f>
        <v>N/A</v>
      </c>
      <c r="I63" s="70" t="str">
        <f>IF(Inicial!O60="SI",Inicial!I60,"N/A")</f>
        <v>N/A</v>
      </c>
      <c r="S63" s="1"/>
      <c r="T63" s="1"/>
    </row>
    <row r="64" spans="1:20" ht="25.5">
      <c r="A64" s="58">
        <f>Inicial!A61</f>
        <v>59</v>
      </c>
      <c r="B64" s="59" t="str">
        <f>Inicial!B61</f>
        <v>Faenación</v>
      </c>
      <c r="C64" s="59" t="str">
        <f>Inicial!C61</f>
        <v>Empaque - Chiller</v>
      </c>
      <c r="D64" s="60" t="str">
        <f>Inicial!D61</f>
        <v>Paletizador</v>
      </c>
      <c r="E64" s="58" t="str">
        <f>IF(Inicial!O61="SI",Inicial!E61,"N/A")</f>
        <v>N/A</v>
      </c>
      <c r="F64" s="59" t="str">
        <f>IF(Inicial!O61="SI",Inicial!F61,"N/A")</f>
        <v>N/A</v>
      </c>
      <c r="G64" s="59" t="str">
        <f>IF(Inicial!O61="SI",Inicial!G61,"N/A")</f>
        <v>N/A</v>
      </c>
      <c r="H64" s="59" t="str">
        <f>IF(Inicial!O61="SI",Inicial!H61,"N/A")</f>
        <v>N/A</v>
      </c>
      <c r="I64" s="70" t="str">
        <f>IF(Inicial!O61="SI",Inicial!I61,"N/A")</f>
        <v>N/A</v>
      </c>
      <c r="S64" s="1"/>
      <c r="T64" s="1"/>
    </row>
    <row r="65" spans="1:20" ht="25.5">
      <c r="A65" s="58">
        <f>Inicial!A62</f>
        <v>60</v>
      </c>
      <c r="B65" s="59" t="str">
        <f>Inicial!B62</f>
        <v>Faenación</v>
      </c>
      <c r="C65" s="59" t="str">
        <f>Inicial!C62</f>
        <v>Empaque - Chiller</v>
      </c>
      <c r="D65" s="60" t="str">
        <f>Inicial!D62</f>
        <v>Transpaletero</v>
      </c>
      <c r="E65" s="58" t="str">
        <f>IF(Inicial!O62="SI",Inicial!E62,"N/A")</f>
        <v>N/A</v>
      </c>
      <c r="F65" s="59" t="str">
        <f>IF(Inicial!O62="SI",Inicial!F62,"N/A")</f>
        <v>N/A</v>
      </c>
      <c r="G65" s="59" t="str">
        <f>IF(Inicial!O62="SI",Inicial!G62,"N/A")</f>
        <v>N/A</v>
      </c>
      <c r="H65" s="59" t="str">
        <f>IF(Inicial!O62="SI",Inicial!H62,"N/A")</f>
        <v>N/A</v>
      </c>
      <c r="I65" s="70" t="str">
        <f>IF(Inicial!O62="SI",Inicial!I62,"N/A")</f>
        <v>N/A</v>
      </c>
      <c r="S65" s="1"/>
      <c r="T65" s="1"/>
    </row>
    <row r="66" spans="1:20" ht="25.5">
      <c r="A66" s="58">
        <f>Inicial!A63</f>
        <v>61</v>
      </c>
      <c r="B66" s="59" t="str">
        <f>Inicial!B63</f>
        <v>Faenación</v>
      </c>
      <c r="C66" s="59" t="str">
        <f>Inicial!C63</f>
        <v>Empaque - Chiller</v>
      </c>
      <c r="D66" s="60" t="str">
        <f>Inicial!D63</f>
        <v xml:space="preserve">Jefe de Línea </v>
      </c>
      <c r="E66" s="58" t="str">
        <f>IF(Inicial!O63="SI",Inicial!E63,"N/A")</f>
        <v>N/A</v>
      </c>
      <c r="F66" s="59" t="str">
        <f>IF(Inicial!O63="SI",Inicial!F63,"N/A")</f>
        <v>N/A</v>
      </c>
      <c r="G66" s="59" t="str">
        <f>IF(Inicial!O63="SI",Inicial!G63,"N/A")</f>
        <v>N/A</v>
      </c>
      <c r="H66" s="59" t="str">
        <f>IF(Inicial!O63="SI",Inicial!H63,"N/A")</f>
        <v>N/A</v>
      </c>
      <c r="I66" s="70" t="str">
        <f>IF(Inicial!O63="SI",Inicial!I63,"N/A")</f>
        <v>N/A</v>
      </c>
      <c r="S66" s="1"/>
      <c r="T66" s="1"/>
    </row>
    <row r="67" spans="1:20">
      <c r="A67" s="58">
        <f>Inicial!A64</f>
        <v>0</v>
      </c>
      <c r="B67" s="59">
        <f>Inicial!B64</f>
        <v>0</v>
      </c>
      <c r="C67" s="59">
        <f>Inicial!C64</f>
        <v>0</v>
      </c>
      <c r="D67" s="60">
        <f>Inicial!D64</f>
        <v>0</v>
      </c>
      <c r="E67" s="58" t="str">
        <f>IF(Inicial!O64="SI",Inicial!E64,"N/A")</f>
        <v>N/A</v>
      </c>
      <c r="F67" s="59" t="str">
        <f>IF(Inicial!O64="SI",Inicial!F64,"N/A")</f>
        <v>N/A</v>
      </c>
      <c r="G67" s="59" t="str">
        <f>IF(Inicial!O64="SI",Inicial!G64,"N/A")</f>
        <v>N/A</v>
      </c>
      <c r="H67" s="59" t="str">
        <f>IF(Inicial!O64="SI",Inicial!H64,"N/A")</f>
        <v>N/A</v>
      </c>
      <c r="I67" s="70" t="str">
        <f>IF(Inicial!O64="SI",Inicial!I64,"N/A")</f>
        <v>N/A</v>
      </c>
      <c r="S67" s="1"/>
      <c r="T67" s="1"/>
    </row>
    <row r="68" spans="1:20">
      <c r="A68" s="58">
        <f>Inicial!A65</f>
        <v>0</v>
      </c>
      <c r="B68" s="59">
        <f>Inicial!B65</f>
        <v>0</v>
      </c>
      <c r="C68" s="59">
        <f>Inicial!C65</f>
        <v>0</v>
      </c>
      <c r="D68" s="60">
        <f>Inicial!D65</f>
        <v>0</v>
      </c>
      <c r="E68" s="58" t="str">
        <f>IF(Inicial!O65="SI",Inicial!E65,"N/A")</f>
        <v>N/A</v>
      </c>
      <c r="F68" s="59" t="str">
        <f>IF(Inicial!O65="SI",Inicial!F65,"N/A")</f>
        <v>N/A</v>
      </c>
      <c r="G68" s="59" t="str">
        <f>IF(Inicial!O65="SI",Inicial!G65,"N/A")</f>
        <v>N/A</v>
      </c>
      <c r="H68" s="59" t="str">
        <f>IF(Inicial!O65="SI",Inicial!H65,"N/A")</f>
        <v>N/A</v>
      </c>
      <c r="I68" s="70" t="str">
        <f>IF(Inicial!O65="SI",Inicial!I65,"N/A")</f>
        <v>N/A</v>
      </c>
      <c r="S68" s="1"/>
      <c r="T68" s="1"/>
    </row>
    <row r="69" spans="1:20">
      <c r="A69" s="58">
        <f>Inicial!A66</f>
        <v>0</v>
      </c>
      <c r="B69" s="59">
        <f>Inicial!B66</f>
        <v>0</v>
      </c>
      <c r="C69" s="59">
        <f>Inicial!C66</f>
        <v>0</v>
      </c>
      <c r="D69" s="60">
        <f>Inicial!D66</f>
        <v>0</v>
      </c>
      <c r="E69" s="58" t="str">
        <f>IF(Inicial!O66="SI",Inicial!E66,"N/A")</f>
        <v>N/A</v>
      </c>
      <c r="F69" s="59" t="str">
        <f>IF(Inicial!O66="SI",Inicial!F66,"N/A")</f>
        <v>N/A</v>
      </c>
      <c r="G69" s="59" t="str">
        <f>IF(Inicial!O66="SI",Inicial!G66,"N/A")</f>
        <v>N/A</v>
      </c>
      <c r="H69" s="59" t="str">
        <f>IF(Inicial!O66="SI",Inicial!H66,"N/A")</f>
        <v>N/A</v>
      </c>
      <c r="I69" s="70" t="str">
        <f>IF(Inicial!O66="SI",Inicial!I66,"N/A")</f>
        <v>N/A</v>
      </c>
      <c r="S69" s="1"/>
      <c r="T69" s="1"/>
    </row>
    <row r="70" spans="1:20">
      <c r="A70" s="58">
        <f>Inicial!A67</f>
        <v>0</v>
      </c>
      <c r="B70" s="59">
        <f>Inicial!B67</f>
        <v>0</v>
      </c>
      <c r="C70" s="59">
        <f>Inicial!C67</f>
        <v>0</v>
      </c>
      <c r="D70" s="60">
        <f>Inicial!D67</f>
        <v>0</v>
      </c>
      <c r="E70" s="58" t="str">
        <f>IF(Inicial!O67="SI",Inicial!E67,"N/A")</f>
        <v>N/A</v>
      </c>
      <c r="F70" s="59" t="str">
        <f>IF(Inicial!O67="SI",Inicial!F67,"N/A")</f>
        <v>N/A</v>
      </c>
      <c r="G70" s="59" t="str">
        <f>IF(Inicial!O67="SI",Inicial!G67,"N/A")</f>
        <v>N/A</v>
      </c>
      <c r="H70" s="59" t="str">
        <f>IF(Inicial!O67="SI",Inicial!H67,"N/A")</f>
        <v>N/A</v>
      </c>
      <c r="I70" s="70" t="str">
        <f>IF(Inicial!O67="SI",Inicial!I67,"N/A")</f>
        <v>N/A</v>
      </c>
      <c r="S70" s="1"/>
      <c r="T70" s="1"/>
    </row>
    <row r="71" spans="1:20">
      <c r="A71" s="58">
        <f>Inicial!A68</f>
        <v>0</v>
      </c>
      <c r="B71" s="59">
        <f>Inicial!B68</f>
        <v>0</v>
      </c>
      <c r="C71" s="59">
        <f>Inicial!C68</f>
        <v>0</v>
      </c>
      <c r="D71" s="60">
        <f>Inicial!D68</f>
        <v>0</v>
      </c>
      <c r="E71" s="58" t="str">
        <f>IF(Inicial!O68="SI",Inicial!E68,"N/A")</f>
        <v>N/A</v>
      </c>
      <c r="F71" s="59" t="str">
        <f>IF(Inicial!O68="SI",Inicial!F68,"N/A")</f>
        <v>N/A</v>
      </c>
      <c r="G71" s="59" t="str">
        <f>IF(Inicial!O68="SI",Inicial!G68,"N/A")</f>
        <v>N/A</v>
      </c>
      <c r="H71" s="59" t="str">
        <f>IF(Inicial!O68="SI",Inicial!H68,"N/A")</f>
        <v>N/A</v>
      </c>
      <c r="I71" s="70" t="str">
        <f>IF(Inicial!O68="SI",Inicial!I68,"N/A")</f>
        <v>N/A</v>
      </c>
      <c r="S71" s="1"/>
      <c r="T71" s="1"/>
    </row>
    <row r="72" spans="1:20">
      <c r="A72" s="58">
        <f>Inicial!A69</f>
        <v>0</v>
      </c>
      <c r="B72" s="59">
        <f>Inicial!B69</f>
        <v>0</v>
      </c>
      <c r="C72" s="59">
        <f>Inicial!C69</f>
        <v>0</v>
      </c>
      <c r="D72" s="60">
        <f>Inicial!D69</f>
        <v>0</v>
      </c>
      <c r="E72" s="58" t="str">
        <f>IF(Inicial!O69="SI",Inicial!E69,"N/A")</f>
        <v>N/A</v>
      </c>
      <c r="F72" s="59" t="str">
        <f>IF(Inicial!O69="SI",Inicial!F69,"N/A")</f>
        <v>N/A</v>
      </c>
      <c r="G72" s="59" t="str">
        <f>IF(Inicial!O69="SI",Inicial!G69,"N/A")</f>
        <v>N/A</v>
      </c>
      <c r="H72" s="59" t="str">
        <f>IF(Inicial!O69="SI",Inicial!H69,"N/A")</f>
        <v>N/A</v>
      </c>
      <c r="I72" s="70" t="str">
        <f>IF(Inicial!O69="SI",Inicial!I69,"N/A")</f>
        <v>N/A</v>
      </c>
      <c r="S72" s="1"/>
      <c r="T72" s="1"/>
    </row>
    <row r="73" spans="1:20">
      <c r="A73" s="58">
        <f>Inicial!A70</f>
        <v>0</v>
      </c>
      <c r="B73" s="59">
        <f>Inicial!B70</f>
        <v>0</v>
      </c>
      <c r="C73" s="59">
        <f>Inicial!C70</f>
        <v>0</v>
      </c>
      <c r="D73" s="60">
        <f>Inicial!D70</f>
        <v>0</v>
      </c>
      <c r="E73" s="58" t="str">
        <f>IF(Inicial!O70="SI",Inicial!E70,"N/A")</f>
        <v>N/A</v>
      </c>
      <c r="F73" s="59" t="str">
        <f>IF(Inicial!O70="SI",Inicial!F70,"N/A")</f>
        <v>N/A</v>
      </c>
      <c r="G73" s="59" t="str">
        <f>IF(Inicial!O70="SI",Inicial!G70,"N/A")</f>
        <v>N/A</v>
      </c>
      <c r="H73" s="59" t="str">
        <f>IF(Inicial!O70="SI",Inicial!H70,"N/A")</f>
        <v>N/A</v>
      </c>
      <c r="I73" s="70" t="str">
        <f>IF(Inicial!O70="SI",Inicial!I70,"N/A")</f>
        <v>N/A</v>
      </c>
      <c r="S73" s="1"/>
      <c r="T73" s="1"/>
    </row>
    <row r="74" spans="1:20">
      <c r="A74" s="58">
        <f>Inicial!A71</f>
        <v>0</v>
      </c>
      <c r="B74" s="59">
        <f>Inicial!B71</f>
        <v>0</v>
      </c>
      <c r="C74" s="59">
        <f>Inicial!C71</f>
        <v>0</v>
      </c>
      <c r="D74" s="60">
        <f>Inicial!D71</f>
        <v>0</v>
      </c>
      <c r="E74" s="58" t="str">
        <f>IF(Inicial!O71="SI",Inicial!E71,"N/A")</f>
        <v>N/A</v>
      </c>
      <c r="F74" s="59" t="str">
        <f>IF(Inicial!O71="SI",Inicial!F71,"N/A")</f>
        <v>N/A</v>
      </c>
      <c r="G74" s="59" t="str">
        <f>IF(Inicial!O71="SI",Inicial!G71,"N/A")</f>
        <v>N/A</v>
      </c>
      <c r="H74" s="59" t="str">
        <f>IF(Inicial!O71="SI",Inicial!H71,"N/A")</f>
        <v>N/A</v>
      </c>
      <c r="I74" s="70" t="str">
        <f>IF(Inicial!O71="SI",Inicial!I71,"N/A")</f>
        <v>N/A</v>
      </c>
      <c r="S74" s="1"/>
      <c r="T74" s="1"/>
    </row>
    <row r="75" spans="1:20">
      <c r="A75" s="58">
        <f>Inicial!A72</f>
        <v>0</v>
      </c>
      <c r="B75" s="59">
        <f>Inicial!B72</f>
        <v>0</v>
      </c>
      <c r="C75" s="59">
        <f>Inicial!C72</f>
        <v>0</v>
      </c>
      <c r="D75" s="60">
        <f>Inicial!D72</f>
        <v>0</v>
      </c>
      <c r="E75" s="58" t="str">
        <f>IF(Inicial!O72="SI",Inicial!E72,"N/A")</f>
        <v>N/A</v>
      </c>
      <c r="F75" s="59" t="str">
        <f>IF(Inicial!O72="SI",Inicial!F72,"N/A")</f>
        <v>N/A</v>
      </c>
      <c r="G75" s="59" t="str">
        <f>IF(Inicial!O72="SI",Inicial!G72,"N/A")</f>
        <v>N/A</v>
      </c>
      <c r="H75" s="59" t="str">
        <f>IF(Inicial!O72="SI",Inicial!H72,"N/A")</f>
        <v>N/A</v>
      </c>
      <c r="I75" s="70" t="str">
        <f>IF(Inicial!O72="SI",Inicial!I72,"N/A")</f>
        <v>N/A</v>
      </c>
      <c r="S75" s="1"/>
      <c r="T75" s="1"/>
    </row>
    <row r="76" spans="1:20">
      <c r="A76" s="58">
        <f>Inicial!A73</f>
        <v>0</v>
      </c>
      <c r="B76" s="59">
        <f>Inicial!B73</f>
        <v>0</v>
      </c>
      <c r="C76" s="59">
        <f>Inicial!C73</f>
        <v>0</v>
      </c>
      <c r="D76" s="60">
        <f>Inicial!D73</f>
        <v>0</v>
      </c>
      <c r="E76" s="58" t="str">
        <f>IF(Inicial!O73="SI",Inicial!E73,"N/A")</f>
        <v>N/A</v>
      </c>
      <c r="F76" s="59" t="str">
        <f>IF(Inicial!O73="SI",Inicial!F73,"N/A")</f>
        <v>N/A</v>
      </c>
      <c r="G76" s="59" t="str">
        <f>IF(Inicial!O73="SI",Inicial!G73,"N/A")</f>
        <v>N/A</v>
      </c>
      <c r="H76" s="59" t="str">
        <f>IF(Inicial!O73="SI",Inicial!H73,"N/A")</f>
        <v>N/A</v>
      </c>
      <c r="I76" s="70" t="str">
        <f>IF(Inicial!O73="SI",Inicial!I73,"N/A")</f>
        <v>N/A</v>
      </c>
      <c r="S76" s="1"/>
      <c r="T76" s="1"/>
    </row>
    <row r="77" spans="1:20">
      <c r="A77" s="58">
        <f>Inicial!A74</f>
        <v>0</v>
      </c>
      <c r="B77" s="59">
        <f>Inicial!B74</f>
        <v>0</v>
      </c>
      <c r="C77" s="59">
        <f>Inicial!C74</f>
        <v>0</v>
      </c>
      <c r="D77" s="60">
        <f>Inicial!D74</f>
        <v>0</v>
      </c>
      <c r="E77" s="58" t="str">
        <f>IF(Inicial!O74="SI",Inicial!E74,"N/A")</f>
        <v>N/A</v>
      </c>
      <c r="F77" s="59" t="str">
        <f>IF(Inicial!O74="SI",Inicial!F74,"N/A")</f>
        <v>N/A</v>
      </c>
      <c r="G77" s="59" t="str">
        <f>IF(Inicial!O74="SI",Inicial!G74,"N/A")</f>
        <v>N/A</v>
      </c>
      <c r="H77" s="59" t="str">
        <f>IF(Inicial!O74="SI",Inicial!H74,"N/A")</f>
        <v>N/A</v>
      </c>
      <c r="I77" s="70" t="str">
        <f>IF(Inicial!O74="SI",Inicial!I74,"N/A")</f>
        <v>N/A</v>
      </c>
      <c r="S77" s="1"/>
      <c r="T77" s="1"/>
    </row>
    <row r="78" spans="1:20">
      <c r="A78" s="58">
        <f>Inicial!A75</f>
        <v>0</v>
      </c>
      <c r="B78" s="59">
        <f>Inicial!B75</f>
        <v>0</v>
      </c>
      <c r="C78" s="59">
        <f>Inicial!C75</f>
        <v>0</v>
      </c>
      <c r="D78" s="60">
        <f>Inicial!D75</f>
        <v>0</v>
      </c>
      <c r="E78" s="58" t="str">
        <f>IF(Inicial!O75="SI",Inicial!E75,"N/A")</f>
        <v>N/A</v>
      </c>
      <c r="F78" s="59" t="str">
        <f>IF(Inicial!O75="SI",Inicial!F75,"N/A")</f>
        <v>N/A</v>
      </c>
      <c r="G78" s="59" t="str">
        <f>IF(Inicial!O75="SI",Inicial!G75,"N/A")</f>
        <v>N/A</v>
      </c>
      <c r="H78" s="59" t="str">
        <f>IF(Inicial!O75="SI",Inicial!H75,"N/A")</f>
        <v>N/A</v>
      </c>
      <c r="I78" s="70" t="str">
        <f>IF(Inicial!O75="SI",Inicial!I75,"N/A")</f>
        <v>N/A</v>
      </c>
      <c r="S78" s="1"/>
      <c r="T78" s="1"/>
    </row>
    <row r="79" spans="1:20">
      <c r="A79" s="58">
        <f>Inicial!A76</f>
        <v>0</v>
      </c>
      <c r="B79" s="59">
        <f>Inicial!B76</f>
        <v>0</v>
      </c>
      <c r="C79" s="59">
        <f>Inicial!C76</f>
        <v>0</v>
      </c>
      <c r="D79" s="60">
        <f>Inicial!D76</f>
        <v>0</v>
      </c>
      <c r="E79" s="58" t="str">
        <f>IF(Inicial!O76="SI",Inicial!E76,"N/A")</f>
        <v>N/A</v>
      </c>
      <c r="F79" s="59" t="str">
        <f>IF(Inicial!O76="SI",Inicial!F76,"N/A")</f>
        <v>N/A</v>
      </c>
      <c r="G79" s="59" t="str">
        <f>IF(Inicial!O76="SI",Inicial!G76,"N/A")</f>
        <v>N/A</v>
      </c>
      <c r="H79" s="59" t="str">
        <f>IF(Inicial!O76="SI",Inicial!H76,"N/A")</f>
        <v>N/A</v>
      </c>
      <c r="I79" s="70" t="str">
        <f>IF(Inicial!O76="SI",Inicial!I76,"N/A")</f>
        <v>N/A</v>
      </c>
      <c r="S79" s="1"/>
      <c r="T79" s="1"/>
    </row>
    <row r="80" spans="1:20">
      <c r="A80" s="58"/>
      <c r="B80" s="59"/>
      <c r="C80" s="59"/>
      <c r="D80" s="60"/>
      <c r="E80" s="58"/>
      <c r="F80" s="59"/>
      <c r="G80" s="59"/>
      <c r="H80" s="59"/>
      <c r="I80" s="70"/>
      <c r="S80" s="1"/>
      <c r="T80" s="1"/>
    </row>
    <row r="81" spans="1:20">
      <c r="A81" s="58"/>
      <c r="B81" s="59"/>
      <c r="C81" s="59"/>
      <c r="D81" s="60"/>
      <c r="E81" s="58"/>
      <c r="F81" s="59"/>
      <c r="G81" s="59"/>
      <c r="H81" s="59"/>
      <c r="I81" s="70"/>
      <c r="S81" s="1"/>
      <c r="T81" s="1"/>
    </row>
    <row r="82" spans="1:20">
      <c r="A82" s="58"/>
      <c r="B82" s="59"/>
      <c r="C82" s="59"/>
      <c r="D82" s="60"/>
      <c r="E82" s="58"/>
      <c r="F82" s="59"/>
      <c r="G82" s="59"/>
      <c r="H82" s="59"/>
      <c r="I82" s="70"/>
      <c r="S82" s="1"/>
      <c r="T82" s="1"/>
    </row>
    <row r="83" spans="1:20">
      <c r="A83" s="58"/>
      <c r="B83" s="59"/>
      <c r="C83" s="59"/>
      <c r="D83" s="60"/>
      <c r="E83" s="58"/>
      <c r="F83" s="59"/>
      <c r="G83" s="59"/>
      <c r="H83" s="59"/>
      <c r="I83" s="70"/>
      <c r="S83" s="1"/>
      <c r="T83" s="1"/>
    </row>
    <row r="84" spans="1:20">
      <c r="A84" s="58"/>
      <c r="B84" s="59"/>
      <c r="C84" s="59"/>
      <c r="D84" s="60"/>
      <c r="E84" s="58"/>
      <c r="F84" s="59"/>
      <c r="G84" s="59"/>
      <c r="H84" s="59"/>
      <c r="I84" s="70"/>
      <c r="S84" s="1"/>
      <c r="T84" s="1"/>
    </row>
    <row r="85" spans="1:20">
      <c r="A85" s="58"/>
      <c r="B85" s="59"/>
      <c r="C85" s="59"/>
      <c r="D85" s="60"/>
      <c r="E85" s="58"/>
      <c r="F85" s="59"/>
      <c r="G85" s="59"/>
      <c r="H85" s="59"/>
      <c r="I85" s="70"/>
      <c r="S85" s="1"/>
      <c r="T85" s="1"/>
    </row>
    <row r="86" spans="1:20">
      <c r="A86" s="58"/>
      <c r="B86" s="59"/>
      <c r="C86" s="59"/>
      <c r="D86" s="60"/>
      <c r="E86" s="58"/>
      <c r="F86" s="59"/>
      <c r="G86" s="59"/>
      <c r="H86" s="59"/>
      <c r="I86" s="70"/>
      <c r="S86" s="1"/>
      <c r="T86" s="1"/>
    </row>
    <row r="87" spans="1:20">
      <c r="A87" s="58"/>
      <c r="B87" s="59"/>
      <c r="C87" s="59"/>
      <c r="D87" s="60"/>
      <c r="E87" s="58"/>
      <c r="F87" s="59"/>
      <c r="G87" s="59"/>
      <c r="H87" s="59"/>
      <c r="I87" s="70"/>
      <c r="S87" s="1"/>
      <c r="T87" s="1"/>
    </row>
    <row r="88" spans="1:20">
      <c r="A88" s="58"/>
      <c r="B88" s="59"/>
      <c r="C88" s="59"/>
      <c r="D88" s="60"/>
      <c r="E88" s="58"/>
      <c r="F88" s="59"/>
      <c r="G88" s="59"/>
      <c r="H88" s="59"/>
      <c r="I88" s="70"/>
      <c r="S88" s="1"/>
      <c r="T88" s="1"/>
    </row>
    <row r="89" spans="1:20">
      <c r="A89" s="58"/>
      <c r="B89" s="59"/>
      <c r="C89" s="59"/>
      <c r="D89" s="60"/>
      <c r="E89" s="58"/>
      <c r="F89" s="59"/>
      <c r="G89" s="59"/>
      <c r="H89" s="59"/>
      <c r="I89" s="70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N3:R8">
    <cfRule type="cellIs" dxfId="7" priority="4" operator="equal">
      <formula>"NO"</formula>
    </cfRule>
    <cfRule type="cellIs" dxfId="6" priority="5" operator="equal">
      <formula>"SI"</formula>
    </cfRule>
  </conditionalFormatting>
  <conditionalFormatting sqref="S3:T41">
    <cfRule type="cellIs" dxfId="5" priority="7" operator="equal">
      <formula>"NO"</formula>
    </cfRule>
  </conditionalFormatting>
  <conditionalFormatting sqref="T3">
    <cfRule type="cellIs" dxfId="4" priority="1" operator="equal">
      <formula>"SI"</formula>
    </cfRule>
  </conditionalFormatting>
  <conditionalFormatting sqref="U3:U21">
    <cfRule type="cellIs" dxfId="3" priority="2" operator="equal">
      <formula>"No Aceptable"</formula>
    </cfRule>
    <cfRule type="cellIs" dxfId="2" priority="3" operator="equal">
      <formula>"Aceptable"</formula>
    </cfRule>
  </conditionalFormatting>
  <conditionalFormatting sqref="U22:U1048576 N42:T1048576">
    <cfRule type="cellIs" dxfId="1" priority="8" operator="equal">
      <formula>"NO"</formula>
    </cfRule>
    <cfRule type="cellIs" dxfId="0" priority="9" operator="equal">
      <formula>"SI"</formula>
    </cfRule>
  </conditionalFormatting>
  <dataValidations count="3">
    <dataValidation type="list" allowBlank="1" showInputMessage="1" showErrorMessage="1" sqref="N3:T41 U22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A200D136FEB4F82683A1A9277427A" ma:contentTypeVersion="16" ma:contentTypeDescription="Crear nuevo documento." ma:contentTypeScope="" ma:versionID="b32ca0fbe19887ea81a70f378febf468">
  <xsd:schema xmlns:xsd="http://www.w3.org/2001/XMLSchema" xmlns:xs="http://www.w3.org/2001/XMLSchema" xmlns:p="http://schemas.microsoft.com/office/2006/metadata/properties" xmlns:ns2="5e629559-840b-4680-a89a-6355f80480c4" xmlns:ns3="74ae39a6-6b1c-4785-be20-fccf9998ae64" targetNamespace="http://schemas.microsoft.com/office/2006/metadata/properties" ma:root="true" ma:fieldsID="5d564b122133f7996285fd458b338472" ns2:_="" ns3:_="">
    <xsd:import namespace="5e629559-840b-4680-a89a-6355f80480c4"/>
    <xsd:import namespace="74ae39a6-6b1c-4785-be20-fccf9998a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29559-840b-4680-a89a-6355f8048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39a6-6b1c-4785-be20-fccf9998a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92edb3-e942-43fb-ab45-b03aed33fc24}" ma:internalName="TaxCatchAll" ma:showField="CatchAllData" ma:web="74ae39a6-6b1c-4785-be20-fccf9998a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29559-840b-4680-a89a-6355f80480c4">
      <Terms xmlns="http://schemas.microsoft.com/office/infopath/2007/PartnerControls"/>
    </lcf76f155ced4ddcb4097134ff3c332f>
    <TaxCatchAll xmlns="74ae39a6-6b1c-4785-be20-fccf9998ae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BB192E-222B-47BF-9D21-63B444756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29559-840b-4680-a89a-6355f80480c4"/>
    <ds:schemaRef ds:uri="74ae39a6-6b1c-4785-be20-fccf9998a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B649F4-E121-4D03-A96E-69E1E21D7D08}">
  <ds:schemaRefs>
    <ds:schemaRef ds:uri="http://purl.org/dc/terms/"/>
    <ds:schemaRef ds:uri="74ae39a6-6b1c-4785-be20-fccf9998ae64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e629559-840b-4680-a89a-6355f80480c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0BA6FAC-1760-4E1B-BE8D-2B96C695C1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Datos</vt:lpstr>
      <vt:lpstr>Inicial</vt:lpstr>
      <vt:lpstr>Mov. Rep.</vt:lpstr>
      <vt:lpstr>Postura estatica</vt:lpstr>
      <vt:lpstr>MMC Levantamiento-Descenso</vt:lpstr>
      <vt:lpstr>MMC Empuje-Arrastre </vt:lpstr>
      <vt:lpstr>Manejo manual PCTS</vt:lpstr>
      <vt:lpstr>Vibración Mano-Brazo</vt:lpstr>
      <vt:lpstr>Vibración Cuerpo completo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David González Guzmán</cp:lastModifiedBy>
  <cp:revision/>
  <dcterms:created xsi:type="dcterms:W3CDTF">2024-10-16T13:46:28Z</dcterms:created>
  <dcterms:modified xsi:type="dcterms:W3CDTF">2025-11-18T18:54:14Z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0x010100973A200D136FEB4F82683A1A9277427A</vt:lpwstr>
  </property>
  <property fmtid="{D5CDD505-2E9C-101B-9397-08002B2CF9AE}" pid="3" name="MediaServiceImageTags">
    <vt:lpwstr/>
  </property>
</Properties>
</file>